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60" windowWidth="19200" windowHeight="11145"/>
  </bookViews>
  <sheets>
    <sheet name="Export Internal" sheetId="9" r:id="rId1"/>
  </sheets>
  <externalReferences>
    <externalReference r:id="rId2"/>
    <externalReference r:id="rId3"/>
    <externalReference r:id="rId4"/>
  </externalReferences>
  <definedNames>
    <definedName name="_Fill" hidden="1">#REF!</definedName>
    <definedName name="_xlnm._FilterDatabase" localSheetId="0" hidden="1">'Export Internal'!$A$2:$AP$1748</definedName>
    <definedName name="LOC">[1]PAGE1!#REF!</definedName>
    <definedName name="_xlnm.Print_Titles">#N/A</definedName>
  </definedNames>
  <calcPr calcId="162913"/>
</workbook>
</file>

<file path=xl/calcChain.xml><?xml version="1.0" encoding="utf-8"?>
<calcChain xmlns="http://schemas.openxmlformats.org/spreadsheetml/2006/main">
  <c r="AA1565" i="9" l="1"/>
  <c r="AB1565" i="9"/>
  <c r="AC1565" i="9"/>
  <c r="AA1566" i="9"/>
  <c r="AB1566" i="9"/>
  <c r="AC1566" i="9"/>
  <c r="AA1567" i="9"/>
  <c r="AB1567" i="9"/>
  <c r="AC1567" i="9"/>
  <c r="AA1568" i="9"/>
  <c r="AB1568" i="9"/>
  <c r="AC1568" i="9"/>
  <c r="AA1569" i="9"/>
  <c r="AB1569" i="9"/>
  <c r="AC1569" i="9"/>
  <c r="AA1570" i="9"/>
  <c r="AB1570" i="9"/>
  <c r="AC1570" i="9"/>
  <c r="AA1571" i="9"/>
  <c r="AB1571" i="9"/>
  <c r="AC1571" i="9"/>
  <c r="AA1572" i="9"/>
  <c r="AB1572" i="9"/>
  <c r="AC1572" i="9"/>
  <c r="AA1573" i="9"/>
  <c r="AB1573" i="9"/>
  <c r="AC1573" i="9"/>
  <c r="AA1574" i="9"/>
  <c r="AB1574" i="9"/>
  <c r="AC1574" i="9"/>
  <c r="AA1575" i="9"/>
  <c r="AB1575" i="9"/>
  <c r="AC1575" i="9"/>
  <c r="AA1576" i="9"/>
  <c r="AB1576" i="9"/>
  <c r="AC1576" i="9"/>
  <c r="AA1577" i="9"/>
  <c r="AB1577" i="9"/>
  <c r="AC1577" i="9"/>
  <c r="AA1578" i="9"/>
  <c r="AB1578" i="9"/>
  <c r="AC1578" i="9"/>
  <c r="AA1579" i="9"/>
  <c r="AB1579" i="9"/>
  <c r="AC1579" i="9"/>
  <c r="AA1580" i="9"/>
  <c r="AB1580" i="9"/>
  <c r="AC1580" i="9"/>
  <c r="AA1581" i="9"/>
  <c r="AB1581" i="9"/>
  <c r="AC1581" i="9"/>
  <c r="AA1582" i="9"/>
  <c r="AB1582" i="9"/>
  <c r="AC1582" i="9"/>
  <c r="AA1583" i="9"/>
  <c r="AB1583" i="9"/>
  <c r="AC1583" i="9"/>
  <c r="AA1584" i="9"/>
  <c r="AB1584" i="9"/>
  <c r="AC1584" i="9"/>
  <c r="AA1585" i="9"/>
  <c r="AB1585" i="9"/>
  <c r="AC1585" i="9"/>
  <c r="AA1586" i="9"/>
  <c r="AB1586" i="9"/>
  <c r="AC1586" i="9"/>
  <c r="AA1587" i="9"/>
  <c r="AB1587" i="9"/>
  <c r="AC1587" i="9"/>
  <c r="AA1588" i="9"/>
  <c r="AB1588" i="9"/>
  <c r="AC1588" i="9"/>
  <c r="AA1589" i="9"/>
  <c r="AB1589" i="9"/>
  <c r="AC1589" i="9"/>
  <c r="AA1590" i="9"/>
  <c r="AB1590" i="9"/>
  <c r="AC1590" i="9"/>
  <c r="AA1591" i="9"/>
  <c r="AB1591" i="9"/>
  <c r="AC1591" i="9"/>
  <c r="AA1592" i="9"/>
  <c r="AB1592" i="9"/>
  <c r="AC1592" i="9"/>
  <c r="AA1593" i="9"/>
  <c r="AB1593" i="9"/>
  <c r="AC1593" i="9"/>
  <c r="AA1594" i="9"/>
  <c r="AB1594" i="9"/>
  <c r="AC1594" i="9"/>
  <c r="AA1595" i="9"/>
  <c r="AB1595" i="9"/>
  <c r="AC1595" i="9"/>
  <c r="AA1596" i="9"/>
  <c r="AB1596" i="9"/>
  <c r="AC1596" i="9"/>
  <c r="AA1597" i="9"/>
  <c r="AB1597" i="9"/>
  <c r="AC1597" i="9"/>
  <c r="AA1598" i="9"/>
  <c r="AB1598" i="9"/>
  <c r="AC1598" i="9"/>
  <c r="AA1599" i="9"/>
  <c r="AB1599" i="9"/>
  <c r="AC1599" i="9"/>
  <c r="AA1600" i="9"/>
  <c r="AB1600" i="9"/>
  <c r="AC1600" i="9"/>
  <c r="AA1601" i="9"/>
  <c r="AB1601" i="9"/>
  <c r="AC1601" i="9"/>
  <c r="AA1602" i="9"/>
  <c r="AB1602" i="9"/>
  <c r="AC1602" i="9"/>
  <c r="AA1603" i="9"/>
  <c r="AB1603" i="9"/>
  <c r="AC1603" i="9"/>
  <c r="AA1604" i="9"/>
  <c r="AB1604" i="9"/>
  <c r="AC1604" i="9"/>
  <c r="AA1605" i="9"/>
  <c r="AB1605" i="9"/>
  <c r="AC1605" i="9"/>
  <c r="AA1606" i="9"/>
  <c r="AB1606" i="9"/>
  <c r="AC1606" i="9"/>
  <c r="AA1607" i="9"/>
  <c r="AB1607" i="9"/>
  <c r="AC1607" i="9"/>
  <c r="AA1608" i="9"/>
  <c r="AB1608" i="9"/>
  <c r="AC1608" i="9"/>
  <c r="AA1609" i="9"/>
  <c r="AB1609" i="9"/>
  <c r="AC1609" i="9"/>
  <c r="AA1610" i="9"/>
  <c r="AB1610" i="9"/>
  <c r="AC1610" i="9"/>
  <c r="AA1611" i="9"/>
  <c r="AB1611" i="9"/>
  <c r="AC1611" i="9"/>
  <c r="AA1612" i="9"/>
  <c r="AB1612" i="9"/>
  <c r="AC1612" i="9"/>
  <c r="AA1613" i="9"/>
  <c r="AB1613" i="9"/>
  <c r="AC1613" i="9"/>
  <c r="AA1614" i="9"/>
  <c r="AB1614" i="9"/>
  <c r="AC1614" i="9"/>
  <c r="AA1615" i="9"/>
  <c r="AB1615" i="9"/>
  <c r="AC1615" i="9"/>
  <c r="AA1616" i="9"/>
  <c r="AB1616" i="9"/>
  <c r="AC1616" i="9"/>
  <c r="AA1617" i="9"/>
  <c r="AB1617" i="9"/>
  <c r="AC1617" i="9"/>
  <c r="AA1618" i="9"/>
  <c r="AB1618" i="9"/>
  <c r="AC1618" i="9"/>
  <c r="AA1619" i="9"/>
  <c r="AB1619" i="9"/>
  <c r="AC1619" i="9"/>
  <c r="AA1620" i="9"/>
  <c r="AB1620" i="9"/>
  <c r="AC1620" i="9"/>
  <c r="AA1621" i="9"/>
  <c r="AB1621" i="9"/>
  <c r="AC1621" i="9"/>
  <c r="AA1622" i="9"/>
  <c r="AB1622" i="9"/>
  <c r="AC1622" i="9"/>
  <c r="AA1623" i="9"/>
  <c r="AB1623" i="9"/>
  <c r="AC1623" i="9"/>
  <c r="AA1624" i="9"/>
  <c r="AB1624" i="9"/>
  <c r="AC1624" i="9"/>
  <c r="AA1625" i="9"/>
  <c r="AB1625" i="9"/>
  <c r="AC1625" i="9"/>
  <c r="AA1626" i="9"/>
  <c r="AB1626" i="9"/>
  <c r="AC1626" i="9"/>
  <c r="AA1627" i="9"/>
  <c r="AB1627" i="9"/>
  <c r="AC1627" i="9"/>
  <c r="AA1628" i="9"/>
  <c r="AB1628" i="9"/>
  <c r="AC1628" i="9"/>
  <c r="AA1629" i="9"/>
  <c r="AB1629" i="9"/>
  <c r="AC1629" i="9"/>
  <c r="AA1630" i="9"/>
  <c r="AB1630" i="9"/>
  <c r="AC1630" i="9"/>
  <c r="AA1631" i="9"/>
  <c r="AB1631" i="9"/>
  <c r="AC1631" i="9"/>
  <c r="AA1632" i="9"/>
  <c r="AB1632" i="9"/>
  <c r="AC1632" i="9"/>
  <c r="AA1633" i="9"/>
  <c r="AB1633" i="9"/>
  <c r="AC1633" i="9"/>
  <c r="Y1627" i="9"/>
  <c r="Z1627" i="9"/>
  <c r="Y1628" i="9"/>
  <c r="Z1628" i="9"/>
  <c r="Y1629" i="9"/>
  <c r="Z1629" i="9"/>
  <c r="Y1630" i="9"/>
  <c r="Z1630" i="9"/>
  <c r="Y1631" i="9"/>
  <c r="Z1631" i="9"/>
  <c r="Y1632" i="9"/>
  <c r="Z1632" i="9"/>
  <c r="Y1633" i="9"/>
  <c r="Z1633" i="9"/>
  <c r="Z1626" i="9"/>
  <c r="Y1626" i="9"/>
  <c r="AA1553" i="9" l="1"/>
  <c r="AB1553" i="9"/>
  <c r="AC1553" i="9"/>
  <c r="AA1554" i="9"/>
  <c r="AB1554" i="9"/>
  <c r="AC1554" i="9"/>
  <c r="AA1555" i="9"/>
  <c r="AB1555" i="9"/>
  <c r="AC1555" i="9"/>
  <c r="AA1556" i="9"/>
  <c r="AB1556" i="9"/>
  <c r="AC1556" i="9"/>
  <c r="AA1557" i="9"/>
  <c r="AB1557" i="9"/>
  <c r="AC1557" i="9"/>
  <c r="AA1558" i="9"/>
  <c r="AB1558" i="9"/>
  <c r="AC1558" i="9"/>
  <c r="AA1559" i="9"/>
  <c r="AB1559" i="9"/>
  <c r="AC1559" i="9"/>
  <c r="AA1560" i="9"/>
  <c r="AB1560" i="9"/>
  <c r="AC1560" i="9"/>
  <c r="AA1561" i="9"/>
  <c r="AB1561" i="9"/>
  <c r="AC1561" i="9"/>
  <c r="AA1562" i="9"/>
  <c r="AB1562" i="9"/>
  <c r="AC1562" i="9"/>
  <c r="AA1563" i="9"/>
  <c r="AB1563" i="9"/>
  <c r="AC1563" i="9"/>
  <c r="AA1564" i="9"/>
  <c r="AB1564" i="9"/>
  <c r="AC1564" i="9"/>
  <c r="AF1611" i="9"/>
  <c r="AF1612" i="9"/>
  <c r="AF1613" i="9"/>
  <c r="AF1614" i="9"/>
  <c r="AF1615" i="9"/>
  <c r="AF1616" i="9"/>
  <c r="AF1617" i="9"/>
  <c r="AF1618" i="9"/>
  <c r="AF1619" i="9"/>
  <c r="AF1620" i="9"/>
  <c r="AF1621" i="9"/>
  <c r="AF1622" i="9"/>
  <c r="AF1623" i="9"/>
  <c r="AF1624" i="9"/>
  <c r="AF1625" i="9"/>
  <c r="AF1602" i="9" l="1"/>
  <c r="AF1603" i="9"/>
  <c r="AF1604" i="9"/>
  <c r="AF1605" i="9"/>
  <c r="AF1606" i="9"/>
  <c r="AF1607" i="9"/>
  <c r="AF1608" i="9"/>
  <c r="AF1609" i="9"/>
  <c r="AF1610" i="9"/>
  <c r="AF1442" i="9" l="1"/>
  <c r="AG1442" i="9" s="1"/>
  <c r="AC1442" i="9"/>
  <c r="AB1442" i="9"/>
  <c r="AA1442" i="9"/>
  <c r="X1442" i="9"/>
  <c r="N1442" i="9"/>
  <c r="D1442" i="9"/>
  <c r="AA1541" i="9" l="1"/>
  <c r="AB1541" i="9"/>
  <c r="AC1541" i="9"/>
  <c r="AA1542" i="9"/>
  <c r="AB1542" i="9"/>
  <c r="AC1542" i="9"/>
  <c r="AA1543" i="9"/>
  <c r="AB1543" i="9"/>
  <c r="AC1543" i="9"/>
  <c r="AA1544" i="9"/>
  <c r="AB1544" i="9"/>
  <c r="AC1544" i="9"/>
  <c r="AA1545" i="9"/>
  <c r="AB1545" i="9"/>
  <c r="AC1545" i="9"/>
  <c r="AA1546" i="9"/>
  <c r="AB1546" i="9"/>
  <c r="AC1546" i="9"/>
  <c r="AA1547" i="9"/>
  <c r="AB1547" i="9"/>
  <c r="AC1547" i="9"/>
  <c r="AA1548" i="9"/>
  <c r="AB1548" i="9"/>
  <c r="AC1548" i="9"/>
  <c r="AA1549" i="9"/>
  <c r="AB1549" i="9"/>
  <c r="AC1549" i="9"/>
  <c r="AA1550" i="9"/>
  <c r="AB1550" i="9"/>
  <c r="AC1550" i="9"/>
  <c r="AA1551" i="9"/>
  <c r="AB1551" i="9"/>
  <c r="AC1551" i="9"/>
  <c r="AA1552" i="9"/>
  <c r="AB1552" i="9"/>
  <c r="AC1552" i="9"/>
  <c r="AF1593" i="9"/>
  <c r="AF1594" i="9"/>
  <c r="AF1595" i="9"/>
  <c r="AF1596" i="9"/>
  <c r="AF1597" i="9"/>
  <c r="AF1598" i="9"/>
  <c r="AF1599" i="9"/>
  <c r="AF1600" i="9"/>
  <c r="AF1601" i="9"/>
  <c r="AA1532" i="9" l="1"/>
  <c r="AB1532" i="9"/>
  <c r="AC1532" i="9"/>
  <c r="AA1533" i="9"/>
  <c r="AB1533" i="9"/>
  <c r="AC1533" i="9"/>
  <c r="AA1534" i="9"/>
  <c r="AB1534" i="9"/>
  <c r="AC1534" i="9"/>
  <c r="AA1535" i="9"/>
  <c r="AB1535" i="9"/>
  <c r="AC1535" i="9"/>
  <c r="AA1536" i="9"/>
  <c r="AB1536" i="9"/>
  <c r="AC1536" i="9"/>
  <c r="AA1537" i="9"/>
  <c r="AB1537" i="9"/>
  <c r="AC1537" i="9"/>
  <c r="AA1538" i="9"/>
  <c r="AB1538" i="9"/>
  <c r="AC1538" i="9"/>
  <c r="AA1539" i="9"/>
  <c r="AB1539" i="9"/>
  <c r="AC1539" i="9"/>
  <c r="AA1540" i="9"/>
  <c r="AB1540" i="9"/>
  <c r="AC1540" i="9"/>
  <c r="AF1585" i="9" l="1"/>
  <c r="AF1586" i="9"/>
  <c r="AF1587" i="9"/>
  <c r="AF1588" i="9"/>
  <c r="AF1589" i="9"/>
  <c r="AF1590" i="9"/>
  <c r="AF1591" i="9"/>
  <c r="AF1592" i="9"/>
  <c r="AG1748" i="9" l="1"/>
  <c r="X1748" i="9"/>
  <c r="N1748" i="9"/>
  <c r="D1748" i="9"/>
  <c r="AG1747" i="9"/>
  <c r="X1747" i="9"/>
  <c r="N1747" i="9"/>
  <c r="D1747" i="9"/>
  <c r="AG1746" i="9"/>
  <c r="X1746" i="9"/>
  <c r="N1746" i="9"/>
  <c r="D1746" i="9"/>
  <c r="AG1745" i="9"/>
  <c r="X1745" i="9"/>
  <c r="N1745" i="9"/>
  <c r="D1745" i="9"/>
  <c r="AG1744" i="9"/>
  <c r="X1744" i="9"/>
  <c r="N1744" i="9"/>
  <c r="D1744" i="9"/>
  <c r="AG1743" i="9"/>
  <c r="X1743" i="9"/>
  <c r="N1743" i="9"/>
  <c r="D1743" i="9"/>
  <c r="AG1742" i="9"/>
  <c r="X1742" i="9"/>
  <c r="N1742" i="9"/>
  <c r="D1742" i="9"/>
  <c r="AG1741" i="9"/>
  <c r="X1741" i="9"/>
  <c r="N1741" i="9"/>
  <c r="D1741" i="9"/>
  <c r="AG1740" i="9"/>
  <c r="X1740" i="9"/>
  <c r="N1740" i="9"/>
  <c r="D1740" i="9"/>
  <c r="AG1739" i="9"/>
  <c r="X1739" i="9"/>
  <c r="N1739" i="9"/>
  <c r="D1739" i="9"/>
  <c r="AG1738" i="9"/>
  <c r="X1738" i="9"/>
  <c r="N1738" i="9"/>
  <c r="D1738" i="9"/>
  <c r="AG1737" i="9"/>
  <c r="X1737" i="9"/>
  <c r="N1737" i="9"/>
  <c r="D1737" i="9"/>
  <c r="AG1736" i="9"/>
  <c r="X1736" i="9"/>
  <c r="N1736" i="9"/>
  <c r="D1736" i="9"/>
  <c r="AG1735" i="9"/>
  <c r="X1735" i="9"/>
  <c r="N1735" i="9"/>
  <c r="D1735" i="9"/>
  <c r="AG1734" i="9"/>
  <c r="X1734" i="9"/>
  <c r="N1734" i="9"/>
  <c r="D1734" i="9"/>
  <c r="AG1733" i="9"/>
  <c r="X1733" i="9"/>
  <c r="N1733" i="9"/>
  <c r="D1733" i="9"/>
  <c r="AG1732" i="9"/>
  <c r="X1732" i="9"/>
  <c r="N1732" i="9"/>
  <c r="D1732" i="9"/>
  <c r="AG1731" i="9"/>
  <c r="X1731" i="9"/>
  <c r="N1731" i="9"/>
  <c r="D1731" i="9"/>
  <c r="AG1730" i="9"/>
  <c r="X1730" i="9"/>
  <c r="N1730" i="9"/>
  <c r="D1730" i="9"/>
  <c r="AG1729" i="9"/>
  <c r="X1729" i="9"/>
  <c r="N1729" i="9"/>
  <c r="D1729" i="9"/>
  <c r="AG1728" i="9"/>
  <c r="X1728" i="9"/>
  <c r="N1728" i="9"/>
  <c r="D1728" i="9"/>
  <c r="AG1727" i="9"/>
  <c r="X1727" i="9"/>
  <c r="N1727" i="9"/>
  <c r="D1727" i="9"/>
  <c r="AG1726" i="9"/>
  <c r="X1726" i="9"/>
  <c r="N1726" i="9"/>
  <c r="D1726" i="9"/>
  <c r="AG1725" i="9"/>
  <c r="X1725" i="9"/>
  <c r="N1725" i="9"/>
  <c r="D1725" i="9"/>
  <c r="AG1724" i="9"/>
  <c r="X1724" i="9"/>
  <c r="N1724" i="9"/>
  <c r="D1724" i="9"/>
  <c r="AG1723" i="9"/>
  <c r="X1723" i="9"/>
  <c r="N1723" i="9"/>
  <c r="D1723" i="9"/>
  <c r="AG1722" i="9"/>
  <c r="X1722" i="9"/>
  <c r="N1722" i="9"/>
  <c r="D1722" i="9"/>
  <c r="AG1721" i="9"/>
  <c r="X1721" i="9"/>
  <c r="N1721" i="9"/>
  <c r="D1721" i="9"/>
  <c r="AG1720" i="9"/>
  <c r="X1720" i="9"/>
  <c r="N1720" i="9"/>
  <c r="D1720" i="9"/>
  <c r="AG1719" i="9"/>
  <c r="X1719" i="9"/>
  <c r="N1719" i="9"/>
  <c r="D1719" i="9"/>
  <c r="AG1718" i="9"/>
  <c r="X1718" i="9"/>
  <c r="N1718" i="9"/>
  <c r="D1718" i="9"/>
  <c r="AG1717" i="9"/>
  <c r="X1717" i="9"/>
  <c r="N1717" i="9"/>
  <c r="D1717" i="9"/>
  <c r="AG1716" i="9"/>
  <c r="X1716" i="9"/>
  <c r="N1716" i="9"/>
  <c r="D1716" i="9"/>
  <c r="AG1715" i="9"/>
  <c r="X1715" i="9"/>
  <c r="N1715" i="9"/>
  <c r="D1715" i="9"/>
  <c r="AG1714" i="9"/>
  <c r="X1714" i="9"/>
  <c r="N1714" i="9"/>
  <c r="D1714" i="9"/>
  <c r="AG1713" i="9"/>
  <c r="X1713" i="9"/>
  <c r="N1713" i="9"/>
  <c r="D1713" i="9"/>
  <c r="AG1712" i="9"/>
  <c r="X1712" i="9"/>
  <c r="N1712" i="9"/>
  <c r="D1712" i="9"/>
  <c r="AG1711" i="9"/>
  <c r="X1711" i="9"/>
  <c r="N1711" i="9"/>
  <c r="D1711" i="9"/>
  <c r="AG1710" i="9"/>
  <c r="X1710" i="9"/>
  <c r="N1710" i="9"/>
  <c r="D1710" i="9"/>
  <c r="AG1709" i="9"/>
  <c r="X1709" i="9"/>
  <c r="N1709" i="9"/>
  <c r="D1709" i="9"/>
  <c r="AG1708" i="9"/>
  <c r="X1708" i="9"/>
  <c r="N1708" i="9"/>
  <c r="D1708" i="9"/>
  <c r="AG1707" i="9"/>
  <c r="X1707" i="9"/>
  <c r="N1707" i="9"/>
  <c r="D1707" i="9"/>
  <c r="AG1706" i="9"/>
  <c r="X1706" i="9"/>
  <c r="N1706" i="9"/>
  <c r="D1706" i="9"/>
  <c r="AG1705" i="9"/>
  <c r="X1705" i="9"/>
  <c r="N1705" i="9"/>
  <c r="D1705" i="9"/>
  <c r="AG1704" i="9"/>
  <c r="X1704" i="9"/>
  <c r="N1704" i="9"/>
  <c r="D1704" i="9"/>
  <c r="AG1703" i="9"/>
  <c r="X1703" i="9"/>
  <c r="N1703" i="9"/>
  <c r="D1703" i="9"/>
  <c r="AG1702" i="9"/>
  <c r="X1702" i="9"/>
  <c r="N1702" i="9"/>
  <c r="D1702" i="9"/>
  <c r="AG1701" i="9"/>
  <c r="X1701" i="9"/>
  <c r="N1701" i="9"/>
  <c r="D1701" i="9"/>
  <c r="AG1700" i="9"/>
  <c r="X1700" i="9"/>
  <c r="N1700" i="9"/>
  <c r="D1700" i="9"/>
  <c r="AG1699" i="9"/>
  <c r="X1699" i="9"/>
  <c r="N1699" i="9"/>
  <c r="D1699" i="9"/>
  <c r="AG1698" i="9"/>
  <c r="X1698" i="9"/>
  <c r="N1698" i="9"/>
  <c r="D1698" i="9"/>
  <c r="AG1697" i="9"/>
  <c r="X1697" i="9"/>
  <c r="N1697" i="9"/>
  <c r="D1697" i="9"/>
  <c r="AG1696" i="9"/>
  <c r="X1696" i="9"/>
  <c r="N1696" i="9"/>
  <c r="D1696" i="9"/>
  <c r="AG1695" i="9"/>
  <c r="X1695" i="9"/>
  <c r="N1695" i="9"/>
  <c r="D1695" i="9"/>
  <c r="AG1694" i="9"/>
  <c r="X1694" i="9"/>
  <c r="N1694" i="9"/>
  <c r="D1694" i="9"/>
  <c r="AG1693" i="9"/>
  <c r="X1693" i="9"/>
  <c r="N1693" i="9"/>
  <c r="D1693" i="9"/>
  <c r="AG1692" i="9"/>
  <c r="X1692" i="9"/>
  <c r="N1692" i="9"/>
  <c r="D1692" i="9"/>
  <c r="AG1691" i="9"/>
  <c r="X1691" i="9"/>
  <c r="N1691" i="9"/>
  <c r="D1691" i="9"/>
  <c r="AG1690" i="9"/>
  <c r="X1690" i="9"/>
  <c r="N1690" i="9"/>
  <c r="D1690" i="9"/>
  <c r="AG1689" i="9"/>
  <c r="X1689" i="9"/>
  <c r="N1689" i="9"/>
  <c r="D1689" i="9"/>
  <c r="AG1688" i="9"/>
  <c r="X1688" i="9"/>
  <c r="N1688" i="9"/>
  <c r="D1688" i="9"/>
  <c r="AG1687" i="9"/>
  <c r="X1687" i="9"/>
  <c r="N1687" i="9"/>
  <c r="D1687" i="9"/>
  <c r="AG1686" i="9"/>
  <c r="X1686" i="9"/>
  <c r="N1686" i="9"/>
  <c r="D1686" i="9"/>
  <c r="AG1685" i="9"/>
  <c r="X1685" i="9"/>
  <c r="N1685" i="9"/>
  <c r="D1685" i="9"/>
  <c r="AG1684" i="9"/>
  <c r="X1684" i="9"/>
  <c r="N1684" i="9"/>
  <c r="D1684" i="9"/>
  <c r="AG1683" i="9"/>
  <c r="X1683" i="9"/>
  <c r="N1683" i="9"/>
  <c r="D1683" i="9"/>
  <c r="AG1682" i="9"/>
  <c r="X1682" i="9"/>
  <c r="N1682" i="9"/>
  <c r="D1682" i="9"/>
  <c r="AG1681" i="9"/>
  <c r="X1681" i="9"/>
  <c r="N1681" i="9"/>
  <c r="D1681" i="9"/>
  <c r="AG1680" i="9"/>
  <c r="X1680" i="9"/>
  <c r="N1680" i="9"/>
  <c r="D1680" i="9"/>
  <c r="AG1679" i="9"/>
  <c r="X1679" i="9"/>
  <c r="N1679" i="9"/>
  <c r="D1679" i="9"/>
  <c r="AG1678" i="9"/>
  <c r="X1678" i="9"/>
  <c r="N1678" i="9"/>
  <c r="D1678" i="9"/>
  <c r="AG1677" i="9"/>
  <c r="X1677" i="9"/>
  <c r="N1677" i="9"/>
  <c r="D1677" i="9"/>
  <c r="AG1676" i="9"/>
  <c r="X1676" i="9"/>
  <c r="N1676" i="9"/>
  <c r="D1676" i="9"/>
  <c r="AG1675" i="9"/>
  <c r="X1675" i="9"/>
  <c r="N1675" i="9"/>
  <c r="D1675" i="9"/>
  <c r="AG1674" i="9"/>
  <c r="X1674" i="9"/>
  <c r="N1674" i="9"/>
  <c r="D1674" i="9"/>
  <c r="AG1673" i="9"/>
  <c r="X1673" i="9"/>
  <c r="N1673" i="9"/>
  <c r="D1673" i="9"/>
  <c r="AG1672" i="9"/>
  <c r="X1672" i="9"/>
  <c r="N1672" i="9"/>
  <c r="D1672" i="9"/>
  <c r="AG1671" i="9"/>
  <c r="X1671" i="9"/>
  <c r="N1671" i="9"/>
  <c r="D1671" i="9"/>
  <c r="AG1670" i="9"/>
  <c r="X1670" i="9"/>
  <c r="N1670" i="9"/>
  <c r="D1670" i="9"/>
  <c r="AG1669" i="9"/>
  <c r="X1669" i="9"/>
  <c r="N1669" i="9"/>
  <c r="D1669" i="9"/>
  <c r="AG1668" i="9"/>
  <c r="X1668" i="9"/>
  <c r="N1668" i="9"/>
  <c r="D1668" i="9"/>
  <c r="AG1667" i="9"/>
  <c r="X1667" i="9"/>
  <c r="N1667" i="9"/>
  <c r="D1667" i="9"/>
  <c r="AG1666" i="9"/>
  <c r="X1666" i="9"/>
  <c r="N1666" i="9"/>
  <c r="D1666" i="9"/>
  <c r="AG1665" i="9"/>
  <c r="X1665" i="9"/>
  <c r="N1665" i="9"/>
  <c r="D1665" i="9"/>
  <c r="AG1664" i="9"/>
  <c r="X1664" i="9"/>
  <c r="N1664" i="9"/>
  <c r="D1664" i="9"/>
  <c r="AG1663" i="9"/>
  <c r="X1663" i="9"/>
  <c r="N1663" i="9"/>
  <c r="D1663" i="9"/>
  <c r="AG1662" i="9"/>
  <c r="X1662" i="9"/>
  <c r="N1662" i="9"/>
  <c r="D1662" i="9"/>
  <c r="AG1661" i="9"/>
  <c r="X1661" i="9"/>
  <c r="N1661" i="9"/>
  <c r="D1661" i="9"/>
  <c r="AG1660" i="9"/>
  <c r="X1660" i="9"/>
  <c r="N1660" i="9"/>
  <c r="D1660" i="9"/>
  <c r="AG1659" i="9"/>
  <c r="X1659" i="9"/>
  <c r="N1659" i="9"/>
  <c r="D1659" i="9"/>
  <c r="AG1658" i="9"/>
  <c r="X1658" i="9"/>
  <c r="N1658" i="9"/>
  <c r="D1658" i="9"/>
  <c r="AG1657" i="9"/>
  <c r="X1657" i="9"/>
  <c r="N1657" i="9"/>
  <c r="D1657" i="9"/>
  <c r="AG1656" i="9"/>
  <c r="X1656" i="9"/>
  <c r="N1656" i="9"/>
  <c r="D1656" i="9"/>
  <c r="AG1655" i="9"/>
  <c r="X1655" i="9"/>
  <c r="N1655" i="9"/>
  <c r="D1655" i="9"/>
  <c r="AG1654" i="9"/>
  <c r="X1654" i="9"/>
  <c r="N1654" i="9"/>
  <c r="D1654" i="9"/>
  <c r="AG1653" i="9"/>
  <c r="X1653" i="9"/>
  <c r="N1653" i="9"/>
  <c r="D1653" i="9"/>
  <c r="AG1652" i="9"/>
  <c r="X1652" i="9"/>
  <c r="N1652" i="9"/>
  <c r="D1652" i="9"/>
  <c r="AG1651" i="9"/>
  <c r="X1651" i="9"/>
  <c r="N1651" i="9"/>
  <c r="D1651" i="9"/>
  <c r="AG1650" i="9"/>
  <c r="X1650" i="9"/>
  <c r="N1650" i="9"/>
  <c r="D1650" i="9"/>
  <c r="AG1649" i="9"/>
  <c r="X1649" i="9"/>
  <c r="N1649" i="9"/>
  <c r="D1649" i="9"/>
  <c r="AG1648" i="9"/>
  <c r="X1648" i="9"/>
  <c r="N1648" i="9"/>
  <c r="D1648" i="9"/>
  <c r="AG1647" i="9"/>
  <c r="X1647" i="9"/>
  <c r="N1647" i="9"/>
  <c r="D1647" i="9"/>
  <c r="AG1646" i="9"/>
  <c r="X1646" i="9"/>
  <c r="N1646" i="9"/>
  <c r="D1646" i="9"/>
  <c r="AG1645" i="9"/>
  <c r="X1645" i="9"/>
  <c r="N1645" i="9"/>
  <c r="D1645" i="9"/>
  <c r="AG1644" i="9"/>
  <c r="X1644" i="9"/>
  <c r="N1644" i="9"/>
  <c r="D1644" i="9"/>
  <c r="AG1643" i="9"/>
  <c r="X1643" i="9"/>
  <c r="N1643" i="9"/>
  <c r="D1643" i="9"/>
  <c r="AG1642" i="9"/>
  <c r="X1642" i="9"/>
  <c r="N1642" i="9"/>
  <c r="D1642" i="9"/>
  <c r="AG1641" i="9"/>
  <c r="X1641" i="9"/>
  <c r="N1641" i="9"/>
  <c r="D1641" i="9"/>
  <c r="AG1640" i="9"/>
  <c r="X1640" i="9"/>
  <c r="N1640" i="9"/>
  <c r="D1640" i="9"/>
  <c r="AG1639" i="9"/>
  <c r="X1639" i="9"/>
  <c r="N1639" i="9"/>
  <c r="D1639" i="9"/>
  <c r="AG1638" i="9"/>
  <c r="X1638" i="9"/>
  <c r="N1638" i="9"/>
  <c r="D1638" i="9"/>
  <c r="AG1637" i="9"/>
  <c r="X1637" i="9"/>
  <c r="N1637" i="9"/>
  <c r="D1637" i="9"/>
  <c r="AG1636" i="9"/>
  <c r="X1636" i="9"/>
  <c r="N1636" i="9"/>
  <c r="D1636" i="9"/>
  <c r="AG1635" i="9"/>
  <c r="N1635" i="9"/>
  <c r="D1635" i="9"/>
  <c r="AG1634" i="9"/>
  <c r="X1634" i="9"/>
  <c r="N1634" i="9"/>
  <c r="D1634" i="9"/>
  <c r="AG1633" i="9"/>
  <c r="X1633" i="9"/>
  <c r="N1633" i="9"/>
  <c r="D1633" i="9"/>
  <c r="AG1632" i="9"/>
  <c r="X1632" i="9"/>
  <c r="N1632" i="9"/>
  <c r="D1632" i="9"/>
  <c r="AG1631" i="9"/>
  <c r="X1631" i="9"/>
  <c r="N1631" i="9"/>
  <c r="D1631" i="9"/>
  <c r="AG1630" i="9"/>
  <c r="X1630" i="9"/>
  <c r="N1630" i="9"/>
  <c r="D1630" i="9"/>
  <c r="AG1629" i="9"/>
  <c r="X1629" i="9"/>
  <c r="N1629" i="9"/>
  <c r="D1629" i="9"/>
  <c r="AG1628" i="9"/>
  <c r="X1628" i="9"/>
  <c r="N1628" i="9"/>
  <c r="D1628" i="9"/>
  <c r="AG1627" i="9"/>
  <c r="X1627" i="9"/>
  <c r="N1627" i="9"/>
  <c r="D1627" i="9"/>
  <c r="AG1626" i="9"/>
  <c r="X1626" i="9"/>
  <c r="N1626" i="9"/>
  <c r="D1626" i="9"/>
  <c r="AG1625" i="9"/>
  <c r="X1625" i="9"/>
  <c r="N1625" i="9"/>
  <c r="D1625" i="9"/>
  <c r="AG1624" i="9"/>
  <c r="X1624" i="9"/>
  <c r="N1624" i="9"/>
  <c r="D1624" i="9"/>
  <c r="AG1623" i="9"/>
  <c r="X1623" i="9"/>
  <c r="N1623" i="9"/>
  <c r="D1623" i="9"/>
  <c r="AG1622" i="9"/>
  <c r="X1622" i="9"/>
  <c r="N1622" i="9"/>
  <c r="D1622" i="9"/>
  <c r="AG1621" i="9"/>
  <c r="X1621" i="9"/>
  <c r="N1621" i="9"/>
  <c r="D1621" i="9"/>
  <c r="AG1620" i="9"/>
  <c r="X1620" i="9"/>
  <c r="N1620" i="9"/>
  <c r="D1620" i="9"/>
  <c r="AG1619" i="9"/>
  <c r="X1619" i="9"/>
  <c r="N1619" i="9"/>
  <c r="D1619" i="9"/>
  <c r="AG1618" i="9"/>
  <c r="X1618" i="9"/>
  <c r="N1618" i="9"/>
  <c r="D1618" i="9"/>
  <c r="AG1617" i="9"/>
  <c r="X1617" i="9"/>
  <c r="N1617" i="9"/>
  <c r="D1617" i="9"/>
  <c r="AG1616" i="9"/>
  <c r="X1616" i="9"/>
  <c r="N1616" i="9"/>
  <c r="D1616" i="9"/>
  <c r="AG1615" i="9"/>
  <c r="X1615" i="9"/>
  <c r="N1615" i="9"/>
  <c r="D1615" i="9"/>
  <c r="AG1614" i="9"/>
  <c r="X1614" i="9"/>
  <c r="N1614" i="9"/>
  <c r="D1614" i="9"/>
  <c r="AG1613" i="9"/>
  <c r="X1613" i="9"/>
  <c r="N1613" i="9"/>
  <c r="D1613" i="9"/>
  <c r="AG1612" i="9"/>
  <c r="X1612" i="9"/>
  <c r="N1612" i="9"/>
  <c r="D1612" i="9"/>
  <c r="AG1611" i="9"/>
  <c r="X1611" i="9"/>
  <c r="N1611" i="9"/>
  <c r="D1611" i="9"/>
  <c r="AG1610" i="9"/>
  <c r="X1610" i="9"/>
  <c r="N1610" i="9"/>
  <c r="D1610" i="9"/>
  <c r="AG1609" i="9"/>
  <c r="X1609" i="9"/>
  <c r="N1609" i="9"/>
  <c r="D1609" i="9"/>
  <c r="AG1608" i="9"/>
  <c r="X1608" i="9"/>
  <c r="N1608" i="9"/>
  <c r="D1608" i="9"/>
  <c r="AG1607" i="9"/>
  <c r="X1607" i="9"/>
  <c r="N1607" i="9"/>
  <c r="D1607" i="9"/>
  <c r="AG1606" i="9"/>
  <c r="X1606" i="9"/>
  <c r="N1606" i="9"/>
  <c r="D1606" i="9"/>
  <c r="AG1605" i="9"/>
  <c r="X1605" i="9"/>
  <c r="N1605" i="9"/>
  <c r="D1605" i="9"/>
  <c r="AG1604" i="9"/>
  <c r="X1604" i="9"/>
  <c r="N1604" i="9"/>
  <c r="D1604" i="9"/>
  <c r="AG1603" i="9"/>
  <c r="X1603" i="9"/>
  <c r="N1603" i="9"/>
  <c r="D1603" i="9"/>
  <c r="AG1602" i="9"/>
  <c r="X1602" i="9"/>
  <c r="N1602" i="9"/>
  <c r="D1602" i="9"/>
  <c r="AG1601" i="9"/>
  <c r="X1601" i="9"/>
  <c r="N1601" i="9"/>
  <c r="D1601" i="9"/>
  <c r="AG1600" i="9"/>
  <c r="X1600" i="9"/>
  <c r="N1600" i="9"/>
  <c r="D1600" i="9"/>
  <c r="AG1599" i="9"/>
  <c r="X1599" i="9"/>
  <c r="N1599" i="9"/>
  <c r="D1599" i="9"/>
  <c r="AG1598" i="9"/>
  <c r="X1598" i="9"/>
  <c r="N1598" i="9"/>
  <c r="D1598" i="9"/>
  <c r="AG1597" i="9"/>
  <c r="X1597" i="9"/>
  <c r="N1597" i="9"/>
  <c r="D1597" i="9"/>
  <c r="AG1596" i="9"/>
  <c r="X1596" i="9"/>
  <c r="N1596" i="9"/>
  <c r="D1596" i="9"/>
  <c r="AG1595" i="9"/>
  <c r="X1595" i="9"/>
  <c r="N1595" i="9"/>
  <c r="D1595" i="9"/>
  <c r="AG1594" i="9"/>
  <c r="X1594" i="9"/>
  <c r="N1594" i="9"/>
  <c r="D1594" i="9"/>
  <c r="AG1593" i="9"/>
  <c r="X1593" i="9"/>
  <c r="N1593" i="9"/>
  <c r="D1593" i="9"/>
  <c r="AG1592" i="9"/>
  <c r="X1592" i="9"/>
  <c r="N1592" i="9"/>
  <c r="D1592" i="9"/>
  <c r="AF1563" i="9" l="1"/>
  <c r="AF1564" i="9"/>
  <c r="AF1565" i="9"/>
  <c r="AF1566" i="9"/>
  <c r="AF1567" i="9"/>
  <c r="AF1568" i="9"/>
  <c r="AF1569" i="9"/>
  <c r="AF1570" i="9"/>
  <c r="AF1571" i="9"/>
  <c r="AF1572" i="9"/>
  <c r="AF1573" i="9"/>
  <c r="AF1574" i="9"/>
  <c r="AF1575" i="9"/>
  <c r="AF1576" i="9"/>
  <c r="AF1577" i="9"/>
  <c r="AF1578" i="9"/>
  <c r="AF1579" i="9"/>
  <c r="AF1580" i="9"/>
  <c r="AF1581" i="9"/>
  <c r="AF1583" i="9"/>
  <c r="AF1584" i="9"/>
  <c r="AA1530" i="9" l="1"/>
  <c r="AB1530" i="9"/>
  <c r="AC1530" i="9"/>
  <c r="AA1531" i="9"/>
  <c r="AB1531" i="9"/>
  <c r="AC1531" i="9"/>
  <c r="AF1551" i="9"/>
  <c r="AF1552" i="9"/>
  <c r="AF1553" i="9"/>
  <c r="AF1554" i="9"/>
  <c r="AF1555" i="9"/>
  <c r="AF1556" i="9"/>
  <c r="AF1557" i="9"/>
  <c r="AF1558" i="9"/>
  <c r="AF1559" i="9"/>
  <c r="AF1560" i="9"/>
  <c r="AF1561" i="9"/>
  <c r="AF1562" i="9"/>
  <c r="AA1501" i="9" l="1"/>
  <c r="AB1501" i="9"/>
  <c r="AC1501" i="9"/>
  <c r="AA1502" i="9"/>
  <c r="AB1502" i="9"/>
  <c r="AC1502" i="9"/>
  <c r="AA1503" i="9"/>
  <c r="AB1503" i="9"/>
  <c r="AC1503" i="9"/>
  <c r="AA1504" i="9"/>
  <c r="AB1504" i="9"/>
  <c r="AC1504" i="9"/>
  <c r="AA1505" i="9"/>
  <c r="AB1505" i="9"/>
  <c r="AC1505" i="9"/>
  <c r="AA1506" i="9"/>
  <c r="AB1506" i="9"/>
  <c r="AC1506" i="9"/>
  <c r="AA1507" i="9"/>
  <c r="AB1507" i="9"/>
  <c r="AC1507" i="9"/>
  <c r="AA1508" i="9"/>
  <c r="AB1508" i="9"/>
  <c r="AC1508" i="9"/>
  <c r="AA1509" i="9"/>
  <c r="AB1509" i="9"/>
  <c r="AC1509" i="9"/>
  <c r="AA1510" i="9"/>
  <c r="AB1510" i="9"/>
  <c r="AC1510" i="9"/>
  <c r="AA1511" i="9"/>
  <c r="AB1511" i="9"/>
  <c r="AC1511" i="9"/>
  <c r="AA1512" i="9"/>
  <c r="AB1512" i="9"/>
  <c r="AC1512" i="9"/>
  <c r="AA1513" i="9"/>
  <c r="AB1513" i="9"/>
  <c r="AC1513" i="9"/>
  <c r="AA1514" i="9"/>
  <c r="AB1514" i="9"/>
  <c r="AC1514" i="9"/>
  <c r="AA1515" i="9"/>
  <c r="AB1515" i="9"/>
  <c r="AC1515" i="9"/>
  <c r="AA1516" i="9"/>
  <c r="AB1516" i="9"/>
  <c r="AC1516" i="9"/>
  <c r="AA1517" i="9"/>
  <c r="AB1517" i="9"/>
  <c r="AC1517" i="9"/>
  <c r="AA1518" i="9"/>
  <c r="AB1518" i="9"/>
  <c r="AC1518" i="9"/>
  <c r="AA1519" i="9"/>
  <c r="AB1519" i="9"/>
  <c r="AC1519" i="9"/>
  <c r="AA1520" i="9"/>
  <c r="AB1520" i="9"/>
  <c r="AC1520" i="9"/>
  <c r="AA1521" i="9"/>
  <c r="AB1521" i="9"/>
  <c r="AC1521" i="9"/>
  <c r="AA1522" i="9"/>
  <c r="AB1522" i="9"/>
  <c r="AC1522" i="9"/>
  <c r="AA1523" i="9"/>
  <c r="AB1523" i="9"/>
  <c r="AC1523" i="9"/>
  <c r="AA1524" i="9"/>
  <c r="AB1524" i="9"/>
  <c r="AC1524" i="9"/>
  <c r="AA1525" i="9"/>
  <c r="AB1525" i="9"/>
  <c r="AC1525" i="9"/>
  <c r="AA1526" i="9"/>
  <c r="AB1526" i="9"/>
  <c r="AC1526" i="9"/>
  <c r="AA1527" i="9"/>
  <c r="AB1527" i="9"/>
  <c r="AC1527" i="9"/>
  <c r="AA1528" i="9"/>
  <c r="AB1528" i="9"/>
  <c r="AC1528" i="9"/>
  <c r="AA1529" i="9"/>
  <c r="AB1529" i="9"/>
  <c r="AC1529" i="9"/>
  <c r="AF1544" i="9" l="1"/>
  <c r="AF1545" i="9"/>
  <c r="AF1546" i="9"/>
  <c r="AF1547" i="9"/>
  <c r="AF1548" i="9"/>
  <c r="AF1549" i="9"/>
  <c r="AF1550" i="9"/>
  <c r="AF1538" i="9" l="1"/>
  <c r="AF1539" i="9"/>
  <c r="AF1540" i="9"/>
  <c r="AF1541" i="9"/>
  <c r="AF1542" i="9"/>
  <c r="AF1543" i="9"/>
  <c r="AA1482" i="9" l="1"/>
  <c r="AB1482" i="9"/>
  <c r="AC1482" i="9"/>
  <c r="AA1483" i="9"/>
  <c r="AB1483" i="9"/>
  <c r="AC1483" i="9"/>
  <c r="AA1484" i="9"/>
  <c r="AB1484" i="9"/>
  <c r="AC1484" i="9"/>
  <c r="AA1485" i="9"/>
  <c r="AB1485" i="9"/>
  <c r="AC1485" i="9"/>
  <c r="AA1486" i="9"/>
  <c r="AB1486" i="9"/>
  <c r="AC1486" i="9"/>
  <c r="AA1487" i="9"/>
  <c r="AB1487" i="9"/>
  <c r="AC1487" i="9"/>
  <c r="AA1488" i="9"/>
  <c r="AB1488" i="9"/>
  <c r="AC1488" i="9"/>
  <c r="AA1489" i="9"/>
  <c r="AB1489" i="9"/>
  <c r="AC1489" i="9"/>
  <c r="AA1490" i="9"/>
  <c r="AB1490" i="9"/>
  <c r="AC1490" i="9"/>
  <c r="AA1491" i="9"/>
  <c r="AB1491" i="9"/>
  <c r="AC1491" i="9"/>
  <c r="AA1492" i="9"/>
  <c r="AB1492" i="9"/>
  <c r="AC1492" i="9"/>
  <c r="AA1493" i="9"/>
  <c r="AB1493" i="9"/>
  <c r="AC1493" i="9"/>
  <c r="AA1494" i="9"/>
  <c r="AB1494" i="9"/>
  <c r="AC1494" i="9"/>
  <c r="AA1495" i="9"/>
  <c r="AB1495" i="9"/>
  <c r="AC1495" i="9"/>
  <c r="AA1496" i="9"/>
  <c r="AB1496" i="9"/>
  <c r="AC1496" i="9"/>
  <c r="AA1497" i="9"/>
  <c r="AB1497" i="9"/>
  <c r="AC1497" i="9"/>
  <c r="AA1498" i="9"/>
  <c r="AB1498" i="9"/>
  <c r="AC1498" i="9"/>
  <c r="AA1499" i="9"/>
  <c r="AB1499" i="9"/>
  <c r="AC1499" i="9"/>
  <c r="AA1500" i="9"/>
  <c r="AB1500" i="9"/>
  <c r="AC1500" i="9"/>
  <c r="AF1530" i="9" l="1"/>
  <c r="AF1531" i="9"/>
  <c r="AF1532" i="9"/>
  <c r="AF1533" i="9"/>
  <c r="AF1534" i="9"/>
  <c r="AF1535" i="9"/>
  <c r="AF1536" i="9"/>
  <c r="AF1537" i="9"/>
  <c r="AG1540" i="9" l="1"/>
  <c r="X1540" i="9"/>
  <c r="N1540" i="9"/>
  <c r="D1540" i="9"/>
  <c r="AG1539" i="9"/>
  <c r="X1539" i="9"/>
  <c r="N1539" i="9"/>
  <c r="D1539" i="9"/>
  <c r="AG1538" i="9"/>
  <c r="X1538" i="9"/>
  <c r="N1538" i="9"/>
  <c r="D1538" i="9"/>
  <c r="AG1537" i="9"/>
  <c r="X1537" i="9"/>
  <c r="N1537" i="9"/>
  <c r="D1537" i="9"/>
  <c r="AG1536" i="9"/>
  <c r="X1536" i="9"/>
  <c r="N1536" i="9"/>
  <c r="D1536" i="9"/>
  <c r="AG1535" i="9"/>
  <c r="X1535" i="9"/>
  <c r="N1535" i="9"/>
  <c r="D1535" i="9"/>
  <c r="AG1534" i="9"/>
  <c r="X1534" i="9"/>
  <c r="N1534" i="9"/>
  <c r="D1534" i="9"/>
  <c r="AG1533" i="9"/>
  <c r="X1533" i="9"/>
  <c r="N1533" i="9"/>
  <c r="D1533" i="9"/>
  <c r="AG1532" i="9"/>
  <c r="X1532" i="9"/>
  <c r="N1532" i="9"/>
  <c r="D1532" i="9"/>
  <c r="AF1525" i="9" l="1"/>
  <c r="AF1526" i="9"/>
  <c r="AF1527" i="9"/>
  <c r="AF1528" i="9"/>
  <c r="AF1529" i="9"/>
  <c r="AF1496" i="9" l="1"/>
  <c r="AF1497" i="9"/>
  <c r="AF1498" i="9"/>
  <c r="AF1499" i="9"/>
  <c r="AF1500" i="9"/>
  <c r="AF1501" i="9"/>
  <c r="AF1502" i="9"/>
  <c r="AF1504" i="9"/>
  <c r="AF1505" i="9"/>
  <c r="AF1506" i="9"/>
  <c r="AF1507" i="9"/>
  <c r="AF1508" i="9"/>
  <c r="AF1509" i="9"/>
  <c r="AF1510" i="9"/>
  <c r="AF1511" i="9"/>
  <c r="AF1512" i="9"/>
  <c r="AF1513" i="9"/>
  <c r="AF1514" i="9"/>
  <c r="AF1515" i="9"/>
  <c r="AF1516" i="9"/>
  <c r="AF1517" i="9"/>
  <c r="AF1518" i="9"/>
  <c r="AF1519" i="9"/>
  <c r="AF1520" i="9"/>
  <c r="AF1521" i="9"/>
  <c r="AF1522" i="9"/>
  <c r="AF1523" i="9"/>
  <c r="AF1524" i="9"/>
  <c r="AA1437" i="9" l="1"/>
  <c r="AB1437" i="9"/>
  <c r="AC1437" i="9"/>
  <c r="AA1438" i="9"/>
  <c r="AB1438" i="9"/>
  <c r="AC1438" i="9"/>
  <c r="AA1439" i="9"/>
  <c r="AB1439" i="9"/>
  <c r="AC1439" i="9"/>
  <c r="AA1440" i="9"/>
  <c r="AB1440" i="9"/>
  <c r="AC1440" i="9"/>
  <c r="AA1441" i="9"/>
  <c r="AB1441" i="9"/>
  <c r="AC1441" i="9"/>
  <c r="AA1443" i="9"/>
  <c r="AB1443" i="9"/>
  <c r="AC1443" i="9"/>
  <c r="AA1444" i="9"/>
  <c r="AB1444" i="9"/>
  <c r="AC1444" i="9"/>
  <c r="AA1445" i="9"/>
  <c r="AB1445" i="9"/>
  <c r="AC1445" i="9"/>
  <c r="AA1446" i="9"/>
  <c r="AB1446" i="9"/>
  <c r="AC1446" i="9"/>
  <c r="AA1447" i="9"/>
  <c r="AB1447" i="9"/>
  <c r="AC1447" i="9"/>
  <c r="AA1448" i="9"/>
  <c r="AB1448" i="9"/>
  <c r="AC1448" i="9"/>
  <c r="AA1449" i="9"/>
  <c r="AB1449" i="9"/>
  <c r="AC1449" i="9"/>
  <c r="AA1450" i="9"/>
  <c r="AB1450" i="9"/>
  <c r="AC1450" i="9"/>
  <c r="AA1451" i="9"/>
  <c r="AB1451" i="9"/>
  <c r="AC1451" i="9"/>
  <c r="AA1452" i="9"/>
  <c r="AB1452" i="9"/>
  <c r="AC1452" i="9"/>
  <c r="AA1453" i="9"/>
  <c r="AB1453" i="9"/>
  <c r="AC1453" i="9"/>
  <c r="AA1454" i="9"/>
  <c r="AB1454" i="9"/>
  <c r="AC1454" i="9"/>
  <c r="AA1455" i="9"/>
  <c r="AB1455" i="9"/>
  <c r="AC1455" i="9"/>
  <c r="AA1456" i="9"/>
  <c r="AB1456" i="9"/>
  <c r="AC1456" i="9"/>
  <c r="AA1457" i="9"/>
  <c r="AB1457" i="9"/>
  <c r="AC1457" i="9"/>
  <c r="AA1458" i="9"/>
  <c r="AB1458" i="9"/>
  <c r="AC1458" i="9"/>
  <c r="AA1459" i="9"/>
  <c r="AB1459" i="9"/>
  <c r="AC1459" i="9"/>
  <c r="AA1460" i="9"/>
  <c r="AB1460" i="9"/>
  <c r="AC1460" i="9"/>
  <c r="AA1461" i="9"/>
  <c r="AB1461" i="9"/>
  <c r="AC1461" i="9"/>
  <c r="AA1462" i="9"/>
  <c r="AB1462" i="9"/>
  <c r="AC1462" i="9"/>
  <c r="AA1463" i="9"/>
  <c r="AB1463" i="9"/>
  <c r="AC1463" i="9"/>
  <c r="AA1464" i="9"/>
  <c r="AB1464" i="9"/>
  <c r="AC1464" i="9"/>
  <c r="AA1465" i="9"/>
  <c r="AB1465" i="9"/>
  <c r="AC1465" i="9"/>
  <c r="AA1466" i="9"/>
  <c r="AB1466" i="9"/>
  <c r="AC1466" i="9"/>
  <c r="AA1467" i="9"/>
  <c r="AB1467" i="9"/>
  <c r="AC1467" i="9"/>
  <c r="AA1468" i="9"/>
  <c r="AB1468" i="9"/>
  <c r="AC1468" i="9"/>
  <c r="AA1469" i="9"/>
  <c r="AB1469" i="9"/>
  <c r="AC1469" i="9"/>
  <c r="AA1470" i="9"/>
  <c r="AB1470" i="9"/>
  <c r="AC1470" i="9"/>
  <c r="AA1471" i="9"/>
  <c r="AB1471" i="9"/>
  <c r="AC1471" i="9"/>
  <c r="AA1472" i="9"/>
  <c r="AB1472" i="9"/>
  <c r="AC1472" i="9"/>
  <c r="AA1473" i="9"/>
  <c r="AB1473" i="9"/>
  <c r="AC1473" i="9"/>
  <c r="AA1474" i="9"/>
  <c r="AB1474" i="9"/>
  <c r="AC1474" i="9"/>
  <c r="AA1475" i="9"/>
  <c r="AB1475" i="9"/>
  <c r="AC1475" i="9"/>
  <c r="AA1476" i="9"/>
  <c r="AB1476" i="9"/>
  <c r="AC1476" i="9"/>
  <c r="AA1477" i="9"/>
  <c r="AB1477" i="9"/>
  <c r="AC1477" i="9"/>
  <c r="AA1478" i="9"/>
  <c r="AB1478" i="9"/>
  <c r="AC1478" i="9"/>
  <c r="AA1479" i="9"/>
  <c r="AB1479" i="9"/>
  <c r="AC1479" i="9"/>
  <c r="AA1480" i="9"/>
  <c r="AB1480" i="9"/>
  <c r="AC1480" i="9"/>
  <c r="AA1481" i="9"/>
  <c r="AB1481" i="9"/>
  <c r="AC1481" i="9"/>
  <c r="AG1591" i="9" l="1"/>
  <c r="X1591" i="9"/>
  <c r="N1591" i="9"/>
  <c r="D1591" i="9"/>
  <c r="AG1590" i="9"/>
  <c r="X1590" i="9"/>
  <c r="N1590" i="9"/>
  <c r="D1590" i="9"/>
  <c r="AG1589" i="9"/>
  <c r="X1589" i="9"/>
  <c r="N1589" i="9"/>
  <c r="D1589" i="9"/>
  <c r="AG1588" i="9"/>
  <c r="X1588" i="9"/>
  <c r="N1588" i="9"/>
  <c r="D1588" i="9"/>
  <c r="AG1587" i="9"/>
  <c r="X1587" i="9"/>
  <c r="N1587" i="9"/>
  <c r="D1587" i="9"/>
  <c r="AG1586" i="9"/>
  <c r="X1586" i="9"/>
  <c r="N1586" i="9"/>
  <c r="D1586" i="9"/>
  <c r="AG1585" i="9"/>
  <c r="X1585" i="9"/>
  <c r="N1585" i="9"/>
  <c r="D1585" i="9"/>
  <c r="AG1584" i="9"/>
  <c r="X1584" i="9"/>
  <c r="N1584" i="9"/>
  <c r="D1584" i="9"/>
  <c r="AG1583" i="9"/>
  <c r="X1583" i="9"/>
  <c r="N1583" i="9"/>
  <c r="D1583" i="9"/>
  <c r="AG1582" i="9"/>
  <c r="X1582" i="9"/>
  <c r="N1582" i="9"/>
  <c r="D1582" i="9"/>
  <c r="AG1581" i="9"/>
  <c r="X1581" i="9"/>
  <c r="N1581" i="9"/>
  <c r="D1581" i="9"/>
  <c r="AG1580" i="9"/>
  <c r="X1580" i="9"/>
  <c r="N1580" i="9"/>
  <c r="D1580" i="9"/>
  <c r="AG1579" i="9"/>
  <c r="X1579" i="9"/>
  <c r="N1579" i="9"/>
  <c r="D1579" i="9"/>
  <c r="AG1578" i="9"/>
  <c r="X1578" i="9"/>
  <c r="N1578" i="9"/>
  <c r="D1578" i="9"/>
  <c r="AG1577" i="9"/>
  <c r="X1577" i="9"/>
  <c r="N1577" i="9"/>
  <c r="D1577" i="9"/>
  <c r="AG1576" i="9"/>
  <c r="X1576" i="9"/>
  <c r="N1576" i="9"/>
  <c r="D1576" i="9"/>
  <c r="AG1575" i="9"/>
  <c r="X1575" i="9"/>
  <c r="N1575" i="9"/>
  <c r="D1575" i="9"/>
  <c r="AG1574" i="9"/>
  <c r="X1574" i="9"/>
  <c r="N1574" i="9"/>
  <c r="D1574" i="9"/>
  <c r="AG1573" i="9"/>
  <c r="X1573" i="9"/>
  <c r="N1573" i="9"/>
  <c r="D1573" i="9"/>
  <c r="AG1572" i="9"/>
  <c r="X1572" i="9"/>
  <c r="N1572" i="9"/>
  <c r="D1572" i="9"/>
  <c r="AG1571" i="9"/>
  <c r="X1571" i="9"/>
  <c r="N1571" i="9"/>
  <c r="D1571" i="9"/>
  <c r="AG1570" i="9"/>
  <c r="X1570" i="9"/>
  <c r="N1570" i="9"/>
  <c r="D1570" i="9"/>
  <c r="AG1569" i="9"/>
  <c r="X1569" i="9"/>
  <c r="N1569" i="9"/>
  <c r="D1569" i="9"/>
  <c r="AG1568" i="9"/>
  <c r="X1568" i="9"/>
  <c r="N1568" i="9"/>
  <c r="D1568" i="9"/>
  <c r="AG1567" i="9"/>
  <c r="X1567" i="9"/>
  <c r="N1567" i="9"/>
  <c r="D1567" i="9"/>
  <c r="AG1566" i="9"/>
  <c r="X1566" i="9"/>
  <c r="N1566" i="9"/>
  <c r="D1566" i="9"/>
  <c r="AG1565" i="9"/>
  <c r="X1565" i="9"/>
  <c r="N1565" i="9"/>
  <c r="D1565" i="9"/>
  <c r="AG1564" i="9"/>
  <c r="X1564" i="9"/>
  <c r="N1564" i="9"/>
  <c r="D1564" i="9"/>
  <c r="AG1563" i="9"/>
  <c r="X1563" i="9"/>
  <c r="N1563" i="9"/>
  <c r="D1563" i="9"/>
  <c r="AG1562" i="9"/>
  <c r="X1562" i="9"/>
  <c r="N1562" i="9"/>
  <c r="D1562" i="9"/>
  <c r="AG1561" i="9"/>
  <c r="X1561" i="9"/>
  <c r="N1561" i="9"/>
  <c r="D1561" i="9"/>
  <c r="AG1560" i="9"/>
  <c r="X1560" i="9"/>
  <c r="N1560" i="9"/>
  <c r="D1560" i="9"/>
  <c r="AG1559" i="9"/>
  <c r="X1559" i="9"/>
  <c r="N1559" i="9"/>
  <c r="D1559" i="9"/>
  <c r="AG1558" i="9"/>
  <c r="X1558" i="9"/>
  <c r="N1558" i="9"/>
  <c r="D1558" i="9"/>
  <c r="AG1557" i="9"/>
  <c r="X1557" i="9"/>
  <c r="N1557" i="9"/>
  <c r="D1557" i="9"/>
  <c r="AG1556" i="9"/>
  <c r="X1556" i="9"/>
  <c r="N1556" i="9"/>
  <c r="D1556" i="9"/>
  <c r="AG1555" i="9"/>
  <c r="X1555" i="9"/>
  <c r="N1555" i="9"/>
  <c r="D1555" i="9"/>
  <c r="AG1554" i="9"/>
  <c r="X1554" i="9"/>
  <c r="N1554" i="9"/>
  <c r="D1554" i="9"/>
  <c r="AG1553" i="9"/>
  <c r="X1553" i="9"/>
  <c r="N1553" i="9"/>
  <c r="D1553" i="9"/>
  <c r="AG1552" i="9"/>
  <c r="X1552" i="9"/>
  <c r="N1552" i="9"/>
  <c r="D1552" i="9"/>
  <c r="AG1551" i="9"/>
  <c r="X1551" i="9"/>
  <c r="N1551" i="9"/>
  <c r="D1551" i="9"/>
  <c r="AG1550" i="9"/>
  <c r="X1550" i="9"/>
  <c r="N1550" i="9"/>
  <c r="D1550" i="9"/>
  <c r="AG1549" i="9"/>
  <c r="X1549" i="9"/>
  <c r="N1549" i="9"/>
  <c r="D1549" i="9"/>
  <c r="AG1548" i="9"/>
  <c r="X1548" i="9"/>
  <c r="N1548" i="9"/>
  <c r="D1548" i="9"/>
  <c r="AG1547" i="9"/>
  <c r="X1547" i="9"/>
  <c r="N1547" i="9"/>
  <c r="D1547" i="9"/>
  <c r="AG1546" i="9"/>
  <c r="X1546" i="9"/>
  <c r="N1546" i="9"/>
  <c r="D1546" i="9"/>
  <c r="AG1545" i="9"/>
  <c r="X1545" i="9"/>
  <c r="N1545" i="9"/>
  <c r="D1545" i="9"/>
  <c r="AG1544" i="9"/>
  <c r="X1544" i="9"/>
  <c r="N1544" i="9"/>
  <c r="D1544" i="9"/>
  <c r="AG1543" i="9"/>
  <c r="X1543" i="9"/>
  <c r="N1543" i="9"/>
  <c r="D1543" i="9"/>
  <c r="AG1542" i="9"/>
  <c r="X1542" i="9"/>
  <c r="N1542" i="9"/>
  <c r="D1542" i="9"/>
  <c r="AG1541" i="9"/>
  <c r="X1541" i="9"/>
  <c r="N1541" i="9"/>
  <c r="D1541" i="9"/>
  <c r="AG1531" i="9"/>
  <c r="X1531" i="9"/>
  <c r="N1531" i="9"/>
  <c r="D1531" i="9"/>
  <c r="AG1530" i="9"/>
  <c r="X1530" i="9"/>
  <c r="N1530" i="9"/>
  <c r="D1530" i="9"/>
  <c r="AG1529" i="9"/>
  <c r="X1529" i="9"/>
  <c r="N1529" i="9"/>
  <c r="D1529" i="9"/>
  <c r="AG1528" i="9"/>
  <c r="X1528" i="9"/>
  <c r="N1528" i="9"/>
  <c r="D1528" i="9"/>
  <c r="AG1527" i="9"/>
  <c r="X1527" i="9"/>
  <c r="N1527" i="9"/>
  <c r="D1527" i="9"/>
  <c r="AG1526" i="9"/>
  <c r="X1526" i="9"/>
  <c r="N1526" i="9"/>
  <c r="D1526" i="9"/>
  <c r="AG1525" i="9"/>
  <c r="X1525" i="9"/>
  <c r="N1525" i="9"/>
  <c r="D1525" i="9"/>
  <c r="AG1524" i="9"/>
  <c r="X1524" i="9"/>
  <c r="N1524" i="9"/>
  <c r="D1524" i="9"/>
  <c r="AG1523" i="9"/>
  <c r="X1523" i="9"/>
  <c r="N1523" i="9"/>
  <c r="D1523" i="9"/>
  <c r="AG1522" i="9"/>
  <c r="X1522" i="9"/>
  <c r="N1522" i="9"/>
  <c r="D1522" i="9"/>
  <c r="AG1521" i="9"/>
  <c r="X1521" i="9"/>
  <c r="N1521" i="9"/>
  <c r="D1521" i="9"/>
  <c r="AG1520" i="9"/>
  <c r="X1520" i="9"/>
  <c r="N1520" i="9"/>
  <c r="D1520" i="9"/>
  <c r="AG1519" i="9"/>
  <c r="X1519" i="9"/>
  <c r="N1519" i="9"/>
  <c r="D1519" i="9"/>
  <c r="AG1518" i="9"/>
  <c r="X1518" i="9"/>
  <c r="N1518" i="9"/>
  <c r="D1518" i="9"/>
  <c r="AG1517" i="9"/>
  <c r="X1517" i="9"/>
  <c r="N1517" i="9"/>
  <c r="D1517" i="9"/>
  <c r="AG1516" i="9"/>
  <c r="X1516" i="9"/>
  <c r="N1516" i="9"/>
  <c r="D1516" i="9"/>
  <c r="AF1481" i="9" l="1"/>
  <c r="AF1482" i="9"/>
  <c r="AF1483" i="9"/>
  <c r="AF1484" i="9"/>
  <c r="AF1485" i="9"/>
  <c r="AF1486" i="9"/>
  <c r="AF1488" i="9"/>
  <c r="AF1489" i="9"/>
  <c r="AF1490" i="9"/>
  <c r="AF1491" i="9"/>
  <c r="AF1492" i="9"/>
  <c r="AF1493" i="9"/>
  <c r="AF1494" i="9"/>
  <c r="AF1495" i="9"/>
  <c r="AA1413" i="9" l="1"/>
  <c r="AB1413" i="9"/>
  <c r="AC1413" i="9"/>
  <c r="AA1414" i="9"/>
  <c r="AB1414" i="9"/>
  <c r="AC1414" i="9"/>
  <c r="AA1415" i="9"/>
  <c r="AB1415" i="9"/>
  <c r="AC1415" i="9"/>
  <c r="AA1416" i="9"/>
  <c r="AB1416" i="9"/>
  <c r="AC1416" i="9"/>
  <c r="AA1417" i="9"/>
  <c r="AB1417" i="9"/>
  <c r="AC1417" i="9"/>
  <c r="AA1418" i="9"/>
  <c r="AB1418" i="9"/>
  <c r="AC1418" i="9"/>
  <c r="AA1419" i="9"/>
  <c r="AB1419" i="9"/>
  <c r="AC1419" i="9"/>
  <c r="AA1420" i="9"/>
  <c r="AB1420" i="9"/>
  <c r="AC1420" i="9"/>
  <c r="AA1421" i="9"/>
  <c r="AB1421" i="9"/>
  <c r="AC1421" i="9"/>
  <c r="AA1422" i="9"/>
  <c r="AB1422" i="9"/>
  <c r="AC1422" i="9"/>
  <c r="AA1423" i="9"/>
  <c r="AB1423" i="9"/>
  <c r="AC1423" i="9"/>
  <c r="AA1424" i="9"/>
  <c r="AB1424" i="9"/>
  <c r="AC1424" i="9"/>
  <c r="AA1425" i="9"/>
  <c r="AB1425" i="9"/>
  <c r="AC1425" i="9"/>
  <c r="AA1426" i="9"/>
  <c r="AB1426" i="9"/>
  <c r="AC1426" i="9"/>
  <c r="AA1427" i="9"/>
  <c r="AB1427" i="9"/>
  <c r="AC1427" i="9"/>
  <c r="AA1428" i="9"/>
  <c r="AB1428" i="9"/>
  <c r="AC1428" i="9"/>
  <c r="AA1429" i="9"/>
  <c r="AB1429" i="9"/>
  <c r="AC1429" i="9"/>
  <c r="AA1430" i="9"/>
  <c r="AB1430" i="9"/>
  <c r="AC1430" i="9"/>
  <c r="AA1431" i="9"/>
  <c r="AB1431" i="9"/>
  <c r="AC1431" i="9"/>
  <c r="AA1432" i="9"/>
  <c r="AB1432" i="9"/>
  <c r="AC1432" i="9"/>
  <c r="AA1433" i="9"/>
  <c r="AB1433" i="9"/>
  <c r="AC1433" i="9"/>
  <c r="AA1434" i="9"/>
  <c r="AB1434" i="9"/>
  <c r="AC1434" i="9"/>
  <c r="AA1435" i="9"/>
  <c r="AB1435" i="9"/>
  <c r="AC1435" i="9"/>
  <c r="AA1436" i="9"/>
  <c r="AB1436" i="9"/>
  <c r="AC1436" i="9"/>
  <c r="AF1476" i="9" l="1"/>
  <c r="AF1477" i="9"/>
  <c r="AF1478" i="9"/>
  <c r="AF1479" i="9"/>
  <c r="AF1480" i="9"/>
  <c r="AF1475" i="9" l="1"/>
  <c r="AF1468" i="9" l="1"/>
  <c r="AF1469" i="9"/>
  <c r="AF1470" i="9"/>
  <c r="AF1471" i="9"/>
  <c r="AF1472" i="9"/>
  <c r="AF1474" i="9"/>
  <c r="AA1412" i="9" l="1"/>
  <c r="AB1412" i="9"/>
  <c r="AC1412" i="9"/>
  <c r="AF1461" i="9"/>
  <c r="AF1462" i="9"/>
  <c r="AF1463" i="9"/>
  <c r="AF1464" i="9"/>
  <c r="AF1465" i="9"/>
  <c r="AF1466" i="9"/>
  <c r="AF1467" i="9"/>
  <c r="AA1402" i="9" l="1"/>
  <c r="AB1402" i="9"/>
  <c r="AC1402" i="9"/>
  <c r="AA1403" i="9"/>
  <c r="AB1403" i="9"/>
  <c r="AC1403" i="9"/>
  <c r="AA1404" i="9"/>
  <c r="AB1404" i="9"/>
  <c r="AC1404" i="9"/>
  <c r="AA1405" i="9"/>
  <c r="AB1405" i="9"/>
  <c r="AC1405" i="9"/>
  <c r="AA1406" i="9"/>
  <c r="AB1406" i="9"/>
  <c r="AC1406" i="9"/>
  <c r="AA1407" i="9"/>
  <c r="AB1407" i="9"/>
  <c r="AC1407" i="9"/>
  <c r="AA1408" i="9"/>
  <c r="AB1408" i="9"/>
  <c r="AC1408" i="9"/>
  <c r="AA1409" i="9"/>
  <c r="AB1409" i="9"/>
  <c r="AC1409" i="9"/>
  <c r="AA1410" i="9"/>
  <c r="AB1410" i="9"/>
  <c r="AC1410" i="9"/>
  <c r="AA1411" i="9"/>
  <c r="AB1411" i="9"/>
  <c r="AC1411" i="9"/>
  <c r="AF1450" i="9"/>
  <c r="AF1451" i="9"/>
  <c r="AF1452" i="9"/>
  <c r="AF1453" i="9"/>
  <c r="AF1454" i="9"/>
  <c r="AF1455" i="9"/>
  <c r="AF1456" i="9"/>
  <c r="AF1457" i="9"/>
  <c r="AF1458" i="9"/>
  <c r="AF1459" i="9"/>
  <c r="AF1460" i="9"/>
  <c r="AF1444" i="9" l="1"/>
  <c r="AF1445" i="9"/>
  <c r="AF1446" i="9"/>
  <c r="AF1447" i="9"/>
  <c r="AF1448" i="9"/>
  <c r="AF1449" i="9"/>
  <c r="AF1443" i="9"/>
  <c r="AA1368" i="9"/>
  <c r="AB1368" i="9"/>
  <c r="AC1368" i="9"/>
  <c r="AA1369" i="9"/>
  <c r="AB1369" i="9"/>
  <c r="AC1369" i="9"/>
  <c r="AA1370" i="9"/>
  <c r="AB1370" i="9"/>
  <c r="AC1370" i="9"/>
  <c r="AA1371" i="9"/>
  <c r="AB1371" i="9"/>
  <c r="AC1371" i="9"/>
  <c r="AA1372" i="9"/>
  <c r="AB1372" i="9"/>
  <c r="AC1372" i="9"/>
  <c r="AA1373" i="9"/>
  <c r="AB1373" i="9"/>
  <c r="AC1373" i="9"/>
  <c r="AA1374" i="9"/>
  <c r="AB1374" i="9"/>
  <c r="AC1374" i="9"/>
  <c r="AA1375" i="9"/>
  <c r="AB1375" i="9"/>
  <c r="AC1375" i="9"/>
  <c r="AA1376" i="9"/>
  <c r="AB1376" i="9"/>
  <c r="AC1376" i="9"/>
  <c r="AA1377" i="9"/>
  <c r="AB1377" i="9"/>
  <c r="AC1377" i="9"/>
  <c r="AA1378" i="9"/>
  <c r="AB1378" i="9"/>
  <c r="AC1378" i="9"/>
  <c r="AA1379" i="9"/>
  <c r="AB1379" i="9"/>
  <c r="AC1379" i="9"/>
  <c r="AA1380" i="9"/>
  <c r="AB1380" i="9"/>
  <c r="AC1380" i="9"/>
  <c r="AA1381" i="9"/>
  <c r="AB1381" i="9"/>
  <c r="AC1381" i="9"/>
  <c r="AA1382" i="9"/>
  <c r="AB1382" i="9"/>
  <c r="AC1382" i="9"/>
  <c r="AA1383" i="9"/>
  <c r="AB1383" i="9"/>
  <c r="AC1383" i="9"/>
  <c r="AA1384" i="9"/>
  <c r="AB1384" i="9"/>
  <c r="AC1384" i="9"/>
  <c r="AA1385" i="9"/>
  <c r="AB1385" i="9"/>
  <c r="AC1385" i="9"/>
  <c r="AA1386" i="9"/>
  <c r="AB1386" i="9"/>
  <c r="AC1386" i="9"/>
  <c r="AA1387" i="9"/>
  <c r="AB1387" i="9"/>
  <c r="AC1387" i="9"/>
  <c r="AA1388" i="9"/>
  <c r="AB1388" i="9"/>
  <c r="AC1388" i="9"/>
  <c r="AA1389" i="9"/>
  <c r="AB1389" i="9"/>
  <c r="AC1389" i="9"/>
  <c r="AA1390" i="9"/>
  <c r="AB1390" i="9"/>
  <c r="AC1390" i="9"/>
  <c r="AA1391" i="9"/>
  <c r="AB1391" i="9"/>
  <c r="AC1391" i="9"/>
  <c r="AA1392" i="9"/>
  <c r="AB1392" i="9"/>
  <c r="AC1392" i="9"/>
  <c r="AA1393" i="9"/>
  <c r="AB1393" i="9"/>
  <c r="AC1393" i="9"/>
  <c r="AA1394" i="9"/>
  <c r="AB1394" i="9"/>
  <c r="AC1394" i="9"/>
  <c r="AA1395" i="9"/>
  <c r="AB1395" i="9"/>
  <c r="AC1395" i="9"/>
  <c r="AA1396" i="9"/>
  <c r="AB1396" i="9"/>
  <c r="AC1396" i="9"/>
  <c r="AA1397" i="9"/>
  <c r="AB1397" i="9"/>
  <c r="AC1397" i="9"/>
  <c r="AA1398" i="9"/>
  <c r="AB1398" i="9"/>
  <c r="AC1398" i="9"/>
  <c r="AA1399" i="9"/>
  <c r="AB1399" i="9"/>
  <c r="AC1399" i="9"/>
  <c r="AA1400" i="9"/>
  <c r="AB1400" i="9"/>
  <c r="AC1400" i="9"/>
  <c r="AA1401" i="9"/>
  <c r="AB1401" i="9"/>
  <c r="AC1401" i="9"/>
  <c r="AF1428" i="9" l="1"/>
  <c r="AF1429" i="9"/>
  <c r="AF1430" i="9"/>
  <c r="AF1432" i="9"/>
  <c r="AF1437" i="9"/>
  <c r="AF1438" i="9"/>
  <c r="AF1439" i="9"/>
  <c r="AF1427" i="9"/>
  <c r="AF1418" i="9" l="1"/>
  <c r="AF1419" i="9"/>
  <c r="AF1420" i="9"/>
  <c r="AF1421" i="9"/>
  <c r="AF1422" i="9"/>
  <c r="AF1423" i="9"/>
  <c r="AF1424" i="9"/>
  <c r="AF1417" i="9"/>
  <c r="AF1410" i="9" l="1"/>
  <c r="AF1411" i="9"/>
  <c r="AF1412" i="9"/>
  <c r="AF1413" i="9"/>
  <c r="AF1409" i="9"/>
  <c r="AA1336" i="9" l="1"/>
  <c r="AB1336" i="9"/>
  <c r="AC1336" i="9"/>
  <c r="AA1337" i="9"/>
  <c r="AB1337" i="9"/>
  <c r="AC1337" i="9"/>
  <c r="AA1338" i="9"/>
  <c r="AB1338" i="9"/>
  <c r="AC1338" i="9"/>
  <c r="AA1339" i="9"/>
  <c r="AB1339" i="9"/>
  <c r="AC1339" i="9"/>
  <c r="AA1340" i="9"/>
  <c r="AB1340" i="9"/>
  <c r="AC1340" i="9"/>
  <c r="AA1341" i="9"/>
  <c r="AB1341" i="9"/>
  <c r="AC1341" i="9"/>
  <c r="AA1342" i="9"/>
  <c r="AB1342" i="9"/>
  <c r="AC1342" i="9"/>
  <c r="AA1343" i="9"/>
  <c r="AB1343" i="9"/>
  <c r="AC1343" i="9"/>
  <c r="AA1344" i="9"/>
  <c r="AB1344" i="9"/>
  <c r="AC1344" i="9"/>
  <c r="AA1345" i="9"/>
  <c r="AB1345" i="9"/>
  <c r="AC1345" i="9"/>
  <c r="AA1346" i="9"/>
  <c r="AB1346" i="9"/>
  <c r="AC1346" i="9"/>
  <c r="AA1347" i="9"/>
  <c r="AB1347" i="9"/>
  <c r="AC1347" i="9"/>
  <c r="AA1348" i="9"/>
  <c r="AB1348" i="9"/>
  <c r="AC1348" i="9"/>
  <c r="AA1349" i="9"/>
  <c r="AB1349" i="9"/>
  <c r="AC1349" i="9"/>
  <c r="AA1350" i="9"/>
  <c r="AB1350" i="9"/>
  <c r="AC1350" i="9"/>
  <c r="AA1351" i="9"/>
  <c r="AB1351" i="9"/>
  <c r="AC1351" i="9"/>
  <c r="AA1352" i="9"/>
  <c r="AB1352" i="9"/>
  <c r="AC1352" i="9"/>
  <c r="AA1353" i="9"/>
  <c r="AB1353" i="9"/>
  <c r="AC1353" i="9"/>
  <c r="AA1354" i="9"/>
  <c r="AB1354" i="9"/>
  <c r="AC1354" i="9"/>
  <c r="AA1355" i="9"/>
  <c r="AB1355" i="9"/>
  <c r="AC1355" i="9"/>
  <c r="AA1356" i="9"/>
  <c r="AB1356" i="9"/>
  <c r="AC1356" i="9"/>
  <c r="AA1357" i="9"/>
  <c r="AB1357" i="9"/>
  <c r="AC1357" i="9"/>
  <c r="AA1358" i="9"/>
  <c r="AB1358" i="9"/>
  <c r="AC1358" i="9"/>
  <c r="AA1359" i="9"/>
  <c r="AB1359" i="9"/>
  <c r="AC1359" i="9"/>
  <c r="AA1360" i="9"/>
  <c r="AB1360" i="9"/>
  <c r="AC1360" i="9"/>
  <c r="AA1361" i="9"/>
  <c r="AB1361" i="9"/>
  <c r="AC1361" i="9"/>
  <c r="AA1362" i="9"/>
  <c r="AB1362" i="9"/>
  <c r="AC1362" i="9"/>
  <c r="AA1363" i="9"/>
  <c r="AB1363" i="9"/>
  <c r="AC1363" i="9"/>
  <c r="AA1364" i="9"/>
  <c r="AB1364" i="9"/>
  <c r="AC1364" i="9"/>
  <c r="AA1365" i="9"/>
  <c r="AB1365" i="9"/>
  <c r="AC1365" i="9"/>
  <c r="AA1366" i="9"/>
  <c r="AB1366" i="9"/>
  <c r="AC1366" i="9"/>
  <c r="AA1367" i="9"/>
  <c r="AB1367" i="9"/>
  <c r="AC1367" i="9"/>
  <c r="AF1399" i="9"/>
  <c r="AF1400" i="9"/>
  <c r="AF1401" i="9"/>
  <c r="AF1402" i="9"/>
  <c r="AF1403" i="9"/>
  <c r="AF1404" i="9"/>
  <c r="AF1406" i="9"/>
  <c r="AF1398" i="9"/>
  <c r="AF1390" i="9" l="1"/>
  <c r="AF1391" i="9"/>
  <c r="AF1392" i="9"/>
  <c r="AF1393" i="9"/>
  <c r="AF1394" i="9"/>
  <c r="AF1395" i="9"/>
  <c r="AF1396" i="9"/>
  <c r="AF1389" i="9"/>
  <c r="AF1380" i="9" l="1"/>
  <c r="AF1381" i="9"/>
  <c r="AF1382" i="9"/>
  <c r="AF1383" i="9"/>
  <c r="AF1384" i="9"/>
  <c r="AF1385" i="9"/>
  <c r="AF1379" i="9"/>
  <c r="AA1326" i="9" l="1"/>
  <c r="AB1326" i="9"/>
  <c r="AC1326" i="9"/>
  <c r="AA1327" i="9"/>
  <c r="AB1327" i="9"/>
  <c r="AC1327" i="9"/>
  <c r="AA1328" i="9"/>
  <c r="AB1328" i="9"/>
  <c r="AC1328" i="9"/>
  <c r="AA1329" i="9"/>
  <c r="AB1329" i="9"/>
  <c r="AC1329" i="9"/>
  <c r="AA1330" i="9"/>
  <c r="AB1330" i="9"/>
  <c r="AC1330" i="9"/>
  <c r="AA1331" i="9"/>
  <c r="AB1331" i="9"/>
  <c r="AC1331" i="9"/>
  <c r="AA1332" i="9"/>
  <c r="AB1332" i="9"/>
  <c r="AC1332" i="9"/>
  <c r="AA1333" i="9"/>
  <c r="AB1333" i="9"/>
  <c r="AC1333" i="9"/>
  <c r="AA1334" i="9"/>
  <c r="AB1334" i="9"/>
  <c r="AC1334" i="9"/>
  <c r="AA1335" i="9"/>
  <c r="AB1335" i="9"/>
  <c r="AC1335" i="9"/>
  <c r="AF1369" i="9"/>
  <c r="AF1370" i="9"/>
  <c r="AF1371" i="9"/>
  <c r="AF1372" i="9"/>
  <c r="AF1373" i="9"/>
  <c r="AF1374" i="9"/>
  <c r="AF1375" i="9"/>
  <c r="AF1368" i="9"/>
  <c r="AA1300" i="9" l="1"/>
  <c r="AB1300" i="9"/>
  <c r="AC1300" i="9"/>
  <c r="AA1301" i="9"/>
  <c r="AB1301" i="9"/>
  <c r="AC1301" i="9"/>
  <c r="AA1302" i="9"/>
  <c r="AB1302" i="9"/>
  <c r="AC1302" i="9"/>
  <c r="AA1303" i="9"/>
  <c r="AB1303" i="9"/>
  <c r="AC1303" i="9"/>
  <c r="AA1304" i="9"/>
  <c r="AB1304" i="9"/>
  <c r="AC1304" i="9"/>
  <c r="AA1305" i="9"/>
  <c r="AB1305" i="9"/>
  <c r="AC1305" i="9"/>
  <c r="AA1306" i="9"/>
  <c r="AB1306" i="9"/>
  <c r="AC1306" i="9"/>
  <c r="AA1307" i="9"/>
  <c r="AB1307" i="9"/>
  <c r="AC1307" i="9"/>
  <c r="AA1308" i="9"/>
  <c r="AB1308" i="9"/>
  <c r="AC1308" i="9"/>
  <c r="AA1309" i="9"/>
  <c r="AB1309" i="9"/>
  <c r="AC1309" i="9"/>
  <c r="AA1310" i="9"/>
  <c r="AB1310" i="9"/>
  <c r="AC1310" i="9"/>
  <c r="AA1311" i="9"/>
  <c r="AB1311" i="9"/>
  <c r="AC1311" i="9"/>
  <c r="AA1312" i="9"/>
  <c r="AB1312" i="9"/>
  <c r="AC1312" i="9"/>
  <c r="AA1313" i="9"/>
  <c r="AB1313" i="9"/>
  <c r="AC1313" i="9"/>
  <c r="AA1314" i="9"/>
  <c r="AB1314" i="9"/>
  <c r="AC1314" i="9"/>
  <c r="AA1315" i="9"/>
  <c r="AB1315" i="9"/>
  <c r="AC1315" i="9"/>
  <c r="AA1316" i="9"/>
  <c r="AB1316" i="9"/>
  <c r="AC1316" i="9"/>
  <c r="AA1317" i="9"/>
  <c r="AB1317" i="9"/>
  <c r="AC1317" i="9"/>
  <c r="AA1318" i="9"/>
  <c r="AB1318" i="9"/>
  <c r="AC1318" i="9"/>
  <c r="AA1319" i="9"/>
  <c r="AB1319" i="9"/>
  <c r="AC1319" i="9"/>
  <c r="AA1320" i="9"/>
  <c r="AB1320" i="9"/>
  <c r="AC1320" i="9"/>
  <c r="AA1321" i="9"/>
  <c r="AB1321" i="9"/>
  <c r="AC1321" i="9"/>
  <c r="AA1322" i="9"/>
  <c r="AB1322" i="9"/>
  <c r="AC1322" i="9"/>
  <c r="AA1323" i="9"/>
  <c r="AB1323" i="9"/>
  <c r="AC1323" i="9"/>
  <c r="AA1324" i="9"/>
  <c r="AB1324" i="9"/>
  <c r="AC1324" i="9"/>
  <c r="AA1325" i="9"/>
  <c r="AB1325" i="9"/>
  <c r="AC1325" i="9"/>
  <c r="AF1357" i="9" l="1"/>
  <c r="AF1358" i="9"/>
  <c r="AF1359" i="9"/>
  <c r="AF1360" i="9"/>
  <c r="AF1361" i="9"/>
  <c r="AF1362" i="9"/>
  <c r="AF1363" i="9"/>
  <c r="AF1356" i="9"/>
  <c r="AA1286" i="9" l="1"/>
  <c r="AB1286" i="9"/>
  <c r="AC1286" i="9"/>
  <c r="AA1287" i="9"/>
  <c r="AB1287" i="9"/>
  <c r="AC1287" i="9"/>
  <c r="AA1288" i="9"/>
  <c r="AB1288" i="9"/>
  <c r="AC1288" i="9"/>
  <c r="AA1289" i="9"/>
  <c r="AB1289" i="9"/>
  <c r="AC1289" i="9"/>
  <c r="AA1290" i="9"/>
  <c r="AB1290" i="9"/>
  <c r="AC1290" i="9"/>
  <c r="AA1291" i="9"/>
  <c r="AB1291" i="9"/>
  <c r="AC1291" i="9"/>
  <c r="AA1292" i="9"/>
  <c r="AB1292" i="9"/>
  <c r="AC1292" i="9"/>
  <c r="AA1293" i="9"/>
  <c r="AB1293" i="9"/>
  <c r="AC1293" i="9"/>
  <c r="AA1294" i="9"/>
  <c r="AB1294" i="9"/>
  <c r="AC1294" i="9"/>
  <c r="AA1295" i="9"/>
  <c r="AB1295" i="9"/>
  <c r="AC1295" i="9"/>
  <c r="AA1296" i="9"/>
  <c r="AB1296" i="9"/>
  <c r="AC1296" i="9"/>
  <c r="AA1297" i="9"/>
  <c r="AB1297" i="9"/>
  <c r="AC1297" i="9"/>
  <c r="AA1298" i="9"/>
  <c r="AB1298" i="9"/>
  <c r="AC1298" i="9"/>
  <c r="AA1299" i="9"/>
  <c r="AB1299" i="9"/>
  <c r="AC1299" i="9"/>
  <c r="AF1347" i="9"/>
  <c r="AF1348" i="9"/>
  <c r="AF1349" i="9"/>
  <c r="AF1350" i="9"/>
  <c r="AF1351" i="9"/>
  <c r="AF1352" i="9"/>
  <c r="AF1346" i="9"/>
  <c r="AG1515" i="9"/>
  <c r="X1515" i="9"/>
  <c r="N1515" i="9"/>
  <c r="D1515" i="9"/>
  <c r="AG1514" i="9"/>
  <c r="X1514" i="9"/>
  <c r="N1514" i="9"/>
  <c r="D1514" i="9"/>
  <c r="AG1513" i="9"/>
  <c r="X1513" i="9"/>
  <c r="N1513" i="9"/>
  <c r="D1513" i="9"/>
  <c r="AG1512" i="9"/>
  <c r="X1512" i="9"/>
  <c r="N1512" i="9"/>
  <c r="D1512" i="9"/>
  <c r="AG1511" i="9"/>
  <c r="X1511" i="9"/>
  <c r="N1511" i="9"/>
  <c r="D1511" i="9"/>
  <c r="AG1510" i="9"/>
  <c r="X1510" i="9"/>
  <c r="N1510" i="9"/>
  <c r="D1510" i="9"/>
  <c r="AG1509" i="9"/>
  <c r="X1509" i="9"/>
  <c r="N1509" i="9"/>
  <c r="D1509" i="9"/>
  <c r="AG1508" i="9"/>
  <c r="X1508" i="9"/>
  <c r="N1508" i="9"/>
  <c r="D1508" i="9"/>
  <c r="AG1507" i="9"/>
  <c r="X1507" i="9"/>
  <c r="N1507" i="9"/>
  <c r="D1507" i="9"/>
  <c r="AG1506" i="9"/>
  <c r="X1506" i="9"/>
  <c r="N1506" i="9"/>
  <c r="D1506" i="9"/>
  <c r="AG1505" i="9"/>
  <c r="X1505" i="9"/>
  <c r="N1505" i="9"/>
  <c r="D1505" i="9"/>
  <c r="AG1504" i="9"/>
  <c r="X1504" i="9"/>
  <c r="N1504" i="9"/>
  <c r="D1504" i="9"/>
  <c r="AG1503" i="9"/>
  <c r="X1503" i="9"/>
  <c r="N1503" i="9"/>
  <c r="D1503" i="9"/>
  <c r="AG1502" i="9"/>
  <c r="X1502" i="9"/>
  <c r="N1502" i="9"/>
  <c r="D1502" i="9"/>
  <c r="AG1501" i="9"/>
  <c r="X1501" i="9"/>
  <c r="N1501" i="9"/>
  <c r="D1501" i="9"/>
  <c r="AG1500" i="9"/>
  <c r="X1500" i="9"/>
  <c r="N1500" i="9"/>
  <c r="D1500" i="9"/>
  <c r="AG1499" i="9"/>
  <c r="X1499" i="9"/>
  <c r="N1499" i="9"/>
  <c r="D1499" i="9"/>
  <c r="AG1498" i="9"/>
  <c r="X1498" i="9"/>
  <c r="N1498" i="9"/>
  <c r="D1498" i="9"/>
  <c r="AG1497" i="9"/>
  <c r="X1497" i="9"/>
  <c r="N1497" i="9"/>
  <c r="D1497" i="9"/>
  <c r="AG1496" i="9"/>
  <c r="X1496" i="9"/>
  <c r="N1496" i="9"/>
  <c r="D1496" i="9"/>
  <c r="AG1495" i="9"/>
  <c r="X1495" i="9"/>
  <c r="N1495" i="9"/>
  <c r="D1495" i="9"/>
  <c r="AG1494" i="9"/>
  <c r="X1494" i="9"/>
  <c r="N1494" i="9"/>
  <c r="D1494" i="9"/>
  <c r="AG1493" i="9"/>
  <c r="X1493" i="9"/>
  <c r="N1493" i="9"/>
  <c r="D1493" i="9"/>
  <c r="AG1492" i="9"/>
  <c r="X1492" i="9"/>
  <c r="N1492" i="9"/>
  <c r="D1492" i="9"/>
  <c r="AG1491" i="9"/>
  <c r="X1491" i="9"/>
  <c r="N1491" i="9"/>
  <c r="D1491" i="9"/>
  <c r="AG1490" i="9"/>
  <c r="X1490" i="9"/>
  <c r="N1490" i="9"/>
  <c r="D1490" i="9"/>
  <c r="AG1489" i="9"/>
  <c r="X1489" i="9"/>
  <c r="N1489" i="9"/>
  <c r="D1489" i="9"/>
  <c r="AG1488" i="9"/>
  <c r="X1488" i="9"/>
  <c r="N1488" i="9"/>
  <c r="D1488" i="9"/>
  <c r="AG1487" i="9"/>
  <c r="X1487" i="9"/>
  <c r="N1487" i="9"/>
  <c r="D1487" i="9"/>
  <c r="AG1486" i="9"/>
  <c r="X1486" i="9"/>
  <c r="N1486" i="9"/>
  <c r="D1486" i="9"/>
  <c r="AG1485" i="9"/>
  <c r="X1485" i="9"/>
  <c r="N1485" i="9"/>
  <c r="D1485" i="9"/>
  <c r="AG1484" i="9"/>
  <c r="X1484" i="9"/>
  <c r="N1484" i="9"/>
  <c r="D1484" i="9"/>
  <c r="AG1483" i="9"/>
  <c r="X1483" i="9"/>
  <c r="N1483" i="9"/>
  <c r="D1483" i="9"/>
  <c r="AG1482" i="9"/>
  <c r="X1482" i="9"/>
  <c r="N1482" i="9"/>
  <c r="D1482" i="9"/>
  <c r="AG1481" i="9"/>
  <c r="X1481" i="9"/>
  <c r="N1481" i="9"/>
  <c r="D1481" i="9"/>
  <c r="AG1480" i="9"/>
  <c r="X1480" i="9"/>
  <c r="N1480" i="9"/>
  <c r="D1480" i="9"/>
  <c r="AG1479" i="9"/>
  <c r="X1479" i="9"/>
  <c r="N1479" i="9"/>
  <c r="D1479" i="9"/>
  <c r="AG1478" i="9"/>
  <c r="X1478" i="9"/>
  <c r="N1478" i="9"/>
  <c r="D1478" i="9"/>
  <c r="AG1477" i="9"/>
  <c r="X1477" i="9"/>
  <c r="N1477" i="9"/>
  <c r="D1477" i="9"/>
  <c r="AG1476" i="9"/>
  <c r="X1476" i="9"/>
  <c r="N1476" i="9"/>
  <c r="D1476" i="9"/>
  <c r="AG1475" i="9"/>
  <c r="X1475" i="9"/>
  <c r="N1475" i="9"/>
  <c r="D1475" i="9"/>
  <c r="AG1474" i="9"/>
  <c r="X1474" i="9"/>
  <c r="N1474" i="9"/>
  <c r="D1474" i="9"/>
  <c r="AG1473" i="9"/>
  <c r="X1473" i="9"/>
  <c r="N1473" i="9"/>
  <c r="D1473" i="9"/>
  <c r="AG1472" i="9"/>
  <c r="X1472" i="9"/>
  <c r="N1472" i="9"/>
  <c r="D1472" i="9"/>
  <c r="AG1471" i="9"/>
  <c r="X1471" i="9"/>
  <c r="N1471" i="9"/>
  <c r="D1471" i="9"/>
  <c r="AG1470" i="9"/>
  <c r="X1470" i="9"/>
  <c r="N1470" i="9"/>
  <c r="D1470" i="9"/>
  <c r="AG1469" i="9"/>
  <c r="X1469" i="9"/>
  <c r="N1469" i="9"/>
  <c r="D1469" i="9"/>
  <c r="AG1468" i="9"/>
  <c r="X1468" i="9"/>
  <c r="N1468" i="9"/>
  <c r="D1468" i="9"/>
  <c r="AG1467" i="9"/>
  <c r="X1467" i="9"/>
  <c r="N1467" i="9"/>
  <c r="D1467" i="9"/>
  <c r="AG1466" i="9"/>
  <c r="X1466" i="9"/>
  <c r="N1466" i="9"/>
  <c r="D1466" i="9"/>
  <c r="AG1465" i="9"/>
  <c r="X1465" i="9"/>
  <c r="N1465" i="9"/>
  <c r="D1465" i="9"/>
  <c r="AG1464" i="9"/>
  <c r="X1464" i="9"/>
  <c r="N1464" i="9"/>
  <c r="D1464" i="9"/>
  <c r="AG1463" i="9"/>
  <c r="X1463" i="9"/>
  <c r="N1463" i="9"/>
  <c r="D1463" i="9"/>
  <c r="AG1462" i="9"/>
  <c r="X1462" i="9"/>
  <c r="N1462" i="9"/>
  <c r="D1462" i="9"/>
  <c r="AG1461" i="9"/>
  <c r="X1461" i="9"/>
  <c r="N1461" i="9"/>
  <c r="D1461" i="9"/>
  <c r="AG1460" i="9"/>
  <c r="X1460" i="9"/>
  <c r="N1460" i="9"/>
  <c r="D1460" i="9"/>
  <c r="AG1459" i="9"/>
  <c r="X1459" i="9"/>
  <c r="N1459" i="9"/>
  <c r="D1459" i="9"/>
  <c r="AG1458" i="9"/>
  <c r="X1458" i="9"/>
  <c r="N1458" i="9"/>
  <c r="D1458" i="9"/>
  <c r="AG1457" i="9"/>
  <c r="X1457" i="9"/>
  <c r="N1457" i="9"/>
  <c r="D1457" i="9"/>
  <c r="AG1456" i="9"/>
  <c r="X1456" i="9"/>
  <c r="N1456" i="9"/>
  <c r="D1456" i="9"/>
  <c r="AG1455" i="9"/>
  <c r="X1455" i="9"/>
  <c r="N1455" i="9"/>
  <c r="D1455" i="9"/>
  <c r="AG1454" i="9"/>
  <c r="X1454" i="9"/>
  <c r="N1454" i="9"/>
  <c r="D1454" i="9"/>
  <c r="AG1453" i="9"/>
  <c r="X1453" i="9"/>
  <c r="N1453" i="9"/>
  <c r="D1453" i="9"/>
  <c r="AG1452" i="9"/>
  <c r="X1452" i="9"/>
  <c r="N1452" i="9"/>
  <c r="D1452" i="9"/>
  <c r="AG1451" i="9"/>
  <c r="X1451" i="9"/>
  <c r="N1451" i="9"/>
  <c r="D1451" i="9"/>
  <c r="AG1450" i="9"/>
  <c r="X1450" i="9"/>
  <c r="N1450" i="9"/>
  <c r="D1450" i="9"/>
  <c r="AG1449" i="9"/>
  <c r="X1449" i="9"/>
  <c r="N1449" i="9"/>
  <c r="D1449" i="9"/>
  <c r="AG1448" i="9"/>
  <c r="X1448" i="9"/>
  <c r="N1448" i="9"/>
  <c r="D1448" i="9"/>
  <c r="AG1447" i="9"/>
  <c r="X1447" i="9"/>
  <c r="N1447" i="9"/>
  <c r="D1447" i="9"/>
  <c r="AG1446" i="9"/>
  <c r="X1446" i="9"/>
  <c r="N1446" i="9"/>
  <c r="D1446" i="9"/>
  <c r="AG1445" i="9"/>
  <c r="X1445" i="9"/>
  <c r="N1445" i="9"/>
  <c r="D1445" i="9"/>
  <c r="AG1444" i="9"/>
  <c r="X1444" i="9"/>
  <c r="N1444" i="9"/>
  <c r="D1444" i="9"/>
  <c r="AG1443" i="9"/>
  <c r="X1443" i="9"/>
  <c r="N1443" i="9"/>
  <c r="D1443" i="9"/>
  <c r="AG1441" i="9"/>
  <c r="X1441" i="9"/>
  <c r="N1441" i="9"/>
  <c r="D1441" i="9"/>
  <c r="AG1440" i="9"/>
  <c r="X1440" i="9"/>
  <c r="N1440" i="9"/>
  <c r="D1440" i="9"/>
  <c r="AG1439" i="9"/>
  <c r="X1439" i="9"/>
  <c r="N1439" i="9"/>
  <c r="D1439" i="9"/>
  <c r="AG1438" i="9"/>
  <c r="X1438" i="9"/>
  <c r="N1438" i="9"/>
  <c r="D1438" i="9"/>
  <c r="AG1437" i="9"/>
  <c r="X1437" i="9"/>
  <c r="N1437" i="9"/>
  <c r="D1437" i="9"/>
  <c r="AG1436" i="9"/>
  <c r="X1436" i="9"/>
  <c r="N1436" i="9"/>
  <c r="D1436" i="9"/>
  <c r="AG1435" i="9"/>
  <c r="X1435" i="9"/>
  <c r="N1435" i="9"/>
  <c r="D1435" i="9"/>
  <c r="AG1434" i="9"/>
  <c r="X1434" i="9"/>
  <c r="N1434" i="9"/>
  <c r="D1434" i="9"/>
  <c r="AG1433" i="9"/>
  <c r="X1433" i="9"/>
  <c r="N1433" i="9"/>
  <c r="D1433" i="9"/>
  <c r="AG1432" i="9"/>
  <c r="X1432" i="9"/>
  <c r="N1432" i="9"/>
  <c r="D1432" i="9"/>
  <c r="AG1431" i="9"/>
  <c r="X1431" i="9"/>
  <c r="N1431" i="9"/>
  <c r="D1431" i="9"/>
  <c r="AG1430" i="9"/>
  <c r="X1430" i="9"/>
  <c r="N1430" i="9"/>
  <c r="D1430" i="9"/>
  <c r="AG1429" i="9"/>
  <c r="X1429" i="9"/>
  <c r="N1429" i="9"/>
  <c r="D1429" i="9"/>
  <c r="AG1428" i="9"/>
  <c r="X1428" i="9"/>
  <c r="N1428" i="9"/>
  <c r="D1428" i="9"/>
  <c r="AG1427" i="9"/>
  <c r="X1427" i="9"/>
  <c r="N1427" i="9"/>
  <c r="D1427" i="9"/>
  <c r="AG1426" i="9"/>
  <c r="X1426" i="9"/>
  <c r="N1426" i="9"/>
  <c r="D1426" i="9"/>
  <c r="AG1425" i="9"/>
  <c r="X1425" i="9"/>
  <c r="N1425" i="9"/>
  <c r="D1425" i="9"/>
  <c r="AG1424" i="9"/>
  <c r="X1424" i="9"/>
  <c r="N1424" i="9"/>
  <c r="D1424" i="9"/>
  <c r="AG1423" i="9"/>
  <c r="X1423" i="9"/>
  <c r="N1423" i="9"/>
  <c r="D1423" i="9"/>
  <c r="AG1422" i="9"/>
  <c r="X1422" i="9"/>
  <c r="N1422" i="9"/>
  <c r="D1422" i="9"/>
  <c r="AG1421" i="9"/>
  <c r="X1421" i="9"/>
  <c r="N1421" i="9"/>
  <c r="D1421" i="9"/>
  <c r="AG1420" i="9"/>
  <c r="X1420" i="9"/>
  <c r="N1420" i="9"/>
  <c r="D1420" i="9"/>
  <c r="AG1419" i="9"/>
  <c r="X1419" i="9"/>
  <c r="N1419" i="9"/>
  <c r="D1419" i="9"/>
  <c r="AG1418" i="9"/>
  <c r="X1418" i="9"/>
  <c r="N1418" i="9"/>
  <c r="D1418" i="9"/>
  <c r="AG1417" i="9"/>
  <c r="X1417" i="9"/>
  <c r="N1417" i="9"/>
  <c r="D1417" i="9"/>
  <c r="AG1416" i="9"/>
  <c r="X1416" i="9"/>
  <c r="N1416" i="9"/>
  <c r="D1416" i="9"/>
  <c r="AG1415" i="9"/>
  <c r="X1415" i="9"/>
  <c r="N1415" i="9"/>
  <c r="D1415" i="9"/>
  <c r="AG1414" i="9"/>
  <c r="X1414" i="9"/>
  <c r="N1414" i="9"/>
  <c r="D1414" i="9"/>
  <c r="AG1413" i="9"/>
  <c r="X1413" i="9"/>
  <c r="N1413" i="9"/>
  <c r="D1413" i="9"/>
  <c r="AG1412" i="9"/>
  <c r="X1412" i="9"/>
  <c r="N1412" i="9"/>
  <c r="D1412" i="9"/>
  <c r="AG1411" i="9"/>
  <c r="X1411" i="9"/>
  <c r="N1411" i="9"/>
  <c r="D1411" i="9"/>
  <c r="AG1410" i="9"/>
  <c r="X1410" i="9"/>
  <c r="N1410" i="9"/>
  <c r="D1410" i="9"/>
  <c r="AG1409" i="9"/>
  <c r="X1409" i="9"/>
  <c r="N1409" i="9"/>
  <c r="D1409" i="9"/>
  <c r="AG1408" i="9"/>
  <c r="X1408" i="9"/>
  <c r="N1408" i="9"/>
  <c r="D1408" i="9"/>
  <c r="AG1407" i="9"/>
  <c r="X1407" i="9"/>
  <c r="N1407" i="9"/>
  <c r="D1407" i="9"/>
  <c r="AG1406" i="9"/>
  <c r="X1406" i="9"/>
  <c r="N1406" i="9"/>
  <c r="D1406" i="9"/>
  <c r="AG1405" i="9"/>
  <c r="X1405" i="9"/>
  <c r="N1405" i="9"/>
  <c r="D1405" i="9"/>
  <c r="AG1404" i="9"/>
  <c r="X1404" i="9"/>
  <c r="N1404" i="9"/>
  <c r="D1404" i="9"/>
  <c r="AG1403" i="9"/>
  <c r="X1403" i="9"/>
  <c r="N1403" i="9"/>
  <c r="D1403" i="9"/>
  <c r="AG1402" i="9"/>
  <c r="X1402" i="9"/>
  <c r="N1402" i="9"/>
  <c r="D1402" i="9"/>
  <c r="AG1401" i="9"/>
  <c r="X1401" i="9"/>
  <c r="N1401" i="9"/>
  <c r="D1401" i="9"/>
  <c r="AG1400" i="9"/>
  <c r="X1400" i="9"/>
  <c r="N1400" i="9"/>
  <c r="D1400" i="9"/>
  <c r="AG1399" i="9"/>
  <c r="X1399" i="9"/>
  <c r="N1399" i="9"/>
  <c r="D1399" i="9"/>
  <c r="AG1398" i="9"/>
  <c r="X1398" i="9"/>
  <c r="N1398" i="9"/>
  <c r="D1398" i="9"/>
  <c r="AG1397" i="9"/>
  <c r="X1397" i="9"/>
  <c r="N1397" i="9"/>
  <c r="D1397" i="9"/>
  <c r="AG1396" i="9"/>
  <c r="X1396" i="9"/>
  <c r="N1396" i="9"/>
  <c r="D1396" i="9"/>
  <c r="AG1395" i="9"/>
  <c r="X1395" i="9"/>
  <c r="N1395" i="9"/>
  <c r="D1395" i="9"/>
  <c r="AG1394" i="9"/>
  <c r="X1394" i="9"/>
  <c r="N1394" i="9"/>
  <c r="D1394" i="9"/>
  <c r="AG1393" i="9"/>
  <c r="X1393" i="9"/>
  <c r="N1393" i="9"/>
  <c r="D1393" i="9"/>
  <c r="AG1392" i="9"/>
  <c r="X1392" i="9"/>
  <c r="N1392" i="9"/>
  <c r="D1392" i="9"/>
  <c r="AG1391" i="9"/>
  <c r="X1391" i="9"/>
  <c r="N1391" i="9"/>
  <c r="D1391" i="9"/>
  <c r="AG1390" i="9"/>
  <c r="X1390" i="9"/>
  <c r="N1390" i="9"/>
  <c r="D1390" i="9"/>
  <c r="AG1389" i="9"/>
  <c r="X1389" i="9"/>
  <c r="N1389" i="9"/>
  <c r="D1389" i="9"/>
  <c r="AG1388" i="9"/>
  <c r="X1388" i="9"/>
  <c r="N1388" i="9"/>
  <c r="D1388" i="9"/>
  <c r="AG1387" i="9"/>
  <c r="X1387" i="9"/>
  <c r="N1387" i="9"/>
  <c r="D1387" i="9"/>
  <c r="AG1386" i="9"/>
  <c r="X1386" i="9"/>
  <c r="N1386" i="9"/>
  <c r="D1386" i="9"/>
  <c r="AG1385" i="9"/>
  <c r="X1385" i="9"/>
  <c r="N1385" i="9"/>
  <c r="D1385" i="9"/>
  <c r="AG1384" i="9"/>
  <c r="X1384" i="9"/>
  <c r="N1384" i="9"/>
  <c r="D1384" i="9"/>
  <c r="AG1383" i="9"/>
  <c r="X1383" i="9"/>
  <c r="N1383" i="9"/>
  <c r="D1383" i="9"/>
  <c r="AG1382" i="9"/>
  <c r="X1382" i="9"/>
  <c r="N1382" i="9"/>
  <c r="D1382" i="9"/>
  <c r="AG1381" i="9"/>
  <c r="X1381" i="9"/>
  <c r="N1381" i="9"/>
  <c r="D1381" i="9"/>
  <c r="AG1380" i="9"/>
  <c r="X1380" i="9"/>
  <c r="N1380" i="9"/>
  <c r="D1380" i="9"/>
  <c r="AG1379" i="9"/>
  <c r="X1379" i="9"/>
  <c r="N1379" i="9"/>
  <c r="D1379" i="9"/>
  <c r="AG1378" i="9"/>
  <c r="X1378" i="9"/>
  <c r="N1378" i="9"/>
  <c r="D1378" i="9"/>
  <c r="AG1377" i="9"/>
  <c r="X1377" i="9"/>
  <c r="N1377" i="9"/>
  <c r="D1377" i="9"/>
  <c r="AG1376" i="9"/>
  <c r="X1376" i="9"/>
  <c r="N1376" i="9"/>
  <c r="D1376" i="9"/>
  <c r="AG1375" i="9"/>
  <c r="X1375" i="9"/>
  <c r="N1375" i="9"/>
  <c r="D1375" i="9"/>
  <c r="AG1374" i="9"/>
  <c r="X1374" i="9"/>
  <c r="N1374" i="9"/>
  <c r="D1374" i="9"/>
  <c r="AG1373" i="9"/>
  <c r="X1373" i="9"/>
  <c r="N1373" i="9"/>
  <c r="D1373" i="9"/>
  <c r="AG1372" i="9"/>
  <c r="X1372" i="9"/>
  <c r="N1372" i="9"/>
  <c r="D1372" i="9"/>
  <c r="AG1371" i="9"/>
  <c r="X1371" i="9"/>
  <c r="N1371" i="9"/>
  <c r="D1371" i="9"/>
  <c r="AG1370" i="9"/>
  <c r="X1370" i="9"/>
  <c r="N1370" i="9"/>
  <c r="D1370" i="9"/>
  <c r="AG1369" i="9"/>
  <c r="X1369" i="9"/>
  <c r="N1369" i="9"/>
  <c r="D1369" i="9"/>
  <c r="AG1368" i="9"/>
  <c r="X1368" i="9"/>
  <c r="N1368" i="9"/>
  <c r="D1368" i="9"/>
  <c r="AG1367" i="9"/>
  <c r="X1367" i="9"/>
  <c r="N1367" i="9"/>
  <c r="D1367" i="9"/>
  <c r="AG1366" i="9"/>
  <c r="X1366" i="9"/>
  <c r="N1366" i="9"/>
  <c r="D1366" i="9"/>
  <c r="AG1365" i="9"/>
  <c r="X1365" i="9"/>
  <c r="N1365" i="9"/>
  <c r="D1365" i="9"/>
  <c r="AG1364" i="9"/>
  <c r="X1364" i="9"/>
  <c r="N1364" i="9"/>
  <c r="D1364" i="9"/>
  <c r="AG1363" i="9"/>
  <c r="X1363" i="9"/>
  <c r="N1363" i="9"/>
  <c r="D1363" i="9"/>
  <c r="AG1362" i="9"/>
  <c r="X1362" i="9"/>
  <c r="N1362" i="9"/>
  <c r="D1362" i="9"/>
  <c r="AG1361" i="9"/>
  <c r="X1361" i="9"/>
  <c r="N1361" i="9"/>
  <c r="D1361" i="9"/>
  <c r="AG1360" i="9"/>
  <c r="X1360" i="9"/>
  <c r="N1360" i="9"/>
  <c r="D1360" i="9"/>
  <c r="AG1359" i="9"/>
  <c r="X1359" i="9"/>
  <c r="N1359" i="9"/>
  <c r="D1359" i="9"/>
  <c r="AG1358" i="9"/>
  <c r="X1358" i="9"/>
  <c r="N1358" i="9"/>
  <c r="D1358" i="9"/>
  <c r="AG1357" i="9"/>
  <c r="X1357" i="9"/>
  <c r="N1357" i="9"/>
  <c r="D1357" i="9"/>
  <c r="AF1336" i="9" l="1"/>
  <c r="AF1337" i="9"/>
  <c r="AF1338" i="9"/>
  <c r="AF1339" i="9"/>
  <c r="AF1340" i="9"/>
  <c r="AF1341" i="9"/>
  <c r="AF1342" i="9"/>
  <c r="AF1343" i="9"/>
  <c r="AF1335" i="9"/>
  <c r="AA1279" i="9" l="1"/>
  <c r="AB1279" i="9"/>
  <c r="AC1279" i="9"/>
  <c r="AA1280" i="9"/>
  <c r="AB1280" i="9"/>
  <c r="AC1280" i="9"/>
  <c r="AA1281" i="9"/>
  <c r="AB1281" i="9"/>
  <c r="AC1281" i="9"/>
  <c r="AA1282" i="9"/>
  <c r="AB1282" i="9"/>
  <c r="AC1282" i="9"/>
  <c r="AA1283" i="9"/>
  <c r="AB1283" i="9"/>
  <c r="AC1283" i="9"/>
  <c r="AA1284" i="9"/>
  <c r="AB1284" i="9"/>
  <c r="AC1284" i="9"/>
  <c r="AA1285" i="9"/>
  <c r="AB1285" i="9"/>
  <c r="AC1285" i="9"/>
  <c r="AF1322" i="9" l="1"/>
  <c r="AF1323" i="9"/>
  <c r="AF1324" i="9"/>
  <c r="AF1325" i="9"/>
  <c r="AF1326" i="9"/>
  <c r="AF1328" i="9"/>
  <c r="AF1329" i="9"/>
  <c r="AA1273" i="9" l="1"/>
  <c r="AB1273" i="9"/>
  <c r="AC1273" i="9"/>
  <c r="AA1274" i="9"/>
  <c r="AB1274" i="9"/>
  <c r="AC1274" i="9"/>
  <c r="AA1275" i="9"/>
  <c r="AB1275" i="9"/>
  <c r="AC1275" i="9"/>
  <c r="AA1276" i="9"/>
  <c r="AB1276" i="9"/>
  <c r="AC1276" i="9"/>
  <c r="AA1277" i="9"/>
  <c r="AB1277" i="9"/>
  <c r="AC1277" i="9"/>
  <c r="AA1278" i="9"/>
  <c r="AB1278" i="9"/>
  <c r="AC1278" i="9"/>
  <c r="AF1321" i="9" l="1"/>
  <c r="AF1315" i="9"/>
  <c r="AF1316" i="9"/>
  <c r="AF1317" i="9"/>
  <c r="AF1318" i="9"/>
  <c r="AF1319" i="9"/>
  <c r="AF1320" i="9"/>
  <c r="AF1314" i="9"/>
  <c r="AF1304" i="9" l="1"/>
  <c r="AF1305" i="9"/>
  <c r="AF1306" i="9"/>
  <c r="AF1303" i="9"/>
  <c r="AF1280" i="9" l="1"/>
  <c r="AF1281" i="9"/>
  <c r="AF1283" i="9"/>
  <c r="AF1284" i="9"/>
  <c r="AF1285" i="9"/>
  <c r="AF1286" i="9"/>
  <c r="AF1287" i="9"/>
  <c r="AF1288" i="9"/>
  <c r="AF1294" i="9"/>
  <c r="AF1295" i="9"/>
  <c r="AF1296" i="9"/>
  <c r="AF1297" i="9"/>
  <c r="AF1298" i="9"/>
  <c r="AF1299" i="9"/>
  <c r="AF1300" i="9"/>
  <c r="AF1279" i="9"/>
  <c r="AA1210" i="9" l="1"/>
  <c r="AB1210" i="9"/>
  <c r="AC1210" i="9"/>
  <c r="AA1211" i="9"/>
  <c r="AB1211" i="9"/>
  <c r="AC1211" i="9"/>
  <c r="AA1212" i="9"/>
  <c r="AB1212" i="9"/>
  <c r="AC1212" i="9"/>
  <c r="AA1213" i="9"/>
  <c r="AB1213" i="9"/>
  <c r="AC1213" i="9"/>
  <c r="AA1214" i="9"/>
  <c r="AB1214" i="9"/>
  <c r="AC1214" i="9"/>
  <c r="AA1215" i="9"/>
  <c r="AB1215" i="9"/>
  <c r="AC1215" i="9"/>
  <c r="AA1216" i="9"/>
  <c r="AB1216" i="9"/>
  <c r="AC1216" i="9"/>
  <c r="AA1217" i="9"/>
  <c r="AB1217" i="9"/>
  <c r="AC1217" i="9"/>
  <c r="AA1218" i="9"/>
  <c r="AB1218" i="9"/>
  <c r="AC1218" i="9"/>
  <c r="AA1219" i="9"/>
  <c r="AB1219" i="9"/>
  <c r="AC1219" i="9"/>
  <c r="AA1220" i="9"/>
  <c r="AB1220" i="9"/>
  <c r="AC1220" i="9"/>
  <c r="AA1221" i="9"/>
  <c r="AB1221" i="9"/>
  <c r="AC1221" i="9"/>
  <c r="AA1222" i="9"/>
  <c r="AB1222" i="9"/>
  <c r="AC1222" i="9"/>
  <c r="AA1223" i="9"/>
  <c r="AB1223" i="9"/>
  <c r="AC1223" i="9"/>
  <c r="AA1224" i="9"/>
  <c r="AB1224" i="9"/>
  <c r="AC1224" i="9"/>
  <c r="AA1225" i="9"/>
  <c r="AB1225" i="9"/>
  <c r="AC1225" i="9"/>
  <c r="AA1226" i="9"/>
  <c r="AB1226" i="9"/>
  <c r="AC1226" i="9"/>
  <c r="AA1227" i="9"/>
  <c r="AB1227" i="9"/>
  <c r="AC1227" i="9"/>
  <c r="AA1228" i="9"/>
  <c r="AB1228" i="9"/>
  <c r="AC1228" i="9"/>
  <c r="AA1229" i="9"/>
  <c r="AB1229" i="9"/>
  <c r="AC1229" i="9"/>
  <c r="AA1230" i="9"/>
  <c r="AB1230" i="9"/>
  <c r="AC1230" i="9"/>
  <c r="AA1231" i="9"/>
  <c r="AB1231" i="9"/>
  <c r="AC1231" i="9"/>
  <c r="AA1232" i="9"/>
  <c r="AB1232" i="9"/>
  <c r="AC1232" i="9"/>
  <c r="AA1233" i="9"/>
  <c r="AB1233" i="9"/>
  <c r="AC1233" i="9"/>
  <c r="AA1234" i="9"/>
  <c r="AB1234" i="9"/>
  <c r="AC1234" i="9"/>
  <c r="AA1235" i="9"/>
  <c r="AB1235" i="9"/>
  <c r="AC1235" i="9"/>
  <c r="AA1236" i="9"/>
  <c r="AB1236" i="9"/>
  <c r="AC1236" i="9"/>
  <c r="AA1237" i="9"/>
  <c r="AB1237" i="9"/>
  <c r="AC1237" i="9"/>
  <c r="AA1238" i="9"/>
  <c r="AB1238" i="9"/>
  <c r="AC1238" i="9"/>
  <c r="AA1239" i="9"/>
  <c r="AB1239" i="9"/>
  <c r="AC1239" i="9"/>
  <c r="AA1240" i="9"/>
  <c r="AB1240" i="9"/>
  <c r="AC1240" i="9"/>
  <c r="AA1241" i="9"/>
  <c r="AB1241" i="9"/>
  <c r="AC1241" i="9"/>
  <c r="AA1242" i="9"/>
  <c r="AB1242" i="9"/>
  <c r="AC1242" i="9"/>
  <c r="AA1243" i="9"/>
  <c r="AB1243" i="9"/>
  <c r="AC1243" i="9"/>
  <c r="AA1244" i="9"/>
  <c r="AB1244" i="9"/>
  <c r="AC1244" i="9"/>
  <c r="AA1245" i="9"/>
  <c r="AB1245" i="9"/>
  <c r="AC1245" i="9"/>
  <c r="AA1246" i="9"/>
  <c r="AB1246" i="9"/>
  <c r="AC1246" i="9"/>
  <c r="AA1247" i="9"/>
  <c r="AB1247" i="9"/>
  <c r="AC1247" i="9"/>
  <c r="AA1248" i="9"/>
  <c r="AB1248" i="9"/>
  <c r="AC1248" i="9"/>
  <c r="AA1249" i="9"/>
  <c r="AB1249" i="9"/>
  <c r="AC1249" i="9"/>
  <c r="AA1250" i="9"/>
  <c r="AB1250" i="9"/>
  <c r="AC1250" i="9"/>
  <c r="AA1251" i="9"/>
  <c r="AB1251" i="9"/>
  <c r="AC1251" i="9"/>
  <c r="AA1252" i="9"/>
  <c r="AB1252" i="9"/>
  <c r="AC1252" i="9"/>
  <c r="AA1253" i="9"/>
  <c r="AB1253" i="9"/>
  <c r="AC1253" i="9"/>
  <c r="AA1254" i="9"/>
  <c r="AB1254" i="9"/>
  <c r="AC1254" i="9"/>
  <c r="AA1255" i="9"/>
  <c r="AB1255" i="9"/>
  <c r="AC1255" i="9"/>
  <c r="AA1256" i="9"/>
  <c r="AB1256" i="9"/>
  <c r="AC1256" i="9"/>
  <c r="AA1257" i="9"/>
  <c r="AB1257" i="9"/>
  <c r="AC1257" i="9"/>
  <c r="AA1258" i="9"/>
  <c r="AB1258" i="9"/>
  <c r="AC1258" i="9"/>
  <c r="AA1259" i="9"/>
  <c r="AB1259" i="9"/>
  <c r="AC1259" i="9"/>
  <c r="AA1260" i="9"/>
  <c r="AB1260" i="9"/>
  <c r="AC1260" i="9"/>
  <c r="AA1261" i="9"/>
  <c r="AB1261" i="9"/>
  <c r="AC1261" i="9"/>
  <c r="AA1262" i="9"/>
  <c r="AB1262" i="9"/>
  <c r="AC1262" i="9"/>
  <c r="AA1263" i="9"/>
  <c r="AB1263" i="9"/>
  <c r="AC1263" i="9"/>
  <c r="AA1264" i="9"/>
  <c r="AB1264" i="9"/>
  <c r="AC1264" i="9"/>
  <c r="AA1265" i="9"/>
  <c r="AB1265" i="9"/>
  <c r="AC1265" i="9"/>
  <c r="AA1266" i="9"/>
  <c r="AB1266" i="9"/>
  <c r="AC1266" i="9"/>
  <c r="AA1267" i="9"/>
  <c r="AB1267" i="9"/>
  <c r="AC1267" i="9"/>
  <c r="AA1268" i="9"/>
  <c r="AB1268" i="9"/>
  <c r="AC1268" i="9"/>
  <c r="AA1269" i="9"/>
  <c r="AB1269" i="9"/>
  <c r="AC1269" i="9"/>
  <c r="AA1270" i="9"/>
  <c r="AB1270" i="9"/>
  <c r="AC1270" i="9"/>
  <c r="AA1271" i="9"/>
  <c r="AB1271" i="9"/>
  <c r="AC1271" i="9"/>
  <c r="AA1272" i="9"/>
  <c r="AB1272" i="9"/>
  <c r="AC1272" i="9"/>
  <c r="AG1356" i="9" l="1"/>
  <c r="X1356" i="9"/>
  <c r="N1356" i="9"/>
  <c r="D1356" i="9"/>
  <c r="AG1355" i="9"/>
  <c r="X1355" i="9"/>
  <c r="N1355" i="9"/>
  <c r="D1355" i="9"/>
  <c r="AG1354" i="9"/>
  <c r="X1354" i="9"/>
  <c r="N1354" i="9"/>
  <c r="D1354" i="9"/>
  <c r="AG1353" i="9"/>
  <c r="X1353" i="9"/>
  <c r="N1353" i="9"/>
  <c r="D1353" i="9"/>
  <c r="AG1352" i="9"/>
  <c r="X1352" i="9"/>
  <c r="N1352" i="9"/>
  <c r="D1352" i="9"/>
  <c r="AG1351" i="9"/>
  <c r="X1351" i="9"/>
  <c r="N1351" i="9"/>
  <c r="D1351" i="9"/>
  <c r="AG1350" i="9"/>
  <c r="X1350" i="9"/>
  <c r="N1350" i="9"/>
  <c r="D1350" i="9"/>
  <c r="AG1349" i="9"/>
  <c r="X1349" i="9"/>
  <c r="N1349" i="9"/>
  <c r="D1349" i="9"/>
  <c r="AG1348" i="9"/>
  <c r="X1348" i="9"/>
  <c r="N1348" i="9"/>
  <c r="D1348" i="9"/>
  <c r="AG1347" i="9"/>
  <c r="X1347" i="9"/>
  <c r="N1347" i="9"/>
  <c r="D1347" i="9"/>
  <c r="AG1346" i="9"/>
  <c r="X1346" i="9"/>
  <c r="N1346" i="9"/>
  <c r="D1346" i="9"/>
  <c r="AG1345" i="9"/>
  <c r="X1345" i="9"/>
  <c r="N1345" i="9"/>
  <c r="D1345" i="9"/>
  <c r="AG1344" i="9"/>
  <c r="X1344" i="9"/>
  <c r="N1344" i="9"/>
  <c r="D1344" i="9"/>
  <c r="AG1343" i="9"/>
  <c r="X1343" i="9"/>
  <c r="N1343" i="9"/>
  <c r="D1343" i="9"/>
  <c r="AG1342" i="9"/>
  <c r="X1342" i="9"/>
  <c r="N1342" i="9"/>
  <c r="D1342" i="9"/>
  <c r="AG1341" i="9"/>
  <c r="X1341" i="9"/>
  <c r="N1341" i="9"/>
  <c r="D1341" i="9"/>
  <c r="AG1340" i="9"/>
  <c r="X1340" i="9"/>
  <c r="N1340" i="9"/>
  <c r="D1340" i="9"/>
  <c r="AG1339" i="9"/>
  <c r="X1339" i="9"/>
  <c r="N1339" i="9"/>
  <c r="D1339" i="9"/>
  <c r="AG1338" i="9"/>
  <c r="X1338" i="9"/>
  <c r="N1338" i="9"/>
  <c r="D1338" i="9"/>
  <c r="AG1337" i="9"/>
  <c r="X1337" i="9"/>
  <c r="N1337" i="9"/>
  <c r="D1337" i="9"/>
  <c r="AG1336" i="9"/>
  <c r="X1336" i="9"/>
  <c r="N1336" i="9"/>
  <c r="D1336" i="9"/>
  <c r="AG1335" i="9"/>
  <c r="X1335" i="9"/>
  <c r="N1335" i="9"/>
  <c r="D1335" i="9"/>
  <c r="AG1334" i="9"/>
  <c r="X1334" i="9"/>
  <c r="N1334" i="9"/>
  <c r="D1334" i="9"/>
  <c r="AG1333" i="9"/>
  <c r="X1333" i="9"/>
  <c r="N1333" i="9"/>
  <c r="D1333" i="9"/>
  <c r="AG1332" i="9"/>
  <c r="X1332" i="9"/>
  <c r="N1332" i="9"/>
  <c r="D1332" i="9"/>
  <c r="AG1331" i="9"/>
  <c r="X1331" i="9"/>
  <c r="N1331" i="9"/>
  <c r="D1331" i="9"/>
  <c r="AG1330" i="9"/>
  <c r="X1330" i="9"/>
  <c r="N1330" i="9"/>
  <c r="D1330" i="9"/>
  <c r="AG1329" i="9"/>
  <c r="X1329" i="9"/>
  <c r="N1329" i="9"/>
  <c r="D1329" i="9"/>
  <c r="AG1328" i="9"/>
  <c r="X1328" i="9"/>
  <c r="N1328" i="9"/>
  <c r="D1328" i="9"/>
  <c r="AG1327" i="9"/>
  <c r="X1327" i="9"/>
  <c r="N1327" i="9"/>
  <c r="D1327" i="9"/>
  <c r="AG1326" i="9"/>
  <c r="X1326" i="9"/>
  <c r="N1326" i="9"/>
  <c r="D1326" i="9"/>
  <c r="AG1325" i="9"/>
  <c r="X1325" i="9"/>
  <c r="N1325" i="9"/>
  <c r="D1325" i="9"/>
  <c r="AG1324" i="9"/>
  <c r="X1324" i="9"/>
  <c r="N1324" i="9"/>
  <c r="D1324" i="9"/>
  <c r="AG1323" i="9"/>
  <c r="X1323" i="9"/>
  <c r="N1323" i="9"/>
  <c r="D1323" i="9"/>
  <c r="AG1322" i="9"/>
  <c r="X1322" i="9"/>
  <c r="N1322" i="9"/>
  <c r="D1322" i="9"/>
  <c r="AG1321" i="9"/>
  <c r="X1321" i="9"/>
  <c r="N1321" i="9"/>
  <c r="D1321" i="9"/>
  <c r="AG1320" i="9"/>
  <c r="X1320" i="9"/>
  <c r="N1320" i="9"/>
  <c r="D1320" i="9"/>
  <c r="AG1319" i="9"/>
  <c r="X1319" i="9"/>
  <c r="N1319" i="9"/>
  <c r="D1319" i="9"/>
  <c r="AG1318" i="9"/>
  <c r="X1318" i="9"/>
  <c r="N1318" i="9"/>
  <c r="D1318" i="9"/>
  <c r="AG1317" i="9"/>
  <c r="X1317" i="9"/>
  <c r="N1317" i="9"/>
  <c r="D1317" i="9"/>
  <c r="AG1316" i="9"/>
  <c r="X1316" i="9"/>
  <c r="N1316" i="9"/>
  <c r="D1316" i="9"/>
  <c r="AG1315" i="9"/>
  <c r="X1315" i="9"/>
  <c r="N1315" i="9"/>
  <c r="D1315" i="9"/>
  <c r="AG1314" i="9"/>
  <c r="X1314" i="9"/>
  <c r="N1314" i="9"/>
  <c r="D1314" i="9"/>
  <c r="AG1313" i="9"/>
  <c r="X1313" i="9"/>
  <c r="N1313" i="9"/>
  <c r="D1313" i="9"/>
  <c r="AG1312" i="9"/>
  <c r="X1312" i="9"/>
  <c r="N1312" i="9"/>
  <c r="D1312" i="9"/>
  <c r="AG1311" i="9"/>
  <c r="X1311" i="9"/>
  <c r="N1311" i="9"/>
  <c r="D1311" i="9"/>
  <c r="AG1310" i="9"/>
  <c r="X1310" i="9"/>
  <c r="N1310" i="9"/>
  <c r="D1310" i="9"/>
  <c r="AG1309" i="9"/>
  <c r="X1309" i="9"/>
  <c r="N1309" i="9"/>
  <c r="D1309" i="9"/>
  <c r="AG1308" i="9"/>
  <c r="X1308" i="9"/>
  <c r="N1308" i="9"/>
  <c r="D1308" i="9"/>
  <c r="AG1307" i="9"/>
  <c r="X1307" i="9"/>
  <c r="N1307" i="9"/>
  <c r="D1307" i="9"/>
  <c r="AG1306" i="9"/>
  <c r="X1306" i="9"/>
  <c r="N1306" i="9"/>
  <c r="D1306" i="9"/>
  <c r="AG1305" i="9"/>
  <c r="X1305" i="9"/>
  <c r="N1305" i="9"/>
  <c r="D1305" i="9"/>
  <c r="AG1304" i="9"/>
  <c r="X1304" i="9"/>
  <c r="N1304" i="9"/>
  <c r="D1304" i="9"/>
  <c r="AG1303" i="9"/>
  <c r="X1303" i="9"/>
  <c r="N1303" i="9"/>
  <c r="D1303" i="9"/>
  <c r="AG1302" i="9"/>
  <c r="X1302" i="9"/>
  <c r="N1302" i="9"/>
  <c r="D1302" i="9"/>
  <c r="AG1301" i="9"/>
  <c r="X1301" i="9"/>
  <c r="N1301" i="9"/>
  <c r="D1301" i="9"/>
  <c r="AG1300" i="9"/>
  <c r="X1300" i="9"/>
  <c r="N1300" i="9"/>
  <c r="D1300" i="9"/>
  <c r="AG1299" i="9"/>
  <c r="X1299" i="9"/>
  <c r="N1299" i="9"/>
  <c r="D1299" i="9"/>
  <c r="AG1298" i="9"/>
  <c r="X1298" i="9"/>
  <c r="N1298" i="9"/>
  <c r="D1298" i="9"/>
  <c r="AG1297" i="9"/>
  <c r="X1297" i="9"/>
  <c r="N1297" i="9"/>
  <c r="D1297" i="9"/>
  <c r="AG1296" i="9"/>
  <c r="X1296" i="9"/>
  <c r="N1296" i="9"/>
  <c r="D1296" i="9"/>
  <c r="AG1295" i="9"/>
  <c r="X1295" i="9"/>
  <c r="N1295" i="9"/>
  <c r="D1295" i="9"/>
  <c r="AG1294" i="9"/>
  <c r="X1294" i="9"/>
  <c r="N1294" i="9"/>
  <c r="D1294" i="9"/>
  <c r="AG1293" i="9"/>
  <c r="X1293" i="9"/>
  <c r="N1293" i="9"/>
  <c r="D1293" i="9"/>
  <c r="AG1292" i="9"/>
  <c r="X1292" i="9"/>
  <c r="N1292" i="9"/>
  <c r="D1292" i="9"/>
  <c r="AG1291" i="9"/>
  <c r="X1291" i="9"/>
  <c r="N1291" i="9"/>
  <c r="D1291" i="9"/>
  <c r="AG1290" i="9"/>
  <c r="X1290" i="9"/>
  <c r="N1290" i="9"/>
  <c r="D1290" i="9"/>
  <c r="AG1289" i="9"/>
  <c r="X1289" i="9"/>
  <c r="N1289" i="9"/>
  <c r="D1289" i="9"/>
  <c r="AG1288" i="9"/>
  <c r="X1288" i="9"/>
  <c r="N1288" i="9"/>
  <c r="D1288" i="9"/>
  <c r="AG1287" i="9"/>
  <c r="X1287" i="9"/>
  <c r="N1287" i="9"/>
  <c r="D1287" i="9"/>
  <c r="AG1286" i="9"/>
  <c r="X1286" i="9"/>
  <c r="N1286" i="9"/>
  <c r="D1286" i="9"/>
  <c r="AG1285" i="9"/>
  <c r="X1285" i="9"/>
  <c r="N1285" i="9"/>
  <c r="D1285" i="9"/>
  <c r="AG1284" i="9"/>
  <c r="X1284" i="9"/>
  <c r="N1284" i="9"/>
  <c r="D1284" i="9"/>
  <c r="AG1283" i="9"/>
  <c r="X1283" i="9"/>
  <c r="N1283" i="9"/>
  <c r="D1283" i="9"/>
  <c r="AG1282" i="9"/>
  <c r="X1282" i="9"/>
  <c r="N1282" i="9"/>
  <c r="D1282" i="9"/>
  <c r="AG1281" i="9"/>
  <c r="X1281" i="9"/>
  <c r="N1281" i="9"/>
  <c r="D1281" i="9"/>
  <c r="AG1280" i="9"/>
  <c r="X1280" i="9"/>
  <c r="N1280" i="9"/>
  <c r="D1280" i="9"/>
  <c r="AG1279" i="9"/>
  <c r="X1279" i="9"/>
  <c r="N1279" i="9"/>
  <c r="D1279" i="9"/>
  <c r="AA1177" i="9" l="1"/>
  <c r="AB1177" i="9"/>
  <c r="AC1177" i="9"/>
  <c r="AA1178" i="9"/>
  <c r="AB1178" i="9"/>
  <c r="AC1178" i="9"/>
  <c r="AA1179" i="9"/>
  <c r="AB1179" i="9"/>
  <c r="AC1179" i="9"/>
  <c r="AA1180" i="9"/>
  <c r="AB1180" i="9"/>
  <c r="AC1180" i="9"/>
  <c r="AA1181" i="9"/>
  <c r="AB1181" i="9"/>
  <c r="AC1181" i="9"/>
  <c r="AA1182" i="9"/>
  <c r="AB1182" i="9"/>
  <c r="AC1182" i="9"/>
  <c r="AA1183" i="9"/>
  <c r="AB1183" i="9"/>
  <c r="AC1183" i="9"/>
  <c r="AA1184" i="9"/>
  <c r="AB1184" i="9"/>
  <c r="AC1184" i="9"/>
  <c r="AA1185" i="9"/>
  <c r="AB1185" i="9"/>
  <c r="AC1185" i="9"/>
  <c r="AA1186" i="9"/>
  <c r="AB1186" i="9"/>
  <c r="AC1186" i="9"/>
  <c r="AA1187" i="9"/>
  <c r="AB1187" i="9"/>
  <c r="AC1187" i="9"/>
  <c r="AA1188" i="9"/>
  <c r="AB1188" i="9"/>
  <c r="AC1188" i="9"/>
  <c r="AA1189" i="9"/>
  <c r="AB1189" i="9"/>
  <c r="AC1189" i="9"/>
  <c r="AA1190" i="9"/>
  <c r="AB1190" i="9"/>
  <c r="AC1190" i="9"/>
  <c r="AA1191" i="9"/>
  <c r="AB1191" i="9"/>
  <c r="AC1191" i="9"/>
  <c r="AA1192" i="9"/>
  <c r="AB1192" i="9"/>
  <c r="AC1192" i="9"/>
  <c r="AA1193" i="9"/>
  <c r="AB1193" i="9"/>
  <c r="AC1193" i="9"/>
  <c r="AA1194" i="9"/>
  <c r="AB1194" i="9"/>
  <c r="AC1194" i="9"/>
  <c r="AA1195" i="9"/>
  <c r="AB1195" i="9"/>
  <c r="AC1195" i="9"/>
  <c r="AA1196" i="9"/>
  <c r="AB1196" i="9"/>
  <c r="AC1196" i="9"/>
  <c r="AA1197" i="9"/>
  <c r="AB1197" i="9"/>
  <c r="AC1197" i="9"/>
  <c r="AA1198" i="9"/>
  <c r="AB1198" i="9"/>
  <c r="AC1198" i="9"/>
  <c r="AA1199" i="9"/>
  <c r="AB1199" i="9"/>
  <c r="AC1199" i="9"/>
  <c r="AA1200" i="9"/>
  <c r="AB1200" i="9"/>
  <c r="AC1200" i="9"/>
  <c r="AA1201" i="9"/>
  <c r="AB1201" i="9"/>
  <c r="AC1201" i="9"/>
  <c r="AA1202" i="9"/>
  <c r="AB1202" i="9"/>
  <c r="AC1202" i="9"/>
  <c r="AA1203" i="9"/>
  <c r="AB1203" i="9"/>
  <c r="AC1203" i="9"/>
  <c r="AA1204" i="9"/>
  <c r="AB1204" i="9"/>
  <c r="AC1204" i="9"/>
  <c r="AA1205" i="9"/>
  <c r="AB1205" i="9"/>
  <c r="AC1205" i="9"/>
  <c r="AA1206" i="9"/>
  <c r="AB1206" i="9"/>
  <c r="AC1206" i="9"/>
  <c r="AA1207" i="9"/>
  <c r="AB1207" i="9"/>
  <c r="AC1207" i="9"/>
  <c r="AA1208" i="9"/>
  <c r="AB1208" i="9"/>
  <c r="AC1208" i="9"/>
  <c r="AA1209" i="9"/>
  <c r="AB1209" i="9"/>
  <c r="AC1209" i="9"/>
  <c r="AG1278" i="9" l="1"/>
  <c r="X1278" i="9"/>
  <c r="N1278" i="9"/>
  <c r="D1278" i="9"/>
  <c r="AF1277" i="9"/>
  <c r="X1277" i="9"/>
  <c r="N1277" i="9"/>
  <c r="D1277" i="9"/>
  <c r="AF1276" i="9"/>
  <c r="X1276" i="9"/>
  <c r="N1276" i="9"/>
  <c r="D1276" i="9"/>
  <c r="AF1275" i="9"/>
  <c r="X1275" i="9"/>
  <c r="N1275" i="9"/>
  <c r="D1275" i="9"/>
  <c r="AF1274" i="9"/>
  <c r="X1274" i="9"/>
  <c r="N1274" i="9"/>
  <c r="D1274" i="9"/>
  <c r="AG1274" i="9" l="1"/>
  <c r="AG1275" i="9"/>
  <c r="AG1276" i="9"/>
  <c r="AG1277" i="9"/>
  <c r="AF1263" i="9"/>
  <c r="X1263" i="9"/>
  <c r="N1263" i="9"/>
  <c r="D1263" i="9"/>
  <c r="AF1262" i="9"/>
  <c r="X1262" i="9"/>
  <c r="N1262" i="9"/>
  <c r="D1262" i="9"/>
  <c r="AG1261" i="9"/>
  <c r="X1261" i="9"/>
  <c r="N1261" i="9"/>
  <c r="D1261" i="9"/>
  <c r="AG1260" i="9"/>
  <c r="X1260" i="9"/>
  <c r="N1260" i="9"/>
  <c r="D1260" i="9"/>
  <c r="AG1259" i="9"/>
  <c r="X1259" i="9"/>
  <c r="N1259" i="9"/>
  <c r="D1259" i="9"/>
  <c r="AF1258" i="9"/>
  <c r="X1258" i="9"/>
  <c r="N1258" i="9"/>
  <c r="D1258" i="9"/>
  <c r="AF1257" i="9"/>
  <c r="X1257" i="9"/>
  <c r="N1257" i="9"/>
  <c r="D1257" i="9"/>
  <c r="AF1256" i="9"/>
  <c r="X1256" i="9"/>
  <c r="N1256" i="9"/>
  <c r="D1256" i="9"/>
  <c r="AF1255" i="9"/>
  <c r="X1255" i="9"/>
  <c r="N1255" i="9"/>
  <c r="D1255" i="9"/>
  <c r="AF1254" i="9"/>
  <c r="X1254" i="9"/>
  <c r="N1254" i="9"/>
  <c r="D1254" i="9"/>
  <c r="AF1253" i="9"/>
  <c r="X1253" i="9"/>
  <c r="N1253" i="9"/>
  <c r="D1253" i="9"/>
  <c r="AF1252" i="9"/>
  <c r="X1252" i="9"/>
  <c r="N1252" i="9"/>
  <c r="D1252" i="9"/>
  <c r="AG1252" i="9" l="1"/>
  <c r="AG1253" i="9"/>
  <c r="AG1254" i="9"/>
  <c r="AG1255" i="9"/>
  <c r="AG1256" i="9"/>
  <c r="AG1257" i="9"/>
  <c r="AG1258" i="9"/>
  <c r="AG1262" i="9"/>
  <c r="AG1263" i="9"/>
  <c r="AA1167" i="9"/>
  <c r="AB1167" i="9"/>
  <c r="AC1167" i="9"/>
  <c r="AA1168" i="9"/>
  <c r="AB1168" i="9"/>
  <c r="AC1168" i="9"/>
  <c r="AA1169" i="9"/>
  <c r="AB1169" i="9"/>
  <c r="AC1169" i="9"/>
  <c r="AA1170" i="9"/>
  <c r="AB1170" i="9"/>
  <c r="AC1170" i="9"/>
  <c r="AA1171" i="9"/>
  <c r="AB1171" i="9"/>
  <c r="AC1171" i="9"/>
  <c r="AA1172" i="9"/>
  <c r="AB1172" i="9"/>
  <c r="AC1172" i="9"/>
  <c r="AA1173" i="9"/>
  <c r="AB1173" i="9"/>
  <c r="AC1173" i="9"/>
  <c r="AA1174" i="9"/>
  <c r="AB1174" i="9"/>
  <c r="AC1174" i="9"/>
  <c r="AA1175" i="9"/>
  <c r="AB1175" i="9"/>
  <c r="AC1175" i="9"/>
  <c r="AA1176" i="9"/>
  <c r="AB1176" i="9"/>
  <c r="AC1176" i="9"/>
  <c r="AA1161" i="9" l="1"/>
  <c r="AB1161" i="9"/>
  <c r="AC1161" i="9"/>
  <c r="AA1162" i="9"/>
  <c r="AB1162" i="9"/>
  <c r="AC1162" i="9"/>
  <c r="AA1163" i="9"/>
  <c r="AB1163" i="9"/>
  <c r="AC1163" i="9"/>
  <c r="AA1164" i="9"/>
  <c r="AB1164" i="9"/>
  <c r="AC1164" i="9"/>
  <c r="AA1165" i="9"/>
  <c r="AB1165" i="9"/>
  <c r="AC1165" i="9"/>
  <c r="AA1166" i="9"/>
  <c r="AB1166" i="9"/>
  <c r="AC1166" i="9"/>
  <c r="AA1116" i="9" l="1"/>
  <c r="AB1116" i="9"/>
  <c r="AC1116" i="9"/>
  <c r="AA1117" i="9"/>
  <c r="AB1117" i="9"/>
  <c r="AC1117" i="9"/>
  <c r="AA1118" i="9"/>
  <c r="AB1118" i="9"/>
  <c r="AC1118" i="9"/>
  <c r="AA1119" i="9"/>
  <c r="AB1119" i="9"/>
  <c r="AC1119" i="9"/>
  <c r="AA1120" i="9"/>
  <c r="AB1120" i="9"/>
  <c r="AC1120" i="9"/>
  <c r="AA1121" i="9"/>
  <c r="AB1121" i="9"/>
  <c r="AC1121" i="9"/>
  <c r="AA1122" i="9"/>
  <c r="AB1122" i="9"/>
  <c r="AC1122" i="9"/>
  <c r="AA1123" i="9"/>
  <c r="AB1123" i="9"/>
  <c r="AC1123" i="9"/>
  <c r="AA1124" i="9"/>
  <c r="AB1124" i="9"/>
  <c r="AC1124" i="9"/>
  <c r="AA1125" i="9"/>
  <c r="AB1125" i="9"/>
  <c r="AC1125" i="9"/>
  <c r="AA1126" i="9"/>
  <c r="AB1126" i="9"/>
  <c r="AC1126" i="9"/>
  <c r="AA1127" i="9"/>
  <c r="AB1127" i="9"/>
  <c r="AC1127" i="9"/>
  <c r="AA1128" i="9"/>
  <c r="AB1128" i="9"/>
  <c r="AC1128" i="9"/>
  <c r="AA1129" i="9"/>
  <c r="AB1129" i="9"/>
  <c r="AC1129" i="9"/>
  <c r="AA1130" i="9"/>
  <c r="AB1130" i="9"/>
  <c r="AC1130" i="9"/>
  <c r="AA1131" i="9"/>
  <c r="AB1131" i="9"/>
  <c r="AC1131" i="9"/>
  <c r="AA1132" i="9"/>
  <c r="AB1132" i="9"/>
  <c r="AC1132" i="9"/>
  <c r="AA1133" i="9"/>
  <c r="AB1133" i="9"/>
  <c r="AC1133" i="9"/>
  <c r="AA1134" i="9"/>
  <c r="AB1134" i="9"/>
  <c r="AC1134" i="9"/>
  <c r="AA1135" i="9"/>
  <c r="AB1135" i="9"/>
  <c r="AC1135" i="9"/>
  <c r="AA1136" i="9"/>
  <c r="AB1136" i="9"/>
  <c r="AC1136" i="9"/>
  <c r="AA1137" i="9"/>
  <c r="AB1137" i="9"/>
  <c r="AC1137" i="9"/>
  <c r="AA1138" i="9"/>
  <c r="AB1138" i="9"/>
  <c r="AC1138" i="9"/>
  <c r="AA1139" i="9"/>
  <c r="AB1139" i="9"/>
  <c r="AC1139" i="9"/>
  <c r="AA1140" i="9"/>
  <c r="AB1140" i="9"/>
  <c r="AC1140" i="9"/>
  <c r="AA1141" i="9"/>
  <c r="AB1141" i="9"/>
  <c r="AC1141" i="9"/>
  <c r="AA1142" i="9"/>
  <c r="AB1142" i="9"/>
  <c r="AC1142" i="9"/>
  <c r="AA1143" i="9"/>
  <c r="AB1143" i="9"/>
  <c r="AC1143" i="9"/>
  <c r="AA1144" i="9"/>
  <c r="AB1144" i="9"/>
  <c r="AC1144" i="9"/>
  <c r="AA1145" i="9"/>
  <c r="AB1145" i="9"/>
  <c r="AC1145" i="9"/>
  <c r="AA1146" i="9"/>
  <c r="AB1146" i="9"/>
  <c r="AC1146" i="9"/>
  <c r="AA1147" i="9"/>
  <c r="AB1147" i="9"/>
  <c r="AC1147" i="9"/>
  <c r="AA1148" i="9"/>
  <c r="AB1148" i="9"/>
  <c r="AC1148" i="9"/>
  <c r="AA1149" i="9"/>
  <c r="AB1149" i="9"/>
  <c r="AC1149" i="9"/>
  <c r="AA1150" i="9"/>
  <c r="AB1150" i="9"/>
  <c r="AC1150" i="9"/>
  <c r="AA1151" i="9"/>
  <c r="AB1151" i="9"/>
  <c r="AC1151" i="9"/>
  <c r="AA1152" i="9"/>
  <c r="AB1152" i="9"/>
  <c r="AC1152" i="9"/>
  <c r="AA1153" i="9"/>
  <c r="AB1153" i="9"/>
  <c r="AC1153" i="9"/>
  <c r="AA1154" i="9"/>
  <c r="AB1154" i="9"/>
  <c r="AC1154" i="9"/>
  <c r="AA1155" i="9"/>
  <c r="AB1155" i="9"/>
  <c r="AC1155" i="9"/>
  <c r="AA1156" i="9"/>
  <c r="AB1156" i="9"/>
  <c r="AC1156" i="9"/>
  <c r="AA1157" i="9"/>
  <c r="AB1157" i="9"/>
  <c r="AC1157" i="9"/>
  <c r="AA1158" i="9"/>
  <c r="AB1158" i="9"/>
  <c r="AC1158" i="9"/>
  <c r="AA1159" i="9"/>
  <c r="AB1159" i="9"/>
  <c r="AC1159" i="9"/>
  <c r="AA1160" i="9"/>
  <c r="AB1160" i="9"/>
  <c r="AC1160" i="9"/>
  <c r="AA1084" i="9" l="1"/>
  <c r="AB1084" i="9"/>
  <c r="AC1084" i="9"/>
  <c r="AA1085" i="9"/>
  <c r="AB1085" i="9"/>
  <c r="AC1085" i="9"/>
  <c r="AA1086" i="9"/>
  <c r="AB1086" i="9"/>
  <c r="AC1086" i="9"/>
  <c r="AA1087" i="9"/>
  <c r="AB1087" i="9"/>
  <c r="AC1087" i="9"/>
  <c r="AA1088" i="9"/>
  <c r="AB1088" i="9"/>
  <c r="AC1088" i="9"/>
  <c r="AA1089" i="9"/>
  <c r="AB1089" i="9"/>
  <c r="AC1089" i="9"/>
  <c r="AA1090" i="9"/>
  <c r="AB1090" i="9"/>
  <c r="AC1090" i="9"/>
  <c r="AA1091" i="9"/>
  <c r="AB1091" i="9"/>
  <c r="AC1091" i="9"/>
  <c r="AA1092" i="9"/>
  <c r="AB1092" i="9"/>
  <c r="AC1092" i="9"/>
  <c r="AA1093" i="9"/>
  <c r="AB1093" i="9"/>
  <c r="AC1093" i="9"/>
  <c r="AA1094" i="9"/>
  <c r="AB1094" i="9"/>
  <c r="AC1094" i="9"/>
  <c r="AA1095" i="9"/>
  <c r="AB1095" i="9"/>
  <c r="AC1095" i="9"/>
  <c r="AA1096" i="9"/>
  <c r="AB1096" i="9"/>
  <c r="AC1096" i="9"/>
  <c r="AA1097" i="9"/>
  <c r="AB1097" i="9"/>
  <c r="AC1097" i="9"/>
  <c r="AA1098" i="9"/>
  <c r="AB1098" i="9"/>
  <c r="AC1098" i="9"/>
  <c r="AA1099" i="9"/>
  <c r="AB1099" i="9"/>
  <c r="AC1099" i="9"/>
  <c r="AA1100" i="9"/>
  <c r="AB1100" i="9"/>
  <c r="AC1100" i="9"/>
  <c r="AA1101" i="9"/>
  <c r="AB1101" i="9"/>
  <c r="AC1101" i="9"/>
  <c r="AA1102" i="9"/>
  <c r="AB1102" i="9"/>
  <c r="AC1102" i="9"/>
  <c r="AA1103" i="9"/>
  <c r="AB1103" i="9"/>
  <c r="AC1103" i="9"/>
  <c r="AA1104" i="9"/>
  <c r="AB1104" i="9"/>
  <c r="AC1104" i="9"/>
  <c r="AA1105" i="9"/>
  <c r="AB1105" i="9"/>
  <c r="AC1105" i="9"/>
  <c r="AA1106" i="9"/>
  <c r="AB1106" i="9"/>
  <c r="AC1106" i="9"/>
  <c r="AA1107" i="9"/>
  <c r="AB1107" i="9"/>
  <c r="AC1107" i="9"/>
  <c r="AA1108" i="9"/>
  <c r="AB1108" i="9"/>
  <c r="AC1108" i="9"/>
  <c r="AA1109" i="9"/>
  <c r="AB1109" i="9"/>
  <c r="AC1109" i="9"/>
  <c r="AA1110" i="9"/>
  <c r="AB1110" i="9"/>
  <c r="AC1110" i="9"/>
  <c r="AA1111" i="9"/>
  <c r="AB1111" i="9"/>
  <c r="AC1111" i="9"/>
  <c r="AA1112" i="9"/>
  <c r="AB1112" i="9"/>
  <c r="AC1112" i="9"/>
  <c r="AA1113" i="9"/>
  <c r="AB1113" i="9"/>
  <c r="AC1113" i="9"/>
  <c r="AA1114" i="9"/>
  <c r="AB1114" i="9"/>
  <c r="AC1114" i="9"/>
  <c r="AA1115" i="9"/>
  <c r="AB1115" i="9"/>
  <c r="AC1115" i="9"/>
  <c r="AG1273" i="9" l="1"/>
  <c r="X1273" i="9"/>
  <c r="N1273" i="9"/>
  <c r="D1273" i="9"/>
  <c r="AG1272" i="9"/>
  <c r="X1272" i="9"/>
  <c r="N1272" i="9"/>
  <c r="D1272" i="9"/>
  <c r="AG1271" i="9"/>
  <c r="X1271" i="9"/>
  <c r="N1271" i="9"/>
  <c r="D1271" i="9"/>
  <c r="AF1270" i="9"/>
  <c r="X1270" i="9"/>
  <c r="N1270" i="9"/>
  <c r="D1270" i="9"/>
  <c r="AF1269" i="9"/>
  <c r="X1269" i="9"/>
  <c r="N1269" i="9"/>
  <c r="D1269" i="9"/>
  <c r="AF1268" i="9"/>
  <c r="X1268" i="9"/>
  <c r="N1268" i="9"/>
  <c r="D1268" i="9"/>
  <c r="AF1267" i="9"/>
  <c r="X1267" i="9"/>
  <c r="N1267" i="9"/>
  <c r="D1267" i="9"/>
  <c r="AF1266" i="9"/>
  <c r="X1266" i="9"/>
  <c r="N1266" i="9"/>
  <c r="D1266" i="9"/>
  <c r="AF1265" i="9"/>
  <c r="X1265" i="9"/>
  <c r="N1265" i="9"/>
  <c r="D1265" i="9"/>
  <c r="AF1264" i="9"/>
  <c r="X1264" i="9"/>
  <c r="N1264" i="9"/>
  <c r="D1264" i="9"/>
  <c r="AF1251" i="9"/>
  <c r="X1251" i="9"/>
  <c r="N1251" i="9"/>
  <c r="D1251" i="9"/>
  <c r="AF1250" i="9"/>
  <c r="X1250" i="9"/>
  <c r="N1250" i="9"/>
  <c r="D1250" i="9"/>
  <c r="AG1249" i="9"/>
  <c r="X1249" i="9"/>
  <c r="N1249" i="9"/>
  <c r="D1249" i="9"/>
  <c r="AG1248" i="9"/>
  <c r="X1248" i="9"/>
  <c r="N1248" i="9"/>
  <c r="D1248" i="9"/>
  <c r="AG1247" i="9"/>
  <c r="X1247" i="9"/>
  <c r="N1247" i="9"/>
  <c r="D1247" i="9"/>
  <c r="AF1246" i="9"/>
  <c r="X1246" i="9"/>
  <c r="N1246" i="9"/>
  <c r="D1246" i="9"/>
  <c r="AF1245" i="9"/>
  <c r="X1245" i="9"/>
  <c r="N1245" i="9"/>
  <c r="D1245" i="9"/>
  <c r="AF1244" i="9"/>
  <c r="X1244" i="9"/>
  <c r="N1244" i="9"/>
  <c r="D1244" i="9"/>
  <c r="AF1243" i="9"/>
  <c r="X1243" i="9"/>
  <c r="N1243" i="9"/>
  <c r="D1243" i="9"/>
  <c r="AF1242" i="9"/>
  <c r="X1242" i="9"/>
  <c r="N1242" i="9"/>
  <c r="D1242" i="9"/>
  <c r="AF1241" i="9"/>
  <c r="X1241" i="9"/>
  <c r="N1241" i="9"/>
  <c r="D1241" i="9"/>
  <c r="AF1240" i="9"/>
  <c r="X1240" i="9"/>
  <c r="N1240" i="9"/>
  <c r="D1240" i="9"/>
  <c r="AG1239" i="9"/>
  <c r="X1239" i="9"/>
  <c r="N1239" i="9"/>
  <c r="D1239" i="9"/>
  <c r="AG1238" i="9"/>
  <c r="X1238" i="9"/>
  <c r="N1238" i="9"/>
  <c r="D1238" i="9"/>
  <c r="AG1237" i="9"/>
  <c r="X1237" i="9"/>
  <c r="N1237" i="9"/>
  <c r="D1237" i="9"/>
  <c r="AF1236" i="9"/>
  <c r="AG1236" i="9" s="1"/>
  <c r="X1236" i="9"/>
  <c r="N1236" i="9"/>
  <c r="D1236" i="9"/>
  <c r="AF1235" i="9"/>
  <c r="AG1235" i="9" s="1"/>
  <c r="X1235" i="9"/>
  <c r="N1235" i="9"/>
  <c r="D1235" i="9"/>
  <c r="AF1234" i="9"/>
  <c r="AG1234" i="9" s="1"/>
  <c r="X1234" i="9"/>
  <c r="N1234" i="9"/>
  <c r="D1234" i="9"/>
  <c r="AF1233" i="9"/>
  <c r="AG1233" i="9" s="1"/>
  <c r="X1233" i="9"/>
  <c r="N1233" i="9"/>
  <c r="D1233" i="9"/>
  <c r="AF1232" i="9"/>
  <c r="AG1232" i="9" s="1"/>
  <c r="X1232" i="9"/>
  <c r="N1232" i="9"/>
  <c r="D1232" i="9"/>
  <c r="AF1231" i="9"/>
  <c r="AG1231" i="9" s="1"/>
  <c r="X1231" i="9"/>
  <c r="N1231" i="9"/>
  <c r="D1231" i="9"/>
  <c r="AF1230" i="9"/>
  <c r="AG1230" i="9" s="1"/>
  <c r="X1230" i="9"/>
  <c r="N1230" i="9"/>
  <c r="D1230" i="9"/>
  <c r="AG1229" i="9"/>
  <c r="X1229" i="9"/>
  <c r="N1229" i="9"/>
  <c r="D1229" i="9"/>
  <c r="AG1228" i="9"/>
  <c r="X1228" i="9"/>
  <c r="N1228" i="9"/>
  <c r="D1228" i="9"/>
  <c r="AG1227" i="9"/>
  <c r="X1227" i="9"/>
  <c r="N1227" i="9"/>
  <c r="D1227" i="9"/>
  <c r="AG1226" i="9"/>
  <c r="X1226" i="9"/>
  <c r="N1226" i="9"/>
  <c r="D1226" i="9"/>
  <c r="AF1225" i="9"/>
  <c r="AG1225" i="9" s="1"/>
  <c r="X1225" i="9"/>
  <c r="N1225" i="9"/>
  <c r="D1225" i="9"/>
  <c r="AF1224" i="9"/>
  <c r="AG1224" i="9" s="1"/>
  <c r="X1224" i="9"/>
  <c r="N1224" i="9"/>
  <c r="D1224" i="9"/>
  <c r="AF1223" i="9"/>
  <c r="AG1223" i="9" s="1"/>
  <c r="X1223" i="9"/>
  <c r="N1223" i="9"/>
  <c r="D1223" i="9"/>
  <c r="AF1222" i="9"/>
  <c r="AG1222" i="9" s="1"/>
  <c r="X1222" i="9"/>
  <c r="N1222" i="9"/>
  <c r="D1222" i="9"/>
  <c r="AF1221" i="9"/>
  <c r="AG1221" i="9" s="1"/>
  <c r="X1221" i="9"/>
  <c r="N1221" i="9"/>
  <c r="D1221" i="9"/>
  <c r="AF1220" i="9"/>
  <c r="AG1220" i="9" s="1"/>
  <c r="X1220" i="9"/>
  <c r="N1220" i="9"/>
  <c r="D1220" i="9"/>
  <c r="AF1219" i="9"/>
  <c r="AG1219" i="9" s="1"/>
  <c r="X1219" i="9"/>
  <c r="N1219" i="9"/>
  <c r="D1219" i="9"/>
  <c r="AG1218" i="9"/>
  <c r="X1218" i="9"/>
  <c r="N1218" i="9"/>
  <c r="D1218" i="9"/>
  <c r="AF1217" i="9"/>
  <c r="AG1217" i="9" s="1"/>
  <c r="X1217" i="9"/>
  <c r="N1217" i="9"/>
  <c r="D1217" i="9"/>
  <c r="AF1216" i="9"/>
  <c r="AG1216" i="9" s="1"/>
  <c r="X1216" i="9"/>
  <c r="N1216" i="9"/>
  <c r="D1216" i="9"/>
  <c r="AF1215" i="9"/>
  <c r="AG1215" i="9" s="1"/>
  <c r="X1215" i="9"/>
  <c r="N1215" i="9"/>
  <c r="D1215" i="9"/>
  <c r="AG1214" i="9"/>
  <c r="X1214" i="9"/>
  <c r="N1214" i="9"/>
  <c r="D1214" i="9"/>
  <c r="AG1213" i="9"/>
  <c r="X1213" i="9"/>
  <c r="N1213" i="9"/>
  <c r="D1213" i="9"/>
  <c r="AG1212" i="9"/>
  <c r="X1212" i="9"/>
  <c r="N1212" i="9"/>
  <c r="D1212" i="9"/>
  <c r="AF1211" i="9"/>
  <c r="AG1211" i="9" s="1"/>
  <c r="X1211" i="9"/>
  <c r="N1211" i="9"/>
  <c r="D1211" i="9"/>
  <c r="AF1210" i="9"/>
  <c r="AG1210" i="9" s="1"/>
  <c r="X1210" i="9"/>
  <c r="N1210" i="9"/>
  <c r="D1210" i="9"/>
  <c r="AF1209" i="9"/>
  <c r="AG1209" i="9" s="1"/>
  <c r="X1209" i="9"/>
  <c r="N1209" i="9"/>
  <c r="D1209" i="9"/>
  <c r="AF1208" i="9"/>
  <c r="AG1208" i="9" s="1"/>
  <c r="X1208" i="9"/>
  <c r="N1208" i="9"/>
  <c r="D1208" i="9"/>
  <c r="AF1207" i="9"/>
  <c r="AG1207" i="9" s="1"/>
  <c r="X1207" i="9"/>
  <c r="N1207" i="9"/>
  <c r="D1207" i="9"/>
  <c r="AF1206" i="9"/>
  <c r="AG1206" i="9" s="1"/>
  <c r="X1206" i="9"/>
  <c r="N1206" i="9"/>
  <c r="D1206" i="9"/>
  <c r="AF1205" i="9"/>
  <c r="AG1205" i="9" s="1"/>
  <c r="X1205" i="9"/>
  <c r="N1205" i="9"/>
  <c r="D1205" i="9"/>
  <c r="AF1204" i="9"/>
  <c r="AG1204" i="9" s="1"/>
  <c r="X1204" i="9"/>
  <c r="N1204" i="9"/>
  <c r="D1204" i="9"/>
  <c r="AF1203" i="9"/>
  <c r="AG1203" i="9" s="1"/>
  <c r="X1203" i="9"/>
  <c r="N1203" i="9"/>
  <c r="D1203" i="9"/>
  <c r="AF1202" i="9"/>
  <c r="AG1202" i="9" s="1"/>
  <c r="X1202" i="9"/>
  <c r="N1202" i="9"/>
  <c r="D1202" i="9"/>
  <c r="AG1240" i="9" l="1"/>
  <c r="AG1241" i="9"/>
  <c r="AG1242" i="9"/>
  <c r="AG1243" i="9"/>
  <c r="AG1244" i="9"/>
  <c r="AG1245" i="9"/>
  <c r="AG1246" i="9"/>
  <c r="AG1250" i="9"/>
  <c r="AG1251" i="9"/>
  <c r="AG1264" i="9"/>
  <c r="AG1265" i="9"/>
  <c r="AG1266" i="9"/>
  <c r="AG1267" i="9"/>
  <c r="AG1268" i="9"/>
  <c r="AG1269" i="9"/>
  <c r="AG1270" i="9"/>
  <c r="AA1073" i="9"/>
  <c r="AB1073" i="9"/>
  <c r="AC1073" i="9"/>
  <c r="AA1074" i="9"/>
  <c r="AB1074" i="9"/>
  <c r="AC1074" i="9"/>
  <c r="AA1075" i="9"/>
  <c r="AB1075" i="9"/>
  <c r="AC1075" i="9"/>
  <c r="AA1076" i="9"/>
  <c r="AB1076" i="9"/>
  <c r="AC1076" i="9"/>
  <c r="AA1077" i="9"/>
  <c r="AB1077" i="9"/>
  <c r="AC1077" i="9"/>
  <c r="AA1078" i="9"/>
  <c r="AB1078" i="9"/>
  <c r="AC1078" i="9"/>
  <c r="AA1079" i="9"/>
  <c r="AB1079" i="9"/>
  <c r="AC1079" i="9"/>
  <c r="AA1080" i="9"/>
  <c r="AB1080" i="9"/>
  <c r="AC1080" i="9"/>
  <c r="AA1081" i="9"/>
  <c r="AB1081" i="9"/>
  <c r="AC1081" i="9"/>
  <c r="AA1082" i="9"/>
  <c r="AB1082" i="9"/>
  <c r="AC1082" i="9"/>
  <c r="AA1083" i="9"/>
  <c r="AB1083" i="9"/>
  <c r="AC1083" i="9"/>
  <c r="X1167" i="9" l="1"/>
  <c r="AF1182" i="9" l="1"/>
  <c r="AG1182" i="9" s="1"/>
  <c r="X1182" i="9"/>
  <c r="N1182" i="9"/>
  <c r="D1182" i="9"/>
  <c r="AF1181" i="9"/>
  <c r="AG1181" i="9" s="1"/>
  <c r="X1181" i="9"/>
  <c r="N1181" i="9"/>
  <c r="D1181" i="9"/>
  <c r="AF1180" i="9"/>
  <c r="AG1180" i="9" s="1"/>
  <c r="X1180" i="9"/>
  <c r="N1180" i="9"/>
  <c r="D1180" i="9"/>
  <c r="AF1179" i="9"/>
  <c r="AG1179" i="9" s="1"/>
  <c r="X1179" i="9"/>
  <c r="N1179" i="9"/>
  <c r="D1179" i="9"/>
  <c r="AG1178" i="9"/>
  <c r="X1178" i="9"/>
  <c r="N1178" i="9"/>
  <c r="D1178" i="9"/>
  <c r="AF1177" i="9"/>
  <c r="AG1177" i="9" s="1"/>
  <c r="X1177" i="9"/>
  <c r="N1177" i="9"/>
  <c r="D1177" i="9"/>
  <c r="AF1176" i="9"/>
  <c r="AG1176" i="9" s="1"/>
  <c r="X1176" i="9"/>
  <c r="N1176" i="9"/>
  <c r="D1176" i="9"/>
  <c r="AF1175" i="9"/>
  <c r="AG1175" i="9" s="1"/>
  <c r="X1175" i="9"/>
  <c r="N1175" i="9"/>
  <c r="D1175" i="9"/>
  <c r="AF1174" i="9" l="1"/>
  <c r="AG1174" i="9" s="1"/>
  <c r="X1174" i="9"/>
  <c r="N1174" i="9"/>
  <c r="D1174" i="9"/>
  <c r="AF1173" i="9"/>
  <c r="AG1173" i="9" s="1"/>
  <c r="X1173" i="9"/>
  <c r="N1173" i="9"/>
  <c r="D1173" i="9"/>
  <c r="AG1172" i="9"/>
  <c r="X1172" i="9"/>
  <c r="N1172" i="9"/>
  <c r="D1172" i="9"/>
  <c r="AG1171" i="9"/>
  <c r="X1171" i="9"/>
  <c r="N1171" i="9"/>
  <c r="D1171" i="9"/>
  <c r="AF1170" i="9"/>
  <c r="AG1170" i="9" s="1"/>
  <c r="X1170" i="9"/>
  <c r="N1170" i="9"/>
  <c r="D1170" i="9"/>
  <c r="AF1169" i="9"/>
  <c r="AG1169" i="9" s="1"/>
  <c r="X1169" i="9"/>
  <c r="N1169" i="9"/>
  <c r="D1169" i="9"/>
  <c r="AF1168" i="9"/>
  <c r="AG1168" i="9" s="1"/>
  <c r="X1168" i="9"/>
  <c r="N1168" i="9"/>
  <c r="D1168" i="9"/>
  <c r="X1026" i="9" l="1"/>
  <c r="X1165" i="9" l="1"/>
  <c r="X1164" i="9"/>
  <c r="X1162" i="9"/>
  <c r="X1159" i="9"/>
  <c r="X1157" i="9"/>
  <c r="X1155" i="9"/>
  <c r="X1149" i="9"/>
  <c r="X1147" i="9"/>
  <c r="X1145" i="9"/>
  <c r="X1144" i="9"/>
  <c r="X1142" i="9"/>
  <c r="X1141" i="9"/>
  <c r="X1140" i="9"/>
  <c r="X1138" i="9"/>
  <c r="X1137" i="9"/>
  <c r="X1136" i="9"/>
  <c r="X1135" i="9"/>
  <c r="X1130" i="9"/>
  <c r="X1129" i="9"/>
  <c r="X1128" i="9"/>
  <c r="X1127" i="9"/>
  <c r="X1125" i="9"/>
  <c r="X1124" i="9"/>
  <c r="X1123" i="9"/>
  <c r="X1120" i="9"/>
  <c r="X1118" i="9"/>
  <c r="X1117" i="9"/>
  <c r="X1111" i="9"/>
  <c r="X1110" i="9"/>
  <c r="X1109" i="9"/>
  <c r="X1106" i="9"/>
  <c r="X1104" i="9"/>
  <c r="X1102" i="9"/>
  <c r="X1101" i="9"/>
  <c r="X1099" i="9"/>
  <c r="X1098" i="9"/>
  <c r="X1096" i="9"/>
  <c r="X1093" i="9"/>
  <c r="X1091" i="9"/>
  <c r="X1089" i="9"/>
  <c r="X1088" i="9"/>
  <c r="X1086" i="9"/>
  <c r="X1082" i="9"/>
  <c r="X1081" i="9"/>
  <c r="X1080" i="9"/>
  <c r="X1077" i="9"/>
  <c r="X1075" i="9"/>
  <c r="X1074" i="9"/>
  <c r="X1072" i="9"/>
  <c r="X1071" i="9"/>
  <c r="X1070" i="9"/>
  <c r="X1069" i="9"/>
  <c r="X1067" i="9"/>
  <c r="X1065" i="9"/>
  <c r="X1064" i="9"/>
  <c r="X1062" i="9"/>
  <c r="X1059" i="9"/>
  <c r="X1055" i="9"/>
  <c r="X1043" i="9"/>
  <c r="X1042" i="9"/>
  <c r="X1039" i="9"/>
  <c r="N1162" i="9" l="1"/>
  <c r="AA1072" i="9" l="1"/>
  <c r="AB1072" i="9"/>
  <c r="AC1072" i="9"/>
  <c r="AG1201" i="9" l="1"/>
  <c r="X1201" i="9"/>
  <c r="N1201" i="9"/>
  <c r="D1201" i="9"/>
  <c r="AG1200" i="9"/>
  <c r="X1200" i="9"/>
  <c r="N1200" i="9"/>
  <c r="D1200" i="9"/>
  <c r="AG1199" i="9"/>
  <c r="X1199" i="9"/>
  <c r="N1199" i="9"/>
  <c r="D1199" i="9"/>
  <c r="AF1198" i="9"/>
  <c r="AG1198" i="9" s="1"/>
  <c r="X1198" i="9"/>
  <c r="N1198" i="9"/>
  <c r="D1198" i="9"/>
  <c r="AF1197" i="9"/>
  <c r="AG1197" i="9" s="1"/>
  <c r="X1197" i="9"/>
  <c r="N1197" i="9"/>
  <c r="D1197" i="9"/>
  <c r="AF1196" i="9"/>
  <c r="AG1196" i="9" s="1"/>
  <c r="X1196" i="9"/>
  <c r="N1196" i="9"/>
  <c r="D1196" i="9"/>
  <c r="AF1195" i="9"/>
  <c r="AG1195" i="9" s="1"/>
  <c r="X1195" i="9"/>
  <c r="N1195" i="9"/>
  <c r="D1195" i="9"/>
  <c r="AF1194" i="9"/>
  <c r="AG1194" i="9" s="1"/>
  <c r="X1194" i="9"/>
  <c r="N1194" i="9"/>
  <c r="D1194" i="9"/>
  <c r="AG1193" i="9"/>
  <c r="X1193" i="9"/>
  <c r="N1193" i="9"/>
  <c r="D1193" i="9"/>
  <c r="AG1192" i="9"/>
  <c r="X1192" i="9"/>
  <c r="N1192" i="9"/>
  <c r="D1192" i="9"/>
  <c r="AG1191" i="9"/>
  <c r="X1191" i="9"/>
  <c r="N1191" i="9"/>
  <c r="D1191" i="9"/>
  <c r="AG1190" i="9"/>
  <c r="X1190" i="9"/>
  <c r="N1190" i="9"/>
  <c r="D1190" i="9"/>
  <c r="AG1189" i="9"/>
  <c r="X1189" i="9"/>
  <c r="N1189" i="9"/>
  <c r="D1189" i="9"/>
  <c r="AG1188" i="9"/>
  <c r="X1188" i="9"/>
  <c r="N1188" i="9"/>
  <c r="D1188" i="9"/>
  <c r="AF1187" i="9"/>
  <c r="AG1187" i="9" s="1"/>
  <c r="X1187" i="9"/>
  <c r="N1187" i="9"/>
  <c r="D1187" i="9"/>
  <c r="AF1186" i="9"/>
  <c r="AG1186" i="9" s="1"/>
  <c r="X1186" i="9"/>
  <c r="N1186" i="9"/>
  <c r="D1186" i="9"/>
  <c r="AF1185" i="9"/>
  <c r="AG1185" i="9" s="1"/>
  <c r="X1185" i="9"/>
  <c r="N1185" i="9"/>
  <c r="D1185" i="9"/>
  <c r="AF1184" i="9"/>
  <c r="AG1184" i="9" s="1"/>
  <c r="X1184" i="9"/>
  <c r="N1184" i="9"/>
  <c r="D1184" i="9"/>
  <c r="AF1183" i="9"/>
  <c r="AG1183" i="9" s="1"/>
  <c r="X1183" i="9"/>
  <c r="N1183" i="9"/>
  <c r="D1183" i="9"/>
  <c r="AF1167" i="9"/>
  <c r="AG1167" i="9" s="1"/>
  <c r="N1167" i="9"/>
  <c r="D1167" i="9"/>
  <c r="AF1166" i="9"/>
  <c r="AG1166" i="9" s="1"/>
  <c r="X1166" i="9"/>
  <c r="N1166" i="9"/>
  <c r="D1166" i="9"/>
  <c r="AF1165" i="9"/>
  <c r="AG1165" i="9" s="1"/>
  <c r="N1165" i="9"/>
  <c r="D1165" i="9"/>
  <c r="AF1164" i="9"/>
  <c r="AG1164" i="9" s="1"/>
  <c r="N1164" i="9"/>
  <c r="D1164" i="9"/>
  <c r="AF1163" i="9"/>
  <c r="AG1163" i="9" s="1"/>
  <c r="X1163" i="9"/>
  <c r="N1163" i="9"/>
  <c r="D1163" i="9"/>
  <c r="AF1162" i="9"/>
  <c r="AG1162" i="9" s="1"/>
  <c r="D1162" i="9"/>
  <c r="AF1161" i="9"/>
  <c r="AG1161" i="9" s="1"/>
  <c r="X1161" i="9"/>
  <c r="N1161" i="9"/>
  <c r="D1161" i="9"/>
  <c r="AF1160" i="9"/>
  <c r="AG1160" i="9" s="1"/>
  <c r="X1160" i="9"/>
  <c r="N1160" i="9"/>
  <c r="D1160" i="9"/>
  <c r="AF1159" i="9"/>
  <c r="AG1159" i="9" s="1"/>
  <c r="N1159" i="9"/>
  <c r="D1159" i="9"/>
  <c r="AF1158" i="9" l="1"/>
  <c r="AG1158" i="9" s="1"/>
  <c r="X1158" i="9"/>
  <c r="N1158" i="9"/>
  <c r="D1158" i="9"/>
  <c r="AF1157" i="9"/>
  <c r="AG1157" i="9" s="1"/>
  <c r="N1157" i="9"/>
  <c r="D1157" i="9"/>
  <c r="AF1156" i="9"/>
  <c r="AG1156" i="9" s="1"/>
  <c r="X1156" i="9"/>
  <c r="N1156" i="9"/>
  <c r="D1156" i="9"/>
  <c r="AF1155" i="9"/>
  <c r="AG1155" i="9" s="1"/>
  <c r="N1155" i="9"/>
  <c r="D1155" i="9"/>
  <c r="AG1154" i="9"/>
  <c r="X1154" i="9"/>
  <c r="N1154" i="9"/>
  <c r="D1154" i="9"/>
  <c r="AG1153" i="9"/>
  <c r="X1153" i="9"/>
  <c r="N1153" i="9"/>
  <c r="D1153" i="9"/>
  <c r="AG1152" i="9"/>
  <c r="X1152" i="9"/>
  <c r="N1152" i="9"/>
  <c r="D1152" i="9"/>
  <c r="AG1151" i="9"/>
  <c r="X1151" i="9"/>
  <c r="N1151" i="9"/>
  <c r="D1151" i="9"/>
  <c r="AF1150" i="9"/>
  <c r="AG1150" i="9" s="1"/>
  <c r="X1150" i="9"/>
  <c r="N1150" i="9"/>
  <c r="D1150" i="9"/>
  <c r="AF1149" i="9"/>
  <c r="AG1149" i="9" s="1"/>
  <c r="N1149" i="9"/>
  <c r="D1149" i="9"/>
  <c r="D1135" i="9"/>
  <c r="N1135" i="9"/>
  <c r="D1136" i="9"/>
  <c r="N1136" i="9"/>
  <c r="D1137" i="9"/>
  <c r="N1137" i="9"/>
  <c r="D1138" i="9"/>
  <c r="N1138" i="9"/>
  <c r="D1139" i="9"/>
  <c r="N1139" i="9"/>
  <c r="X1139" i="9"/>
  <c r="D1140" i="9"/>
  <c r="N1140" i="9"/>
  <c r="D1141" i="9"/>
  <c r="N1141" i="9"/>
  <c r="D1142" i="9"/>
  <c r="N1142" i="9"/>
  <c r="D1143" i="9"/>
  <c r="N1143" i="9"/>
  <c r="X1143" i="9"/>
  <c r="D1144" i="9"/>
  <c r="N1144" i="9"/>
  <c r="D1145" i="9"/>
  <c r="N1145" i="9"/>
  <c r="D1146" i="9"/>
  <c r="N1146" i="9"/>
  <c r="X1146" i="9"/>
  <c r="D1147" i="9"/>
  <c r="N1147" i="9"/>
  <c r="D1148" i="9"/>
  <c r="N1148" i="9"/>
  <c r="X1148" i="9"/>
  <c r="X1134" i="9"/>
  <c r="N1134" i="9"/>
  <c r="D1134" i="9"/>
  <c r="X1133" i="9"/>
  <c r="N1133" i="9"/>
  <c r="D1133" i="9"/>
  <c r="X1132" i="9"/>
  <c r="N1132" i="9"/>
  <c r="D1132" i="9"/>
  <c r="X1131" i="9"/>
  <c r="N1131" i="9"/>
  <c r="D1131" i="9"/>
  <c r="N1130" i="9"/>
  <c r="D1130" i="9"/>
  <c r="N1129" i="9"/>
  <c r="D1129" i="9"/>
  <c r="N1128" i="9"/>
  <c r="D1128" i="9"/>
  <c r="AA1034" i="9" l="1"/>
  <c r="AB1034" i="9"/>
  <c r="AC1034" i="9"/>
  <c r="AA1035" i="9"/>
  <c r="AB1035" i="9"/>
  <c r="AC1035" i="9"/>
  <c r="AA1036" i="9"/>
  <c r="AB1036" i="9"/>
  <c r="AC1036" i="9"/>
  <c r="AA1037" i="9"/>
  <c r="AB1037" i="9"/>
  <c r="AC1037" i="9"/>
  <c r="AA1038" i="9"/>
  <c r="AB1038" i="9"/>
  <c r="AC1038" i="9"/>
  <c r="AA1039" i="9"/>
  <c r="AB1039" i="9"/>
  <c r="AC1039" i="9"/>
  <c r="AA1040" i="9"/>
  <c r="AB1040" i="9"/>
  <c r="AC1040" i="9"/>
  <c r="AA1041" i="9"/>
  <c r="AB1041" i="9"/>
  <c r="AC1041" i="9"/>
  <c r="AA1042" i="9"/>
  <c r="AB1042" i="9"/>
  <c r="AC1042" i="9"/>
  <c r="AA1043" i="9"/>
  <c r="AB1043" i="9"/>
  <c r="AC1043" i="9"/>
  <c r="AA1044" i="9"/>
  <c r="AB1044" i="9"/>
  <c r="AC1044" i="9"/>
  <c r="AA1045" i="9"/>
  <c r="AB1045" i="9"/>
  <c r="AC1045" i="9"/>
  <c r="AA1046" i="9"/>
  <c r="AB1046" i="9"/>
  <c r="AC1046" i="9"/>
  <c r="AA1047" i="9"/>
  <c r="AB1047" i="9"/>
  <c r="AC1047" i="9"/>
  <c r="AA1048" i="9"/>
  <c r="AB1048" i="9"/>
  <c r="AC1048" i="9"/>
  <c r="AA1049" i="9"/>
  <c r="AB1049" i="9"/>
  <c r="AC1049" i="9"/>
  <c r="AA1050" i="9"/>
  <c r="AB1050" i="9"/>
  <c r="AC1050" i="9"/>
  <c r="AA1051" i="9"/>
  <c r="AB1051" i="9"/>
  <c r="AC1051" i="9"/>
  <c r="AA1052" i="9"/>
  <c r="AB1052" i="9"/>
  <c r="AC1052" i="9"/>
  <c r="AA1053" i="9"/>
  <c r="AB1053" i="9"/>
  <c r="AC1053" i="9"/>
  <c r="AA1054" i="9"/>
  <c r="AB1054" i="9"/>
  <c r="AC1054" i="9"/>
  <c r="AA1055" i="9"/>
  <c r="AB1055" i="9"/>
  <c r="AC1055" i="9"/>
  <c r="AA1056" i="9"/>
  <c r="AB1056" i="9"/>
  <c r="AC1056" i="9"/>
  <c r="AA1057" i="9"/>
  <c r="AB1057" i="9"/>
  <c r="AC1057" i="9"/>
  <c r="AA1058" i="9"/>
  <c r="AB1058" i="9"/>
  <c r="AC1058" i="9"/>
  <c r="AA1059" i="9"/>
  <c r="AB1059" i="9"/>
  <c r="AC1059" i="9"/>
  <c r="AA1060" i="9"/>
  <c r="AB1060" i="9"/>
  <c r="AC1060" i="9"/>
  <c r="AA1061" i="9"/>
  <c r="AB1061" i="9"/>
  <c r="AC1061" i="9"/>
  <c r="AA1062" i="9"/>
  <c r="AB1062" i="9"/>
  <c r="AC1062" i="9"/>
  <c r="AA1063" i="9"/>
  <c r="AB1063" i="9"/>
  <c r="AC1063" i="9"/>
  <c r="AA1064" i="9"/>
  <c r="AB1064" i="9"/>
  <c r="AC1064" i="9"/>
  <c r="AA1065" i="9"/>
  <c r="AB1065" i="9"/>
  <c r="AC1065" i="9"/>
  <c r="AA1066" i="9"/>
  <c r="AB1066" i="9"/>
  <c r="AC1066" i="9"/>
  <c r="AA1067" i="9"/>
  <c r="AB1067" i="9"/>
  <c r="AC1067" i="9"/>
  <c r="AA1068" i="9"/>
  <c r="AB1068" i="9"/>
  <c r="AC1068" i="9"/>
  <c r="AA1069" i="9"/>
  <c r="AB1069" i="9"/>
  <c r="AC1069" i="9"/>
  <c r="AA1070" i="9"/>
  <c r="AB1070" i="9"/>
  <c r="AC1070" i="9"/>
  <c r="AA1071" i="9"/>
  <c r="AB1071" i="9"/>
  <c r="AC1071" i="9"/>
  <c r="AF1121" i="9"/>
  <c r="AF1122" i="9"/>
  <c r="AF1123" i="9"/>
  <c r="AF1124" i="9"/>
  <c r="AF1125" i="9"/>
  <c r="AF1120" i="9"/>
  <c r="AA1010" i="9" l="1"/>
  <c r="AB1010" i="9"/>
  <c r="AC1010" i="9"/>
  <c r="AA1011" i="9"/>
  <c r="AB1011" i="9"/>
  <c r="AC1011" i="9"/>
  <c r="AA1012" i="9"/>
  <c r="AB1012" i="9"/>
  <c r="AC1012" i="9"/>
  <c r="AA1013" i="9"/>
  <c r="AB1013" i="9"/>
  <c r="AC1013" i="9"/>
  <c r="AA1014" i="9"/>
  <c r="AB1014" i="9"/>
  <c r="AC1014" i="9"/>
  <c r="AA1015" i="9"/>
  <c r="AB1015" i="9"/>
  <c r="AC1015" i="9"/>
  <c r="AA1016" i="9"/>
  <c r="AB1016" i="9"/>
  <c r="AC1016" i="9"/>
  <c r="AA1017" i="9"/>
  <c r="AB1017" i="9"/>
  <c r="AC1017" i="9"/>
  <c r="AA1018" i="9"/>
  <c r="AB1018" i="9"/>
  <c r="AC1018" i="9"/>
  <c r="AA1019" i="9"/>
  <c r="AB1019" i="9"/>
  <c r="AC1019" i="9"/>
  <c r="AA1020" i="9"/>
  <c r="AB1020" i="9"/>
  <c r="AC1020" i="9"/>
  <c r="AA1021" i="9"/>
  <c r="AB1021" i="9"/>
  <c r="AC1021" i="9"/>
  <c r="AA1022" i="9"/>
  <c r="AB1022" i="9"/>
  <c r="AC1022" i="9"/>
  <c r="AA1023" i="9"/>
  <c r="AB1023" i="9"/>
  <c r="AC1023" i="9"/>
  <c r="AA1024" i="9"/>
  <c r="AB1024" i="9"/>
  <c r="AC1024" i="9"/>
  <c r="AA1025" i="9"/>
  <c r="AB1025" i="9"/>
  <c r="AC1025" i="9"/>
  <c r="AA1026" i="9"/>
  <c r="AB1026" i="9"/>
  <c r="AC1026" i="9"/>
  <c r="AA1027" i="9"/>
  <c r="AB1027" i="9"/>
  <c r="AC1027" i="9"/>
  <c r="AA1028" i="9"/>
  <c r="AB1028" i="9"/>
  <c r="AC1028" i="9"/>
  <c r="AA1029" i="9"/>
  <c r="AB1029" i="9"/>
  <c r="AC1029" i="9"/>
  <c r="AA1030" i="9"/>
  <c r="AB1030" i="9"/>
  <c r="AC1030" i="9"/>
  <c r="AA1031" i="9"/>
  <c r="AB1031" i="9"/>
  <c r="AC1031" i="9"/>
  <c r="AA1032" i="9"/>
  <c r="AB1032" i="9"/>
  <c r="AC1032" i="9"/>
  <c r="AA1033" i="9"/>
  <c r="AB1033" i="9"/>
  <c r="AC1033" i="9"/>
  <c r="X1087" i="9" l="1"/>
  <c r="P1127" i="9" l="1"/>
  <c r="N1127" i="9"/>
  <c r="D1127" i="9"/>
  <c r="X1126" i="9"/>
  <c r="P1126" i="9"/>
  <c r="N1126" i="9"/>
  <c r="D1126" i="9"/>
  <c r="P1125" i="9"/>
  <c r="N1125" i="9"/>
  <c r="D1125" i="9"/>
  <c r="P1124" i="9"/>
  <c r="N1124" i="9"/>
  <c r="D1124" i="9"/>
  <c r="P1123" i="9"/>
  <c r="N1123" i="9"/>
  <c r="D1123" i="9"/>
  <c r="X1122" i="9"/>
  <c r="P1122" i="9"/>
  <c r="N1122" i="9"/>
  <c r="D1122" i="9"/>
  <c r="X1121" i="9"/>
  <c r="P1121" i="9"/>
  <c r="N1121" i="9"/>
  <c r="D1121" i="9"/>
  <c r="P1120" i="9"/>
  <c r="N1120" i="9"/>
  <c r="D1120" i="9"/>
  <c r="X1119" i="9"/>
  <c r="P1119" i="9"/>
  <c r="N1119" i="9"/>
  <c r="D1119" i="9"/>
  <c r="P1118" i="9"/>
  <c r="N1118" i="9"/>
  <c r="D1118" i="9"/>
  <c r="P1117" i="9"/>
  <c r="N1117" i="9"/>
  <c r="D1117" i="9"/>
  <c r="X1116" i="9"/>
  <c r="P1116" i="9"/>
  <c r="N1116" i="9"/>
  <c r="D1116" i="9"/>
  <c r="X1115" i="9"/>
  <c r="P1115" i="9"/>
  <c r="N1115" i="9"/>
  <c r="D1115" i="9"/>
  <c r="X1114" i="9"/>
  <c r="P1114" i="9"/>
  <c r="N1114" i="9"/>
  <c r="D1114" i="9"/>
  <c r="X1113" i="9"/>
  <c r="P1113" i="9"/>
  <c r="N1113" i="9"/>
  <c r="D1113" i="9"/>
  <c r="X1112" i="9"/>
  <c r="P1112" i="9"/>
  <c r="N1112" i="9"/>
  <c r="D1112" i="9"/>
  <c r="P1111" i="9"/>
  <c r="N1111" i="9"/>
  <c r="D1111" i="9"/>
  <c r="P1110" i="9"/>
  <c r="N1110" i="9"/>
  <c r="D1110" i="9"/>
  <c r="P1109" i="9"/>
  <c r="N1109" i="9"/>
  <c r="D1109" i="9"/>
  <c r="X1108" i="9"/>
  <c r="P1108" i="9"/>
  <c r="N1108" i="9"/>
  <c r="D1108" i="9"/>
  <c r="X1107" i="9"/>
  <c r="P1107" i="9"/>
  <c r="N1107" i="9"/>
  <c r="D1107" i="9"/>
  <c r="P1106" i="9"/>
  <c r="N1106" i="9"/>
  <c r="D1106" i="9"/>
  <c r="X1105" i="9"/>
  <c r="P1105" i="9"/>
  <c r="N1105" i="9"/>
  <c r="D1105" i="9"/>
  <c r="P1104" i="9"/>
  <c r="N1104" i="9"/>
  <c r="D1104" i="9"/>
  <c r="X1103" i="9"/>
  <c r="P1103" i="9"/>
  <c r="N1103" i="9"/>
  <c r="D1103" i="9"/>
  <c r="P1102" i="9"/>
  <c r="N1102" i="9"/>
  <c r="D1102" i="9"/>
  <c r="P1101" i="9"/>
  <c r="N1101" i="9"/>
  <c r="D1101" i="9"/>
  <c r="X1100" i="9"/>
  <c r="P1100" i="9"/>
  <c r="N1100" i="9"/>
  <c r="D1100" i="9"/>
  <c r="P1099" i="9"/>
  <c r="N1099" i="9"/>
  <c r="D1099" i="9"/>
  <c r="P1098" i="9"/>
  <c r="N1098" i="9"/>
  <c r="D1098" i="9"/>
  <c r="X1097" i="9"/>
  <c r="P1097" i="9"/>
  <c r="N1097" i="9"/>
  <c r="D1097" i="9"/>
  <c r="P1096" i="9"/>
  <c r="N1096" i="9"/>
  <c r="D1096" i="9"/>
  <c r="X1095" i="9"/>
  <c r="P1095" i="9"/>
  <c r="N1095" i="9"/>
  <c r="D1095" i="9"/>
  <c r="X1094" i="9"/>
  <c r="P1094" i="9"/>
  <c r="N1094" i="9"/>
  <c r="D1094" i="9"/>
  <c r="P1093" i="9"/>
  <c r="N1093" i="9"/>
  <c r="D1093" i="9"/>
  <c r="X1092" i="9"/>
  <c r="P1092" i="9"/>
  <c r="N1092" i="9"/>
  <c r="D1092" i="9"/>
  <c r="X1063" i="9" l="1"/>
  <c r="P1063" i="9"/>
  <c r="N1063" i="9"/>
  <c r="D1063" i="9"/>
  <c r="P1062" i="9"/>
  <c r="N1062" i="9"/>
  <c r="D1062" i="9"/>
  <c r="X1061" i="9"/>
  <c r="P1061" i="9"/>
  <c r="N1061" i="9"/>
  <c r="D1061" i="9"/>
  <c r="X1060" i="9"/>
  <c r="P1060" i="9"/>
  <c r="N1060" i="9"/>
  <c r="D1060" i="9"/>
  <c r="P1059" i="9"/>
  <c r="N1059" i="9"/>
  <c r="D1059" i="9"/>
  <c r="X1084" i="9"/>
  <c r="P1084" i="9"/>
  <c r="N1084" i="9"/>
  <c r="D1084" i="9"/>
  <c r="X1083" i="9"/>
  <c r="P1083" i="9"/>
  <c r="N1083" i="9"/>
  <c r="D1083" i="9"/>
  <c r="P1082" i="9"/>
  <c r="N1082" i="9"/>
  <c r="D1082" i="9"/>
  <c r="P1081" i="9"/>
  <c r="N1081" i="9"/>
  <c r="D1081" i="9"/>
  <c r="P1080" i="9"/>
  <c r="N1080" i="9"/>
  <c r="D1080" i="9"/>
  <c r="X1079" i="9"/>
  <c r="P1079" i="9"/>
  <c r="N1079" i="9"/>
  <c r="D1079" i="9"/>
  <c r="X1078" i="9"/>
  <c r="P1078" i="9"/>
  <c r="N1078" i="9"/>
  <c r="D1078" i="9"/>
  <c r="P1077" i="9"/>
  <c r="N1077" i="9"/>
  <c r="D1077" i="9"/>
  <c r="X1076" i="9"/>
  <c r="P1076" i="9"/>
  <c r="N1076" i="9"/>
  <c r="D1076" i="9"/>
  <c r="P1075" i="9"/>
  <c r="N1075" i="9"/>
  <c r="D1075" i="9"/>
  <c r="P1074" i="9"/>
  <c r="N1074" i="9"/>
  <c r="D1074" i="9"/>
  <c r="X1073" i="9"/>
  <c r="P1073" i="9"/>
  <c r="N1073" i="9"/>
  <c r="D1073" i="9"/>
  <c r="P1072" i="9"/>
  <c r="N1072" i="9"/>
  <c r="D1072" i="9"/>
  <c r="P1071" i="9"/>
  <c r="N1071" i="9"/>
  <c r="D1071" i="9"/>
  <c r="P1070" i="9"/>
  <c r="N1070" i="9"/>
  <c r="D1070" i="9"/>
  <c r="P1069" i="9"/>
  <c r="N1069" i="9"/>
  <c r="D1069" i="9"/>
  <c r="X1068" i="9"/>
  <c r="P1068" i="9"/>
  <c r="N1068" i="9"/>
  <c r="D1068" i="9"/>
  <c r="P1067" i="9"/>
  <c r="N1067" i="9"/>
  <c r="D1067" i="9"/>
  <c r="X1066" i="9"/>
  <c r="P1066" i="9"/>
  <c r="N1066" i="9"/>
  <c r="D1066" i="9"/>
  <c r="P1065" i="9"/>
  <c r="N1065" i="9"/>
  <c r="D1065" i="9"/>
  <c r="P1064" i="9"/>
  <c r="N1064" i="9"/>
  <c r="D1064" i="9"/>
  <c r="X1058" i="9"/>
  <c r="P1058" i="9"/>
  <c r="N1058" i="9"/>
  <c r="D1058" i="9"/>
  <c r="P1091" i="9" l="1"/>
  <c r="N1091" i="9"/>
  <c r="D1091" i="9"/>
  <c r="X1090" i="9"/>
  <c r="P1090" i="9"/>
  <c r="N1090" i="9"/>
  <c r="D1090" i="9"/>
  <c r="P1089" i="9"/>
  <c r="N1089" i="9"/>
  <c r="D1089" i="9"/>
  <c r="P1088" i="9"/>
  <c r="N1088" i="9"/>
  <c r="D1088" i="9"/>
  <c r="P1087" i="9"/>
  <c r="N1087" i="9"/>
  <c r="D1087" i="9"/>
  <c r="P1086" i="9"/>
  <c r="N1086" i="9"/>
  <c r="D1086" i="9"/>
  <c r="X1085" i="9"/>
  <c r="P1085" i="9"/>
  <c r="N1085" i="9"/>
  <c r="D1085" i="9"/>
  <c r="N1031" i="9" l="1"/>
  <c r="X1031" i="9"/>
  <c r="X1032" i="9"/>
  <c r="X1033" i="9"/>
  <c r="X1034" i="9"/>
  <c r="X1035" i="9"/>
  <c r="X1036" i="9"/>
  <c r="X1037" i="9"/>
  <c r="X1027" i="9" l="1"/>
  <c r="X1057" i="9" l="1"/>
  <c r="P1057" i="9"/>
  <c r="N1057" i="9"/>
  <c r="D1057" i="9"/>
  <c r="X1056" i="9"/>
  <c r="P1056" i="9"/>
  <c r="N1056" i="9"/>
  <c r="D1056" i="9"/>
  <c r="P1055" i="9"/>
  <c r="N1055" i="9"/>
  <c r="D1055" i="9"/>
  <c r="X1054" i="9"/>
  <c r="P1054" i="9"/>
  <c r="N1054" i="9"/>
  <c r="D1054" i="9"/>
  <c r="X1053" i="9"/>
  <c r="P1053" i="9"/>
  <c r="N1053" i="9"/>
  <c r="D1053" i="9"/>
  <c r="X1052" i="9"/>
  <c r="P1052" i="9"/>
  <c r="N1052" i="9"/>
  <c r="D1052" i="9"/>
  <c r="X1051" i="9"/>
  <c r="P1051" i="9"/>
  <c r="N1051" i="9"/>
  <c r="D1051" i="9"/>
  <c r="X1050" i="9"/>
  <c r="P1050" i="9"/>
  <c r="N1050" i="9"/>
  <c r="D1050" i="9"/>
  <c r="X1049" i="9"/>
  <c r="P1049" i="9"/>
  <c r="N1049" i="9"/>
  <c r="D1049" i="9"/>
  <c r="X1048" i="9"/>
  <c r="P1048" i="9"/>
  <c r="N1048" i="9"/>
  <c r="D1048" i="9"/>
  <c r="X1047" i="9"/>
  <c r="P1047" i="9"/>
  <c r="N1047" i="9"/>
  <c r="D1047" i="9"/>
  <c r="X1046" i="9"/>
  <c r="P1046" i="9"/>
  <c r="N1046" i="9"/>
  <c r="D1046" i="9"/>
  <c r="X1045" i="9"/>
  <c r="P1045" i="9"/>
  <c r="N1045" i="9"/>
  <c r="D1045" i="9"/>
  <c r="X1044" i="9"/>
  <c r="P1044" i="9"/>
  <c r="N1044" i="9"/>
  <c r="D1044" i="9"/>
  <c r="P1043" i="9"/>
  <c r="N1043" i="9"/>
  <c r="D1043" i="9"/>
  <c r="P1042" i="9"/>
  <c r="N1042" i="9"/>
  <c r="D1042" i="9"/>
  <c r="X1041" i="9"/>
  <c r="P1041" i="9"/>
  <c r="N1041" i="9"/>
  <c r="D1041" i="9"/>
  <c r="X1040" i="9"/>
  <c r="P1040" i="9"/>
  <c r="N1040" i="9"/>
  <c r="D1040" i="9"/>
  <c r="P1039" i="9"/>
  <c r="N1039" i="9"/>
  <c r="D1039" i="9"/>
  <c r="X1038" i="9"/>
  <c r="P1038" i="9"/>
  <c r="N1038" i="9"/>
  <c r="D1038" i="9"/>
  <c r="P1037" i="9"/>
  <c r="N1037" i="9"/>
  <c r="D1037" i="9"/>
  <c r="P1036" i="9"/>
  <c r="N1036" i="9"/>
  <c r="D1036" i="9"/>
  <c r="P1035" i="9"/>
  <c r="N1035" i="9"/>
  <c r="D1035" i="9"/>
  <c r="P1034" i="9"/>
  <c r="N1034" i="9"/>
  <c r="D1034" i="9"/>
  <c r="P1033" i="9"/>
  <c r="N1033" i="9"/>
  <c r="D1033" i="9"/>
  <c r="P1032" i="9"/>
  <c r="N1032" i="9"/>
  <c r="D1032" i="9"/>
  <c r="P1031" i="9"/>
  <c r="D1031" i="9"/>
  <c r="X1030" i="9"/>
  <c r="P1030" i="9"/>
  <c r="N1030" i="9"/>
  <c r="D1030" i="9"/>
  <c r="X1029" i="9" l="1"/>
  <c r="P1029" i="9"/>
  <c r="N1029" i="9"/>
  <c r="D1029" i="9"/>
  <c r="X1028" i="9"/>
  <c r="P1028" i="9"/>
  <c r="N1028" i="9"/>
  <c r="D1028" i="9"/>
  <c r="P1027" i="9"/>
  <c r="N1027" i="9"/>
  <c r="D1027" i="9"/>
  <c r="P1026" i="9"/>
  <c r="N1026" i="9"/>
  <c r="D1026" i="9"/>
  <c r="X1025" i="9"/>
  <c r="P1025" i="9"/>
  <c r="N1025" i="9"/>
  <c r="D1025" i="9"/>
  <c r="X1024" i="9"/>
  <c r="P1024" i="9"/>
  <c r="N1024" i="9"/>
  <c r="D1024" i="9"/>
  <c r="X1023" i="9"/>
  <c r="P1023" i="9"/>
  <c r="N1023" i="9"/>
  <c r="D1023" i="9"/>
  <c r="X1022" i="9"/>
  <c r="P1022" i="9"/>
  <c r="N1022" i="9"/>
  <c r="D1022" i="9"/>
  <c r="X1021" i="9"/>
  <c r="P1021" i="9"/>
  <c r="N1021" i="9"/>
  <c r="D1021" i="9"/>
  <c r="X1020" i="9" l="1"/>
  <c r="P1020" i="9"/>
  <c r="N1020" i="9"/>
  <c r="D1020" i="9"/>
  <c r="X1019" i="9"/>
  <c r="P1019" i="9"/>
  <c r="N1019" i="9"/>
  <c r="D1019" i="9"/>
  <c r="X1018" i="9"/>
  <c r="P1018" i="9"/>
  <c r="N1018" i="9"/>
  <c r="D1018" i="9"/>
  <c r="X1017" i="9"/>
  <c r="P1017" i="9"/>
  <c r="N1017" i="9"/>
  <c r="D1017" i="9"/>
  <c r="X1016" i="9"/>
  <c r="P1016" i="9"/>
  <c r="N1016" i="9"/>
  <c r="D1016" i="9"/>
  <c r="X1015" i="9"/>
  <c r="P1015" i="9"/>
  <c r="N1015" i="9"/>
  <c r="D1015" i="9"/>
  <c r="X1014" i="9"/>
  <c r="P1014" i="9"/>
  <c r="N1014" i="9"/>
  <c r="D1014" i="9"/>
  <c r="X1013" i="9"/>
  <c r="P1013" i="9"/>
  <c r="N1013" i="9"/>
  <c r="D1013" i="9"/>
  <c r="X1012" i="9"/>
  <c r="P1012" i="9"/>
  <c r="N1012" i="9"/>
  <c r="D1012" i="9"/>
  <c r="X1011" i="9" l="1"/>
  <c r="P1011" i="9"/>
  <c r="N1011" i="9"/>
  <c r="D1011" i="9"/>
  <c r="X1010" i="9"/>
  <c r="P1010" i="9"/>
  <c r="N1010" i="9"/>
  <c r="D1010" i="9"/>
  <c r="AG828" i="9" l="1"/>
  <c r="AG826" i="9" l="1"/>
  <c r="AG825" i="9"/>
  <c r="AG824" i="9"/>
  <c r="AG823" i="9"/>
  <c r="AG822" i="9"/>
  <c r="AG821" i="9"/>
  <c r="AG820" i="9"/>
  <c r="AG819" i="9"/>
  <c r="AG818" i="9"/>
  <c r="AG817" i="9"/>
  <c r="AG723" i="9" l="1"/>
  <c r="AG722" i="9"/>
  <c r="AG721" i="9"/>
  <c r="AG720" i="9"/>
  <c r="AG719" i="9"/>
  <c r="AG712" i="9" l="1"/>
  <c r="AG711" i="9"/>
  <c r="AG710" i="9"/>
  <c r="AG709" i="9"/>
  <c r="AG708" i="9"/>
  <c r="AG718" i="9" l="1"/>
  <c r="AG717" i="9"/>
  <c r="AG716" i="9"/>
  <c r="AG715" i="9"/>
  <c r="AG714" i="9"/>
  <c r="AG713" i="9"/>
  <c r="AG707" i="9"/>
  <c r="AG706" i="9"/>
  <c r="AG705" i="9"/>
  <c r="AG704" i="9"/>
  <c r="AG703" i="9"/>
  <c r="AG702" i="9"/>
  <c r="AG701" i="9" l="1"/>
  <c r="AG700" i="9"/>
  <c r="AG699" i="9"/>
  <c r="AG698" i="9"/>
  <c r="AG697" i="9"/>
  <c r="AG696" i="9"/>
  <c r="AG695" i="9"/>
  <c r="AG694" i="9"/>
  <c r="AG693" i="9"/>
  <c r="AG692" i="9"/>
  <c r="AG682" i="9" l="1"/>
  <c r="AG683" i="9"/>
  <c r="AG684" i="9"/>
  <c r="AG685" i="9"/>
  <c r="AG686" i="9"/>
  <c r="AG687" i="9"/>
  <c r="AG688" i="9"/>
  <c r="AG689" i="9"/>
  <c r="AG690" i="9"/>
  <c r="AG691" i="9"/>
  <c r="AG681" i="9" l="1"/>
  <c r="AG680" i="9"/>
  <c r="AG679" i="9"/>
  <c r="AG678" i="9"/>
  <c r="AG677" i="9"/>
  <c r="AG676" i="9"/>
  <c r="AG669" i="9"/>
  <c r="AG668" i="9"/>
  <c r="AG667" i="9"/>
  <c r="AG666" i="9"/>
  <c r="AG665" i="9"/>
  <c r="AG664" i="9"/>
  <c r="AG663" i="9"/>
  <c r="AG662" i="9"/>
  <c r="AG633" i="9" l="1"/>
  <c r="AG634" i="9"/>
  <c r="AG635" i="9"/>
  <c r="AG636" i="9"/>
  <c r="AG637" i="9"/>
  <c r="AG638" i="9"/>
  <c r="AG639" i="9"/>
  <c r="AG640" i="9"/>
  <c r="AG641" i="9"/>
  <c r="AG642" i="9"/>
  <c r="AG643" i="9"/>
  <c r="AG644" i="9"/>
  <c r="AG645" i="9"/>
  <c r="AG646" i="9"/>
  <c r="AG647" i="9"/>
  <c r="AG648" i="9"/>
  <c r="AG649" i="9"/>
  <c r="AG650" i="9"/>
  <c r="AG651" i="9"/>
  <c r="AG652" i="9"/>
  <c r="AG653" i="9"/>
  <c r="AG654" i="9"/>
  <c r="AG655" i="9"/>
  <c r="AG656" i="9"/>
  <c r="AG657" i="9"/>
  <c r="AG658" i="9"/>
  <c r="AG659" i="9"/>
  <c r="AG660" i="9"/>
  <c r="AG661" i="9"/>
  <c r="AG585" i="9" l="1"/>
  <c r="AG600" i="9" l="1"/>
  <c r="AG601" i="9"/>
  <c r="AG602" i="9"/>
  <c r="AG603" i="9"/>
  <c r="AG604" i="9"/>
  <c r="AG605" i="9"/>
  <c r="AG606" i="9"/>
  <c r="AG607" i="9"/>
  <c r="AG631" i="9" l="1"/>
  <c r="AG632" i="9"/>
  <c r="AG553" i="9" l="1"/>
  <c r="AG554" i="9"/>
  <c r="AG555" i="9"/>
  <c r="AG556" i="9"/>
  <c r="AG557" i="9"/>
  <c r="AG558" i="9"/>
  <c r="AG559" i="9"/>
  <c r="AG560" i="9"/>
  <c r="AG561" i="9"/>
  <c r="AG562" i="9"/>
  <c r="AG563" i="9"/>
  <c r="AG564" i="9"/>
  <c r="AG565" i="9"/>
  <c r="AG566" i="9"/>
  <c r="AG567" i="9"/>
  <c r="AG568" i="9"/>
  <c r="AG569" i="9"/>
  <c r="AG570" i="9"/>
  <c r="AG571" i="9"/>
  <c r="AG572" i="9"/>
  <c r="AG573" i="9"/>
  <c r="AG574" i="9"/>
  <c r="AG575" i="9"/>
  <c r="AG576" i="9"/>
  <c r="AG577" i="9"/>
  <c r="AG578" i="9"/>
  <c r="AG579" i="9"/>
  <c r="AG580" i="9"/>
  <c r="AG581" i="9"/>
  <c r="AG582" i="9"/>
  <c r="AG583" i="9"/>
  <c r="AG584" i="9"/>
  <c r="AG586" i="9"/>
  <c r="AG587" i="9"/>
  <c r="AG588" i="9"/>
  <c r="AG589" i="9"/>
  <c r="AG590" i="9"/>
  <c r="AG591" i="9"/>
  <c r="AG597" i="9"/>
  <c r="AG598" i="9"/>
  <c r="AG599" i="9"/>
  <c r="AG608" i="9"/>
  <c r="AG609" i="9"/>
  <c r="AG610" i="9"/>
  <c r="AG611" i="9"/>
  <c r="AG612" i="9"/>
  <c r="AG613" i="9"/>
  <c r="AG614" i="9"/>
  <c r="AG615" i="9"/>
  <c r="AG616" i="9"/>
  <c r="AG617" i="9"/>
  <c r="AG618" i="9"/>
  <c r="AG619" i="9"/>
  <c r="AG620" i="9"/>
  <c r="AG621" i="9"/>
  <c r="AG622" i="9"/>
  <c r="AG623" i="9"/>
  <c r="AG624" i="9"/>
  <c r="AG625" i="9"/>
  <c r="AG626" i="9"/>
  <c r="AG627" i="9"/>
  <c r="AG628" i="9"/>
  <c r="AG629" i="9"/>
  <c r="AG630" i="9"/>
  <c r="AG670" i="9"/>
  <c r="AG671" i="9"/>
  <c r="AG672" i="9"/>
  <c r="AG673" i="9"/>
  <c r="AG674" i="9"/>
  <c r="AG675" i="9"/>
  <c r="AG827" i="9"/>
  <c r="AG1128" i="9"/>
  <c r="AG1129" i="9"/>
  <c r="AF1130" i="9"/>
  <c r="AG1130" i="9" s="1"/>
  <c r="AF1131" i="9"/>
  <c r="AF1132" i="9"/>
  <c r="AF1133" i="9"/>
  <c r="AF1134" i="9"/>
  <c r="AF1135" i="9"/>
  <c r="AG1135" i="9" s="1"/>
  <c r="AF1136" i="9"/>
  <c r="AG1136" i="9" s="1"/>
  <c r="AF1137" i="9"/>
  <c r="AG1137" i="9" s="1"/>
  <c r="AG1138" i="9"/>
  <c r="AF1139" i="9"/>
  <c r="AF1140" i="9"/>
  <c r="AG1140" i="9" s="1"/>
  <c r="AF1141" i="9"/>
  <c r="AG1141" i="9" s="1"/>
  <c r="AG1142" i="9"/>
  <c r="AG1143" i="9"/>
  <c r="AF1144" i="9"/>
  <c r="AG1144" i="9" s="1"/>
  <c r="AF1145" i="9"/>
  <c r="AG1145" i="9" s="1"/>
  <c r="AF1146" i="9"/>
  <c r="AG1146" i="9" s="1"/>
  <c r="AF1147" i="9"/>
  <c r="AG1147" i="9" s="1"/>
  <c r="AF1148" i="9"/>
  <c r="AG1148" i="9" s="1"/>
  <c r="AG1139" i="9" l="1"/>
  <c r="AG1134" i="9"/>
  <c r="AG1133" i="9"/>
  <c r="AG1132" i="9"/>
  <c r="AG1131" i="9"/>
  <c r="AG552" i="9" l="1"/>
  <c r="AG541" i="9"/>
  <c r="AG542" i="9"/>
  <c r="AG543" i="9"/>
  <c r="AG544" i="9"/>
  <c r="AG545" i="9"/>
  <c r="AG546" i="9"/>
  <c r="AG547" i="9"/>
  <c r="AG548" i="9"/>
  <c r="AG549" i="9"/>
  <c r="AG550" i="9"/>
  <c r="AG551" i="9"/>
  <c r="AG538" i="9" l="1"/>
  <c r="AG539" i="9"/>
  <c r="AG540" i="9"/>
  <c r="AG534" i="9" l="1"/>
  <c r="AG535" i="9"/>
  <c r="AG536" i="9"/>
  <c r="AG537" i="9"/>
  <c r="AG533" i="9"/>
  <c r="AG4" i="9" l="1"/>
  <c r="AG5" i="9"/>
  <c r="AG6" i="9"/>
  <c r="AG7" i="9"/>
  <c r="AG8" i="9"/>
  <c r="AG9" i="9"/>
  <c r="AG10" i="9"/>
  <c r="AG11" i="9"/>
  <c r="AG12" i="9"/>
  <c r="AG13" i="9"/>
  <c r="AG14" i="9"/>
  <c r="AG15" i="9"/>
  <c r="AG16" i="9"/>
  <c r="AG17" i="9"/>
  <c r="AG18" i="9"/>
  <c r="AG19" i="9"/>
  <c r="AG20" i="9"/>
  <c r="AG21" i="9"/>
  <c r="AG22" i="9"/>
  <c r="AG23" i="9"/>
  <c r="AG24" i="9"/>
  <c r="AG25" i="9"/>
  <c r="AG26" i="9"/>
  <c r="AG27" i="9"/>
  <c r="AG28" i="9"/>
  <c r="AG29" i="9"/>
  <c r="AG30" i="9"/>
  <c r="AG31" i="9"/>
  <c r="AG32" i="9"/>
  <c r="AG33" i="9"/>
  <c r="AG34" i="9"/>
  <c r="AG35" i="9"/>
  <c r="AG36" i="9"/>
  <c r="AG37" i="9"/>
  <c r="AG38" i="9"/>
  <c r="AG39" i="9"/>
  <c r="AG40" i="9"/>
  <c r="AG41" i="9"/>
  <c r="AG42" i="9"/>
  <c r="AG43" i="9"/>
  <c r="AG44" i="9"/>
  <c r="AG45" i="9"/>
  <c r="AG46" i="9"/>
  <c r="AG47" i="9"/>
  <c r="AG48" i="9"/>
  <c r="AG49" i="9"/>
  <c r="AG50" i="9"/>
  <c r="AG51" i="9"/>
  <c r="AG52" i="9"/>
  <c r="AG53" i="9"/>
  <c r="AG54" i="9"/>
  <c r="AG55" i="9"/>
  <c r="AG56" i="9"/>
  <c r="AG57" i="9"/>
  <c r="AG58" i="9"/>
  <c r="AG59" i="9"/>
  <c r="AG60" i="9"/>
  <c r="AG61" i="9"/>
  <c r="AG62" i="9"/>
  <c r="AG63" i="9"/>
  <c r="AG64" i="9"/>
  <c r="AG65" i="9"/>
  <c r="AG66" i="9"/>
  <c r="AG67" i="9"/>
  <c r="AG68" i="9"/>
  <c r="AG69" i="9"/>
  <c r="AG70" i="9"/>
  <c r="AG71" i="9"/>
  <c r="AG72" i="9"/>
  <c r="AG73" i="9"/>
  <c r="AG74" i="9"/>
  <c r="AG75" i="9"/>
  <c r="AG76" i="9"/>
  <c r="AG77" i="9"/>
  <c r="AG78" i="9"/>
  <c r="AG79" i="9"/>
  <c r="AG80" i="9"/>
  <c r="AG81" i="9"/>
  <c r="AG82" i="9"/>
  <c r="AG83" i="9"/>
  <c r="AG84" i="9"/>
  <c r="AG85" i="9"/>
  <c r="AG86" i="9"/>
  <c r="AG87" i="9"/>
  <c r="AG88" i="9"/>
  <c r="AG89" i="9"/>
  <c r="AG90" i="9"/>
  <c r="AG91" i="9"/>
  <c r="AG92" i="9"/>
  <c r="AG93" i="9"/>
  <c r="AG94" i="9"/>
  <c r="AG95" i="9"/>
  <c r="AG96" i="9"/>
  <c r="AG97" i="9"/>
  <c r="AG98" i="9"/>
  <c r="AG99" i="9"/>
  <c r="AG100" i="9"/>
  <c r="AG101" i="9"/>
  <c r="AG102" i="9"/>
  <c r="AG103" i="9"/>
  <c r="AG104" i="9"/>
  <c r="AG105" i="9"/>
  <c r="AG106" i="9"/>
  <c r="AG107" i="9"/>
  <c r="AG108" i="9"/>
  <c r="AG109" i="9"/>
  <c r="AG110" i="9"/>
  <c r="AG111" i="9"/>
  <c r="AG112" i="9"/>
  <c r="AG113" i="9"/>
  <c r="AG114" i="9"/>
  <c r="AG115" i="9"/>
  <c r="AG116" i="9"/>
  <c r="AG117" i="9"/>
  <c r="AG118" i="9"/>
  <c r="AG119" i="9"/>
  <c r="AG120" i="9"/>
  <c r="AG121" i="9"/>
  <c r="AG122" i="9"/>
  <c r="AG123" i="9"/>
  <c r="AG124" i="9"/>
  <c r="AG125" i="9"/>
  <c r="AG126" i="9"/>
  <c r="AG127" i="9"/>
  <c r="AG128" i="9"/>
  <c r="AG129" i="9"/>
  <c r="AG130" i="9"/>
  <c r="AG131" i="9"/>
  <c r="AG132" i="9"/>
  <c r="AG133" i="9"/>
  <c r="AG134" i="9"/>
  <c r="AG135" i="9"/>
  <c r="AG136" i="9"/>
  <c r="AG137" i="9"/>
  <c r="AG138" i="9"/>
  <c r="AG139" i="9"/>
  <c r="AG140" i="9"/>
  <c r="AG141" i="9"/>
  <c r="AG142" i="9"/>
  <c r="AG143" i="9"/>
  <c r="AG144" i="9"/>
  <c r="AG145" i="9"/>
  <c r="AG146" i="9"/>
  <c r="AG147" i="9"/>
  <c r="AG148" i="9"/>
  <c r="AG149" i="9"/>
  <c r="AG150" i="9"/>
  <c r="AG151" i="9"/>
  <c r="AG152" i="9"/>
  <c r="AG153" i="9"/>
  <c r="AG154" i="9"/>
  <c r="AG155" i="9"/>
  <c r="AG156" i="9"/>
  <c r="AG157" i="9"/>
  <c r="AG158" i="9"/>
  <c r="AG159" i="9"/>
  <c r="AG160" i="9"/>
  <c r="AG161" i="9"/>
  <c r="AG162" i="9"/>
  <c r="AG163" i="9"/>
  <c r="AG164" i="9"/>
  <c r="AG165" i="9"/>
  <c r="AG166" i="9"/>
  <c r="AG167" i="9"/>
  <c r="AG168" i="9"/>
  <c r="AG169" i="9"/>
  <c r="AG170" i="9"/>
  <c r="AG171" i="9"/>
  <c r="AG172" i="9"/>
  <c r="AG173" i="9"/>
  <c r="AG174" i="9"/>
  <c r="AG175" i="9"/>
  <c r="AG176" i="9"/>
  <c r="AG177" i="9"/>
  <c r="AG178" i="9"/>
  <c r="AG179" i="9"/>
  <c r="AG180" i="9"/>
  <c r="AG181" i="9"/>
  <c r="AG182" i="9"/>
  <c r="AG183" i="9"/>
  <c r="AG184" i="9"/>
  <c r="AG185" i="9"/>
  <c r="AG186" i="9"/>
  <c r="AG187" i="9"/>
  <c r="AG188" i="9"/>
  <c r="AG189" i="9"/>
  <c r="AG190" i="9"/>
  <c r="AG191" i="9"/>
  <c r="AG192" i="9"/>
  <c r="AG193" i="9"/>
  <c r="AG194" i="9"/>
  <c r="AG195" i="9"/>
  <c r="AG196" i="9"/>
  <c r="AG197" i="9"/>
  <c r="AG198" i="9"/>
  <c r="AG199" i="9"/>
  <c r="AG200" i="9"/>
  <c r="AG201" i="9"/>
  <c r="AG202" i="9"/>
  <c r="AG203" i="9"/>
  <c r="AG204" i="9"/>
  <c r="AG205" i="9"/>
  <c r="AG206" i="9"/>
  <c r="AG207" i="9"/>
  <c r="AG208" i="9"/>
  <c r="AG209" i="9"/>
  <c r="AG210" i="9"/>
  <c r="AG211" i="9"/>
  <c r="AG212" i="9"/>
  <c r="AG213" i="9"/>
  <c r="AG214" i="9"/>
  <c r="AG215" i="9"/>
  <c r="AG216" i="9"/>
  <c r="AG217" i="9"/>
  <c r="AG218" i="9"/>
  <c r="AG219" i="9"/>
  <c r="AG220" i="9"/>
  <c r="AG221" i="9"/>
  <c r="AG222" i="9"/>
  <c r="AG223" i="9"/>
  <c r="AG224" i="9"/>
  <c r="AG225" i="9"/>
  <c r="AG226" i="9"/>
  <c r="AG227" i="9"/>
  <c r="AG228" i="9"/>
  <c r="AG229" i="9"/>
  <c r="AG230" i="9"/>
  <c r="AG231" i="9"/>
  <c r="AG232" i="9"/>
  <c r="AG233" i="9"/>
  <c r="AG234" i="9"/>
  <c r="AG235" i="9"/>
  <c r="AG236" i="9"/>
  <c r="AG237" i="9"/>
  <c r="AG238" i="9"/>
  <c r="AG239" i="9"/>
  <c r="AG240" i="9"/>
  <c r="AG241" i="9"/>
  <c r="AG242" i="9"/>
  <c r="AG243" i="9"/>
  <c r="AG244" i="9"/>
  <c r="AG245" i="9"/>
  <c r="AG246" i="9"/>
  <c r="AG247" i="9"/>
  <c r="AG248" i="9"/>
  <c r="AG249" i="9"/>
  <c r="AG250" i="9"/>
  <c r="AG251" i="9"/>
  <c r="AG252" i="9"/>
  <c r="AG253" i="9"/>
  <c r="AG254" i="9"/>
  <c r="AG255" i="9"/>
  <c r="AG256" i="9"/>
  <c r="AG257" i="9"/>
  <c r="AG258" i="9"/>
  <c r="AG259" i="9"/>
  <c r="AG260" i="9"/>
  <c r="AG261" i="9"/>
  <c r="AG262" i="9"/>
  <c r="AG263" i="9"/>
  <c r="AG264" i="9"/>
  <c r="AG265" i="9"/>
  <c r="AG266" i="9"/>
  <c r="AG267" i="9"/>
  <c r="AG268" i="9"/>
  <c r="AG269" i="9"/>
  <c r="AG270" i="9"/>
  <c r="AG271" i="9"/>
  <c r="AG272" i="9"/>
  <c r="AG273" i="9"/>
  <c r="AG274" i="9"/>
  <c r="AG275" i="9"/>
  <c r="AG276" i="9"/>
  <c r="AG277" i="9"/>
  <c r="AG278" i="9"/>
  <c r="AG279" i="9"/>
  <c r="AG280" i="9"/>
  <c r="AG281" i="9"/>
  <c r="AG282" i="9"/>
  <c r="AG283" i="9"/>
  <c r="AG284" i="9"/>
  <c r="AG285" i="9"/>
  <c r="AG286" i="9"/>
  <c r="AG287" i="9"/>
  <c r="AG288" i="9"/>
  <c r="AG289" i="9"/>
  <c r="AG290" i="9"/>
  <c r="AG291" i="9"/>
  <c r="AG292" i="9"/>
  <c r="AG293" i="9"/>
  <c r="AG294" i="9"/>
  <c r="AG295" i="9"/>
  <c r="AG296" i="9"/>
  <c r="AG297" i="9"/>
  <c r="AG298" i="9"/>
  <c r="AG299" i="9"/>
  <c r="AG300" i="9"/>
  <c r="AG301" i="9"/>
  <c r="AG302" i="9"/>
  <c r="AG303" i="9"/>
  <c r="AG304" i="9"/>
  <c r="AG305" i="9"/>
  <c r="AG306" i="9"/>
  <c r="AG307" i="9"/>
  <c r="AG308" i="9"/>
  <c r="AG309" i="9"/>
  <c r="AG310" i="9"/>
  <c r="AG311" i="9"/>
  <c r="AG312" i="9"/>
  <c r="AG313" i="9"/>
  <c r="AG314" i="9"/>
  <c r="AG315" i="9"/>
  <c r="AG316" i="9"/>
  <c r="AG317" i="9"/>
  <c r="AG318" i="9"/>
  <c r="AG319" i="9"/>
  <c r="AG320" i="9"/>
  <c r="AG321" i="9"/>
  <c r="AG322" i="9"/>
  <c r="AG323" i="9"/>
  <c r="AG324" i="9"/>
  <c r="AG325" i="9"/>
  <c r="AG326" i="9"/>
  <c r="AG327" i="9"/>
  <c r="AG328" i="9"/>
  <c r="AG329" i="9"/>
  <c r="AG330" i="9"/>
  <c r="AG331" i="9"/>
  <c r="AG332" i="9"/>
  <c r="AG333" i="9"/>
  <c r="AG334" i="9"/>
  <c r="AG335" i="9"/>
  <c r="AG336" i="9"/>
  <c r="AG337" i="9"/>
  <c r="AG338" i="9"/>
  <c r="AG339" i="9"/>
  <c r="AG340" i="9"/>
  <c r="AG341" i="9"/>
  <c r="AG342" i="9"/>
  <c r="AG343" i="9"/>
  <c r="AG344" i="9"/>
  <c r="AG345" i="9"/>
  <c r="AG346" i="9"/>
  <c r="AG347" i="9"/>
  <c r="AG348" i="9"/>
  <c r="AG349" i="9"/>
  <c r="AG350" i="9"/>
  <c r="AG351" i="9"/>
  <c r="AG352" i="9"/>
  <c r="AG353" i="9"/>
  <c r="AG354" i="9"/>
  <c r="AG355" i="9"/>
  <c r="AG356" i="9"/>
  <c r="AG357" i="9"/>
  <c r="AG358" i="9"/>
  <c r="AG359" i="9"/>
  <c r="AG360" i="9"/>
  <c r="AG361" i="9"/>
  <c r="AG362" i="9"/>
  <c r="AG363" i="9"/>
  <c r="AG364" i="9"/>
  <c r="AG365" i="9"/>
  <c r="AG366" i="9"/>
  <c r="AG367" i="9"/>
  <c r="AG368" i="9"/>
  <c r="AG369" i="9"/>
  <c r="AG370" i="9"/>
  <c r="AG371" i="9"/>
  <c r="AG372" i="9"/>
  <c r="AG373" i="9"/>
  <c r="AG374" i="9"/>
  <c r="AG375" i="9"/>
  <c r="AG376" i="9"/>
  <c r="AG377" i="9"/>
  <c r="AG378" i="9"/>
  <c r="AG379" i="9"/>
  <c r="AG380" i="9"/>
  <c r="AG381" i="9"/>
  <c r="AG382" i="9"/>
  <c r="AG383" i="9"/>
  <c r="AG384" i="9"/>
  <c r="AG385" i="9"/>
  <c r="AG386" i="9"/>
  <c r="AG387" i="9"/>
  <c r="AG388" i="9"/>
  <c r="AG389" i="9"/>
  <c r="AG390" i="9"/>
  <c r="AG391" i="9"/>
  <c r="AG392" i="9"/>
  <c r="AG393" i="9"/>
  <c r="AG394" i="9"/>
  <c r="AG395" i="9"/>
  <c r="AG396" i="9"/>
  <c r="AG397" i="9"/>
  <c r="AG398" i="9"/>
  <c r="AG399" i="9"/>
  <c r="AG400" i="9"/>
  <c r="AG401" i="9"/>
  <c r="AG402" i="9"/>
  <c r="AG403" i="9"/>
  <c r="AG404" i="9"/>
  <c r="AG405" i="9"/>
  <c r="AG406" i="9"/>
  <c r="AG407" i="9"/>
  <c r="AG408" i="9"/>
  <c r="AG409" i="9"/>
  <c r="AG410" i="9"/>
  <c r="AG411" i="9"/>
  <c r="AG412" i="9"/>
  <c r="AG413" i="9"/>
  <c r="AG414" i="9"/>
  <c r="AG415" i="9"/>
  <c r="AG416" i="9"/>
  <c r="AG417" i="9"/>
  <c r="AG418" i="9"/>
  <c r="AG419" i="9"/>
  <c r="AG420" i="9"/>
  <c r="AG421" i="9"/>
  <c r="AG422" i="9"/>
  <c r="AG423" i="9"/>
  <c r="AG424" i="9"/>
  <c r="AG425" i="9"/>
  <c r="AG426" i="9"/>
  <c r="AG427" i="9"/>
  <c r="AG428" i="9"/>
  <c r="AG429" i="9"/>
  <c r="AG430" i="9"/>
  <c r="AG431" i="9"/>
  <c r="AG432" i="9"/>
  <c r="AG433" i="9"/>
  <c r="AG434" i="9"/>
  <c r="AG435" i="9"/>
  <c r="AG436" i="9"/>
  <c r="AG437" i="9"/>
  <c r="AG438" i="9"/>
  <c r="AG439" i="9"/>
  <c r="AG440" i="9"/>
  <c r="AG441" i="9"/>
  <c r="AG442" i="9"/>
  <c r="AG443" i="9"/>
  <c r="AG444" i="9"/>
  <c r="AG445" i="9"/>
  <c r="AG446" i="9"/>
  <c r="AG447" i="9"/>
  <c r="AG448" i="9"/>
  <c r="AG449" i="9"/>
  <c r="AG450" i="9"/>
  <c r="AG451" i="9"/>
  <c r="AG452" i="9"/>
  <c r="AG453" i="9"/>
  <c r="AG454" i="9"/>
  <c r="AG455" i="9"/>
  <c r="AG456" i="9"/>
  <c r="AG457" i="9"/>
  <c r="AG458" i="9"/>
  <c r="AG459" i="9"/>
  <c r="AG460" i="9"/>
  <c r="AG461" i="9"/>
  <c r="AG462" i="9"/>
  <c r="AG463" i="9"/>
  <c r="AG464" i="9"/>
  <c r="AG465" i="9"/>
  <c r="AG466" i="9"/>
  <c r="AG467" i="9"/>
  <c r="AG468" i="9"/>
  <c r="AG469" i="9"/>
  <c r="AG470" i="9"/>
  <c r="AG471" i="9"/>
  <c r="AG472" i="9"/>
  <c r="AG473" i="9"/>
  <c r="AG474" i="9"/>
  <c r="AG475" i="9"/>
  <c r="AG476" i="9"/>
  <c r="AG477" i="9"/>
  <c r="AG478" i="9"/>
  <c r="AG479" i="9"/>
  <c r="AG480" i="9"/>
  <c r="AG481" i="9"/>
  <c r="AG482" i="9"/>
  <c r="AG483" i="9"/>
  <c r="AG484" i="9"/>
  <c r="AG485" i="9"/>
  <c r="AG486" i="9"/>
  <c r="AG487" i="9"/>
  <c r="AG488" i="9"/>
  <c r="AG489" i="9"/>
  <c r="AG490" i="9"/>
  <c r="AG491" i="9"/>
  <c r="AG492" i="9"/>
  <c r="AG493" i="9"/>
  <c r="AG494" i="9"/>
  <c r="AG495" i="9"/>
  <c r="AG496" i="9"/>
  <c r="AG497" i="9"/>
  <c r="AG498" i="9"/>
  <c r="AG499" i="9"/>
  <c r="AG500" i="9"/>
  <c r="AG501" i="9"/>
  <c r="AG502" i="9"/>
  <c r="AG503" i="9"/>
  <c r="AG504" i="9"/>
  <c r="AG505" i="9"/>
  <c r="AG506" i="9"/>
  <c r="AG507" i="9"/>
  <c r="AG508" i="9"/>
  <c r="AG509" i="9"/>
  <c r="AG510" i="9"/>
  <c r="AG511" i="9"/>
  <c r="AG512" i="9"/>
  <c r="AG513" i="9"/>
  <c r="AG514" i="9"/>
  <c r="AG515" i="9"/>
  <c r="AG516" i="9"/>
  <c r="AG517" i="9"/>
  <c r="AG518" i="9"/>
  <c r="AG519" i="9"/>
  <c r="AG520" i="9"/>
  <c r="AG521" i="9"/>
  <c r="AG522" i="9"/>
  <c r="AG523" i="9"/>
  <c r="AG524" i="9"/>
  <c r="AG525" i="9"/>
  <c r="AG526" i="9"/>
  <c r="AG527" i="9"/>
  <c r="AG528" i="9"/>
  <c r="AG529" i="9"/>
  <c r="AG530" i="9"/>
  <c r="AG531" i="9"/>
  <c r="AG532" i="9"/>
  <c r="AG3" i="9"/>
</calcChain>
</file>

<file path=xl/sharedStrings.xml><?xml version="1.0" encoding="utf-8"?>
<sst xmlns="http://schemas.openxmlformats.org/spreadsheetml/2006/main" count="11183" uniqueCount="4040">
  <si>
    <t>INV NO.</t>
  </si>
  <si>
    <t>SET</t>
  </si>
  <si>
    <t>AMOUNT</t>
  </si>
  <si>
    <t>HAKO</t>
  </si>
  <si>
    <t>SOFA</t>
  </si>
  <si>
    <t>MATTRESS</t>
  </si>
  <si>
    <t>BED</t>
  </si>
  <si>
    <t>Date</t>
  </si>
  <si>
    <t>-</t>
  </si>
  <si>
    <t>Qty Cont</t>
  </si>
  <si>
    <t>Qt Cont S &amp; M</t>
  </si>
  <si>
    <t>Stool Kiji Cushion</t>
  </si>
  <si>
    <t>S5</t>
  </si>
  <si>
    <t>Q</t>
  </si>
  <si>
    <t>SET + Q</t>
  </si>
  <si>
    <t>Real No</t>
  </si>
  <si>
    <t>TABLE</t>
  </si>
  <si>
    <t>LEG</t>
  </si>
  <si>
    <t>E + F</t>
  </si>
  <si>
    <t>M - K + L</t>
  </si>
  <si>
    <t>M - K</t>
  </si>
  <si>
    <t>SET 0 LEG</t>
  </si>
  <si>
    <t>S Line</t>
  </si>
  <si>
    <t>FWD</t>
  </si>
  <si>
    <t>BILL</t>
  </si>
  <si>
    <t>BILL DATE</t>
  </si>
  <si>
    <t>VESSEL</t>
  </si>
  <si>
    <t>TO</t>
  </si>
  <si>
    <t>TOTAL AMOUNT</t>
  </si>
  <si>
    <t>PO</t>
  </si>
  <si>
    <t>YUSEN</t>
  </si>
  <si>
    <t>CUT SAMPLE N-SLEEP LATEX C2</t>
  </si>
  <si>
    <t>CLAUDE-140KB-WH</t>
  </si>
  <si>
    <t>VD8011401</t>
  </si>
  <si>
    <t>V180001</t>
  </si>
  <si>
    <t>VK8011417-20</t>
  </si>
  <si>
    <t>V180002</t>
  </si>
  <si>
    <t>VZ8011407-11</t>
  </si>
  <si>
    <t>V180003</t>
  </si>
  <si>
    <t>V180004</t>
  </si>
  <si>
    <t>VB8011401-02</t>
  </si>
  <si>
    <t>V180005</t>
  </si>
  <si>
    <t>VW8011432-41</t>
  </si>
  <si>
    <t>V180006</t>
  </si>
  <si>
    <t>VS8012139-47</t>
  </si>
  <si>
    <t>V180007</t>
  </si>
  <si>
    <t>VQ8012109-14</t>
  </si>
  <si>
    <t>V180008</t>
  </si>
  <si>
    <t>SGM</t>
  </si>
  <si>
    <t>TYO</t>
  </si>
  <si>
    <t>KWS</t>
  </si>
  <si>
    <t>OSK</t>
  </si>
  <si>
    <t>HKT</t>
  </si>
  <si>
    <t>HEUNG-A</t>
  </si>
  <si>
    <t>SITC</t>
  </si>
  <si>
    <t>OCS</t>
  </si>
  <si>
    <t>WHL</t>
  </si>
  <si>
    <t>KWE</t>
  </si>
  <si>
    <t>EGLV</t>
  </si>
  <si>
    <t>NKV</t>
  </si>
  <si>
    <t>VN8011408-12</t>
  </si>
  <si>
    <t>VZ8011412-16</t>
  </si>
  <si>
    <t>VH8012803-05</t>
  </si>
  <si>
    <t>V180009</t>
  </si>
  <si>
    <t>VQ8012115-17</t>
  </si>
  <si>
    <t>V180014</t>
  </si>
  <si>
    <t>VS8012148-61</t>
  </si>
  <si>
    <t>V180013</t>
  </si>
  <si>
    <t>V180010</t>
  </si>
  <si>
    <t>V180012</t>
  </si>
  <si>
    <t>ISH</t>
  </si>
  <si>
    <t>V180011</t>
  </si>
  <si>
    <t>VK8011421-23</t>
  </si>
  <si>
    <t>VW8011442-59</t>
  </si>
  <si>
    <t>VZ8011417-18</t>
  </si>
  <si>
    <t>V180016</t>
  </si>
  <si>
    <t>VK8012101-07</t>
  </si>
  <si>
    <t>V180023</t>
  </si>
  <si>
    <t>VN8011413-14</t>
  </si>
  <si>
    <t>V180020</t>
  </si>
  <si>
    <t>VS8012162-69</t>
  </si>
  <si>
    <t>V180015</t>
  </si>
  <si>
    <t>VS8012801-08</t>
  </si>
  <si>
    <t>V180025</t>
  </si>
  <si>
    <t>V180024</t>
  </si>
  <si>
    <t>TSL</t>
  </si>
  <si>
    <t>VN8012101-04</t>
  </si>
  <si>
    <t>V180028</t>
  </si>
  <si>
    <t>VQ8012118-20</t>
  </si>
  <si>
    <t>V180021</t>
  </si>
  <si>
    <t>VQ8012801-05</t>
  </si>
  <si>
    <t>V180030</t>
  </si>
  <si>
    <t>VS8012170-83</t>
  </si>
  <si>
    <t>V180018</t>
  </si>
  <si>
    <t>VS8012809-18</t>
  </si>
  <si>
    <t>V180029</t>
  </si>
  <si>
    <t>VW8011460-71</t>
  </si>
  <si>
    <t>V180017</t>
  </si>
  <si>
    <t>VW8012101-10</t>
  </si>
  <si>
    <t>VZ8012101-03</t>
  </si>
  <si>
    <t>V180027</t>
  </si>
  <si>
    <t>VH8020401-03</t>
  </si>
  <si>
    <t>V180026</t>
  </si>
  <si>
    <t>VK8011424-28</t>
  </si>
  <si>
    <t>V180019</t>
  </si>
  <si>
    <t>NYK</t>
  </si>
  <si>
    <t>2500000041055</t>
  </si>
  <si>
    <t>V180022</t>
  </si>
  <si>
    <t>VW8012111-15</t>
  </si>
  <si>
    <t>V180032</t>
  </si>
  <si>
    <t>VK8012108-15</t>
  </si>
  <si>
    <t>V180031</t>
  </si>
  <si>
    <t>VS8012819-24</t>
  </si>
  <si>
    <t>V180033</t>
  </si>
  <si>
    <t>V180043</t>
  </si>
  <si>
    <t>TPE</t>
  </si>
  <si>
    <t>VW8012116-21</t>
  </si>
  <si>
    <t>V180035</t>
  </si>
  <si>
    <t>VS8012825-38</t>
  </si>
  <si>
    <t>V180037</t>
  </si>
  <si>
    <t>VQ8012806-11</t>
  </si>
  <si>
    <t>V180038</t>
  </si>
  <si>
    <t>VK8012116-25</t>
  </si>
  <si>
    <t>V180034</t>
  </si>
  <si>
    <t>VC8012101-02</t>
  </si>
  <si>
    <t>V180036</t>
  </si>
  <si>
    <t>VZ8012104-07</t>
  </si>
  <si>
    <t>V180040</t>
  </si>
  <si>
    <t>VD8012101</t>
  </si>
  <si>
    <t>V180046</t>
  </si>
  <si>
    <t>VH8020404-06</t>
  </si>
  <si>
    <t>V180039</t>
  </si>
  <si>
    <t>VW8012122-29</t>
  </si>
  <si>
    <t>V180042</t>
  </si>
  <si>
    <t>VN8012105-07</t>
  </si>
  <si>
    <t>V180041</t>
  </si>
  <si>
    <t>VS8012839-52</t>
  </si>
  <si>
    <t>VW8012130-35</t>
  </si>
  <si>
    <t>V180050</t>
  </si>
  <si>
    <t>VZ8012108-11</t>
  </si>
  <si>
    <t>V180048</t>
  </si>
  <si>
    <t>V180070</t>
  </si>
  <si>
    <t>VS8012853-61</t>
  </si>
  <si>
    <t>V180051</t>
  </si>
  <si>
    <t>VQ8012812-17</t>
  </si>
  <si>
    <t>V180044</t>
  </si>
  <si>
    <t>VB8012101-03</t>
  </si>
  <si>
    <t>V180049</t>
  </si>
  <si>
    <t>VI8012101</t>
  </si>
  <si>
    <t>V180045</t>
  </si>
  <si>
    <t>VK8012126-31</t>
  </si>
  <si>
    <t>V180047</t>
  </si>
  <si>
    <t>V180069</t>
  </si>
  <si>
    <t>VS8020401-13</t>
  </si>
  <si>
    <t>VK8012801-12</t>
  </si>
  <si>
    <t>VN8012108-09</t>
  </si>
  <si>
    <t>V180054</t>
  </si>
  <si>
    <t>VS8012862-73</t>
  </si>
  <si>
    <t>V180056</t>
  </si>
  <si>
    <t>VQ8012818-20</t>
  </si>
  <si>
    <t>V180057</t>
  </si>
  <si>
    <t>V180055</t>
  </si>
  <si>
    <t>V180053</t>
  </si>
  <si>
    <t>V180052</t>
  </si>
  <si>
    <t>VH8020407-09</t>
  </si>
  <si>
    <t>V180066</t>
  </si>
  <si>
    <t>VH8021101-02</t>
  </si>
  <si>
    <t>VK8012132-38</t>
  </si>
  <si>
    <t>V180072</t>
  </si>
  <si>
    <t>VQ8020401-04</t>
  </si>
  <si>
    <t>V180059</t>
  </si>
  <si>
    <t>VS8012874-81</t>
  </si>
  <si>
    <t>V180071</t>
  </si>
  <si>
    <t>VS8020414-21</t>
  </si>
  <si>
    <t>VW8012136-49</t>
  </si>
  <si>
    <t>V180068</t>
  </si>
  <si>
    <t>VW8012801-08</t>
  </si>
  <si>
    <t>V180067</t>
  </si>
  <si>
    <t>VZ8012801-03</t>
  </si>
  <si>
    <t>V180073</t>
  </si>
  <si>
    <t>VK8012813-15</t>
  </si>
  <si>
    <t>V180062</t>
  </si>
  <si>
    <t>VN8012110-12</t>
  </si>
  <si>
    <t>V180074</t>
  </si>
  <si>
    <t>VN8012801-04</t>
  </si>
  <si>
    <t>V180064</t>
  </si>
  <si>
    <t>VS8012882-92</t>
  </si>
  <si>
    <t>V180076</t>
  </si>
  <si>
    <t>VS8020422-29</t>
  </si>
  <si>
    <t>V180058</t>
  </si>
  <si>
    <t>2500000041090</t>
  </si>
  <si>
    <t>V180063</t>
  </si>
  <si>
    <t>VW8012150-59</t>
  </si>
  <si>
    <t>V180075</t>
  </si>
  <si>
    <t>VW8012809-18</t>
  </si>
  <si>
    <t>V180061</t>
  </si>
  <si>
    <t>VZ8012112-14</t>
  </si>
  <si>
    <t>V180060</t>
  </si>
  <si>
    <t>VK8012139-42</t>
  </si>
  <si>
    <t>V180065</t>
  </si>
  <si>
    <t>VQ8012821-24</t>
  </si>
  <si>
    <t>V180083</t>
  </si>
  <si>
    <t>VQ8020405-08</t>
  </si>
  <si>
    <t>V180077</t>
  </si>
  <si>
    <t>VW8012819-27</t>
  </si>
  <si>
    <t>V180078</t>
  </si>
  <si>
    <t>VS8020430-36</t>
  </si>
  <si>
    <t>V180079</t>
  </si>
  <si>
    <t>VH8021103-04</t>
  </si>
  <si>
    <t>V180080</t>
  </si>
  <si>
    <t>VK8012816-19</t>
  </si>
  <si>
    <t>V180115</t>
  </si>
  <si>
    <t>VS8021101-14</t>
  </si>
  <si>
    <t>V180114</t>
  </si>
  <si>
    <t>VW8020401-15</t>
  </si>
  <si>
    <t>V180086</t>
  </si>
  <si>
    <t>V180094</t>
  </si>
  <si>
    <t>VC8012801-02</t>
  </si>
  <si>
    <t>NGO</t>
  </si>
  <si>
    <t>V180084</t>
  </si>
  <si>
    <t>VD8012801-02</t>
  </si>
  <si>
    <t>V180085</t>
  </si>
  <si>
    <t>V180092</t>
  </si>
  <si>
    <t>V180096</t>
  </si>
  <si>
    <t>V180089</t>
  </si>
  <si>
    <t>VS8020437-48</t>
  </si>
  <si>
    <t>V180088</t>
  </si>
  <si>
    <t>VW8012828-36</t>
  </si>
  <si>
    <t>VZ8012804-09</t>
  </si>
  <si>
    <t>V180087</t>
  </si>
  <si>
    <t>VB8012801-02</t>
  </si>
  <si>
    <t>V180117</t>
  </si>
  <si>
    <t>V180095</t>
  </si>
  <si>
    <t>VS8020449-61</t>
  </si>
  <si>
    <t>VQ8020409-16</t>
  </si>
  <si>
    <t>VN8012805-08</t>
  </si>
  <si>
    <t>V180116</t>
  </si>
  <si>
    <t>VK8012820-30</t>
  </si>
  <si>
    <t>V180090</t>
  </si>
  <si>
    <t>VI8012801</t>
  </si>
  <si>
    <t>OKI</t>
  </si>
  <si>
    <t>V180093</t>
  </si>
  <si>
    <t>VW8012837-44</t>
  </si>
  <si>
    <t>V180112</t>
  </si>
  <si>
    <t>VW8020416-25</t>
  </si>
  <si>
    <t>V180099</t>
  </si>
  <si>
    <t>VW8012845-52</t>
  </si>
  <si>
    <t>VS8021115-21</t>
  </si>
  <si>
    <t>V180100</t>
  </si>
  <si>
    <t>VS8020462-71</t>
  </si>
  <si>
    <t>V180118</t>
  </si>
  <si>
    <t>VQ8021101-02</t>
  </si>
  <si>
    <t>V180101</t>
  </si>
  <si>
    <t>VQ8020417</t>
  </si>
  <si>
    <t>VN8012809</t>
  </si>
  <si>
    <t>V180107</t>
  </si>
  <si>
    <t>VK8020401-07</t>
  </si>
  <si>
    <t>V180097</t>
  </si>
  <si>
    <t>V180091</t>
  </si>
  <si>
    <t>V180098</t>
  </si>
  <si>
    <t>VZ8012810-11</t>
  </si>
  <si>
    <t>VH8021105-09</t>
  </si>
  <si>
    <t>V180119</t>
  </si>
  <si>
    <t>VH8021801</t>
  </si>
  <si>
    <t>VK8012831-36</t>
  </si>
  <si>
    <t>V180108</t>
  </si>
  <si>
    <t>VN8012810</t>
  </si>
  <si>
    <t>V180082</t>
  </si>
  <si>
    <t>VS8020472-81</t>
  </si>
  <si>
    <t>V180122</t>
  </si>
  <si>
    <t>VS8021122-25</t>
  </si>
  <si>
    <t>V180081</t>
  </si>
  <si>
    <t>VW8012853-62</t>
  </si>
  <si>
    <t>V180121</t>
  </si>
  <si>
    <t>VW8020426-30</t>
  </si>
  <si>
    <t>V180106</t>
  </si>
  <si>
    <t>VZ8012812-13</t>
  </si>
  <si>
    <t>V180120</t>
  </si>
  <si>
    <t>VZ8020401-03</t>
  </si>
  <si>
    <t>V180102</t>
  </si>
  <si>
    <t>2500000041090/40947</t>
  </si>
  <si>
    <t>V180105</t>
  </si>
  <si>
    <t>VS8020482-88</t>
  </si>
  <si>
    <t>V180104</t>
  </si>
  <si>
    <t>VW8012863-71</t>
  </si>
  <si>
    <t>V180111</t>
  </si>
  <si>
    <t>VQ8020418-21</t>
  </si>
  <si>
    <t>V180103</t>
  </si>
  <si>
    <t>VK8012837-38</t>
  </si>
  <si>
    <t>V180109</t>
  </si>
  <si>
    <t>V180145</t>
  </si>
  <si>
    <t>VQ8020422-23</t>
  </si>
  <si>
    <t>V180110</t>
  </si>
  <si>
    <t>VS8020489-101</t>
  </si>
  <si>
    <t>V180123</t>
  </si>
  <si>
    <t>VK8020408-09</t>
  </si>
  <si>
    <t>V180124</t>
  </si>
  <si>
    <t>VN8020401-03</t>
  </si>
  <si>
    <t>V180126</t>
  </si>
  <si>
    <t>VQ8021103-05</t>
  </si>
  <si>
    <t>V180125</t>
  </si>
  <si>
    <t>VW8020431-38</t>
  </si>
  <si>
    <t>V180127</t>
  </si>
  <si>
    <t>VS8021126-32</t>
  </si>
  <si>
    <t>V180128</t>
  </si>
  <si>
    <t>VK8020410-12</t>
  </si>
  <si>
    <t>VW8012872-86</t>
  </si>
  <si>
    <t>V180163</t>
  </si>
  <si>
    <t>V180131</t>
  </si>
  <si>
    <t>VW8020439-42</t>
  </si>
  <si>
    <t>V180165</t>
  </si>
  <si>
    <t>V180164</t>
  </si>
  <si>
    <t>V180134</t>
  </si>
  <si>
    <t>V180130</t>
  </si>
  <si>
    <t>V180166</t>
  </si>
  <si>
    <t>VK8021101-03</t>
  </si>
  <si>
    <t>V180129</t>
  </si>
  <si>
    <t>VZ8020404-06</t>
  </si>
  <si>
    <t>V180141</t>
  </si>
  <si>
    <t>VB8020401-02</t>
  </si>
  <si>
    <t>V180139</t>
  </si>
  <si>
    <t>VD8020401</t>
  </si>
  <si>
    <t>V180135</t>
  </si>
  <si>
    <t>VH8021802-03</t>
  </si>
  <si>
    <t>V180136</t>
  </si>
  <si>
    <t>VK8020413-16</t>
  </si>
  <si>
    <t>V180167</t>
  </si>
  <si>
    <t>VN8020404-06</t>
  </si>
  <si>
    <t>VQ8021106-09</t>
  </si>
  <si>
    <t>V180138</t>
  </si>
  <si>
    <t>VS8021133-38</t>
  </si>
  <si>
    <t>VS8021801-16</t>
  </si>
  <si>
    <t>V180137</t>
  </si>
  <si>
    <t>VW8020443-46</t>
  </si>
  <si>
    <t>V180143</t>
  </si>
  <si>
    <t>VC8020401</t>
  </si>
  <si>
    <t>V180146</t>
  </si>
  <si>
    <t>VK8020417-20</t>
  </si>
  <si>
    <t>V180132</t>
  </si>
  <si>
    <t>VK8021104-08</t>
  </si>
  <si>
    <t>VQ8021801-07</t>
  </si>
  <si>
    <t>V180144</t>
  </si>
  <si>
    <t>VS8021139-49</t>
  </si>
  <si>
    <t>V180168</t>
  </si>
  <si>
    <t>VS8021817-20</t>
  </si>
  <si>
    <t>V180142</t>
  </si>
  <si>
    <t>VW8020447-50</t>
  </si>
  <si>
    <t>VW8021101-13</t>
  </si>
  <si>
    <t>V180140</t>
  </si>
  <si>
    <t>VZ8020407-08</t>
  </si>
  <si>
    <t>V180149</t>
  </si>
  <si>
    <t>V180160</t>
  </si>
  <si>
    <t>VS8021821-24</t>
  </si>
  <si>
    <t>V180150</t>
  </si>
  <si>
    <t>VS8021150-59</t>
  </si>
  <si>
    <t>V180151</t>
  </si>
  <si>
    <t>VW8021114-16</t>
  </si>
  <si>
    <t>V180159</t>
  </si>
  <si>
    <t>V180148</t>
  </si>
  <si>
    <t>VH8021804-05</t>
  </si>
  <si>
    <t>VN8020407-12</t>
  </si>
  <si>
    <t>V180147</t>
  </si>
  <si>
    <t>VK8020421-25</t>
  </si>
  <si>
    <t>V180161</t>
  </si>
  <si>
    <t>VH8022501-03</t>
  </si>
  <si>
    <t>V180162</t>
  </si>
  <si>
    <t>VK8021109-12</t>
  </si>
  <si>
    <t>V180169</t>
  </si>
  <si>
    <t>VN8021101-04</t>
  </si>
  <si>
    <t>VQ8021110-15</t>
  </si>
  <si>
    <t>V180172</t>
  </si>
  <si>
    <t>VQ8021808-13</t>
  </si>
  <si>
    <t>V180156</t>
  </si>
  <si>
    <t>VS8021160-64</t>
  </si>
  <si>
    <t>V180171</t>
  </si>
  <si>
    <t>VS8021825-30</t>
  </si>
  <si>
    <t>VW8020451-65</t>
  </si>
  <si>
    <t>V180170</t>
  </si>
  <si>
    <t>VW8021117-19</t>
  </si>
  <si>
    <t>V180155</t>
  </si>
  <si>
    <t>VW8020466-80</t>
  </si>
  <si>
    <t>V180158</t>
  </si>
  <si>
    <t>VS8021165-79</t>
  </si>
  <si>
    <t>V180154</t>
  </si>
  <si>
    <t>VN8020413-15</t>
  </si>
  <si>
    <t>V180133</t>
  </si>
  <si>
    <t>VK8020426-31</t>
  </si>
  <si>
    <t>V180152</t>
  </si>
  <si>
    <t>VH8021806</t>
  </si>
  <si>
    <t>V180153</t>
  </si>
  <si>
    <t>VZ8020409-10</t>
  </si>
  <si>
    <t>V180174</t>
  </si>
  <si>
    <t>VW8021120-28</t>
  </si>
  <si>
    <t>V180175</t>
  </si>
  <si>
    <t>VS8021831-38</t>
  </si>
  <si>
    <t>V180173</t>
  </si>
  <si>
    <t>VZ8021101-05</t>
  </si>
  <si>
    <t>V180157</t>
  </si>
  <si>
    <t>VQ8021116-17</t>
  </si>
  <si>
    <t>V180176</t>
  </si>
  <si>
    <t>VH8022504-08</t>
  </si>
  <si>
    <t>V180178</t>
  </si>
  <si>
    <t>VS8021839-46</t>
  </si>
  <si>
    <t>V180179</t>
  </si>
  <si>
    <t>VQ8021814-22</t>
  </si>
  <si>
    <t>V180209</t>
  </si>
  <si>
    <t>VW8021801-09</t>
  </si>
  <si>
    <t>V180186</t>
  </si>
  <si>
    <t>VC8021101-02</t>
  </si>
  <si>
    <t>V180182</t>
  </si>
  <si>
    <t>VS8021847-52</t>
  </si>
  <si>
    <t>V180177</t>
  </si>
  <si>
    <t>VK8021113-16</t>
  </si>
  <si>
    <t>V180184</t>
  </si>
  <si>
    <t>V180181</t>
  </si>
  <si>
    <t>VW8021129-32</t>
  </si>
  <si>
    <t>V180180</t>
  </si>
  <si>
    <t>VZ8021106-09</t>
  </si>
  <si>
    <t>V180187</t>
  </si>
  <si>
    <t>VS8021853-64</t>
  </si>
  <si>
    <t>VN8021105-08</t>
  </si>
  <si>
    <t>V180210</t>
  </si>
  <si>
    <t>VK8021801-05</t>
  </si>
  <si>
    <t>V180183</t>
  </si>
  <si>
    <t>VK8021117-26</t>
  </si>
  <si>
    <t>V180185</t>
  </si>
  <si>
    <t>VW8021133-37</t>
  </si>
  <si>
    <t>V180190</t>
  </si>
  <si>
    <t>V180211</t>
  </si>
  <si>
    <t>VS8022501-17</t>
  </si>
  <si>
    <t>V180191</t>
  </si>
  <si>
    <t>VS8021865-76</t>
  </si>
  <si>
    <t>V180188</t>
  </si>
  <si>
    <t>VH8022509-10</t>
  </si>
  <si>
    <t>V180189</t>
  </si>
  <si>
    <t>VB8021101</t>
  </si>
  <si>
    <t>V180194</t>
  </si>
  <si>
    <t>VZ8021110-13</t>
  </si>
  <si>
    <t>V180197</t>
  </si>
  <si>
    <t>VS8021877-91</t>
  </si>
  <si>
    <t>V180198</t>
  </si>
  <si>
    <t>VQ8021823-26</t>
  </si>
  <si>
    <t>V180195</t>
  </si>
  <si>
    <t>VN8021109</t>
  </si>
  <si>
    <t>V180193</t>
  </si>
  <si>
    <t>VK8021127-37</t>
  </si>
  <si>
    <t>V180192</t>
  </si>
  <si>
    <t>V180212</t>
  </si>
  <si>
    <t>VW8021810-12</t>
  </si>
  <si>
    <t>VW8021138-54</t>
  </si>
  <si>
    <t>V180196</t>
  </si>
  <si>
    <t>VW8021155-70</t>
  </si>
  <si>
    <t>V180199</t>
  </si>
  <si>
    <t>2500000041149</t>
  </si>
  <si>
    <t>V180208</t>
  </si>
  <si>
    <t>VN8021801-03</t>
  </si>
  <si>
    <t>V180207</t>
  </si>
  <si>
    <t>VK8021806-10</t>
  </si>
  <si>
    <t>VH8022511-12</t>
  </si>
  <si>
    <t>V180206</t>
  </si>
  <si>
    <t>VH8030401-02</t>
  </si>
  <si>
    <t>V180213</t>
  </si>
  <si>
    <t>V180205</t>
  </si>
  <si>
    <t>VZ8021114-17</t>
  </si>
  <si>
    <t>VW8021813-22</t>
  </si>
  <si>
    <t>V180202</t>
  </si>
  <si>
    <t>VW8021171-74</t>
  </si>
  <si>
    <t>V180214</t>
  </si>
  <si>
    <t>VS8022518-22</t>
  </si>
  <si>
    <t>V180203</t>
  </si>
  <si>
    <t>VS8021892-102</t>
  </si>
  <si>
    <t>V180216</t>
  </si>
  <si>
    <t>VQ8022501-06</t>
  </si>
  <si>
    <t>V180204</t>
  </si>
  <si>
    <t>VQ8021827-28</t>
  </si>
  <si>
    <t>V180201</t>
  </si>
  <si>
    <t>VN8021110-13</t>
  </si>
  <si>
    <t>V180200</t>
  </si>
  <si>
    <t>VK8021138</t>
  </si>
  <si>
    <t>V180215</t>
  </si>
  <si>
    <t>VZ8021801-04</t>
  </si>
  <si>
    <t>V180220</t>
  </si>
  <si>
    <t>VS8022523-36</t>
  </si>
  <si>
    <t>V180221</t>
  </si>
  <si>
    <t>VQ8022507-15</t>
  </si>
  <si>
    <t>V180218</t>
  </si>
  <si>
    <t>VK8021811-15</t>
  </si>
  <si>
    <t>V180217</t>
  </si>
  <si>
    <t>VH8030403-04</t>
  </si>
  <si>
    <t>V180219</t>
  </si>
  <si>
    <t>VW8021823-32</t>
  </si>
  <si>
    <t>V180252</t>
  </si>
  <si>
    <t>VW8022501-11</t>
  </si>
  <si>
    <t>V180224</t>
  </si>
  <si>
    <t>VW8021833-37</t>
  </si>
  <si>
    <t>V180253</t>
  </si>
  <si>
    <t>VS8030401-11</t>
  </si>
  <si>
    <t>V180225</t>
  </si>
  <si>
    <t>VS8022537-43</t>
  </si>
  <si>
    <t>V180226</t>
  </si>
  <si>
    <t>VQ8022516-19</t>
  </si>
  <si>
    <t>V180222</t>
  </si>
  <si>
    <t>VK8021816-18</t>
  </si>
  <si>
    <t>V180227</t>
  </si>
  <si>
    <t>VI8021801</t>
  </si>
  <si>
    <t>V180231</t>
  </si>
  <si>
    <t>V180223</t>
  </si>
  <si>
    <t>VZ8021805-06</t>
  </si>
  <si>
    <t>V180232</t>
  </si>
  <si>
    <t>VW8021838-41</t>
  </si>
  <si>
    <t>V180234</t>
  </si>
  <si>
    <t>VS8022544-56</t>
  </si>
  <si>
    <t>V180255</t>
  </si>
  <si>
    <t>VS8030412-19</t>
  </si>
  <si>
    <t>V180241</t>
  </si>
  <si>
    <t>V180230</t>
  </si>
  <si>
    <t>VN8021804-05</t>
  </si>
  <si>
    <t>V180229</t>
  </si>
  <si>
    <t>VK8021819-23</t>
  </si>
  <si>
    <t>V180235</t>
  </si>
  <si>
    <t>V180233</t>
  </si>
  <si>
    <t>VC8021801</t>
  </si>
  <si>
    <t>VB8021801-02</t>
  </si>
  <si>
    <t>V180254</t>
  </si>
  <si>
    <t>VW8022512-21</t>
  </si>
  <si>
    <t>V180239</t>
  </si>
  <si>
    <t>V180257</t>
  </si>
  <si>
    <t>VS8030420-28</t>
  </si>
  <si>
    <t>V180240</t>
  </si>
  <si>
    <t>VQ8022520-25</t>
  </si>
  <si>
    <t>V180256</t>
  </si>
  <si>
    <t>VK8022501-10</t>
  </si>
  <si>
    <t>V180236</t>
  </si>
  <si>
    <t>VH8030405-08</t>
  </si>
  <si>
    <t>V180237</t>
  </si>
  <si>
    <t>VZ8021807-08</t>
  </si>
  <si>
    <t>VW8021842-59</t>
  </si>
  <si>
    <t>VK8021824-34</t>
  </si>
  <si>
    <t>V180259</t>
  </si>
  <si>
    <t>VS8030429-35</t>
  </si>
  <si>
    <t>VS8022557-68</t>
  </si>
  <si>
    <t>V180260</t>
  </si>
  <si>
    <t>VQ8030401-05</t>
  </si>
  <si>
    <t>V180250</t>
  </si>
  <si>
    <t>VK8022511-14</t>
  </si>
  <si>
    <t>V180251</t>
  </si>
  <si>
    <t>VN8022501-04</t>
  </si>
  <si>
    <t>V180249</t>
  </si>
  <si>
    <t>VH8031101-02</t>
  </si>
  <si>
    <t>V180258</t>
  </si>
  <si>
    <t>V180244</t>
  </si>
  <si>
    <t>VS8022569-77</t>
  </si>
  <si>
    <t>V180245</t>
  </si>
  <si>
    <t>VQ8022526-29</t>
  </si>
  <si>
    <t>V180228</t>
  </si>
  <si>
    <t>VD8021801</t>
  </si>
  <si>
    <t>V180243</t>
  </si>
  <si>
    <t>VW8021860-65</t>
  </si>
  <si>
    <t>V180238</t>
  </si>
  <si>
    <t>VN8021806-09</t>
  </si>
  <si>
    <t>V180242</t>
  </si>
  <si>
    <t>VK8021835-41</t>
  </si>
  <si>
    <t>V180247</t>
  </si>
  <si>
    <t>VW8021865-81</t>
  </si>
  <si>
    <t>V180248</t>
  </si>
  <si>
    <t>VS8022578-89</t>
  </si>
  <si>
    <t>V180246</t>
  </si>
  <si>
    <t>VZ8021809-11</t>
  </si>
  <si>
    <t>VW8022522-26</t>
  </si>
  <si>
    <t>V180262</t>
  </si>
  <si>
    <t>VS8030436-44</t>
  </si>
  <si>
    <t>V180263</t>
  </si>
  <si>
    <t>VQ8030406-17</t>
  </si>
  <si>
    <t>V180261</t>
  </si>
  <si>
    <t>VZ8022501-05</t>
  </si>
  <si>
    <t>V180265</t>
  </si>
  <si>
    <t>V180266</t>
  </si>
  <si>
    <t>V180267</t>
  </si>
  <si>
    <t>V180272</t>
  </si>
  <si>
    <t>V180271</t>
  </si>
  <si>
    <t>V180264</t>
  </si>
  <si>
    <t>V180268</t>
  </si>
  <si>
    <t>V180284</t>
  </si>
  <si>
    <t>V180278</t>
  </si>
  <si>
    <t>V180286</t>
  </si>
  <si>
    <t>V180273</t>
  </si>
  <si>
    <t>V180269</t>
  </si>
  <si>
    <t>V180277</t>
  </si>
  <si>
    <t>V180276</t>
  </si>
  <si>
    <t>V180293</t>
  </si>
  <si>
    <t>V180294</t>
  </si>
  <si>
    <t>V180275</t>
  </si>
  <si>
    <t>V180274</t>
  </si>
  <si>
    <t>V180279</t>
  </si>
  <si>
    <t>V180280</t>
  </si>
  <si>
    <t>V180282</t>
  </si>
  <si>
    <t>V180285</t>
  </si>
  <si>
    <t>V180270</t>
  </si>
  <si>
    <t>V180283</t>
  </si>
  <si>
    <t>V180281</t>
  </si>
  <si>
    <t>TAOYUAN</t>
  </si>
  <si>
    <t>VS8030445-50</t>
  </si>
  <si>
    <t>VH8031103-05</t>
  </si>
  <si>
    <t>VK8022515-26</t>
  </si>
  <si>
    <t>VQ8030418-20</t>
  </si>
  <si>
    <t>VS8030451-61</t>
  </si>
  <si>
    <t>VW8022527-42</t>
  </si>
  <si>
    <t>VZ8022506</t>
  </si>
  <si>
    <t>VC8022501</t>
  </si>
  <si>
    <t>VZ8022507-09</t>
  </si>
  <si>
    <t>VW8022543-52</t>
  </si>
  <si>
    <t>VD8022501</t>
  </si>
  <si>
    <t>VI8022501</t>
  </si>
  <si>
    <t>VK8022527-32</t>
  </si>
  <si>
    <t>VN8022505-07</t>
  </si>
  <si>
    <t>VQ8030421-27</t>
  </si>
  <si>
    <t>VS8030462-70</t>
  </si>
  <si>
    <t>VS8031804-08</t>
  </si>
  <si>
    <t>VS8031801-03</t>
  </si>
  <si>
    <t>VH8031106-09</t>
  </si>
  <si>
    <t>VK8022533-40</t>
  </si>
  <si>
    <t>VN8022508-12</t>
  </si>
  <si>
    <t>VS8030471-88</t>
  </si>
  <si>
    <t>2500000041204</t>
  </si>
  <si>
    <t>VW8022553-62</t>
  </si>
  <si>
    <t>VZ8022509-11</t>
  </si>
  <si>
    <t xml:space="preserve">IAL 001  N309  </t>
  </si>
  <si>
    <t>SUNNY LOTUS 1803N</t>
  </si>
  <si>
    <t>PADMA 0543-049N</t>
  </si>
  <si>
    <t>V180288</t>
  </si>
  <si>
    <t>V180289</t>
  </si>
  <si>
    <t>V180290</t>
  </si>
  <si>
    <t>V180291</t>
  </si>
  <si>
    <t>V180292</t>
  </si>
  <si>
    <t>VZ8030401</t>
  </si>
  <si>
    <t>V180298</t>
  </si>
  <si>
    <t>VK8030401</t>
  </si>
  <si>
    <t>VW8030401-12</t>
  </si>
  <si>
    <t>VS8031101-09</t>
  </si>
  <si>
    <t>VQ8031101-05</t>
  </si>
  <si>
    <t>VN8031101-02</t>
  </si>
  <si>
    <t>V180328</t>
  </si>
  <si>
    <t>VH8031802</t>
  </si>
  <si>
    <t>V180287</t>
  </si>
  <si>
    <t>V180295</t>
  </si>
  <si>
    <t>V180297</t>
  </si>
  <si>
    <t>V180296</t>
  </si>
  <si>
    <t>V180299</t>
  </si>
  <si>
    <t>SITWHPKW156316</t>
  </si>
  <si>
    <t>SITC NAGOYA 1805N</t>
  </si>
  <si>
    <t>SITWHPOS156317</t>
  </si>
  <si>
    <t>SITWHPHT156320</t>
  </si>
  <si>
    <t>SITWHPTK156318</t>
  </si>
  <si>
    <t>VH8031801</t>
  </si>
  <si>
    <t>VK8031101-06</t>
  </si>
  <si>
    <t>VS8031809-15</t>
  </si>
  <si>
    <t>VW8031101-12</t>
  </si>
  <si>
    <t>VZ8031101-04</t>
  </si>
  <si>
    <t>V180329</t>
  </si>
  <si>
    <t>VW8030403</t>
  </si>
  <si>
    <t>V180317</t>
  </si>
  <si>
    <t>VH8032501-02</t>
  </si>
  <si>
    <t>V180302</t>
  </si>
  <si>
    <t>VQ8031801-03</t>
  </si>
  <si>
    <t>V180301</t>
  </si>
  <si>
    <t>VS8031816-25</t>
  </si>
  <si>
    <t>V180300</t>
  </si>
  <si>
    <t>VW8031113-19</t>
  </si>
  <si>
    <t>KMTCHPH0500563</t>
  </si>
  <si>
    <t xml:space="preserve">HONGKONG VOYAGER 0069N </t>
  </si>
  <si>
    <t>KMTCHPH0509533</t>
  </si>
  <si>
    <t>SITWHPKW156324</t>
  </si>
  <si>
    <t>HANSE ENERGY 1807N</t>
  </si>
  <si>
    <t>V180306</t>
  </si>
  <si>
    <t>VB8031101</t>
  </si>
  <si>
    <t>V180303</t>
  </si>
  <si>
    <t>VK8031107-16</t>
  </si>
  <si>
    <t>V180305</t>
  </si>
  <si>
    <t>V180309</t>
  </si>
  <si>
    <t>VQ8031804-07</t>
  </si>
  <si>
    <t>V180308</t>
  </si>
  <si>
    <t>VS8031826-37</t>
  </si>
  <si>
    <t>V180307</t>
  </si>
  <si>
    <t>VW8031120-31</t>
  </si>
  <si>
    <t>V180304</t>
  </si>
  <si>
    <t>VZ8031105-06</t>
  </si>
  <si>
    <t>VN8030401-02</t>
  </si>
  <si>
    <t>V180312</t>
  </si>
  <si>
    <t>VK8031117-24</t>
  </si>
  <si>
    <t>V180313</t>
  </si>
  <si>
    <t>VN8031103-04</t>
  </si>
  <si>
    <t>V180316</t>
  </si>
  <si>
    <t>VQ8031808-11</t>
  </si>
  <si>
    <t>V180315</t>
  </si>
  <si>
    <t>VS8031838-50</t>
  </si>
  <si>
    <t>V180340</t>
  </si>
  <si>
    <t>VS8032501-05</t>
  </si>
  <si>
    <t>V180314</t>
  </si>
  <si>
    <t>VW8031132-38</t>
  </si>
  <si>
    <t>V180311</t>
  </si>
  <si>
    <t>VD8031101</t>
  </si>
  <si>
    <t>V180327</t>
  </si>
  <si>
    <t>VH8032503-05</t>
  </si>
  <si>
    <t>V180310</t>
  </si>
  <si>
    <t>VI8031101</t>
  </si>
  <si>
    <t>V180318</t>
  </si>
  <si>
    <t>VK8031125-29</t>
  </si>
  <si>
    <t>V180342</t>
  </si>
  <si>
    <t>VK8031801-03</t>
  </si>
  <si>
    <t>V180320</t>
  </si>
  <si>
    <t>VN8031105-08</t>
  </si>
  <si>
    <t>V180323</t>
  </si>
  <si>
    <t>VQ8031812-14</t>
  </si>
  <si>
    <t>V180322</t>
  </si>
  <si>
    <t>VS8031851-59</t>
  </si>
  <si>
    <t>V180341</t>
  </si>
  <si>
    <t>VS8032506-11</t>
  </si>
  <si>
    <t>V180321</t>
  </si>
  <si>
    <t>VW8031139-47</t>
  </si>
  <si>
    <t>V180343</t>
  </si>
  <si>
    <t>VW8031801-06</t>
  </si>
  <si>
    <t>V180319</t>
  </si>
  <si>
    <t>VZ8031107</t>
  </si>
  <si>
    <t>V180326</t>
  </si>
  <si>
    <t>VS8031860-71</t>
  </si>
  <si>
    <t>V180337</t>
  </si>
  <si>
    <t>V180325</t>
  </si>
  <si>
    <t>VW8031148-55</t>
  </si>
  <si>
    <t>V180335</t>
  </si>
  <si>
    <t>VZ8031801-03</t>
  </si>
  <si>
    <t>YUS</t>
  </si>
  <si>
    <t>1008A00930</t>
  </si>
  <si>
    <t>WAN HAI 267 N262</t>
  </si>
  <si>
    <t>1008X00553</t>
  </si>
  <si>
    <t>V180324</t>
  </si>
  <si>
    <t>VK8031130-36</t>
  </si>
  <si>
    <t>V180345</t>
  </si>
  <si>
    <t>VK8031137-47</t>
  </si>
  <si>
    <t>V180339</t>
  </si>
  <si>
    <t>VQ8032501-02</t>
  </si>
  <si>
    <t>V180334</t>
  </si>
  <si>
    <t>VS8031872-89</t>
  </si>
  <si>
    <t>V180333</t>
  </si>
  <si>
    <t>VW8031156-71</t>
  </si>
  <si>
    <t>V180336</t>
  </si>
  <si>
    <t>V180332</t>
  </si>
  <si>
    <t>VN8031109</t>
  </si>
  <si>
    <t>V180338</t>
  </si>
  <si>
    <t>VS8031890-101</t>
  </si>
  <si>
    <t>V180331</t>
  </si>
  <si>
    <t>VZ8031108</t>
  </si>
  <si>
    <t>HEUNG-A SARAH 0102N</t>
  </si>
  <si>
    <t>RESURGENCE 1801N</t>
  </si>
  <si>
    <t>IAL 001 N303</t>
  </si>
  <si>
    <t>BOX EXPRESS 0532-044N</t>
  </si>
  <si>
    <t>WAN HAI 266 N386</t>
  </si>
  <si>
    <t>SITC WEIHAI 1803N</t>
  </si>
  <si>
    <t>LANTAU BEE 17025N</t>
  </si>
  <si>
    <t>HANSE ENERGY 1803N</t>
  </si>
  <si>
    <t>SUZURAN 380N</t>
  </si>
  <si>
    <t>IAL 001 N304</t>
  </si>
  <si>
    <t>MOONCHILD N016</t>
  </si>
  <si>
    <t>HEUNG-A YOUNG 0098N</t>
  </si>
  <si>
    <t>WAN HAI 171 S232</t>
  </si>
  <si>
    <t>ONYX 1 N032</t>
  </si>
  <si>
    <t>FORMOSA CONTAINER NO.4 1803N</t>
  </si>
  <si>
    <t>BOX EXPRESS 0534-045N</t>
  </si>
  <si>
    <t>SITC NAGOYA 1801N</t>
  </si>
  <si>
    <t>SINAR BITUNG 005E</t>
  </si>
  <si>
    <t>AVRA C V.1803N</t>
  </si>
  <si>
    <t>REFLECTION V.1803N</t>
  </si>
  <si>
    <t>SITC YOKKAICHI 1803N</t>
  </si>
  <si>
    <t>LANTAU BAY 1801N</t>
  </si>
  <si>
    <t>IAL 001 N305</t>
  </si>
  <si>
    <t>WAN HAI 231 N269</t>
  </si>
  <si>
    <t>MARCLIFF 18001N</t>
  </si>
  <si>
    <t>WAN HAI 267 N260</t>
  </si>
  <si>
    <t>ITALIAN EXPRESS 18001B</t>
  </si>
  <si>
    <t>WANHAI 282 N061</t>
  </si>
  <si>
    <t>FPMC CONTAINER 9 1805N</t>
  </si>
  <si>
    <t>SITC KAOHSIUNG 1803N</t>
  </si>
  <si>
    <t>ASIATIC DAWN 030E</t>
  </si>
  <si>
    <t>SITC YANTAI 1803N</t>
  </si>
  <si>
    <t>IAL 001 N306</t>
  </si>
  <si>
    <t>HEUNG-A SARAH 0103N</t>
  </si>
  <si>
    <t>HEUNG-A YOUNG / 0099N</t>
  </si>
  <si>
    <t>PADMA 0537-046N</t>
  </si>
  <si>
    <t>HANSE ENDURANCE 18002N</t>
  </si>
  <si>
    <t>MAERSK ATLANTIC 801B</t>
  </si>
  <si>
    <t xml:space="preserve"> WAN HAI 266 N387</t>
  </si>
  <si>
    <t>MOONCHILD  N017</t>
  </si>
  <si>
    <t>ONYX 1  N033</t>
  </si>
  <si>
    <t>IAL 001N 306</t>
  </si>
  <si>
    <t>IAL 001 N307</t>
  </si>
  <si>
    <t>RESURGENCE 1803N</t>
  </si>
  <si>
    <t>HANSE ENERGY 1805N</t>
  </si>
  <si>
    <t>SITC TIANJIN 1803N</t>
  </si>
  <si>
    <t>HEUNG-A SARAH / 0104N</t>
  </si>
  <si>
    <t>LANTAU BEE 18002N</t>
  </si>
  <si>
    <t>SITC OSAKA 1803N</t>
  </si>
  <si>
    <t>SITC NAGOYA 1803N</t>
  </si>
  <si>
    <t>SUNNY CAMELLIA / 1802N</t>
  </si>
  <si>
    <t>MOONCHILD N017</t>
  </si>
  <si>
    <t>REFLECTION 1805N</t>
  </si>
  <si>
    <t>WAN HAI 172  S284</t>
  </si>
  <si>
    <t>WAN HAI 267  N261</t>
  </si>
  <si>
    <t>FORMOSA CONTAINER NO.4 1805N</t>
  </si>
  <si>
    <t>WAN HAI 231  N270</t>
  </si>
  <si>
    <t>SITC WEIHAI 1805N</t>
  </si>
  <si>
    <t>MARCLIFF 18002N</t>
  </si>
  <si>
    <t>HEUNG-A YOUNG / 0100N</t>
  </si>
  <si>
    <t>WAN HAI 267 N261</t>
  </si>
  <si>
    <t>PADMA 0541-048N</t>
  </si>
  <si>
    <t>AS RICCARDA 099N</t>
  </si>
  <si>
    <t>IAL 001  N308</t>
  </si>
  <si>
    <t>SITC TIANJIN 1805N</t>
  </si>
  <si>
    <t>WAN HAI 282 N062</t>
  </si>
  <si>
    <t>ASIATIC DAWN 031E</t>
  </si>
  <si>
    <t>SITC KAOHSIUNG 1805N</t>
  </si>
  <si>
    <t>BOX EXPRESS 0542-049N</t>
  </si>
  <si>
    <t>SITC YOKKAICHI 1805N</t>
  </si>
  <si>
    <t xml:space="preserve">WAN HAI 266   N388  </t>
  </si>
  <si>
    <t>SAN LORENZO 108N</t>
  </si>
  <si>
    <t>SUNNY CAMELLIA / 1803N</t>
  </si>
  <si>
    <t>HEUNG-A HAIPHONG 0082N</t>
  </si>
  <si>
    <t>ASIATIC ECLIPSE 129E</t>
  </si>
  <si>
    <t>HASL51EHC7000600</t>
  </si>
  <si>
    <t>SITWHPTK151269</t>
  </si>
  <si>
    <t>1007X00692</t>
  </si>
  <si>
    <t>EGLV237700269667</t>
  </si>
  <si>
    <t>1007X00626</t>
  </si>
  <si>
    <t>SITWHPKW151274</t>
  </si>
  <si>
    <t>SITWHPOS151270</t>
  </si>
  <si>
    <t>1007X00628</t>
  </si>
  <si>
    <t>HASL51EHC7000500</t>
  </si>
  <si>
    <t>SITWHPKW151922</t>
  </si>
  <si>
    <t>HAN0126593</t>
  </si>
  <si>
    <t>SITWHPHT151873</t>
  </si>
  <si>
    <t>1008X00012</t>
  </si>
  <si>
    <t>EGLV237800050870</t>
  </si>
  <si>
    <t>HASL51EH18000100</t>
  </si>
  <si>
    <t>1008X00020</t>
  </si>
  <si>
    <t>1008X00019</t>
  </si>
  <si>
    <t>1008X00013</t>
  </si>
  <si>
    <t>1008X00014</t>
  </si>
  <si>
    <t>HASL51HY18000100</t>
  </si>
  <si>
    <t>SITWHPKW151924</t>
  </si>
  <si>
    <t>EGLV237800050861</t>
  </si>
  <si>
    <t>SITWHPOS151919</t>
  </si>
  <si>
    <t>APLU715178830</t>
  </si>
  <si>
    <t>SITWHPOS152511</t>
  </si>
  <si>
    <t>SITWHPTK152510</t>
  </si>
  <si>
    <t>SITWHPTK151917</t>
  </si>
  <si>
    <t>SITWHPOS151920</t>
  </si>
  <si>
    <t>SITWHPHT151921</t>
  </si>
  <si>
    <t>HASL51EH18000200</t>
  </si>
  <si>
    <t>1008X00099</t>
  </si>
  <si>
    <t>1008X00095</t>
  </si>
  <si>
    <t>SITWHPKW152622</t>
  </si>
  <si>
    <t>EGLV237800056401</t>
  </si>
  <si>
    <t>1008X00144</t>
  </si>
  <si>
    <t>1008X00160</t>
  </si>
  <si>
    <t>SITWHPKW153103</t>
  </si>
  <si>
    <t>1008X00094</t>
  </si>
  <si>
    <t>HASL51HY18000200</t>
  </si>
  <si>
    <t>SITWHPTK153014</t>
  </si>
  <si>
    <t>APLU715180681</t>
  </si>
  <si>
    <t>SITWHPOS152618</t>
  </si>
  <si>
    <t>1008X00186</t>
  </si>
  <si>
    <t>SITWHPHT152619</t>
  </si>
  <si>
    <t>SITWHPTK153228</t>
  </si>
  <si>
    <t>HASL51EH18000300</t>
  </si>
  <si>
    <t>HASL51EH18000500</t>
  </si>
  <si>
    <t>SITWHPKW153369</t>
  </si>
  <si>
    <t>1008X00196</t>
  </si>
  <si>
    <t>1008X00307</t>
  </si>
  <si>
    <t>HASL51HY18000400</t>
  </si>
  <si>
    <t>1008X00197</t>
  </si>
  <si>
    <t>1008X00193</t>
  </si>
  <si>
    <t>1008X00191</t>
  </si>
  <si>
    <t>SITWHPKW153430</t>
  </si>
  <si>
    <t>SITWHPKW154373</t>
  </si>
  <si>
    <t>SITWHPOS153426</t>
  </si>
  <si>
    <t>SITWHPTK153424</t>
  </si>
  <si>
    <t>HASL51EH18000600</t>
  </si>
  <si>
    <t>SITWHPHT153427</t>
  </si>
  <si>
    <t>SITWHPOS154245</t>
  </si>
  <si>
    <t>SITWHPOS154492</t>
  </si>
  <si>
    <t>HASL51EH18000700</t>
  </si>
  <si>
    <t>SITWHPTK154361</t>
  </si>
  <si>
    <t>EGLV237800065397</t>
  </si>
  <si>
    <t>SITWHPKW154369</t>
  </si>
  <si>
    <t>1008X00303</t>
  </si>
  <si>
    <t>1008X00403</t>
  </si>
  <si>
    <t>SITWHPKW154371</t>
  </si>
  <si>
    <t>1008X00301</t>
  </si>
  <si>
    <t>SITWHPOS154366</t>
  </si>
  <si>
    <t>SITWHPHT154367</t>
  </si>
  <si>
    <t>HASL51EH18000800</t>
  </si>
  <si>
    <t>EGLV237800069945</t>
  </si>
  <si>
    <t>EGLV237800069961</t>
  </si>
  <si>
    <t>OOLU2600169260</t>
  </si>
  <si>
    <t>1008X00407</t>
  </si>
  <si>
    <t>SITWHPKW155629</t>
  </si>
  <si>
    <t>1008X00453</t>
  </si>
  <si>
    <t>APLU 715186285</t>
  </si>
  <si>
    <t>SITWHPKW155220</t>
  </si>
  <si>
    <t>1008X00412</t>
  </si>
  <si>
    <t>1008X00405</t>
  </si>
  <si>
    <t>EGLV237800072733</t>
  </si>
  <si>
    <t>SITWHPHT155225</t>
  </si>
  <si>
    <t>SITWHPTK155951</t>
  </si>
  <si>
    <t>SITWHPTK155226</t>
  </si>
  <si>
    <t>SITWHPOS155223</t>
  </si>
  <si>
    <t>1008X00502</t>
  </si>
  <si>
    <t>1008X00495</t>
  </si>
  <si>
    <t>OOLU2600439630</t>
  </si>
  <si>
    <t>KMTCHPH0506192</t>
  </si>
  <si>
    <t>51HY28000200</t>
  </si>
  <si>
    <t>KMTCHPH0501420</t>
  </si>
  <si>
    <t>SITWHPOS155974</t>
  </si>
  <si>
    <t>1008X00494</t>
  </si>
  <si>
    <t>KMTCHPH0504329</t>
  </si>
  <si>
    <t>APLU 715187862</t>
  </si>
  <si>
    <t>SITWHPHT155973</t>
  </si>
  <si>
    <t>EGLV237800076020</t>
  </si>
  <si>
    <t>VS8032512-22</t>
  </si>
  <si>
    <t>VW8031807-13</t>
  </si>
  <si>
    <t>VQ8031815-17</t>
  </si>
  <si>
    <t>V180330</t>
  </si>
  <si>
    <t>V180350</t>
  </si>
  <si>
    <t>VD8031801</t>
  </si>
  <si>
    <t>V180344</t>
  </si>
  <si>
    <t>VH8040101-04</t>
  </si>
  <si>
    <t>V180346</t>
  </si>
  <si>
    <t>VN8031801-03</t>
  </si>
  <si>
    <t>V180349</t>
  </si>
  <si>
    <t>VQ8032503-08</t>
  </si>
  <si>
    <t>V180348</t>
  </si>
  <si>
    <t>VS8032523-28</t>
  </si>
  <si>
    <t>V180347</t>
  </si>
  <si>
    <t>VW8031814-23</t>
  </si>
  <si>
    <t>V180352</t>
  </si>
  <si>
    <t>VZ8031804-06</t>
  </si>
  <si>
    <t>V180351</t>
  </si>
  <si>
    <t>VK8031804-14</t>
  </si>
  <si>
    <t>V180353</t>
  </si>
  <si>
    <t>VN8031804-08</t>
  </si>
  <si>
    <t>V180356</t>
  </si>
  <si>
    <t>VQ8032509-12</t>
  </si>
  <si>
    <t>V180355</t>
  </si>
  <si>
    <t>VS8032529-40</t>
  </si>
  <si>
    <t>V180354</t>
  </si>
  <si>
    <t>VW8031824-33</t>
  </si>
  <si>
    <t>V180406</t>
  </si>
  <si>
    <t>V180361</t>
  </si>
  <si>
    <t>VB8031801</t>
  </si>
  <si>
    <t>V180363</t>
  </si>
  <si>
    <t>VC8031801</t>
  </si>
  <si>
    <t>V180358</t>
  </si>
  <si>
    <t>VH8040105</t>
  </si>
  <si>
    <t>V180357</t>
  </si>
  <si>
    <t>VI8031801</t>
  </si>
  <si>
    <t>V180359</t>
  </si>
  <si>
    <t>VK8031815-21</t>
  </si>
  <si>
    <t>V180360</t>
  </si>
  <si>
    <t>VN8031809</t>
  </si>
  <si>
    <t>V180365</t>
  </si>
  <si>
    <t>VQ8032513-15</t>
  </si>
  <si>
    <t>V180364</t>
  </si>
  <si>
    <t>VS8032541-53</t>
  </si>
  <si>
    <t>V180368</t>
  </si>
  <si>
    <t>VK8031822-26</t>
  </si>
  <si>
    <t>V180369</t>
  </si>
  <si>
    <t>VS8032554-67</t>
  </si>
  <si>
    <t>V180379</t>
  </si>
  <si>
    <t>VS8040101-06</t>
  </si>
  <si>
    <t>V180362</t>
  </si>
  <si>
    <t>VW8031834-49</t>
  </si>
  <si>
    <t>V180378</t>
  </si>
  <si>
    <t>VW8032501-08</t>
  </si>
  <si>
    <t>V180375</t>
  </si>
  <si>
    <t>VK8031827-30</t>
  </si>
  <si>
    <t>V180371</t>
  </si>
  <si>
    <t>VN8031810-11</t>
  </si>
  <si>
    <t>V180374</t>
  </si>
  <si>
    <t>VQ8032516-19</t>
  </si>
  <si>
    <t>V180373</t>
  </si>
  <si>
    <t>VS8032568-78</t>
  </si>
  <si>
    <t>V180384</t>
  </si>
  <si>
    <t>V180372</t>
  </si>
  <si>
    <t>VW8031850-62</t>
  </si>
  <si>
    <t>V180381</t>
  </si>
  <si>
    <t>VW8032509-18</t>
  </si>
  <si>
    <t>V180370</t>
  </si>
  <si>
    <t>VZ8031807-11</t>
  </si>
  <si>
    <t>V180377</t>
  </si>
  <si>
    <t>VZ8032501-03</t>
  </si>
  <si>
    <t>V180367</t>
  </si>
  <si>
    <t>VH8040106-07</t>
  </si>
  <si>
    <t>V180376</t>
  </si>
  <si>
    <t>VS8032579-90</t>
  </si>
  <si>
    <t>V180366</t>
  </si>
  <si>
    <t>2500000039701/ 39981</t>
  </si>
  <si>
    <t>V180408</t>
  </si>
  <si>
    <t>VS8032591</t>
  </si>
  <si>
    <t>1008X00496</t>
  </si>
  <si>
    <t>WAN HAI 266   N389</t>
  </si>
  <si>
    <t>1008X00497</t>
  </si>
  <si>
    <t>WAN HAI 266   N390</t>
  </si>
  <si>
    <t>SHANGHAI</t>
  </si>
  <si>
    <t>V180380</t>
  </si>
  <si>
    <t>VK8032501-06</t>
  </si>
  <si>
    <t>V180383</t>
  </si>
  <si>
    <t>VW8032519-21</t>
  </si>
  <si>
    <t>V180388</t>
  </si>
  <si>
    <t>VB8032501-02</t>
  </si>
  <si>
    <t>V180385</t>
  </si>
  <si>
    <t>VH8040801-02</t>
  </si>
  <si>
    <t>V180386</t>
  </si>
  <si>
    <t>VK8032507-10</t>
  </si>
  <si>
    <t>V180382</t>
  </si>
  <si>
    <t>VN8032501-03</t>
  </si>
  <si>
    <t>V180391</t>
  </si>
  <si>
    <t>VQ8040101-04</t>
  </si>
  <si>
    <t>V180390</t>
  </si>
  <si>
    <t>VS8040119-30</t>
  </si>
  <si>
    <t>V180389</t>
  </si>
  <si>
    <t>VW8032522-29</t>
  </si>
  <si>
    <t>V180387</t>
  </si>
  <si>
    <t>VZ8032504-07</t>
  </si>
  <si>
    <t>V180396</t>
  </si>
  <si>
    <t>VC8032501</t>
  </si>
  <si>
    <t>V180392</t>
  </si>
  <si>
    <t>VD8032501</t>
  </si>
  <si>
    <t>V180398</t>
  </si>
  <si>
    <t>VI8032501</t>
  </si>
  <si>
    <t>V180393</t>
  </si>
  <si>
    <t>VK8032511-17</t>
  </si>
  <si>
    <t>V180394</t>
  </si>
  <si>
    <t>VN8032504-05</t>
  </si>
  <si>
    <t>V180397</t>
  </si>
  <si>
    <t>VS8040131-42</t>
  </si>
  <si>
    <t>V180399</t>
  </si>
  <si>
    <t>V180395</t>
  </si>
  <si>
    <t>VW8032530-42</t>
  </si>
  <si>
    <t>V180407</t>
  </si>
  <si>
    <t>VW8031863</t>
  </si>
  <si>
    <t>V180400</t>
  </si>
  <si>
    <t>VH8040803-04</t>
  </si>
  <si>
    <t>V180401</t>
  </si>
  <si>
    <t>VK8032518-21</t>
  </si>
  <si>
    <t>V180405</t>
  </si>
  <si>
    <t>VQ8040105-08</t>
  </si>
  <si>
    <t>V180404</t>
  </si>
  <si>
    <t>VS8040143-47</t>
  </si>
  <si>
    <t>V180416</t>
  </si>
  <si>
    <t>VS8040801-06</t>
  </si>
  <si>
    <t>V180403</t>
  </si>
  <si>
    <t>V180415</t>
  </si>
  <si>
    <t>VW8040101-08</t>
  </si>
  <si>
    <t>V180402</t>
  </si>
  <si>
    <t>V180409</t>
  </si>
  <si>
    <t>VK8032522-31</t>
  </si>
  <si>
    <t>V180413</t>
  </si>
  <si>
    <t>V180436</t>
  </si>
  <si>
    <t>V180414</t>
  </si>
  <si>
    <t>VK8040101-06</t>
  </si>
  <si>
    <t>V180410</t>
  </si>
  <si>
    <t>VN8032506-07</t>
  </si>
  <si>
    <t>V180418</t>
  </si>
  <si>
    <t>VS8040807-11</t>
  </si>
  <si>
    <t>VW8032543-57</t>
  </si>
  <si>
    <t>V180417</t>
  </si>
  <si>
    <t>VW8040109-12</t>
  </si>
  <si>
    <t>VZ8032508-12</t>
  </si>
  <si>
    <t>VQ8040109-11</t>
  </si>
  <si>
    <t>V180412</t>
  </si>
  <si>
    <t>VS8040148-61</t>
  </si>
  <si>
    <t>V180411</t>
  </si>
  <si>
    <t>VW8032558-59</t>
  </si>
  <si>
    <t>V180422</t>
  </si>
  <si>
    <t>VQ8040801-03</t>
  </si>
  <si>
    <t>V180421</t>
  </si>
  <si>
    <t>VS8040812-22</t>
  </si>
  <si>
    <t>V180420</t>
  </si>
  <si>
    <t>VW8040113-22</t>
  </si>
  <si>
    <t>V180419</t>
  </si>
  <si>
    <t>VZ8040101-03</t>
  </si>
  <si>
    <t>V180427</t>
  </si>
  <si>
    <t>VC8040101</t>
  </si>
  <si>
    <t>V180430</t>
  </si>
  <si>
    <t>VD8040101</t>
  </si>
  <si>
    <t>V180423</t>
  </si>
  <si>
    <t>V180424</t>
  </si>
  <si>
    <t>VK8040107-13</t>
  </si>
  <si>
    <t>V180425</t>
  </si>
  <si>
    <t>V180429</t>
  </si>
  <si>
    <t>V180428</t>
  </si>
  <si>
    <t>VS8040823-36</t>
  </si>
  <si>
    <t>V180426</t>
  </si>
  <si>
    <t>VW8040123-30</t>
  </si>
  <si>
    <t>VH8041501-04</t>
  </si>
  <si>
    <t>V180431</t>
  </si>
  <si>
    <t>VK8040114-19</t>
  </si>
  <si>
    <t>VN8040101-07</t>
  </si>
  <si>
    <t>VQ8040804-06</t>
  </si>
  <si>
    <t>V180434</t>
  </si>
  <si>
    <t>VS8040837-43</t>
  </si>
  <si>
    <t>V180454</t>
  </si>
  <si>
    <t>VS8041501-04</t>
  </si>
  <si>
    <t>V180455</t>
  </si>
  <si>
    <t>VS8041505-08</t>
  </si>
  <si>
    <t>V180433</t>
  </si>
  <si>
    <t>VW8040131-32</t>
  </si>
  <si>
    <t>V180453</t>
  </si>
  <si>
    <t>VW8040801-09</t>
  </si>
  <si>
    <t>V180432</t>
  </si>
  <si>
    <t>VZ8040104-05</t>
  </si>
  <si>
    <t>V180437</t>
  </si>
  <si>
    <t>V180443</t>
  </si>
  <si>
    <t>VI8040101</t>
  </si>
  <si>
    <t>V180438</t>
  </si>
  <si>
    <t>V180442</t>
  </si>
  <si>
    <t>VQ8040807-08</t>
  </si>
  <si>
    <t>V180441</t>
  </si>
  <si>
    <t>V180456</t>
  </si>
  <si>
    <t>VS8041509-14</t>
  </si>
  <si>
    <t>V180458</t>
  </si>
  <si>
    <t>VS8041515-20</t>
  </si>
  <si>
    <t>V180435</t>
  </si>
  <si>
    <t>V180440</t>
  </si>
  <si>
    <t>V180457</t>
  </si>
  <si>
    <t>VW8040810-15</t>
  </si>
  <si>
    <t>SINAR BITUNG 007E</t>
  </si>
  <si>
    <t>VS8040107-18</t>
  </si>
  <si>
    <t>VH8041505-07</t>
  </si>
  <si>
    <t>VK8040120-26</t>
  </si>
  <si>
    <t>V180448</t>
  </si>
  <si>
    <t>VK8040801-05</t>
  </si>
  <si>
    <t>VS8040844-56</t>
  </si>
  <si>
    <t>V180450</t>
  </si>
  <si>
    <t>VS8041521-30</t>
  </si>
  <si>
    <t>VW8040133-41</t>
  </si>
  <si>
    <t>V180449</t>
  </si>
  <si>
    <t>VW8040816-24</t>
  </si>
  <si>
    <t>V180444</t>
  </si>
  <si>
    <t>VK8040127-35</t>
  </si>
  <si>
    <t>V180446</t>
  </si>
  <si>
    <t>VS8040857-68</t>
  </si>
  <si>
    <t>V180445</t>
  </si>
  <si>
    <t>VW8040142-51</t>
  </si>
  <si>
    <t>VQ8040809-10</t>
  </si>
  <si>
    <t>V180447</t>
  </si>
  <si>
    <t>VN8040108</t>
  </si>
  <si>
    <t>V180439</t>
  </si>
  <si>
    <t>VZ8040106-07</t>
  </si>
  <si>
    <t>V180481</t>
  </si>
  <si>
    <t>V180451</t>
  </si>
  <si>
    <t>VH8042201</t>
  </si>
  <si>
    <t>V180460</t>
  </si>
  <si>
    <t>VQ8041501-05</t>
  </si>
  <si>
    <t>V180459</t>
  </si>
  <si>
    <t>VS8041531-40</t>
  </si>
  <si>
    <t>V180452</t>
  </si>
  <si>
    <t>VW8040825-34</t>
  </si>
  <si>
    <t>V180461</t>
  </si>
  <si>
    <t>VK8040806-09</t>
  </si>
  <si>
    <t>V180463</t>
  </si>
  <si>
    <t>VS8041541-47</t>
  </si>
  <si>
    <t>V180462</t>
  </si>
  <si>
    <t>VW8040835-40</t>
  </si>
  <si>
    <t>V180465</t>
  </si>
  <si>
    <t>VB8040801</t>
  </si>
  <si>
    <t>V180467</t>
  </si>
  <si>
    <t>VC8040801-</t>
  </si>
  <si>
    <t>V180475</t>
  </si>
  <si>
    <t>V180470</t>
  </si>
  <si>
    <t>VK8040810-12</t>
  </si>
  <si>
    <t>V180471</t>
  </si>
  <si>
    <t>VN8040801-04</t>
  </si>
  <si>
    <t>V180469</t>
  </si>
  <si>
    <t>V180468</t>
  </si>
  <si>
    <t>VS8041548-53</t>
  </si>
  <si>
    <t>V180466</t>
  </si>
  <si>
    <t>VW8040841-52</t>
  </si>
  <si>
    <t>V180464</t>
  </si>
  <si>
    <t>VZ8040801-02</t>
  </si>
  <si>
    <t>V180476</t>
  </si>
  <si>
    <t>VH8042202-03</t>
  </si>
  <si>
    <t>V180477</t>
  </si>
  <si>
    <t>VQ8041506-12</t>
  </si>
  <si>
    <t>V180473</t>
  </si>
  <si>
    <t>VS8041554-58</t>
  </si>
  <si>
    <t>V180489</t>
  </si>
  <si>
    <t>VS8042201-08</t>
  </si>
  <si>
    <t>V180472</t>
  </si>
  <si>
    <t>VW8040853-59</t>
  </si>
  <si>
    <t>V180488</t>
  </si>
  <si>
    <t>VW8041501-09</t>
  </si>
  <si>
    <t>VK8040813-15</t>
  </si>
  <si>
    <t>V180480</t>
  </si>
  <si>
    <t>VQ8041513</t>
  </si>
  <si>
    <t>V180479</t>
  </si>
  <si>
    <t>V180491</t>
  </si>
  <si>
    <t>VS8042209-19</t>
  </si>
  <si>
    <t>V180478</t>
  </si>
  <si>
    <t>V180490</t>
  </si>
  <si>
    <t>VW8041510-19</t>
  </si>
  <si>
    <t>V180492</t>
  </si>
  <si>
    <t>VK8041501-07</t>
  </si>
  <si>
    <t>V180494</t>
  </si>
  <si>
    <t>VN8041501-03</t>
  </si>
  <si>
    <t>VS8041559-71</t>
  </si>
  <si>
    <t>V180496</t>
  </si>
  <si>
    <t>VS8042220-26</t>
  </si>
  <si>
    <t>V180474</t>
  </si>
  <si>
    <t>VW8040860-75</t>
  </si>
  <si>
    <t>V180495</t>
  </si>
  <si>
    <t>V180493</t>
  </si>
  <si>
    <t>VZ8041501-05</t>
  </si>
  <si>
    <t>V180482</t>
  </si>
  <si>
    <t>VK8040816-23</t>
  </si>
  <si>
    <t>V180487</t>
  </si>
  <si>
    <t>VQ8041514-15</t>
  </si>
  <si>
    <t>V180486</t>
  </si>
  <si>
    <t>VS8041572-80</t>
  </si>
  <si>
    <t>V180485</t>
  </si>
  <si>
    <t>VW8040876-84</t>
  </si>
  <si>
    <t>V180483</t>
  </si>
  <si>
    <t>VH8042204-05</t>
  </si>
  <si>
    <t>V180499</t>
  </si>
  <si>
    <t>VC8041501</t>
  </si>
  <si>
    <t>V180497</t>
  </si>
  <si>
    <t>VH8042901</t>
  </si>
  <si>
    <t>V180498</t>
  </si>
  <si>
    <t>VK8041508-13</t>
  </si>
  <si>
    <t>V180501</t>
  </si>
  <si>
    <t>VQ8042201-06</t>
  </si>
  <si>
    <t>V180500</t>
  </si>
  <si>
    <t>VS8042227-34</t>
  </si>
  <si>
    <t>VW8041520-27</t>
  </si>
  <si>
    <t>V180504</t>
  </si>
  <si>
    <t>VS8042235-40</t>
  </si>
  <si>
    <t>V180503</t>
  </si>
  <si>
    <t>VW8041528-30</t>
  </si>
  <si>
    <t>V180502</t>
  </si>
  <si>
    <t>VZ8041506-10</t>
  </si>
  <si>
    <t>V180505</t>
  </si>
  <si>
    <t>VK8041514-19</t>
  </si>
  <si>
    <t>V180506</t>
  </si>
  <si>
    <t>VN8041504-06</t>
  </si>
  <si>
    <t>V180509</t>
  </si>
  <si>
    <t>VQ8042207-11</t>
  </si>
  <si>
    <t>V180508</t>
  </si>
  <si>
    <t>VS8042241-54</t>
  </si>
  <si>
    <t>V180507</t>
  </si>
  <si>
    <t>VW8041531-41</t>
  </si>
  <si>
    <t>V180510</t>
  </si>
  <si>
    <t>V180511</t>
  </si>
  <si>
    <t>V180514</t>
  </si>
  <si>
    <t>V180521</t>
  </si>
  <si>
    <t>V180513</t>
  </si>
  <si>
    <t>V180512</t>
  </si>
  <si>
    <t>VD</t>
  </si>
  <si>
    <t>VK</t>
  </si>
  <si>
    <t>VZ</t>
  </si>
  <si>
    <t>VN</t>
  </si>
  <si>
    <t>VB</t>
  </si>
  <si>
    <t>VW</t>
  </si>
  <si>
    <t>VS</t>
  </si>
  <si>
    <t>VQ</t>
  </si>
  <si>
    <t>VC</t>
  </si>
  <si>
    <t>VH</t>
  </si>
  <si>
    <t>VI</t>
  </si>
  <si>
    <t>25</t>
  </si>
  <si>
    <t>VK8041520-26</t>
  </si>
  <si>
    <t>VS8042255-64</t>
  </si>
  <si>
    <t>VS8042265-70</t>
  </si>
  <si>
    <t>VW8041542-51</t>
  </si>
  <si>
    <t>VZ8041511-13</t>
  </si>
  <si>
    <t>NIP</t>
  </si>
  <si>
    <t>V180516</t>
  </si>
  <si>
    <t>V180517</t>
  </si>
  <si>
    <t>VN8042201-03</t>
  </si>
  <si>
    <t>V180525</t>
  </si>
  <si>
    <t>V180519</t>
  </si>
  <si>
    <t>V180518</t>
  </si>
  <si>
    <t>V180520</t>
  </si>
  <si>
    <t>VH8042902-03</t>
  </si>
  <si>
    <t>VN8041507-12</t>
  </si>
  <si>
    <t>VQ8042212-19</t>
  </si>
  <si>
    <t>VK8041527-41</t>
  </si>
  <si>
    <t>V180526</t>
  </si>
  <si>
    <t>VK8042201-06</t>
  </si>
  <si>
    <t>V180529</t>
  </si>
  <si>
    <t>VQ8042901-05</t>
  </si>
  <si>
    <t>VS8042271-80</t>
  </si>
  <si>
    <t>V180528</t>
  </si>
  <si>
    <t>VS8042901-11</t>
  </si>
  <si>
    <t>VW8041552-60</t>
  </si>
  <si>
    <t>V180527</t>
  </si>
  <si>
    <t>VW8042201-06</t>
  </si>
  <si>
    <t>V180522</t>
  </si>
  <si>
    <t>VZ8041514-16</t>
  </si>
  <si>
    <t>V180484</t>
  </si>
  <si>
    <t>V180554</t>
  </si>
  <si>
    <t>VK8041542-46</t>
  </si>
  <si>
    <t>V180524</t>
  </si>
  <si>
    <t>VS8042281-87</t>
  </si>
  <si>
    <t>V180515</t>
  </si>
  <si>
    <t>V180523</t>
  </si>
  <si>
    <t>VW8041561-66</t>
  </si>
  <si>
    <t>V180532</t>
  </si>
  <si>
    <t>VB8042201-02</t>
  </si>
  <si>
    <t>V180530</t>
  </si>
  <si>
    <t>VH8050601-02</t>
  </si>
  <si>
    <t>V180531</t>
  </si>
  <si>
    <t>VN8042201-05</t>
  </si>
  <si>
    <t>V180534</t>
  </si>
  <si>
    <t>VS8042912-25</t>
  </si>
  <si>
    <t>V180533</t>
  </si>
  <si>
    <t>VW8042207-20</t>
  </si>
  <si>
    <t>V180535</t>
  </si>
  <si>
    <t>V180538</t>
  </si>
  <si>
    <t>VQ8042906-09</t>
  </si>
  <si>
    <t>VS8042926-31</t>
  </si>
  <si>
    <t>V180537</t>
  </si>
  <si>
    <t>VZ8042201-04</t>
  </si>
  <si>
    <t>V180542</t>
  </si>
  <si>
    <t>VC8042201</t>
  </si>
  <si>
    <t>V180555</t>
  </si>
  <si>
    <t>VI8042201</t>
  </si>
  <si>
    <t>V180539</t>
  </si>
  <si>
    <t>VK8042207-12</t>
  </si>
  <si>
    <t>V180540</t>
  </si>
  <si>
    <t>VN8042206-11</t>
  </si>
  <si>
    <t>V180543</t>
  </si>
  <si>
    <t>VS8042932-42</t>
  </si>
  <si>
    <t>V180556</t>
  </si>
  <si>
    <t>VS8042943-48</t>
  </si>
  <si>
    <t>V180536</t>
  </si>
  <si>
    <t>VW8042221-29</t>
  </si>
  <si>
    <t>V180541</t>
  </si>
  <si>
    <t>VW8042230-39</t>
  </si>
  <si>
    <t>V180548</t>
  </si>
  <si>
    <t>V180549</t>
  </si>
  <si>
    <t>V180547</t>
  </si>
  <si>
    <t>V180546</t>
  </si>
  <si>
    <t>VS8042949-62</t>
  </si>
  <si>
    <t>V180545</t>
  </si>
  <si>
    <t>VW8042240-48</t>
  </si>
  <si>
    <t>V180544</t>
  </si>
  <si>
    <t>VZ8042205-08</t>
  </si>
  <si>
    <t>APL</t>
  </si>
  <si>
    <t>SHI</t>
  </si>
  <si>
    <t>VH8050603-05</t>
  </si>
  <si>
    <t>VK8042213-19</t>
  </si>
  <si>
    <t>VQ8042910-15</t>
  </si>
  <si>
    <t>V180552</t>
  </si>
  <si>
    <t>VS8042963-69</t>
  </si>
  <si>
    <t>V180563</t>
  </si>
  <si>
    <t>VS8050601-08</t>
  </si>
  <si>
    <t>V180564</t>
  </si>
  <si>
    <t>VS8050609-18</t>
  </si>
  <si>
    <t>V180551</t>
  </si>
  <si>
    <t>V180562</t>
  </si>
  <si>
    <t>VW8042901-10</t>
  </si>
  <si>
    <t>V180565</t>
  </si>
  <si>
    <t>VK8042901-06</t>
  </si>
  <si>
    <t>V180566</t>
  </si>
  <si>
    <t>V180561</t>
  </si>
  <si>
    <t>VQ8042916</t>
  </si>
  <si>
    <t>V180569</t>
  </si>
  <si>
    <t>VQ8050601-02</t>
  </si>
  <si>
    <t>V180568</t>
  </si>
  <si>
    <t>VS8050619-26</t>
  </si>
  <si>
    <t>VW8042249-53</t>
  </si>
  <si>
    <t>V180567</t>
  </si>
  <si>
    <t>VW8042911-20</t>
  </si>
  <si>
    <t>V180558</t>
  </si>
  <si>
    <t>VZ8042209</t>
  </si>
  <si>
    <t>V180560</t>
  </si>
  <si>
    <t>VS8042970-77</t>
  </si>
  <si>
    <t>V180550</t>
  </si>
  <si>
    <t>V180557</t>
  </si>
  <si>
    <t>VK8042220-27</t>
  </si>
  <si>
    <t>V180559</t>
  </si>
  <si>
    <t>VW8042252-53</t>
  </si>
  <si>
    <t>V180572</t>
  </si>
  <si>
    <t>VB8042901</t>
  </si>
  <si>
    <t>V180570</t>
  </si>
  <si>
    <t>VH8051301-03</t>
  </si>
  <si>
    <t>VN8042901-06</t>
  </si>
  <si>
    <t>V180574</t>
  </si>
  <si>
    <t>VS8050627-34</t>
  </si>
  <si>
    <t>V180579</t>
  </si>
  <si>
    <t>V180573</t>
  </si>
  <si>
    <t>VW8042921-30</t>
  </si>
  <si>
    <t>V180571</t>
  </si>
  <si>
    <t>VZ8042901-04</t>
  </si>
  <si>
    <t>V180578</t>
  </si>
  <si>
    <t>VC8042901</t>
  </si>
  <si>
    <t>V180575</t>
  </si>
  <si>
    <t>VK8042907-11</t>
  </si>
  <si>
    <t>V180576</t>
  </si>
  <si>
    <t>VN8042907-09</t>
  </si>
  <si>
    <t>V180580</t>
  </si>
  <si>
    <t>VQ8050603-06</t>
  </si>
  <si>
    <t>VS8050635-45</t>
  </si>
  <si>
    <t>V180577</t>
  </si>
  <si>
    <t>VW8042931-34</t>
  </si>
  <si>
    <t>V180584</t>
  </si>
  <si>
    <t>V180585</t>
  </si>
  <si>
    <t>VK8042912-21</t>
  </si>
  <si>
    <t>V180583</t>
  </si>
  <si>
    <t>VS8050646-59</t>
  </si>
  <si>
    <t>V180582</t>
  </si>
  <si>
    <t>VW8042935-44</t>
  </si>
  <si>
    <t>V180581</t>
  </si>
  <si>
    <t>VZ8042905-08</t>
  </si>
  <si>
    <t>V180586</t>
  </si>
  <si>
    <t>V180587</t>
  </si>
  <si>
    <t>V180588</t>
  </si>
  <si>
    <t>V180589</t>
  </si>
  <si>
    <t>V180590</t>
  </si>
  <si>
    <t>V180593</t>
  </si>
  <si>
    <t>V180598</t>
  </si>
  <si>
    <t>V180599</t>
  </si>
  <si>
    <t>V180591</t>
  </si>
  <si>
    <t>V180592</t>
  </si>
  <si>
    <t>V180600</t>
  </si>
  <si>
    <t>V180601</t>
  </si>
  <si>
    <t>V180602</t>
  </si>
  <si>
    <t>V180553</t>
  </si>
  <si>
    <t>V180603</t>
  </si>
  <si>
    <t>V180604</t>
  </si>
  <si>
    <t>V180605</t>
  </si>
  <si>
    <t>V180606</t>
  </si>
  <si>
    <t>V180607</t>
  </si>
  <si>
    <t>V180608</t>
  </si>
  <si>
    <t>V180629</t>
  </si>
  <si>
    <t>V180630</t>
  </si>
  <si>
    <t>V180612</t>
  </si>
  <si>
    <t>VB8050601-02</t>
  </si>
  <si>
    <t>V180614</t>
  </si>
  <si>
    <t>VC8050601</t>
  </si>
  <si>
    <t>V180610</t>
  </si>
  <si>
    <t>VH8052001</t>
  </si>
  <si>
    <t>V180594</t>
  </si>
  <si>
    <t>VK8042926-28</t>
  </si>
  <si>
    <t>V180616</t>
  </si>
  <si>
    <t>V180609</t>
  </si>
  <si>
    <t>VQ8051301-05</t>
  </si>
  <si>
    <t>V180597</t>
  </si>
  <si>
    <t>VS8050668-79</t>
  </si>
  <si>
    <t>V180615</t>
  </si>
  <si>
    <t>VS8051333-36</t>
  </si>
  <si>
    <t>V180619</t>
  </si>
  <si>
    <t>VS8051337-41</t>
  </si>
  <si>
    <t>V180596</t>
  </si>
  <si>
    <t>VW8042957-61</t>
  </si>
  <si>
    <t>V180613</t>
  </si>
  <si>
    <t>VW8050623-28</t>
  </si>
  <si>
    <t>V180611</t>
  </si>
  <si>
    <t>VZ8050601-05</t>
  </si>
  <si>
    <t>V180595</t>
  </si>
  <si>
    <t>VQ8050614-16</t>
  </si>
  <si>
    <t>V180632</t>
  </si>
  <si>
    <t>VK8042929</t>
  </si>
  <si>
    <t>VN8042910-11</t>
  </si>
  <si>
    <t>VW8042945-49</t>
  </si>
  <si>
    <t>VS8050660-65</t>
  </si>
  <si>
    <t>VW8050601-06</t>
  </si>
  <si>
    <t>VS8051301-06</t>
  </si>
  <si>
    <t>VH8051304-07</t>
  </si>
  <si>
    <t>VK8042922-25</t>
  </si>
  <si>
    <t>VZ8042909-12</t>
  </si>
  <si>
    <t>VS8050666-67</t>
  </si>
  <si>
    <t>VQ8050607-13</t>
  </si>
  <si>
    <t>VW8050607-15</t>
  </si>
  <si>
    <t>VS8051307-16</t>
  </si>
  <si>
    <t>VS8051317-25</t>
  </si>
  <si>
    <t>2500000040388/40327</t>
  </si>
  <si>
    <t>VW8042950-56</t>
  </si>
  <si>
    <t>VW8042957</t>
  </si>
  <si>
    <t>VK8050601-02</t>
  </si>
  <si>
    <t>VN8050601-03</t>
  </si>
  <si>
    <t>VW8050616-22</t>
  </si>
  <si>
    <t>VS8051326-32</t>
  </si>
  <si>
    <t>VK8050603-07</t>
  </si>
  <si>
    <t>VN8050604-05</t>
  </si>
  <si>
    <t>CEVA</t>
  </si>
  <si>
    <t>V180638</t>
  </si>
  <si>
    <t>V180617</t>
  </si>
  <si>
    <t>V180620</t>
  </si>
  <si>
    <t>V180631</t>
  </si>
  <si>
    <t>V180618</t>
  </si>
  <si>
    <t>V180639</t>
  </si>
  <si>
    <t>V180622</t>
  </si>
  <si>
    <t>V180641</t>
  </si>
  <si>
    <t>V180640</t>
  </si>
  <si>
    <t>V180623</t>
  </si>
  <si>
    <t>VH8052002-03</t>
  </si>
  <si>
    <t>V180624</t>
  </si>
  <si>
    <t>VK8050621-28</t>
  </si>
  <si>
    <t>V180642</t>
  </si>
  <si>
    <t>VK8051309-12</t>
  </si>
  <si>
    <t>V180633</t>
  </si>
  <si>
    <t>VN8050607-08</t>
  </si>
  <si>
    <t>V180626</t>
  </si>
  <si>
    <t>VS8051350-56</t>
  </si>
  <si>
    <t>V180643</t>
  </si>
  <si>
    <t>VS8052015-22</t>
  </si>
  <si>
    <t>V180625</t>
  </si>
  <si>
    <t>VW8050634-43</t>
  </si>
  <si>
    <t>V180621</t>
  </si>
  <si>
    <t>VZ8050606-08</t>
  </si>
  <si>
    <t>V180645</t>
  </si>
  <si>
    <t>VC8051301</t>
  </si>
  <si>
    <t>V180628</t>
  </si>
  <si>
    <t>V180636</t>
  </si>
  <si>
    <t>VQ8051315-17</t>
  </si>
  <si>
    <t>V180647</t>
  </si>
  <si>
    <t>VQ8052001-05</t>
  </si>
  <si>
    <t>V180646</t>
  </si>
  <si>
    <t>VS8052023-32</t>
  </si>
  <si>
    <t>V180627</t>
  </si>
  <si>
    <t>V180644</t>
  </si>
  <si>
    <t>VW8051313-22</t>
  </si>
  <si>
    <t>V180648</t>
  </si>
  <si>
    <t>VH8052701-02</t>
  </si>
  <si>
    <t>V180637</t>
  </si>
  <si>
    <t>VK8050629-30</t>
  </si>
  <si>
    <t>V180649</t>
  </si>
  <si>
    <t>VK8051313-19</t>
  </si>
  <si>
    <t>V180651</t>
  </si>
  <si>
    <t>VN8051301-03</t>
  </si>
  <si>
    <t>V180654</t>
  </si>
  <si>
    <t>VQ8052006-09</t>
  </si>
  <si>
    <t>V180635</t>
  </si>
  <si>
    <t>VS8051357-69</t>
  </si>
  <si>
    <t>V180653</t>
  </si>
  <si>
    <t>VS8052033-37</t>
  </si>
  <si>
    <t>V180634</t>
  </si>
  <si>
    <t>VW8050644-48</t>
  </si>
  <si>
    <t>V180652</t>
  </si>
  <si>
    <t>VW8051323-29</t>
  </si>
  <si>
    <t>V180650</t>
  </si>
  <si>
    <t>VZ8051301-04</t>
  </si>
  <si>
    <t>VK8050608-20</t>
  </si>
  <si>
    <t>VK8051301-02</t>
  </si>
  <si>
    <t>VN8050606</t>
  </si>
  <si>
    <t>VQ8051306-10</t>
  </si>
  <si>
    <t>VS8051342-49</t>
  </si>
  <si>
    <t>VW8050629-33</t>
  </si>
  <si>
    <t>VK8051303-08</t>
  </si>
  <si>
    <t>VQ8051311-14</t>
  </si>
  <si>
    <t>VS8052001-14</t>
  </si>
  <si>
    <t>VW8051301-12</t>
  </si>
  <si>
    <t>V180657</t>
  </si>
  <si>
    <t>V180655</t>
  </si>
  <si>
    <t>V180664</t>
  </si>
  <si>
    <t>V180656</t>
  </si>
  <si>
    <t>V180658</t>
  </si>
  <si>
    <t>V180661</t>
  </si>
  <si>
    <t>V180660</t>
  </si>
  <si>
    <t>V180671</t>
  </si>
  <si>
    <t>V180659</t>
  </si>
  <si>
    <t>V180670</t>
  </si>
  <si>
    <t>V180674</t>
  </si>
  <si>
    <t>V180673</t>
  </si>
  <si>
    <t>V180672</t>
  </si>
  <si>
    <t>V180663</t>
  </si>
  <si>
    <t>V180676</t>
  </si>
  <si>
    <t>V180666</t>
  </si>
  <si>
    <t>V180669</t>
  </si>
  <si>
    <t>V180680</t>
  </si>
  <si>
    <t>V180679</t>
  </si>
  <si>
    <t>V180665</t>
  </si>
  <si>
    <t>V180677</t>
  </si>
  <si>
    <t>V180698</t>
  </si>
  <si>
    <t>V180668</t>
  </si>
  <si>
    <t>V180667</t>
  </si>
  <si>
    <t>VZ8051305-06</t>
  </si>
  <si>
    <t>VS8052701-09</t>
  </si>
  <si>
    <t>VI8051301</t>
  </si>
  <si>
    <t>VW8052001-02</t>
  </si>
  <si>
    <t>VW8052003-10</t>
  </si>
  <si>
    <t>VW8051330-38</t>
  </si>
  <si>
    <t>VS8052710-22</t>
  </si>
  <si>
    <t>VS8052038-52</t>
  </si>
  <si>
    <t>VQ8052701-03</t>
  </si>
  <si>
    <t>VQ8052010-13</t>
  </si>
  <si>
    <t>VN8051304-05</t>
  </si>
  <si>
    <t>VK8051320-27</t>
  </si>
  <si>
    <t>VZ8051307</t>
  </si>
  <si>
    <t>VW8052011-20</t>
  </si>
  <si>
    <t>VS8052723-34</t>
  </si>
  <si>
    <t>VQ8052014-15</t>
  </si>
  <si>
    <t>VN8051306-07</t>
  </si>
  <si>
    <t>VK8052001-06</t>
  </si>
  <si>
    <t>VCN</t>
  </si>
  <si>
    <t>VZ8052001-04</t>
  </si>
  <si>
    <t>VW8051339-41</t>
  </si>
  <si>
    <t>VS8052053-59</t>
  </si>
  <si>
    <t>VK8051328-30</t>
  </si>
  <si>
    <t>VH8052703-05</t>
  </si>
  <si>
    <t>SINOTRANS</t>
  </si>
  <si>
    <t>V180662</t>
  </si>
  <si>
    <t>2500000041397 / 41391 / 41448</t>
  </si>
  <si>
    <t>V180688</t>
  </si>
  <si>
    <t>VW8052025-37</t>
  </si>
  <si>
    <t>V180689</t>
  </si>
  <si>
    <t>VS8052741-52</t>
  </si>
  <si>
    <t>V180678</t>
  </si>
  <si>
    <t>VB8052001-02</t>
  </si>
  <si>
    <t>V180686</t>
  </si>
  <si>
    <t>VK8052013-20</t>
  </si>
  <si>
    <t>V180682</t>
  </si>
  <si>
    <t>VN8052001-06</t>
  </si>
  <si>
    <t>V180687</t>
  </si>
  <si>
    <t>VZ8052005-06</t>
  </si>
  <si>
    <t>V180683</t>
  </si>
  <si>
    <t>VW8052021-24</t>
  </si>
  <si>
    <t>V180684</t>
  </si>
  <si>
    <t>VS8052735-40</t>
  </si>
  <si>
    <t>V180675</t>
  </si>
  <si>
    <t>VH8060301</t>
  </si>
  <si>
    <t>V180681</t>
  </si>
  <si>
    <t>VK8052007-12</t>
  </si>
  <si>
    <t>V180685</t>
  </si>
  <si>
    <t>VQ8052704-09</t>
  </si>
  <si>
    <t>KMTC</t>
  </si>
  <si>
    <t>HEUNG</t>
  </si>
  <si>
    <t>yUS</t>
  </si>
  <si>
    <t>OOCL</t>
  </si>
  <si>
    <t>EXP</t>
  </si>
  <si>
    <t>V180690</t>
  </si>
  <si>
    <t>V180695</t>
  </si>
  <si>
    <t>V180691</t>
  </si>
  <si>
    <t>V180694</t>
  </si>
  <si>
    <t>V180693</t>
  </si>
  <si>
    <t>V180692</t>
  </si>
  <si>
    <t>V180697</t>
  </si>
  <si>
    <t>V180703</t>
  </si>
  <si>
    <t>V180704</t>
  </si>
  <si>
    <t>V180699</t>
  </si>
  <si>
    <t>V180696</t>
  </si>
  <si>
    <t>V180702</t>
  </si>
  <si>
    <t>V180705</t>
  </si>
  <si>
    <t>V180706</t>
  </si>
  <si>
    <t>V180731</t>
  </si>
  <si>
    <t>V180701</t>
  </si>
  <si>
    <t>V180709</t>
  </si>
  <si>
    <t>V180708</t>
  </si>
  <si>
    <t>V180707</t>
  </si>
  <si>
    <t>V180700</t>
  </si>
  <si>
    <t>V180732</t>
  </si>
  <si>
    <t>VS8052772-77</t>
  </si>
  <si>
    <t>VW8052052-53</t>
  </si>
  <si>
    <t>VW8052711-16</t>
  </si>
  <si>
    <t>VW8052045-51</t>
  </si>
  <si>
    <t>VS8060316-24</t>
  </si>
  <si>
    <t>VS8052767-74</t>
  </si>
  <si>
    <t>VQ8060301-05</t>
  </si>
  <si>
    <t>VK8052701-07</t>
  </si>
  <si>
    <t>VH8061001-02</t>
  </si>
  <si>
    <t>VW8052701-10</t>
  </si>
  <si>
    <t>VS8060309-15</t>
  </si>
  <si>
    <t>VS8060301-08</t>
  </si>
  <si>
    <t>VN8052007-12</t>
  </si>
  <si>
    <t>VK8052028-33</t>
  </si>
  <si>
    <t>VW8052038-44</t>
  </si>
  <si>
    <t>VS8052753-66</t>
  </si>
  <si>
    <t>VH8060302-04</t>
  </si>
  <si>
    <t>VQ8052710-15</t>
  </si>
  <si>
    <t>V180710</t>
  </si>
  <si>
    <t>V180713</t>
  </si>
  <si>
    <t>V180717</t>
  </si>
  <si>
    <t>V180711</t>
  </si>
  <si>
    <t>VK8052708-15</t>
  </si>
  <si>
    <t>VK8052034-38</t>
  </si>
  <si>
    <t>VQ8052716-19</t>
  </si>
  <si>
    <t>VS8060325-32</t>
  </si>
  <si>
    <t>VZ8052701-04</t>
  </si>
  <si>
    <t>V180718</t>
  </si>
  <si>
    <t>V180716</t>
  </si>
  <si>
    <t>V180719</t>
  </si>
  <si>
    <t>V180714</t>
  </si>
  <si>
    <t>V180715</t>
  </si>
  <si>
    <t>V180721</t>
  </si>
  <si>
    <t>V180720</t>
  </si>
  <si>
    <t>V180712</t>
  </si>
  <si>
    <t>V180740</t>
  </si>
  <si>
    <t>VB8052701-03</t>
  </si>
  <si>
    <t>VC8052701</t>
  </si>
  <si>
    <t>VK8052716-22</t>
  </si>
  <si>
    <t>VN8052701-06</t>
  </si>
  <si>
    <t>VQ8060306-10</t>
  </si>
  <si>
    <t>VS8060333-38</t>
  </si>
  <si>
    <t>VW8052726-33</t>
  </si>
  <si>
    <t>VW8060301-06</t>
  </si>
  <si>
    <t>V180730</t>
  </si>
  <si>
    <t>V180725</t>
  </si>
  <si>
    <t>V180724</t>
  </si>
  <si>
    <t>V180723</t>
  </si>
  <si>
    <t>VQ8060311-12</t>
  </si>
  <si>
    <t>VS8060339-48</t>
  </si>
  <si>
    <t>VW8052734-49</t>
  </si>
  <si>
    <t>VZ8052705-07</t>
  </si>
  <si>
    <t>V180722</t>
  </si>
  <si>
    <t>V180726</t>
  </si>
  <si>
    <t>V180729</t>
  </si>
  <si>
    <t>V180742</t>
  </si>
  <si>
    <t>V180728</t>
  </si>
  <si>
    <t>V180741</t>
  </si>
  <si>
    <t>VH8061003-05</t>
  </si>
  <si>
    <t>VK8052723-24</t>
  </si>
  <si>
    <t>VS8060349-63</t>
  </si>
  <si>
    <t>VS8061001-11</t>
  </si>
  <si>
    <t>VW8060307-17</t>
  </si>
  <si>
    <t>V180739</t>
  </si>
  <si>
    <t>V180743</t>
  </si>
  <si>
    <t>V180746</t>
  </si>
  <si>
    <t>V180735</t>
  </si>
  <si>
    <t>V180745</t>
  </si>
  <si>
    <t>V180738</t>
  </si>
  <si>
    <t>V180744</t>
  </si>
  <si>
    <t>VK8060301-06</t>
  </si>
  <si>
    <t>VN8060301-05</t>
  </si>
  <si>
    <t>VQ8061001-06</t>
  </si>
  <si>
    <t>VS8060364-65</t>
  </si>
  <si>
    <t>VS8061012-21</t>
  </si>
  <si>
    <t>2500000041488/41516</t>
  </si>
  <si>
    <t>VW8052750-57</t>
  </si>
  <si>
    <t>VW8060318-24</t>
  </si>
  <si>
    <t>V180733</t>
  </si>
  <si>
    <t>V180747</t>
  </si>
  <si>
    <t>V180727</t>
  </si>
  <si>
    <t>V180736</t>
  </si>
  <si>
    <t>V180750</t>
  </si>
  <si>
    <t>V180734</t>
  </si>
  <si>
    <t>V180749</t>
  </si>
  <si>
    <t>V180748</t>
  </si>
  <si>
    <t>VK8052725-27</t>
  </si>
  <si>
    <t>VK8060307-11</t>
  </si>
  <si>
    <t>VN8052707</t>
  </si>
  <si>
    <t>VS8060366-70</t>
  </si>
  <si>
    <t>VS8061022-32</t>
  </si>
  <si>
    <t>VW8052758-61</t>
  </si>
  <si>
    <t>VW8060325-37</t>
  </si>
  <si>
    <t>VZ8060301-04</t>
  </si>
  <si>
    <t>V180737</t>
  </si>
  <si>
    <t>VQ8060313-14</t>
  </si>
  <si>
    <t>VA8052701</t>
  </si>
  <si>
    <t>VW8052717-25</t>
  </si>
  <si>
    <t>V180753</t>
  </si>
  <si>
    <t>V180755</t>
  </si>
  <si>
    <t>V180751</t>
  </si>
  <si>
    <t>V180752</t>
  </si>
  <si>
    <t>V180757</t>
  </si>
  <si>
    <t>V180756</t>
  </si>
  <si>
    <t>V180754</t>
  </si>
  <si>
    <t>VB8060301</t>
  </si>
  <si>
    <t>VC8060301</t>
  </si>
  <si>
    <t>VK8060312-17</t>
  </si>
  <si>
    <t>VN8060306-08</t>
  </si>
  <si>
    <t>VQ8061007-11</t>
  </si>
  <si>
    <t>VS8061033-41</t>
  </si>
  <si>
    <t>V180758</t>
  </si>
  <si>
    <t>V180777</t>
  </si>
  <si>
    <t>V180761</t>
  </si>
  <si>
    <t>V180778</t>
  </si>
  <si>
    <t>VK8061001-06</t>
  </si>
  <si>
    <t>VS8061042-51</t>
  </si>
  <si>
    <t>VS8061701-14</t>
  </si>
  <si>
    <t>VW8060338-46</t>
  </si>
  <si>
    <t>V180759</t>
  </si>
  <si>
    <t>V180763</t>
  </si>
  <si>
    <t>V180780</t>
  </si>
  <si>
    <t>V180765</t>
  </si>
  <si>
    <t>V180764</t>
  </si>
  <si>
    <t>V180779</t>
  </si>
  <si>
    <t>V180760</t>
  </si>
  <si>
    <t>VK8060318-27</t>
  </si>
  <si>
    <t>VN8060309-10</t>
  </si>
  <si>
    <t>VQ8061701-03</t>
  </si>
  <si>
    <t>VS8061052-62</t>
  </si>
  <si>
    <t>VW8060347-51</t>
  </si>
  <si>
    <t>VW8061001-07</t>
  </si>
  <si>
    <t>VZ8060305-08</t>
  </si>
  <si>
    <t>V180767</t>
  </si>
  <si>
    <t>V180766</t>
  </si>
  <si>
    <t>V180769</t>
  </si>
  <si>
    <t>V180774</t>
  </si>
  <si>
    <t>V180781</t>
  </si>
  <si>
    <t>V180768</t>
  </si>
  <si>
    <t>VH8061701-05</t>
  </si>
  <si>
    <t>VQ8061012-14</t>
  </si>
  <si>
    <t>VS8061063-78</t>
  </si>
  <si>
    <t>VS8061722-24</t>
  </si>
  <si>
    <t>VS8061715-21</t>
  </si>
  <si>
    <t>V180782</t>
  </si>
  <si>
    <t>V180784</t>
  </si>
  <si>
    <t>V180770</t>
  </si>
  <si>
    <t>V180783</t>
  </si>
  <si>
    <t>V180762</t>
  </si>
  <si>
    <t>V180776</t>
  </si>
  <si>
    <t>VC8061001</t>
  </si>
  <si>
    <t>VK8060328-35</t>
  </si>
  <si>
    <t>VQ8061704-09</t>
  </si>
  <si>
    <t>VS8061079-84</t>
  </si>
  <si>
    <t>VS8061725-30</t>
  </si>
  <si>
    <t>VW8060352-57</t>
  </si>
  <si>
    <t>VW8061008-16</t>
  </si>
  <si>
    <t>V180771</t>
  </si>
  <si>
    <t>V180775</t>
  </si>
  <si>
    <t>V180786</t>
  </si>
  <si>
    <t>V180773</t>
  </si>
  <si>
    <t>V180788</t>
  </si>
  <si>
    <t>V180772</t>
  </si>
  <si>
    <t>V180787</t>
  </si>
  <si>
    <t>V180785</t>
  </si>
  <si>
    <t>VK8060336-38</t>
  </si>
  <si>
    <t>VK8061007-11</t>
  </si>
  <si>
    <t>VW8061017-24</t>
  </si>
  <si>
    <t>VS8061085-91</t>
  </si>
  <si>
    <t>VS8061731-39</t>
  </si>
  <si>
    <t>VW8060358-59</t>
  </si>
  <si>
    <t>VZ8061001-05</t>
  </si>
  <si>
    <t>VN8061001-04</t>
  </si>
  <si>
    <t>V180789</t>
  </si>
  <si>
    <t>V180790</t>
  </si>
  <si>
    <t>V180793</t>
  </si>
  <si>
    <t>V180792</t>
  </si>
  <si>
    <t>V180812</t>
  </si>
  <si>
    <t>V180791</t>
  </si>
  <si>
    <t>VH8062401-02</t>
  </si>
  <si>
    <t>VK8061012-16</t>
  </si>
  <si>
    <t>VQ8061710-13</t>
  </si>
  <si>
    <t>VS8061740-48</t>
  </si>
  <si>
    <t>VS8062401-09</t>
  </si>
  <si>
    <t>VW8061025-36</t>
  </si>
  <si>
    <t>V180796</t>
  </si>
  <si>
    <t>V180801</t>
  </si>
  <si>
    <t>V180795</t>
  </si>
  <si>
    <t>V180813</t>
  </si>
  <si>
    <t>V180798</t>
  </si>
  <si>
    <t>V180797</t>
  </si>
  <si>
    <t>V180794</t>
  </si>
  <si>
    <t>VB8061001</t>
  </si>
  <si>
    <t>VN8061005-06</t>
  </si>
  <si>
    <t>VS8062410-18</t>
  </si>
  <si>
    <t>VS8061749-64</t>
  </si>
  <si>
    <t>VW8061037-43</t>
  </si>
  <si>
    <t>VZ8061006-07</t>
  </si>
  <si>
    <t>V180800</t>
  </si>
  <si>
    <t>V180805</t>
  </si>
  <si>
    <t>V180804</t>
  </si>
  <si>
    <t>V180803</t>
  </si>
  <si>
    <t>V180815</t>
  </si>
  <si>
    <t>V180802</t>
  </si>
  <si>
    <t>V180814</t>
  </si>
  <si>
    <t>VH8062403-04</t>
  </si>
  <si>
    <t>VI8061001</t>
  </si>
  <si>
    <t>VK8061017-21</t>
  </si>
  <si>
    <t>VQ8061714-15</t>
  </si>
  <si>
    <t>VS8061765-68</t>
  </si>
  <si>
    <t>VS8062419-28</t>
  </si>
  <si>
    <t>VW8061044-48</t>
  </si>
  <si>
    <t>VW8061701-14</t>
  </si>
  <si>
    <t>V180827</t>
  </si>
  <si>
    <t>VK8061701-05</t>
  </si>
  <si>
    <t>V180808</t>
  </si>
  <si>
    <t>VN8061007-08</t>
  </si>
  <si>
    <t>V180817</t>
  </si>
  <si>
    <t>VN8061701-05</t>
  </si>
  <si>
    <t>V180820</t>
  </si>
  <si>
    <t>VQ8062401-06</t>
  </si>
  <si>
    <t>V180806</t>
  </si>
  <si>
    <t>VS8061769-73</t>
  </si>
  <si>
    <t>V180819</t>
  </si>
  <si>
    <t>VS8062429-35</t>
  </si>
  <si>
    <t>V180799</t>
  </si>
  <si>
    <t>2500000041581/41391</t>
  </si>
  <si>
    <t>V180818</t>
  </si>
  <si>
    <t>VW8061715-21</t>
  </si>
  <si>
    <t>V180829</t>
  </si>
  <si>
    <t>VC8061701</t>
  </si>
  <si>
    <t>V180822</t>
  </si>
  <si>
    <t>VH8070101-02</t>
  </si>
  <si>
    <t>V180807</t>
  </si>
  <si>
    <t>VK8061022-26</t>
  </si>
  <si>
    <t>V180811</t>
  </si>
  <si>
    <t>VQ8061716-17</t>
  </si>
  <si>
    <t>V180810</t>
  </si>
  <si>
    <t>VS8061774-78</t>
  </si>
  <si>
    <t>V180825</t>
  </si>
  <si>
    <t>VS8062436-42</t>
  </si>
  <si>
    <t>V180809</t>
  </si>
  <si>
    <t>VW8061049-52</t>
  </si>
  <si>
    <t>V180824</t>
  </si>
  <si>
    <t>VW8061722-29</t>
  </si>
  <si>
    <t>V180823</t>
  </si>
  <si>
    <t>VZ8061701-05</t>
  </si>
  <si>
    <t>V180816</t>
  </si>
  <si>
    <t>V180831</t>
  </si>
  <si>
    <t>V180830</t>
  </si>
  <si>
    <t>V180850</t>
  </si>
  <si>
    <t>V180828</t>
  </si>
  <si>
    <t>VK8061706-13</t>
  </si>
  <si>
    <t>VQ8062407-12</t>
  </si>
  <si>
    <t>VS8062443-50</t>
  </si>
  <si>
    <t>VS8070101-10</t>
  </si>
  <si>
    <t>V180832</t>
  </si>
  <si>
    <t>V180834</t>
  </si>
  <si>
    <t>V180836</t>
  </si>
  <si>
    <t>V180821</t>
  </si>
  <si>
    <t>V180835</t>
  </si>
  <si>
    <t>V180833</t>
  </si>
  <si>
    <t>VW8061730-37</t>
  </si>
  <si>
    <t>VH8070103</t>
  </si>
  <si>
    <t>VN8061706-10</t>
  </si>
  <si>
    <t>VS8062451-56</t>
  </si>
  <si>
    <t>VW8061738-48</t>
  </si>
  <si>
    <t>VZ8061706-09</t>
  </si>
  <si>
    <t>V180837</t>
  </si>
  <si>
    <t>V180852</t>
  </si>
  <si>
    <t>V180840</t>
  </si>
  <si>
    <t>V180853</t>
  </si>
  <si>
    <t>V180851</t>
  </si>
  <si>
    <t>VK8061714-18</t>
  </si>
  <si>
    <t>VK8062401-05</t>
  </si>
  <si>
    <t>VQ8062413-15</t>
  </si>
  <si>
    <t>VS8070111-20</t>
  </si>
  <si>
    <t>VW8062401-19</t>
  </si>
  <si>
    <t>V180849</t>
  </si>
  <si>
    <t>V180842</t>
  </si>
  <si>
    <t>V180847</t>
  </si>
  <si>
    <t>V180854</t>
  </si>
  <si>
    <t>V180839</t>
  </si>
  <si>
    <t>V180838</t>
  </si>
  <si>
    <t>VH8070801-03</t>
  </si>
  <si>
    <t>VK8061719-</t>
  </si>
  <si>
    <t>VK8062406-09</t>
  </si>
  <si>
    <t>VQ8070101-05</t>
  </si>
  <si>
    <t>VS8062457-63</t>
  </si>
  <si>
    <t>VW8061749-56</t>
  </si>
  <si>
    <t>V180841</t>
  </si>
  <si>
    <t>V180846</t>
  </si>
  <si>
    <t>V180855</t>
  </si>
  <si>
    <t>V180845</t>
  </si>
  <si>
    <t>V180844</t>
  </si>
  <si>
    <t>V180857</t>
  </si>
  <si>
    <t>V180884</t>
  </si>
  <si>
    <t>V180826</t>
  </si>
  <si>
    <t>V180843</t>
  </si>
  <si>
    <t>V180856</t>
  </si>
  <si>
    <t>V180848</t>
  </si>
  <si>
    <t>V180882</t>
  </si>
  <si>
    <t>VH8070104-05</t>
  </si>
  <si>
    <t>VK8061720-24</t>
  </si>
  <si>
    <t>VN8062401-04</t>
  </si>
  <si>
    <t>VQ8062416-17</t>
  </si>
  <si>
    <t>VS8062464-69</t>
  </si>
  <si>
    <t>VS8070121-36</t>
  </si>
  <si>
    <t>VW8061757-62</t>
  </si>
  <si>
    <t>VW8062420-33</t>
  </si>
  <si>
    <t>VZ8062401-05</t>
  </si>
  <si>
    <t>V180859</t>
  </si>
  <si>
    <t>V180858</t>
  </si>
  <si>
    <t>V180860</t>
  </si>
  <si>
    <t>Z18002</t>
  </si>
  <si>
    <t>VS8070137-48</t>
  </si>
  <si>
    <t>VQ8070106-11</t>
  </si>
  <si>
    <t>S00503,00201-04,00302-03,00308-09</t>
  </si>
  <si>
    <t>VZ8062406-09</t>
  </si>
  <si>
    <t>V180861</t>
  </si>
  <si>
    <t>V180862</t>
  </si>
  <si>
    <t>V180885</t>
  </si>
  <si>
    <t>V180864</t>
  </si>
  <si>
    <t>V180863</t>
  </si>
  <si>
    <t>Z18003</t>
  </si>
  <si>
    <t>VH8070804</t>
  </si>
  <si>
    <t>VK8062410-18</t>
  </si>
  <si>
    <t>VQ8070801-04</t>
  </si>
  <si>
    <t>VS8070149-52</t>
  </si>
  <si>
    <t>VS8070806-13</t>
  </si>
  <si>
    <t>VW8062434-45</t>
  </si>
  <si>
    <t>S00704,00706</t>
  </si>
  <si>
    <t>V180866</t>
  </si>
  <si>
    <t>V180887</t>
  </si>
  <si>
    <t>V180865</t>
  </si>
  <si>
    <t>Z18005</t>
  </si>
  <si>
    <t>Z18004</t>
  </si>
  <si>
    <t>Z18006</t>
  </si>
  <si>
    <t>VN8062405-06</t>
  </si>
  <si>
    <t>VW8070110-24</t>
  </si>
  <si>
    <t>VZ8062410</t>
  </si>
  <si>
    <t>S00101-02</t>
  </si>
  <si>
    <t>S00213-14,00403,00507,00506</t>
  </si>
  <si>
    <t>S00501-02,00301,00402</t>
  </si>
  <si>
    <t>V180868</t>
  </si>
  <si>
    <t>V180869</t>
  </si>
  <si>
    <t>V180886</t>
  </si>
  <si>
    <t>V180873</t>
  </si>
  <si>
    <t>V180872</t>
  </si>
  <si>
    <t>V180871</t>
  </si>
  <si>
    <t>V180888</t>
  </si>
  <si>
    <t>V180870</t>
  </si>
  <si>
    <t>Z18007</t>
  </si>
  <si>
    <t>VH8070805-07</t>
  </si>
  <si>
    <t>VK8062419-23</t>
  </si>
  <si>
    <t>VK8070101-05</t>
  </si>
  <si>
    <t>VN8062407</t>
  </si>
  <si>
    <t>VQ8070112-13</t>
  </si>
  <si>
    <t>VS8070153-58</t>
  </si>
  <si>
    <t>VS8070814-25</t>
  </si>
  <si>
    <t>VW8062446-55</t>
  </si>
  <si>
    <t>VW8070125-30</t>
  </si>
  <si>
    <t>S00205-07,00504</t>
  </si>
  <si>
    <t>V180892</t>
  </si>
  <si>
    <t>V180881</t>
  </si>
  <si>
    <t>V180880</t>
  </si>
  <si>
    <t>V180879</t>
  </si>
  <si>
    <t>Z18009</t>
  </si>
  <si>
    <t>Z18008</t>
  </si>
  <si>
    <t>VN8070101-05</t>
  </si>
  <si>
    <t>VQ8070805-10</t>
  </si>
  <si>
    <t>VS8070826-36</t>
  </si>
  <si>
    <t>VW8070131-35</t>
  </si>
  <si>
    <t>S00707</t>
  </si>
  <si>
    <t>S00505,00208-210,00304</t>
  </si>
  <si>
    <t>V180889</t>
  </si>
  <si>
    <t>V180874</t>
  </si>
  <si>
    <t>V180877</t>
  </si>
  <si>
    <t>V180876</t>
  </si>
  <si>
    <t>V180895</t>
  </si>
  <si>
    <t>V180875</t>
  </si>
  <si>
    <t>V180893</t>
  </si>
  <si>
    <t>V180891</t>
  </si>
  <si>
    <t>VH8071501-03</t>
  </si>
  <si>
    <t>VK8062424-26</t>
  </si>
  <si>
    <t>VK8070106-10</t>
  </si>
  <si>
    <t>VQ8070114-16</t>
  </si>
  <si>
    <t>VS8070161-65</t>
  </si>
  <si>
    <t>VS8070837-44</t>
  </si>
  <si>
    <t>VW8062456-59</t>
  </si>
  <si>
    <t>VW8070136-40</t>
  </si>
  <si>
    <t>VZ8070101-02</t>
  </si>
  <si>
    <t>S00215</t>
  </si>
  <si>
    <t>S00705</t>
  </si>
  <si>
    <t>S070110-12,70103</t>
  </si>
  <si>
    <t>S00401</t>
  </si>
  <si>
    <t>Z18010</t>
  </si>
  <si>
    <t>Z18011</t>
  </si>
  <si>
    <t>Z18020</t>
  </si>
  <si>
    <t>Z18012</t>
  </si>
  <si>
    <t>V180890</t>
  </si>
  <si>
    <t>V180900</t>
  </si>
  <si>
    <t>V180899</t>
  </si>
  <si>
    <t>V180898</t>
  </si>
  <si>
    <t>V180913</t>
  </si>
  <si>
    <t>V180897</t>
  </si>
  <si>
    <t>Z18021</t>
  </si>
  <si>
    <t>Z18022</t>
  </si>
  <si>
    <t>VK8070111-14</t>
  </si>
  <si>
    <t>VQ8070811-13</t>
  </si>
  <si>
    <t>VS8070845-50</t>
  </si>
  <si>
    <t>VW8070141-45</t>
  </si>
  <si>
    <t>VW8070801-14</t>
  </si>
  <si>
    <t>VZ8070103</t>
  </si>
  <si>
    <t>S0701045,0701047-50</t>
  </si>
  <si>
    <t>S070102, S0701022</t>
  </si>
  <si>
    <t>Z18001</t>
  </si>
  <si>
    <t>S00103,00306-07,00211-12</t>
  </si>
  <si>
    <t>V180901</t>
  </si>
  <si>
    <t>V180902</t>
  </si>
  <si>
    <t>V180883</t>
  </si>
  <si>
    <t>V180904</t>
  </si>
  <si>
    <t>V180914</t>
  </si>
  <si>
    <t>V180915</t>
  </si>
  <si>
    <t>V180894</t>
  </si>
  <si>
    <t>Z18013</t>
  </si>
  <si>
    <t>Z18014</t>
  </si>
  <si>
    <t>Z18023</t>
  </si>
  <si>
    <t>VN8070106-08</t>
  </si>
  <si>
    <t>VS8070166-67</t>
  </si>
  <si>
    <t>VS8071601-10</t>
  </si>
  <si>
    <t>VW8070815-23</t>
  </si>
  <si>
    <t>S00903</t>
  </si>
  <si>
    <t>S0701015-17,23-25,27,070107-9</t>
  </si>
  <si>
    <t>VZ8070104</t>
  </si>
  <si>
    <t>S00801-02</t>
  </si>
  <si>
    <t>V180910</t>
  </si>
  <si>
    <t>V180911</t>
  </si>
  <si>
    <t>V180912</t>
  </si>
  <si>
    <t>V180903</t>
  </si>
  <si>
    <t>Z18016</t>
  </si>
  <si>
    <t>Z18018</t>
  </si>
  <si>
    <t>Z18017</t>
  </si>
  <si>
    <t>Z18015</t>
  </si>
  <si>
    <t>VH8072201</t>
  </si>
  <si>
    <t>VK8070115-18</t>
  </si>
  <si>
    <t>VK8070801-07</t>
  </si>
  <si>
    <t>VS8070851-54</t>
  </si>
  <si>
    <t>VS8071511-18</t>
  </si>
  <si>
    <t>VW8070146-50</t>
  </si>
  <si>
    <t>S070104</t>
  </si>
  <si>
    <t>S0701018-20,26,31-33,40,43</t>
  </si>
  <si>
    <t>S0701021,28-30</t>
  </si>
  <si>
    <t>S070105</t>
  </si>
  <si>
    <t>V180906</t>
  </si>
  <si>
    <t>V180917</t>
  </si>
  <si>
    <t>V180920</t>
  </si>
  <si>
    <t>V180919</t>
  </si>
  <si>
    <t>V180905</t>
  </si>
  <si>
    <t>V180909</t>
  </si>
  <si>
    <t>V180918</t>
  </si>
  <si>
    <t>V180916</t>
  </si>
  <si>
    <t>Z18025</t>
  </si>
  <si>
    <t>Z18019</t>
  </si>
  <si>
    <t>Z18024</t>
  </si>
  <si>
    <t>VK8070119-24</t>
  </si>
  <si>
    <t>VN8070801-04</t>
  </si>
  <si>
    <t>VQ8071501-05</t>
  </si>
  <si>
    <t>VS8071519-22</t>
  </si>
  <si>
    <t>VW8070151-56</t>
  </si>
  <si>
    <t>VW8070824-30</t>
  </si>
  <si>
    <t>S070114</t>
  </si>
  <si>
    <t>Z18026</t>
  </si>
  <si>
    <t>S0701046</t>
  </si>
  <si>
    <t>S070101,6,0701037</t>
  </si>
  <si>
    <t>S070113,0701026,44</t>
  </si>
  <si>
    <t>V180896</t>
  </si>
  <si>
    <t>V180921</t>
  </si>
  <si>
    <t>V180908</t>
  </si>
  <si>
    <t>V180907</t>
  </si>
  <si>
    <t>V180924</t>
  </si>
  <si>
    <t>Z18031</t>
  </si>
  <si>
    <t>Z18030</t>
  </si>
  <si>
    <t>VH8071504-06</t>
  </si>
  <si>
    <t>VK8070808-10</t>
  </si>
  <si>
    <t>VQ8070814-16</t>
  </si>
  <si>
    <t>VS8070855-58</t>
  </si>
  <si>
    <t>VS8071523-28</t>
  </si>
  <si>
    <t>VZ8070801-04</t>
  </si>
  <si>
    <t>S0708002,07-09,14,17-18</t>
  </si>
  <si>
    <t>S0708003-05</t>
  </si>
  <si>
    <t>ZS</t>
  </si>
  <si>
    <t>ZW</t>
  </si>
  <si>
    <t>V180878</t>
  </si>
  <si>
    <t>V180925</t>
  </si>
  <si>
    <t>V180948</t>
  </si>
  <si>
    <t>V180926</t>
  </si>
  <si>
    <t>V180929</t>
  </si>
  <si>
    <t>V180928</t>
  </si>
  <si>
    <t>V180927</t>
  </si>
  <si>
    <t>Z18033</t>
  </si>
  <si>
    <t>Z18035</t>
  </si>
  <si>
    <t>Z18034</t>
  </si>
  <si>
    <t>Z18032</t>
  </si>
  <si>
    <t>VK8071501-04</t>
  </si>
  <si>
    <t>VN8070805</t>
  </si>
  <si>
    <t>VQ8071506-08</t>
  </si>
  <si>
    <t>VS8071529-38</t>
  </si>
  <si>
    <t>VW8070831-41</t>
  </si>
  <si>
    <t>S0708010</t>
  </si>
  <si>
    <t>S0708025,27</t>
  </si>
  <si>
    <t>S0708006,15-16,19</t>
  </si>
  <si>
    <t>S0708011-12</t>
  </si>
  <si>
    <t>ZN</t>
  </si>
  <si>
    <t>ZQ</t>
  </si>
  <si>
    <t>ZZ</t>
  </si>
  <si>
    <t>ZK</t>
  </si>
  <si>
    <t>ZC</t>
  </si>
  <si>
    <t>ZH</t>
  </si>
  <si>
    <t>VA</t>
  </si>
  <si>
    <t>V180931</t>
  </si>
  <si>
    <t>V180922</t>
  </si>
  <si>
    <t>V180938</t>
  </si>
  <si>
    <t>V180934</t>
  </si>
  <si>
    <t>V180950</t>
  </si>
  <si>
    <t>V180933</t>
  </si>
  <si>
    <t>V180949</t>
  </si>
  <si>
    <t>V180932</t>
  </si>
  <si>
    <t>Z18036</t>
  </si>
  <si>
    <t>VH8072202</t>
  </si>
  <si>
    <t>VK8070811-15</t>
  </si>
  <si>
    <t>VN8070806</t>
  </si>
  <si>
    <t>VS8071539-44</t>
  </si>
  <si>
    <t>VS8072201-08</t>
  </si>
  <si>
    <t>VW8070842-46</t>
  </si>
  <si>
    <t>VZ8070805</t>
  </si>
  <si>
    <t>S0701038-39</t>
  </si>
  <si>
    <t>V180935</t>
  </si>
  <si>
    <t>V180951</t>
  </si>
  <si>
    <t>V180947</t>
  </si>
  <si>
    <t>V180952</t>
  </si>
  <si>
    <t>V180953</t>
  </si>
  <si>
    <t>Z18029</t>
  </si>
  <si>
    <t>VK8070816</t>
  </si>
  <si>
    <t>VK8071505-06</t>
  </si>
  <si>
    <t>VN8070807</t>
  </si>
  <si>
    <t>VQ8071509-11</t>
  </si>
  <si>
    <t>VQ8072201-06</t>
  </si>
  <si>
    <t>VS8072209-22</t>
  </si>
  <si>
    <t>VW8071501-15</t>
  </si>
  <si>
    <t>S0701051-53</t>
  </si>
  <si>
    <t>V180930</t>
  </si>
  <si>
    <t>V180944</t>
  </si>
  <si>
    <t>V180923</t>
  </si>
  <si>
    <t>V180955</t>
  </si>
  <si>
    <t>V180937</t>
  </si>
  <si>
    <t>V180954</t>
  </si>
  <si>
    <t>V180936</t>
  </si>
  <si>
    <t>V180957</t>
  </si>
  <si>
    <t>V180940</t>
  </si>
  <si>
    <t>V180945</t>
  </si>
  <si>
    <t>Z18028</t>
  </si>
  <si>
    <t>Z18048</t>
  </si>
  <si>
    <t>VH8072203-04</t>
  </si>
  <si>
    <t>VK8071507-08</t>
  </si>
  <si>
    <t>V180946</t>
  </si>
  <si>
    <t>VN8071501-03</t>
  </si>
  <si>
    <t>VQ8071512</t>
  </si>
  <si>
    <t>VQ8072207-08</t>
  </si>
  <si>
    <t>VS8071545-49</t>
  </si>
  <si>
    <t>VS8072223-25</t>
  </si>
  <si>
    <t>VW8070846-51</t>
  </si>
  <si>
    <t>VZ8070806</t>
  </si>
  <si>
    <t>VZ8071501-03</t>
  </si>
  <si>
    <t>S0701041</t>
  </si>
  <si>
    <t>S0715002-05,17-18,20-21</t>
  </si>
  <si>
    <t>V180943</t>
  </si>
  <si>
    <t>V180973</t>
  </si>
  <si>
    <t>V180939</t>
  </si>
  <si>
    <t>V180956</t>
  </si>
  <si>
    <t>V180942</t>
  </si>
  <si>
    <t>V180958</t>
  </si>
  <si>
    <t>V180941</t>
  </si>
  <si>
    <t>Z18037</t>
  </si>
  <si>
    <t>Z18049</t>
  </si>
  <si>
    <t>VH8072901</t>
  </si>
  <si>
    <t>VH8072205</t>
  </si>
  <si>
    <t>VK8070817-21</t>
  </si>
  <si>
    <t>VS8071550-51</t>
  </si>
  <si>
    <t>VW8070852-54</t>
  </si>
  <si>
    <t>VW8071516-23</t>
  </si>
  <si>
    <t>S0708001,13</t>
  </si>
  <si>
    <t>S0715006-09,19,22-24</t>
  </si>
  <si>
    <t>V180974</t>
  </si>
  <si>
    <t>V180975</t>
  </si>
  <si>
    <t>Z18027</t>
  </si>
  <si>
    <t>VQ8071513-14</t>
  </si>
  <si>
    <t>VS8071552-55</t>
  </si>
  <si>
    <t>S0701042,0701034-36</t>
  </si>
  <si>
    <t>V180980</t>
  </si>
  <si>
    <t>V180960</t>
  </si>
  <si>
    <t>V180982</t>
  </si>
  <si>
    <t>V180959</t>
  </si>
  <si>
    <t>V180981</t>
  </si>
  <si>
    <t>Z18050</t>
  </si>
  <si>
    <t>Z18052</t>
  </si>
  <si>
    <t>Z18053</t>
  </si>
  <si>
    <t>Z18051</t>
  </si>
  <si>
    <t>VK8071509-15</t>
  </si>
  <si>
    <t>VK8072201-08</t>
  </si>
  <si>
    <t>VQ8072209-11</t>
  </si>
  <si>
    <t>VS8072226-30</t>
  </si>
  <si>
    <t>VS8072901-02</t>
  </si>
  <si>
    <t>VW8071524-26</t>
  </si>
  <si>
    <t>VW8072201-02</t>
  </si>
  <si>
    <t>S0715001</t>
  </si>
  <si>
    <t>S0715010-11</t>
  </si>
  <si>
    <t>S0715025</t>
  </si>
  <si>
    <t>S0715012-13</t>
  </si>
  <si>
    <t>V180961</t>
  </si>
  <si>
    <t>V180962</t>
  </si>
  <si>
    <t>V180964</t>
  </si>
  <si>
    <t>V180984</t>
  </si>
  <si>
    <t>V180963</t>
  </si>
  <si>
    <t>V180983</t>
  </si>
  <si>
    <t>Z18054</t>
  </si>
  <si>
    <t>Z18055</t>
  </si>
  <si>
    <t>Z18056</t>
  </si>
  <si>
    <t>VK8071516-17</t>
  </si>
  <si>
    <t>VS8072230-35</t>
  </si>
  <si>
    <t>VS8072903-14</t>
  </si>
  <si>
    <t>VW8071527-31</t>
  </si>
  <si>
    <t>VW8072203-12</t>
  </si>
  <si>
    <t>S0715014</t>
  </si>
  <si>
    <t>S0715015</t>
  </si>
  <si>
    <t>S0715026-27</t>
  </si>
  <si>
    <t>ZB</t>
  </si>
  <si>
    <t>V180965</t>
  </si>
  <si>
    <t>V180968</t>
  </si>
  <si>
    <t>V180985</t>
  </si>
  <si>
    <t>V180987</t>
  </si>
  <si>
    <t>V180967</t>
  </si>
  <si>
    <t>V180988</t>
  </si>
  <si>
    <t>V180970</t>
  </si>
  <si>
    <t>V180990</t>
  </si>
  <si>
    <t>V180969</t>
  </si>
  <si>
    <t>V180989</t>
  </si>
  <si>
    <t>V180966</t>
  </si>
  <si>
    <t>V180986</t>
  </si>
  <si>
    <t>Z18038</t>
  </si>
  <si>
    <t>Z18039</t>
  </si>
  <si>
    <t>VH8072902</t>
  </si>
  <si>
    <t>VK8071518-19</t>
  </si>
  <si>
    <t>VN8071504-06</t>
  </si>
  <si>
    <t>VN8072201-02</t>
  </si>
  <si>
    <t>VZ8071504-06</t>
  </si>
  <si>
    <t>VZ8072201-03</t>
  </si>
  <si>
    <t>S0708026</t>
  </si>
  <si>
    <t>S0708028</t>
  </si>
  <si>
    <t>V180972</t>
  </si>
  <si>
    <t>Z18041</t>
  </si>
  <si>
    <t>Z18059</t>
  </si>
  <si>
    <t>VK8072209-13</t>
  </si>
  <si>
    <t>VQ8072206-08</t>
  </si>
  <si>
    <t>VQ8072901-07</t>
  </si>
  <si>
    <t>VS8072236-39</t>
  </si>
  <si>
    <t>VS8072915-26</t>
  </si>
  <si>
    <t>VW8071532-36</t>
  </si>
  <si>
    <t>VW8072213-23</t>
  </si>
  <si>
    <t>S0708030</t>
  </si>
  <si>
    <t>S0722003-04,0722033-35,0722028</t>
  </si>
  <si>
    <t>V181005</t>
  </si>
  <si>
    <t>V180977</t>
  </si>
  <si>
    <t>V180997</t>
  </si>
  <si>
    <t>V180996</t>
  </si>
  <si>
    <t>V181020</t>
  </si>
  <si>
    <t>V180995</t>
  </si>
  <si>
    <t>V180994</t>
  </si>
  <si>
    <t>Z18057</t>
  </si>
  <si>
    <t>Z18058</t>
  </si>
  <si>
    <t>Z18047</t>
  </si>
  <si>
    <t>VH8080501</t>
  </si>
  <si>
    <t>VK8071520-21</t>
  </si>
  <si>
    <t>VQ8072908</t>
  </si>
  <si>
    <t>VS8072927-33</t>
  </si>
  <si>
    <t>VS8080501-13</t>
  </si>
  <si>
    <t>VW8072224-26</t>
  </si>
  <si>
    <t>VZ8072204</t>
  </si>
  <si>
    <t>S0722001-02</t>
  </si>
  <si>
    <t>S0722039, 42-43</t>
  </si>
  <si>
    <t>S0715016</t>
  </si>
  <si>
    <t>V180976</t>
  </si>
  <si>
    <t>V180992</t>
  </si>
  <si>
    <t>V180993</t>
  </si>
  <si>
    <t>V180998</t>
  </si>
  <si>
    <t>V180991</t>
  </si>
  <si>
    <t>V180979</t>
  </si>
  <si>
    <t>V181000</t>
  </si>
  <si>
    <t>V180971</t>
  </si>
  <si>
    <t>V180978</t>
  </si>
  <si>
    <t>V180999</t>
  </si>
  <si>
    <t>V181021</t>
  </si>
  <si>
    <t>Z18042</t>
  </si>
  <si>
    <t>VH8072903-04</t>
  </si>
  <si>
    <t>VK8071522-24</t>
  </si>
  <si>
    <t>VK8072214-18</t>
  </si>
  <si>
    <t>VN8072203-04</t>
  </si>
  <si>
    <t>VQ8072209</t>
  </si>
  <si>
    <t>VS8072240-44</t>
  </si>
  <si>
    <t>VS8072934-39</t>
  </si>
  <si>
    <t>VW8071537-40</t>
  </si>
  <si>
    <t>VW8072227-32</t>
  </si>
  <si>
    <t>VW8072901-06</t>
  </si>
  <si>
    <t>S0708029</t>
  </si>
  <si>
    <t>VT</t>
  </si>
  <si>
    <t>V181001</t>
  </si>
  <si>
    <t>V181022</t>
  </si>
  <si>
    <t>V181004</t>
  </si>
  <si>
    <t>V181003</t>
  </si>
  <si>
    <t>V181024</t>
  </si>
  <si>
    <t>V181002</t>
  </si>
  <si>
    <t>V181023</t>
  </si>
  <si>
    <t>V181006</t>
  </si>
  <si>
    <t>Z18065</t>
  </si>
  <si>
    <t>Z18060</t>
  </si>
  <si>
    <t>Z18061</t>
  </si>
  <si>
    <t>2500000040532</t>
  </si>
  <si>
    <t>VK8072219-21</t>
  </si>
  <si>
    <t>VK8072901-06</t>
  </si>
  <si>
    <t>VQ8072909</t>
  </si>
  <si>
    <t>VS8072940-42</t>
  </si>
  <si>
    <t>VS8080514-15</t>
  </si>
  <si>
    <t>VZ8072205</t>
  </si>
  <si>
    <t>S0722019,24,27,29-32,38</t>
  </si>
  <si>
    <t>V181025</t>
  </si>
  <si>
    <t>V181027</t>
  </si>
  <si>
    <t>V181008</t>
  </si>
  <si>
    <t>V181026</t>
  </si>
  <si>
    <t>Z18062</t>
  </si>
  <si>
    <t>Z18064</t>
  </si>
  <si>
    <t>Z18072</t>
  </si>
  <si>
    <t>Z18063</t>
  </si>
  <si>
    <t>VQ8080501</t>
  </si>
  <si>
    <t>VS8072943-47</t>
  </si>
  <si>
    <t>VS8080516-21</t>
  </si>
  <si>
    <t>VW8072233-35</t>
  </si>
  <si>
    <t>VW8072907-12</t>
  </si>
  <si>
    <t>S0722044</t>
  </si>
  <si>
    <t>S0722036</t>
  </si>
  <si>
    <t>S0722008,13-15, 23,25</t>
  </si>
  <si>
    <t>S0729003,09, 25-28, 31</t>
  </si>
  <si>
    <t>S0722005-06,09-12,16-18,26</t>
  </si>
  <si>
    <t>S0722037</t>
  </si>
  <si>
    <t>V181013</t>
  </si>
  <si>
    <t>V181007</t>
  </si>
  <si>
    <t>V181011</t>
  </si>
  <si>
    <t>V181029</t>
  </si>
  <si>
    <t>V181028</t>
  </si>
  <si>
    <t>Z18066</t>
  </si>
  <si>
    <t>Z18067</t>
  </si>
  <si>
    <t>Z18077</t>
  </si>
  <si>
    <t>VK8072907-16</t>
  </si>
  <si>
    <t>VN8072205</t>
  </si>
  <si>
    <t>VS8072948-50</t>
  </si>
  <si>
    <t>VS8080522-24</t>
  </si>
  <si>
    <t>VW8072913-22</t>
  </si>
  <si>
    <t>S0722020-21</t>
  </si>
  <si>
    <t>S0715029</t>
  </si>
  <si>
    <t>S0729005,08,17,21-24,30</t>
  </si>
  <si>
    <t>V181014</t>
  </si>
  <si>
    <t>V181030</t>
  </si>
  <si>
    <t>V181009</t>
  </si>
  <si>
    <t>V181031</t>
  </si>
  <si>
    <t>V181033</t>
  </si>
  <si>
    <t>V181012</t>
  </si>
  <si>
    <t>V181036</t>
  </si>
  <si>
    <t>V181018</t>
  </si>
  <si>
    <t>V181035</t>
  </si>
  <si>
    <t>V181051</t>
  </si>
  <si>
    <t>V181010</t>
  </si>
  <si>
    <t>V181034</t>
  </si>
  <si>
    <t>V181016</t>
  </si>
  <si>
    <t>Z18069</t>
  </si>
  <si>
    <t>VH8080502-03</t>
  </si>
  <si>
    <t>VH8081201</t>
  </si>
  <si>
    <t>VK8072222-23</t>
  </si>
  <si>
    <t>VK8072917-18</t>
  </si>
  <si>
    <t>VN8072901</t>
  </si>
  <si>
    <t>VQ8072910-11</t>
  </si>
  <si>
    <t>VQ8080502-07</t>
  </si>
  <si>
    <t>VS8072951-52</t>
  </si>
  <si>
    <t>VS8080525-32</t>
  </si>
  <si>
    <t>2500000041680</t>
  </si>
  <si>
    <t>VW8072236</t>
  </si>
  <si>
    <t>VW8072923-24</t>
  </si>
  <si>
    <t>VZ8072206-07</t>
  </si>
  <si>
    <t>S0722041</t>
  </si>
  <si>
    <t>V181042</t>
  </si>
  <si>
    <t>V181053</t>
  </si>
  <si>
    <t>V181037</t>
  </si>
  <si>
    <t>V181045</t>
  </si>
  <si>
    <t>V181052</t>
  </si>
  <si>
    <t>V181041</t>
  </si>
  <si>
    <t>V181054</t>
  </si>
  <si>
    <t>V181038</t>
  </si>
  <si>
    <t>V181060</t>
  </si>
  <si>
    <t>V181017</t>
  </si>
  <si>
    <t>V181039</t>
  </si>
  <si>
    <t>V181032</t>
  </si>
  <si>
    <t>Z18070</t>
  </si>
  <si>
    <t>VH8081202</t>
  </si>
  <si>
    <t>VH8080504-05</t>
  </si>
  <si>
    <t>VK8072919-21</t>
  </si>
  <si>
    <t>VN8072902</t>
  </si>
  <si>
    <t>VN8072206</t>
  </si>
  <si>
    <t>VQ8080508-10</t>
  </si>
  <si>
    <t>VQ8072912</t>
  </si>
  <si>
    <t>VS8080533-37</t>
  </si>
  <si>
    <t>VS8081201-10</t>
  </si>
  <si>
    <t>VW8072237</t>
  </si>
  <si>
    <t>VW8072925</t>
  </si>
  <si>
    <t>VZ8072901</t>
  </si>
  <si>
    <t>S0722007</t>
  </si>
  <si>
    <t>V181015</t>
  </si>
  <si>
    <t>V181019</t>
  </si>
  <si>
    <t>V181055</t>
  </si>
  <si>
    <t>Z18068</t>
  </si>
  <si>
    <t>VK8072224-27</t>
  </si>
  <si>
    <t>VS8072953-56</t>
  </si>
  <si>
    <t>VW8072238-40</t>
  </si>
  <si>
    <t>S0715028</t>
  </si>
  <si>
    <t>V181062</t>
  </si>
  <si>
    <t>V181040</t>
  </si>
  <si>
    <t>V181046</t>
  </si>
  <si>
    <t>V181061</t>
  </si>
  <si>
    <t>VQ8081201-06</t>
  </si>
  <si>
    <t>VS8080538-43</t>
  </si>
  <si>
    <t>VW8072926-29</t>
  </si>
  <si>
    <t>VW8080501-10</t>
  </si>
  <si>
    <t>V181043</t>
  </si>
  <si>
    <t>V181063</t>
  </si>
  <si>
    <t>V181064</t>
  </si>
  <si>
    <t>V181047</t>
  </si>
  <si>
    <t>V181050</t>
  </si>
  <si>
    <t>V181056</t>
  </si>
  <si>
    <t>Z18076</t>
  </si>
  <si>
    <t>Z18071</t>
  </si>
  <si>
    <t>VK8072922-29</t>
  </si>
  <si>
    <t>VK8080501-08</t>
  </si>
  <si>
    <t>VN8080501-03</t>
  </si>
  <si>
    <t>VQ8080511-13</t>
  </si>
  <si>
    <t>VW8072930-32</t>
  </si>
  <si>
    <t>S0729002</t>
  </si>
  <si>
    <t>S0722040</t>
  </si>
  <si>
    <t>V181048</t>
  </si>
  <si>
    <t>V181057</t>
  </si>
  <si>
    <t>V181049</t>
  </si>
  <si>
    <t>V181068</t>
  </si>
  <si>
    <t>V181067</t>
  </si>
  <si>
    <t>V181066</t>
  </si>
  <si>
    <t>VK8072930-38</t>
  </si>
  <si>
    <t>VQ8080514-15</t>
  </si>
  <si>
    <t>VS8080553-59</t>
  </si>
  <si>
    <t>VS8081211-21</t>
  </si>
  <si>
    <t>VW8080511-18</t>
  </si>
  <si>
    <t>VZ8080501-02</t>
  </si>
  <si>
    <t>VIMADECO</t>
  </si>
  <si>
    <t>V181065</t>
  </si>
  <si>
    <t>V181071</t>
  </si>
  <si>
    <t>V181073</t>
  </si>
  <si>
    <t>V181072</t>
  </si>
  <si>
    <t>V181074</t>
  </si>
  <si>
    <t>V181069</t>
  </si>
  <si>
    <t>V181070</t>
  </si>
  <si>
    <t>V181044</t>
  </si>
  <si>
    <t>Z18073</t>
  </si>
  <si>
    <t>Z18075</t>
  </si>
  <si>
    <t>VK8080509-12</t>
  </si>
  <si>
    <t>VK8072939-43</t>
  </si>
  <si>
    <t>VQ8080516</t>
  </si>
  <si>
    <t>VS8080560-65</t>
  </si>
  <si>
    <t>2500000041712</t>
  </si>
  <si>
    <t>VW8080519-29</t>
  </si>
  <si>
    <t>VW8072933-34</t>
  </si>
  <si>
    <t>VZ8072902</t>
  </si>
  <si>
    <t>S0722022</t>
  </si>
  <si>
    <t>S0729007,10-11,18</t>
  </si>
  <si>
    <t>V181075</t>
  </si>
  <si>
    <t>V181059</t>
  </si>
  <si>
    <t>V181085</t>
  </si>
  <si>
    <t>V181077</t>
  </si>
  <si>
    <t>V181084</t>
  </si>
  <si>
    <t>V181076</t>
  </si>
  <si>
    <t>V181083</t>
  </si>
  <si>
    <t>Z18074</t>
  </si>
  <si>
    <t>Z18080</t>
  </si>
  <si>
    <t>Z18081</t>
  </si>
  <si>
    <t>Z18078</t>
  </si>
  <si>
    <t>VK8072944-45</t>
  </si>
  <si>
    <t>VN8072903-04</t>
  </si>
  <si>
    <t>VS8081222-34</t>
  </si>
  <si>
    <t>VW8072935</t>
  </si>
  <si>
    <t>VW8080530-35</t>
  </si>
  <si>
    <t>VZ8072903</t>
  </si>
  <si>
    <t>VZ8080503-05</t>
  </si>
  <si>
    <t>S0729004</t>
  </si>
  <si>
    <t>S0729032</t>
  </si>
  <si>
    <t>S0729006,13,14,19,20</t>
  </si>
  <si>
    <t>S0729029</t>
  </si>
  <si>
    <t>V181058</t>
  </si>
  <si>
    <t>V181087</t>
  </si>
  <si>
    <t>V181079</t>
  </si>
  <si>
    <t>V181090</t>
  </si>
  <si>
    <t>V181078</t>
  </si>
  <si>
    <t>V181089</t>
  </si>
  <si>
    <t>V181121</t>
  </si>
  <si>
    <t>V181082</t>
  </si>
  <si>
    <t>V181088</t>
  </si>
  <si>
    <t>VH8081203</t>
  </si>
  <si>
    <t>VN8080504-07</t>
  </si>
  <si>
    <t>VQ8080517-18</t>
  </si>
  <si>
    <t>VQ8081207-09</t>
  </si>
  <si>
    <t>VS8080566-72</t>
  </si>
  <si>
    <t>VS8081235-37</t>
  </si>
  <si>
    <t>VS8081901-10</t>
  </si>
  <si>
    <t>VW8072936-39</t>
  </si>
  <si>
    <t>VW8080536-41</t>
  </si>
  <si>
    <t>V181080</t>
  </si>
  <si>
    <t>V181081</t>
  </si>
  <si>
    <t>VS8080573-76</t>
  </si>
  <si>
    <t>VK8072946-49</t>
  </si>
  <si>
    <t>VS8080544-52</t>
  </si>
  <si>
    <t>V181086</t>
  </si>
  <si>
    <t>V181122</t>
  </si>
  <si>
    <t>V181124</t>
  </si>
  <si>
    <t>V181092</t>
  </si>
  <si>
    <t>V181091</t>
  </si>
  <si>
    <t>Z18079</t>
  </si>
  <si>
    <t>Z18082</t>
  </si>
  <si>
    <t>VK8080513-18</t>
  </si>
  <si>
    <t>VK8081201-04</t>
  </si>
  <si>
    <t>VQ8081901-05</t>
  </si>
  <si>
    <t>VS8081238-43</t>
  </si>
  <si>
    <t>VW8080542-46</t>
  </si>
  <si>
    <t>S0729001</t>
  </si>
  <si>
    <t>S0729012,16</t>
  </si>
  <si>
    <t>V181093</t>
  </si>
  <si>
    <t>V181095</t>
  </si>
  <si>
    <t>V181097</t>
  </si>
  <si>
    <t>V181123</t>
  </si>
  <si>
    <t>V181120</t>
  </si>
  <si>
    <t>Z18083</t>
  </si>
  <si>
    <t>VI8080501</t>
  </si>
  <si>
    <t>VK8080519-20</t>
  </si>
  <si>
    <t>VS8081244-59</t>
  </si>
  <si>
    <t>VS8081911-16</t>
  </si>
  <si>
    <t>VW8081201-10</t>
  </si>
  <si>
    <t>S0805009-12</t>
  </si>
  <si>
    <t>V181094</t>
  </si>
  <si>
    <t>V181103</t>
  </si>
  <si>
    <t>V181098</t>
  </si>
  <si>
    <t>V181101</t>
  </si>
  <si>
    <t>V181100</t>
  </si>
  <si>
    <t>V181126</t>
  </si>
  <si>
    <t>V181099</t>
  </si>
  <si>
    <t>V181125</t>
  </si>
  <si>
    <t>V181096</t>
  </si>
  <si>
    <t>Z18087</t>
  </si>
  <si>
    <t>Z18090</t>
  </si>
  <si>
    <t>Z18084</t>
  </si>
  <si>
    <t>Z18089</t>
  </si>
  <si>
    <t>Z18086</t>
  </si>
  <si>
    <t>Z18091</t>
  </si>
  <si>
    <t>VH8081901</t>
  </si>
  <si>
    <t>VK8080521</t>
  </si>
  <si>
    <t>VN8080508</t>
  </si>
  <si>
    <t>VQ8081210-11</t>
  </si>
  <si>
    <t>VS8081260-63</t>
  </si>
  <si>
    <t>VS8081917-24</t>
  </si>
  <si>
    <t>VW8080547-50</t>
  </si>
  <si>
    <t>VW8081211-16</t>
  </si>
  <si>
    <t>VZ8080503</t>
  </si>
  <si>
    <t>S0805038</t>
  </si>
  <si>
    <t>S0708023</t>
  </si>
  <si>
    <t>S0805026-27,34</t>
  </si>
  <si>
    <t>S0708020-22</t>
  </si>
  <si>
    <t>S0805004</t>
  </si>
  <si>
    <t>S0708024</t>
  </si>
  <si>
    <t>V181105</t>
  </si>
  <si>
    <t>V181128</t>
  </si>
  <si>
    <t>V181102</t>
  </si>
  <si>
    <t>V181104</t>
  </si>
  <si>
    <t>V181127</t>
  </si>
  <si>
    <t>Z18092</t>
  </si>
  <si>
    <t>Z18085</t>
  </si>
  <si>
    <t>Z18088</t>
  </si>
  <si>
    <t>VS8081264-68</t>
  </si>
  <si>
    <t>VS8081925-34</t>
  </si>
  <si>
    <t>2500000041747</t>
  </si>
  <si>
    <t>VW8080551-52</t>
  </si>
  <si>
    <t>VW8081217-27</t>
  </si>
  <si>
    <t>S0729033</t>
  </si>
  <si>
    <t>S0805003,15-16,21-23</t>
  </si>
  <si>
    <t>S0805032-33</t>
  </si>
  <si>
    <t>V181113</t>
  </si>
  <si>
    <t>V181109</t>
  </si>
  <si>
    <t>V181116</t>
  </si>
  <si>
    <t>V181107</t>
  </si>
  <si>
    <t>V181108</t>
  </si>
  <si>
    <t>V181110</t>
  </si>
  <si>
    <t>V181119</t>
  </si>
  <si>
    <t>V181111</t>
  </si>
  <si>
    <t>V181118</t>
  </si>
  <si>
    <t>V181106</t>
  </si>
  <si>
    <t>Z18101</t>
  </si>
  <si>
    <t>Z18094</t>
  </si>
  <si>
    <t>Z18093</t>
  </si>
  <si>
    <t>VH8082602-03</t>
  </si>
  <si>
    <t>VK8080522-24</t>
  </si>
  <si>
    <t>VK8081205-09</t>
  </si>
  <si>
    <t>VN8080509-10</t>
  </si>
  <si>
    <t>VQ8081212-13</t>
  </si>
  <si>
    <t>VS8081269-70</t>
  </si>
  <si>
    <t>VS8081935-40</t>
  </si>
  <si>
    <t>VW8080553-54</t>
  </si>
  <si>
    <t>VW8081228-32</t>
  </si>
  <si>
    <t>VZ8080504</t>
  </si>
  <si>
    <t>S0805048-49</t>
  </si>
  <si>
    <t>S0805002,30,35-37,42</t>
  </si>
  <si>
    <t>S0805020,28</t>
  </si>
  <si>
    <t>V181114</t>
  </si>
  <si>
    <t>V181112</t>
  </si>
  <si>
    <t>V181115</t>
  </si>
  <si>
    <t>Z18105</t>
  </si>
  <si>
    <t>VK8080525</t>
  </si>
  <si>
    <t>VS8081271-73</t>
  </si>
  <si>
    <t>VW8080555-56</t>
  </si>
  <si>
    <t>S0729034</t>
  </si>
  <si>
    <t>V181129</t>
  </si>
  <si>
    <t>V181130</t>
  </si>
  <si>
    <t>V181131</t>
  </si>
  <si>
    <t>V181134</t>
  </si>
  <si>
    <t>V181133</t>
  </si>
  <si>
    <t>V181132</t>
  </si>
  <si>
    <t>V181117</t>
  </si>
  <si>
    <t>Z18103</t>
  </si>
  <si>
    <t>Z18104</t>
  </si>
  <si>
    <t>Z18095</t>
  </si>
  <si>
    <t>Z18102</t>
  </si>
  <si>
    <t>VH8082601-02</t>
  </si>
  <si>
    <t>VK8081210</t>
  </si>
  <si>
    <t>VN8081201</t>
  </si>
  <si>
    <t>VQ8081906-08</t>
  </si>
  <si>
    <t>VS8081941-46</t>
  </si>
  <si>
    <t>VW8081233-35</t>
  </si>
  <si>
    <t>VZ8081201-02</t>
  </si>
  <si>
    <t>S0805001</t>
  </si>
  <si>
    <t>S0805047</t>
  </si>
  <si>
    <t>S0805024,29,31</t>
  </si>
  <si>
    <t>S0805017-19,25</t>
  </si>
  <si>
    <t>V181135</t>
  </si>
  <si>
    <t>V181136</t>
  </si>
  <si>
    <t>V181145</t>
  </si>
  <si>
    <t>V181138</t>
  </si>
  <si>
    <t>V181161</t>
  </si>
  <si>
    <t>V181137</t>
  </si>
  <si>
    <t>V181160</t>
  </si>
  <si>
    <t>Z18099</t>
  </si>
  <si>
    <t>Z18098</t>
  </si>
  <si>
    <t>Z18097</t>
  </si>
  <si>
    <t>VK8081211-13</t>
  </si>
  <si>
    <t>VN8081202-03</t>
  </si>
  <si>
    <t>VQ8081909-11</t>
  </si>
  <si>
    <t>VS8081947-57</t>
  </si>
  <si>
    <t>VW8081236-40</t>
  </si>
  <si>
    <t>VW8081901-10</t>
  </si>
  <si>
    <t>S0805050</t>
  </si>
  <si>
    <t>S0805041,43-44</t>
  </si>
  <si>
    <t>S0805040</t>
  </si>
  <si>
    <t>V181141</t>
  </si>
  <si>
    <t>V181147</t>
  </si>
  <si>
    <t>V181144</t>
  </si>
  <si>
    <t>V181162</t>
  </si>
  <si>
    <t>V181143</t>
  </si>
  <si>
    <t>V181163</t>
  </si>
  <si>
    <t>V181142</t>
  </si>
  <si>
    <t>Z18110</t>
  </si>
  <si>
    <t>Z18108</t>
  </si>
  <si>
    <t>Z18109</t>
  </si>
  <si>
    <t>VK8081214</t>
  </si>
  <si>
    <t>VN8081204</t>
  </si>
  <si>
    <t>VS8081958-63</t>
  </si>
  <si>
    <t>VS8082605-12</t>
  </si>
  <si>
    <t>VW8081241-43</t>
  </si>
  <si>
    <t>VW8081911-17</t>
  </si>
  <si>
    <t>VZ8081203</t>
  </si>
  <si>
    <t>S0812030-31</t>
  </si>
  <si>
    <t>S0812028,10,11</t>
  </si>
  <si>
    <t>S0812006,14,15,23</t>
  </si>
  <si>
    <t>MARCLIFF 18003N</t>
  </si>
  <si>
    <t>SITWHPKW156964</t>
  </si>
  <si>
    <t>KMTCHPH0505761</t>
  </si>
  <si>
    <t>SUNNY CANNA 1804N</t>
  </si>
  <si>
    <t>SITWHPHT156330</t>
  </si>
  <si>
    <t>SITC WEIHAI 1807N</t>
  </si>
  <si>
    <t>EGLV237800077727</t>
  </si>
  <si>
    <t xml:space="preserve"> WAN HAI 267   N262  </t>
  </si>
  <si>
    <t>OOLU2600595820</t>
  </si>
  <si>
    <t>SAN LORENZO 109N</t>
  </si>
  <si>
    <t>SITWHPOS156328</t>
  </si>
  <si>
    <t>SITWHPOS157155</t>
  </si>
  <si>
    <t>SITC KOBE 1815N</t>
  </si>
  <si>
    <t>SITWHPKW156325</t>
  </si>
  <si>
    <t>SITC KAOHSIUNG 1807N</t>
  </si>
  <si>
    <t>KMTCHPH0506765</t>
  </si>
  <si>
    <t>APLU 715188626</t>
  </si>
  <si>
    <t>ASIATIC DAWN 032E</t>
  </si>
  <si>
    <t>1008X00551</t>
  </si>
  <si>
    <t xml:space="preserve">IAL 001  N311  </t>
  </si>
  <si>
    <t>1008X00679</t>
  </si>
  <si>
    <t xml:space="preserve">WAN HAI 266  N389  </t>
  </si>
  <si>
    <t>SITWHPKW157280</t>
  </si>
  <si>
    <t>SITC TIANJIN 1807N</t>
  </si>
  <si>
    <t>SITWHPOS156329</t>
  </si>
  <si>
    <t>SITWHPKW156326</t>
  </si>
  <si>
    <t>SITWHPTK156327</t>
  </si>
  <si>
    <t>SITWHPTK157692</t>
  </si>
  <si>
    <t>1008X00669</t>
  </si>
  <si>
    <t xml:space="preserve">IAL 001  N312  </t>
  </si>
  <si>
    <t>EGLV237800082241</t>
  </si>
  <si>
    <t>WAN HAI 266 N389</t>
  </si>
  <si>
    <t>KMTCHPH0501937</t>
  </si>
  <si>
    <t>TRIDENT 1805N</t>
  </si>
  <si>
    <t>KMTCHPH0511075</t>
  </si>
  <si>
    <t>HONGKONG VOYAGER 0070N</t>
  </si>
  <si>
    <t>OOLU2601041570</t>
  </si>
  <si>
    <t>1008X00664</t>
  </si>
  <si>
    <t>SITWHPKW157414</t>
  </si>
  <si>
    <t>REFLECTION 1809N</t>
  </si>
  <si>
    <t>1008X00665</t>
  </si>
  <si>
    <t>IAL 001 N312</t>
  </si>
  <si>
    <t>1008A01239</t>
  </si>
  <si>
    <t>WAN HAI 171 S236</t>
  </si>
  <si>
    <t>1008X00662</t>
  </si>
  <si>
    <t xml:space="preserve"> IAL 001  N312  </t>
  </si>
  <si>
    <t>APLU 074553082</t>
  </si>
  <si>
    <t>SINAR BITUNG 008E</t>
  </si>
  <si>
    <t>1008X00661</t>
  </si>
  <si>
    <t>SITWHPTK158135</t>
  </si>
  <si>
    <t>SITWHPOS158171</t>
  </si>
  <si>
    <t>SITC YANTAI 1807N</t>
  </si>
  <si>
    <t>EGLV237800087226</t>
  </si>
  <si>
    <t>MOONCHILD N019</t>
  </si>
  <si>
    <t>SITWHPKW158139</t>
  </si>
  <si>
    <t>AVRA C 1809N</t>
  </si>
  <si>
    <t>SITWHPHT158172</t>
  </si>
  <si>
    <t>OOLU2601321760</t>
  </si>
  <si>
    <t>OLIVIA 103N</t>
  </si>
  <si>
    <t>SNL8HPCL000318</t>
  </si>
  <si>
    <t>WISDOM GRACE 1809N</t>
  </si>
  <si>
    <t>1008X00859</t>
  </si>
  <si>
    <t xml:space="preserve">MOONCHILD  N019  </t>
  </si>
  <si>
    <t>1008X00793</t>
  </si>
  <si>
    <t xml:space="preserve"> MOONCHILD  N019</t>
  </si>
  <si>
    <t>KMTCHPH0510295</t>
  </si>
  <si>
    <t>SUNNY CANNA 1805N</t>
  </si>
  <si>
    <t>LANTAU BEE 18004N</t>
  </si>
  <si>
    <t>1008X00808</t>
  </si>
  <si>
    <t xml:space="preserve"> IAL 001  N313    </t>
  </si>
  <si>
    <t>1008X00797</t>
  </si>
  <si>
    <t xml:space="preserve">IAL 001  N313   </t>
  </si>
  <si>
    <t>1008X00796</t>
  </si>
  <si>
    <t>KMTCHPH0511240</t>
  </si>
  <si>
    <t>SUNNY LOTUS 1805N</t>
  </si>
  <si>
    <t>SITWHPKW158143</t>
  </si>
  <si>
    <t>1008X00908</t>
  </si>
  <si>
    <t xml:space="preserve">WAN HAI 267  N263  </t>
  </si>
  <si>
    <t>SITWHPKW158978</t>
  </si>
  <si>
    <t>HANSE ENERGY 1809N</t>
  </si>
  <si>
    <t>SITWHPTK159027</t>
  </si>
  <si>
    <t>SITC NAGOYA 1807N</t>
  </si>
  <si>
    <t>SNL8HPCL000359</t>
  </si>
  <si>
    <t>KUO LUNG 1810N</t>
  </si>
  <si>
    <t>OOLU2601635750</t>
  </si>
  <si>
    <t>AS RICCARDA 101N</t>
  </si>
  <si>
    <t>SITWHPTK158134</t>
  </si>
  <si>
    <t>EGLV237800091916</t>
  </si>
  <si>
    <t>WAN HAI 267 N263</t>
  </si>
  <si>
    <t>SITWHPHT159068</t>
  </si>
  <si>
    <t>SITC YOKKAICHI 1807N</t>
  </si>
  <si>
    <t>SITWHPOS159028</t>
  </si>
  <si>
    <t>SITWHPKW159253</t>
  </si>
  <si>
    <t>SITWHPHT159029</t>
  </si>
  <si>
    <t>SITC OSAKA 1809N</t>
  </si>
  <si>
    <t>1008X00911</t>
  </si>
  <si>
    <t xml:space="preserve"> WAN HAI 267  N263 </t>
  </si>
  <si>
    <t>1008X00914</t>
  </si>
  <si>
    <t xml:space="preserve">WAN HAI 171  S237 </t>
  </si>
  <si>
    <t>KMTCHPH0513480</t>
  </si>
  <si>
    <t>HONGKONG VOYAGER 0071N</t>
  </si>
  <si>
    <t>1008X00915</t>
  </si>
  <si>
    <t xml:space="preserve">IAL 001  N314  </t>
  </si>
  <si>
    <t>KMTCHPH0519650</t>
  </si>
  <si>
    <t>LANTAU BRIDE 18007N</t>
  </si>
  <si>
    <t>1008X00912</t>
  </si>
  <si>
    <t xml:space="preserve"> IAL 001  N314    </t>
  </si>
  <si>
    <t>SITWHPOS159570</t>
  </si>
  <si>
    <t>SITC WEIHAI 1809N</t>
  </si>
  <si>
    <t>1008X01026</t>
  </si>
  <si>
    <t xml:space="preserve">WAN HAI 282  N064 </t>
  </si>
  <si>
    <t>SITWHPKW159025</t>
  </si>
  <si>
    <t>SITC KAOHSIUNG 1809N</t>
  </si>
  <si>
    <t>SITWHPKW159569</t>
  </si>
  <si>
    <t>SITC TIANJIN 1809N</t>
  </si>
  <si>
    <t>APLU074553481</t>
  </si>
  <si>
    <t>ASIATIC DAWN 033E</t>
  </si>
  <si>
    <t>SITWHPTK159026</t>
  </si>
  <si>
    <t xml:space="preserve"> OOLU2601998100</t>
  </si>
  <si>
    <t>SAN LORENZO 110N</t>
  </si>
  <si>
    <t>SITWHPOS159762</t>
  </si>
  <si>
    <t>KMTCHPH0518852</t>
  </si>
  <si>
    <t>SUNNY LOTUS 1806N</t>
  </si>
  <si>
    <t>1008X01024</t>
  </si>
  <si>
    <t xml:space="preserve"> IAL 001  N315  </t>
  </si>
  <si>
    <t>EGLV237800097965</t>
  </si>
  <si>
    <t>UNI-ACCORD 0555-544N</t>
  </si>
  <si>
    <t>1008X01028</t>
  </si>
  <si>
    <t xml:space="preserve">WAN HAI 266 N390 </t>
  </si>
  <si>
    <t>1008X01022</t>
  </si>
  <si>
    <t xml:space="preserve">WAN HAI 172  S288  </t>
  </si>
  <si>
    <t>SNL8HPCL000395</t>
  </si>
  <si>
    <t>WISDOM GRACE 1811N</t>
  </si>
  <si>
    <t>1008X01033</t>
  </si>
  <si>
    <t xml:space="preserve">IAL 001 N315  </t>
  </si>
  <si>
    <t>SITWHPKW159760</t>
  </si>
  <si>
    <t>REFLECTION 1811N</t>
  </si>
  <si>
    <t>1008X01140</t>
  </si>
  <si>
    <t xml:space="preserve">WHITE DRAGON N002 </t>
  </si>
  <si>
    <t>SITWHPKW160362</t>
  </si>
  <si>
    <t>SITC KOBE 1817N</t>
  </si>
  <si>
    <t>OOLU2602299520</t>
  </si>
  <si>
    <t>OLIVIA 104N</t>
  </si>
  <si>
    <t>1008X01149</t>
  </si>
  <si>
    <t>MOONCHILD N025</t>
  </si>
  <si>
    <t>EGLV237800100222</t>
  </si>
  <si>
    <t>HANSE ENDURANCE 18006N</t>
  </si>
  <si>
    <t>SITWHPTK160750</t>
  </si>
  <si>
    <t>SITWHPHT160749</t>
  </si>
  <si>
    <t>SITWHPOS160748</t>
  </si>
  <si>
    <t>1008X01145</t>
  </si>
  <si>
    <t>KMTCHPH0526212</t>
  </si>
  <si>
    <t>HONGKONG VOYAGER 0072N</t>
  </si>
  <si>
    <t>EGLV237800100214</t>
  </si>
  <si>
    <t>1008X01151</t>
  </si>
  <si>
    <t xml:space="preserve"> IAL 001 N316  </t>
  </si>
  <si>
    <t>1008X01147</t>
  </si>
  <si>
    <t>KMTCHPH0518987</t>
  </si>
  <si>
    <t>SUNNY CANNA 1806N</t>
  </si>
  <si>
    <t>1008X01282</t>
  </si>
  <si>
    <t>LANTAU BEE 18005N</t>
  </si>
  <si>
    <t>1008X01269</t>
  </si>
  <si>
    <t xml:space="preserve">IAL 001 N316 </t>
  </si>
  <si>
    <t>SITWHPKW160606</t>
  </si>
  <si>
    <t>EPONYMA 1811N</t>
  </si>
  <si>
    <t>1008X01146</t>
  </si>
  <si>
    <t>1008X01297</t>
  </si>
  <si>
    <t>WAN HAI 267 N264</t>
  </si>
  <si>
    <t>SITWHPHT160608</t>
  </si>
  <si>
    <t>SITC YANTAI 1809N</t>
  </si>
  <si>
    <t>SITWHPTK160610</t>
  </si>
  <si>
    <t>OOLU2602614150</t>
  </si>
  <si>
    <t>AS RICCARDA 102N</t>
  </si>
  <si>
    <t>1008X01306</t>
  </si>
  <si>
    <t>IAL 001 N317</t>
  </si>
  <si>
    <t>SITWHPOS160607</t>
  </si>
  <si>
    <t>EGLV237800105411</t>
  </si>
  <si>
    <t>SITWHPKW161425</t>
  </si>
  <si>
    <t>SITC NAGOYA 1811N</t>
  </si>
  <si>
    <t>SNL8HPCL000485</t>
  </si>
  <si>
    <t>WISDOM GRACE 1813N</t>
  </si>
  <si>
    <t>EGLV237800105402</t>
  </si>
  <si>
    <t>KMTCHPH0521527</t>
  </si>
  <si>
    <t>ST.MARY 1806N</t>
  </si>
  <si>
    <t>1008X01309</t>
  </si>
  <si>
    <t xml:space="preserve">AS FIONA  N002  </t>
  </si>
  <si>
    <t>SITWHPOS161421</t>
  </si>
  <si>
    <t>HANSE ENERGY 1811N</t>
  </si>
  <si>
    <t>1008X01299</t>
  </si>
  <si>
    <t>WAN HAI 172  S289</t>
  </si>
  <si>
    <t>APLU074554086</t>
  </si>
  <si>
    <t>ASIATIC DAWN 034E</t>
  </si>
  <si>
    <t>1008X01310</t>
  </si>
  <si>
    <t>SITWHPKW161424</t>
  </si>
  <si>
    <t>RESURGENCE 1809N</t>
  </si>
  <si>
    <t>SITWHPTK161417</t>
  </si>
  <si>
    <t>LANTAU BRIDE 18008N</t>
  </si>
  <si>
    <t>1008X01413</t>
  </si>
  <si>
    <t>WAN HAI 282 N065</t>
  </si>
  <si>
    <t>HANSE ENDURANCE 18007N</t>
  </si>
  <si>
    <t>SITWHPHT162113</t>
  </si>
  <si>
    <t>SITC YOKKAICHI 1809N</t>
  </si>
  <si>
    <t>1008X01426</t>
  </si>
  <si>
    <t xml:space="preserve"> IAL 001 N318 </t>
  </si>
  <si>
    <t>EGLV237800110252</t>
  </si>
  <si>
    <t>WAN HAI 266 N391</t>
  </si>
  <si>
    <t>SITWHPKW162106</t>
  </si>
  <si>
    <t>1008X01422</t>
  </si>
  <si>
    <t>KMTCHPH0529852</t>
  </si>
  <si>
    <t>HONGKONG VOYAGER 0073N</t>
  </si>
  <si>
    <t>OOLU2602902580</t>
  </si>
  <si>
    <t>SAN LORENZO 111N</t>
  </si>
  <si>
    <t>SITWHPOS161422</t>
  </si>
  <si>
    <t>EGLV237800110236</t>
  </si>
  <si>
    <t>UNI-ACCORD 0561-547N</t>
  </si>
  <si>
    <t>1008X01423</t>
  </si>
  <si>
    <t xml:space="preserve">WAN HAI 282  N065  </t>
  </si>
  <si>
    <t>SITWHPOS162112</t>
  </si>
  <si>
    <t>SITC TIANJIN 1811N</t>
  </si>
  <si>
    <t>SITWHPKW162108</t>
  </si>
  <si>
    <t>REFLECTION 1813N</t>
  </si>
  <si>
    <t>1008X01425</t>
  </si>
  <si>
    <t xml:space="preserve"> WAN HAI 266  N391 </t>
  </si>
  <si>
    <t>1008X01510</t>
  </si>
  <si>
    <t xml:space="preserve"> AS FRIDA N001 </t>
  </si>
  <si>
    <t>SITWHPTK162109</t>
  </si>
  <si>
    <t>1008X01427</t>
  </si>
  <si>
    <t>IAL 001 N318</t>
  </si>
  <si>
    <t>SNL8HPCL000518</t>
  </si>
  <si>
    <t>KUO LUNG 1814N</t>
  </si>
  <si>
    <t>1008X01558</t>
  </si>
  <si>
    <t>MOONCHILD N026</t>
  </si>
  <si>
    <t>LANTAU BEE 18006N</t>
  </si>
  <si>
    <t>SITWHPKW162830</t>
  </si>
  <si>
    <t>1008X01561</t>
  </si>
  <si>
    <t xml:space="preserve">AS FRIDA N001 </t>
  </si>
  <si>
    <t>KMTCHPH0535079</t>
  </si>
  <si>
    <t>SUNNY CANNA 1808N</t>
  </si>
  <si>
    <t>1008X01564</t>
  </si>
  <si>
    <t>WAN HAI 205 N469</t>
  </si>
  <si>
    <t>SITWHPOS162856</t>
  </si>
  <si>
    <t>SITC OSAKA 1811N</t>
  </si>
  <si>
    <t>EGLV237800115556</t>
  </si>
  <si>
    <t>OOLU2603235060</t>
  </si>
  <si>
    <t>OLIVIA 105N</t>
  </si>
  <si>
    <t>SITWHPHT162835</t>
  </si>
  <si>
    <t>SITWHPTK162842</t>
  </si>
  <si>
    <t>EPONYMA 1813N</t>
  </si>
  <si>
    <t>1008X01559</t>
  </si>
  <si>
    <t>1008X01567</t>
  </si>
  <si>
    <t>WAN HAI 267 N265</t>
  </si>
  <si>
    <t>1008A01965</t>
  </si>
  <si>
    <t>SITWHPKW162832</t>
  </si>
  <si>
    <t>SITWHPOS162839</t>
  </si>
  <si>
    <t>SITC WEIHAI 1811N</t>
  </si>
  <si>
    <t>1008X01691</t>
  </si>
  <si>
    <t xml:space="preserve">AS FIONA  N003  </t>
  </si>
  <si>
    <t>1008X01757</t>
  </si>
  <si>
    <t>WAN HAI 171 S240</t>
  </si>
  <si>
    <t>SNL8HPCL000614</t>
  </si>
  <si>
    <t>ALS SUMIRE 1816N</t>
  </si>
  <si>
    <t>SITWHPHT163626</t>
  </si>
  <si>
    <t>1008X01756</t>
  </si>
  <si>
    <t>KMTCHPH0535333</t>
  </si>
  <si>
    <t>HONGKONG VOYAGER 0074N</t>
  </si>
  <si>
    <t>OOLU2603658800</t>
  </si>
  <si>
    <t>AS RICCARDA 103N</t>
  </si>
  <si>
    <t>SITWHPHT163760</t>
  </si>
  <si>
    <t>SITC YANTAI 1811N</t>
  </si>
  <si>
    <t>SITWHPKW163665</t>
  </si>
  <si>
    <t>RESURGENCE 1811N</t>
  </si>
  <si>
    <t>LANTAU BRIDE 18009N</t>
  </si>
  <si>
    <t>APLU074554706</t>
  </si>
  <si>
    <t>ASIATIC DAWN 035E</t>
  </si>
  <si>
    <t>1008X01846</t>
  </si>
  <si>
    <t xml:space="preserve">AS ROBERTA N002 </t>
  </si>
  <si>
    <t>SITWHPKW164029</t>
  </si>
  <si>
    <t>SITC KAOHSIUNG 1813N</t>
  </si>
  <si>
    <t>1008X01767</t>
  </si>
  <si>
    <t>IAL 001 N320</t>
  </si>
  <si>
    <t>1008X01882</t>
  </si>
  <si>
    <t xml:space="preserve">WAN HAI 203  N462 </t>
  </si>
  <si>
    <t>SITWHPOS163667</t>
  </si>
  <si>
    <t>SITWHPOS164158</t>
  </si>
  <si>
    <t>SITC TIANJIN 1813N</t>
  </si>
  <si>
    <t>SNL8HPCL000682</t>
  </si>
  <si>
    <t>WISDOM GRACE 1817N</t>
  </si>
  <si>
    <t>HANSE ENDURANCE 18008N</t>
  </si>
  <si>
    <t>EGLV237800125535</t>
  </si>
  <si>
    <t>WAN HAI 266 N392</t>
  </si>
  <si>
    <t>SITWHPTK164394</t>
  </si>
  <si>
    <t>1008X01922</t>
  </si>
  <si>
    <t>SITWHPTK164357</t>
  </si>
  <si>
    <t>1008X01905</t>
  </si>
  <si>
    <t>KMTCHPH0530454</t>
  </si>
  <si>
    <t>SUNNY CANNA 1809N</t>
  </si>
  <si>
    <t>SITWHPHT164363</t>
  </si>
  <si>
    <t>REFLECTION 1815N</t>
  </si>
  <si>
    <t>SITWHPKW164360</t>
  </si>
  <si>
    <t>SITWHPTK164358</t>
  </si>
  <si>
    <t>1008X02055</t>
  </si>
  <si>
    <t xml:space="preserve">AS FRIDA  N002 </t>
  </si>
  <si>
    <t>SITWHPKW164978</t>
  </si>
  <si>
    <t>AVRA C 1815N</t>
  </si>
  <si>
    <t>KMTCHPH0538716</t>
  </si>
  <si>
    <t>SUNNY CLOVER 1810N</t>
  </si>
  <si>
    <t>1008X02065</t>
  </si>
  <si>
    <t>MOONCHILD N027</t>
  </si>
  <si>
    <t>1008X02061</t>
  </si>
  <si>
    <t>WAN HAI 213 N328</t>
  </si>
  <si>
    <t>SITWHPOS164362</t>
  </si>
  <si>
    <t>SITWHPKW164993</t>
  </si>
  <si>
    <t>LANTAU BEE 18007N</t>
  </si>
  <si>
    <t>EGLV237800131501</t>
  </si>
  <si>
    <t>1008X02066</t>
  </si>
  <si>
    <t>1008X02068</t>
  </si>
  <si>
    <t>WAN HAI 171 S241</t>
  </si>
  <si>
    <t>SITWHPKW165492</t>
  </si>
  <si>
    <t>SITC NAGOYA 1815N</t>
  </si>
  <si>
    <t>SITWHPHT165152</t>
  </si>
  <si>
    <t>EPONYMA 1815N</t>
  </si>
  <si>
    <t>1008X02070</t>
  </si>
  <si>
    <t>1008X02069</t>
  </si>
  <si>
    <t xml:space="preserve"> IAL 001 N322</t>
  </si>
  <si>
    <t>SITWHPOS165151</t>
  </si>
  <si>
    <t>1008X02206</t>
  </si>
  <si>
    <t xml:space="preserve">AS FIONA  N004  </t>
  </si>
  <si>
    <t>SITWHPTK165921</t>
  </si>
  <si>
    <t>1008X02227</t>
  </si>
  <si>
    <t>WAN HAI 267 N266</t>
  </si>
  <si>
    <t>LANTAU BRIDE 18010N</t>
  </si>
  <si>
    <t>SITWHPTK165920</t>
  </si>
  <si>
    <t>EGLV237800138459</t>
  </si>
  <si>
    <t>1008X02218</t>
  </si>
  <si>
    <t>AS FIONA N004</t>
  </si>
  <si>
    <t>SITWHPHT165918</t>
  </si>
  <si>
    <t>SITC WEIHAI 1813N</t>
  </si>
  <si>
    <t>1008X02225</t>
  </si>
  <si>
    <t>WAN HAI 266 N393</t>
  </si>
  <si>
    <t>1008X02394</t>
  </si>
  <si>
    <t>AS ROBERTA N003</t>
  </si>
  <si>
    <t>1008X02212</t>
  </si>
  <si>
    <t xml:space="preserve"> WAN HAI 203 N463</t>
  </si>
  <si>
    <t>1008X02223</t>
  </si>
  <si>
    <t>SITWHPKW165925</t>
  </si>
  <si>
    <t>RESURGENCE 1813N</t>
  </si>
  <si>
    <t>SITWHPKW165928</t>
  </si>
  <si>
    <t>SITC YOKKAICHI 1813N</t>
  </si>
  <si>
    <t>KMTCHPH0539955</t>
  </si>
  <si>
    <t>SUNNY CAMELLIA 1811N</t>
  </si>
  <si>
    <t>SITWHPOS165916</t>
  </si>
  <si>
    <t>1008X02402</t>
  </si>
  <si>
    <t>WAN HAI 171 S242</t>
  </si>
  <si>
    <t>SITWHPTK165922</t>
  </si>
  <si>
    <t>SITWHPTK166602</t>
  </si>
  <si>
    <t>HANSE ENDURANCE 18009N</t>
  </si>
  <si>
    <t>KMTCHPH0543300</t>
  </si>
  <si>
    <t>KOTA WANGSA 010N</t>
  </si>
  <si>
    <t>SITWHPTK166603</t>
  </si>
  <si>
    <t>SITC KAOHSIUNG 1815N</t>
  </si>
  <si>
    <t>1008X02407</t>
  </si>
  <si>
    <t xml:space="preserve"> IAL 001 N324  </t>
  </si>
  <si>
    <t>1008X02404</t>
  </si>
  <si>
    <t>IAL 001 N324</t>
  </si>
  <si>
    <t>1008X02411</t>
  </si>
  <si>
    <t xml:space="preserve"> AS FRIDA N003</t>
  </si>
  <si>
    <t>SITWHPKW166607</t>
  </si>
  <si>
    <t>EGLV237800146222</t>
  </si>
  <si>
    <t>APLU 074555571</t>
  </si>
  <si>
    <t>ACACIA VIRGO 003E</t>
  </si>
  <si>
    <t>SITWHPKW166779</t>
  </si>
  <si>
    <t>SITWHPKW166687</t>
  </si>
  <si>
    <t>AVRA C 1817N</t>
  </si>
  <si>
    <t>SITWHPTK167425</t>
  </si>
  <si>
    <t>SITWHPOS167430</t>
  </si>
  <si>
    <t>SITC YANTAI 1813N</t>
  </si>
  <si>
    <t>1008X02586</t>
  </si>
  <si>
    <t>IAL 001 N325</t>
  </si>
  <si>
    <t>KMTCHPH0548375</t>
  </si>
  <si>
    <t>SUNNY IRIS 1818N</t>
  </si>
  <si>
    <t>SITWHPHT167434</t>
  </si>
  <si>
    <t>1008X02575</t>
  </si>
  <si>
    <t>WAN HAI 213 N329</t>
  </si>
  <si>
    <t>SITWHPOS167626</t>
  </si>
  <si>
    <t>SITC KOBE 1823N</t>
  </si>
  <si>
    <t>LANTAU BEE 18008N</t>
  </si>
  <si>
    <t>1008X02573</t>
  </si>
  <si>
    <t>1008X02572</t>
  </si>
  <si>
    <t>1008X02576</t>
  </si>
  <si>
    <t>AS FIONA N005</t>
  </si>
  <si>
    <t>KMTCHPH0541581</t>
  </si>
  <si>
    <t>SUNNY CANNA 1811N</t>
  </si>
  <si>
    <t>PADIAN 2 18004B</t>
  </si>
  <si>
    <t>SITWHPKW167437</t>
  </si>
  <si>
    <t>SITWHPTK167429</t>
  </si>
  <si>
    <t>1008X02587</t>
  </si>
  <si>
    <t>WAN HAI 267 N267</t>
  </si>
  <si>
    <t>SITWHPKW167439</t>
  </si>
  <si>
    <t>SITC NAGOYA 1817N</t>
  </si>
  <si>
    <t>KMTCHPH0548668</t>
  </si>
  <si>
    <t>FRISIA NUERNBERG 074N</t>
  </si>
  <si>
    <t>SITWHPTK168117</t>
  </si>
  <si>
    <t>1008X02761</t>
  </si>
  <si>
    <t>WAN HAI 205 N471</t>
  </si>
  <si>
    <t>SITWHPOS167432</t>
  </si>
  <si>
    <t>REFLECTION 1817N</t>
  </si>
  <si>
    <t>SITWHPHT168212</t>
  </si>
  <si>
    <t>1008X02764</t>
  </si>
  <si>
    <t xml:space="preserve"> AS FIONA  N005 </t>
  </si>
  <si>
    <t>MARCARRIER 18011N</t>
  </si>
  <si>
    <t>EGLV237800161787</t>
  </si>
  <si>
    <t>PADMA 0577-064N</t>
  </si>
  <si>
    <t>SITWHPKW168126</t>
  </si>
  <si>
    <t>SITC YOKKAICHI 1815N</t>
  </si>
  <si>
    <t>1008X02950</t>
  </si>
  <si>
    <t xml:space="preserve">WAN HAI 203  N464  </t>
  </si>
  <si>
    <t>1008X02771</t>
  </si>
  <si>
    <t>AS ROBERTA N004</t>
  </si>
  <si>
    <t>LANTAU BRIDE 18011N</t>
  </si>
  <si>
    <t>1008X02780</t>
  </si>
  <si>
    <t>WAN HAI 266 N394</t>
  </si>
  <si>
    <t>KMTCHPH0547789</t>
  </si>
  <si>
    <t>SUNNY CLOVER 1812N</t>
  </si>
  <si>
    <t>SITWHPTK168118</t>
  </si>
  <si>
    <t>RESURGENCE 1815N</t>
  </si>
  <si>
    <t>SITWHPHT168121</t>
  </si>
  <si>
    <t>EPONYMA 1817N</t>
  </si>
  <si>
    <t>SITWHPOS168120</t>
  </si>
  <si>
    <t>SITWHPKW168123</t>
  </si>
  <si>
    <t>MARCLIFF 18011N</t>
  </si>
  <si>
    <t>SITWHPKW168840</t>
  </si>
  <si>
    <t>SITWHPTK168845</t>
  </si>
  <si>
    <t>KMTCHPH0552098</t>
  </si>
  <si>
    <t>SUNNY IRIS 1819N</t>
  </si>
  <si>
    <t>EGLV237800169311</t>
  </si>
  <si>
    <t>UNI-ACCORD 0580-556N</t>
  </si>
  <si>
    <t>EGLV237800169338</t>
  </si>
  <si>
    <t>1008X03003</t>
  </si>
  <si>
    <t>WAN HAI 172 S294</t>
  </si>
  <si>
    <t>1008X03125</t>
  </si>
  <si>
    <t>AS FRIDA N004</t>
  </si>
  <si>
    <t>1008X02949</t>
  </si>
  <si>
    <t xml:space="preserve"> PAOLA N018  </t>
  </si>
  <si>
    <t>1008X02945</t>
  </si>
  <si>
    <t xml:space="preserve">PAOLA  N018  </t>
  </si>
  <si>
    <t>SITWHPKW168841</t>
  </si>
  <si>
    <t>SITC OSAKA 1819N</t>
  </si>
  <si>
    <t>SITWHPKW168844</t>
  </si>
  <si>
    <t>HANSE ENDURANCE 18010N</t>
  </si>
  <si>
    <t>1008X03126</t>
  </si>
  <si>
    <t xml:space="preserve"> WAN HAI 213 N330</t>
  </si>
  <si>
    <t>1008X02946</t>
  </si>
  <si>
    <t>SITWHPOS169032</t>
  </si>
  <si>
    <t>SITC TIANJIN 1817N</t>
  </si>
  <si>
    <t>SITWHPTK168847</t>
  </si>
  <si>
    <t>KMTCHPH0556287</t>
  </si>
  <si>
    <t>SUNNY CLOVER 1813N</t>
  </si>
  <si>
    <t>SITWHPTK169427</t>
  </si>
  <si>
    <t>SITWHPOS168849</t>
  </si>
  <si>
    <t>SITC WEIHAI 1815N</t>
  </si>
  <si>
    <t>LANTAU BRIDGE 18002N</t>
  </si>
  <si>
    <t>1008X03123</t>
  </si>
  <si>
    <t>SITWHPKW169425</t>
  </si>
  <si>
    <t>EGLV237800176458</t>
  </si>
  <si>
    <t>MOONCHILD N029</t>
  </si>
  <si>
    <t>1008X03121</t>
  </si>
  <si>
    <t xml:space="preserve"> AS FRIDA  N004</t>
  </si>
  <si>
    <t>KMTCHPH0554161</t>
  </si>
  <si>
    <t>SUNNY CANNA 1812N</t>
  </si>
  <si>
    <t>SITWHPHT169448</t>
  </si>
  <si>
    <t>1008X03340</t>
  </si>
  <si>
    <t>AS FIONA N006</t>
  </si>
  <si>
    <t>SITWHPKW169426</t>
  </si>
  <si>
    <t>SITC NAGOYA 1819N</t>
  </si>
  <si>
    <t>1008X03341</t>
  </si>
  <si>
    <t>WAN HAI 267  N268</t>
  </si>
  <si>
    <t>1008X03127</t>
  </si>
  <si>
    <t xml:space="preserve"> PAOLA  N019</t>
  </si>
  <si>
    <t>1008X03244</t>
  </si>
  <si>
    <t xml:space="preserve"> WAN HAI 205  N472</t>
  </si>
  <si>
    <t>EGLV237800176474</t>
  </si>
  <si>
    <t>UNI-ACCORD 0582-557N</t>
  </si>
  <si>
    <t>SITWHPTK170350</t>
  </si>
  <si>
    <t>AVRA C 1819N</t>
  </si>
  <si>
    <t>1008X03130</t>
  </si>
  <si>
    <t>SITWHPOS169429</t>
  </si>
  <si>
    <t>REFLECTION 1819N</t>
  </si>
  <si>
    <t>SITWHPKW169423</t>
  </si>
  <si>
    <t>SITWHPOS169428</t>
  </si>
  <si>
    <t>SITC YANTAI 1815N</t>
  </si>
  <si>
    <t>1008X03120</t>
  </si>
  <si>
    <t>PAOLA N019</t>
  </si>
  <si>
    <t>KMTCHPH0552346</t>
  </si>
  <si>
    <t>SITWHPTK170352</t>
  </si>
  <si>
    <t>MARCARRIER 18012N</t>
  </si>
  <si>
    <t>SITWHPHT170356</t>
  </si>
  <si>
    <t xml:space="preserve">EGLV237800184485
</t>
  </si>
  <si>
    <t>WAN HAI 267 N268</t>
  </si>
  <si>
    <t>SITWHPKW170365</t>
  </si>
  <si>
    <t>HYUNDAI HARMONY 1829N</t>
  </si>
  <si>
    <t>KMTCHPH0559747</t>
  </si>
  <si>
    <t>STARSHIP AQUILA 1810N</t>
  </si>
  <si>
    <t>KMTCHPH0558423</t>
  </si>
  <si>
    <t>KOTA WANGSA 012N</t>
  </si>
  <si>
    <t>1008A02919</t>
  </si>
  <si>
    <t>SITWHPKW170360</t>
  </si>
  <si>
    <t>1008X03361</t>
  </si>
  <si>
    <t>AS ROBERTA N005</t>
  </si>
  <si>
    <t>1008X03342</t>
  </si>
  <si>
    <t>WANHAI 171 S245</t>
  </si>
  <si>
    <t>SITWHPTK170353</t>
  </si>
  <si>
    <t>1008X03336</t>
  </si>
  <si>
    <t>WAN HAI 203 N465</t>
  </si>
  <si>
    <t>V181164</t>
  </si>
  <si>
    <t>V181148</t>
  </si>
  <si>
    <t>V181165</t>
  </si>
  <si>
    <t>V181156</t>
  </si>
  <si>
    <t>V181166</t>
  </si>
  <si>
    <t>V181146</t>
  </si>
  <si>
    <t>V181152</t>
  </si>
  <si>
    <t>V181168</t>
  </si>
  <si>
    <t>V181167</t>
  </si>
  <si>
    <t>Z18107</t>
  </si>
  <si>
    <t>Z18100</t>
  </si>
  <si>
    <t>VH8090201-02</t>
  </si>
  <si>
    <t>VK8081215-17</t>
  </si>
  <si>
    <t>VK8081901-05</t>
  </si>
  <si>
    <t>VN8081205</t>
  </si>
  <si>
    <t>VN8081901-05</t>
  </si>
  <si>
    <t>VQ8081912-13</t>
  </si>
  <si>
    <t>VS8081964-65</t>
  </si>
  <si>
    <t>VS8082613-22</t>
  </si>
  <si>
    <t>VW8081918-21</t>
  </si>
  <si>
    <t>S0812047-48</t>
  </si>
  <si>
    <t>S0805039</t>
  </si>
  <si>
    <t>V181155</t>
  </si>
  <si>
    <t>V181140</t>
  </si>
  <si>
    <t>V181149</t>
  </si>
  <si>
    <t>V181171</t>
  </si>
  <si>
    <t>V181154</t>
  </si>
  <si>
    <t>V181170</t>
  </si>
  <si>
    <t>V181153</t>
  </si>
  <si>
    <t>V181151</t>
  </si>
  <si>
    <t>V181150</t>
  </si>
  <si>
    <t>V181169</t>
  </si>
  <si>
    <t>Z18111</t>
  </si>
  <si>
    <t>Z18096</t>
  </si>
  <si>
    <t>Z18106</t>
  </si>
  <si>
    <t>2500000040574</t>
  </si>
  <si>
    <t>VH8082603-04</t>
  </si>
  <si>
    <t>VK8081218-22</t>
  </si>
  <si>
    <t>VK8081906-07</t>
  </si>
  <si>
    <t>VQ8081914-15</t>
  </si>
  <si>
    <t>VQ8082601-06</t>
  </si>
  <si>
    <t>VS8081966-67</t>
  </si>
  <si>
    <t>VW8081244-47</t>
  </si>
  <si>
    <t>VZ8081204</t>
  </si>
  <si>
    <t>VZ8081901-02</t>
  </si>
  <si>
    <t>S0812017-18</t>
  </si>
  <si>
    <t>S0812001,03,07,09,22,24,38,44</t>
  </si>
  <si>
    <t>S0812032</t>
  </si>
  <si>
    <t>V181157</t>
  </si>
  <si>
    <t>V181158</t>
  </si>
  <si>
    <t>V181159</t>
  </si>
  <si>
    <t>V181191</t>
  </si>
  <si>
    <t>V181139</t>
  </si>
  <si>
    <t>VK8081223-27</t>
  </si>
  <si>
    <t>VW8081248-50</t>
  </si>
  <si>
    <t>VS8081968-72</t>
  </si>
  <si>
    <t>VQ8081916</t>
  </si>
  <si>
    <t>2500000041774</t>
  </si>
  <si>
    <t>V181179</t>
  </si>
  <si>
    <t>V181174</t>
  </si>
  <si>
    <t>V181173</t>
  </si>
  <si>
    <t>Z18112</t>
  </si>
  <si>
    <t>VQ8082607</t>
  </si>
  <si>
    <t>VS8082623-32</t>
  </si>
  <si>
    <t>VW8081922-31</t>
  </si>
  <si>
    <t>S0812042,20</t>
  </si>
  <si>
    <t>V181180</t>
  </si>
  <si>
    <t>V181192</t>
  </si>
  <si>
    <t>V181178</t>
  </si>
  <si>
    <t>V181206</t>
  </si>
  <si>
    <t>V181177</t>
  </si>
  <si>
    <t>V181176</t>
  </si>
  <si>
    <t>Z18116</t>
  </si>
  <si>
    <t>Z18115</t>
  </si>
  <si>
    <t>Z18113</t>
  </si>
  <si>
    <t>Z18114</t>
  </si>
  <si>
    <t>VK8081908-09</t>
  </si>
  <si>
    <t>VQ8082608</t>
  </si>
  <si>
    <t>VS8082633-41</t>
  </si>
  <si>
    <t>VS8090201-07</t>
  </si>
  <si>
    <t>VW8081932-41</t>
  </si>
  <si>
    <t>VZ8081903-05</t>
  </si>
  <si>
    <t>S0812050</t>
  </si>
  <si>
    <t>S0812045-46,49</t>
  </si>
  <si>
    <t>S0812004,41</t>
  </si>
  <si>
    <t>S0812002,08,25,36</t>
  </si>
  <si>
    <t>V181190</t>
  </si>
  <si>
    <t>V181203</t>
  </si>
  <si>
    <t>V181172</t>
  </si>
  <si>
    <t>V181184</t>
  </si>
  <si>
    <t>V181183</t>
  </si>
  <si>
    <t>V181204</t>
  </si>
  <si>
    <t>V181182</t>
  </si>
  <si>
    <t>V181205</t>
  </si>
  <si>
    <t>Z18117</t>
  </si>
  <si>
    <t>Z18118</t>
  </si>
  <si>
    <t>VK8082601-06</t>
  </si>
  <si>
    <t>VN8081906-07</t>
  </si>
  <si>
    <t>VQ8082609</t>
  </si>
  <si>
    <t>VS8082642-45</t>
  </si>
  <si>
    <t>VS8090208-15</t>
  </si>
  <si>
    <t>VW8081942-46</t>
  </si>
  <si>
    <t>VW8082601-07</t>
  </si>
  <si>
    <t>S0812005,12,40</t>
  </si>
  <si>
    <t>S0812021</t>
  </si>
  <si>
    <t>DELTA</t>
  </si>
  <si>
    <t>V181185</t>
  </si>
  <si>
    <t>V181188</t>
  </si>
  <si>
    <t>V181187</t>
  </si>
  <si>
    <t>V181207</t>
  </si>
  <si>
    <t>Z18129</t>
  </si>
  <si>
    <t>Z18119</t>
  </si>
  <si>
    <t>Z18127</t>
  </si>
  <si>
    <t>Z18120</t>
  </si>
  <si>
    <t>Z18126</t>
  </si>
  <si>
    <t>Z18121</t>
  </si>
  <si>
    <t>Z18128</t>
  </si>
  <si>
    <t>VK8081910-12</t>
  </si>
  <si>
    <t>VS8082646-49</t>
  </si>
  <si>
    <t>VW8081947-49</t>
  </si>
  <si>
    <t>VW8082608-22</t>
  </si>
  <si>
    <t>S0819046</t>
  </si>
  <si>
    <t>S0812016</t>
  </si>
  <si>
    <t>S0819002</t>
  </si>
  <si>
    <t>S0812019,26,27,35</t>
  </si>
  <si>
    <t>S0819003,37</t>
  </si>
  <si>
    <t>S0812039</t>
  </si>
  <si>
    <t xml:space="preserve"> S0819039</t>
  </si>
  <si>
    <t>V181198</t>
  </si>
  <si>
    <t>V181199</t>
  </si>
  <si>
    <t>V181181</t>
  </si>
  <si>
    <t>V181201</t>
  </si>
  <si>
    <t>V181208</t>
  </si>
  <si>
    <t>V181195</t>
  </si>
  <si>
    <t>V181202</t>
  </si>
  <si>
    <t>V181200</t>
  </si>
  <si>
    <t>VH8090901-02</t>
  </si>
  <si>
    <t>VK8082607-11</t>
  </si>
  <si>
    <t>VN8081908</t>
  </si>
  <si>
    <t>VN8082601-02</t>
  </si>
  <si>
    <t>VQ8090201-07</t>
  </si>
  <si>
    <t>VS8082650-52</t>
  </si>
  <si>
    <t>VS8090216-28</t>
  </si>
  <si>
    <t>VZ8082601-03</t>
  </si>
  <si>
    <t>V181175</t>
  </si>
  <si>
    <t>V181193</t>
  </si>
  <si>
    <t>V181197</t>
  </si>
  <si>
    <t>V181196</t>
  </si>
  <si>
    <t>V181210</t>
  </si>
  <si>
    <t>V181189</t>
  </si>
  <si>
    <t>V181194</t>
  </si>
  <si>
    <t>V181186</t>
  </si>
  <si>
    <t>Z18122</t>
  </si>
  <si>
    <t>Z18123</t>
  </si>
  <si>
    <t>Z18130</t>
  </si>
  <si>
    <t>Z18124</t>
  </si>
  <si>
    <t>Z18125</t>
  </si>
  <si>
    <t>VH8090203-05</t>
  </si>
  <si>
    <t>VK8081913-18</t>
  </si>
  <si>
    <t>VQ8082610-11</t>
  </si>
  <si>
    <t>VS8082653-57</t>
  </si>
  <si>
    <t>VS8090229-32</t>
  </si>
  <si>
    <t>2500000041820</t>
  </si>
  <si>
    <t>VW8081950-57</t>
  </si>
  <si>
    <t>VZ8081906-07</t>
  </si>
  <si>
    <t>S0805046</t>
  </si>
  <si>
    <t>S0812034</t>
  </si>
  <si>
    <t>S0805045</t>
  </si>
  <si>
    <t>S0812029,43</t>
  </si>
  <si>
    <t>S0812037</t>
  </si>
  <si>
    <t xml:space="preserve">NKV </t>
  </si>
  <si>
    <t>V181211</t>
  </si>
  <si>
    <t>V181238</t>
  </si>
  <si>
    <t>V181212</t>
  </si>
  <si>
    <t>V181216</t>
  </si>
  <si>
    <t>V181215</t>
  </si>
  <si>
    <t>V181237</t>
  </si>
  <si>
    <t>V181209</t>
  </si>
  <si>
    <t>V181236</t>
  </si>
  <si>
    <t>V181218</t>
  </si>
  <si>
    <t>Z18131</t>
  </si>
  <si>
    <t>Z18132</t>
  </si>
  <si>
    <t>VK8082612-15</t>
  </si>
  <si>
    <t>VK8090201-03</t>
  </si>
  <si>
    <t>VN8082603</t>
  </si>
  <si>
    <t>VQ8090208-10</t>
  </si>
  <si>
    <t>VS8090233-41</t>
  </si>
  <si>
    <t>VS8090901-07</t>
  </si>
  <si>
    <t>VW8082623-29</t>
  </si>
  <si>
    <t>VW8090201-05</t>
  </si>
  <si>
    <t>VZ8082604</t>
  </si>
  <si>
    <t>S0819048-49</t>
  </si>
  <si>
    <t>S0819031,42</t>
  </si>
  <si>
    <t>V181217</t>
  </si>
  <si>
    <t>V181221</t>
  </si>
  <si>
    <t>V181224</t>
  </si>
  <si>
    <t>V181220</t>
  </si>
  <si>
    <t>V181240</t>
  </si>
  <si>
    <t>V181214</t>
  </si>
  <si>
    <t>V181239</t>
  </si>
  <si>
    <t>Z18133</t>
  </si>
  <si>
    <t>Z18135</t>
  </si>
  <si>
    <t>Z18134</t>
  </si>
  <si>
    <t>VH8090903</t>
  </si>
  <si>
    <t>VK8082616</t>
  </si>
  <si>
    <t>VQ8090211</t>
  </si>
  <si>
    <t>VS8090242-47</t>
  </si>
  <si>
    <t>VS8090908-20</t>
  </si>
  <si>
    <t>VW8082630-34</t>
  </si>
  <si>
    <t>VW8090206-09</t>
  </si>
  <si>
    <t>S0812033</t>
  </si>
  <si>
    <t>S0819001</t>
  </si>
  <si>
    <t>S0819052,29,15,25</t>
  </si>
  <si>
    <t>V181225</t>
  </si>
  <si>
    <t>V181241</t>
  </si>
  <si>
    <t>V181213</t>
  </si>
  <si>
    <t>V181244</t>
  </si>
  <si>
    <t>V181223</t>
  </si>
  <si>
    <t>V181242</t>
  </si>
  <si>
    <t>V181219</t>
  </si>
  <si>
    <t>V181243</t>
  </si>
  <si>
    <t>Z18136</t>
  </si>
  <si>
    <t>Z18138</t>
  </si>
  <si>
    <t>Z18143</t>
  </si>
  <si>
    <t>Z18137</t>
  </si>
  <si>
    <t>VK8082617</t>
  </si>
  <si>
    <t>VK8090204-06</t>
  </si>
  <si>
    <t>VN8082604</t>
  </si>
  <si>
    <t>VQ8090901-02</t>
  </si>
  <si>
    <t>VS8090248-55</t>
  </si>
  <si>
    <t>VS8090921-23</t>
  </si>
  <si>
    <t>VW8082635-36</t>
  </si>
  <si>
    <t>VW8090210-18</t>
  </si>
  <si>
    <t>S0819038</t>
  </si>
  <si>
    <t>S0819032,34,18</t>
  </si>
  <si>
    <t>S0819036,S0826004</t>
  </si>
  <si>
    <t>S0819007</t>
  </si>
  <si>
    <t>V181227</t>
  </si>
  <si>
    <t>V181228</t>
  </si>
  <si>
    <t>V181245</t>
  </si>
  <si>
    <t>V181250</t>
  </si>
  <si>
    <t>V181226</t>
  </si>
  <si>
    <t>V181249</t>
  </si>
  <si>
    <t>V181222</t>
  </si>
  <si>
    <t>V181248</t>
  </si>
  <si>
    <t>Z18140</t>
  </si>
  <si>
    <t>Z18139</t>
  </si>
  <si>
    <t>Z18144</t>
  </si>
  <si>
    <t>VH8090904</t>
  </si>
  <si>
    <t>VK8082618</t>
  </si>
  <si>
    <t>VK8090207-08</t>
  </si>
  <si>
    <t>VQ8090903</t>
  </si>
  <si>
    <t>VS8090256-62</t>
  </si>
  <si>
    <t>VS8090924-28</t>
  </si>
  <si>
    <t>VW8082637-41</t>
  </si>
  <si>
    <t>VW8090219-25</t>
  </si>
  <si>
    <t>S0812013,S0819012,19,21,43-45</t>
  </si>
  <si>
    <t>S0819017</t>
  </si>
  <si>
    <t>S0819030</t>
  </si>
  <si>
    <t>V181229</t>
  </si>
  <si>
    <t>V181230</t>
  </si>
  <si>
    <t>V181231</t>
  </si>
  <si>
    <t>V181232</t>
  </si>
  <si>
    <t>V181234</t>
  </si>
  <si>
    <t>Z18141</t>
  </si>
  <si>
    <t>Z18142</t>
  </si>
  <si>
    <t>Z18145</t>
  </si>
  <si>
    <t>V181235</t>
  </si>
  <si>
    <t>V181260</t>
  </si>
  <si>
    <t>VK8082618-19</t>
  </si>
  <si>
    <t>VK8090209-10</t>
  </si>
  <si>
    <t>VQ8090212-13</t>
  </si>
  <si>
    <t>VS8090263-68</t>
  </si>
  <si>
    <t>VZ8082605</t>
  </si>
  <si>
    <t>S0819047</t>
  </si>
  <si>
    <t>S0819009,13,24,35</t>
  </si>
  <si>
    <t>VS8090929-34</t>
  </si>
  <si>
    <t>S0819011,14,16,23,26-28,40,41</t>
  </si>
  <si>
    <t>VW8082642-46</t>
  </si>
  <si>
    <t>V181252</t>
  </si>
  <si>
    <t>V181275</t>
  </si>
  <si>
    <t>V181247</t>
  </si>
  <si>
    <t>V181256</t>
  </si>
  <si>
    <t>V181255</t>
  </si>
  <si>
    <t>V181276</t>
  </si>
  <si>
    <t>V181251</t>
  </si>
  <si>
    <t>V181253</t>
  </si>
  <si>
    <t>Z18146</t>
  </si>
  <si>
    <t>VK8090211-12</t>
  </si>
  <si>
    <t>VK8090901-04</t>
  </si>
  <si>
    <t>VN8090201</t>
  </si>
  <si>
    <t>VQ8090904-05</t>
  </si>
  <si>
    <t>VS8090935-44</t>
  </si>
  <si>
    <t>VS8091601-08</t>
  </si>
  <si>
    <t>VW8090226-33</t>
  </si>
  <si>
    <t>VZ8090201</t>
  </si>
  <si>
    <t>S0826001-02</t>
  </si>
  <si>
    <t>V181246</t>
  </si>
  <si>
    <t>V181278</t>
  </si>
  <si>
    <t>V181258</t>
  </si>
  <si>
    <t>V181268</t>
  </si>
  <si>
    <t>V181266</t>
  </si>
  <si>
    <t>V181279</t>
  </si>
  <si>
    <t>V181280</t>
  </si>
  <si>
    <t>V181233</t>
  </si>
  <si>
    <t>V181254</t>
  </si>
  <si>
    <t>Z18147</t>
  </si>
  <si>
    <t>Z18148</t>
  </si>
  <si>
    <t>VH8091601-02</t>
  </si>
  <si>
    <t>VK8090905-08</t>
  </si>
  <si>
    <t>VN8090202-03</t>
  </si>
  <si>
    <t>VQ8090906-09</t>
  </si>
  <si>
    <t>VS8090945-49</t>
  </si>
  <si>
    <t>VS8091609-13</t>
  </si>
  <si>
    <t>VS8091614-17</t>
  </si>
  <si>
    <t>VW8090234-37</t>
  </si>
  <si>
    <t>S0826021,S0819033</t>
  </si>
  <si>
    <t>S0819008,S0826018</t>
  </si>
  <si>
    <t>V181281</t>
  </si>
  <si>
    <t>V181264</t>
  </si>
  <si>
    <t>V181282</t>
  </si>
  <si>
    <t>V181259</t>
  </si>
  <si>
    <t>V181277</t>
  </si>
  <si>
    <t>Z18149</t>
  </si>
  <si>
    <t>Z18150</t>
  </si>
  <si>
    <t>Z18151</t>
  </si>
  <si>
    <t>VK8090909-11</t>
  </si>
  <si>
    <t>VS8090950-53</t>
  </si>
  <si>
    <t>VS8091618-24</t>
  </si>
  <si>
    <t>VW8090238-42</t>
  </si>
  <si>
    <t>VW8090901-10</t>
  </si>
  <si>
    <t>S0826035,37</t>
  </si>
  <si>
    <t>S0819010,S0826020,09,14</t>
  </si>
  <si>
    <t>S0826010,19,12</t>
  </si>
  <si>
    <t>V181273</t>
  </si>
  <si>
    <t>V181270</t>
  </si>
  <si>
    <t>V181286</t>
  </si>
  <si>
    <t>V181267</t>
  </si>
  <si>
    <t>V181285</t>
  </si>
  <si>
    <t>V181263</t>
  </si>
  <si>
    <t>V181284</t>
  </si>
  <si>
    <t>V181269</t>
  </si>
  <si>
    <t>Z18153</t>
  </si>
  <si>
    <t>Z18152</t>
  </si>
  <si>
    <t>VK8090912-14</t>
  </si>
  <si>
    <t>VN8090204-05</t>
  </si>
  <si>
    <t>VQ8091601-03</t>
  </si>
  <si>
    <t>VS8090954-56</t>
  </si>
  <si>
    <t>VS8091625-28</t>
  </si>
  <si>
    <t>VW8090243-48</t>
  </si>
  <si>
    <t>VW8090911-17</t>
  </si>
  <si>
    <t>VZ8090202</t>
  </si>
  <si>
    <t>S0826003,07,24,29,32-33</t>
  </si>
  <si>
    <t>S0826016-17,25</t>
  </si>
  <si>
    <t>V181257</t>
  </si>
  <si>
    <t>V181262</t>
  </si>
  <si>
    <t>V181265</t>
  </si>
  <si>
    <t>V181272</t>
  </si>
  <si>
    <t>V181261</t>
  </si>
  <si>
    <t>V181271</t>
  </si>
  <si>
    <t>Z18156</t>
  </si>
  <si>
    <t>Z18157</t>
  </si>
  <si>
    <t>Z18154</t>
  </si>
  <si>
    <t>Z18155</t>
  </si>
  <si>
    <t>VH8091603-04</t>
  </si>
  <si>
    <t>VK8090213-17</t>
  </si>
  <si>
    <t>VQ8090910-12</t>
  </si>
  <si>
    <t>VS8090957-63</t>
  </si>
  <si>
    <t>VW8090249-53</t>
  </si>
  <si>
    <t>S0819050,S0826030-31</t>
  </si>
  <si>
    <t>S0826036,38</t>
  </si>
  <si>
    <t>S0819020,S0826022-23,26</t>
  </si>
  <si>
    <t>S0819006,22,S0826013</t>
  </si>
  <si>
    <t>V181311</t>
  </si>
  <si>
    <t>V181312</t>
  </si>
  <si>
    <t>V181301</t>
  </si>
  <si>
    <t>Z18158</t>
  </si>
  <si>
    <t>Z18159</t>
  </si>
  <si>
    <t>VW8090254-59</t>
  </si>
  <si>
    <t>S0826034</t>
  </si>
  <si>
    <t>S0819051</t>
  </si>
  <si>
    <t>VK8091601-07</t>
  </si>
  <si>
    <t>VS8092301-06</t>
  </si>
  <si>
    <t>V181283</t>
  </si>
  <si>
    <t>V181289</t>
  </si>
  <si>
    <t>V181274</t>
  </si>
  <si>
    <t>V181297</t>
  </si>
  <si>
    <t>V181288</t>
  </si>
  <si>
    <t>V181287</t>
  </si>
  <si>
    <t>V181295</t>
  </si>
  <si>
    <t>VH8092301-03</t>
  </si>
  <si>
    <t>VK8090915-18</t>
  </si>
  <si>
    <t>VN8090901-02</t>
  </si>
  <si>
    <t>VQ8091604-14</t>
  </si>
  <si>
    <t>VS8091629-33</t>
  </si>
  <si>
    <t>VW8090918-24</t>
  </si>
  <si>
    <t>V181293</t>
  </si>
  <si>
    <t>V181294</t>
  </si>
  <si>
    <t>V181302</t>
  </si>
  <si>
    <t>V181314</t>
  </si>
  <si>
    <t>V181292</t>
  </si>
  <si>
    <t>V181296</t>
  </si>
  <si>
    <t>V181316</t>
  </si>
  <si>
    <t>V181291</t>
  </si>
  <si>
    <t>V181313</t>
  </si>
  <si>
    <t>V181290</t>
  </si>
  <si>
    <t>VH8092304-06</t>
  </si>
  <si>
    <t>VN8090903</t>
  </si>
  <si>
    <t>VQ8091615-19</t>
  </si>
  <si>
    <t>VQ8092301-03</t>
  </si>
  <si>
    <t>VS8091634-39</t>
  </si>
  <si>
    <t>VS8091640-44</t>
  </si>
  <si>
    <t>VS8092307-09</t>
  </si>
  <si>
    <t>VW8090930-35</t>
  </si>
  <si>
    <t>VW8091601-03</t>
  </si>
  <si>
    <t>VZ8090901</t>
  </si>
  <si>
    <t>V181298</t>
  </si>
  <si>
    <t>V181318</t>
  </si>
  <si>
    <t>V181304</t>
  </si>
  <si>
    <t>V181300</t>
  </si>
  <si>
    <t>V181317</t>
  </si>
  <si>
    <t>V181299</t>
  </si>
  <si>
    <t>V181315</t>
  </si>
  <si>
    <t>V181303</t>
  </si>
  <si>
    <t>VK8090919-22</t>
  </si>
  <si>
    <t>VK8091608-12</t>
  </si>
  <si>
    <t>VQ8091620-22</t>
  </si>
  <si>
    <t>VS8091645-52</t>
  </si>
  <si>
    <t>VS8092310-14</t>
  </si>
  <si>
    <t>VW8090936-38</t>
  </si>
  <si>
    <t>VW8091604-09</t>
  </si>
  <si>
    <t>VZ8090902-03</t>
  </si>
  <si>
    <t>VS8082601-04</t>
  </si>
  <si>
    <t>V181332</t>
  </si>
  <si>
    <t>V181322</t>
  </si>
  <si>
    <t>V181339</t>
  </si>
  <si>
    <t>V181306</t>
  </si>
  <si>
    <t>V181323</t>
  </si>
  <si>
    <t>V181320</t>
  </si>
  <si>
    <t>V181305</t>
  </si>
  <si>
    <t>V181340</t>
  </si>
  <si>
    <t>VK8091613-15</t>
  </si>
  <si>
    <t>VN8090904-05</t>
  </si>
  <si>
    <t>VN8091601-03</t>
  </si>
  <si>
    <t>VS8091653-60</t>
  </si>
  <si>
    <t>VS8092315-20</t>
  </si>
  <si>
    <t>2500000041821</t>
  </si>
  <si>
    <t>VW8090939-45</t>
  </si>
  <si>
    <t>VW8091610-17</t>
  </si>
  <si>
    <t>V181321</t>
  </si>
  <si>
    <t>V181308</t>
  </si>
  <si>
    <t>V181307</t>
  </si>
  <si>
    <t>V181310</t>
  </si>
  <si>
    <t>V181309</t>
  </si>
  <si>
    <t>VH8092307-10</t>
  </si>
  <si>
    <t>VK8090923-25</t>
  </si>
  <si>
    <t>VQ8091623-27</t>
  </si>
  <si>
    <t>VS8091661-69</t>
  </si>
  <si>
    <t>VW8090946-61</t>
  </si>
  <si>
    <t xml:space="preserve"> NKV</t>
  </si>
  <si>
    <t>V181327</t>
  </si>
  <si>
    <t>V181355</t>
  </si>
  <si>
    <t>V181338</t>
  </si>
  <si>
    <t>V181325</t>
  </si>
  <si>
    <t>V181357</t>
  </si>
  <si>
    <t>V181324</t>
  </si>
  <si>
    <t>VK8091616-17</t>
  </si>
  <si>
    <t>VK8092301-08</t>
  </si>
  <si>
    <t>VQ8092304-06</t>
  </si>
  <si>
    <t>VS8092321-30</t>
  </si>
  <si>
    <t>VS8093001-05</t>
  </si>
  <si>
    <t>VW8091618-23</t>
  </si>
  <si>
    <t>V181341</t>
  </si>
  <si>
    <t>V181358</t>
  </si>
  <si>
    <t>V181329</t>
  </si>
  <si>
    <t>V181360</t>
  </si>
  <si>
    <t>V181331</t>
  </si>
  <si>
    <t>V181359</t>
  </si>
  <si>
    <t>V181330</t>
  </si>
  <si>
    <t>V181356</t>
  </si>
  <si>
    <t>V181328</t>
  </si>
  <si>
    <t>2500000040602</t>
  </si>
  <si>
    <t>VK8092309-16</t>
  </si>
  <si>
    <t>VN8091604</t>
  </si>
  <si>
    <t>VQ8093001-09</t>
  </si>
  <si>
    <t>VS8092331-35</t>
  </si>
  <si>
    <t>VS8093006-12</t>
  </si>
  <si>
    <t>VW8092301-03</t>
  </si>
  <si>
    <t>VZ8091601</t>
  </si>
  <si>
    <t>SIINOTRANS</t>
  </si>
  <si>
    <t>V181333</t>
  </si>
  <si>
    <t>V181361</t>
  </si>
  <si>
    <t>V181337</t>
  </si>
  <si>
    <t>V181362</t>
  </si>
  <si>
    <t>V181336</t>
  </si>
  <si>
    <t>V181386</t>
  </si>
  <si>
    <t>V181387</t>
  </si>
  <si>
    <t>V181319</t>
  </si>
  <si>
    <t>V181335</t>
  </si>
  <si>
    <t>V181342</t>
  </si>
  <si>
    <t>VK8091618</t>
  </si>
  <si>
    <t>VK8092317-21</t>
  </si>
  <si>
    <t>VQ8092307-09</t>
  </si>
  <si>
    <t>VQ8093010-13</t>
  </si>
  <si>
    <t>VS8092336-44</t>
  </si>
  <si>
    <t>VS8093013</t>
  </si>
  <si>
    <t>VS8093014</t>
  </si>
  <si>
    <t>VW8091626-32</t>
  </si>
  <si>
    <t>VW8091633-38</t>
  </si>
  <si>
    <t>SHINYO</t>
  </si>
  <si>
    <t>V181352</t>
  </si>
  <si>
    <t>V181353</t>
  </si>
  <si>
    <t>V181354</t>
  </si>
  <si>
    <t>V181344</t>
  </si>
  <si>
    <t>V181364</t>
  </si>
  <si>
    <t>V181343</t>
  </si>
  <si>
    <t>V181363</t>
  </si>
  <si>
    <t>VH8100701-03</t>
  </si>
  <si>
    <t>VK8092322-25</t>
  </si>
  <si>
    <t>VN8092301-02</t>
  </si>
  <si>
    <t>VS8092345-46</t>
  </si>
  <si>
    <t>VS8093015-23</t>
  </si>
  <si>
    <t>VW8091639-42</t>
  </si>
  <si>
    <t>VW8092304-11</t>
  </si>
  <si>
    <t>V181345</t>
  </si>
  <si>
    <t>V181388</t>
  </si>
  <si>
    <t>V181349</t>
  </si>
  <si>
    <t>V181348</t>
  </si>
  <si>
    <t>V181347</t>
  </si>
  <si>
    <t>VK8091619</t>
  </si>
  <si>
    <t>V181326</t>
  </si>
  <si>
    <t>V181389</t>
  </si>
  <si>
    <t>V181334</t>
  </si>
  <si>
    <t>V181346</t>
  </si>
  <si>
    <t>V181350</t>
  </si>
  <si>
    <t>V181351</t>
  </si>
  <si>
    <t>V181390</t>
  </si>
  <si>
    <t>VK8091620</t>
  </si>
  <si>
    <t>VW8091643-45</t>
  </si>
  <si>
    <t>VS8092347-53</t>
  </si>
  <si>
    <t>VQ8092310-11</t>
  </si>
  <si>
    <t>VH8093001-03</t>
  </si>
  <si>
    <t>VK8091621-25</t>
  </si>
  <si>
    <t>VZ8091602-03</t>
  </si>
  <si>
    <t>VN8091605</t>
  </si>
  <si>
    <t>VW8091646-53</t>
  </si>
  <si>
    <t>VS8092354-62</t>
  </si>
  <si>
    <t>VQ8092312-13</t>
  </si>
  <si>
    <t>V181368</t>
  </si>
  <si>
    <t>V181396</t>
  </si>
  <si>
    <t>V181367</t>
  </si>
  <si>
    <t>V181366</t>
  </si>
  <si>
    <t>VK8092326-28</t>
  </si>
  <si>
    <t>VK8092329-33</t>
  </si>
  <si>
    <t>VS8093024-33</t>
  </si>
  <si>
    <t>VW8092312-19</t>
  </si>
  <si>
    <t>v181369</t>
  </si>
  <si>
    <t>VW8092320-23</t>
  </si>
  <si>
    <t>V181378</t>
  </si>
  <si>
    <t>V181372</t>
  </si>
  <si>
    <t>V181391</t>
  </si>
  <si>
    <t>V181371</t>
  </si>
  <si>
    <t>V181392</t>
  </si>
  <si>
    <t>V181370</t>
  </si>
  <si>
    <t>V181373</t>
  </si>
  <si>
    <t>V181365</t>
  </si>
  <si>
    <t>VH8100704-05</t>
  </si>
  <si>
    <t>VK8092334-38</t>
  </si>
  <si>
    <t>VK8093001-05</t>
  </si>
  <si>
    <t>VQ8093014-15</t>
  </si>
  <si>
    <t>VQ8100701-03</t>
  </si>
  <si>
    <t>VS8093034-42</t>
  </si>
  <si>
    <t>VW8092324-32</t>
  </si>
  <si>
    <t>VZ8092301-04</t>
  </si>
  <si>
    <t>V181381</t>
  </si>
  <si>
    <t>V181385</t>
  </si>
  <si>
    <t>V181374</t>
  </si>
  <si>
    <t>V181394</t>
  </si>
  <si>
    <t>V181376</t>
  </si>
  <si>
    <t>V181393</t>
  </si>
  <si>
    <t>VK8092339-41</t>
  </si>
  <si>
    <t>VQ8093016-19</t>
  </si>
  <si>
    <t>VS8093043-47</t>
  </si>
  <si>
    <t>VS8100701-13</t>
  </si>
  <si>
    <t>VW8092333-38</t>
  </si>
  <si>
    <t>VW8093001-08</t>
  </si>
  <si>
    <t>V181397</t>
  </si>
  <si>
    <t>V181411</t>
  </si>
  <si>
    <t>V181398</t>
  </si>
  <si>
    <t>V181413</t>
  </si>
  <si>
    <t>V181384</t>
  </si>
  <si>
    <t>V181395</t>
  </si>
  <si>
    <t>V181383</t>
  </si>
  <si>
    <t>V181412</t>
  </si>
  <si>
    <t>VK8092342</t>
  </si>
  <si>
    <t>VK8093006-07</t>
  </si>
  <si>
    <t>VQ8093020-21</t>
  </si>
  <si>
    <t>VQ8100704-05</t>
  </si>
  <si>
    <t>VS8093048-61</t>
  </si>
  <si>
    <t>VS8100714-19</t>
  </si>
  <si>
    <t>VW8092343-47</t>
  </si>
  <si>
    <t>VW8093009-15</t>
  </si>
  <si>
    <t>V181377</t>
  </si>
  <si>
    <t>V181414</t>
  </si>
  <si>
    <t>V181408</t>
  </si>
  <si>
    <t>V181382</t>
  </si>
  <si>
    <t>V181416</t>
  </si>
  <si>
    <t>V181407</t>
  </si>
  <si>
    <t>V181418</t>
  </si>
  <si>
    <t>V181399</t>
  </si>
  <si>
    <t>V181417</t>
  </si>
  <si>
    <t>V181375</t>
  </si>
  <si>
    <t>V181415</t>
  </si>
  <si>
    <t>VS8093062-66</t>
  </si>
  <si>
    <t>VH8101401-03</t>
  </si>
  <si>
    <t>VK8093008-09</t>
  </si>
  <si>
    <t>VN8092303-06</t>
  </si>
  <si>
    <t>VN8093001</t>
  </si>
  <si>
    <t>VQ8100706-07</t>
  </si>
  <si>
    <t>VS8100720-24</t>
  </si>
  <si>
    <t>VW8092348-52</t>
  </si>
  <si>
    <t>VW8093016-21</t>
  </si>
  <si>
    <t>VZ8092305-07</t>
  </si>
  <si>
    <t>VZ8093001-03</t>
  </si>
  <si>
    <t>V181380</t>
  </si>
  <si>
    <t>V181402</t>
  </si>
  <si>
    <t>V181461</t>
  </si>
  <si>
    <t>V181409</t>
  </si>
  <si>
    <t>V181400</t>
  </si>
  <si>
    <t>V181444</t>
  </si>
  <si>
    <t>V181401</t>
  </si>
  <si>
    <t>V181420</t>
  </si>
  <si>
    <t>V181462</t>
  </si>
  <si>
    <t>V181403</t>
  </si>
  <si>
    <t>V181410</t>
  </si>
  <si>
    <t>VH8100706-18</t>
  </si>
  <si>
    <t>VK8092343-45</t>
  </si>
  <si>
    <t>VK8100701-06</t>
  </si>
  <si>
    <t>VN8093002-06</t>
  </si>
  <si>
    <t>VQ8093022-23</t>
  </si>
  <si>
    <t>VQ8093024</t>
  </si>
  <si>
    <t>VS8093067-70</t>
  </si>
  <si>
    <t>VS8100725-29</t>
  </si>
  <si>
    <t>VS8101401-2</t>
  </si>
  <si>
    <t>VW8092353-55</t>
  </si>
  <si>
    <t>VW8093022-28</t>
  </si>
  <si>
    <t>V181422</t>
  </si>
  <si>
    <t>V181443</t>
  </si>
  <si>
    <t>V181419</t>
  </si>
  <si>
    <t>V181426</t>
  </si>
  <si>
    <t>V181442</t>
  </si>
  <si>
    <t>V181405</t>
  </si>
  <si>
    <t>V181404</t>
  </si>
  <si>
    <t>V181424</t>
  </si>
  <si>
    <t>V181379</t>
  </si>
  <si>
    <t>V181406</t>
  </si>
  <si>
    <t>V181423</t>
  </si>
  <si>
    <t>VH8101404</t>
  </si>
  <si>
    <t>VH8100709-10</t>
  </si>
  <si>
    <t>VK8093010-11</t>
  </si>
  <si>
    <t>VK8093012-13</t>
  </si>
  <si>
    <t>VK8092346</t>
  </si>
  <si>
    <t>VQ8093025-27</t>
  </si>
  <si>
    <t>VS8093071-77</t>
  </si>
  <si>
    <t>VS8100730-34</t>
  </si>
  <si>
    <t>VW8092356-63</t>
  </si>
  <si>
    <t>VW8093029-34</t>
  </si>
  <si>
    <t>V181440</t>
  </si>
  <si>
    <t>V181455</t>
  </si>
  <si>
    <t>V181421</t>
  </si>
  <si>
    <t>V181428</t>
  </si>
  <si>
    <t>V181456</t>
  </si>
  <si>
    <t>V181427</t>
  </si>
  <si>
    <t>V181457</t>
  </si>
  <si>
    <t>V181430</t>
  </si>
  <si>
    <t>VH8101405-06</t>
  </si>
  <si>
    <t>VK8100707-16</t>
  </si>
  <si>
    <t>VQ8100708-13</t>
  </si>
  <si>
    <t>VS8100735-41</t>
  </si>
  <si>
    <t>VS8101403-10</t>
  </si>
  <si>
    <t>VW8093035-38</t>
  </si>
  <si>
    <t>VW8100701-03</t>
  </si>
  <si>
    <t>VZ8093004</t>
  </si>
  <si>
    <t>V181445</t>
  </si>
  <si>
    <t>V181460</t>
  </si>
  <si>
    <t>V181501</t>
  </si>
  <si>
    <t>V181431</t>
  </si>
  <si>
    <t>V181425</t>
  </si>
  <si>
    <t>V181459</t>
  </si>
  <si>
    <t>V181433</t>
  </si>
  <si>
    <t>V181458</t>
  </si>
  <si>
    <t>V181432</t>
  </si>
  <si>
    <t>V181463</t>
  </si>
  <si>
    <t>VH8101407</t>
  </si>
  <si>
    <t>VK8100717-18</t>
  </si>
  <si>
    <t>VN8093007</t>
  </si>
  <si>
    <t>VQ8100714</t>
  </si>
  <si>
    <t>VQ8101401-06</t>
  </si>
  <si>
    <t>VS8100742-47</t>
  </si>
  <si>
    <t>VS8101411-15</t>
  </si>
  <si>
    <t>VW8093039-44</t>
  </si>
  <si>
    <t>VW8100704-13</t>
  </si>
  <si>
    <t>V181283-1</t>
  </si>
  <si>
    <t>V181453</t>
  </si>
  <si>
    <t>V181434</t>
  </si>
  <si>
    <t>V181465</t>
  </si>
  <si>
    <t>V181429</t>
  </si>
  <si>
    <t>V181436</t>
  </si>
  <si>
    <t>V181464</t>
  </si>
  <si>
    <t>V181437</t>
  </si>
  <si>
    <t>V181454</t>
  </si>
  <si>
    <t>VH8102101-02</t>
  </si>
  <si>
    <t>VK8093014</t>
  </si>
  <si>
    <t>VK8101401-18</t>
  </si>
  <si>
    <t>VQ8101407-08</t>
  </si>
  <si>
    <t>VQ8100715-16</t>
  </si>
  <si>
    <t>VS8100748-51</t>
  </si>
  <si>
    <t>VS8101416-18</t>
  </si>
  <si>
    <t>VW8093045-50</t>
  </si>
  <si>
    <t>VW8100714-16</t>
  </si>
  <si>
    <t>V181467</t>
  </si>
  <si>
    <t>V181447</t>
  </si>
  <si>
    <t>V181468</t>
  </si>
  <si>
    <t>V181438</t>
  </si>
  <si>
    <t>V181466</t>
  </si>
  <si>
    <t>V181489</t>
  </si>
  <si>
    <t>V181477</t>
  </si>
  <si>
    <t>V181451</t>
  </si>
  <si>
    <t>VW8100717-20</t>
  </si>
  <si>
    <t>VW8093051-57</t>
  </si>
  <si>
    <t>VS8101419-25</t>
  </si>
  <si>
    <t>VS8100752-58</t>
  </si>
  <si>
    <t>VK8100719-21</t>
  </si>
  <si>
    <t>VH8102110-11</t>
  </si>
  <si>
    <t>VH8102103-09</t>
  </si>
  <si>
    <t>VK8093015-16</t>
  </si>
  <si>
    <t>V181448</t>
  </si>
  <si>
    <t>V181439</t>
  </si>
  <si>
    <t>V181446</t>
  </si>
  <si>
    <t>V181449</t>
  </si>
  <si>
    <t>V181450</t>
  </si>
  <si>
    <t>V181435</t>
  </si>
  <si>
    <t>V181452</t>
  </si>
  <si>
    <t>VH8101408-09</t>
  </si>
  <si>
    <t>VQ8100717-21</t>
  </si>
  <si>
    <t>VZ8093005</t>
  </si>
  <si>
    <t>VW8093058-68</t>
  </si>
  <si>
    <t>VS8100759-68</t>
  </si>
  <si>
    <t>VN8093007-08</t>
  </si>
  <si>
    <t>VK8093017-18</t>
  </si>
  <si>
    <t>`</t>
  </si>
  <si>
    <t>V181472</t>
  </si>
  <si>
    <t>VS8101426-30</t>
  </si>
  <si>
    <t>VW8090925-29</t>
  </si>
  <si>
    <t>VW8091624-25</t>
  </si>
  <si>
    <t>V181473</t>
  </si>
  <si>
    <t>V181504</t>
  </si>
  <si>
    <t>V181476</t>
  </si>
  <si>
    <t>V181475</t>
  </si>
  <si>
    <t>V181503</t>
  </si>
  <si>
    <t>V181471</t>
  </si>
  <si>
    <t>V181470</t>
  </si>
  <si>
    <t>VK8100722-26</t>
  </si>
  <si>
    <t>VK8102117-22</t>
  </si>
  <si>
    <t>VQ8101409-13</t>
  </si>
  <si>
    <t>VS8101431-39</t>
  </si>
  <si>
    <t>VS8102101-07</t>
  </si>
  <si>
    <t>VW8100721-26</t>
  </si>
  <si>
    <t>VN8100701-02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</si>
</sst>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"/>
    <numFmt numFmtId="165" formatCode="\$#,##0\ ;\(\$#,##0\)"/>
    <numFmt numFmtId="166" formatCode="&quot;¥&quot;#,##0;[Red]&quot;¥&quot;&quot;¥&quot;\-#,##0"/>
    <numFmt numFmtId="167" formatCode="&quot;¥&quot;#,##0.00;[Red]&quot;¥&quot;&quot;¥&quot;&quot;¥&quot;&quot;¥&quot;&quot;¥&quot;&quot;¥&quot;\-#,##0.00"/>
    <numFmt numFmtId="168" formatCode="&quot;¥&quot;#,##0.00;[Red]&quot;¥&quot;\-#,##0.00"/>
    <numFmt numFmtId="169" formatCode="&quot;¥&quot;#,##0;[Red]&quot;¥&quot;\-#,##0"/>
    <numFmt numFmtId="170" formatCode="_-* #,##0_-;\-* #,##0_-;_-* &quot;-&quot;_-;_-@_-"/>
    <numFmt numFmtId="171" formatCode="_(&quot;Rp&quot;* #,##0.00_);_(&quot;Rp&quot;* \(#,##0.00\);_(&quot;Rp&quot;* &quot;-&quot;??_);_(@_)"/>
    <numFmt numFmtId="172" formatCode="_(&quot;Rp&quot;* #,##0_);_(&quot;Rp&quot;* \(#,##0\);_(&quot;Rp&quot;* &quot;-&quot;_);_(@_)"/>
    <numFmt numFmtId="173" formatCode="[$-1010409]d\ mmm;@"/>
    <numFmt numFmtId="174" formatCode="#,##0;\-#,##0;&quot;-&quot;"/>
    <numFmt numFmtId="175" formatCode="[$-409]d\-mmm\-yy;@"/>
    <numFmt numFmtId="176" formatCode="&quot;VK&quot;\ 000000\-00"/>
    <numFmt numFmtId="177" formatCode="0000000"/>
  </numFmts>
  <fonts count="75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2"/>
      <name val=".VnTime"/>
      <family val="2"/>
    </font>
    <font>
      <sz val="12"/>
      <name val="¹UAAA¼"/>
      <family val="3"/>
      <charset val="129"/>
    </font>
    <font>
      <b/>
      <sz val="18"/>
      <name val="Arial"/>
      <family val="2"/>
    </font>
    <font>
      <b/>
      <sz val="12"/>
      <name val="Arial"/>
      <family val="2"/>
    </font>
    <font>
      <sz val="11"/>
      <name val="ＭＳ Ｐゴシック"/>
      <family val="2"/>
      <charset val="128"/>
    </font>
    <font>
      <sz val="10"/>
      <name val="Helv"/>
      <family val="2"/>
    </font>
    <font>
      <sz val="14"/>
      <name val="뼻뮝"/>
      <family val="3"/>
      <charset val="129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28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1"/>
      <name val="Times New Roman"/>
      <family val="1"/>
    </font>
    <font>
      <sz val="11"/>
      <color indexed="8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8"/>
      <name val="Sans EE"/>
      <family val="1"/>
    </font>
    <font>
      <sz val="14"/>
      <name val="ＭＳ ・団"/>
      <family val="1"/>
      <charset val="128"/>
    </font>
    <font>
      <b/>
      <sz val="18"/>
      <color indexed="56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indexed="52"/>
      <name val="ＭＳ Ｐゴシック"/>
      <family val="3"/>
      <charset val="128"/>
    </font>
    <font>
      <b/>
      <sz val="9"/>
      <color indexed="63"/>
      <name val="ＭＳ Ｐゴシック"/>
      <family val="3"/>
      <charset val="128"/>
    </font>
    <font>
      <sz val="10"/>
      <color indexed="8"/>
      <name val="Arial"/>
      <family val="2"/>
    </font>
    <font>
      <sz val="8"/>
      <color indexed="8"/>
      <name val="MS UI Gothic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0.75"/>
      <color indexed="8"/>
      <name val="Elite Expanded"/>
      <family val="1"/>
    </font>
    <font>
      <b/>
      <sz val="11"/>
      <color indexed="52"/>
      <name val="ＭＳ Ｐゴシック"/>
      <family val="3"/>
      <charset val="128"/>
    </font>
    <font>
      <sz val="11"/>
      <name val="SimSun"/>
    </font>
    <font>
      <sz val="10.75"/>
      <color indexed="8"/>
      <name val="明朝"/>
      <family val="1"/>
      <charset val="128"/>
    </font>
    <font>
      <b/>
      <sz val="10.75"/>
      <color indexed="8"/>
      <name val="明朝"/>
      <family val="1"/>
      <charset val="128"/>
    </font>
    <font>
      <u/>
      <sz val="11"/>
      <color indexed="12"/>
      <name val="俵俽 俹僑僔僢僋"/>
      <family val="3"/>
      <charset val="128"/>
    </font>
    <font>
      <u/>
      <sz val="11"/>
      <color indexed="36"/>
      <name val="俵俽 俹僑僔僢僋"/>
      <family val="3"/>
      <charset val="128"/>
    </font>
    <font>
      <u/>
      <sz val="11"/>
      <color indexed="12"/>
      <name val="俵? ?僑???"/>
      <family val="3"/>
      <charset val="128"/>
    </font>
    <font>
      <u/>
      <sz val="11"/>
      <color indexed="36"/>
      <name val="俵? ?僑???"/>
      <family val="3"/>
      <charset val="128"/>
    </font>
    <font>
      <b/>
      <sz val="9"/>
      <color indexed="8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i/>
      <sz val="9"/>
      <color indexed="23"/>
      <name val="ＭＳ Ｐゴシック"/>
      <family val="3"/>
      <charset val="128"/>
    </font>
    <font>
      <sz val="9"/>
      <color indexed="20"/>
      <name val="ＭＳ Ｐゴシック"/>
      <family val="3"/>
      <charset val="128"/>
    </font>
    <font>
      <b/>
      <sz val="9"/>
      <color indexed="52"/>
      <name val="ＭＳ Ｐゴシック"/>
      <family val="3"/>
      <charset val="128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5"/>
      </patternFill>
    </fill>
    <fill>
      <patternFill patternType="solid">
        <fgColor indexed="10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42"/>
      </patternFill>
    </fill>
    <fill>
      <patternFill patternType="solid">
        <fgColor rgb="FF00CC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35551">
    <xf numFmtId="0" fontId="0" fillId="0" borderId="0"/>
    <xf numFmtId="0" fontId="1" fillId="0" borderId="0"/>
    <xf numFmtId="38" fontId="1" fillId="0" borderId="0" applyFont="0" applyFill="0" applyBorder="0" applyAlignment="0" applyProtection="0"/>
    <xf numFmtId="164" fontId="2" fillId="0" borderId="0"/>
    <xf numFmtId="0" fontId="1" fillId="0" borderId="0"/>
    <xf numFmtId="43" fontId="4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/>
    <xf numFmtId="0" fontId="5" fillId="0" borderId="0"/>
    <xf numFmtId="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2" fontId="3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0" fontId="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9" fillId="0" borderId="0"/>
    <xf numFmtId="0" fontId="3" fillId="0" borderId="1" applyNumberFormat="0" applyFont="0" applyFill="0" applyAlignment="0" applyProtection="0"/>
    <xf numFmtId="40" fontId="10" fillId="0" borderId="0" applyFont="0" applyFill="0" applyBorder="0" applyAlignment="0" applyProtection="0"/>
    <xf numFmtId="38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0" fontId="3" fillId="0" borderId="0" applyFont="0" applyFill="0" applyBorder="0" applyAlignment="0" applyProtection="0"/>
    <xf numFmtId="0" fontId="11" fillId="0" borderId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0" fontId="13" fillId="0" borderId="0"/>
    <xf numFmtId="43" fontId="3" fillId="0" borderId="0" applyFont="0" applyFill="0" applyBorder="0" applyAlignment="0" applyProtection="0"/>
    <xf numFmtId="170" fontId="14" fillId="0" borderId="0" applyFont="0" applyFill="0" applyBorder="0" applyAlignment="0" applyProtection="0"/>
    <xf numFmtId="0" fontId="3" fillId="0" borderId="0"/>
    <xf numFmtId="171" fontId="14" fillId="0" borderId="0" applyFont="0" applyFill="0" applyBorder="0" applyAlignment="0" applyProtection="0"/>
    <xf numFmtId="172" fontId="14" fillId="0" borderId="0" applyFont="0" applyFill="0" applyBorder="0" applyAlignment="0" applyProtection="0"/>
    <xf numFmtId="0" fontId="1" fillId="0" borderId="0"/>
    <xf numFmtId="38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4" fillId="0" borderId="0"/>
    <xf numFmtId="41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38" fontId="1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1" fillId="0" borderId="0"/>
    <xf numFmtId="0" fontId="16" fillId="0" borderId="0"/>
    <xf numFmtId="0" fontId="16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7" fillId="0" borderId="0"/>
    <xf numFmtId="0" fontId="3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" fillId="0" borderId="0"/>
    <xf numFmtId="0" fontId="1" fillId="0" borderId="0"/>
    <xf numFmtId="0" fontId="16" fillId="0" borderId="0"/>
    <xf numFmtId="43" fontId="15" fillId="0" borderId="0" applyFont="0" applyFill="0" applyBorder="0" applyAlignment="0" applyProtection="0"/>
    <xf numFmtId="0" fontId="8" fillId="0" borderId="0"/>
    <xf numFmtId="0" fontId="26" fillId="0" borderId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9" fillId="0" borderId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0" fontId="1" fillId="0" borderId="0"/>
    <xf numFmtId="0" fontId="27" fillId="0" borderId="0"/>
    <xf numFmtId="0" fontId="27" fillId="0" borderId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1" fillId="0" borderId="0"/>
    <xf numFmtId="0" fontId="1" fillId="0" borderId="0"/>
    <xf numFmtId="0" fontId="26" fillId="0" borderId="0">
      <alignment vertical="center"/>
    </xf>
    <xf numFmtId="0" fontId="1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41" fontId="26" fillId="0" borderId="0" applyFont="0" applyFill="0" applyBorder="0" applyAlignment="0" applyProtection="0"/>
    <xf numFmtId="0" fontId="1" fillId="0" borderId="0"/>
    <xf numFmtId="41" fontId="26" fillId="0" borderId="0" applyFont="0" applyFill="0" applyBorder="0" applyAlignment="0" applyProtection="0"/>
    <xf numFmtId="0" fontId="27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41" fontId="26" fillId="0" borderId="0" applyFont="0" applyFill="0" applyBorder="0" applyAlignment="0" applyProtection="0"/>
    <xf numFmtId="0" fontId="1" fillId="0" borderId="0"/>
    <xf numFmtId="41" fontId="26" fillId="0" borderId="0" applyFont="0" applyFill="0" applyBorder="0" applyAlignment="0" applyProtection="0"/>
    <xf numFmtId="0" fontId="27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41" fontId="26" fillId="0" borderId="0" applyFont="0" applyFill="0" applyBorder="0" applyAlignment="0" applyProtection="0"/>
    <xf numFmtId="0" fontId="1" fillId="0" borderId="0"/>
    <xf numFmtId="41" fontId="26" fillId="0" borderId="0" applyFont="0" applyFill="0" applyBorder="0" applyAlignment="0" applyProtection="0"/>
    <xf numFmtId="0" fontId="27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41" fontId="26" fillId="0" borderId="0" applyFont="0" applyFill="0" applyBorder="0" applyAlignment="0" applyProtection="0"/>
    <xf numFmtId="0" fontId="1" fillId="0" borderId="0"/>
    <xf numFmtId="41" fontId="26" fillId="0" borderId="0" applyFont="0" applyFill="0" applyBorder="0" applyAlignment="0" applyProtection="0"/>
    <xf numFmtId="0" fontId="27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38" fontId="26" fillId="0" borderId="0" applyFont="0" applyFill="0" applyBorder="0" applyAlignment="0" applyProtection="0">
      <alignment vertical="center"/>
    </xf>
    <xf numFmtId="0" fontId="27" fillId="0" borderId="0"/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/>
    <xf numFmtId="0" fontId="27" fillId="0" borderId="0"/>
    <xf numFmtId="9" fontId="26" fillId="0" borderId="0" applyFont="0" applyFill="0" applyBorder="0" applyAlignment="0" applyProtection="0"/>
    <xf numFmtId="0" fontId="26" fillId="0" borderId="0">
      <alignment vertical="center"/>
    </xf>
    <xf numFmtId="0" fontId="27" fillId="0" borderId="0"/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/>
    <xf numFmtId="0" fontId="26" fillId="0" borderId="0">
      <alignment vertical="center"/>
    </xf>
    <xf numFmtId="0" fontId="27" fillId="0" borderId="0"/>
    <xf numFmtId="9" fontId="26" fillId="0" borderId="0" applyFont="0" applyFill="0" applyBorder="0" applyAlignment="0" applyProtection="0"/>
    <xf numFmtId="0" fontId="26" fillId="0" borderId="0">
      <alignment vertical="center"/>
    </xf>
    <xf numFmtId="41" fontId="26" fillId="0" borderId="0" applyFont="0" applyFill="0" applyBorder="0" applyAlignment="0" applyProtection="0"/>
    <xf numFmtId="0" fontId="27" fillId="0" borderId="0"/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/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1" fillId="0" borderId="0"/>
    <xf numFmtId="38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0" fontId="1" fillId="0" borderId="0"/>
    <xf numFmtId="41" fontId="26" fillId="0" borderId="0" applyFont="0" applyFill="0" applyBorder="0" applyAlignment="0" applyProtection="0"/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7" fillId="0" borderId="0"/>
    <xf numFmtId="9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7" fillId="0" borderId="0"/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0" fontId="1" fillId="0" borderId="0"/>
    <xf numFmtId="41" fontId="26" fillId="0" borderId="0" applyFont="0" applyFill="0" applyBorder="0" applyAlignment="0" applyProtection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1" fillId="0" borderId="0"/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1" fillId="0" borderId="0"/>
    <xf numFmtId="41" fontId="26" fillId="0" borderId="0" applyFont="0" applyFill="0" applyBorder="0" applyAlignment="0" applyProtection="0"/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1" fillId="0" borderId="0"/>
    <xf numFmtId="38" fontId="26" fillId="0" borderId="0" applyFont="0" applyFill="0" applyBorder="0" applyAlignment="0" applyProtection="0">
      <alignment vertical="center"/>
    </xf>
    <xf numFmtId="41" fontId="26" fillId="0" borderId="0" applyFont="0" applyFill="0" applyBorder="0" applyAlignment="0" applyProtection="0"/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41" fontId="26" fillId="0" borderId="0" applyFont="0" applyFill="0" applyBorder="0" applyAlignment="0" applyProtection="0"/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0" fontId="26" fillId="0" borderId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41" fontId="26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0" fontId="1" fillId="0" borderId="0"/>
    <xf numFmtId="41" fontId="26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9" fontId="26" fillId="0" borderId="0" applyFont="0" applyFill="0" applyBorder="0" applyAlignment="0" applyProtection="0"/>
    <xf numFmtId="0" fontId="26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1" fillId="0" borderId="0"/>
    <xf numFmtId="0" fontId="26" fillId="0" borderId="0">
      <alignment vertical="center"/>
    </xf>
    <xf numFmtId="41" fontId="26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0" fontId="27" fillId="0" borderId="0"/>
    <xf numFmtId="0" fontId="26" fillId="0" borderId="0">
      <alignment vertical="center"/>
    </xf>
    <xf numFmtId="41" fontId="26" fillId="0" borderId="0" applyFont="0" applyFill="0" applyBorder="0" applyAlignment="0" applyProtection="0"/>
    <xf numFmtId="41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38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1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38" fontId="26" fillId="0" borderId="0" applyFont="0" applyFill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3" fillId="0" borderId="0" applyNumberFormat="0" applyFill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1" fillId="0" borderId="8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174" fontId="53" fillId="0" borderId="0" applyFill="0" applyBorder="0" applyAlignment="0"/>
    <xf numFmtId="0" fontId="54" fillId="0" borderId="11">
      <alignment vertical="top" wrapText="1"/>
    </xf>
    <xf numFmtId="0" fontId="7" fillId="0" borderId="12" applyNumberFormat="0" applyAlignment="0" applyProtection="0">
      <alignment horizontal="left" vertical="center"/>
    </xf>
    <xf numFmtId="0" fontId="7" fillId="0" borderId="5">
      <alignment horizontal="left" vertical="center"/>
    </xf>
    <xf numFmtId="0" fontId="30" fillId="20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1" fontId="47" fillId="0" borderId="0"/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3" borderId="13" applyNumberFormat="0" applyAlignment="0" applyProtection="0">
      <alignment vertical="center"/>
    </xf>
    <xf numFmtId="0" fontId="36" fillId="23" borderId="13" applyNumberFormat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55" fillId="16" borderId="0" applyNumberFormat="0" applyBorder="0" applyAlignment="0" applyProtection="0">
      <alignment vertical="center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34" fillId="0" borderId="14" applyNumberFormat="0" applyFill="0" applyAlignment="0" applyProtection="0">
      <alignment vertical="center"/>
    </xf>
    <xf numFmtId="0" fontId="56" fillId="0" borderId="8" applyNumberFormat="0" applyFill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horizontal="left"/>
      <protection locked="0"/>
    </xf>
    <xf numFmtId="0" fontId="1" fillId="0" borderId="11" applyNumberFormat="0" applyFont="0" applyFill="0" applyAlignment="0" applyProtection="0"/>
    <xf numFmtId="0" fontId="1" fillId="0" borderId="11" applyNumberFormat="0" applyFont="0" applyFill="0" applyAlignment="0" applyProtection="0"/>
    <xf numFmtId="0" fontId="32" fillId="25" borderId="15" applyNumberFormat="0" applyAlignment="0" applyProtection="0">
      <alignment vertical="center"/>
    </xf>
    <xf numFmtId="0" fontId="58" fillId="25" borderId="15" applyNumberFormat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39" fillId="0" borderId="16" applyNumberFormat="0" applyFill="0" applyAlignment="0" applyProtection="0">
      <alignment vertical="center"/>
    </xf>
    <xf numFmtId="0" fontId="39" fillId="0" borderId="17" applyNumberFormat="0" applyFill="0" applyAlignment="0" applyProtection="0">
      <alignment vertical="center"/>
    </xf>
    <xf numFmtId="0" fontId="40" fillId="0" borderId="18" applyNumberFormat="0" applyFill="0" applyAlignment="0" applyProtection="0">
      <alignment vertical="center"/>
    </xf>
    <xf numFmtId="0" fontId="40" fillId="0" borderId="19" applyNumberFormat="0" applyFill="0" applyAlignment="0" applyProtection="0">
      <alignment vertical="center"/>
    </xf>
    <xf numFmtId="0" fontId="41" fillId="0" borderId="20" applyNumberFormat="0" applyFill="0" applyAlignment="0" applyProtection="0">
      <alignment vertical="center"/>
    </xf>
    <xf numFmtId="0" fontId="41" fillId="0" borderId="21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22" applyNumberFormat="0" applyFill="0" applyAlignment="0" applyProtection="0">
      <alignment vertical="center"/>
    </xf>
    <xf numFmtId="0" fontId="42" fillId="0" borderId="23" applyNumberFormat="0" applyFill="0" applyAlignment="0" applyProtection="0">
      <alignment vertical="center"/>
    </xf>
    <xf numFmtId="0" fontId="43" fillId="25" borderId="9" applyNumberFormat="0" applyAlignment="0" applyProtection="0">
      <alignment vertical="center"/>
    </xf>
    <xf numFmtId="0" fontId="43" fillId="25" borderId="9" applyNumberFormat="0" applyAlignment="0" applyProtection="0">
      <alignment vertical="center"/>
    </xf>
    <xf numFmtId="0" fontId="59" fillId="0" borderId="0"/>
    <xf numFmtId="0" fontId="59" fillId="0" borderId="0"/>
    <xf numFmtId="0" fontId="44" fillId="0" borderId="0" applyNumberFormat="0" applyFill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45" fillId="16" borderId="15" applyNumberFormat="0" applyAlignment="0" applyProtection="0">
      <alignment vertical="center"/>
    </xf>
    <xf numFmtId="0" fontId="45" fillId="16" borderId="15" applyNumberFormat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" fillId="0" borderId="0"/>
    <xf numFmtId="0" fontId="26" fillId="0" borderId="0">
      <alignment vertical="center"/>
    </xf>
    <xf numFmtId="0" fontId="1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48" fillId="0" borderId="0"/>
    <xf numFmtId="0" fontId="60" fillId="0" borderId="7" applyNumberFormat="0" applyFill="0" applyBorder="0" applyAlignment="0" applyProtection="0">
      <protection locked="0"/>
    </xf>
    <xf numFmtId="0" fontId="60" fillId="0" borderId="0" applyNumberFormat="0" applyFill="0" applyBorder="0" applyAlignment="0" applyProtection="0">
      <alignment horizontal="left"/>
      <protection locked="0"/>
    </xf>
    <xf numFmtId="0" fontId="61" fillId="0" borderId="0" applyNumberFormat="0" applyFill="0" applyBorder="0" applyAlignment="0" applyProtection="0">
      <alignment horizontal="left"/>
      <protection locked="0"/>
    </xf>
    <xf numFmtId="0" fontId="46" fillId="15" borderId="0" applyNumberFormat="0" applyBorder="0" applyAlignment="0" applyProtection="0">
      <alignment vertical="center"/>
    </xf>
    <xf numFmtId="0" fontId="46" fillId="26" borderId="0" applyNumberFormat="0" applyBorder="0" applyAlignment="0" applyProtection="0">
      <alignment vertical="center"/>
    </xf>
    <xf numFmtId="0" fontId="64" fillId="0" borderId="0" applyNumberFormat="0" applyFill="0" applyBorder="0" applyAlignment="0" applyProtection="0">
      <alignment vertical="top"/>
      <protection locked="0"/>
    </xf>
    <xf numFmtId="0" fontId="62" fillId="0" borderId="0" applyNumberFormat="0" applyFill="0" applyBorder="0" applyAlignment="0" applyProtection="0">
      <alignment vertical="top"/>
      <protection locked="0"/>
    </xf>
    <xf numFmtId="0" fontId="65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>
      <alignment vertical="top"/>
      <protection locked="0"/>
    </xf>
    <xf numFmtId="0" fontId="69" fillId="8" borderId="0" applyNumberFormat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70" fillId="10" borderId="15" applyNumberFormat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52" fillId="10" borderId="9" applyNumberFormat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1" fillId="11" borderId="10" applyNumberFormat="0" applyFont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1" fillId="0" borderId="8" applyNumberFormat="0" applyFill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1" fillId="0" borderId="8" applyNumberFormat="0" applyFill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4" fillId="0" borderId="0"/>
    <xf numFmtId="41" fontId="3" fillId="0" borderId="0" applyFont="0" applyFill="0" applyBorder="0" applyAlignment="0" applyProtection="0"/>
    <xf numFmtId="41" fontId="4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28" fillId="0" borderId="0"/>
    <xf numFmtId="0" fontId="1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9" fontId="4" fillId="0" borderId="0" applyFont="0" applyFill="0" applyBorder="0" applyAlignment="0" applyProtection="0"/>
  </cellStyleXfs>
  <cellXfs count="71">
    <xf numFmtId="0" fontId="0" fillId="0" borderId="0" xfId="0"/>
    <xf numFmtId="43" fontId="20" fillId="0" borderId="0" xfId="106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  <xf numFmtId="0" fontId="22" fillId="0" borderId="0" xfId="0" applyFont="1"/>
    <xf numFmtId="0" fontId="20" fillId="0" borderId="0" xfId="0" applyFont="1" applyAlignment="1">
      <alignment horizontal="center" vertical="center"/>
    </xf>
    <xf numFmtId="43" fontId="20" fillId="0" borderId="0" xfId="106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3" fontId="21" fillId="0" borderId="0" xfId="106" applyFont="1" applyFill="1" applyAlignment="1">
      <alignment horizontal="center" vertical="center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43" fontId="20" fillId="0" borderId="0" xfId="106" applyFont="1" applyFill="1" applyBorder="1" applyAlignment="1">
      <alignment horizontal="center" vertical="center" wrapText="1"/>
    </xf>
    <xf numFmtId="173" fontId="23" fillId="0" borderId="3" xfId="0" applyNumberFormat="1" applyFont="1" applyFill="1" applyBorder="1" applyAlignment="1">
      <alignment horizontal="center" vertical="center"/>
    </xf>
    <xf numFmtId="173" fontId="20" fillId="0" borderId="0" xfId="0" applyNumberFormat="1" applyFont="1" applyAlignment="1">
      <alignment horizontal="center" vertical="center"/>
    </xf>
    <xf numFmtId="14" fontId="21" fillId="0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1" fillId="7" borderId="0" xfId="0" applyFont="1" applyFill="1" applyAlignment="1">
      <alignment horizontal="center" vertical="center"/>
    </xf>
    <xf numFmtId="173" fontId="20" fillId="7" borderId="0" xfId="0" applyNumberFormat="1" applyFont="1" applyFill="1" applyBorder="1" applyAlignment="1">
      <alignment horizontal="center" vertical="center"/>
    </xf>
    <xf numFmtId="0" fontId="71" fillId="28" borderId="0" xfId="0" applyFont="1" applyFill="1" applyAlignment="1">
      <alignment horizontal="center" vertical="center"/>
    </xf>
    <xf numFmtId="43" fontId="20" fillId="29" borderId="0" xfId="106" applyFont="1" applyFill="1" applyBorder="1" applyAlignment="1">
      <alignment horizontal="center" vertical="center"/>
    </xf>
    <xf numFmtId="43" fontId="20" fillId="29" borderId="0" xfId="106" applyFont="1" applyFill="1" applyBorder="1" applyAlignment="1">
      <alignment horizontal="center" vertical="center" wrapText="1"/>
    </xf>
    <xf numFmtId="0" fontId="71" fillId="28" borderId="0" xfId="0" applyFont="1" applyFill="1" applyAlignment="1">
      <alignment horizontal="left" vertical="center"/>
    </xf>
    <xf numFmtId="0" fontId="21" fillId="29" borderId="0" xfId="0" applyFont="1" applyFill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75" fontId="0" fillId="0" borderId="0" xfId="0" applyNumberFormat="1" applyAlignment="1">
      <alignment horizontal="center" vertical="center"/>
    </xf>
    <xf numFmtId="43" fontId="20" fillId="29" borderId="0" xfId="106" applyFont="1" applyFill="1" applyAlignment="1">
      <alignment horizontal="center" vertical="center"/>
    </xf>
    <xf numFmtId="173" fontId="20" fillId="0" borderId="0" xfId="0" applyNumberFormat="1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22" fillId="0" borderId="0" xfId="0" applyFont="1" applyFill="1"/>
    <xf numFmtId="43" fontId="21" fillId="29" borderId="0" xfId="106" applyFont="1" applyFill="1" applyAlignment="1">
      <alignment horizontal="center" vertical="center"/>
    </xf>
    <xf numFmtId="0" fontId="20" fillId="29" borderId="0" xfId="0" applyFont="1" applyFill="1" applyAlignment="1">
      <alignment horizontal="center" vertical="center"/>
    </xf>
    <xf numFmtId="0" fontId="0" fillId="29" borderId="0" xfId="0" applyFill="1"/>
    <xf numFmtId="0" fontId="21" fillId="29" borderId="0" xfId="0" applyFont="1" applyFill="1" applyAlignment="1">
      <alignment horizontal="center" vertical="center"/>
    </xf>
    <xf numFmtId="0" fontId="72" fillId="0" borderId="0" xfId="0" applyFont="1"/>
    <xf numFmtId="0" fontId="73" fillId="0" borderId="0" xfId="0" applyFont="1"/>
    <xf numFmtId="173" fontId="21" fillId="0" borderId="0" xfId="0" applyNumberFormat="1" applyFont="1" applyFill="1" applyAlignment="1">
      <alignment horizontal="center" vertical="center"/>
    </xf>
    <xf numFmtId="0" fontId="72" fillId="0" borderId="0" xfId="0" applyFont="1" applyFill="1" applyAlignment="1">
      <alignment horizontal="center" vertical="center"/>
    </xf>
    <xf numFmtId="0" fontId="72" fillId="0" borderId="0" xfId="0" applyFont="1" applyFill="1" applyAlignment="1">
      <alignment horizontal="left" vertical="center"/>
    </xf>
    <xf numFmtId="0" fontId="72" fillId="0" borderId="0" xfId="0" applyFont="1" applyFill="1"/>
    <xf numFmtId="0" fontId="73" fillId="0" borderId="0" xfId="0" applyFont="1" applyFill="1"/>
    <xf numFmtId="0" fontId="0" fillId="0" borderId="0" xfId="0" applyFill="1" applyAlignment="1">
      <alignment horizontal="left" vertical="center"/>
    </xf>
    <xf numFmtId="175" fontId="0" fillId="0" borderId="0" xfId="0" applyNumberFormat="1" applyFill="1" applyAlignment="1">
      <alignment horizontal="center" vertical="center"/>
    </xf>
    <xf numFmtId="43" fontId="20" fillId="0" borderId="0" xfId="0" applyNumberFormat="1" applyFont="1" applyFill="1" applyAlignment="1">
      <alignment horizontal="center" vertical="center"/>
    </xf>
    <xf numFmtId="173" fontId="20" fillId="29" borderId="0" xfId="0" applyNumberFormat="1" applyFont="1" applyFill="1" applyAlignment="1">
      <alignment horizontal="center" vertical="center"/>
    </xf>
    <xf numFmtId="43" fontId="20" fillId="29" borderId="0" xfId="0" applyNumberFormat="1" applyFont="1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29" borderId="0" xfId="0" applyFill="1" applyAlignment="1">
      <alignment horizontal="left" vertical="center"/>
    </xf>
    <xf numFmtId="0" fontId="22" fillId="29" borderId="0" xfId="0" applyFont="1" applyFill="1"/>
    <xf numFmtId="0" fontId="21" fillId="0" borderId="0" xfId="0" applyNumberFormat="1" applyFont="1" applyFill="1" applyAlignment="1">
      <alignment horizontal="center" vertical="center"/>
    </xf>
    <xf numFmtId="176" fontId="25" fillId="0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40" fontId="74" fillId="0" borderId="5" xfId="47" applyNumberFormat="1" applyFont="1" applyFill="1" applyBorder="1"/>
    <xf numFmtId="14" fontId="0" fillId="0" borderId="0" xfId="0" applyNumberFormat="1"/>
    <xf numFmtId="0" fontId="0" fillId="0" borderId="0" xfId="0"/>
    <xf numFmtId="0" fontId="19" fillId="6" borderId="2" xfId="0" applyFont="1" applyFill="1" applyBorder="1" applyAlignment="1">
      <alignment horizontal="center" vertical="center"/>
    </xf>
    <xf numFmtId="43" fontId="19" fillId="5" borderId="4" xfId="106" applyFont="1" applyFill="1" applyBorder="1" applyAlignment="1">
      <alignment horizontal="center" vertical="center"/>
    </xf>
    <xf numFmtId="43" fontId="19" fillId="5" borderId="5" xfId="106" applyFont="1" applyFill="1" applyBorder="1" applyAlignment="1">
      <alignment horizontal="center" vertical="center"/>
    </xf>
    <xf numFmtId="43" fontId="19" fillId="5" borderId="6" xfId="106" applyFont="1" applyFill="1" applyBorder="1" applyAlignment="1">
      <alignment horizontal="center" vertical="center"/>
    </xf>
    <xf numFmtId="43" fontId="19" fillId="4" borderId="4" xfId="106" applyFont="1" applyFill="1" applyBorder="1" applyAlignment="1">
      <alignment horizontal="center" vertical="center"/>
    </xf>
    <xf numFmtId="43" fontId="19" fillId="4" borderId="5" xfId="106" applyFont="1" applyFill="1" applyBorder="1" applyAlignment="1">
      <alignment horizontal="center" vertical="center"/>
    </xf>
    <xf numFmtId="43" fontId="19" fillId="4" borderId="6" xfId="106" applyFont="1" applyFill="1" applyBorder="1" applyAlignment="1">
      <alignment horizontal="center" vertical="center"/>
    </xf>
    <xf numFmtId="43" fontId="18" fillId="3" borderId="4" xfId="106" applyFont="1" applyFill="1" applyBorder="1" applyAlignment="1">
      <alignment horizontal="center" vertical="center"/>
    </xf>
    <xf numFmtId="43" fontId="18" fillId="3" borderId="6" xfId="106" applyFont="1" applyFill="1" applyBorder="1" applyAlignment="1">
      <alignment horizontal="center" vertical="center"/>
    </xf>
    <xf numFmtId="43" fontId="19" fillId="27" borderId="4" xfId="106" applyFont="1" applyFill="1" applyBorder="1" applyAlignment="1">
      <alignment horizontal="center" vertical="center"/>
    </xf>
    <xf numFmtId="43" fontId="19" fillId="27" borderId="5" xfId="106" applyFont="1" applyFill="1" applyBorder="1" applyAlignment="1">
      <alignment horizontal="center" vertical="center"/>
    </xf>
    <xf numFmtId="43" fontId="19" fillId="27" borderId="6" xfId="106" applyFont="1" applyFill="1" applyBorder="1" applyAlignment="1">
      <alignment horizontal="center" vertical="center"/>
    </xf>
  </cellXfs>
  <cellStyles count="35551">
    <cellStyle name="??" xfId="424"/>
    <cellStyle name="???????_Sheet1" xfId="425"/>
    <cellStyle name="????_Sheet1_1" xfId="426"/>
    <cellStyle name="???_【NIFS_Hfaスルー対応】NIFSポータブル" xfId="427"/>
    <cellStyle name="??_【NIFS_Hfaスルー対応】NIFSポータブル（スルー用）_2" xfId="428"/>
    <cellStyle name="?_【NIFS_Hfaスルー対応】NIFSポータブル（スルー用）" xfId="429"/>
    <cellStyle name="?_【NIFS_Hfaスルー対応】NIFSポータブル（スルー用）_1" xfId="430"/>
    <cellStyle name="?_【NIFS_Hfaスルー対応】NIFSポータブル_【NIFS_Hfaスルー対応】要件定義資料" xfId="431"/>
    <cellStyle name="?_【NIFS_Hfaスルー対応】NIFSポータブル_【NIFS優先課題⑤-1】要件定義資料" xfId="432"/>
    <cellStyle name="?_【NIFS_Hfaスルー対応】NIFSポータブル_1" xfId="433"/>
    <cellStyle name="?_【NIFS_Hfaスルー対応】NIFSポータブル_1_【NIFS_Hfaスルー対応】NIFSポータブルレイアウト" xfId="434"/>
    <cellStyle name="?_【NIFS_Hfaスルー対応】NIFSポータブル_1_【NIFS優先課題⑤-1】NIFSポータブル" xfId="435"/>
    <cellStyle name="?_【NIFS_Hfaスルー対応】NIFSポータブルレイアウト" xfId="436"/>
    <cellStyle name="?_【NIFS_Hfaスルー対応】スルー用NIFSポータブル2" xfId="437"/>
    <cellStyle name="?_【NIFS_Hfaスルー対応】要件定義資料" xfId="438"/>
    <cellStyle name="?_【NIFS_Hfaスルー対応】要件定義資料_【NIFS_Hfaスルー対応】NIFSポータブル" xfId="439"/>
    <cellStyle name="?_【NIFS_Hfaスルー対応】要件定義資料_2" xfId="440"/>
    <cellStyle name="?_【NIFS_Hfaスルー対応】要件定義資料_2 2" xfId="441"/>
    <cellStyle name="?_【NIFS_Hfaスルー対応】要件定義資料_3" xfId="442"/>
    <cellStyle name="?_【NIFS_Hfaスルー対応】要件定義資料BKUP" xfId="443"/>
    <cellStyle name="?_【NIFS_ハード対応(上海対応)】NIFSポータブル（スルー用）_1" xfId="444"/>
    <cellStyle name="?_【NIFS_ハード対応(上海対応)】NIFSポータブル（スルー用）２" xfId="445"/>
    <cellStyle name="?_【NIFS_ハード対応(上海対応)】NIFSポータブル（通常版）" xfId="446"/>
    <cellStyle name="?_【NIFS_ハード対応】NIFSポータブル（通常版）" xfId="447"/>
    <cellStyle name="?_【NIFS_ハード対応】NIFSポータブル（通常版）　　IN_印刷" xfId="448"/>
    <cellStyle name="?_【NIFS_ハード対応】NIFSポータブル（通常版）_【NIFS_ハード対応(上海対応)】NIFSポータブル（スルー用）２" xfId="449"/>
    <cellStyle name="?_【NIFS_ハード対応】NIFSポータブル（通常版）_1" xfId="450"/>
    <cellStyle name="?_【NIFS_ハード対応】NIFSポータブル（通常版）_1_【NIFS_ハード対応(上海対応)】NIFSポータブル（通常版）" xfId="451"/>
    <cellStyle name="?_【NIFS_フェーズ２】NIFSポータブル（通常版）" xfId="452"/>
    <cellStyle name="?_【NIFS_優先課題⑦】NIFSポータブル（スルー用）" xfId="455"/>
    <cellStyle name="?_【NIFS_優先課題⑦】NIFSポータブル（通常版）_1" xfId="456"/>
    <cellStyle name="?_【NIFS_家具対応】NIFSポータブル（通常版）" xfId="453"/>
    <cellStyle name="?_【NIFS_家具対応】NIFSポータブル（通常版）_1" xfId="454"/>
    <cellStyle name="?_【NIFS優先課題④】NIFSポータブル" xfId="457"/>
    <cellStyle name="?_【NIFS優先課題⑤-1】NIFSポータブル_1" xfId="458"/>
    <cellStyle name="?_【NIFS優先課題⑤-1】要件定義資料" xfId="459"/>
    <cellStyle name="?_【NIFS優先課題⑤-1】要件定義資料 2" xfId="460"/>
    <cellStyle name="?_【暫定版】スルー用NIFSポータブル2_1" xfId="461"/>
    <cellStyle name="?_【暫定版】スルー用NIFSポータブル4" xfId="462"/>
    <cellStyle name="?_【暫定版】スルー用NIFSポータブル6" xfId="463"/>
    <cellStyle name="?_【暫定版】スルー用NIFSポータブル9改" xfId="464"/>
    <cellStyle name="?_【詳細設計】NIFSポータブル" xfId="465"/>
    <cellStyle name="?_【詳細設計書】NIFSポータブル（スルー版）" xfId="466"/>
    <cellStyle name="?_【詳細設計書】NIFSポータブル（通常版）" xfId="467"/>
    <cellStyle name="?_030_課題確認事項一覧" xfId="468"/>
    <cellStyle name="?_20090820_スルー方針説明（印刷用）" xfId="469"/>
    <cellStyle name="?_20090820_スルー方針説明_1" xfId="470"/>
    <cellStyle name="?_2010_07_04_NIFSポータブル_1" xfId="471"/>
    <cellStyle name="?_20100623NIFSポータブル_1" xfId="472"/>
    <cellStyle name="?_20100624NIFSポータブル_1" xfId="473"/>
    <cellStyle name="?_20100625NIFSポータブル_2" xfId="474"/>
    <cellStyle name="?_20100625NIFSポータブル_旧_1" xfId="475"/>
    <cellStyle name="?_20100629NIFSポータブル" xfId="476"/>
    <cellStyle name="?_20100630NIFSポータブル" xfId="477"/>
    <cellStyle name="?_20100630NIFSポータブル横持ち" xfId="478"/>
    <cellStyle name="?_20100702NIFSポータブル横持ち_修正_1" xfId="479"/>
    <cellStyle name="?_20100706NIFSポータブル横持ち_修正_1" xfId="480"/>
    <cellStyle name="?_6月新規 ver.9" xfId="481"/>
    <cellStyle name="?_6月新規 ver.9 2" xfId="482"/>
    <cellStyle name="?_filter_NIFSポータブル(通常版)" xfId="483"/>
    <cellStyle name="?_Index" xfId="484"/>
    <cellStyle name="?_Index_Index" xfId="485"/>
    <cellStyle name="?_Index_横Vor-2" xfId="486"/>
    <cellStyle name="?_Index_横Vor-2 2" xfId="487"/>
    <cellStyle name="?_Ｎ9999 　3月新規" xfId="488"/>
    <cellStyle name="?_Ｎ9999 　4月新規" xfId="489"/>
    <cellStyle name="?_Ｎ9999 　4月新規_1" xfId="490"/>
    <cellStyle name="?_Ｎ9999 　タイ マレーシア_1" xfId="491"/>
    <cellStyle name="?_Ｎ9999 　中国" xfId="492"/>
    <cellStyle name="?_Ｎ9999 　中国_1" xfId="493"/>
    <cellStyle name="?_Ｎ9999 　東南アジア" xfId="494"/>
    <cellStyle name="?_Ｎ9999 　東南アジア_1" xfId="495"/>
    <cellStyle name="?_Ｎ9999 　東南アジア_2" xfId="496"/>
    <cellStyle name="?_Ｎ9999 　東南アジア_2 2" xfId="497"/>
    <cellStyle name="?_Ｎ9999 　東南アジア_3" xfId="498"/>
    <cellStyle name="?_Ｎ9999 　東南アジア_3 2" xfId="499"/>
    <cellStyle name="?_NIFS-P発注数計算仕様書_1" xfId="502"/>
    <cellStyle name="?_NIFS-P詳細設計書（Indexシート）_1" xfId="500"/>
    <cellStyle name="?_NIFS-P詳細設計書(発注データ作成ボタン押下)" xfId="501"/>
    <cellStyle name="?_NIFSポータブル(Hi-Speed)_1" xfId="503"/>
    <cellStyle name="?_NIFSポータブル(スルｰ版)" xfId="504"/>
    <cellStyle name="?_NIFSポータブル(通常版)" xfId="505"/>
    <cellStyle name="?_NIFSポータブル(通常版)_1_【NIFS_家具対応】NIFSポータブル（通常版）" xfId="506"/>
    <cellStyle name="?_NIFSポータブル(通常版)_1_NIFS-P詳細設計書（Indexシート）" xfId="507"/>
    <cellStyle name="?_NIFSポータブル(通常版)_20100706NIFSポータブル横持ち_修正" xfId="508"/>
    <cellStyle name="?_NIFSポータブル(通常版)_NIFS-P詳細設計書(発注データ作成ボタン押下)" xfId="509"/>
    <cellStyle name="?_NIFSポータブル(通常版)_NIFSポータブル" xfId="510"/>
    <cellStyle name="?_NIFSポータブル(通常版)_家具参考用２" xfId="511"/>
    <cellStyle name="?_NIFSポータブル(通常版)_家具資料用" xfId="512"/>
    <cellStyle name="?_NIFSポータブル(通常版X)" xfId="513"/>
    <cellStyle name="?_NIFSポータブル_1_NIFSポータブル" xfId="514"/>
    <cellStyle name="?_NIFSポータブル_2" xfId="515"/>
    <cellStyle name="?_NIFSポータブル0909" xfId="516"/>
    <cellStyle name="?_NIFSポータブル0909_1" xfId="517"/>
    <cellStyle name="?_NIFSポータブル2_1" xfId="518"/>
    <cellStyle name="?_NIFSポータブルβ版_1" xfId="519"/>
    <cellStyle name="?_NIFSポータブル第3フェーズ" xfId="520"/>
    <cellStyle name="?_Sheet1_1_新店中止残投入" xfId="521"/>
    <cellStyle name="?_Sheet1_1_新店中止残投入 2" xfId="522"/>
    <cellStyle name="?_エルモアIV BK プライム_1" xfId="523"/>
    <cellStyle name="?_エルモア布_1" xfId="524"/>
    <cellStyle name="?_ｵｿﾞﾝBK IV_2" xfId="525"/>
    <cellStyle name="?_コピー ～ 【NIFS_ハード対応】NIFSポータブル（通常版）" xfId="526"/>
    <cellStyle name="?_コピー ～ NIFSポータブル_1" xfId="527"/>
    <cellStyle name="?_コピーＮ9999 　中国3_2" xfId="528"/>
    <cellStyle name="?_コピーＮ9999 　東南アジア2_1" xfId="529"/>
    <cellStyle name="?_ｺﾝﾌｫｰﾄ・ｴﾐｭｰ残3cnt_1" xfId="530"/>
    <cellStyle name="?_スケジュール" xfId="531"/>
    <cellStyle name="?_ｽﾃｲﾂ_1" xfId="532"/>
    <cellStyle name="?_セレブ_1" xfId="533"/>
    <cellStyle name="?_ヒカリG BE_1" xfId="534"/>
    <cellStyle name="?_ﾌﾘｰﾄﾞIV BK_2" xfId="535"/>
    <cellStyle name="?_参考【NIFS_ハード対応】NIFSポータブル（通常版）" xfId="541"/>
    <cellStyle name="?_家具参考用２_1" xfId="539"/>
    <cellStyle name="?_家具資料用" xfId="540"/>
    <cellStyle name="?_横Vor-2_2" xfId="536"/>
    <cellStyle name="?_横Vor-2_3" xfId="537"/>
    <cellStyle name="?_横Vor-2_3 2" xfId="538"/>
    <cellStyle name="0,0_x000d__x000a_NA_x000d__x000a_" xfId="54"/>
    <cellStyle name="20% - アクセント 1 2" xfId="543"/>
    <cellStyle name="20% - アクセント 1 3" xfId="542"/>
    <cellStyle name="20% - アクセント 2 2" xfId="545"/>
    <cellStyle name="20% - アクセント 2 3" xfId="544"/>
    <cellStyle name="20% - アクセント 3 2" xfId="547"/>
    <cellStyle name="20% - アクセント 3 3" xfId="546"/>
    <cellStyle name="20% - アクセント 4 2" xfId="549"/>
    <cellStyle name="20% - アクセント 4 3" xfId="548"/>
    <cellStyle name="20% - アクセント 5 2" xfId="551"/>
    <cellStyle name="20% - アクセント 5 3" xfId="550"/>
    <cellStyle name="20% - アクセント 6 2" xfId="553"/>
    <cellStyle name="20% - アクセント 6 3" xfId="552"/>
    <cellStyle name="40% - アクセント 1 2" xfId="555"/>
    <cellStyle name="40% - アクセント 1 3" xfId="554"/>
    <cellStyle name="40% - アクセント 2 2" xfId="557"/>
    <cellStyle name="40% - アクセント 2 3" xfId="556"/>
    <cellStyle name="40% - アクセント 3 2" xfId="559"/>
    <cellStyle name="40% - アクセント 3 3" xfId="558"/>
    <cellStyle name="40% - アクセント 4 2" xfId="561"/>
    <cellStyle name="40% - アクセント 4 3" xfId="560"/>
    <cellStyle name="40% - アクセント 5 2" xfId="563"/>
    <cellStyle name="40% - アクセント 5 3" xfId="562"/>
    <cellStyle name="40% - アクセント 6 2" xfId="565"/>
    <cellStyle name="40% - アクセント 6 3" xfId="564"/>
    <cellStyle name="60% - アクセント 1 2" xfId="567"/>
    <cellStyle name="60% - アクセント 1 3" xfId="566"/>
    <cellStyle name="60% - アクセント 2 2" xfId="569"/>
    <cellStyle name="60% - アクセント 2 3" xfId="568"/>
    <cellStyle name="60% - アクセント 3 2" xfId="571"/>
    <cellStyle name="60% - アクセント 3 3" xfId="570"/>
    <cellStyle name="60% - アクセント 4 2" xfId="573"/>
    <cellStyle name="60% - アクセント 4 3" xfId="572"/>
    <cellStyle name="60% - アクセント 5 2" xfId="575"/>
    <cellStyle name="60% - アクセント 5 3" xfId="574"/>
    <cellStyle name="60% - アクセント 6 2" xfId="577"/>
    <cellStyle name="60% - アクセント 6 3" xfId="576"/>
    <cellStyle name="AeE­ [0]_INQUIRY ¿µ¾÷AßAø " xfId="6"/>
    <cellStyle name="AeE­_INQUIRY ¿µ¾÷AßAø " xfId="7"/>
    <cellStyle name="AÞ¸¶ [0]_INQUIRY ¿µ¾÷AßAø " xfId="8"/>
    <cellStyle name="AÞ¸¶_INQUIRY ¿µ¾÷AßAø " xfId="9"/>
    <cellStyle name="C?AØ_¿µ¾÷CoE² " xfId="10"/>
    <cellStyle name="C￥AØ_¿μ¾÷CoE² " xfId="11"/>
    <cellStyle name="Calc Currency (0)" xfId="578"/>
    <cellStyle name="Comma" xfId="106" builtinId="3"/>
    <cellStyle name="Comma [0] 2" xfId="2"/>
    <cellStyle name="Comma [0] 2 10" xfId="326"/>
    <cellStyle name="Comma [0] 2 11" xfId="338"/>
    <cellStyle name="Comma [0] 2 12" xfId="364"/>
    <cellStyle name="Comma [0] 2 13" xfId="360"/>
    <cellStyle name="Comma [0] 2 14" xfId="352"/>
    <cellStyle name="Comma [0] 2 15" xfId="109"/>
    <cellStyle name="Comma [0] 2 2" xfId="47"/>
    <cellStyle name="Comma [0] 2 2 10" xfId="322"/>
    <cellStyle name="Comma [0] 2 2 11" xfId="365"/>
    <cellStyle name="Comma [0] 2 2 12" xfId="327"/>
    <cellStyle name="Comma [0] 2 2 13" xfId="259"/>
    <cellStyle name="Comma [0] 2 2 14" xfId="110"/>
    <cellStyle name="Comma [0] 2 2 2" xfId="55"/>
    <cellStyle name="Comma [0] 2 2 2 2" xfId="142"/>
    <cellStyle name="Comma [0] 2 2 3" xfId="167"/>
    <cellStyle name="Comma [0] 2 2 4" xfId="187"/>
    <cellStyle name="Comma [0] 2 2 5" xfId="206"/>
    <cellStyle name="Comma [0] 2 2 6" xfId="224"/>
    <cellStyle name="Comma [0] 2 2 7" xfId="283"/>
    <cellStyle name="Comma [0] 2 2 8" xfId="278"/>
    <cellStyle name="Comma [0] 2 2 9" xfId="306"/>
    <cellStyle name="Comma [0] 2 3" xfId="141"/>
    <cellStyle name="Comma [0] 2 4" xfId="169"/>
    <cellStyle name="Comma [0] 2 5" xfId="189"/>
    <cellStyle name="Comma [0] 2 6" xfId="208"/>
    <cellStyle name="Comma [0] 2 7" xfId="226"/>
    <cellStyle name="Comma [0] 2 8" xfId="294"/>
    <cellStyle name="Comma [0] 2 9" xfId="312"/>
    <cellStyle name="Comma [0] 3" xfId="48"/>
    <cellStyle name="Comma [0] 3 10" xfId="247"/>
    <cellStyle name="Comma [0] 3 11" xfId="361"/>
    <cellStyle name="Comma [0] 3 12" xfId="311"/>
    <cellStyle name="Comma [0] 3 13" xfId="334"/>
    <cellStyle name="Comma [0] 3 14" xfId="111"/>
    <cellStyle name="Comma [0] 3 2" xfId="143"/>
    <cellStyle name="Comma [0] 3 3" xfId="164"/>
    <cellStyle name="Comma [0] 3 4" xfId="184"/>
    <cellStyle name="Comma [0] 3 5" xfId="203"/>
    <cellStyle name="Comma [0] 3 6" xfId="221"/>
    <cellStyle name="Comma [0] 3 7" xfId="267"/>
    <cellStyle name="Comma [0] 3 8" xfId="274"/>
    <cellStyle name="Comma [0] 3 9" xfId="271"/>
    <cellStyle name="Comma [0] 4" xfId="112"/>
    <cellStyle name="Comma [0] 4 10" xfId="309"/>
    <cellStyle name="Comma [0] 4 11" xfId="350"/>
    <cellStyle name="Comma [0] 4 12" xfId="353"/>
    <cellStyle name="Comma [0] 4 13" xfId="371"/>
    <cellStyle name="Comma [0] 4 14" xfId="35500"/>
    <cellStyle name="Comma [0] 4 2" xfId="144"/>
    <cellStyle name="Comma [0] 4 3" xfId="161"/>
    <cellStyle name="Comma [0] 4 4" xfId="181"/>
    <cellStyle name="Comma [0] 4 5" xfId="200"/>
    <cellStyle name="Comma [0] 4 6" xfId="218"/>
    <cellStyle name="Comma [0] 4 7" xfId="244"/>
    <cellStyle name="Comma [0] 4 8" xfId="273"/>
    <cellStyle name="Comma [0] 4 9" xfId="280"/>
    <cellStyle name="Comma [0] 5" xfId="35497"/>
    <cellStyle name="Comma [0] 6" xfId="130"/>
    <cellStyle name="Comma 10" xfId="35501"/>
    <cellStyle name="Comma 11" xfId="35502"/>
    <cellStyle name="Comma 12" xfId="35503"/>
    <cellStyle name="Comma 13" xfId="35499"/>
    <cellStyle name="Comma 2" xfId="5"/>
    <cellStyle name="Comma 2 2" xfId="56"/>
    <cellStyle name="Comma 3" xfId="57"/>
    <cellStyle name="Comma 4" xfId="58"/>
    <cellStyle name="Comma 5" xfId="59"/>
    <cellStyle name="Comma 6" xfId="60"/>
    <cellStyle name="Comma 7" xfId="61"/>
    <cellStyle name="Comma 8" xfId="52"/>
    <cellStyle name="Comma 9" xfId="35504"/>
    <cellStyle name="Comma0" xfId="12"/>
    <cellStyle name="Currency 2" xfId="53"/>
    <cellStyle name="Currency0" xfId="13"/>
    <cellStyle name="Date" xfId="14"/>
    <cellStyle name="ecbeing見積書" xfId="579"/>
    <cellStyle name="Fixed" xfId="15"/>
    <cellStyle name="Header1" xfId="580"/>
    <cellStyle name="Header2" xfId="581"/>
    <cellStyle name="Heading 1 2" xfId="16"/>
    <cellStyle name="Heading 2 2" xfId="17"/>
    <cellStyle name="Normal" xfId="0" builtinId="0"/>
    <cellStyle name="Normal - Style1" xfId="3"/>
    <cellStyle name="Normal 10" xfId="18"/>
    <cellStyle name="Normal 10 10" xfId="1655"/>
    <cellStyle name="Normal 10 10 2" xfId="3095"/>
    <cellStyle name="Normal 10 10 2 2" xfId="5975"/>
    <cellStyle name="Normal 10 10 2 2 2" xfId="11735"/>
    <cellStyle name="Normal 10 10 2 2 2 2" xfId="29015"/>
    <cellStyle name="Normal 10 10 2 2 3" xfId="17495"/>
    <cellStyle name="Normal 10 10 2 2 3 2" xfId="34775"/>
    <cellStyle name="Normal 10 10 2 2 4" xfId="23255"/>
    <cellStyle name="Normal 10 10 2 3" xfId="8855"/>
    <cellStyle name="Normal 10 10 2 3 2" xfId="26135"/>
    <cellStyle name="Normal 10 10 2 4" xfId="14615"/>
    <cellStyle name="Normal 10 10 2 4 2" xfId="31895"/>
    <cellStyle name="Normal 10 10 2 5" xfId="20375"/>
    <cellStyle name="Normal 10 10 3" xfId="4535"/>
    <cellStyle name="Normal 10 10 3 2" xfId="10295"/>
    <cellStyle name="Normal 10 10 3 2 2" xfId="27575"/>
    <cellStyle name="Normal 10 10 3 3" xfId="16055"/>
    <cellStyle name="Normal 10 10 3 3 2" xfId="33335"/>
    <cellStyle name="Normal 10 10 3 4" xfId="21815"/>
    <cellStyle name="Normal 10 10 4" xfId="7415"/>
    <cellStyle name="Normal 10 10 4 2" xfId="24695"/>
    <cellStyle name="Normal 10 10 5" xfId="13175"/>
    <cellStyle name="Normal 10 10 5 2" xfId="30455"/>
    <cellStyle name="Normal 10 10 6" xfId="18935"/>
    <cellStyle name="Normal 10 11" xfId="2375"/>
    <cellStyle name="Normal 10 11 2" xfId="5255"/>
    <cellStyle name="Normal 10 11 2 2" xfId="11015"/>
    <cellStyle name="Normal 10 11 2 2 2" xfId="28295"/>
    <cellStyle name="Normal 10 11 2 3" xfId="16775"/>
    <cellStyle name="Normal 10 11 2 3 2" xfId="34055"/>
    <cellStyle name="Normal 10 11 2 4" xfId="22535"/>
    <cellStyle name="Normal 10 11 3" xfId="8135"/>
    <cellStyle name="Normal 10 11 3 2" xfId="25415"/>
    <cellStyle name="Normal 10 11 4" xfId="13895"/>
    <cellStyle name="Normal 10 11 4 2" xfId="31175"/>
    <cellStyle name="Normal 10 11 5" xfId="19655"/>
    <cellStyle name="Normal 10 12" xfId="3815"/>
    <cellStyle name="Normal 10 12 2" xfId="9575"/>
    <cellStyle name="Normal 10 12 2 2" xfId="26855"/>
    <cellStyle name="Normal 10 12 3" xfId="15335"/>
    <cellStyle name="Normal 10 12 3 2" xfId="32615"/>
    <cellStyle name="Normal 10 12 4" xfId="21095"/>
    <cellStyle name="Normal 10 13" xfId="6695"/>
    <cellStyle name="Normal 10 13 2" xfId="23975"/>
    <cellStyle name="Normal 10 14" xfId="12455"/>
    <cellStyle name="Normal 10 14 2" xfId="29735"/>
    <cellStyle name="Normal 10 15" xfId="18215"/>
    <cellStyle name="Normal 10 16" xfId="383"/>
    <cellStyle name="Normal 10 2" xfId="62"/>
    <cellStyle name="Normal 10 2 10" xfId="2380"/>
    <cellStyle name="Normal 10 2 10 2" xfId="5260"/>
    <cellStyle name="Normal 10 2 10 2 2" xfId="11020"/>
    <cellStyle name="Normal 10 2 10 2 2 2" xfId="28300"/>
    <cellStyle name="Normal 10 2 10 2 3" xfId="16780"/>
    <cellStyle name="Normal 10 2 10 2 3 2" xfId="34060"/>
    <cellStyle name="Normal 10 2 10 2 4" xfId="22540"/>
    <cellStyle name="Normal 10 2 10 3" xfId="8140"/>
    <cellStyle name="Normal 10 2 10 3 2" xfId="25420"/>
    <cellStyle name="Normal 10 2 10 4" xfId="13900"/>
    <cellStyle name="Normal 10 2 10 4 2" xfId="31180"/>
    <cellStyle name="Normal 10 2 10 5" xfId="19660"/>
    <cellStyle name="Normal 10 2 11" xfId="3820"/>
    <cellStyle name="Normal 10 2 11 2" xfId="9580"/>
    <cellStyle name="Normal 10 2 11 2 2" xfId="26860"/>
    <cellStyle name="Normal 10 2 11 3" xfId="15340"/>
    <cellStyle name="Normal 10 2 11 3 2" xfId="32620"/>
    <cellStyle name="Normal 10 2 11 4" xfId="21100"/>
    <cellStyle name="Normal 10 2 12" xfId="6700"/>
    <cellStyle name="Normal 10 2 12 2" xfId="23980"/>
    <cellStyle name="Normal 10 2 13" xfId="12460"/>
    <cellStyle name="Normal 10 2 13 2" xfId="29740"/>
    <cellStyle name="Normal 10 2 14" xfId="18220"/>
    <cellStyle name="Normal 10 2 15" xfId="388"/>
    <cellStyle name="Normal 10 2 2" xfId="399"/>
    <cellStyle name="Normal 10 2 2 10" xfId="3830"/>
    <cellStyle name="Normal 10 2 2 10 2" xfId="9590"/>
    <cellStyle name="Normal 10 2 2 10 2 2" xfId="26870"/>
    <cellStyle name="Normal 10 2 2 10 3" xfId="15350"/>
    <cellStyle name="Normal 10 2 2 10 3 2" xfId="32630"/>
    <cellStyle name="Normal 10 2 2 10 4" xfId="21110"/>
    <cellStyle name="Normal 10 2 2 11" xfId="6710"/>
    <cellStyle name="Normal 10 2 2 11 2" xfId="23990"/>
    <cellStyle name="Normal 10 2 2 12" xfId="12470"/>
    <cellStyle name="Normal 10 2 2 12 2" xfId="29750"/>
    <cellStyle name="Normal 10 2 2 13" xfId="18230"/>
    <cellStyle name="Normal 10 2 2 2" xfId="419"/>
    <cellStyle name="Normal 10 2 2 2 10" xfId="6730"/>
    <cellStyle name="Normal 10 2 2 2 10 2" xfId="24010"/>
    <cellStyle name="Normal 10 2 2 2 11" xfId="12490"/>
    <cellStyle name="Normal 10 2 2 2 11 2" xfId="29770"/>
    <cellStyle name="Normal 10 2 2 2 12" xfId="18250"/>
    <cellStyle name="Normal 10 2 2 2 2" xfId="1050"/>
    <cellStyle name="Normal 10 2 2 2 2 10" xfId="18330"/>
    <cellStyle name="Normal 10 2 2 2 2 2" xfId="1170"/>
    <cellStyle name="Normal 10 2 2 2 2 2 2" xfId="1410"/>
    <cellStyle name="Normal 10 2 2 2 2 2 2 2" xfId="2130"/>
    <cellStyle name="Normal 10 2 2 2 2 2 2 2 2" xfId="3570"/>
    <cellStyle name="Normal 10 2 2 2 2 2 2 2 2 2" xfId="6450"/>
    <cellStyle name="Normal 10 2 2 2 2 2 2 2 2 2 2" xfId="12210"/>
    <cellStyle name="Normal 10 2 2 2 2 2 2 2 2 2 2 2" xfId="29490"/>
    <cellStyle name="Normal 10 2 2 2 2 2 2 2 2 2 3" xfId="17970"/>
    <cellStyle name="Normal 10 2 2 2 2 2 2 2 2 2 3 2" xfId="35250"/>
    <cellStyle name="Normal 10 2 2 2 2 2 2 2 2 2 4" xfId="23730"/>
    <cellStyle name="Normal 10 2 2 2 2 2 2 2 2 3" xfId="9330"/>
    <cellStyle name="Normal 10 2 2 2 2 2 2 2 2 3 2" xfId="26610"/>
    <cellStyle name="Normal 10 2 2 2 2 2 2 2 2 4" xfId="15090"/>
    <cellStyle name="Normal 10 2 2 2 2 2 2 2 2 4 2" xfId="32370"/>
    <cellStyle name="Normal 10 2 2 2 2 2 2 2 2 5" xfId="20850"/>
    <cellStyle name="Normal 10 2 2 2 2 2 2 2 3" xfId="5010"/>
    <cellStyle name="Normal 10 2 2 2 2 2 2 2 3 2" xfId="10770"/>
    <cellStyle name="Normal 10 2 2 2 2 2 2 2 3 2 2" xfId="28050"/>
    <cellStyle name="Normal 10 2 2 2 2 2 2 2 3 3" xfId="16530"/>
    <cellStyle name="Normal 10 2 2 2 2 2 2 2 3 3 2" xfId="33810"/>
    <cellStyle name="Normal 10 2 2 2 2 2 2 2 3 4" xfId="22290"/>
    <cellStyle name="Normal 10 2 2 2 2 2 2 2 4" xfId="7890"/>
    <cellStyle name="Normal 10 2 2 2 2 2 2 2 4 2" xfId="25170"/>
    <cellStyle name="Normal 10 2 2 2 2 2 2 2 5" xfId="13650"/>
    <cellStyle name="Normal 10 2 2 2 2 2 2 2 5 2" xfId="30930"/>
    <cellStyle name="Normal 10 2 2 2 2 2 2 2 6" xfId="19410"/>
    <cellStyle name="Normal 10 2 2 2 2 2 2 3" xfId="2850"/>
    <cellStyle name="Normal 10 2 2 2 2 2 2 3 2" xfId="5730"/>
    <cellStyle name="Normal 10 2 2 2 2 2 2 3 2 2" xfId="11490"/>
    <cellStyle name="Normal 10 2 2 2 2 2 2 3 2 2 2" xfId="28770"/>
    <cellStyle name="Normal 10 2 2 2 2 2 2 3 2 3" xfId="17250"/>
    <cellStyle name="Normal 10 2 2 2 2 2 2 3 2 3 2" xfId="34530"/>
    <cellStyle name="Normal 10 2 2 2 2 2 2 3 2 4" xfId="23010"/>
    <cellStyle name="Normal 10 2 2 2 2 2 2 3 3" xfId="8610"/>
    <cellStyle name="Normal 10 2 2 2 2 2 2 3 3 2" xfId="25890"/>
    <cellStyle name="Normal 10 2 2 2 2 2 2 3 4" xfId="14370"/>
    <cellStyle name="Normal 10 2 2 2 2 2 2 3 4 2" xfId="31650"/>
    <cellStyle name="Normal 10 2 2 2 2 2 2 3 5" xfId="20130"/>
    <cellStyle name="Normal 10 2 2 2 2 2 2 4" xfId="4290"/>
    <cellStyle name="Normal 10 2 2 2 2 2 2 4 2" xfId="10050"/>
    <cellStyle name="Normal 10 2 2 2 2 2 2 4 2 2" xfId="27330"/>
    <cellStyle name="Normal 10 2 2 2 2 2 2 4 3" xfId="15810"/>
    <cellStyle name="Normal 10 2 2 2 2 2 2 4 3 2" xfId="33090"/>
    <cellStyle name="Normal 10 2 2 2 2 2 2 4 4" xfId="21570"/>
    <cellStyle name="Normal 10 2 2 2 2 2 2 5" xfId="7170"/>
    <cellStyle name="Normal 10 2 2 2 2 2 2 5 2" xfId="24450"/>
    <cellStyle name="Normal 10 2 2 2 2 2 2 6" xfId="12930"/>
    <cellStyle name="Normal 10 2 2 2 2 2 2 6 2" xfId="30210"/>
    <cellStyle name="Normal 10 2 2 2 2 2 2 7" xfId="18690"/>
    <cellStyle name="Normal 10 2 2 2 2 2 3" xfId="1650"/>
    <cellStyle name="Normal 10 2 2 2 2 2 3 2" xfId="2370"/>
    <cellStyle name="Normal 10 2 2 2 2 2 3 2 2" xfId="3810"/>
    <cellStyle name="Normal 10 2 2 2 2 2 3 2 2 2" xfId="6690"/>
    <cellStyle name="Normal 10 2 2 2 2 2 3 2 2 2 2" xfId="12450"/>
    <cellStyle name="Normal 10 2 2 2 2 2 3 2 2 2 2 2" xfId="29730"/>
    <cellStyle name="Normal 10 2 2 2 2 2 3 2 2 2 3" xfId="18210"/>
    <cellStyle name="Normal 10 2 2 2 2 2 3 2 2 2 3 2" xfId="35490"/>
    <cellStyle name="Normal 10 2 2 2 2 2 3 2 2 2 4" xfId="23970"/>
    <cellStyle name="Normal 10 2 2 2 2 2 3 2 2 3" xfId="9570"/>
    <cellStyle name="Normal 10 2 2 2 2 2 3 2 2 3 2" xfId="26850"/>
    <cellStyle name="Normal 10 2 2 2 2 2 3 2 2 4" xfId="15330"/>
    <cellStyle name="Normal 10 2 2 2 2 2 3 2 2 4 2" xfId="32610"/>
    <cellStyle name="Normal 10 2 2 2 2 2 3 2 2 5" xfId="21090"/>
    <cellStyle name="Normal 10 2 2 2 2 2 3 2 3" xfId="5250"/>
    <cellStyle name="Normal 10 2 2 2 2 2 3 2 3 2" xfId="11010"/>
    <cellStyle name="Normal 10 2 2 2 2 2 3 2 3 2 2" xfId="28290"/>
    <cellStyle name="Normal 10 2 2 2 2 2 3 2 3 3" xfId="16770"/>
    <cellStyle name="Normal 10 2 2 2 2 2 3 2 3 3 2" xfId="34050"/>
    <cellStyle name="Normal 10 2 2 2 2 2 3 2 3 4" xfId="22530"/>
    <cellStyle name="Normal 10 2 2 2 2 2 3 2 4" xfId="8130"/>
    <cellStyle name="Normal 10 2 2 2 2 2 3 2 4 2" xfId="25410"/>
    <cellStyle name="Normal 10 2 2 2 2 2 3 2 5" xfId="13890"/>
    <cellStyle name="Normal 10 2 2 2 2 2 3 2 5 2" xfId="31170"/>
    <cellStyle name="Normal 10 2 2 2 2 2 3 2 6" xfId="19650"/>
    <cellStyle name="Normal 10 2 2 2 2 2 3 3" xfId="3090"/>
    <cellStyle name="Normal 10 2 2 2 2 2 3 3 2" xfId="5970"/>
    <cellStyle name="Normal 10 2 2 2 2 2 3 3 2 2" xfId="11730"/>
    <cellStyle name="Normal 10 2 2 2 2 2 3 3 2 2 2" xfId="29010"/>
    <cellStyle name="Normal 10 2 2 2 2 2 3 3 2 3" xfId="17490"/>
    <cellStyle name="Normal 10 2 2 2 2 2 3 3 2 3 2" xfId="34770"/>
    <cellStyle name="Normal 10 2 2 2 2 2 3 3 2 4" xfId="23250"/>
    <cellStyle name="Normal 10 2 2 2 2 2 3 3 3" xfId="8850"/>
    <cellStyle name="Normal 10 2 2 2 2 2 3 3 3 2" xfId="26130"/>
    <cellStyle name="Normal 10 2 2 2 2 2 3 3 4" xfId="14610"/>
    <cellStyle name="Normal 10 2 2 2 2 2 3 3 4 2" xfId="31890"/>
    <cellStyle name="Normal 10 2 2 2 2 2 3 3 5" xfId="20370"/>
    <cellStyle name="Normal 10 2 2 2 2 2 3 4" xfId="4530"/>
    <cellStyle name="Normal 10 2 2 2 2 2 3 4 2" xfId="10290"/>
    <cellStyle name="Normal 10 2 2 2 2 2 3 4 2 2" xfId="27570"/>
    <cellStyle name="Normal 10 2 2 2 2 2 3 4 3" xfId="16050"/>
    <cellStyle name="Normal 10 2 2 2 2 2 3 4 3 2" xfId="33330"/>
    <cellStyle name="Normal 10 2 2 2 2 2 3 4 4" xfId="21810"/>
    <cellStyle name="Normal 10 2 2 2 2 2 3 5" xfId="7410"/>
    <cellStyle name="Normal 10 2 2 2 2 2 3 5 2" xfId="24690"/>
    <cellStyle name="Normal 10 2 2 2 2 2 3 6" xfId="13170"/>
    <cellStyle name="Normal 10 2 2 2 2 2 3 6 2" xfId="30450"/>
    <cellStyle name="Normal 10 2 2 2 2 2 3 7" xfId="18930"/>
    <cellStyle name="Normal 10 2 2 2 2 2 4" xfId="1890"/>
    <cellStyle name="Normal 10 2 2 2 2 2 4 2" xfId="3330"/>
    <cellStyle name="Normal 10 2 2 2 2 2 4 2 2" xfId="6210"/>
    <cellStyle name="Normal 10 2 2 2 2 2 4 2 2 2" xfId="11970"/>
    <cellStyle name="Normal 10 2 2 2 2 2 4 2 2 2 2" xfId="29250"/>
    <cellStyle name="Normal 10 2 2 2 2 2 4 2 2 3" xfId="17730"/>
    <cellStyle name="Normal 10 2 2 2 2 2 4 2 2 3 2" xfId="35010"/>
    <cellStyle name="Normal 10 2 2 2 2 2 4 2 2 4" xfId="23490"/>
    <cellStyle name="Normal 10 2 2 2 2 2 4 2 3" xfId="9090"/>
    <cellStyle name="Normal 10 2 2 2 2 2 4 2 3 2" xfId="26370"/>
    <cellStyle name="Normal 10 2 2 2 2 2 4 2 4" xfId="14850"/>
    <cellStyle name="Normal 10 2 2 2 2 2 4 2 4 2" xfId="32130"/>
    <cellStyle name="Normal 10 2 2 2 2 2 4 2 5" xfId="20610"/>
    <cellStyle name="Normal 10 2 2 2 2 2 4 3" xfId="4770"/>
    <cellStyle name="Normal 10 2 2 2 2 2 4 3 2" xfId="10530"/>
    <cellStyle name="Normal 10 2 2 2 2 2 4 3 2 2" xfId="27810"/>
    <cellStyle name="Normal 10 2 2 2 2 2 4 3 3" xfId="16290"/>
    <cellStyle name="Normal 10 2 2 2 2 2 4 3 3 2" xfId="33570"/>
    <cellStyle name="Normal 10 2 2 2 2 2 4 3 4" xfId="22050"/>
    <cellStyle name="Normal 10 2 2 2 2 2 4 4" xfId="7650"/>
    <cellStyle name="Normal 10 2 2 2 2 2 4 4 2" xfId="24930"/>
    <cellStyle name="Normal 10 2 2 2 2 2 4 5" xfId="13410"/>
    <cellStyle name="Normal 10 2 2 2 2 2 4 5 2" xfId="30690"/>
    <cellStyle name="Normal 10 2 2 2 2 2 4 6" xfId="19170"/>
    <cellStyle name="Normal 10 2 2 2 2 2 5" xfId="2610"/>
    <cellStyle name="Normal 10 2 2 2 2 2 5 2" xfId="5490"/>
    <cellStyle name="Normal 10 2 2 2 2 2 5 2 2" xfId="11250"/>
    <cellStyle name="Normal 10 2 2 2 2 2 5 2 2 2" xfId="28530"/>
    <cellStyle name="Normal 10 2 2 2 2 2 5 2 3" xfId="17010"/>
    <cellStyle name="Normal 10 2 2 2 2 2 5 2 3 2" xfId="34290"/>
    <cellStyle name="Normal 10 2 2 2 2 2 5 2 4" xfId="22770"/>
    <cellStyle name="Normal 10 2 2 2 2 2 5 3" xfId="8370"/>
    <cellStyle name="Normal 10 2 2 2 2 2 5 3 2" xfId="25650"/>
    <cellStyle name="Normal 10 2 2 2 2 2 5 4" xfId="14130"/>
    <cellStyle name="Normal 10 2 2 2 2 2 5 4 2" xfId="31410"/>
    <cellStyle name="Normal 10 2 2 2 2 2 5 5" xfId="19890"/>
    <cellStyle name="Normal 10 2 2 2 2 2 6" xfId="4050"/>
    <cellStyle name="Normal 10 2 2 2 2 2 6 2" xfId="9810"/>
    <cellStyle name="Normal 10 2 2 2 2 2 6 2 2" xfId="27090"/>
    <cellStyle name="Normal 10 2 2 2 2 2 6 3" xfId="15570"/>
    <cellStyle name="Normal 10 2 2 2 2 2 6 3 2" xfId="32850"/>
    <cellStyle name="Normal 10 2 2 2 2 2 6 4" xfId="21330"/>
    <cellStyle name="Normal 10 2 2 2 2 2 7" xfId="6930"/>
    <cellStyle name="Normal 10 2 2 2 2 2 7 2" xfId="24210"/>
    <cellStyle name="Normal 10 2 2 2 2 2 8" xfId="12690"/>
    <cellStyle name="Normal 10 2 2 2 2 2 8 2" xfId="29970"/>
    <cellStyle name="Normal 10 2 2 2 2 2 9" xfId="18450"/>
    <cellStyle name="Normal 10 2 2 2 2 3" xfId="1290"/>
    <cellStyle name="Normal 10 2 2 2 2 3 2" xfId="2010"/>
    <cellStyle name="Normal 10 2 2 2 2 3 2 2" xfId="3450"/>
    <cellStyle name="Normal 10 2 2 2 2 3 2 2 2" xfId="6330"/>
    <cellStyle name="Normal 10 2 2 2 2 3 2 2 2 2" xfId="12090"/>
    <cellStyle name="Normal 10 2 2 2 2 3 2 2 2 2 2" xfId="29370"/>
    <cellStyle name="Normal 10 2 2 2 2 3 2 2 2 3" xfId="17850"/>
    <cellStyle name="Normal 10 2 2 2 2 3 2 2 2 3 2" xfId="35130"/>
    <cellStyle name="Normal 10 2 2 2 2 3 2 2 2 4" xfId="23610"/>
    <cellStyle name="Normal 10 2 2 2 2 3 2 2 3" xfId="9210"/>
    <cellStyle name="Normal 10 2 2 2 2 3 2 2 3 2" xfId="26490"/>
    <cellStyle name="Normal 10 2 2 2 2 3 2 2 4" xfId="14970"/>
    <cellStyle name="Normal 10 2 2 2 2 3 2 2 4 2" xfId="32250"/>
    <cellStyle name="Normal 10 2 2 2 2 3 2 2 5" xfId="20730"/>
    <cellStyle name="Normal 10 2 2 2 2 3 2 3" xfId="4890"/>
    <cellStyle name="Normal 10 2 2 2 2 3 2 3 2" xfId="10650"/>
    <cellStyle name="Normal 10 2 2 2 2 3 2 3 2 2" xfId="27930"/>
    <cellStyle name="Normal 10 2 2 2 2 3 2 3 3" xfId="16410"/>
    <cellStyle name="Normal 10 2 2 2 2 3 2 3 3 2" xfId="33690"/>
    <cellStyle name="Normal 10 2 2 2 2 3 2 3 4" xfId="22170"/>
    <cellStyle name="Normal 10 2 2 2 2 3 2 4" xfId="7770"/>
    <cellStyle name="Normal 10 2 2 2 2 3 2 4 2" xfId="25050"/>
    <cellStyle name="Normal 10 2 2 2 2 3 2 5" xfId="13530"/>
    <cellStyle name="Normal 10 2 2 2 2 3 2 5 2" xfId="30810"/>
    <cellStyle name="Normal 10 2 2 2 2 3 2 6" xfId="19290"/>
    <cellStyle name="Normal 10 2 2 2 2 3 3" xfId="2730"/>
    <cellStyle name="Normal 10 2 2 2 2 3 3 2" xfId="5610"/>
    <cellStyle name="Normal 10 2 2 2 2 3 3 2 2" xfId="11370"/>
    <cellStyle name="Normal 10 2 2 2 2 3 3 2 2 2" xfId="28650"/>
    <cellStyle name="Normal 10 2 2 2 2 3 3 2 3" xfId="17130"/>
    <cellStyle name="Normal 10 2 2 2 2 3 3 2 3 2" xfId="34410"/>
    <cellStyle name="Normal 10 2 2 2 2 3 3 2 4" xfId="22890"/>
    <cellStyle name="Normal 10 2 2 2 2 3 3 3" xfId="8490"/>
    <cellStyle name="Normal 10 2 2 2 2 3 3 3 2" xfId="25770"/>
    <cellStyle name="Normal 10 2 2 2 2 3 3 4" xfId="14250"/>
    <cellStyle name="Normal 10 2 2 2 2 3 3 4 2" xfId="31530"/>
    <cellStyle name="Normal 10 2 2 2 2 3 3 5" xfId="20010"/>
    <cellStyle name="Normal 10 2 2 2 2 3 4" xfId="4170"/>
    <cellStyle name="Normal 10 2 2 2 2 3 4 2" xfId="9930"/>
    <cellStyle name="Normal 10 2 2 2 2 3 4 2 2" xfId="27210"/>
    <cellStyle name="Normal 10 2 2 2 2 3 4 3" xfId="15690"/>
    <cellStyle name="Normal 10 2 2 2 2 3 4 3 2" xfId="32970"/>
    <cellStyle name="Normal 10 2 2 2 2 3 4 4" xfId="21450"/>
    <cellStyle name="Normal 10 2 2 2 2 3 5" xfId="7050"/>
    <cellStyle name="Normal 10 2 2 2 2 3 5 2" xfId="24330"/>
    <cellStyle name="Normal 10 2 2 2 2 3 6" xfId="12810"/>
    <cellStyle name="Normal 10 2 2 2 2 3 6 2" xfId="30090"/>
    <cellStyle name="Normal 10 2 2 2 2 3 7" xfId="18570"/>
    <cellStyle name="Normal 10 2 2 2 2 4" xfId="1530"/>
    <cellStyle name="Normal 10 2 2 2 2 4 2" xfId="2250"/>
    <cellStyle name="Normal 10 2 2 2 2 4 2 2" xfId="3690"/>
    <cellStyle name="Normal 10 2 2 2 2 4 2 2 2" xfId="6570"/>
    <cellStyle name="Normal 10 2 2 2 2 4 2 2 2 2" xfId="12330"/>
    <cellStyle name="Normal 10 2 2 2 2 4 2 2 2 2 2" xfId="29610"/>
    <cellStyle name="Normal 10 2 2 2 2 4 2 2 2 3" xfId="18090"/>
    <cellStyle name="Normal 10 2 2 2 2 4 2 2 2 3 2" xfId="35370"/>
    <cellStyle name="Normal 10 2 2 2 2 4 2 2 2 4" xfId="23850"/>
    <cellStyle name="Normal 10 2 2 2 2 4 2 2 3" xfId="9450"/>
    <cellStyle name="Normal 10 2 2 2 2 4 2 2 3 2" xfId="26730"/>
    <cellStyle name="Normal 10 2 2 2 2 4 2 2 4" xfId="15210"/>
    <cellStyle name="Normal 10 2 2 2 2 4 2 2 4 2" xfId="32490"/>
    <cellStyle name="Normal 10 2 2 2 2 4 2 2 5" xfId="20970"/>
    <cellStyle name="Normal 10 2 2 2 2 4 2 3" xfId="5130"/>
    <cellStyle name="Normal 10 2 2 2 2 4 2 3 2" xfId="10890"/>
    <cellStyle name="Normal 10 2 2 2 2 4 2 3 2 2" xfId="28170"/>
    <cellStyle name="Normal 10 2 2 2 2 4 2 3 3" xfId="16650"/>
    <cellStyle name="Normal 10 2 2 2 2 4 2 3 3 2" xfId="33930"/>
    <cellStyle name="Normal 10 2 2 2 2 4 2 3 4" xfId="22410"/>
    <cellStyle name="Normal 10 2 2 2 2 4 2 4" xfId="8010"/>
    <cellStyle name="Normal 10 2 2 2 2 4 2 4 2" xfId="25290"/>
    <cellStyle name="Normal 10 2 2 2 2 4 2 5" xfId="13770"/>
    <cellStyle name="Normal 10 2 2 2 2 4 2 5 2" xfId="31050"/>
    <cellStyle name="Normal 10 2 2 2 2 4 2 6" xfId="19530"/>
    <cellStyle name="Normal 10 2 2 2 2 4 3" xfId="2970"/>
    <cellStyle name="Normal 10 2 2 2 2 4 3 2" xfId="5850"/>
    <cellStyle name="Normal 10 2 2 2 2 4 3 2 2" xfId="11610"/>
    <cellStyle name="Normal 10 2 2 2 2 4 3 2 2 2" xfId="28890"/>
    <cellStyle name="Normal 10 2 2 2 2 4 3 2 3" xfId="17370"/>
    <cellStyle name="Normal 10 2 2 2 2 4 3 2 3 2" xfId="34650"/>
    <cellStyle name="Normal 10 2 2 2 2 4 3 2 4" xfId="23130"/>
    <cellStyle name="Normal 10 2 2 2 2 4 3 3" xfId="8730"/>
    <cellStyle name="Normal 10 2 2 2 2 4 3 3 2" xfId="26010"/>
    <cellStyle name="Normal 10 2 2 2 2 4 3 4" xfId="14490"/>
    <cellStyle name="Normal 10 2 2 2 2 4 3 4 2" xfId="31770"/>
    <cellStyle name="Normal 10 2 2 2 2 4 3 5" xfId="20250"/>
    <cellStyle name="Normal 10 2 2 2 2 4 4" xfId="4410"/>
    <cellStyle name="Normal 10 2 2 2 2 4 4 2" xfId="10170"/>
    <cellStyle name="Normal 10 2 2 2 2 4 4 2 2" xfId="27450"/>
    <cellStyle name="Normal 10 2 2 2 2 4 4 3" xfId="15930"/>
    <cellStyle name="Normal 10 2 2 2 2 4 4 3 2" xfId="33210"/>
    <cellStyle name="Normal 10 2 2 2 2 4 4 4" xfId="21690"/>
    <cellStyle name="Normal 10 2 2 2 2 4 5" xfId="7290"/>
    <cellStyle name="Normal 10 2 2 2 2 4 5 2" xfId="24570"/>
    <cellStyle name="Normal 10 2 2 2 2 4 6" xfId="13050"/>
    <cellStyle name="Normal 10 2 2 2 2 4 6 2" xfId="30330"/>
    <cellStyle name="Normal 10 2 2 2 2 4 7" xfId="18810"/>
    <cellStyle name="Normal 10 2 2 2 2 5" xfId="1770"/>
    <cellStyle name="Normal 10 2 2 2 2 5 2" xfId="3210"/>
    <cellStyle name="Normal 10 2 2 2 2 5 2 2" xfId="6090"/>
    <cellStyle name="Normal 10 2 2 2 2 5 2 2 2" xfId="11850"/>
    <cellStyle name="Normal 10 2 2 2 2 5 2 2 2 2" xfId="29130"/>
    <cellStyle name="Normal 10 2 2 2 2 5 2 2 3" xfId="17610"/>
    <cellStyle name="Normal 10 2 2 2 2 5 2 2 3 2" xfId="34890"/>
    <cellStyle name="Normal 10 2 2 2 2 5 2 2 4" xfId="23370"/>
    <cellStyle name="Normal 10 2 2 2 2 5 2 3" xfId="8970"/>
    <cellStyle name="Normal 10 2 2 2 2 5 2 3 2" xfId="26250"/>
    <cellStyle name="Normal 10 2 2 2 2 5 2 4" xfId="14730"/>
    <cellStyle name="Normal 10 2 2 2 2 5 2 4 2" xfId="32010"/>
    <cellStyle name="Normal 10 2 2 2 2 5 2 5" xfId="20490"/>
    <cellStyle name="Normal 10 2 2 2 2 5 3" xfId="4650"/>
    <cellStyle name="Normal 10 2 2 2 2 5 3 2" xfId="10410"/>
    <cellStyle name="Normal 10 2 2 2 2 5 3 2 2" xfId="27690"/>
    <cellStyle name="Normal 10 2 2 2 2 5 3 3" xfId="16170"/>
    <cellStyle name="Normal 10 2 2 2 2 5 3 3 2" xfId="33450"/>
    <cellStyle name="Normal 10 2 2 2 2 5 3 4" xfId="21930"/>
    <cellStyle name="Normal 10 2 2 2 2 5 4" xfId="7530"/>
    <cellStyle name="Normal 10 2 2 2 2 5 4 2" xfId="24810"/>
    <cellStyle name="Normal 10 2 2 2 2 5 5" xfId="13290"/>
    <cellStyle name="Normal 10 2 2 2 2 5 5 2" xfId="30570"/>
    <cellStyle name="Normal 10 2 2 2 2 5 6" xfId="19050"/>
    <cellStyle name="Normal 10 2 2 2 2 6" xfId="2490"/>
    <cellStyle name="Normal 10 2 2 2 2 6 2" xfId="5370"/>
    <cellStyle name="Normal 10 2 2 2 2 6 2 2" xfId="11130"/>
    <cellStyle name="Normal 10 2 2 2 2 6 2 2 2" xfId="28410"/>
    <cellStyle name="Normal 10 2 2 2 2 6 2 3" xfId="16890"/>
    <cellStyle name="Normal 10 2 2 2 2 6 2 3 2" xfId="34170"/>
    <cellStyle name="Normal 10 2 2 2 2 6 2 4" xfId="22650"/>
    <cellStyle name="Normal 10 2 2 2 2 6 3" xfId="8250"/>
    <cellStyle name="Normal 10 2 2 2 2 6 3 2" xfId="25530"/>
    <cellStyle name="Normal 10 2 2 2 2 6 4" xfId="14010"/>
    <cellStyle name="Normal 10 2 2 2 2 6 4 2" xfId="31290"/>
    <cellStyle name="Normal 10 2 2 2 2 6 5" xfId="19770"/>
    <cellStyle name="Normal 10 2 2 2 2 7" xfId="3930"/>
    <cellStyle name="Normal 10 2 2 2 2 7 2" xfId="9690"/>
    <cellStyle name="Normal 10 2 2 2 2 7 2 2" xfId="26970"/>
    <cellStyle name="Normal 10 2 2 2 2 7 3" xfId="15450"/>
    <cellStyle name="Normal 10 2 2 2 2 7 3 2" xfId="32730"/>
    <cellStyle name="Normal 10 2 2 2 2 7 4" xfId="21210"/>
    <cellStyle name="Normal 10 2 2 2 2 8" xfId="6810"/>
    <cellStyle name="Normal 10 2 2 2 2 8 2" xfId="24090"/>
    <cellStyle name="Normal 10 2 2 2 2 9" xfId="12570"/>
    <cellStyle name="Normal 10 2 2 2 2 9 2" xfId="29850"/>
    <cellStyle name="Normal 10 2 2 2 3" xfId="1010"/>
    <cellStyle name="Normal 10 2 2 2 3 10" xfId="18290"/>
    <cellStyle name="Normal 10 2 2 2 3 2" xfId="1130"/>
    <cellStyle name="Normal 10 2 2 2 3 2 2" xfId="1370"/>
    <cellStyle name="Normal 10 2 2 2 3 2 2 2" xfId="2090"/>
    <cellStyle name="Normal 10 2 2 2 3 2 2 2 2" xfId="3530"/>
    <cellStyle name="Normal 10 2 2 2 3 2 2 2 2 2" xfId="6410"/>
    <cellStyle name="Normal 10 2 2 2 3 2 2 2 2 2 2" xfId="12170"/>
    <cellStyle name="Normal 10 2 2 2 3 2 2 2 2 2 2 2" xfId="29450"/>
    <cellStyle name="Normal 10 2 2 2 3 2 2 2 2 2 3" xfId="17930"/>
    <cellStyle name="Normal 10 2 2 2 3 2 2 2 2 2 3 2" xfId="35210"/>
    <cellStyle name="Normal 10 2 2 2 3 2 2 2 2 2 4" xfId="23690"/>
    <cellStyle name="Normal 10 2 2 2 3 2 2 2 2 3" xfId="9290"/>
    <cellStyle name="Normal 10 2 2 2 3 2 2 2 2 3 2" xfId="26570"/>
    <cellStyle name="Normal 10 2 2 2 3 2 2 2 2 4" xfId="15050"/>
    <cellStyle name="Normal 10 2 2 2 3 2 2 2 2 4 2" xfId="32330"/>
    <cellStyle name="Normal 10 2 2 2 3 2 2 2 2 5" xfId="20810"/>
    <cellStyle name="Normal 10 2 2 2 3 2 2 2 3" xfId="4970"/>
    <cellStyle name="Normal 10 2 2 2 3 2 2 2 3 2" xfId="10730"/>
    <cellStyle name="Normal 10 2 2 2 3 2 2 2 3 2 2" xfId="28010"/>
    <cellStyle name="Normal 10 2 2 2 3 2 2 2 3 3" xfId="16490"/>
    <cellStyle name="Normal 10 2 2 2 3 2 2 2 3 3 2" xfId="33770"/>
    <cellStyle name="Normal 10 2 2 2 3 2 2 2 3 4" xfId="22250"/>
    <cellStyle name="Normal 10 2 2 2 3 2 2 2 4" xfId="7850"/>
    <cellStyle name="Normal 10 2 2 2 3 2 2 2 4 2" xfId="25130"/>
    <cellStyle name="Normal 10 2 2 2 3 2 2 2 5" xfId="13610"/>
    <cellStyle name="Normal 10 2 2 2 3 2 2 2 5 2" xfId="30890"/>
    <cellStyle name="Normal 10 2 2 2 3 2 2 2 6" xfId="19370"/>
    <cellStyle name="Normal 10 2 2 2 3 2 2 3" xfId="2810"/>
    <cellStyle name="Normal 10 2 2 2 3 2 2 3 2" xfId="5690"/>
    <cellStyle name="Normal 10 2 2 2 3 2 2 3 2 2" xfId="11450"/>
    <cellStyle name="Normal 10 2 2 2 3 2 2 3 2 2 2" xfId="28730"/>
    <cellStyle name="Normal 10 2 2 2 3 2 2 3 2 3" xfId="17210"/>
    <cellStyle name="Normal 10 2 2 2 3 2 2 3 2 3 2" xfId="34490"/>
    <cellStyle name="Normal 10 2 2 2 3 2 2 3 2 4" xfId="22970"/>
    <cellStyle name="Normal 10 2 2 2 3 2 2 3 3" xfId="8570"/>
    <cellStyle name="Normal 10 2 2 2 3 2 2 3 3 2" xfId="25850"/>
    <cellStyle name="Normal 10 2 2 2 3 2 2 3 4" xfId="14330"/>
    <cellStyle name="Normal 10 2 2 2 3 2 2 3 4 2" xfId="31610"/>
    <cellStyle name="Normal 10 2 2 2 3 2 2 3 5" xfId="20090"/>
    <cellStyle name="Normal 10 2 2 2 3 2 2 4" xfId="4250"/>
    <cellStyle name="Normal 10 2 2 2 3 2 2 4 2" xfId="10010"/>
    <cellStyle name="Normal 10 2 2 2 3 2 2 4 2 2" xfId="27290"/>
    <cellStyle name="Normal 10 2 2 2 3 2 2 4 3" xfId="15770"/>
    <cellStyle name="Normal 10 2 2 2 3 2 2 4 3 2" xfId="33050"/>
    <cellStyle name="Normal 10 2 2 2 3 2 2 4 4" xfId="21530"/>
    <cellStyle name="Normal 10 2 2 2 3 2 2 5" xfId="7130"/>
    <cellStyle name="Normal 10 2 2 2 3 2 2 5 2" xfId="24410"/>
    <cellStyle name="Normal 10 2 2 2 3 2 2 6" xfId="12890"/>
    <cellStyle name="Normal 10 2 2 2 3 2 2 6 2" xfId="30170"/>
    <cellStyle name="Normal 10 2 2 2 3 2 2 7" xfId="18650"/>
    <cellStyle name="Normal 10 2 2 2 3 2 3" xfId="1610"/>
    <cellStyle name="Normal 10 2 2 2 3 2 3 2" xfId="2330"/>
    <cellStyle name="Normal 10 2 2 2 3 2 3 2 2" xfId="3770"/>
    <cellStyle name="Normal 10 2 2 2 3 2 3 2 2 2" xfId="6650"/>
    <cellStyle name="Normal 10 2 2 2 3 2 3 2 2 2 2" xfId="12410"/>
    <cellStyle name="Normal 10 2 2 2 3 2 3 2 2 2 2 2" xfId="29690"/>
    <cellStyle name="Normal 10 2 2 2 3 2 3 2 2 2 3" xfId="18170"/>
    <cellStyle name="Normal 10 2 2 2 3 2 3 2 2 2 3 2" xfId="35450"/>
    <cellStyle name="Normal 10 2 2 2 3 2 3 2 2 2 4" xfId="23930"/>
    <cellStyle name="Normal 10 2 2 2 3 2 3 2 2 3" xfId="9530"/>
    <cellStyle name="Normal 10 2 2 2 3 2 3 2 2 3 2" xfId="26810"/>
    <cellStyle name="Normal 10 2 2 2 3 2 3 2 2 4" xfId="15290"/>
    <cellStyle name="Normal 10 2 2 2 3 2 3 2 2 4 2" xfId="32570"/>
    <cellStyle name="Normal 10 2 2 2 3 2 3 2 2 5" xfId="21050"/>
    <cellStyle name="Normal 10 2 2 2 3 2 3 2 3" xfId="5210"/>
    <cellStyle name="Normal 10 2 2 2 3 2 3 2 3 2" xfId="10970"/>
    <cellStyle name="Normal 10 2 2 2 3 2 3 2 3 2 2" xfId="28250"/>
    <cellStyle name="Normal 10 2 2 2 3 2 3 2 3 3" xfId="16730"/>
    <cellStyle name="Normal 10 2 2 2 3 2 3 2 3 3 2" xfId="34010"/>
    <cellStyle name="Normal 10 2 2 2 3 2 3 2 3 4" xfId="22490"/>
    <cellStyle name="Normal 10 2 2 2 3 2 3 2 4" xfId="8090"/>
    <cellStyle name="Normal 10 2 2 2 3 2 3 2 4 2" xfId="25370"/>
    <cellStyle name="Normal 10 2 2 2 3 2 3 2 5" xfId="13850"/>
    <cellStyle name="Normal 10 2 2 2 3 2 3 2 5 2" xfId="31130"/>
    <cellStyle name="Normal 10 2 2 2 3 2 3 2 6" xfId="19610"/>
    <cellStyle name="Normal 10 2 2 2 3 2 3 3" xfId="3050"/>
    <cellStyle name="Normal 10 2 2 2 3 2 3 3 2" xfId="5930"/>
    <cellStyle name="Normal 10 2 2 2 3 2 3 3 2 2" xfId="11690"/>
    <cellStyle name="Normal 10 2 2 2 3 2 3 3 2 2 2" xfId="28970"/>
    <cellStyle name="Normal 10 2 2 2 3 2 3 3 2 3" xfId="17450"/>
    <cellStyle name="Normal 10 2 2 2 3 2 3 3 2 3 2" xfId="34730"/>
    <cellStyle name="Normal 10 2 2 2 3 2 3 3 2 4" xfId="23210"/>
    <cellStyle name="Normal 10 2 2 2 3 2 3 3 3" xfId="8810"/>
    <cellStyle name="Normal 10 2 2 2 3 2 3 3 3 2" xfId="26090"/>
    <cellStyle name="Normal 10 2 2 2 3 2 3 3 4" xfId="14570"/>
    <cellStyle name="Normal 10 2 2 2 3 2 3 3 4 2" xfId="31850"/>
    <cellStyle name="Normal 10 2 2 2 3 2 3 3 5" xfId="20330"/>
    <cellStyle name="Normal 10 2 2 2 3 2 3 4" xfId="4490"/>
    <cellStyle name="Normal 10 2 2 2 3 2 3 4 2" xfId="10250"/>
    <cellStyle name="Normal 10 2 2 2 3 2 3 4 2 2" xfId="27530"/>
    <cellStyle name="Normal 10 2 2 2 3 2 3 4 3" xfId="16010"/>
    <cellStyle name="Normal 10 2 2 2 3 2 3 4 3 2" xfId="33290"/>
    <cellStyle name="Normal 10 2 2 2 3 2 3 4 4" xfId="21770"/>
    <cellStyle name="Normal 10 2 2 2 3 2 3 5" xfId="7370"/>
    <cellStyle name="Normal 10 2 2 2 3 2 3 5 2" xfId="24650"/>
    <cellStyle name="Normal 10 2 2 2 3 2 3 6" xfId="13130"/>
    <cellStyle name="Normal 10 2 2 2 3 2 3 6 2" xfId="30410"/>
    <cellStyle name="Normal 10 2 2 2 3 2 3 7" xfId="18890"/>
    <cellStyle name="Normal 10 2 2 2 3 2 4" xfId="1850"/>
    <cellStyle name="Normal 10 2 2 2 3 2 4 2" xfId="3290"/>
    <cellStyle name="Normal 10 2 2 2 3 2 4 2 2" xfId="6170"/>
    <cellStyle name="Normal 10 2 2 2 3 2 4 2 2 2" xfId="11930"/>
    <cellStyle name="Normal 10 2 2 2 3 2 4 2 2 2 2" xfId="29210"/>
    <cellStyle name="Normal 10 2 2 2 3 2 4 2 2 3" xfId="17690"/>
    <cellStyle name="Normal 10 2 2 2 3 2 4 2 2 3 2" xfId="34970"/>
    <cellStyle name="Normal 10 2 2 2 3 2 4 2 2 4" xfId="23450"/>
    <cellStyle name="Normal 10 2 2 2 3 2 4 2 3" xfId="9050"/>
    <cellStyle name="Normal 10 2 2 2 3 2 4 2 3 2" xfId="26330"/>
    <cellStyle name="Normal 10 2 2 2 3 2 4 2 4" xfId="14810"/>
    <cellStyle name="Normal 10 2 2 2 3 2 4 2 4 2" xfId="32090"/>
    <cellStyle name="Normal 10 2 2 2 3 2 4 2 5" xfId="20570"/>
    <cellStyle name="Normal 10 2 2 2 3 2 4 3" xfId="4730"/>
    <cellStyle name="Normal 10 2 2 2 3 2 4 3 2" xfId="10490"/>
    <cellStyle name="Normal 10 2 2 2 3 2 4 3 2 2" xfId="27770"/>
    <cellStyle name="Normal 10 2 2 2 3 2 4 3 3" xfId="16250"/>
    <cellStyle name="Normal 10 2 2 2 3 2 4 3 3 2" xfId="33530"/>
    <cellStyle name="Normal 10 2 2 2 3 2 4 3 4" xfId="22010"/>
    <cellStyle name="Normal 10 2 2 2 3 2 4 4" xfId="7610"/>
    <cellStyle name="Normal 10 2 2 2 3 2 4 4 2" xfId="24890"/>
    <cellStyle name="Normal 10 2 2 2 3 2 4 5" xfId="13370"/>
    <cellStyle name="Normal 10 2 2 2 3 2 4 5 2" xfId="30650"/>
    <cellStyle name="Normal 10 2 2 2 3 2 4 6" xfId="19130"/>
    <cellStyle name="Normal 10 2 2 2 3 2 5" xfId="2570"/>
    <cellStyle name="Normal 10 2 2 2 3 2 5 2" xfId="5450"/>
    <cellStyle name="Normal 10 2 2 2 3 2 5 2 2" xfId="11210"/>
    <cellStyle name="Normal 10 2 2 2 3 2 5 2 2 2" xfId="28490"/>
    <cellStyle name="Normal 10 2 2 2 3 2 5 2 3" xfId="16970"/>
    <cellStyle name="Normal 10 2 2 2 3 2 5 2 3 2" xfId="34250"/>
    <cellStyle name="Normal 10 2 2 2 3 2 5 2 4" xfId="22730"/>
    <cellStyle name="Normal 10 2 2 2 3 2 5 3" xfId="8330"/>
    <cellStyle name="Normal 10 2 2 2 3 2 5 3 2" xfId="25610"/>
    <cellStyle name="Normal 10 2 2 2 3 2 5 4" xfId="14090"/>
    <cellStyle name="Normal 10 2 2 2 3 2 5 4 2" xfId="31370"/>
    <cellStyle name="Normal 10 2 2 2 3 2 5 5" xfId="19850"/>
    <cellStyle name="Normal 10 2 2 2 3 2 6" xfId="4010"/>
    <cellStyle name="Normal 10 2 2 2 3 2 6 2" xfId="9770"/>
    <cellStyle name="Normal 10 2 2 2 3 2 6 2 2" xfId="27050"/>
    <cellStyle name="Normal 10 2 2 2 3 2 6 3" xfId="15530"/>
    <cellStyle name="Normal 10 2 2 2 3 2 6 3 2" xfId="32810"/>
    <cellStyle name="Normal 10 2 2 2 3 2 6 4" xfId="21290"/>
    <cellStyle name="Normal 10 2 2 2 3 2 7" xfId="6890"/>
    <cellStyle name="Normal 10 2 2 2 3 2 7 2" xfId="24170"/>
    <cellStyle name="Normal 10 2 2 2 3 2 8" xfId="12650"/>
    <cellStyle name="Normal 10 2 2 2 3 2 8 2" xfId="29930"/>
    <cellStyle name="Normal 10 2 2 2 3 2 9" xfId="18410"/>
    <cellStyle name="Normal 10 2 2 2 3 3" xfId="1250"/>
    <cellStyle name="Normal 10 2 2 2 3 3 2" xfId="1970"/>
    <cellStyle name="Normal 10 2 2 2 3 3 2 2" xfId="3410"/>
    <cellStyle name="Normal 10 2 2 2 3 3 2 2 2" xfId="6290"/>
    <cellStyle name="Normal 10 2 2 2 3 3 2 2 2 2" xfId="12050"/>
    <cellStyle name="Normal 10 2 2 2 3 3 2 2 2 2 2" xfId="29330"/>
    <cellStyle name="Normal 10 2 2 2 3 3 2 2 2 3" xfId="17810"/>
    <cellStyle name="Normal 10 2 2 2 3 3 2 2 2 3 2" xfId="35090"/>
    <cellStyle name="Normal 10 2 2 2 3 3 2 2 2 4" xfId="23570"/>
    <cellStyle name="Normal 10 2 2 2 3 3 2 2 3" xfId="9170"/>
    <cellStyle name="Normal 10 2 2 2 3 3 2 2 3 2" xfId="26450"/>
    <cellStyle name="Normal 10 2 2 2 3 3 2 2 4" xfId="14930"/>
    <cellStyle name="Normal 10 2 2 2 3 3 2 2 4 2" xfId="32210"/>
    <cellStyle name="Normal 10 2 2 2 3 3 2 2 5" xfId="20690"/>
    <cellStyle name="Normal 10 2 2 2 3 3 2 3" xfId="4850"/>
    <cellStyle name="Normal 10 2 2 2 3 3 2 3 2" xfId="10610"/>
    <cellStyle name="Normal 10 2 2 2 3 3 2 3 2 2" xfId="27890"/>
    <cellStyle name="Normal 10 2 2 2 3 3 2 3 3" xfId="16370"/>
    <cellStyle name="Normal 10 2 2 2 3 3 2 3 3 2" xfId="33650"/>
    <cellStyle name="Normal 10 2 2 2 3 3 2 3 4" xfId="22130"/>
    <cellStyle name="Normal 10 2 2 2 3 3 2 4" xfId="7730"/>
    <cellStyle name="Normal 10 2 2 2 3 3 2 4 2" xfId="25010"/>
    <cellStyle name="Normal 10 2 2 2 3 3 2 5" xfId="13490"/>
    <cellStyle name="Normal 10 2 2 2 3 3 2 5 2" xfId="30770"/>
    <cellStyle name="Normal 10 2 2 2 3 3 2 6" xfId="19250"/>
    <cellStyle name="Normal 10 2 2 2 3 3 3" xfId="2690"/>
    <cellStyle name="Normal 10 2 2 2 3 3 3 2" xfId="5570"/>
    <cellStyle name="Normal 10 2 2 2 3 3 3 2 2" xfId="11330"/>
    <cellStyle name="Normal 10 2 2 2 3 3 3 2 2 2" xfId="28610"/>
    <cellStyle name="Normal 10 2 2 2 3 3 3 2 3" xfId="17090"/>
    <cellStyle name="Normal 10 2 2 2 3 3 3 2 3 2" xfId="34370"/>
    <cellStyle name="Normal 10 2 2 2 3 3 3 2 4" xfId="22850"/>
    <cellStyle name="Normal 10 2 2 2 3 3 3 3" xfId="8450"/>
    <cellStyle name="Normal 10 2 2 2 3 3 3 3 2" xfId="25730"/>
    <cellStyle name="Normal 10 2 2 2 3 3 3 4" xfId="14210"/>
    <cellStyle name="Normal 10 2 2 2 3 3 3 4 2" xfId="31490"/>
    <cellStyle name="Normal 10 2 2 2 3 3 3 5" xfId="19970"/>
    <cellStyle name="Normal 10 2 2 2 3 3 4" xfId="4130"/>
    <cellStyle name="Normal 10 2 2 2 3 3 4 2" xfId="9890"/>
    <cellStyle name="Normal 10 2 2 2 3 3 4 2 2" xfId="27170"/>
    <cellStyle name="Normal 10 2 2 2 3 3 4 3" xfId="15650"/>
    <cellStyle name="Normal 10 2 2 2 3 3 4 3 2" xfId="32930"/>
    <cellStyle name="Normal 10 2 2 2 3 3 4 4" xfId="21410"/>
    <cellStyle name="Normal 10 2 2 2 3 3 5" xfId="7010"/>
    <cellStyle name="Normal 10 2 2 2 3 3 5 2" xfId="24290"/>
    <cellStyle name="Normal 10 2 2 2 3 3 6" xfId="12770"/>
    <cellStyle name="Normal 10 2 2 2 3 3 6 2" xfId="30050"/>
    <cellStyle name="Normal 10 2 2 2 3 3 7" xfId="18530"/>
    <cellStyle name="Normal 10 2 2 2 3 4" xfId="1490"/>
    <cellStyle name="Normal 10 2 2 2 3 4 2" xfId="2210"/>
    <cellStyle name="Normal 10 2 2 2 3 4 2 2" xfId="3650"/>
    <cellStyle name="Normal 10 2 2 2 3 4 2 2 2" xfId="6530"/>
    <cellStyle name="Normal 10 2 2 2 3 4 2 2 2 2" xfId="12290"/>
    <cellStyle name="Normal 10 2 2 2 3 4 2 2 2 2 2" xfId="29570"/>
    <cellStyle name="Normal 10 2 2 2 3 4 2 2 2 3" xfId="18050"/>
    <cellStyle name="Normal 10 2 2 2 3 4 2 2 2 3 2" xfId="35330"/>
    <cellStyle name="Normal 10 2 2 2 3 4 2 2 2 4" xfId="23810"/>
    <cellStyle name="Normal 10 2 2 2 3 4 2 2 3" xfId="9410"/>
    <cellStyle name="Normal 10 2 2 2 3 4 2 2 3 2" xfId="26690"/>
    <cellStyle name="Normal 10 2 2 2 3 4 2 2 4" xfId="15170"/>
    <cellStyle name="Normal 10 2 2 2 3 4 2 2 4 2" xfId="32450"/>
    <cellStyle name="Normal 10 2 2 2 3 4 2 2 5" xfId="20930"/>
    <cellStyle name="Normal 10 2 2 2 3 4 2 3" xfId="5090"/>
    <cellStyle name="Normal 10 2 2 2 3 4 2 3 2" xfId="10850"/>
    <cellStyle name="Normal 10 2 2 2 3 4 2 3 2 2" xfId="28130"/>
    <cellStyle name="Normal 10 2 2 2 3 4 2 3 3" xfId="16610"/>
    <cellStyle name="Normal 10 2 2 2 3 4 2 3 3 2" xfId="33890"/>
    <cellStyle name="Normal 10 2 2 2 3 4 2 3 4" xfId="22370"/>
    <cellStyle name="Normal 10 2 2 2 3 4 2 4" xfId="7970"/>
    <cellStyle name="Normal 10 2 2 2 3 4 2 4 2" xfId="25250"/>
    <cellStyle name="Normal 10 2 2 2 3 4 2 5" xfId="13730"/>
    <cellStyle name="Normal 10 2 2 2 3 4 2 5 2" xfId="31010"/>
    <cellStyle name="Normal 10 2 2 2 3 4 2 6" xfId="19490"/>
    <cellStyle name="Normal 10 2 2 2 3 4 3" xfId="2930"/>
    <cellStyle name="Normal 10 2 2 2 3 4 3 2" xfId="5810"/>
    <cellStyle name="Normal 10 2 2 2 3 4 3 2 2" xfId="11570"/>
    <cellStyle name="Normal 10 2 2 2 3 4 3 2 2 2" xfId="28850"/>
    <cellStyle name="Normal 10 2 2 2 3 4 3 2 3" xfId="17330"/>
    <cellStyle name="Normal 10 2 2 2 3 4 3 2 3 2" xfId="34610"/>
    <cellStyle name="Normal 10 2 2 2 3 4 3 2 4" xfId="23090"/>
    <cellStyle name="Normal 10 2 2 2 3 4 3 3" xfId="8690"/>
    <cellStyle name="Normal 10 2 2 2 3 4 3 3 2" xfId="25970"/>
    <cellStyle name="Normal 10 2 2 2 3 4 3 4" xfId="14450"/>
    <cellStyle name="Normal 10 2 2 2 3 4 3 4 2" xfId="31730"/>
    <cellStyle name="Normal 10 2 2 2 3 4 3 5" xfId="20210"/>
    <cellStyle name="Normal 10 2 2 2 3 4 4" xfId="4370"/>
    <cellStyle name="Normal 10 2 2 2 3 4 4 2" xfId="10130"/>
    <cellStyle name="Normal 10 2 2 2 3 4 4 2 2" xfId="27410"/>
    <cellStyle name="Normal 10 2 2 2 3 4 4 3" xfId="15890"/>
    <cellStyle name="Normal 10 2 2 2 3 4 4 3 2" xfId="33170"/>
    <cellStyle name="Normal 10 2 2 2 3 4 4 4" xfId="21650"/>
    <cellStyle name="Normal 10 2 2 2 3 4 5" xfId="7250"/>
    <cellStyle name="Normal 10 2 2 2 3 4 5 2" xfId="24530"/>
    <cellStyle name="Normal 10 2 2 2 3 4 6" xfId="13010"/>
    <cellStyle name="Normal 10 2 2 2 3 4 6 2" xfId="30290"/>
    <cellStyle name="Normal 10 2 2 2 3 4 7" xfId="18770"/>
    <cellStyle name="Normal 10 2 2 2 3 5" xfId="1730"/>
    <cellStyle name="Normal 10 2 2 2 3 5 2" xfId="3170"/>
    <cellStyle name="Normal 10 2 2 2 3 5 2 2" xfId="6050"/>
    <cellStyle name="Normal 10 2 2 2 3 5 2 2 2" xfId="11810"/>
    <cellStyle name="Normal 10 2 2 2 3 5 2 2 2 2" xfId="29090"/>
    <cellStyle name="Normal 10 2 2 2 3 5 2 2 3" xfId="17570"/>
    <cellStyle name="Normal 10 2 2 2 3 5 2 2 3 2" xfId="34850"/>
    <cellStyle name="Normal 10 2 2 2 3 5 2 2 4" xfId="23330"/>
    <cellStyle name="Normal 10 2 2 2 3 5 2 3" xfId="8930"/>
    <cellStyle name="Normal 10 2 2 2 3 5 2 3 2" xfId="26210"/>
    <cellStyle name="Normal 10 2 2 2 3 5 2 4" xfId="14690"/>
    <cellStyle name="Normal 10 2 2 2 3 5 2 4 2" xfId="31970"/>
    <cellStyle name="Normal 10 2 2 2 3 5 2 5" xfId="20450"/>
    <cellStyle name="Normal 10 2 2 2 3 5 3" xfId="4610"/>
    <cellStyle name="Normal 10 2 2 2 3 5 3 2" xfId="10370"/>
    <cellStyle name="Normal 10 2 2 2 3 5 3 2 2" xfId="27650"/>
    <cellStyle name="Normal 10 2 2 2 3 5 3 3" xfId="16130"/>
    <cellStyle name="Normal 10 2 2 2 3 5 3 3 2" xfId="33410"/>
    <cellStyle name="Normal 10 2 2 2 3 5 3 4" xfId="21890"/>
    <cellStyle name="Normal 10 2 2 2 3 5 4" xfId="7490"/>
    <cellStyle name="Normal 10 2 2 2 3 5 4 2" xfId="24770"/>
    <cellStyle name="Normal 10 2 2 2 3 5 5" xfId="13250"/>
    <cellStyle name="Normal 10 2 2 2 3 5 5 2" xfId="30530"/>
    <cellStyle name="Normal 10 2 2 2 3 5 6" xfId="19010"/>
    <cellStyle name="Normal 10 2 2 2 3 6" xfId="2450"/>
    <cellStyle name="Normal 10 2 2 2 3 6 2" xfId="5330"/>
    <cellStyle name="Normal 10 2 2 2 3 6 2 2" xfId="11090"/>
    <cellStyle name="Normal 10 2 2 2 3 6 2 2 2" xfId="28370"/>
    <cellStyle name="Normal 10 2 2 2 3 6 2 3" xfId="16850"/>
    <cellStyle name="Normal 10 2 2 2 3 6 2 3 2" xfId="34130"/>
    <cellStyle name="Normal 10 2 2 2 3 6 2 4" xfId="22610"/>
    <cellStyle name="Normal 10 2 2 2 3 6 3" xfId="8210"/>
    <cellStyle name="Normal 10 2 2 2 3 6 3 2" xfId="25490"/>
    <cellStyle name="Normal 10 2 2 2 3 6 4" xfId="13970"/>
    <cellStyle name="Normal 10 2 2 2 3 6 4 2" xfId="31250"/>
    <cellStyle name="Normal 10 2 2 2 3 6 5" xfId="19730"/>
    <cellStyle name="Normal 10 2 2 2 3 7" xfId="3890"/>
    <cellStyle name="Normal 10 2 2 2 3 7 2" xfId="9650"/>
    <cellStyle name="Normal 10 2 2 2 3 7 2 2" xfId="26930"/>
    <cellStyle name="Normal 10 2 2 2 3 7 3" xfId="15410"/>
    <cellStyle name="Normal 10 2 2 2 3 7 3 2" xfId="32690"/>
    <cellStyle name="Normal 10 2 2 2 3 7 4" xfId="21170"/>
    <cellStyle name="Normal 10 2 2 2 3 8" xfId="6770"/>
    <cellStyle name="Normal 10 2 2 2 3 8 2" xfId="24050"/>
    <cellStyle name="Normal 10 2 2 2 3 9" xfId="12530"/>
    <cellStyle name="Normal 10 2 2 2 3 9 2" xfId="29810"/>
    <cellStyle name="Normal 10 2 2 2 4" xfId="1090"/>
    <cellStyle name="Normal 10 2 2 2 4 2" xfId="1330"/>
    <cellStyle name="Normal 10 2 2 2 4 2 2" xfId="2050"/>
    <cellStyle name="Normal 10 2 2 2 4 2 2 2" xfId="3490"/>
    <cellStyle name="Normal 10 2 2 2 4 2 2 2 2" xfId="6370"/>
    <cellStyle name="Normal 10 2 2 2 4 2 2 2 2 2" xfId="12130"/>
    <cellStyle name="Normal 10 2 2 2 4 2 2 2 2 2 2" xfId="29410"/>
    <cellStyle name="Normal 10 2 2 2 4 2 2 2 2 3" xfId="17890"/>
    <cellStyle name="Normal 10 2 2 2 4 2 2 2 2 3 2" xfId="35170"/>
    <cellStyle name="Normal 10 2 2 2 4 2 2 2 2 4" xfId="23650"/>
    <cellStyle name="Normal 10 2 2 2 4 2 2 2 3" xfId="9250"/>
    <cellStyle name="Normal 10 2 2 2 4 2 2 2 3 2" xfId="26530"/>
    <cellStyle name="Normal 10 2 2 2 4 2 2 2 4" xfId="15010"/>
    <cellStyle name="Normal 10 2 2 2 4 2 2 2 4 2" xfId="32290"/>
    <cellStyle name="Normal 10 2 2 2 4 2 2 2 5" xfId="20770"/>
    <cellStyle name="Normal 10 2 2 2 4 2 2 3" xfId="4930"/>
    <cellStyle name="Normal 10 2 2 2 4 2 2 3 2" xfId="10690"/>
    <cellStyle name="Normal 10 2 2 2 4 2 2 3 2 2" xfId="27970"/>
    <cellStyle name="Normal 10 2 2 2 4 2 2 3 3" xfId="16450"/>
    <cellStyle name="Normal 10 2 2 2 4 2 2 3 3 2" xfId="33730"/>
    <cellStyle name="Normal 10 2 2 2 4 2 2 3 4" xfId="22210"/>
    <cellStyle name="Normal 10 2 2 2 4 2 2 4" xfId="7810"/>
    <cellStyle name="Normal 10 2 2 2 4 2 2 4 2" xfId="25090"/>
    <cellStyle name="Normal 10 2 2 2 4 2 2 5" xfId="13570"/>
    <cellStyle name="Normal 10 2 2 2 4 2 2 5 2" xfId="30850"/>
    <cellStyle name="Normal 10 2 2 2 4 2 2 6" xfId="19330"/>
    <cellStyle name="Normal 10 2 2 2 4 2 3" xfId="2770"/>
    <cellStyle name="Normal 10 2 2 2 4 2 3 2" xfId="5650"/>
    <cellStyle name="Normal 10 2 2 2 4 2 3 2 2" xfId="11410"/>
    <cellStyle name="Normal 10 2 2 2 4 2 3 2 2 2" xfId="28690"/>
    <cellStyle name="Normal 10 2 2 2 4 2 3 2 3" xfId="17170"/>
    <cellStyle name="Normal 10 2 2 2 4 2 3 2 3 2" xfId="34450"/>
    <cellStyle name="Normal 10 2 2 2 4 2 3 2 4" xfId="22930"/>
    <cellStyle name="Normal 10 2 2 2 4 2 3 3" xfId="8530"/>
    <cellStyle name="Normal 10 2 2 2 4 2 3 3 2" xfId="25810"/>
    <cellStyle name="Normal 10 2 2 2 4 2 3 4" xfId="14290"/>
    <cellStyle name="Normal 10 2 2 2 4 2 3 4 2" xfId="31570"/>
    <cellStyle name="Normal 10 2 2 2 4 2 3 5" xfId="20050"/>
    <cellStyle name="Normal 10 2 2 2 4 2 4" xfId="4210"/>
    <cellStyle name="Normal 10 2 2 2 4 2 4 2" xfId="9970"/>
    <cellStyle name="Normal 10 2 2 2 4 2 4 2 2" xfId="27250"/>
    <cellStyle name="Normal 10 2 2 2 4 2 4 3" xfId="15730"/>
    <cellStyle name="Normal 10 2 2 2 4 2 4 3 2" xfId="33010"/>
    <cellStyle name="Normal 10 2 2 2 4 2 4 4" xfId="21490"/>
    <cellStyle name="Normal 10 2 2 2 4 2 5" xfId="7090"/>
    <cellStyle name="Normal 10 2 2 2 4 2 5 2" xfId="24370"/>
    <cellStyle name="Normal 10 2 2 2 4 2 6" xfId="12850"/>
    <cellStyle name="Normal 10 2 2 2 4 2 6 2" xfId="30130"/>
    <cellStyle name="Normal 10 2 2 2 4 2 7" xfId="18610"/>
    <cellStyle name="Normal 10 2 2 2 4 3" xfId="1570"/>
    <cellStyle name="Normal 10 2 2 2 4 3 2" xfId="2290"/>
    <cellStyle name="Normal 10 2 2 2 4 3 2 2" xfId="3730"/>
    <cellStyle name="Normal 10 2 2 2 4 3 2 2 2" xfId="6610"/>
    <cellStyle name="Normal 10 2 2 2 4 3 2 2 2 2" xfId="12370"/>
    <cellStyle name="Normal 10 2 2 2 4 3 2 2 2 2 2" xfId="29650"/>
    <cellStyle name="Normal 10 2 2 2 4 3 2 2 2 3" xfId="18130"/>
    <cellStyle name="Normal 10 2 2 2 4 3 2 2 2 3 2" xfId="35410"/>
    <cellStyle name="Normal 10 2 2 2 4 3 2 2 2 4" xfId="23890"/>
    <cellStyle name="Normal 10 2 2 2 4 3 2 2 3" xfId="9490"/>
    <cellStyle name="Normal 10 2 2 2 4 3 2 2 3 2" xfId="26770"/>
    <cellStyle name="Normal 10 2 2 2 4 3 2 2 4" xfId="15250"/>
    <cellStyle name="Normal 10 2 2 2 4 3 2 2 4 2" xfId="32530"/>
    <cellStyle name="Normal 10 2 2 2 4 3 2 2 5" xfId="21010"/>
    <cellStyle name="Normal 10 2 2 2 4 3 2 3" xfId="5170"/>
    <cellStyle name="Normal 10 2 2 2 4 3 2 3 2" xfId="10930"/>
    <cellStyle name="Normal 10 2 2 2 4 3 2 3 2 2" xfId="28210"/>
    <cellStyle name="Normal 10 2 2 2 4 3 2 3 3" xfId="16690"/>
    <cellStyle name="Normal 10 2 2 2 4 3 2 3 3 2" xfId="33970"/>
    <cellStyle name="Normal 10 2 2 2 4 3 2 3 4" xfId="22450"/>
    <cellStyle name="Normal 10 2 2 2 4 3 2 4" xfId="8050"/>
    <cellStyle name="Normal 10 2 2 2 4 3 2 4 2" xfId="25330"/>
    <cellStyle name="Normal 10 2 2 2 4 3 2 5" xfId="13810"/>
    <cellStyle name="Normal 10 2 2 2 4 3 2 5 2" xfId="31090"/>
    <cellStyle name="Normal 10 2 2 2 4 3 2 6" xfId="19570"/>
    <cellStyle name="Normal 10 2 2 2 4 3 3" xfId="3010"/>
    <cellStyle name="Normal 10 2 2 2 4 3 3 2" xfId="5890"/>
    <cellStyle name="Normal 10 2 2 2 4 3 3 2 2" xfId="11650"/>
    <cellStyle name="Normal 10 2 2 2 4 3 3 2 2 2" xfId="28930"/>
    <cellStyle name="Normal 10 2 2 2 4 3 3 2 3" xfId="17410"/>
    <cellStyle name="Normal 10 2 2 2 4 3 3 2 3 2" xfId="34690"/>
    <cellStyle name="Normal 10 2 2 2 4 3 3 2 4" xfId="23170"/>
    <cellStyle name="Normal 10 2 2 2 4 3 3 3" xfId="8770"/>
    <cellStyle name="Normal 10 2 2 2 4 3 3 3 2" xfId="26050"/>
    <cellStyle name="Normal 10 2 2 2 4 3 3 4" xfId="14530"/>
    <cellStyle name="Normal 10 2 2 2 4 3 3 4 2" xfId="31810"/>
    <cellStyle name="Normal 10 2 2 2 4 3 3 5" xfId="20290"/>
    <cellStyle name="Normal 10 2 2 2 4 3 4" xfId="4450"/>
    <cellStyle name="Normal 10 2 2 2 4 3 4 2" xfId="10210"/>
    <cellStyle name="Normal 10 2 2 2 4 3 4 2 2" xfId="27490"/>
    <cellStyle name="Normal 10 2 2 2 4 3 4 3" xfId="15970"/>
    <cellStyle name="Normal 10 2 2 2 4 3 4 3 2" xfId="33250"/>
    <cellStyle name="Normal 10 2 2 2 4 3 4 4" xfId="21730"/>
    <cellStyle name="Normal 10 2 2 2 4 3 5" xfId="7330"/>
    <cellStyle name="Normal 10 2 2 2 4 3 5 2" xfId="24610"/>
    <cellStyle name="Normal 10 2 2 2 4 3 6" xfId="13090"/>
    <cellStyle name="Normal 10 2 2 2 4 3 6 2" xfId="30370"/>
    <cellStyle name="Normal 10 2 2 2 4 3 7" xfId="18850"/>
    <cellStyle name="Normal 10 2 2 2 4 4" xfId="1810"/>
    <cellStyle name="Normal 10 2 2 2 4 4 2" xfId="3250"/>
    <cellStyle name="Normal 10 2 2 2 4 4 2 2" xfId="6130"/>
    <cellStyle name="Normal 10 2 2 2 4 4 2 2 2" xfId="11890"/>
    <cellStyle name="Normal 10 2 2 2 4 4 2 2 2 2" xfId="29170"/>
    <cellStyle name="Normal 10 2 2 2 4 4 2 2 3" xfId="17650"/>
    <cellStyle name="Normal 10 2 2 2 4 4 2 2 3 2" xfId="34930"/>
    <cellStyle name="Normal 10 2 2 2 4 4 2 2 4" xfId="23410"/>
    <cellStyle name="Normal 10 2 2 2 4 4 2 3" xfId="9010"/>
    <cellStyle name="Normal 10 2 2 2 4 4 2 3 2" xfId="26290"/>
    <cellStyle name="Normal 10 2 2 2 4 4 2 4" xfId="14770"/>
    <cellStyle name="Normal 10 2 2 2 4 4 2 4 2" xfId="32050"/>
    <cellStyle name="Normal 10 2 2 2 4 4 2 5" xfId="20530"/>
    <cellStyle name="Normal 10 2 2 2 4 4 3" xfId="4690"/>
    <cellStyle name="Normal 10 2 2 2 4 4 3 2" xfId="10450"/>
    <cellStyle name="Normal 10 2 2 2 4 4 3 2 2" xfId="27730"/>
    <cellStyle name="Normal 10 2 2 2 4 4 3 3" xfId="16210"/>
    <cellStyle name="Normal 10 2 2 2 4 4 3 3 2" xfId="33490"/>
    <cellStyle name="Normal 10 2 2 2 4 4 3 4" xfId="21970"/>
    <cellStyle name="Normal 10 2 2 2 4 4 4" xfId="7570"/>
    <cellStyle name="Normal 10 2 2 2 4 4 4 2" xfId="24850"/>
    <cellStyle name="Normal 10 2 2 2 4 4 5" xfId="13330"/>
    <cellStyle name="Normal 10 2 2 2 4 4 5 2" xfId="30610"/>
    <cellStyle name="Normal 10 2 2 2 4 4 6" xfId="19090"/>
    <cellStyle name="Normal 10 2 2 2 4 5" xfId="2530"/>
    <cellStyle name="Normal 10 2 2 2 4 5 2" xfId="5410"/>
    <cellStyle name="Normal 10 2 2 2 4 5 2 2" xfId="11170"/>
    <cellStyle name="Normal 10 2 2 2 4 5 2 2 2" xfId="28450"/>
    <cellStyle name="Normal 10 2 2 2 4 5 2 3" xfId="16930"/>
    <cellStyle name="Normal 10 2 2 2 4 5 2 3 2" xfId="34210"/>
    <cellStyle name="Normal 10 2 2 2 4 5 2 4" xfId="22690"/>
    <cellStyle name="Normal 10 2 2 2 4 5 3" xfId="8290"/>
    <cellStyle name="Normal 10 2 2 2 4 5 3 2" xfId="25570"/>
    <cellStyle name="Normal 10 2 2 2 4 5 4" xfId="14050"/>
    <cellStyle name="Normal 10 2 2 2 4 5 4 2" xfId="31330"/>
    <cellStyle name="Normal 10 2 2 2 4 5 5" xfId="19810"/>
    <cellStyle name="Normal 10 2 2 2 4 6" xfId="3970"/>
    <cellStyle name="Normal 10 2 2 2 4 6 2" xfId="9730"/>
    <cellStyle name="Normal 10 2 2 2 4 6 2 2" xfId="27010"/>
    <cellStyle name="Normal 10 2 2 2 4 6 3" xfId="15490"/>
    <cellStyle name="Normal 10 2 2 2 4 6 3 2" xfId="32770"/>
    <cellStyle name="Normal 10 2 2 2 4 6 4" xfId="21250"/>
    <cellStyle name="Normal 10 2 2 2 4 7" xfId="6850"/>
    <cellStyle name="Normal 10 2 2 2 4 7 2" xfId="24130"/>
    <cellStyle name="Normal 10 2 2 2 4 8" xfId="12610"/>
    <cellStyle name="Normal 10 2 2 2 4 8 2" xfId="29890"/>
    <cellStyle name="Normal 10 2 2 2 4 9" xfId="18370"/>
    <cellStyle name="Normal 10 2 2 2 5" xfId="1210"/>
    <cellStyle name="Normal 10 2 2 2 5 2" xfId="1930"/>
    <cellStyle name="Normal 10 2 2 2 5 2 2" xfId="3370"/>
    <cellStyle name="Normal 10 2 2 2 5 2 2 2" xfId="6250"/>
    <cellStyle name="Normal 10 2 2 2 5 2 2 2 2" xfId="12010"/>
    <cellStyle name="Normal 10 2 2 2 5 2 2 2 2 2" xfId="29290"/>
    <cellStyle name="Normal 10 2 2 2 5 2 2 2 3" xfId="17770"/>
    <cellStyle name="Normal 10 2 2 2 5 2 2 2 3 2" xfId="35050"/>
    <cellStyle name="Normal 10 2 2 2 5 2 2 2 4" xfId="23530"/>
    <cellStyle name="Normal 10 2 2 2 5 2 2 3" xfId="9130"/>
    <cellStyle name="Normal 10 2 2 2 5 2 2 3 2" xfId="26410"/>
    <cellStyle name="Normal 10 2 2 2 5 2 2 4" xfId="14890"/>
    <cellStyle name="Normal 10 2 2 2 5 2 2 4 2" xfId="32170"/>
    <cellStyle name="Normal 10 2 2 2 5 2 2 5" xfId="20650"/>
    <cellStyle name="Normal 10 2 2 2 5 2 3" xfId="4810"/>
    <cellStyle name="Normal 10 2 2 2 5 2 3 2" xfId="10570"/>
    <cellStyle name="Normal 10 2 2 2 5 2 3 2 2" xfId="27850"/>
    <cellStyle name="Normal 10 2 2 2 5 2 3 3" xfId="16330"/>
    <cellStyle name="Normal 10 2 2 2 5 2 3 3 2" xfId="33610"/>
    <cellStyle name="Normal 10 2 2 2 5 2 3 4" xfId="22090"/>
    <cellStyle name="Normal 10 2 2 2 5 2 4" xfId="7690"/>
    <cellStyle name="Normal 10 2 2 2 5 2 4 2" xfId="24970"/>
    <cellStyle name="Normal 10 2 2 2 5 2 5" xfId="13450"/>
    <cellStyle name="Normal 10 2 2 2 5 2 5 2" xfId="30730"/>
    <cellStyle name="Normal 10 2 2 2 5 2 6" xfId="19210"/>
    <cellStyle name="Normal 10 2 2 2 5 3" xfId="2650"/>
    <cellStyle name="Normal 10 2 2 2 5 3 2" xfId="5530"/>
    <cellStyle name="Normal 10 2 2 2 5 3 2 2" xfId="11290"/>
    <cellStyle name="Normal 10 2 2 2 5 3 2 2 2" xfId="28570"/>
    <cellStyle name="Normal 10 2 2 2 5 3 2 3" xfId="17050"/>
    <cellStyle name="Normal 10 2 2 2 5 3 2 3 2" xfId="34330"/>
    <cellStyle name="Normal 10 2 2 2 5 3 2 4" xfId="22810"/>
    <cellStyle name="Normal 10 2 2 2 5 3 3" xfId="8410"/>
    <cellStyle name="Normal 10 2 2 2 5 3 3 2" xfId="25690"/>
    <cellStyle name="Normal 10 2 2 2 5 3 4" xfId="14170"/>
    <cellStyle name="Normal 10 2 2 2 5 3 4 2" xfId="31450"/>
    <cellStyle name="Normal 10 2 2 2 5 3 5" xfId="19930"/>
    <cellStyle name="Normal 10 2 2 2 5 4" xfId="4090"/>
    <cellStyle name="Normal 10 2 2 2 5 4 2" xfId="9850"/>
    <cellStyle name="Normal 10 2 2 2 5 4 2 2" xfId="27130"/>
    <cellStyle name="Normal 10 2 2 2 5 4 3" xfId="15610"/>
    <cellStyle name="Normal 10 2 2 2 5 4 3 2" xfId="32890"/>
    <cellStyle name="Normal 10 2 2 2 5 4 4" xfId="21370"/>
    <cellStyle name="Normal 10 2 2 2 5 5" xfId="6970"/>
    <cellStyle name="Normal 10 2 2 2 5 5 2" xfId="24250"/>
    <cellStyle name="Normal 10 2 2 2 5 6" xfId="12730"/>
    <cellStyle name="Normal 10 2 2 2 5 6 2" xfId="30010"/>
    <cellStyle name="Normal 10 2 2 2 5 7" xfId="18490"/>
    <cellStyle name="Normal 10 2 2 2 6" xfId="1450"/>
    <cellStyle name="Normal 10 2 2 2 6 2" xfId="2170"/>
    <cellStyle name="Normal 10 2 2 2 6 2 2" xfId="3610"/>
    <cellStyle name="Normal 10 2 2 2 6 2 2 2" xfId="6490"/>
    <cellStyle name="Normal 10 2 2 2 6 2 2 2 2" xfId="12250"/>
    <cellStyle name="Normal 10 2 2 2 6 2 2 2 2 2" xfId="29530"/>
    <cellStyle name="Normal 10 2 2 2 6 2 2 2 3" xfId="18010"/>
    <cellStyle name="Normal 10 2 2 2 6 2 2 2 3 2" xfId="35290"/>
    <cellStyle name="Normal 10 2 2 2 6 2 2 2 4" xfId="23770"/>
    <cellStyle name="Normal 10 2 2 2 6 2 2 3" xfId="9370"/>
    <cellStyle name="Normal 10 2 2 2 6 2 2 3 2" xfId="26650"/>
    <cellStyle name="Normal 10 2 2 2 6 2 2 4" xfId="15130"/>
    <cellStyle name="Normal 10 2 2 2 6 2 2 4 2" xfId="32410"/>
    <cellStyle name="Normal 10 2 2 2 6 2 2 5" xfId="20890"/>
    <cellStyle name="Normal 10 2 2 2 6 2 3" xfId="5050"/>
    <cellStyle name="Normal 10 2 2 2 6 2 3 2" xfId="10810"/>
    <cellStyle name="Normal 10 2 2 2 6 2 3 2 2" xfId="28090"/>
    <cellStyle name="Normal 10 2 2 2 6 2 3 3" xfId="16570"/>
    <cellStyle name="Normal 10 2 2 2 6 2 3 3 2" xfId="33850"/>
    <cellStyle name="Normal 10 2 2 2 6 2 3 4" xfId="22330"/>
    <cellStyle name="Normal 10 2 2 2 6 2 4" xfId="7930"/>
    <cellStyle name="Normal 10 2 2 2 6 2 4 2" xfId="25210"/>
    <cellStyle name="Normal 10 2 2 2 6 2 5" xfId="13690"/>
    <cellStyle name="Normal 10 2 2 2 6 2 5 2" xfId="30970"/>
    <cellStyle name="Normal 10 2 2 2 6 2 6" xfId="19450"/>
    <cellStyle name="Normal 10 2 2 2 6 3" xfId="2890"/>
    <cellStyle name="Normal 10 2 2 2 6 3 2" xfId="5770"/>
    <cellStyle name="Normal 10 2 2 2 6 3 2 2" xfId="11530"/>
    <cellStyle name="Normal 10 2 2 2 6 3 2 2 2" xfId="28810"/>
    <cellStyle name="Normal 10 2 2 2 6 3 2 3" xfId="17290"/>
    <cellStyle name="Normal 10 2 2 2 6 3 2 3 2" xfId="34570"/>
    <cellStyle name="Normal 10 2 2 2 6 3 2 4" xfId="23050"/>
    <cellStyle name="Normal 10 2 2 2 6 3 3" xfId="8650"/>
    <cellStyle name="Normal 10 2 2 2 6 3 3 2" xfId="25930"/>
    <cellStyle name="Normal 10 2 2 2 6 3 4" xfId="14410"/>
    <cellStyle name="Normal 10 2 2 2 6 3 4 2" xfId="31690"/>
    <cellStyle name="Normal 10 2 2 2 6 3 5" xfId="20170"/>
    <cellStyle name="Normal 10 2 2 2 6 4" xfId="4330"/>
    <cellStyle name="Normal 10 2 2 2 6 4 2" xfId="10090"/>
    <cellStyle name="Normal 10 2 2 2 6 4 2 2" xfId="27370"/>
    <cellStyle name="Normal 10 2 2 2 6 4 3" xfId="15850"/>
    <cellStyle name="Normal 10 2 2 2 6 4 3 2" xfId="33130"/>
    <cellStyle name="Normal 10 2 2 2 6 4 4" xfId="21610"/>
    <cellStyle name="Normal 10 2 2 2 6 5" xfId="7210"/>
    <cellStyle name="Normal 10 2 2 2 6 5 2" xfId="24490"/>
    <cellStyle name="Normal 10 2 2 2 6 6" xfId="12970"/>
    <cellStyle name="Normal 10 2 2 2 6 6 2" xfId="30250"/>
    <cellStyle name="Normal 10 2 2 2 6 7" xfId="18730"/>
    <cellStyle name="Normal 10 2 2 2 7" xfId="1690"/>
    <cellStyle name="Normal 10 2 2 2 7 2" xfId="3130"/>
    <cellStyle name="Normal 10 2 2 2 7 2 2" xfId="6010"/>
    <cellStyle name="Normal 10 2 2 2 7 2 2 2" xfId="11770"/>
    <cellStyle name="Normal 10 2 2 2 7 2 2 2 2" xfId="29050"/>
    <cellStyle name="Normal 10 2 2 2 7 2 2 3" xfId="17530"/>
    <cellStyle name="Normal 10 2 2 2 7 2 2 3 2" xfId="34810"/>
    <cellStyle name="Normal 10 2 2 2 7 2 2 4" xfId="23290"/>
    <cellStyle name="Normal 10 2 2 2 7 2 3" xfId="8890"/>
    <cellStyle name="Normal 10 2 2 2 7 2 3 2" xfId="26170"/>
    <cellStyle name="Normal 10 2 2 2 7 2 4" xfId="14650"/>
    <cellStyle name="Normal 10 2 2 2 7 2 4 2" xfId="31930"/>
    <cellStyle name="Normal 10 2 2 2 7 2 5" xfId="20410"/>
    <cellStyle name="Normal 10 2 2 2 7 3" xfId="4570"/>
    <cellStyle name="Normal 10 2 2 2 7 3 2" xfId="10330"/>
    <cellStyle name="Normal 10 2 2 2 7 3 2 2" xfId="27610"/>
    <cellStyle name="Normal 10 2 2 2 7 3 3" xfId="16090"/>
    <cellStyle name="Normal 10 2 2 2 7 3 3 2" xfId="33370"/>
    <cellStyle name="Normal 10 2 2 2 7 3 4" xfId="21850"/>
    <cellStyle name="Normal 10 2 2 2 7 4" xfId="7450"/>
    <cellStyle name="Normal 10 2 2 2 7 4 2" xfId="24730"/>
    <cellStyle name="Normal 10 2 2 2 7 5" xfId="13210"/>
    <cellStyle name="Normal 10 2 2 2 7 5 2" xfId="30490"/>
    <cellStyle name="Normal 10 2 2 2 7 6" xfId="18970"/>
    <cellStyle name="Normal 10 2 2 2 8" xfId="2410"/>
    <cellStyle name="Normal 10 2 2 2 8 2" xfId="5290"/>
    <cellStyle name="Normal 10 2 2 2 8 2 2" xfId="11050"/>
    <cellStyle name="Normal 10 2 2 2 8 2 2 2" xfId="28330"/>
    <cellStyle name="Normal 10 2 2 2 8 2 3" xfId="16810"/>
    <cellStyle name="Normal 10 2 2 2 8 2 3 2" xfId="34090"/>
    <cellStyle name="Normal 10 2 2 2 8 2 4" xfId="22570"/>
    <cellStyle name="Normal 10 2 2 2 8 3" xfId="8170"/>
    <cellStyle name="Normal 10 2 2 2 8 3 2" xfId="25450"/>
    <cellStyle name="Normal 10 2 2 2 8 4" xfId="13930"/>
    <cellStyle name="Normal 10 2 2 2 8 4 2" xfId="31210"/>
    <cellStyle name="Normal 10 2 2 2 8 5" xfId="19690"/>
    <cellStyle name="Normal 10 2 2 2 9" xfId="3850"/>
    <cellStyle name="Normal 10 2 2 2 9 2" xfId="9610"/>
    <cellStyle name="Normal 10 2 2 2 9 2 2" xfId="26890"/>
    <cellStyle name="Normal 10 2 2 2 9 3" xfId="15370"/>
    <cellStyle name="Normal 10 2 2 2 9 3 2" xfId="32650"/>
    <cellStyle name="Normal 10 2 2 2 9 4" xfId="21130"/>
    <cellStyle name="Normal 10 2 2 3" xfId="1030"/>
    <cellStyle name="Normal 10 2 2 3 10" xfId="18310"/>
    <cellStyle name="Normal 10 2 2 3 2" xfId="1150"/>
    <cellStyle name="Normal 10 2 2 3 2 2" xfId="1390"/>
    <cellStyle name="Normal 10 2 2 3 2 2 2" xfId="2110"/>
    <cellStyle name="Normal 10 2 2 3 2 2 2 2" xfId="3550"/>
    <cellStyle name="Normal 10 2 2 3 2 2 2 2 2" xfId="6430"/>
    <cellStyle name="Normal 10 2 2 3 2 2 2 2 2 2" xfId="12190"/>
    <cellStyle name="Normal 10 2 2 3 2 2 2 2 2 2 2" xfId="29470"/>
    <cellStyle name="Normal 10 2 2 3 2 2 2 2 2 3" xfId="17950"/>
    <cellStyle name="Normal 10 2 2 3 2 2 2 2 2 3 2" xfId="35230"/>
    <cellStyle name="Normal 10 2 2 3 2 2 2 2 2 4" xfId="23710"/>
    <cellStyle name="Normal 10 2 2 3 2 2 2 2 3" xfId="9310"/>
    <cellStyle name="Normal 10 2 2 3 2 2 2 2 3 2" xfId="26590"/>
    <cellStyle name="Normal 10 2 2 3 2 2 2 2 4" xfId="15070"/>
    <cellStyle name="Normal 10 2 2 3 2 2 2 2 4 2" xfId="32350"/>
    <cellStyle name="Normal 10 2 2 3 2 2 2 2 5" xfId="20830"/>
    <cellStyle name="Normal 10 2 2 3 2 2 2 3" xfId="4990"/>
    <cellStyle name="Normal 10 2 2 3 2 2 2 3 2" xfId="10750"/>
    <cellStyle name="Normal 10 2 2 3 2 2 2 3 2 2" xfId="28030"/>
    <cellStyle name="Normal 10 2 2 3 2 2 2 3 3" xfId="16510"/>
    <cellStyle name="Normal 10 2 2 3 2 2 2 3 3 2" xfId="33790"/>
    <cellStyle name="Normal 10 2 2 3 2 2 2 3 4" xfId="22270"/>
    <cellStyle name="Normal 10 2 2 3 2 2 2 4" xfId="7870"/>
    <cellStyle name="Normal 10 2 2 3 2 2 2 4 2" xfId="25150"/>
    <cellStyle name="Normal 10 2 2 3 2 2 2 5" xfId="13630"/>
    <cellStyle name="Normal 10 2 2 3 2 2 2 5 2" xfId="30910"/>
    <cellStyle name="Normal 10 2 2 3 2 2 2 6" xfId="19390"/>
    <cellStyle name="Normal 10 2 2 3 2 2 3" xfId="2830"/>
    <cellStyle name="Normal 10 2 2 3 2 2 3 2" xfId="5710"/>
    <cellStyle name="Normal 10 2 2 3 2 2 3 2 2" xfId="11470"/>
    <cellStyle name="Normal 10 2 2 3 2 2 3 2 2 2" xfId="28750"/>
    <cellStyle name="Normal 10 2 2 3 2 2 3 2 3" xfId="17230"/>
    <cellStyle name="Normal 10 2 2 3 2 2 3 2 3 2" xfId="34510"/>
    <cellStyle name="Normal 10 2 2 3 2 2 3 2 4" xfId="22990"/>
    <cellStyle name="Normal 10 2 2 3 2 2 3 3" xfId="8590"/>
    <cellStyle name="Normal 10 2 2 3 2 2 3 3 2" xfId="25870"/>
    <cellStyle name="Normal 10 2 2 3 2 2 3 4" xfId="14350"/>
    <cellStyle name="Normal 10 2 2 3 2 2 3 4 2" xfId="31630"/>
    <cellStyle name="Normal 10 2 2 3 2 2 3 5" xfId="20110"/>
    <cellStyle name="Normal 10 2 2 3 2 2 4" xfId="4270"/>
    <cellStyle name="Normal 10 2 2 3 2 2 4 2" xfId="10030"/>
    <cellStyle name="Normal 10 2 2 3 2 2 4 2 2" xfId="27310"/>
    <cellStyle name="Normal 10 2 2 3 2 2 4 3" xfId="15790"/>
    <cellStyle name="Normal 10 2 2 3 2 2 4 3 2" xfId="33070"/>
    <cellStyle name="Normal 10 2 2 3 2 2 4 4" xfId="21550"/>
    <cellStyle name="Normal 10 2 2 3 2 2 5" xfId="7150"/>
    <cellStyle name="Normal 10 2 2 3 2 2 5 2" xfId="24430"/>
    <cellStyle name="Normal 10 2 2 3 2 2 6" xfId="12910"/>
    <cellStyle name="Normal 10 2 2 3 2 2 6 2" xfId="30190"/>
    <cellStyle name="Normal 10 2 2 3 2 2 7" xfId="18670"/>
    <cellStyle name="Normal 10 2 2 3 2 3" xfId="1630"/>
    <cellStyle name="Normal 10 2 2 3 2 3 2" xfId="2350"/>
    <cellStyle name="Normal 10 2 2 3 2 3 2 2" xfId="3790"/>
    <cellStyle name="Normal 10 2 2 3 2 3 2 2 2" xfId="6670"/>
    <cellStyle name="Normal 10 2 2 3 2 3 2 2 2 2" xfId="12430"/>
    <cellStyle name="Normal 10 2 2 3 2 3 2 2 2 2 2" xfId="29710"/>
    <cellStyle name="Normal 10 2 2 3 2 3 2 2 2 3" xfId="18190"/>
    <cellStyle name="Normal 10 2 2 3 2 3 2 2 2 3 2" xfId="35470"/>
    <cellStyle name="Normal 10 2 2 3 2 3 2 2 2 4" xfId="23950"/>
    <cellStyle name="Normal 10 2 2 3 2 3 2 2 3" xfId="9550"/>
    <cellStyle name="Normal 10 2 2 3 2 3 2 2 3 2" xfId="26830"/>
    <cellStyle name="Normal 10 2 2 3 2 3 2 2 4" xfId="15310"/>
    <cellStyle name="Normal 10 2 2 3 2 3 2 2 4 2" xfId="32590"/>
    <cellStyle name="Normal 10 2 2 3 2 3 2 2 5" xfId="21070"/>
    <cellStyle name="Normal 10 2 2 3 2 3 2 3" xfId="5230"/>
    <cellStyle name="Normal 10 2 2 3 2 3 2 3 2" xfId="10990"/>
    <cellStyle name="Normal 10 2 2 3 2 3 2 3 2 2" xfId="28270"/>
    <cellStyle name="Normal 10 2 2 3 2 3 2 3 3" xfId="16750"/>
    <cellStyle name="Normal 10 2 2 3 2 3 2 3 3 2" xfId="34030"/>
    <cellStyle name="Normal 10 2 2 3 2 3 2 3 4" xfId="22510"/>
    <cellStyle name="Normal 10 2 2 3 2 3 2 4" xfId="8110"/>
    <cellStyle name="Normal 10 2 2 3 2 3 2 4 2" xfId="25390"/>
    <cellStyle name="Normal 10 2 2 3 2 3 2 5" xfId="13870"/>
    <cellStyle name="Normal 10 2 2 3 2 3 2 5 2" xfId="31150"/>
    <cellStyle name="Normal 10 2 2 3 2 3 2 6" xfId="19630"/>
    <cellStyle name="Normal 10 2 2 3 2 3 3" xfId="3070"/>
    <cellStyle name="Normal 10 2 2 3 2 3 3 2" xfId="5950"/>
    <cellStyle name="Normal 10 2 2 3 2 3 3 2 2" xfId="11710"/>
    <cellStyle name="Normal 10 2 2 3 2 3 3 2 2 2" xfId="28990"/>
    <cellStyle name="Normal 10 2 2 3 2 3 3 2 3" xfId="17470"/>
    <cellStyle name="Normal 10 2 2 3 2 3 3 2 3 2" xfId="34750"/>
    <cellStyle name="Normal 10 2 2 3 2 3 3 2 4" xfId="23230"/>
    <cellStyle name="Normal 10 2 2 3 2 3 3 3" xfId="8830"/>
    <cellStyle name="Normal 10 2 2 3 2 3 3 3 2" xfId="26110"/>
    <cellStyle name="Normal 10 2 2 3 2 3 3 4" xfId="14590"/>
    <cellStyle name="Normal 10 2 2 3 2 3 3 4 2" xfId="31870"/>
    <cellStyle name="Normal 10 2 2 3 2 3 3 5" xfId="20350"/>
    <cellStyle name="Normal 10 2 2 3 2 3 4" xfId="4510"/>
    <cellStyle name="Normal 10 2 2 3 2 3 4 2" xfId="10270"/>
    <cellStyle name="Normal 10 2 2 3 2 3 4 2 2" xfId="27550"/>
    <cellStyle name="Normal 10 2 2 3 2 3 4 3" xfId="16030"/>
    <cellStyle name="Normal 10 2 2 3 2 3 4 3 2" xfId="33310"/>
    <cellStyle name="Normal 10 2 2 3 2 3 4 4" xfId="21790"/>
    <cellStyle name="Normal 10 2 2 3 2 3 5" xfId="7390"/>
    <cellStyle name="Normal 10 2 2 3 2 3 5 2" xfId="24670"/>
    <cellStyle name="Normal 10 2 2 3 2 3 6" xfId="13150"/>
    <cellStyle name="Normal 10 2 2 3 2 3 6 2" xfId="30430"/>
    <cellStyle name="Normal 10 2 2 3 2 3 7" xfId="18910"/>
    <cellStyle name="Normal 10 2 2 3 2 4" xfId="1870"/>
    <cellStyle name="Normal 10 2 2 3 2 4 2" xfId="3310"/>
    <cellStyle name="Normal 10 2 2 3 2 4 2 2" xfId="6190"/>
    <cellStyle name="Normal 10 2 2 3 2 4 2 2 2" xfId="11950"/>
    <cellStyle name="Normal 10 2 2 3 2 4 2 2 2 2" xfId="29230"/>
    <cellStyle name="Normal 10 2 2 3 2 4 2 2 3" xfId="17710"/>
    <cellStyle name="Normal 10 2 2 3 2 4 2 2 3 2" xfId="34990"/>
    <cellStyle name="Normal 10 2 2 3 2 4 2 2 4" xfId="23470"/>
    <cellStyle name="Normal 10 2 2 3 2 4 2 3" xfId="9070"/>
    <cellStyle name="Normal 10 2 2 3 2 4 2 3 2" xfId="26350"/>
    <cellStyle name="Normal 10 2 2 3 2 4 2 4" xfId="14830"/>
    <cellStyle name="Normal 10 2 2 3 2 4 2 4 2" xfId="32110"/>
    <cellStyle name="Normal 10 2 2 3 2 4 2 5" xfId="20590"/>
    <cellStyle name="Normal 10 2 2 3 2 4 3" xfId="4750"/>
    <cellStyle name="Normal 10 2 2 3 2 4 3 2" xfId="10510"/>
    <cellStyle name="Normal 10 2 2 3 2 4 3 2 2" xfId="27790"/>
    <cellStyle name="Normal 10 2 2 3 2 4 3 3" xfId="16270"/>
    <cellStyle name="Normal 10 2 2 3 2 4 3 3 2" xfId="33550"/>
    <cellStyle name="Normal 10 2 2 3 2 4 3 4" xfId="22030"/>
    <cellStyle name="Normal 10 2 2 3 2 4 4" xfId="7630"/>
    <cellStyle name="Normal 10 2 2 3 2 4 4 2" xfId="24910"/>
    <cellStyle name="Normal 10 2 2 3 2 4 5" xfId="13390"/>
    <cellStyle name="Normal 10 2 2 3 2 4 5 2" xfId="30670"/>
    <cellStyle name="Normal 10 2 2 3 2 4 6" xfId="19150"/>
    <cellStyle name="Normal 10 2 2 3 2 5" xfId="2590"/>
    <cellStyle name="Normal 10 2 2 3 2 5 2" xfId="5470"/>
    <cellStyle name="Normal 10 2 2 3 2 5 2 2" xfId="11230"/>
    <cellStyle name="Normal 10 2 2 3 2 5 2 2 2" xfId="28510"/>
    <cellStyle name="Normal 10 2 2 3 2 5 2 3" xfId="16990"/>
    <cellStyle name="Normal 10 2 2 3 2 5 2 3 2" xfId="34270"/>
    <cellStyle name="Normal 10 2 2 3 2 5 2 4" xfId="22750"/>
    <cellStyle name="Normal 10 2 2 3 2 5 3" xfId="8350"/>
    <cellStyle name="Normal 10 2 2 3 2 5 3 2" xfId="25630"/>
    <cellStyle name="Normal 10 2 2 3 2 5 4" xfId="14110"/>
    <cellStyle name="Normal 10 2 2 3 2 5 4 2" xfId="31390"/>
    <cellStyle name="Normal 10 2 2 3 2 5 5" xfId="19870"/>
    <cellStyle name="Normal 10 2 2 3 2 6" xfId="4030"/>
    <cellStyle name="Normal 10 2 2 3 2 6 2" xfId="9790"/>
    <cellStyle name="Normal 10 2 2 3 2 6 2 2" xfId="27070"/>
    <cellStyle name="Normal 10 2 2 3 2 6 3" xfId="15550"/>
    <cellStyle name="Normal 10 2 2 3 2 6 3 2" xfId="32830"/>
    <cellStyle name="Normal 10 2 2 3 2 6 4" xfId="21310"/>
    <cellStyle name="Normal 10 2 2 3 2 7" xfId="6910"/>
    <cellStyle name="Normal 10 2 2 3 2 7 2" xfId="24190"/>
    <cellStyle name="Normal 10 2 2 3 2 8" xfId="12670"/>
    <cellStyle name="Normal 10 2 2 3 2 8 2" xfId="29950"/>
    <cellStyle name="Normal 10 2 2 3 2 9" xfId="18430"/>
    <cellStyle name="Normal 10 2 2 3 3" xfId="1270"/>
    <cellStyle name="Normal 10 2 2 3 3 2" xfId="1990"/>
    <cellStyle name="Normal 10 2 2 3 3 2 2" xfId="3430"/>
    <cellStyle name="Normal 10 2 2 3 3 2 2 2" xfId="6310"/>
    <cellStyle name="Normal 10 2 2 3 3 2 2 2 2" xfId="12070"/>
    <cellStyle name="Normal 10 2 2 3 3 2 2 2 2 2" xfId="29350"/>
    <cellStyle name="Normal 10 2 2 3 3 2 2 2 3" xfId="17830"/>
    <cellStyle name="Normal 10 2 2 3 3 2 2 2 3 2" xfId="35110"/>
    <cellStyle name="Normal 10 2 2 3 3 2 2 2 4" xfId="23590"/>
    <cellStyle name="Normal 10 2 2 3 3 2 2 3" xfId="9190"/>
    <cellStyle name="Normal 10 2 2 3 3 2 2 3 2" xfId="26470"/>
    <cellStyle name="Normal 10 2 2 3 3 2 2 4" xfId="14950"/>
    <cellStyle name="Normal 10 2 2 3 3 2 2 4 2" xfId="32230"/>
    <cellStyle name="Normal 10 2 2 3 3 2 2 5" xfId="20710"/>
    <cellStyle name="Normal 10 2 2 3 3 2 3" xfId="4870"/>
    <cellStyle name="Normal 10 2 2 3 3 2 3 2" xfId="10630"/>
    <cellStyle name="Normal 10 2 2 3 3 2 3 2 2" xfId="27910"/>
    <cellStyle name="Normal 10 2 2 3 3 2 3 3" xfId="16390"/>
    <cellStyle name="Normal 10 2 2 3 3 2 3 3 2" xfId="33670"/>
    <cellStyle name="Normal 10 2 2 3 3 2 3 4" xfId="22150"/>
    <cellStyle name="Normal 10 2 2 3 3 2 4" xfId="7750"/>
    <cellStyle name="Normal 10 2 2 3 3 2 4 2" xfId="25030"/>
    <cellStyle name="Normal 10 2 2 3 3 2 5" xfId="13510"/>
    <cellStyle name="Normal 10 2 2 3 3 2 5 2" xfId="30790"/>
    <cellStyle name="Normal 10 2 2 3 3 2 6" xfId="19270"/>
    <cellStyle name="Normal 10 2 2 3 3 3" xfId="2710"/>
    <cellStyle name="Normal 10 2 2 3 3 3 2" xfId="5590"/>
    <cellStyle name="Normal 10 2 2 3 3 3 2 2" xfId="11350"/>
    <cellStyle name="Normal 10 2 2 3 3 3 2 2 2" xfId="28630"/>
    <cellStyle name="Normal 10 2 2 3 3 3 2 3" xfId="17110"/>
    <cellStyle name="Normal 10 2 2 3 3 3 2 3 2" xfId="34390"/>
    <cellStyle name="Normal 10 2 2 3 3 3 2 4" xfId="22870"/>
    <cellStyle name="Normal 10 2 2 3 3 3 3" xfId="8470"/>
    <cellStyle name="Normal 10 2 2 3 3 3 3 2" xfId="25750"/>
    <cellStyle name="Normal 10 2 2 3 3 3 4" xfId="14230"/>
    <cellStyle name="Normal 10 2 2 3 3 3 4 2" xfId="31510"/>
    <cellStyle name="Normal 10 2 2 3 3 3 5" xfId="19990"/>
    <cellStyle name="Normal 10 2 2 3 3 4" xfId="4150"/>
    <cellStyle name="Normal 10 2 2 3 3 4 2" xfId="9910"/>
    <cellStyle name="Normal 10 2 2 3 3 4 2 2" xfId="27190"/>
    <cellStyle name="Normal 10 2 2 3 3 4 3" xfId="15670"/>
    <cellStyle name="Normal 10 2 2 3 3 4 3 2" xfId="32950"/>
    <cellStyle name="Normal 10 2 2 3 3 4 4" xfId="21430"/>
    <cellStyle name="Normal 10 2 2 3 3 5" xfId="7030"/>
    <cellStyle name="Normal 10 2 2 3 3 5 2" xfId="24310"/>
    <cellStyle name="Normal 10 2 2 3 3 6" xfId="12790"/>
    <cellStyle name="Normal 10 2 2 3 3 6 2" xfId="30070"/>
    <cellStyle name="Normal 10 2 2 3 3 7" xfId="18550"/>
    <cellStyle name="Normal 10 2 2 3 4" xfId="1510"/>
    <cellStyle name="Normal 10 2 2 3 4 2" xfId="2230"/>
    <cellStyle name="Normal 10 2 2 3 4 2 2" xfId="3670"/>
    <cellStyle name="Normal 10 2 2 3 4 2 2 2" xfId="6550"/>
    <cellStyle name="Normal 10 2 2 3 4 2 2 2 2" xfId="12310"/>
    <cellStyle name="Normal 10 2 2 3 4 2 2 2 2 2" xfId="29590"/>
    <cellStyle name="Normal 10 2 2 3 4 2 2 2 3" xfId="18070"/>
    <cellStyle name="Normal 10 2 2 3 4 2 2 2 3 2" xfId="35350"/>
    <cellStyle name="Normal 10 2 2 3 4 2 2 2 4" xfId="23830"/>
    <cellStyle name="Normal 10 2 2 3 4 2 2 3" xfId="9430"/>
    <cellStyle name="Normal 10 2 2 3 4 2 2 3 2" xfId="26710"/>
    <cellStyle name="Normal 10 2 2 3 4 2 2 4" xfId="15190"/>
    <cellStyle name="Normal 10 2 2 3 4 2 2 4 2" xfId="32470"/>
    <cellStyle name="Normal 10 2 2 3 4 2 2 5" xfId="20950"/>
    <cellStyle name="Normal 10 2 2 3 4 2 3" xfId="5110"/>
    <cellStyle name="Normal 10 2 2 3 4 2 3 2" xfId="10870"/>
    <cellStyle name="Normal 10 2 2 3 4 2 3 2 2" xfId="28150"/>
    <cellStyle name="Normal 10 2 2 3 4 2 3 3" xfId="16630"/>
    <cellStyle name="Normal 10 2 2 3 4 2 3 3 2" xfId="33910"/>
    <cellStyle name="Normal 10 2 2 3 4 2 3 4" xfId="22390"/>
    <cellStyle name="Normal 10 2 2 3 4 2 4" xfId="7990"/>
    <cellStyle name="Normal 10 2 2 3 4 2 4 2" xfId="25270"/>
    <cellStyle name="Normal 10 2 2 3 4 2 5" xfId="13750"/>
    <cellStyle name="Normal 10 2 2 3 4 2 5 2" xfId="31030"/>
    <cellStyle name="Normal 10 2 2 3 4 2 6" xfId="19510"/>
    <cellStyle name="Normal 10 2 2 3 4 3" xfId="2950"/>
    <cellStyle name="Normal 10 2 2 3 4 3 2" xfId="5830"/>
    <cellStyle name="Normal 10 2 2 3 4 3 2 2" xfId="11590"/>
    <cellStyle name="Normal 10 2 2 3 4 3 2 2 2" xfId="28870"/>
    <cellStyle name="Normal 10 2 2 3 4 3 2 3" xfId="17350"/>
    <cellStyle name="Normal 10 2 2 3 4 3 2 3 2" xfId="34630"/>
    <cellStyle name="Normal 10 2 2 3 4 3 2 4" xfId="23110"/>
    <cellStyle name="Normal 10 2 2 3 4 3 3" xfId="8710"/>
    <cellStyle name="Normal 10 2 2 3 4 3 3 2" xfId="25990"/>
    <cellStyle name="Normal 10 2 2 3 4 3 4" xfId="14470"/>
    <cellStyle name="Normal 10 2 2 3 4 3 4 2" xfId="31750"/>
    <cellStyle name="Normal 10 2 2 3 4 3 5" xfId="20230"/>
    <cellStyle name="Normal 10 2 2 3 4 4" xfId="4390"/>
    <cellStyle name="Normal 10 2 2 3 4 4 2" xfId="10150"/>
    <cellStyle name="Normal 10 2 2 3 4 4 2 2" xfId="27430"/>
    <cellStyle name="Normal 10 2 2 3 4 4 3" xfId="15910"/>
    <cellStyle name="Normal 10 2 2 3 4 4 3 2" xfId="33190"/>
    <cellStyle name="Normal 10 2 2 3 4 4 4" xfId="21670"/>
    <cellStyle name="Normal 10 2 2 3 4 5" xfId="7270"/>
    <cellStyle name="Normal 10 2 2 3 4 5 2" xfId="24550"/>
    <cellStyle name="Normal 10 2 2 3 4 6" xfId="13030"/>
    <cellStyle name="Normal 10 2 2 3 4 6 2" xfId="30310"/>
    <cellStyle name="Normal 10 2 2 3 4 7" xfId="18790"/>
    <cellStyle name="Normal 10 2 2 3 5" xfId="1750"/>
    <cellStyle name="Normal 10 2 2 3 5 2" xfId="3190"/>
    <cellStyle name="Normal 10 2 2 3 5 2 2" xfId="6070"/>
    <cellStyle name="Normal 10 2 2 3 5 2 2 2" xfId="11830"/>
    <cellStyle name="Normal 10 2 2 3 5 2 2 2 2" xfId="29110"/>
    <cellStyle name="Normal 10 2 2 3 5 2 2 3" xfId="17590"/>
    <cellStyle name="Normal 10 2 2 3 5 2 2 3 2" xfId="34870"/>
    <cellStyle name="Normal 10 2 2 3 5 2 2 4" xfId="23350"/>
    <cellStyle name="Normal 10 2 2 3 5 2 3" xfId="8950"/>
    <cellStyle name="Normal 10 2 2 3 5 2 3 2" xfId="26230"/>
    <cellStyle name="Normal 10 2 2 3 5 2 4" xfId="14710"/>
    <cellStyle name="Normal 10 2 2 3 5 2 4 2" xfId="31990"/>
    <cellStyle name="Normal 10 2 2 3 5 2 5" xfId="20470"/>
    <cellStyle name="Normal 10 2 2 3 5 3" xfId="4630"/>
    <cellStyle name="Normal 10 2 2 3 5 3 2" xfId="10390"/>
    <cellStyle name="Normal 10 2 2 3 5 3 2 2" xfId="27670"/>
    <cellStyle name="Normal 10 2 2 3 5 3 3" xfId="16150"/>
    <cellStyle name="Normal 10 2 2 3 5 3 3 2" xfId="33430"/>
    <cellStyle name="Normal 10 2 2 3 5 3 4" xfId="21910"/>
    <cellStyle name="Normal 10 2 2 3 5 4" xfId="7510"/>
    <cellStyle name="Normal 10 2 2 3 5 4 2" xfId="24790"/>
    <cellStyle name="Normal 10 2 2 3 5 5" xfId="13270"/>
    <cellStyle name="Normal 10 2 2 3 5 5 2" xfId="30550"/>
    <cellStyle name="Normal 10 2 2 3 5 6" xfId="19030"/>
    <cellStyle name="Normal 10 2 2 3 6" xfId="2470"/>
    <cellStyle name="Normal 10 2 2 3 6 2" xfId="5350"/>
    <cellStyle name="Normal 10 2 2 3 6 2 2" xfId="11110"/>
    <cellStyle name="Normal 10 2 2 3 6 2 2 2" xfId="28390"/>
    <cellStyle name="Normal 10 2 2 3 6 2 3" xfId="16870"/>
    <cellStyle name="Normal 10 2 2 3 6 2 3 2" xfId="34150"/>
    <cellStyle name="Normal 10 2 2 3 6 2 4" xfId="22630"/>
    <cellStyle name="Normal 10 2 2 3 6 3" xfId="8230"/>
    <cellStyle name="Normal 10 2 2 3 6 3 2" xfId="25510"/>
    <cellStyle name="Normal 10 2 2 3 6 4" xfId="13990"/>
    <cellStyle name="Normal 10 2 2 3 6 4 2" xfId="31270"/>
    <cellStyle name="Normal 10 2 2 3 6 5" xfId="19750"/>
    <cellStyle name="Normal 10 2 2 3 7" xfId="3910"/>
    <cellStyle name="Normal 10 2 2 3 7 2" xfId="9670"/>
    <cellStyle name="Normal 10 2 2 3 7 2 2" xfId="26950"/>
    <cellStyle name="Normal 10 2 2 3 7 3" xfId="15430"/>
    <cellStyle name="Normal 10 2 2 3 7 3 2" xfId="32710"/>
    <cellStyle name="Normal 10 2 2 3 7 4" xfId="21190"/>
    <cellStyle name="Normal 10 2 2 3 8" xfId="6790"/>
    <cellStyle name="Normal 10 2 2 3 8 2" xfId="24070"/>
    <cellStyle name="Normal 10 2 2 3 9" xfId="12550"/>
    <cellStyle name="Normal 10 2 2 3 9 2" xfId="29830"/>
    <cellStyle name="Normal 10 2 2 4" xfId="990"/>
    <cellStyle name="Normal 10 2 2 4 10" xfId="18270"/>
    <cellStyle name="Normal 10 2 2 4 2" xfId="1110"/>
    <cellStyle name="Normal 10 2 2 4 2 2" xfId="1350"/>
    <cellStyle name="Normal 10 2 2 4 2 2 2" xfId="2070"/>
    <cellStyle name="Normal 10 2 2 4 2 2 2 2" xfId="3510"/>
    <cellStyle name="Normal 10 2 2 4 2 2 2 2 2" xfId="6390"/>
    <cellStyle name="Normal 10 2 2 4 2 2 2 2 2 2" xfId="12150"/>
    <cellStyle name="Normal 10 2 2 4 2 2 2 2 2 2 2" xfId="29430"/>
    <cellStyle name="Normal 10 2 2 4 2 2 2 2 2 3" xfId="17910"/>
    <cellStyle name="Normal 10 2 2 4 2 2 2 2 2 3 2" xfId="35190"/>
    <cellStyle name="Normal 10 2 2 4 2 2 2 2 2 4" xfId="23670"/>
    <cellStyle name="Normal 10 2 2 4 2 2 2 2 3" xfId="9270"/>
    <cellStyle name="Normal 10 2 2 4 2 2 2 2 3 2" xfId="26550"/>
    <cellStyle name="Normal 10 2 2 4 2 2 2 2 4" xfId="15030"/>
    <cellStyle name="Normal 10 2 2 4 2 2 2 2 4 2" xfId="32310"/>
    <cellStyle name="Normal 10 2 2 4 2 2 2 2 5" xfId="20790"/>
    <cellStyle name="Normal 10 2 2 4 2 2 2 3" xfId="4950"/>
    <cellStyle name="Normal 10 2 2 4 2 2 2 3 2" xfId="10710"/>
    <cellStyle name="Normal 10 2 2 4 2 2 2 3 2 2" xfId="27990"/>
    <cellStyle name="Normal 10 2 2 4 2 2 2 3 3" xfId="16470"/>
    <cellStyle name="Normal 10 2 2 4 2 2 2 3 3 2" xfId="33750"/>
    <cellStyle name="Normal 10 2 2 4 2 2 2 3 4" xfId="22230"/>
    <cellStyle name="Normal 10 2 2 4 2 2 2 4" xfId="7830"/>
    <cellStyle name="Normal 10 2 2 4 2 2 2 4 2" xfId="25110"/>
    <cellStyle name="Normal 10 2 2 4 2 2 2 5" xfId="13590"/>
    <cellStyle name="Normal 10 2 2 4 2 2 2 5 2" xfId="30870"/>
    <cellStyle name="Normal 10 2 2 4 2 2 2 6" xfId="19350"/>
    <cellStyle name="Normal 10 2 2 4 2 2 3" xfId="2790"/>
    <cellStyle name="Normal 10 2 2 4 2 2 3 2" xfId="5670"/>
    <cellStyle name="Normal 10 2 2 4 2 2 3 2 2" xfId="11430"/>
    <cellStyle name="Normal 10 2 2 4 2 2 3 2 2 2" xfId="28710"/>
    <cellStyle name="Normal 10 2 2 4 2 2 3 2 3" xfId="17190"/>
    <cellStyle name="Normal 10 2 2 4 2 2 3 2 3 2" xfId="34470"/>
    <cellStyle name="Normal 10 2 2 4 2 2 3 2 4" xfId="22950"/>
    <cellStyle name="Normal 10 2 2 4 2 2 3 3" xfId="8550"/>
    <cellStyle name="Normal 10 2 2 4 2 2 3 3 2" xfId="25830"/>
    <cellStyle name="Normal 10 2 2 4 2 2 3 4" xfId="14310"/>
    <cellStyle name="Normal 10 2 2 4 2 2 3 4 2" xfId="31590"/>
    <cellStyle name="Normal 10 2 2 4 2 2 3 5" xfId="20070"/>
    <cellStyle name="Normal 10 2 2 4 2 2 4" xfId="4230"/>
    <cellStyle name="Normal 10 2 2 4 2 2 4 2" xfId="9990"/>
    <cellStyle name="Normal 10 2 2 4 2 2 4 2 2" xfId="27270"/>
    <cellStyle name="Normal 10 2 2 4 2 2 4 3" xfId="15750"/>
    <cellStyle name="Normal 10 2 2 4 2 2 4 3 2" xfId="33030"/>
    <cellStyle name="Normal 10 2 2 4 2 2 4 4" xfId="21510"/>
    <cellStyle name="Normal 10 2 2 4 2 2 5" xfId="7110"/>
    <cellStyle name="Normal 10 2 2 4 2 2 5 2" xfId="24390"/>
    <cellStyle name="Normal 10 2 2 4 2 2 6" xfId="12870"/>
    <cellStyle name="Normal 10 2 2 4 2 2 6 2" xfId="30150"/>
    <cellStyle name="Normal 10 2 2 4 2 2 7" xfId="18630"/>
    <cellStyle name="Normal 10 2 2 4 2 3" xfId="1590"/>
    <cellStyle name="Normal 10 2 2 4 2 3 2" xfId="2310"/>
    <cellStyle name="Normal 10 2 2 4 2 3 2 2" xfId="3750"/>
    <cellStyle name="Normal 10 2 2 4 2 3 2 2 2" xfId="6630"/>
    <cellStyle name="Normal 10 2 2 4 2 3 2 2 2 2" xfId="12390"/>
    <cellStyle name="Normal 10 2 2 4 2 3 2 2 2 2 2" xfId="29670"/>
    <cellStyle name="Normal 10 2 2 4 2 3 2 2 2 3" xfId="18150"/>
    <cellStyle name="Normal 10 2 2 4 2 3 2 2 2 3 2" xfId="35430"/>
    <cellStyle name="Normal 10 2 2 4 2 3 2 2 2 4" xfId="23910"/>
    <cellStyle name="Normal 10 2 2 4 2 3 2 2 3" xfId="9510"/>
    <cellStyle name="Normal 10 2 2 4 2 3 2 2 3 2" xfId="26790"/>
    <cellStyle name="Normal 10 2 2 4 2 3 2 2 4" xfId="15270"/>
    <cellStyle name="Normal 10 2 2 4 2 3 2 2 4 2" xfId="32550"/>
    <cellStyle name="Normal 10 2 2 4 2 3 2 2 5" xfId="21030"/>
    <cellStyle name="Normal 10 2 2 4 2 3 2 3" xfId="5190"/>
    <cellStyle name="Normal 10 2 2 4 2 3 2 3 2" xfId="10950"/>
    <cellStyle name="Normal 10 2 2 4 2 3 2 3 2 2" xfId="28230"/>
    <cellStyle name="Normal 10 2 2 4 2 3 2 3 3" xfId="16710"/>
    <cellStyle name="Normal 10 2 2 4 2 3 2 3 3 2" xfId="33990"/>
    <cellStyle name="Normal 10 2 2 4 2 3 2 3 4" xfId="22470"/>
    <cellStyle name="Normal 10 2 2 4 2 3 2 4" xfId="8070"/>
    <cellStyle name="Normal 10 2 2 4 2 3 2 4 2" xfId="25350"/>
    <cellStyle name="Normal 10 2 2 4 2 3 2 5" xfId="13830"/>
    <cellStyle name="Normal 10 2 2 4 2 3 2 5 2" xfId="31110"/>
    <cellStyle name="Normal 10 2 2 4 2 3 2 6" xfId="19590"/>
    <cellStyle name="Normal 10 2 2 4 2 3 3" xfId="3030"/>
    <cellStyle name="Normal 10 2 2 4 2 3 3 2" xfId="5910"/>
    <cellStyle name="Normal 10 2 2 4 2 3 3 2 2" xfId="11670"/>
    <cellStyle name="Normal 10 2 2 4 2 3 3 2 2 2" xfId="28950"/>
    <cellStyle name="Normal 10 2 2 4 2 3 3 2 3" xfId="17430"/>
    <cellStyle name="Normal 10 2 2 4 2 3 3 2 3 2" xfId="34710"/>
    <cellStyle name="Normal 10 2 2 4 2 3 3 2 4" xfId="23190"/>
    <cellStyle name="Normal 10 2 2 4 2 3 3 3" xfId="8790"/>
    <cellStyle name="Normal 10 2 2 4 2 3 3 3 2" xfId="26070"/>
    <cellStyle name="Normal 10 2 2 4 2 3 3 4" xfId="14550"/>
    <cellStyle name="Normal 10 2 2 4 2 3 3 4 2" xfId="31830"/>
    <cellStyle name="Normal 10 2 2 4 2 3 3 5" xfId="20310"/>
    <cellStyle name="Normal 10 2 2 4 2 3 4" xfId="4470"/>
    <cellStyle name="Normal 10 2 2 4 2 3 4 2" xfId="10230"/>
    <cellStyle name="Normal 10 2 2 4 2 3 4 2 2" xfId="27510"/>
    <cellStyle name="Normal 10 2 2 4 2 3 4 3" xfId="15990"/>
    <cellStyle name="Normal 10 2 2 4 2 3 4 3 2" xfId="33270"/>
    <cellStyle name="Normal 10 2 2 4 2 3 4 4" xfId="21750"/>
    <cellStyle name="Normal 10 2 2 4 2 3 5" xfId="7350"/>
    <cellStyle name="Normal 10 2 2 4 2 3 5 2" xfId="24630"/>
    <cellStyle name="Normal 10 2 2 4 2 3 6" xfId="13110"/>
    <cellStyle name="Normal 10 2 2 4 2 3 6 2" xfId="30390"/>
    <cellStyle name="Normal 10 2 2 4 2 3 7" xfId="18870"/>
    <cellStyle name="Normal 10 2 2 4 2 4" xfId="1830"/>
    <cellStyle name="Normal 10 2 2 4 2 4 2" xfId="3270"/>
    <cellStyle name="Normal 10 2 2 4 2 4 2 2" xfId="6150"/>
    <cellStyle name="Normal 10 2 2 4 2 4 2 2 2" xfId="11910"/>
    <cellStyle name="Normal 10 2 2 4 2 4 2 2 2 2" xfId="29190"/>
    <cellStyle name="Normal 10 2 2 4 2 4 2 2 3" xfId="17670"/>
    <cellStyle name="Normal 10 2 2 4 2 4 2 2 3 2" xfId="34950"/>
    <cellStyle name="Normal 10 2 2 4 2 4 2 2 4" xfId="23430"/>
    <cellStyle name="Normal 10 2 2 4 2 4 2 3" xfId="9030"/>
    <cellStyle name="Normal 10 2 2 4 2 4 2 3 2" xfId="26310"/>
    <cellStyle name="Normal 10 2 2 4 2 4 2 4" xfId="14790"/>
    <cellStyle name="Normal 10 2 2 4 2 4 2 4 2" xfId="32070"/>
    <cellStyle name="Normal 10 2 2 4 2 4 2 5" xfId="20550"/>
    <cellStyle name="Normal 10 2 2 4 2 4 3" xfId="4710"/>
    <cellStyle name="Normal 10 2 2 4 2 4 3 2" xfId="10470"/>
    <cellStyle name="Normal 10 2 2 4 2 4 3 2 2" xfId="27750"/>
    <cellStyle name="Normal 10 2 2 4 2 4 3 3" xfId="16230"/>
    <cellStyle name="Normal 10 2 2 4 2 4 3 3 2" xfId="33510"/>
    <cellStyle name="Normal 10 2 2 4 2 4 3 4" xfId="21990"/>
    <cellStyle name="Normal 10 2 2 4 2 4 4" xfId="7590"/>
    <cellStyle name="Normal 10 2 2 4 2 4 4 2" xfId="24870"/>
    <cellStyle name="Normal 10 2 2 4 2 4 5" xfId="13350"/>
    <cellStyle name="Normal 10 2 2 4 2 4 5 2" xfId="30630"/>
    <cellStyle name="Normal 10 2 2 4 2 4 6" xfId="19110"/>
    <cellStyle name="Normal 10 2 2 4 2 5" xfId="2550"/>
    <cellStyle name="Normal 10 2 2 4 2 5 2" xfId="5430"/>
    <cellStyle name="Normal 10 2 2 4 2 5 2 2" xfId="11190"/>
    <cellStyle name="Normal 10 2 2 4 2 5 2 2 2" xfId="28470"/>
    <cellStyle name="Normal 10 2 2 4 2 5 2 3" xfId="16950"/>
    <cellStyle name="Normal 10 2 2 4 2 5 2 3 2" xfId="34230"/>
    <cellStyle name="Normal 10 2 2 4 2 5 2 4" xfId="22710"/>
    <cellStyle name="Normal 10 2 2 4 2 5 3" xfId="8310"/>
    <cellStyle name="Normal 10 2 2 4 2 5 3 2" xfId="25590"/>
    <cellStyle name="Normal 10 2 2 4 2 5 4" xfId="14070"/>
    <cellStyle name="Normal 10 2 2 4 2 5 4 2" xfId="31350"/>
    <cellStyle name="Normal 10 2 2 4 2 5 5" xfId="19830"/>
    <cellStyle name="Normal 10 2 2 4 2 6" xfId="3990"/>
    <cellStyle name="Normal 10 2 2 4 2 6 2" xfId="9750"/>
    <cellStyle name="Normal 10 2 2 4 2 6 2 2" xfId="27030"/>
    <cellStyle name="Normal 10 2 2 4 2 6 3" xfId="15510"/>
    <cellStyle name="Normal 10 2 2 4 2 6 3 2" xfId="32790"/>
    <cellStyle name="Normal 10 2 2 4 2 6 4" xfId="21270"/>
    <cellStyle name="Normal 10 2 2 4 2 7" xfId="6870"/>
    <cellStyle name="Normal 10 2 2 4 2 7 2" xfId="24150"/>
    <cellStyle name="Normal 10 2 2 4 2 8" xfId="12630"/>
    <cellStyle name="Normal 10 2 2 4 2 8 2" xfId="29910"/>
    <cellStyle name="Normal 10 2 2 4 2 9" xfId="18390"/>
    <cellStyle name="Normal 10 2 2 4 3" xfId="1230"/>
    <cellStyle name="Normal 10 2 2 4 3 2" xfId="1950"/>
    <cellStyle name="Normal 10 2 2 4 3 2 2" xfId="3390"/>
    <cellStyle name="Normal 10 2 2 4 3 2 2 2" xfId="6270"/>
    <cellStyle name="Normal 10 2 2 4 3 2 2 2 2" xfId="12030"/>
    <cellStyle name="Normal 10 2 2 4 3 2 2 2 2 2" xfId="29310"/>
    <cellStyle name="Normal 10 2 2 4 3 2 2 2 3" xfId="17790"/>
    <cellStyle name="Normal 10 2 2 4 3 2 2 2 3 2" xfId="35070"/>
    <cellStyle name="Normal 10 2 2 4 3 2 2 2 4" xfId="23550"/>
    <cellStyle name="Normal 10 2 2 4 3 2 2 3" xfId="9150"/>
    <cellStyle name="Normal 10 2 2 4 3 2 2 3 2" xfId="26430"/>
    <cellStyle name="Normal 10 2 2 4 3 2 2 4" xfId="14910"/>
    <cellStyle name="Normal 10 2 2 4 3 2 2 4 2" xfId="32190"/>
    <cellStyle name="Normal 10 2 2 4 3 2 2 5" xfId="20670"/>
    <cellStyle name="Normal 10 2 2 4 3 2 3" xfId="4830"/>
    <cellStyle name="Normal 10 2 2 4 3 2 3 2" xfId="10590"/>
    <cellStyle name="Normal 10 2 2 4 3 2 3 2 2" xfId="27870"/>
    <cellStyle name="Normal 10 2 2 4 3 2 3 3" xfId="16350"/>
    <cellStyle name="Normal 10 2 2 4 3 2 3 3 2" xfId="33630"/>
    <cellStyle name="Normal 10 2 2 4 3 2 3 4" xfId="22110"/>
    <cellStyle name="Normal 10 2 2 4 3 2 4" xfId="7710"/>
    <cellStyle name="Normal 10 2 2 4 3 2 4 2" xfId="24990"/>
    <cellStyle name="Normal 10 2 2 4 3 2 5" xfId="13470"/>
    <cellStyle name="Normal 10 2 2 4 3 2 5 2" xfId="30750"/>
    <cellStyle name="Normal 10 2 2 4 3 2 6" xfId="19230"/>
    <cellStyle name="Normal 10 2 2 4 3 3" xfId="2670"/>
    <cellStyle name="Normal 10 2 2 4 3 3 2" xfId="5550"/>
    <cellStyle name="Normal 10 2 2 4 3 3 2 2" xfId="11310"/>
    <cellStyle name="Normal 10 2 2 4 3 3 2 2 2" xfId="28590"/>
    <cellStyle name="Normal 10 2 2 4 3 3 2 3" xfId="17070"/>
    <cellStyle name="Normal 10 2 2 4 3 3 2 3 2" xfId="34350"/>
    <cellStyle name="Normal 10 2 2 4 3 3 2 4" xfId="22830"/>
    <cellStyle name="Normal 10 2 2 4 3 3 3" xfId="8430"/>
    <cellStyle name="Normal 10 2 2 4 3 3 3 2" xfId="25710"/>
    <cellStyle name="Normal 10 2 2 4 3 3 4" xfId="14190"/>
    <cellStyle name="Normal 10 2 2 4 3 3 4 2" xfId="31470"/>
    <cellStyle name="Normal 10 2 2 4 3 3 5" xfId="19950"/>
    <cellStyle name="Normal 10 2 2 4 3 4" xfId="4110"/>
    <cellStyle name="Normal 10 2 2 4 3 4 2" xfId="9870"/>
    <cellStyle name="Normal 10 2 2 4 3 4 2 2" xfId="27150"/>
    <cellStyle name="Normal 10 2 2 4 3 4 3" xfId="15630"/>
    <cellStyle name="Normal 10 2 2 4 3 4 3 2" xfId="32910"/>
    <cellStyle name="Normal 10 2 2 4 3 4 4" xfId="21390"/>
    <cellStyle name="Normal 10 2 2 4 3 5" xfId="6990"/>
    <cellStyle name="Normal 10 2 2 4 3 5 2" xfId="24270"/>
    <cellStyle name="Normal 10 2 2 4 3 6" xfId="12750"/>
    <cellStyle name="Normal 10 2 2 4 3 6 2" xfId="30030"/>
    <cellStyle name="Normal 10 2 2 4 3 7" xfId="18510"/>
    <cellStyle name="Normal 10 2 2 4 4" xfId="1470"/>
    <cellStyle name="Normal 10 2 2 4 4 2" xfId="2190"/>
    <cellStyle name="Normal 10 2 2 4 4 2 2" xfId="3630"/>
    <cellStyle name="Normal 10 2 2 4 4 2 2 2" xfId="6510"/>
    <cellStyle name="Normal 10 2 2 4 4 2 2 2 2" xfId="12270"/>
    <cellStyle name="Normal 10 2 2 4 4 2 2 2 2 2" xfId="29550"/>
    <cellStyle name="Normal 10 2 2 4 4 2 2 2 3" xfId="18030"/>
    <cellStyle name="Normal 10 2 2 4 4 2 2 2 3 2" xfId="35310"/>
    <cellStyle name="Normal 10 2 2 4 4 2 2 2 4" xfId="23790"/>
    <cellStyle name="Normal 10 2 2 4 4 2 2 3" xfId="9390"/>
    <cellStyle name="Normal 10 2 2 4 4 2 2 3 2" xfId="26670"/>
    <cellStyle name="Normal 10 2 2 4 4 2 2 4" xfId="15150"/>
    <cellStyle name="Normal 10 2 2 4 4 2 2 4 2" xfId="32430"/>
    <cellStyle name="Normal 10 2 2 4 4 2 2 5" xfId="20910"/>
    <cellStyle name="Normal 10 2 2 4 4 2 3" xfId="5070"/>
    <cellStyle name="Normal 10 2 2 4 4 2 3 2" xfId="10830"/>
    <cellStyle name="Normal 10 2 2 4 4 2 3 2 2" xfId="28110"/>
    <cellStyle name="Normal 10 2 2 4 4 2 3 3" xfId="16590"/>
    <cellStyle name="Normal 10 2 2 4 4 2 3 3 2" xfId="33870"/>
    <cellStyle name="Normal 10 2 2 4 4 2 3 4" xfId="22350"/>
    <cellStyle name="Normal 10 2 2 4 4 2 4" xfId="7950"/>
    <cellStyle name="Normal 10 2 2 4 4 2 4 2" xfId="25230"/>
    <cellStyle name="Normal 10 2 2 4 4 2 5" xfId="13710"/>
    <cellStyle name="Normal 10 2 2 4 4 2 5 2" xfId="30990"/>
    <cellStyle name="Normal 10 2 2 4 4 2 6" xfId="19470"/>
    <cellStyle name="Normal 10 2 2 4 4 3" xfId="2910"/>
    <cellStyle name="Normal 10 2 2 4 4 3 2" xfId="5790"/>
    <cellStyle name="Normal 10 2 2 4 4 3 2 2" xfId="11550"/>
    <cellStyle name="Normal 10 2 2 4 4 3 2 2 2" xfId="28830"/>
    <cellStyle name="Normal 10 2 2 4 4 3 2 3" xfId="17310"/>
    <cellStyle name="Normal 10 2 2 4 4 3 2 3 2" xfId="34590"/>
    <cellStyle name="Normal 10 2 2 4 4 3 2 4" xfId="23070"/>
    <cellStyle name="Normal 10 2 2 4 4 3 3" xfId="8670"/>
    <cellStyle name="Normal 10 2 2 4 4 3 3 2" xfId="25950"/>
    <cellStyle name="Normal 10 2 2 4 4 3 4" xfId="14430"/>
    <cellStyle name="Normal 10 2 2 4 4 3 4 2" xfId="31710"/>
    <cellStyle name="Normal 10 2 2 4 4 3 5" xfId="20190"/>
    <cellStyle name="Normal 10 2 2 4 4 4" xfId="4350"/>
    <cellStyle name="Normal 10 2 2 4 4 4 2" xfId="10110"/>
    <cellStyle name="Normal 10 2 2 4 4 4 2 2" xfId="27390"/>
    <cellStyle name="Normal 10 2 2 4 4 4 3" xfId="15870"/>
    <cellStyle name="Normal 10 2 2 4 4 4 3 2" xfId="33150"/>
    <cellStyle name="Normal 10 2 2 4 4 4 4" xfId="21630"/>
    <cellStyle name="Normal 10 2 2 4 4 5" xfId="7230"/>
    <cellStyle name="Normal 10 2 2 4 4 5 2" xfId="24510"/>
    <cellStyle name="Normal 10 2 2 4 4 6" xfId="12990"/>
    <cellStyle name="Normal 10 2 2 4 4 6 2" xfId="30270"/>
    <cellStyle name="Normal 10 2 2 4 4 7" xfId="18750"/>
    <cellStyle name="Normal 10 2 2 4 5" xfId="1710"/>
    <cellStyle name="Normal 10 2 2 4 5 2" xfId="3150"/>
    <cellStyle name="Normal 10 2 2 4 5 2 2" xfId="6030"/>
    <cellStyle name="Normal 10 2 2 4 5 2 2 2" xfId="11790"/>
    <cellStyle name="Normal 10 2 2 4 5 2 2 2 2" xfId="29070"/>
    <cellStyle name="Normal 10 2 2 4 5 2 2 3" xfId="17550"/>
    <cellStyle name="Normal 10 2 2 4 5 2 2 3 2" xfId="34830"/>
    <cellStyle name="Normal 10 2 2 4 5 2 2 4" xfId="23310"/>
    <cellStyle name="Normal 10 2 2 4 5 2 3" xfId="8910"/>
    <cellStyle name="Normal 10 2 2 4 5 2 3 2" xfId="26190"/>
    <cellStyle name="Normal 10 2 2 4 5 2 4" xfId="14670"/>
    <cellStyle name="Normal 10 2 2 4 5 2 4 2" xfId="31950"/>
    <cellStyle name="Normal 10 2 2 4 5 2 5" xfId="20430"/>
    <cellStyle name="Normal 10 2 2 4 5 3" xfId="4590"/>
    <cellStyle name="Normal 10 2 2 4 5 3 2" xfId="10350"/>
    <cellStyle name="Normal 10 2 2 4 5 3 2 2" xfId="27630"/>
    <cellStyle name="Normal 10 2 2 4 5 3 3" xfId="16110"/>
    <cellStyle name="Normal 10 2 2 4 5 3 3 2" xfId="33390"/>
    <cellStyle name="Normal 10 2 2 4 5 3 4" xfId="21870"/>
    <cellStyle name="Normal 10 2 2 4 5 4" xfId="7470"/>
    <cellStyle name="Normal 10 2 2 4 5 4 2" xfId="24750"/>
    <cellStyle name="Normal 10 2 2 4 5 5" xfId="13230"/>
    <cellStyle name="Normal 10 2 2 4 5 5 2" xfId="30510"/>
    <cellStyle name="Normal 10 2 2 4 5 6" xfId="18990"/>
    <cellStyle name="Normal 10 2 2 4 6" xfId="2430"/>
    <cellStyle name="Normal 10 2 2 4 6 2" xfId="5310"/>
    <cellStyle name="Normal 10 2 2 4 6 2 2" xfId="11070"/>
    <cellStyle name="Normal 10 2 2 4 6 2 2 2" xfId="28350"/>
    <cellStyle name="Normal 10 2 2 4 6 2 3" xfId="16830"/>
    <cellStyle name="Normal 10 2 2 4 6 2 3 2" xfId="34110"/>
    <cellStyle name="Normal 10 2 2 4 6 2 4" xfId="22590"/>
    <cellStyle name="Normal 10 2 2 4 6 3" xfId="8190"/>
    <cellStyle name="Normal 10 2 2 4 6 3 2" xfId="25470"/>
    <cellStyle name="Normal 10 2 2 4 6 4" xfId="13950"/>
    <cellStyle name="Normal 10 2 2 4 6 4 2" xfId="31230"/>
    <cellStyle name="Normal 10 2 2 4 6 5" xfId="19710"/>
    <cellStyle name="Normal 10 2 2 4 7" xfId="3870"/>
    <cellStyle name="Normal 10 2 2 4 7 2" xfId="9630"/>
    <cellStyle name="Normal 10 2 2 4 7 2 2" xfId="26910"/>
    <cellStyle name="Normal 10 2 2 4 7 3" xfId="15390"/>
    <cellStyle name="Normal 10 2 2 4 7 3 2" xfId="32670"/>
    <cellStyle name="Normal 10 2 2 4 7 4" xfId="21150"/>
    <cellStyle name="Normal 10 2 2 4 8" xfId="6750"/>
    <cellStyle name="Normal 10 2 2 4 8 2" xfId="24030"/>
    <cellStyle name="Normal 10 2 2 4 9" xfId="12510"/>
    <cellStyle name="Normal 10 2 2 4 9 2" xfId="29790"/>
    <cellStyle name="Normal 10 2 2 5" xfId="1070"/>
    <cellStyle name="Normal 10 2 2 5 2" xfId="1310"/>
    <cellStyle name="Normal 10 2 2 5 2 2" xfId="2030"/>
    <cellStyle name="Normal 10 2 2 5 2 2 2" xfId="3470"/>
    <cellStyle name="Normal 10 2 2 5 2 2 2 2" xfId="6350"/>
    <cellStyle name="Normal 10 2 2 5 2 2 2 2 2" xfId="12110"/>
    <cellStyle name="Normal 10 2 2 5 2 2 2 2 2 2" xfId="29390"/>
    <cellStyle name="Normal 10 2 2 5 2 2 2 2 3" xfId="17870"/>
    <cellStyle name="Normal 10 2 2 5 2 2 2 2 3 2" xfId="35150"/>
    <cellStyle name="Normal 10 2 2 5 2 2 2 2 4" xfId="23630"/>
    <cellStyle name="Normal 10 2 2 5 2 2 2 3" xfId="9230"/>
    <cellStyle name="Normal 10 2 2 5 2 2 2 3 2" xfId="26510"/>
    <cellStyle name="Normal 10 2 2 5 2 2 2 4" xfId="14990"/>
    <cellStyle name="Normal 10 2 2 5 2 2 2 4 2" xfId="32270"/>
    <cellStyle name="Normal 10 2 2 5 2 2 2 5" xfId="20750"/>
    <cellStyle name="Normal 10 2 2 5 2 2 3" xfId="4910"/>
    <cellStyle name="Normal 10 2 2 5 2 2 3 2" xfId="10670"/>
    <cellStyle name="Normal 10 2 2 5 2 2 3 2 2" xfId="27950"/>
    <cellStyle name="Normal 10 2 2 5 2 2 3 3" xfId="16430"/>
    <cellStyle name="Normal 10 2 2 5 2 2 3 3 2" xfId="33710"/>
    <cellStyle name="Normal 10 2 2 5 2 2 3 4" xfId="22190"/>
    <cellStyle name="Normal 10 2 2 5 2 2 4" xfId="7790"/>
    <cellStyle name="Normal 10 2 2 5 2 2 4 2" xfId="25070"/>
    <cellStyle name="Normal 10 2 2 5 2 2 5" xfId="13550"/>
    <cellStyle name="Normal 10 2 2 5 2 2 5 2" xfId="30830"/>
    <cellStyle name="Normal 10 2 2 5 2 2 6" xfId="19310"/>
    <cellStyle name="Normal 10 2 2 5 2 3" xfId="2750"/>
    <cellStyle name="Normal 10 2 2 5 2 3 2" xfId="5630"/>
    <cellStyle name="Normal 10 2 2 5 2 3 2 2" xfId="11390"/>
    <cellStyle name="Normal 10 2 2 5 2 3 2 2 2" xfId="28670"/>
    <cellStyle name="Normal 10 2 2 5 2 3 2 3" xfId="17150"/>
    <cellStyle name="Normal 10 2 2 5 2 3 2 3 2" xfId="34430"/>
    <cellStyle name="Normal 10 2 2 5 2 3 2 4" xfId="22910"/>
    <cellStyle name="Normal 10 2 2 5 2 3 3" xfId="8510"/>
    <cellStyle name="Normal 10 2 2 5 2 3 3 2" xfId="25790"/>
    <cellStyle name="Normal 10 2 2 5 2 3 4" xfId="14270"/>
    <cellStyle name="Normal 10 2 2 5 2 3 4 2" xfId="31550"/>
    <cellStyle name="Normal 10 2 2 5 2 3 5" xfId="20030"/>
    <cellStyle name="Normal 10 2 2 5 2 4" xfId="4190"/>
    <cellStyle name="Normal 10 2 2 5 2 4 2" xfId="9950"/>
    <cellStyle name="Normal 10 2 2 5 2 4 2 2" xfId="27230"/>
    <cellStyle name="Normal 10 2 2 5 2 4 3" xfId="15710"/>
    <cellStyle name="Normal 10 2 2 5 2 4 3 2" xfId="32990"/>
    <cellStyle name="Normal 10 2 2 5 2 4 4" xfId="21470"/>
    <cellStyle name="Normal 10 2 2 5 2 5" xfId="7070"/>
    <cellStyle name="Normal 10 2 2 5 2 5 2" xfId="24350"/>
    <cellStyle name="Normal 10 2 2 5 2 6" xfId="12830"/>
    <cellStyle name="Normal 10 2 2 5 2 6 2" xfId="30110"/>
    <cellStyle name="Normal 10 2 2 5 2 7" xfId="18590"/>
    <cellStyle name="Normal 10 2 2 5 3" xfId="1550"/>
    <cellStyle name="Normal 10 2 2 5 3 2" xfId="2270"/>
    <cellStyle name="Normal 10 2 2 5 3 2 2" xfId="3710"/>
    <cellStyle name="Normal 10 2 2 5 3 2 2 2" xfId="6590"/>
    <cellStyle name="Normal 10 2 2 5 3 2 2 2 2" xfId="12350"/>
    <cellStyle name="Normal 10 2 2 5 3 2 2 2 2 2" xfId="29630"/>
    <cellStyle name="Normal 10 2 2 5 3 2 2 2 3" xfId="18110"/>
    <cellStyle name="Normal 10 2 2 5 3 2 2 2 3 2" xfId="35390"/>
    <cellStyle name="Normal 10 2 2 5 3 2 2 2 4" xfId="23870"/>
    <cellStyle name="Normal 10 2 2 5 3 2 2 3" xfId="9470"/>
    <cellStyle name="Normal 10 2 2 5 3 2 2 3 2" xfId="26750"/>
    <cellStyle name="Normal 10 2 2 5 3 2 2 4" xfId="15230"/>
    <cellStyle name="Normal 10 2 2 5 3 2 2 4 2" xfId="32510"/>
    <cellStyle name="Normal 10 2 2 5 3 2 2 5" xfId="20990"/>
    <cellStyle name="Normal 10 2 2 5 3 2 3" xfId="5150"/>
    <cellStyle name="Normal 10 2 2 5 3 2 3 2" xfId="10910"/>
    <cellStyle name="Normal 10 2 2 5 3 2 3 2 2" xfId="28190"/>
    <cellStyle name="Normal 10 2 2 5 3 2 3 3" xfId="16670"/>
    <cellStyle name="Normal 10 2 2 5 3 2 3 3 2" xfId="33950"/>
    <cellStyle name="Normal 10 2 2 5 3 2 3 4" xfId="22430"/>
    <cellStyle name="Normal 10 2 2 5 3 2 4" xfId="8030"/>
    <cellStyle name="Normal 10 2 2 5 3 2 4 2" xfId="25310"/>
    <cellStyle name="Normal 10 2 2 5 3 2 5" xfId="13790"/>
    <cellStyle name="Normal 10 2 2 5 3 2 5 2" xfId="31070"/>
    <cellStyle name="Normal 10 2 2 5 3 2 6" xfId="19550"/>
    <cellStyle name="Normal 10 2 2 5 3 3" xfId="2990"/>
    <cellStyle name="Normal 10 2 2 5 3 3 2" xfId="5870"/>
    <cellStyle name="Normal 10 2 2 5 3 3 2 2" xfId="11630"/>
    <cellStyle name="Normal 10 2 2 5 3 3 2 2 2" xfId="28910"/>
    <cellStyle name="Normal 10 2 2 5 3 3 2 3" xfId="17390"/>
    <cellStyle name="Normal 10 2 2 5 3 3 2 3 2" xfId="34670"/>
    <cellStyle name="Normal 10 2 2 5 3 3 2 4" xfId="23150"/>
    <cellStyle name="Normal 10 2 2 5 3 3 3" xfId="8750"/>
    <cellStyle name="Normal 10 2 2 5 3 3 3 2" xfId="26030"/>
    <cellStyle name="Normal 10 2 2 5 3 3 4" xfId="14510"/>
    <cellStyle name="Normal 10 2 2 5 3 3 4 2" xfId="31790"/>
    <cellStyle name="Normal 10 2 2 5 3 3 5" xfId="20270"/>
    <cellStyle name="Normal 10 2 2 5 3 4" xfId="4430"/>
    <cellStyle name="Normal 10 2 2 5 3 4 2" xfId="10190"/>
    <cellStyle name="Normal 10 2 2 5 3 4 2 2" xfId="27470"/>
    <cellStyle name="Normal 10 2 2 5 3 4 3" xfId="15950"/>
    <cellStyle name="Normal 10 2 2 5 3 4 3 2" xfId="33230"/>
    <cellStyle name="Normal 10 2 2 5 3 4 4" xfId="21710"/>
    <cellStyle name="Normal 10 2 2 5 3 5" xfId="7310"/>
    <cellStyle name="Normal 10 2 2 5 3 5 2" xfId="24590"/>
    <cellStyle name="Normal 10 2 2 5 3 6" xfId="13070"/>
    <cellStyle name="Normal 10 2 2 5 3 6 2" xfId="30350"/>
    <cellStyle name="Normal 10 2 2 5 3 7" xfId="18830"/>
    <cellStyle name="Normal 10 2 2 5 4" xfId="1790"/>
    <cellStyle name="Normal 10 2 2 5 4 2" xfId="3230"/>
    <cellStyle name="Normal 10 2 2 5 4 2 2" xfId="6110"/>
    <cellStyle name="Normal 10 2 2 5 4 2 2 2" xfId="11870"/>
    <cellStyle name="Normal 10 2 2 5 4 2 2 2 2" xfId="29150"/>
    <cellStyle name="Normal 10 2 2 5 4 2 2 3" xfId="17630"/>
    <cellStyle name="Normal 10 2 2 5 4 2 2 3 2" xfId="34910"/>
    <cellStyle name="Normal 10 2 2 5 4 2 2 4" xfId="23390"/>
    <cellStyle name="Normal 10 2 2 5 4 2 3" xfId="8990"/>
    <cellStyle name="Normal 10 2 2 5 4 2 3 2" xfId="26270"/>
    <cellStyle name="Normal 10 2 2 5 4 2 4" xfId="14750"/>
    <cellStyle name="Normal 10 2 2 5 4 2 4 2" xfId="32030"/>
    <cellStyle name="Normal 10 2 2 5 4 2 5" xfId="20510"/>
    <cellStyle name="Normal 10 2 2 5 4 3" xfId="4670"/>
    <cellStyle name="Normal 10 2 2 5 4 3 2" xfId="10430"/>
    <cellStyle name="Normal 10 2 2 5 4 3 2 2" xfId="27710"/>
    <cellStyle name="Normal 10 2 2 5 4 3 3" xfId="16190"/>
    <cellStyle name="Normal 10 2 2 5 4 3 3 2" xfId="33470"/>
    <cellStyle name="Normal 10 2 2 5 4 3 4" xfId="21950"/>
    <cellStyle name="Normal 10 2 2 5 4 4" xfId="7550"/>
    <cellStyle name="Normal 10 2 2 5 4 4 2" xfId="24830"/>
    <cellStyle name="Normal 10 2 2 5 4 5" xfId="13310"/>
    <cellStyle name="Normal 10 2 2 5 4 5 2" xfId="30590"/>
    <cellStyle name="Normal 10 2 2 5 4 6" xfId="19070"/>
    <cellStyle name="Normal 10 2 2 5 5" xfId="2510"/>
    <cellStyle name="Normal 10 2 2 5 5 2" xfId="5390"/>
    <cellStyle name="Normal 10 2 2 5 5 2 2" xfId="11150"/>
    <cellStyle name="Normal 10 2 2 5 5 2 2 2" xfId="28430"/>
    <cellStyle name="Normal 10 2 2 5 5 2 3" xfId="16910"/>
    <cellStyle name="Normal 10 2 2 5 5 2 3 2" xfId="34190"/>
    <cellStyle name="Normal 10 2 2 5 5 2 4" xfId="22670"/>
    <cellStyle name="Normal 10 2 2 5 5 3" xfId="8270"/>
    <cellStyle name="Normal 10 2 2 5 5 3 2" xfId="25550"/>
    <cellStyle name="Normal 10 2 2 5 5 4" xfId="14030"/>
    <cellStyle name="Normal 10 2 2 5 5 4 2" xfId="31310"/>
    <cellStyle name="Normal 10 2 2 5 5 5" xfId="19790"/>
    <cellStyle name="Normal 10 2 2 5 6" xfId="3950"/>
    <cellStyle name="Normal 10 2 2 5 6 2" xfId="9710"/>
    <cellStyle name="Normal 10 2 2 5 6 2 2" xfId="26990"/>
    <cellStyle name="Normal 10 2 2 5 6 3" xfId="15470"/>
    <cellStyle name="Normal 10 2 2 5 6 3 2" xfId="32750"/>
    <cellStyle name="Normal 10 2 2 5 6 4" xfId="21230"/>
    <cellStyle name="Normal 10 2 2 5 7" xfId="6830"/>
    <cellStyle name="Normal 10 2 2 5 7 2" xfId="24110"/>
    <cellStyle name="Normal 10 2 2 5 8" xfId="12590"/>
    <cellStyle name="Normal 10 2 2 5 8 2" xfId="29870"/>
    <cellStyle name="Normal 10 2 2 5 9" xfId="18350"/>
    <cellStyle name="Normal 10 2 2 6" xfId="1190"/>
    <cellStyle name="Normal 10 2 2 6 2" xfId="1910"/>
    <cellStyle name="Normal 10 2 2 6 2 2" xfId="3350"/>
    <cellStyle name="Normal 10 2 2 6 2 2 2" xfId="6230"/>
    <cellStyle name="Normal 10 2 2 6 2 2 2 2" xfId="11990"/>
    <cellStyle name="Normal 10 2 2 6 2 2 2 2 2" xfId="29270"/>
    <cellStyle name="Normal 10 2 2 6 2 2 2 3" xfId="17750"/>
    <cellStyle name="Normal 10 2 2 6 2 2 2 3 2" xfId="35030"/>
    <cellStyle name="Normal 10 2 2 6 2 2 2 4" xfId="23510"/>
    <cellStyle name="Normal 10 2 2 6 2 2 3" xfId="9110"/>
    <cellStyle name="Normal 10 2 2 6 2 2 3 2" xfId="26390"/>
    <cellStyle name="Normal 10 2 2 6 2 2 4" xfId="14870"/>
    <cellStyle name="Normal 10 2 2 6 2 2 4 2" xfId="32150"/>
    <cellStyle name="Normal 10 2 2 6 2 2 5" xfId="20630"/>
    <cellStyle name="Normal 10 2 2 6 2 3" xfId="4790"/>
    <cellStyle name="Normal 10 2 2 6 2 3 2" xfId="10550"/>
    <cellStyle name="Normal 10 2 2 6 2 3 2 2" xfId="27830"/>
    <cellStyle name="Normal 10 2 2 6 2 3 3" xfId="16310"/>
    <cellStyle name="Normal 10 2 2 6 2 3 3 2" xfId="33590"/>
    <cellStyle name="Normal 10 2 2 6 2 3 4" xfId="22070"/>
    <cellStyle name="Normal 10 2 2 6 2 4" xfId="7670"/>
    <cellStyle name="Normal 10 2 2 6 2 4 2" xfId="24950"/>
    <cellStyle name="Normal 10 2 2 6 2 5" xfId="13430"/>
    <cellStyle name="Normal 10 2 2 6 2 5 2" xfId="30710"/>
    <cellStyle name="Normal 10 2 2 6 2 6" xfId="19190"/>
    <cellStyle name="Normal 10 2 2 6 3" xfId="2630"/>
    <cellStyle name="Normal 10 2 2 6 3 2" xfId="5510"/>
    <cellStyle name="Normal 10 2 2 6 3 2 2" xfId="11270"/>
    <cellStyle name="Normal 10 2 2 6 3 2 2 2" xfId="28550"/>
    <cellStyle name="Normal 10 2 2 6 3 2 3" xfId="17030"/>
    <cellStyle name="Normal 10 2 2 6 3 2 3 2" xfId="34310"/>
    <cellStyle name="Normal 10 2 2 6 3 2 4" xfId="22790"/>
    <cellStyle name="Normal 10 2 2 6 3 3" xfId="8390"/>
    <cellStyle name="Normal 10 2 2 6 3 3 2" xfId="25670"/>
    <cellStyle name="Normal 10 2 2 6 3 4" xfId="14150"/>
    <cellStyle name="Normal 10 2 2 6 3 4 2" xfId="31430"/>
    <cellStyle name="Normal 10 2 2 6 3 5" xfId="19910"/>
    <cellStyle name="Normal 10 2 2 6 4" xfId="4070"/>
    <cellStyle name="Normal 10 2 2 6 4 2" xfId="9830"/>
    <cellStyle name="Normal 10 2 2 6 4 2 2" xfId="27110"/>
    <cellStyle name="Normal 10 2 2 6 4 3" xfId="15590"/>
    <cellStyle name="Normal 10 2 2 6 4 3 2" xfId="32870"/>
    <cellStyle name="Normal 10 2 2 6 4 4" xfId="21350"/>
    <cellStyle name="Normal 10 2 2 6 5" xfId="6950"/>
    <cellStyle name="Normal 10 2 2 6 5 2" xfId="24230"/>
    <cellStyle name="Normal 10 2 2 6 6" xfId="12710"/>
    <cellStyle name="Normal 10 2 2 6 6 2" xfId="29990"/>
    <cellStyle name="Normal 10 2 2 6 7" xfId="18470"/>
    <cellStyle name="Normal 10 2 2 7" xfId="1430"/>
    <cellStyle name="Normal 10 2 2 7 2" xfId="2150"/>
    <cellStyle name="Normal 10 2 2 7 2 2" xfId="3590"/>
    <cellStyle name="Normal 10 2 2 7 2 2 2" xfId="6470"/>
    <cellStyle name="Normal 10 2 2 7 2 2 2 2" xfId="12230"/>
    <cellStyle name="Normal 10 2 2 7 2 2 2 2 2" xfId="29510"/>
    <cellStyle name="Normal 10 2 2 7 2 2 2 3" xfId="17990"/>
    <cellStyle name="Normal 10 2 2 7 2 2 2 3 2" xfId="35270"/>
    <cellStyle name="Normal 10 2 2 7 2 2 2 4" xfId="23750"/>
    <cellStyle name="Normal 10 2 2 7 2 2 3" xfId="9350"/>
    <cellStyle name="Normal 10 2 2 7 2 2 3 2" xfId="26630"/>
    <cellStyle name="Normal 10 2 2 7 2 2 4" xfId="15110"/>
    <cellStyle name="Normal 10 2 2 7 2 2 4 2" xfId="32390"/>
    <cellStyle name="Normal 10 2 2 7 2 2 5" xfId="20870"/>
    <cellStyle name="Normal 10 2 2 7 2 3" xfId="5030"/>
    <cellStyle name="Normal 10 2 2 7 2 3 2" xfId="10790"/>
    <cellStyle name="Normal 10 2 2 7 2 3 2 2" xfId="28070"/>
    <cellStyle name="Normal 10 2 2 7 2 3 3" xfId="16550"/>
    <cellStyle name="Normal 10 2 2 7 2 3 3 2" xfId="33830"/>
    <cellStyle name="Normal 10 2 2 7 2 3 4" xfId="22310"/>
    <cellStyle name="Normal 10 2 2 7 2 4" xfId="7910"/>
    <cellStyle name="Normal 10 2 2 7 2 4 2" xfId="25190"/>
    <cellStyle name="Normal 10 2 2 7 2 5" xfId="13670"/>
    <cellStyle name="Normal 10 2 2 7 2 5 2" xfId="30950"/>
    <cellStyle name="Normal 10 2 2 7 2 6" xfId="19430"/>
    <cellStyle name="Normal 10 2 2 7 3" xfId="2870"/>
    <cellStyle name="Normal 10 2 2 7 3 2" xfId="5750"/>
    <cellStyle name="Normal 10 2 2 7 3 2 2" xfId="11510"/>
    <cellStyle name="Normal 10 2 2 7 3 2 2 2" xfId="28790"/>
    <cellStyle name="Normal 10 2 2 7 3 2 3" xfId="17270"/>
    <cellStyle name="Normal 10 2 2 7 3 2 3 2" xfId="34550"/>
    <cellStyle name="Normal 10 2 2 7 3 2 4" xfId="23030"/>
    <cellStyle name="Normal 10 2 2 7 3 3" xfId="8630"/>
    <cellStyle name="Normal 10 2 2 7 3 3 2" xfId="25910"/>
    <cellStyle name="Normal 10 2 2 7 3 4" xfId="14390"/>
    <cellStyle name="Normal 10 2 2 7 3 4 2" xfId="31670"/>
    <cellStyle name="Normal 10 2 2 7 3 5" xfId="20150"/>
    <cellStyle name="Normal 10 2 2 7 4" xfId="4310"/>
    <cellStyle name="Normal 10 2 2 7 4 2" xfId="10070"/>
    <cellStyle name="Normal 10 2 2 7 4 2 2" xfId="27350"/>
    <cellStyle name="Normal 10 2 2 7 4 3" xfId="15830"/>
    <cellStyle name="Normal 10 2 2 7 4 3 2" xfId="33110"/>
    <cellStyle name="Normal 10 2 2 7 4 4" xfId="21590"/>
    <cellStyle name="Normal 10 2 2 7 5" xfId="7190"/>
    <cellStyle name="Normal 10 2 2 7 5 2" xfId="24470"/>
    <cellStyle name="Normal 10 2 2 7 6" xfId="12950"/>
    <cellStyle name="Normal 10 2 2 7 6 2" xfId="30230"/>
    <cellStyle name="Normal 10 2 2 7 7" xfId="18710"/>
    <cellStyle name="Normal 10 2 2 8" xfId="1670"/>
    <cellStyle name="Normal 10 2 2 8 2" xfId="3110"/>
    <cellStyle name="Normal 10 2 2 8 2 2" xfId="5990"/>
    <cellStyle name="Normal 10 2 2 8 2 2 2" xfId="11750"/>
    <cellStyle name="Normal 10 2 2 8 2 2 2 2" xfId="29030"/>
    <cellStyle name="Normal 10 2 2 8 2 2 3" xfId="17510"/>
    <cellStyle name="Normal 10 2 2 8 2 2 3 2" xfId="34790"/>
    <cellStyle name="Normal 10 2 2 8 2 2 4" xfId="23270"/>
    <cellStyle name="Normal 10 2 2 8 2 3" xfId="8870"/>
    <cellStyle name="Normal 10 2 2 8 2 3 2" xfId="26150"/>
    <cellStyle name="Normal 10 2 2 8 2 4" xfId="14630"/>
    <cellStyle name="Normal 10 2 2 8 2 4 2" xfId="31910"/>
    <cellStyle name="Normal 10 2 2 8 2 5" xfId="20390"/>
    <cellStyle name="Normal 10 2 2 8 3" xfId="4550"/>
    <cellStyle name="Normal 10 2 2 8 3 2" xfId="10310"/>
    <cellStyle name="Normal 10 2 2 8 3 2 2" xfId="27590"/>
    <cellStyle name="Normal 10 2 2 8 3 3" xfId="16070"/>
    <cellStyle name="Normal 10 2 2 8 3 3 2" xfId="33350"/>
    <cellStyle name="Normal 10 2 2 8 3 4" xfId="21830"/>
    <cellStyle name="Normal 10 2 2 8 4" xfId="7430"/>
    <cellStyle name="Normal 10 2 2 8 4 2" xfId="24710"/>
    <cellStyle name="Normal 10 2 2 8 5" xfId="13190"/>
    <cellStyle name="Normal 10 2 2 8 5 2" xfId="30470"/>
    <cellStyle name="Normal 10 2 2 8 6" xfId="18950"/>
    <cellStyle name="Normal 10 2 2 9" xfId="2390"/>
    <cellStyle name="Normal 10 2 2 9 2" xfId="5270"/>
    <cellStyle name="Normal 10 2 2 9 2 2" xfId="11030"/>
    <cellStyle name="Normal 10 2 2 9 2 2 2" xfId="28310"/>
    <cellStyle name="Normal 10 2 2 9 2 3" xfId="16790"/>
    <cellStyle name="Normal 10 2 2 9 2 3 2" xfId="34070"/>
    <cellStyle name="Normal 10 2 2 9 2 4" xfId="22550"/>
    <cellStyle name="Normal 10 2 2 9 3" xfId="8150"/>
    <cellStyle name="Normal 10 2 2 9 3 2" xfId="25430"/>
    <cellStyle name="Normal 10 2 2 9 4" xfId="13910"/>
    <cellStyle name="Normal 10 2 2 9 4 2" xfId="31190"/>
    <cellStyle name="Normal 10 2 2 9 5" xfId="19670"/>
    <cellStyle name="Normal 10 2 3" xfId="409"/>
    <cellStyle name="Normal 10 2 3 10" xfId="6720"/>
    <cellStyle name="Normal 10 2 3 10 2" xfId="24000"/>
    <cellStyle name="Normal 10 2 3 11" xfId="12480"/>
    <cellStyle name="Normal 10 2 3 11 2" xfId="29760"/>
    <cellStyle name="Normal 10 2 3 12" xfId="18240"/>
    <cellStyle name="Normal 10 2 3 2" xfId="1040"/>
    <cellStyle name="Normal 10 2 3 2 10" xfId="18320"/>
    <cellStyle name="Normal 10 2 3 2 2" xfId="1160"/>
    <cellStyle name="Normal 10 2 3 2 2 2" xfId="1400"/>
    <cellStyle name="Normal 10 2 3 2 2 2 2" xfId="2120"/>
    <cellStyle name="Normal 10 2 3 2 2 2 2 2" xfId="3560"/>
    <cellStyle name="Normal 10 2 3 2 2 2 2 2 2" xfId="6440"/>
    <cellStyle name="Normal 10 2 3 2 2 2 2 2 2 2" xfId="12200"/>
    <cellStyle name="Normal 10 2 3 2 2 2 2 2 2 2 2" xfId="29480"/>
    <cellStyle name="Normal 10 2 3 2 2 2 2 2 2 3" xfId="17960"/>
    <cellStyle name="Normal 10 2 3 2 2 2 2 2 2 3 2" xfId="35240"/>
    <cellStyle name="Normal 10 2 3 2 2 2 2 2 2 4" xfId="23720"/>
    <cellStyle name="Normal 10 2 3 2 2 2 2 2 3" xfId="9320"/>
    <cellStyle name="Normal 10 2 3 2 2 2 2 2 3 2" xfId="26600"/>
    <cellStyle name="Normal 10 2 3 2 2 2 2 2 4" xfId="15080"/>
    <cellStyle name="Normal 10 2 3 2 2 2 2 2 4 2" xfId="32360"/>
    <cellStyle name="Normal 10 2 3 2 2 2 2 2 5" xfId="20840"/>
    <cellStyle name="Normal 10 2 3 2 2 2 2 3" xfId="5000"/>
    <cellStyle name="Normal 10 2 3 2 2 2 2 3 2" xfId="10760"/>
    <cellStyle name="Normal 10 2 3 2 2 2 2 3 2 2" xfId="28040"/>
    <cellStyle name="Normal 10 2 3 2 2 2 2 3 3" xfId="16520"/>
    <cellStyle name="Normal 10 2 3 2 2 2 2 3 3 2" xfId="33800"/>
    <cellStyle name="Normal 10 2 3 2 2 2 2 3 4" xfId="22280"/>
    <cellStyle name="Normal 10 2 3 2 2 2 2 4" xfId="7880"/>
    <cellStyle name="Normal 10 2 3 2 2 2 2 4 2" xfId="25160"/>
    <cellStyle name="Normal 10 2 3 2 2 2 2 5" xfId="13640"/>
    <cellStyle name="Normal 10 2 3 2 2 2 2 5 2" xfId="30920"/>
    <cellStyle name="Normal 10 2 3 2 2 2 2 6" xfId="19400"/>
    <cellStyle name="Normal 10 2 3 2 2 2 3" xfId="2840"/>
    <cellStyle name="Normal 10 2 3 2 2 2 3 2" xfId="5720"/>
    <cellStyle name="Normal 10 2 3 2 2 2 3 2 2" xfId="11480"/>
    <cellStyle name="Normal 10 2 3 2 2 2 3 2 2 2" xfId="28760"/>
    <cellStyle name="Normal 10 2 3 2 2 2 3 2 3" xfId="17240"/>
    <cellStyle name="Normal 10 2 3 2 2 2 3 2 3 2" xfId="34520"/>
    <cellStyle name="Normal 10 2 3 2 2 2 3 2 4" xfId="23000"/>
    <cellStyle name="Normal 10 2 3 2 2 2 3 3" xfId="8600"/>
    <cellStyle name="Normal 10 2 3 2 2 2 3 3 2" xfId="25880"/>
    <cellStyle name="Normal 10 2 3 2 2 2 3 4" xfId="14360"/>
    <cellStyle name="Normal 10 2 3 2 2 2 3 4 2" xfId="31640"/>
    <cellStyle name="Normal 10 2 3 2 2 2 3 5" xfId="20120"/>
    <cellStyle name="Normal 10 2 3 2 2 2 4" xfId="4280"/>
    <cellStyle name="Normal 10 2 3 2 2 2 4 2" xfId="10040"/>
    <cellStyle name="Normal 10 2 3 2 2 2 4 2 2" xfId="27320"/>
    <cellStyle name="Normal 10 2 3 2 2 2 4 3" xfId="15800"/>
    <cellStyle name="Normal 10 2 3 2 2 2 4 3 2" xfId="33080"/>
    <cellStyle name="Normal 10 2 3 2 2 2 4 4" xfId="21560"/>
    <cellStyle name="Normal 10 2 3 2 2 2 5" xfId="7160"/>
    <cellStyle name="Normal 10 2 3 2 2 2 5 2" xfId="24440"/>
    <cellStyle name="Normal 10 2 3 2 2 2 6" xfId="12920"/>
    <cellStyle name="Normal 10 2 3 2 2 2 6 2" xfId="30200"/>
    <cellStyle name="Normal 10 2 3 2 2 2 7" xfId="18680"/>
    <cellStyle name="Normal 10 2 3 2 2 3" xfId="1640"/>
    <cellStyle name="Normal 10 2 3 2 2 3 2" xfId="2360"/>
    <cellStyle name="Normal 10 2 3 2 2 3 2 2" xfId="3800"/>
    <cellStyle name="Normal 10 2 3 2 2 3 2 2 2" xfId="6680"/>
    <cellStyle name="Normal 10 2 3 2 2 3 2 2 2 2" xfId="12440"/>
    <cellStyle name="Normal 10 2 3 2 2 3 2 2 2 2 2" xfId="29720"/>
    <cellStyle name="Normal 10 2 3 2 2 3 2 2 2 3" xfId="18200"/>
    <cellStyle name="Normal 10 2 3 2 2 3 2 2 2 3 2" xfId="35480"/>
    <cellStyle name="Normal 10 2 3 2 2 3 2 2 2 4" xfId="23960"/>
    <cellStyle name="Normal 10 2 3 2 2 3 2 2 3" xfId="9560"/>
    <cellStyle name="Normal 10 2 3 2 2 3 2 2 3 2" xfId="26840"/>
    <cellStyle name="Normal 10 2 3 2 2 3 2 2 4" xfId="15320"/>
    <cellStyle name="Normal 10 2 3 2 2 3 2 2 4 2" xfId="32600"/>
    <cellStyle name="Normal 10 2 3 2 2 3 2 2 5" xfId="21080"/>
    <cellStyle name="Normal 10 2 3 2 2 3 2 3" xfId="5240"/>
    <cellStyle name="Normal 10 2 3 2 2 3 2 3 2" xfId="11000"/>
    <cellStyle name="Normal 10 2 3 2 2 3 2 3 2 2" xfId="28280"/>
    <cellStyle name="Normal 10 2 3 2 2 3 2 3 3" xfId="16760"/>
    <cellStyle name="Normal 10 2 3 2 2 3 2 3 3 2" xfId="34040"/>
    <cellStyle name="Normal 10 2 3 2 2 3 2 3 4" xfId="22520"/>
    <cellStyle name="Normal 10 2 3 2 2 3 2 4" xfId="8120"/>
    <cellStyle name="Normal 10 2 3 2 2 3 2 4 2" xfId="25400"/>
    <cellStyle name="Normal 10 2 3 2 2 3 2 5" xfId="13880"/>
    <cellStyle name="Normal 10 2 3 2 2 3 2 5 2" xfId="31160"/>
    <cellStyle name="Normal 10 2 3 2 2 3 2 6" xfId="19640"/>
    <cellStyle name="Normal 10 2 3 2 2 3 3" xfId="3080"/>
    <cellStyle name="Normal 10 2 3 2 2 3 3 2" xfId="5960"/>
    <cellStyle name="Normal 10 2 3 2 2 3 3 2 2" xfId="11720"/>
    <cellStyle name="Normal 10 2 3 2 2 3 3 2 2 2" xfId="29000"/>
    <cellStyle name="Normal 10 2 3 2 2 3 3 2 3" xfId="17480"/>
    <cellStyle name="Normal 10 2 3 2 2 3 3 2 3 2" xfId="34760"/>
    <cellStyle name="Normal 10 2 3 2 2 3 3 2 4" xfId="23240"/>
    <cellStyle name="Normal 10 2 3 2 2 3 3 3" xfId="8840"/>
    <cellStyle name="Normal 10 2 3 2 2 3 3 3 2" xfId="26120"/>
    <cellStyle name="Normal 10 2 3 2 2 3 3 4" xfId="14600"/>
    <cellStyle name="Normal 10 2 3 2 2 3 3 4 2" xfId="31880"/>
    <cellStyle name="Normal 10 2 3 2 2 3 3 5" xfId="20360"/>
    <cellStyle name="Normal 10 2 3 2 2 3 4" xfId="4520"/>
    <cellStyle name="Normal 10 2 3 2 2 3 4 2" xfId="10280"/>
    <cellStyle name="Normal 10 2 3 2 2 3 4 2 2" xfId="27560"/>
    <cellStyle name="Normal 10 2 3 2 2 3 4 3" xfId="16040"/>
    <cellStyle name="Normal 10 2 3 2 2 3 4 3 2" xfId="33320"/>
    <cellStyle name="Normal 10 2 3 2 2 3 4 4" xfId="21800"/>
    <cellStyle name="Normal 10 2 3 2 2 3 5" xfId="7400"/>
    <cellStyle name="Normal 10 2 3 2 2 3 5 2" xfId="24680"/>
    <cellStyle name="Normal 10 2 3 2 2 3 6" xfId="13160"/>
    <cellStyle name="Normal 10 2 3 2 2 3 6 2" xfId="30440"/>
    <cellStyle name="Normal 10 2 3 2 2 3 7" xfId="18920"/>
    <cellStyle name="Normal 10 2 3 2 2 4" xfId="1880"/>
    <cellStyle name="Normal 10 2 3 2 2 4 2" xfId="3320"/>
    <cellStyle name="Normal 10 2 3 2 2 4 2 2" xfId="6200"/>
    <cellStyle name="Normal 10 2 3 2 2 4 2 2 2" xfId="11960"/>
    <cellStyle name="Normal 10 2 3 2 2 4 2 2 2 2" xfId="29240"/>
    <cellStyle name="Normal 10 2 3 2 2 4 2 2 3" xfId="17720"/>
    <cellStyle name="Normal 10 2 3 2 2 4 2 2 3 2" xfId="35000"/>
    <cellStyle name="Normal 10 2 3 2 2 4 2 2 4" xfId="23480"/>
    <cellStyle name="Normal 10 2 3 2 2 4 2 3" xfId="9080"/>
    <cellStyle name="Normal 10 2 3 2 2 4 2 3 2" xfId="26360"/>
    <cellStyle name="Normal 10 2 3 2 2 4 2 4" xfId="14840"/>
    <cellStyle name="Normal 10 2 3 2 2 4 2 4 2" xfId="32120"/>
    <cellStyle name="Normal 10 2 3 2 2 4 2 5" xfId="20600"/>
    <cellStyle name="Normal 10 2 3 2 2 4 3" xfId="4760"/>
    <cellStyle name="Normal 10 2 3 2 2 4 3 2" xfId="10520"/>
    <cellStyle name="Normal 10 2 3 2 2 4 3 2 2" xfId="27800"/>
    <cellStyle name="Normal 10 2 3 2 2 4 3 3" xfId="16280"/>
    <cellStyle name="Normal 10 2 3 2 2 4 3 3 2" xfId="33560"/>
    <cellStyle name="Normal 10 2 3 2 2 4 3 4" xfId="22040"/>
    <cellStyle name="Normal 10 2 3 2 2 4 4" xfId="7640"/>
    <cellStyle name="Normal 10 2 3 2 2 4 4 2" xfId="24920"/>
    <cellStyle name="Normal 10 2 3 2 2 4 5" xfId="13400"/>
    <cellStyle name="Normal 10 2 3 2 2 4 5 2" xfId="30680"/>
    <cellStyle name="Normal 10 2 3 2 2 4 6" xfId="19160"/>
    <cellStyle name="Normal 10 2 3 2 2 5" xfId="2600"/>
    <cellStyle name="Normal 10 2 3 2 2 5 2" xfId="5480"/>
    <cellStyle name="Normal 10 2 3 2 2 5 2 2" xfId="11240"/>
    <cellStyle name="Normal 10 2 3 2 2 5 2 2 2" xfId="28520"/>
    <cellStyle name="Normal 10 2 3 2 2 5 2 3" xfId="17000"/>
    <cellStyle name="Normal 10 2 3 2 2 5 2 3 2" xfId="34280"/>
    <cellStyle name="Normal 10 2 3 2 2 5 2 4" xfId="22760"/>
    <cellStyle name="Normal 10 2 3 2 2 5 3" xfId="8360"/>
    <cellStyle name="Normal 10 2 3 2 2 5 3 2" xfId="25640"/>
    <cellStyle name="Normal 10 2 3 2 2 5 4" xfId="14120"/>
    <cellStyle name="Normal 10 2 3 2 2 5 4 2" xfId="31400"/>
    <cellStyle name="Normal 10 2 3 2 2 5 5" xfId="19880"/>
    <cellStyle name="Normal 10 2 3 2 2 6" xfId="4040"/>
    <cellStyle name="Normal 10 2 3 2 2 6 2" xfId="9800"/>
    <cellStyle name="Normal 10 2 3 2 2 6 2 2" xfId="27080"/>
    <cellStyle name="Normal 10 2 3 2 2 6 3" xfId="15560"/>
    <cellStyle name="Normal 10 2 3 2 2 6 3 2" xfId="32840"/>
    <cellStyle name="Normal 10 2 3 2 2 6 4" xfId="21320"/>
    <cellStyle name="Normal 10 2 3 2 2 7" xfId="6920"/>
    <cellStyle name="Normal 10 2 3 2 2 7 2" xfId="24200"/>
    <cellStyle name="Normal 10 2 3 2 2 8" xfId="12680"/>
    <cellStyle name="Normal 10 2 3 2 2 8 2" xfId="29960"/>
    <cellStyle name="Normal 10 2 3 2 2 9" xfId="18440"/>
    <cellStyle name="Normal 10 2 3 2 3" xfId="1280"/>
    <cellStyle name="Normal 10 2 3 2 3 2" xfId="2000"/>
    <cellStyle name="Normal 10 2 3 2 3 2 2" xfId="3440"/>
    <cellStyle name="Normal 10 2 3 2 3 2 2 2" xfId="6320"/>
    <cellStyle name="Normal 10 2 3 2 3 2 2 2 2" xfId="12080"/>
    <cellStyle name="Normal 10 2 3 2 3 2 2 2 2 2" xfId="29360"/>
    <cellStyle name="Normal 10 2 3 2 3 2 2 2 3" xfId="17840"/>
    <cellStyle name="Normal 10 2 3 2 3 2 2 2 3 2" xfId="35120"/>
    <cellStyle name="Normal 10 2 3 2 3 2 2 2 4" xfId="23600"/>
    <cellStyle name="Normal 10 2 3 2 3 2 2 3" xfId="9200"/>
    <cellStyle name="Normal 10 2 3 2 3 2 2 3 2" xfId="26480"/>
    <cellStyle name="Normal 10 2 3 2 3 2 2 4" xfId="14960"/>
    <cellStyle name="Normal 10 2 3 2 3 2 2 4 2" xfId="32240"/>
    <cellStyle name="Normal 10 2 3 2 3 2 2 5" xfId="20720"/>
    <cellStyle name="Normal 10 2 3 2 3 2 3" xfId="4880"/>
    <cellStyle name="Normal 10 2 3 2 3 2 3 2" xfId="10640"/>
    <cellStyle name="Normal 10 2 3 2 3 2 3 2 2" xfId="27920"/>
    <cellStyle name="Normal 10 2 3 2 3 2 3 3" xfId="16400"/>
    <cellStyle name="Normal 10 2 3 2 3 2 3 3 2" xfId="33680"/>
    <cellStyle name="Normal 10 2 3 2 3 2 3 4" xfId="22160"/>
    <cellStyle name="Normal 10 2 3 2 3 2 4" xfId="7760"/>
    <cellStyle name="Normal 10 2 3 2 3 2 4 2" xfId="25040"/>
    <cellStyle name="Normal 10 2 3 2 3 2 5" xfId="13520"/>
    <cellStyle name="Normal 10 2 3 2 3 2 5 2" xfId="30800"/>
    <cellStyle name="Normal 10 2 3 2 3 2 6" xfId="19280"/>
    <cellStyle name="Normal 10 2 3 2 3 3" xfId="2720"/>
    <cellStyle name="Normal 10 2 3 2 3 3 2" xfId="5600"/>
    <cellStyle name="Normal 10 2 3 2 3 3 2 2" xfId="11360"/>
    <cellStyle name="Normal 10 2 3 2 3 3 2 2 2" xfId="28640"/>
    <cellStyle name="Normal 10 2 3 2 3 3 2 3" xfId="17120"/>
    <cellStyle name="Normal 10 2 3 2 3 3 2 3 2" xfId="34400"/>
    <cellStyle name="Normal 10 2 3 2 3 3 2 4" xfId="22880"/>
    <cellStyle name="Normal 10 2 3 2 3 3 3" xfId="8480"/>
    <cellStyle name="Normal 10 2 3 2 3 3 3 2" xfId="25760"/>
    <cellStyle name="Normal 10 2 3 2 3 3 4" xfId="14240"/>
    <cellStyle name="Normal 10 2 3 2 3 3 4 2" xfId="31520"/>
    <cellStyle name="Normal 10 2 3 2 3 3 5" xfId="20000"/>
    <cellStyle name="Normal 10 2 3 2 3 4" xfId="4160"/>
    <cellStyle name="Normal 10 2 3 2 3 4 2" xfId="9920"/>
    <cellStyle name="Normal 10 2 3 2 3 4 2 2" xfId="27200"/>
    <cellStyle name="Normal 10 2 3 2 3 4 3" xfId="15680"/>
    <cellStyle name="Normal 10 2 3 2 3 4 3 2" xfId="32960"/>
    <cellStyle name="Normal 10 2 3 2 3 4 4" xfId="21440"/>
    <cellStyle name="Normal 10 2 3 2 3 5" xfId="7040"/>
    <cellStyle name="Normal 10 2 3 2 3 5 2" xfId="24320"/>
    <cellStyle name="Normal 10 2 3 2 3 6" xfId="12800"/>
    <cellStyle name="Normal 10 2 3 2 3 6 2" xfId="30080"/>
    <cellStyle name="Normal 10 2 3 2 3 7" xfId="18560"/>
    <cellStyle name="Normal 10 2 3 2 4" xfId="1520"/>
    <cellStyle name="Normal 10 2 3 2 4 2" xfId="2240"/>
    <cellStyle name="Normal 10 2 3 2 4 2 2" xfId="3680"/>
    <cellStyle name="Normal 10 2 3 2 4 2 2 2" xfId="6560"/>
    <cellStyle name="Normal 10 2 3 2 4 2 2 2 2" xfId="12320"/>
    <cellStyle name="Normal 10 2 3 2 4 2 2 2 2 2" xfId="29600"/>
    <cellStyle name="Normal 10 2 3 2 4 2 2 2 3" xfId="18080"/>
    <cellStyle name="Normal 10 2 3 2 4 2 2 2 3 2" xfId="35360"/>
    <cellStyle name="Normal 10 2 3 2 4 2 2 2 4" xfId="23840"/>
    <cellStyle name="Normal 10 2 3 2 4 2 2 3" xfId="9440"/>
    <cellStyle name="Normal 10 2 3 2 4 2 2 3 2" xfId="26720"/>
    <cellStyle name="Normal 10 2 3 2 4 2 2 4" xfId="15200"/>
    <cellStyle name="Normal 10 2 3 2 4 2 2 4 2" xfId="32480"/>
    <cellStyle name="Normal 10 2 3 2 4 2 2 5" xfId="20960"/>
    <cellStyle name="Normal 10 2 3 2 4 2 3" xfId="5120"/>
    <cellStyle name="Normal 10 2 3 2 4 2 3 2" xfId="10880"/>
    <cellStyle name="Normal 10 2 3 2 4 2 3 2 2" xfId="28160"/>
    <cellStyle name="Normal 10 2 3 2 4 2 3 3" xfId="16640"/>
    <cellStyle name="Normal 10 2 3 2 4 2 3 3 2" xfId="33920"/>
    <cellStyle name="Normal 10 2 3 2 4 2 3 4" xfId="22400"/>
    <cellStyle name="Normal 10 2 3 2 4 2 4" xfId="8000"/>
    <cellStyle name="Normal 10 2 3 2 4 2 4 2" xfId="25280"/>
    <cellStyle name="Normal 10 2 3 2 4 2 5" xfId="13760"/>
    <cellStyle name="Normal 10 2 3 2 4 2 5 2" xfId="31040"/>
    <cellStyle name="Normal 10 2 3 2 4 2 6" xfId="19520"/>
    <cellStyle name="Normal 10 2 3 2 4 3" xfId="2960"/>
    <cellStyle name="Normal 10 2 3 2 4 3 2" xfId="5840"/>
    <cellStyle name="Normal 10 2 3 2 4 3 2 2" xfId="11600"/>
    <cellStyle name="Normal 10 2 3 2 4 3 2 2 2" xfId="28880"/>
    <cellStyle name="Normal 10 2 3 2 4 3 2 3" xfId="17360"/>
    <cellStyle name="Normal 10 2 3 2 4 3 2 3 2" xfId="34640"/>
    <cellStyle name="Normal 10 2 3 2 4 3 2 4" xfId="23120"/>
    <cellStyle name="Normal 10 2 3 2 4 3 3" xfId="8720"/>
    <cellStyle name="Normal 10 2 3 2 4 3 3 2" xfId="26000"/>
    <cellStyle name="Normal 10 2 3 2 4 3 4" xfId="14480"/>
    <cellStyle name="Normal 10 2 3 2 4 3 4 2" xfId="31760"/>
    <cellStyle name="Normal 10 2 3 2 4 3 5" xfId="20240"/>
    <cellStyle name="Normal 10 2 3 2 4 4" xfId="4400"/>
    <cellStyle name="Normal 10 2 3 2 4 4 2" xfId="10160"/>
    <cellStyle name="Normal 10 2 3 2 4 4 2 2" xfId="27440"/>
    <cellStyle name="Normal 10 2 3 2 4 4 3" xfId="15920"/>
    <cellStyle name="Normal 10 2 3 2 4 4 3 2" xfId="33200"/>
    <cellStyle name="Normal 10 2 3 2 4 4 4" xfId="21680"/>
    <cellStyle name="Normal 10 2 3 2 4 5" xfId="7280"/>
    <cellStyle name="Normal 10 2 3 2 4 5 2" xfId="24560"/>
    <cellStyle name="Normal 10 2 3 2 4 6" xfId="13040"/>
    <cellStyle name="Normal 10 2 3 2 4 6 2" xfId="30320"/>
    <cellStyle name="Normal 10 2 3 2 4 7" xfId="18800"/>
    <cellStyle name="Normal 10 2 3 2 5" xfId="1760"/>
    <cellStyle name="Normal 10 2 3 2 5 2" xfId="3200"/>
    <cellStyle name="Normal 10 2 3 2 5 2 2" xfId="6080"/>
    <cellStyle name="Normal 10 2 3 2 5 2 2 2" xfId="11840"/>
    <cellStyle name="Normal 10 2 3 2 5 2 2 2 2" xfId="29120"/>
    <cellStyle name="Normal 10 2 3 2 5 2 2 3" xfId="17600"/>
    <cellStyle name="Normal 10 2 3 2 5 2 2 3 2" xfId="34880"/>
    <cellStyle name="Normal 10 2 3 2 5 2 2 4" xfId="23360"/>
    <cellStyle name="Normal 10 2 3 2 5 2 3" xfId="8960"/>
    <cellStyle name="Normal 10 2 3 2 5 2 3 2" xfId="26240"/>
    <cellStyle name="Normal 10 2 3 2 5 2 4" xfId="14720"/>
    <cellStyle name="Normal 10 2 3 2 5 2 4 2" xfId="32000"/>
    <cellStyle name="Normal 10 2 3 2 5 2 5" xfId="20480"/>
    <cellStyle name="Normal 10 2 3 2 5 3" xfId="4640"/>
    <cellStyle name="Normal 10 2 3 2 5 3 2" xfId="10400"/>
    <cellStyle name="Normal 10 2 3 2 5 3 2 2" xfId="27680"/>
    <cellStyle name="Normal 10 2 3 2 5 3 3" xfId="16160"/>
    <cellStyle name="Normal 10 2 3 2 5 3 3 2" xfId="33440"/>
    <cellStyle name="Normal 10 2 3 2 5 3 4" xfId="21920"/>
    <cellStyle name="Normal 10 2 3 2 5 4" xfId="7520"/>
    <cellStyle name="Normal 10 2 3 2 5 4 2" xfId="24800"/>
    <cellStyle name="Normal 10 2 3 2 5 5" xfId="13280"/>
    <cellStyle name="Normal 10 2 3 2 5 5 2" xfId="30560"/>
    <cellStyle name="Normal 10 2 3 2 5 6" xfId="19040"/>
    <cellStyle name="Normal 10 2 3 2 6" xfId="2480"/>
    <cellStyle name="Normal 10 2 3 2 6 2" xfId="5360"/>
    <cellStyle name="Normal 10 2 3 2 6 2 2" xfId="11120"/>
    <cellStyle name="Normal 10 2 3 2 6 2 2 2" xfId="28400"/>
    <cellStyle name="Normal 10 2 3 2 6 2 3" xfId="16880"/>
    <cellStyle name="Normal 10 2 3 2 6 2 3 2" xfId="34160"/>
    <cellStyle name="Normal 10 2 3 2 6 2 4" xfId="22640"/>
    <cellStyle name="Normal 10 2 3 2 6 3" xfId="8240"/>
    <cellStyle name="Normal 10 2 3 2 6 3 2" xfId="25520"/>
    <cellStyle name="Normal 10 2 3 2 6 4" xfId="14000"/>
    <cellStyle name="Normal 10 2 3 2 6 4 2" xfId="31280"/>
    <cellStyle name="Normal 10 2 3 2 6 5" xfId="19760"/>
    <cellStyle name="Normal 10 2 3 2 7" xfId="3920"/>
    <cellStyle name="Normal 10 2 3 2 7 2" xfId="9680"/>
    <cellStyle name="Normal 10 2 3 2 7 2 2" xfId="26960"/>
    <cellStyle name="Normal 10 2 3 2 7 3" xfId="15440"/>
    <cellStyle name="Normal 10 2 3 2 7 3 2" xfId="32720"/>
    <cellStyle name="Normal 10 2 3 2 7 4" xfId="21200"/>
    <cellStyle name="Normal 10 2 3 2 8" xfId="6800"/>
    <cellStyle name="Normal 10 2 3 2 8 2" xfId="24080"/>
    <cellStyle name="Normal 10 2 3 2 9" xfId="12560"/>
    <cellStyle name="Normal 10 2 3 2 9 2" xfId="29840"/>
    <cellStyle name="Normal 10 2 3 3" xfId="1000"/>
    <cellStyle name="Normal 10 2 3 3 10" xfId="18280"/>
    <cellStyle name="Normal 10 2 3 3 2" xfId="1120"/>
    <cellStyle name="Normal 10 2 3 3 2 2" xfId="1360"/>
    <cellStyle name="Normal 10 2 3 3 2 2 2" xfId="2080"/>
    <cellStyle name="Normal 10 2 3 3 2 2 2 2" xfId="3520"/>
    <cellStyle name="Normal 10 2 3 3 2 2 2 2 2" xfId="6400"/>
    <cellStyle name="Normal 10 2 3 3 2 2 2 2 2 2" xfId="12160"/>
    <cellStyle name="Normal 10 2 3 3 2 2 2 2 2 2 2" xfId="29440"/>
    <cellStyle name="Normal 10 2 3 3 2 2 2 2 2 3" xfId="17920"/>
    <cellStyle name="Normal 10 2 3 3 2 2 2 2 2 3 2" xfId="35200"/>
    <cellStyle name="Normal 10 2 3 3 2 2 2 2 2 4" xfId="23680"/>
    <cellStyle name="Normal 10 2 3 3 2 2 2 2 3" xfId="9280"/>
    <cellStyle name="Normal 10 2 3 3 2 2 2 2 3 2" xfId="26560"/>
    <cellStyle name="Normal 10 2 3 3 2 2 2 2 4" xfId="15040"/>
    <cellStyle name="Normal 10 2 3 3 2 2 2 2 4 2" xfId="32320"/>
    <cellStyle name="Normal 10 2 3 3 2 2 2 2 5" xfId="20800"/>
    <cellStyle name="Normal 10 2 3 3 2 2 2 3" xfId="4960"/>
    <cellStyle name="Normal 10 2 3 3 2 2 2 3 2" xfId="10720"/>
    <cellStyle name="Normal 10 2 3 3 2 2 2 3 2 2" xfId="28000"/>
    <cellStyle name="Normal 10 2 3 3 2 2 2 3 3" xfId="16480"/>
    <cellStyle name="Normal 10 2 3 3 2 2 2 3 3 2" xfId="33760"/>
    <cellStyle name="Normal 10 2 3 3 2 2 2 3 4" xfId="22240"/>
    <cellStyle name="Normal 10 2 3 3 2 2 2 4" xfId="7840"/>
    <cellStyle name="Normal 10 2 3 3 2 2 2 4 2" xfId="25120"/>
    <cellStyle name="Normal 10 2 3 3 2 2 2 5" xfId="13600"/>
    <cellStyle name="Normal 10 2 3 3 2 2 2 5 2" xfId="30880"/>
    <cellStyle name="Normal 10 2 3 3 2 2 2 6" xfId="19360"/>
    <cellStyle name="Normal 10 2 3 3 2 2 3" xfId="2800"/>
    <cellStyle name="Normal 10 2 3 3 2 2 3 2" xfId="5680"/>
    <cellStyle name="Normal 10 2 3 3 2 2 3 2 2" xfId="11440"/>
    <cellStyle name="Normal 10 2 3 3 2 2 3 2 2 2" xfId="28720"/>
    <cellStyle name="Normal 10 2 3 3 2 2 3 2 3" xfId="17200"/>
    <cellStyle name="Normal 10 2 3 3 2 2 3 2 3 2" xfId="34480"/>
    <cellStyle name="Normal 10 2 3 3 2 2 3 2 4" xfId="22960"/>
    <cellStyle name="Normal 10 2 3 3 2 2 3 3" xfId="8560"/>
    <cellStyle name="Normal 10 2 3 3 2 2 3 3 2" xfId="25840"/>
    <cellStyle name="Normal 10 2 3 3 2 2 3 4" xfId="14320"/>
    <cellStyle name="Normal 10 2 3 3 2 2 3 4 2" xfId="31600"/>
    <cellStyle name="Normal 10 2 3 3 2 2 3 5" xfId="20080"/>
    <cellStyle name="Normal 10 2 3 3 2 2 4" xfId="4240"/>
    <cellStyle name="Normal 10 2 3 3 2 2 4 2" xfId="10000"/>
    <cellStyle name="Normal 10 2 3 3 2 2 4 2 2" xfId="27280"/>
    <cellStyle name="Normal 10 2 3 3 2 2 4 3" xfId="15760"/>
    <cellStyle name="Normal 10 2 3 3 2 2 4 3 2" xfId="33040"/>
    <cellStyle name="Normal 10 2 3 3 2 2 4 4" xfId="21520"/>
    <cellStyle name="Normal 10 2 3 3 2 2 5" xfId="7120"/>
    <cellStyle name="Normal 10 2 3 3 2 2 5 2" xfId="24400"/>
    <cellStyle name="Normal 10 2 3 3 2 2 6" xfId="12880"/>
    <cellStyle name="Normal 10 2 3 3 2 2 6 2" xfId="30160"/>
    <cellStyle name="Normal 10 2 3 3 2 2 7" xfId="18640"/>
    <cellStyle name="Normal 10 2 3 3 2 3" xfId="1600"/>
    <cellStyle name="Normal 10 2 3 3 2 3 2" xfId="2320"/>
    <cellStyle name="Normal 10 2 3 3 2 3 2 2" xfId="3760"/>
    <cellStyle name="Normal 10 2 3 3 2 3 2 2 2" xfId="6640"/>
    <cellStyle name="Normal 10 2 3 3 2 3 2 2 2 2" xfId="12400"/>
    <cellStyle name="Normal 10 2 3 3 2 3 2 2 2 2 2" xfId="29680"/>
    <cellStyle name="Normal 10 2 3 3 2 3 2 2 2 3" xfId="18160"/>
    <cellStyle name="Normal 10 2 3 3 2 3 2 2 2 3 2" xfId="35440"/>
    <cellStyle name="Normal 10 2 3 3 2 3 2 2 2 4" xfId="23920"/>
    <cellStyle name="Normal 10 2 3 3 2 3 2 2 3" xfId="9520"/>
    <cellStyle name="Normal 10 2 3 3 2 3 2 2 3 2" xfId="26800"/>
    <cellStyle name="Normal 10 2 3 3 2 3 2 2 4" xfId="15280"/>
    <cellStyle name="Normal 10 2 3 3 2 3 2 2 4 2" xfId="32560"/>
    <cellStyle name="Normal 10 2 3 3 2 3 2 2 5" xfId="21040"/>
    <cellStyle name="Normal 10 2 3 3 2 3 2 3" xfId="5200"/>
    <cellStyle name="Normal 10 2 3 3 2 3 2 3 2" xfId="10960"/>
    <cellStyle name="Normal 10 2 3 3 2 3 2 3 2 2" xfId="28240"/>
    <cellStyle name="Normal 10 2 3 3 2 3 2 3 3" xfId="16720"/>
    <cellStyle name="Normal 10 2 3 3 2 3 2 3 3 2" xfId="34000"/>
    <cellStyle name="Normal 10 2 3 3 2 3 2 3 4" xfId="22480"/>
    <cellStyle name="Normal 10 2 3 3 2 3 2 4" xfId="8080"/>
    <cellStyle name="Normal 10 2 3 3 2 3 2 4 2" xfId="25360"/>
    <cellStyle name="Normal 10 2 3 3 2 3 2 5" xfId="13840"/>
    <cellStyle name="Normal 10 2 3 3 2 3 2 5 2" xfId="31120"/>
    <cellStyle name="Normal 10 2 3 3 2 3 2 6" xfId="19600"/>
    <cellStyle name="Normal 10 2 3 3 2 3 3" xfId="3040"/>
    <cellStyle name="Normal 10 2 3 3 2 3 3 2" xfId="5920"/>
    <cellStyle name="Normal 10 2 3 3 2 3 3 2 2" xfId="11680"/>
    <cellStyle name="Normal 10 2 3 3 2 3 3 2 2 2" xfId="28960"/>
    <cellStyle name="Normal 10 2 3 3 2 3 3 2 3" xfId="17440"/>
    <cellStyle name="Normal 10 2 3 3 2 3 3 2 3 2" xfId="34720"/>
    <cellStyle name="Normal 10 2 3 3 2 3 3 2 4" xfId="23200"/>
    <cellStyle name="Normal 10 2 3 3 2 3 3 3" xfId="8800"/>
    <cellStyle name="Normal 10 2 3 3 2 3 3 3 2" xfId="26080"/>
    <cellStyle name="Normal 10 2 3 3 2 3 3 4" xfId="14560"/>
    <cellStyle name="Normal 10 2 3 3 2 3 3 4 2" xfId="31840"/>
    <cellStyle name="Normal 10 2 3 3 2 3 3 5" xfId="20320"/>
    <cellStyle name="Normal 10 2 3 3 2 3 4" xfId="4480"/>
    <cellStyle name="Normal 10 2 3 3 2 3 4 2" xfId="10240"/>
    <cellStyle name="Normal 10 2 3 3 2 3 4 2 2" xfId="27520"/>
    <cellStyle name="Normal 10 2 3 3 2 3 4 3" xfId="16000"/>
    <cellStyle name="Normal 10 2 3 3 2 3 4 3 2" xfId="33280"/>
    <cellStyle name="Normal 10 2 3 3 2 3 4 4" xfId="21760"/>
    <cellStyle name="Normal 10 2 3 3 2 3 5" xfId="7360"/>
    <cellStyle name="Normal 10 2 3 3 2 3 5 2" xfId="24640"/>
    <cellStyle name="Normal 10 2 3 3 2 3 6" xfId="13120"/>
    <cellStyle name="Normal 10 2 3 3 2 3 6 2" xfId="30400"/>
    <cellStyle name="Normal 10 2 3 3 2 3 7" xfId="18880"/>
    <cellStyle name="Normal 10 2 3 3 2 4" xfId="1840"/>
    <cellStyle name="Normal 10 2 3 3 2 4 2" xfId="3280"/>
    <cellStyle name="Normal 10 2 3 3 2 4 2 2" xfId="6160"/>
    <cellStyle name="Normal 10 2 3 3 2 4 2 2 2" xfId="11920"/>
    <cellStyle name="Normal 10 2 3 3 2 4 2 2 2 2" xfId="29200"/>
    <cellStyle name="Normal 10 2 3 3 2 4 2 2 3" xfId="17680"/>
    <cellStyle name="Normal 10 2 3 3 2 4 2 2 3 2" xfId="34960"/>
    <cellStyle name="Normal 10 2 3 3 2 4 2 2 4" xfId="23440"/>
    <cellStyle name="Normal 10 2 3 3 2 4 2 3" xfId="9040"/>
    <cellStyle name="Normal 10 2 3 3 2 4 2 3 2" xfId="26320"/>
    <cellStyle name="Normal 10 2 3 3 2 4 2 4" xfId="14800"/>
    <cellStyle name="Normal 10 2 3 3 2 4 2 4 2" xfId="32080"/>
    <cellStyle name="Normal 10 2 3 3 2 4 2 5" xfId="20560"/>
    <cellStyle name="Normal 10 2 3 3 2 4 3" xfId="4720"/>
    <cellStyle name="Normal 10 2 3 3 2 4 3 2" xfId="10480"/>
    <cellStyle name="Normal 10 2 3 3 2 4 3 2 2" xfId="27760"/>
    <cellStyle name="Normal 10 2 3 3 2 4 3 3" xfId="16240"/>
    <cellStyle name="Normal 10 2 3 3 2 4 3 3 2" xfId="33520"/>
    <cellStyle name="Normal 10 2 3 3 2 4 3 4" xfId="22000"/>
    <cellStyle name="Normal 10 2 3 3 2 4 4" xfId="7600"/>
    <cellStyle name="Normal 10 2 3 3 2 4 4 2" xfId="24880"/>
    <cellStyle name="Normal 10 2 3 3 2 4 5" xfId="13360"/>
    <cellStyle name="Normal 10 2 3 3 2 4 5 2" xfId="30640"/>
    <cellStyle name="Normal 10 2 3 3 2 4 6" xfId="19120"/>
    <cellStyle name="Normal 10 2 3 3 2 5" xfId="2560"/>
    <cellStyle name="Normal 10 2 3 3 2 5 2" xfId="5440"/>
    <cellStyle name="Normal 10 2 3 3 2 5 2 2" xfId="11200"/>
    <cellStyle name="Normal 10 2 3 3 2 5 2 2 2" xfId="28480"/>
    <cellStyle name="Normal 10 2 3 3 2 5 2 3" xfId="16960"/>
    <cellStyle name="Normal 10 2 3 3 2 5 2 3 2" xfId="34240"/>
    <cellStyle name="Normal 10 2 3 3 2 5 2 4" xfId="22720"/>
    <cellStyle name="Normal 10 2 3 3 2 5 3" xfId="8320"/>
    <cellStyle name="Normal 10 2 3 3 2 5 3 2" xfId="25600"/>
    <cellStyle name="Normal 10 2 3 3 2 5 4" xfId="14080"/>
    <cellStyle name="Normal 10 2 3 3 2 5 4 2" xfId="31360"/>
    <cellStyle name="Normal 10 2 3 3 2 5 5" xfId="19840"/>
    <cellStyle name="Normal 10 2 3 3 2 6" xfId="4000"/>
    <cellStyle name="Normal 10 2 3 3 2 6 2" xfId="9760"/>
    <cellStyle name="Normal 10 2 3 3 2 6 2 2" xfId="27040"/>
    <cellStyle name="Normal 10 2 3 3 2 6 3" xfId="15520"/>
    <cellStyle name="Normal 10 2 3 3 2 6 3 2" xfId="32800"/>
    <cellStyle name="Normal 10 2 3 3 2 6 4" xfId="21280"/>
    <cellStyle name="Normal 10 2 3 3 2 7" xfId="6880"/>
    <cellStyle name="Normal 10 2 3 3 2 7 2" xfId="24160"/>
    <cellStyle name="Normal 10 2 3 3 2 8" xfId="12640"/>
    <cellStyle name="Normal 10 2 3 3 2 8 2" xfId="29920"/>
    <cellStyle name="Normal 10 2 3 3 2 9" xfId="18400"/>
    <cellStyle name="Normal 10 2 3 3 3" xfId="1240"/>
    <cellStyle name="Normal 10 2 3 3 3 2" xfId="1960"/>
    <cellStyle name="Normal 10 2 3 3 3 2 2" xfId="3400"/>
    <cellStyle name="Normal 10 2 3 3 3 2 2 2" xfId="6280"/>
    <cellStyle name="Normal 10 2 3 3 3 2 2 2 2" xfId="12040"/>
    <cellStyle name="Normal 10 2 3 3 3 2 2 2 2 2" xfId="29320"/>
    <cellStyle name="Normal 10 2 3 3 3 2 2 2 3" xfId="17800"/>
    <cellStyle name="Normal 10 2 3 3 3 2 2 2 3 2" xfId="35080"/>
    <cellStyle name="Normal 10 2 3 3 3 2 2 2 4" xfId="23560"/>
    <cellStyle name="Normal 10 2 3 3 3 2 2 3" xfId="9160"/>
    <cellStyle name="Normal 10 2 3 3 3 2 2 3 2" xfId="26440"/>
    <cellStyle name="Normal 10 2 3 3 3 2 2 4" xfId="14920"/>
    <cellStyle name="Normal 10 2 3 3 3 2 2 4 2" xfId="32200"/>
    <cellStyle name="Normal 10 2 3 3 3 2 2 5" xfId="20680"/>
    <cellStyle name="Normal 10 2 3 3 3 2 3" xfId="4840"/>
    <cellStyle name="Normal 10 2 3 3 3 2 3 2" xfId="10600"/>
    <cellStyle name="Normal 10 2 3 3 3 2 3 2 2" xfId="27880"/>
    <cellStyle name="Normal 10 2 3 3 3 2 3 3" xfId="16360"/>
    <cellStyle name="Normal 10 2 3 3 3 2 3 3 2" xfId="33640"/>
    <cellStyle name="Normal 10 2 3 3 3 2 3 4" xfId="22120"/>
    <cellStyle name="Normal 10 2 3 3 3 2 4" xfId="7720"/>
    <cellStyle name="Normal 10 2 3 3 3 2 4 2" xfId="25000"/>
    <cellStyle name="Normal 10 2 3 3 3 2 5" xfId="13480"/>
    <cellStyle name="Normal 10 2 3 3 3 2 5 2" xfId="30760"/>
    <cellStyle name="Normal 10 2 3 3 3 2 6" xfId="19240"/>
    <cellStyle name="Normal 10 2 3 3 3 3" xfId="2680"/>
    <cellStyle name="Normal 10 2 3 3 3 3 2" xfId="5560"/>
    <cellStyle name="Normal 10 2 3 3 3 3 2 2" xfId="11320"/>
    <cellStyle name="Normal 10 2 3 3 3 3 2 2 2" xfId="28600"/>
    <cellStyle name="Normal 10 2 3 3 3 3 2 3" xfId="17080"/>
    <cellStyle name="Normal 10 2 3 3 3 3 2 3 2" xfId="34360"/>
    <cellStyle name="Normal 10 2 3 3 3 3 2 4" xfId="22840"/>
    <cellStyle name="Normal 10 2 3 3 3 3 3" xfId="8440"/>
    <cellStyle name="Normal 10 2 3 3 3 3 3 2" xfId="25720"/>
    <cellStyle name="Normal 10 2 3 3 3 3 4" xfId="14200"/>
    <cellStyle name="Normal 10 2 3 3 3 3 4 2" xfId="31480"/>
    <cellStyle name="Normal 10 2 3 3 3 3 5" xfId="19960"/>
    <cellStyle name="Normal 10 2 3 3 3 4" xfId="4120"/>
    <cellStyle name="Normal 10 2 3 3 3 4 2" xfId="9880"/>
    <cellStyle name="Normal 10 2 3 3 3 4 2 2" xfId="27160"/>
    <cellStyle name="Normal 10 2 3 3 3 4 3" xfId="15640"/>
    <cellStyle name="Normal 10 2 3 3 3 4 3 2" xfId="32920"/>
    <cellStyle name="Normal 10 2 3 3 3 4 4" xfId="21400"/>
    <cellStyle name="Normal 10 2 3 3 3 5" xfId="7000"/>
    <cellStyle name="Normal 10 2 3 3 3 5 2" xfId="24280"/>
    <cellStyle name="Normal 10 2 3 3 3 6" xfId="12760"/>
    <cellStyle name="Normal 10 2 3 3 3 6 2" xfId="30040"/>
    <cellStyle name="Normal 10 2 3 3 3 7" xfId="18520"/>
    <cellStyle name="Normal 10 2 3 3 4" xfId="1480"/>
    <cellStyle name="Normal 10 2 3 3 4 2" xfId="2200"/>
    <cellStyle name="Normal 10 2 3 3 4 2 2" xfId="3640"/>
    <cellStyle name="Normal 10 2 3 3 4 2 2 2" xfId="6520"/>
    <cellStyle name="Normal 10 2 3 3 4 2 2 2 2" xfId="12280"/>
    <cellStyle name="Normal 10 2 3 3 4 2 2 2 2 2" xfId="29560"/>
    <cellStyle name="Normal 10 2 3 3 4 2 2 2 3" xfId="18040"/>
    <cellStyle name="Normal 10 2 3 3 4 2 2 2 3 2" xfId="35320"/>
    <cellStyle name="Normal 10 2 3 3 4 2 2 2 4" xfId="23800"/>
    <cellStyle name="Normal 10 2 3 3 4 2 2 3" xfId="9400"/>
    <cellStyle name="Normal 10 2 3 3 4 2 2 3 2" xfId="26680"/>
    <cellStyle name="Normal 10 2 3 3 4 2 2 4" xfId="15160"/>
    <cellStyle name="Normal 10 2 3 3 4 2 2 4 2" xfId="32440"/>
    <cellStyle name="Normal 10 2 3 3 4 2 2 5" xfId="20920"/>
    <cellStyle name="Normal 10 2 3 3 4 2 3" xfId="5080"/>
    <cellStyle name="Normal 10 2 3 3 4 2 3 2" xfId="10840"/>
    <cellStyle name="Normal 10 2 3 3 4 2 3 2 2" xfId="28120"/>
    <cellStyle name="Normal 10 2 3 3 4 2 3 3" xfId="16600"/>
    <cellStyle name="Normal 10 2 3 3 4 2 3 3 2" xfId="33880"/>
    <cellStyle name="Normal 10 2 3 3 4 2 3 4" xfId="22360"/>
    <cellStyle name="Normal 10 2 3 3 4 2 4" xfId="7960"/>
    <cellStyle name="Normal 10 2 3 3 4 2 4 2" xfId="25240"/>
    <cellStyle name="Normal 10 2 3 3 4 2 5" xfId="13720"/>
    <cellStyle name="Normal 10 2 3 3 4 2 5 2" xfId="31000"/>
    <cellStyle name="Normal 10 2 3 3 4 2 6" xfId="19480"/>
    <cellStyle name="Normal 10 2 3 3 4 3" xfId="2920"/>
    <cellStyle name="Normal 10 2 3 3 4 3 2" xfId="5800"/>
    <cellStyle name="Normal 10 2 3 3 4 3 2 2" xfId="11560"/>
    <cellStyle name="Normal 10 2 3 3 4 3 2 2 2" xfId="28840"/>
    <cellStyle name="Normal 10 2 3 3 4 3 2 3" xfId="17320"/>
    <cellStyle name="Normal 10 2 3 3 4 3 2 3 2" xfId="34600"/>
    <cellStyle name="Normal 10 2 3 3 4 3 2 4" xfId="23080"/>
    <cellStyle name="Normal 10 2 3 3 4 3 3" xfId="8680"/>
    <cellStyle name="Normal 10 2 3 3 4 3 3 2" xfId="25960"/>
    <cellStyle name="Normal 10 2 3 3 4 3 4" xfId="14440"/>
    <cellStyle name="Normal 10 2 3 3 4 3 4 2" xfId="31720"/>
    <cellStyle name="Normal 10 2 3 3 4 3 5" xfId="20200"/>
    <cellStyle name="Normal 10 2 3 3 4 4" xfId="4360"/>
    <cellStyle name="Normal 10 2 3 3 4 4 2" xfId="10120"/>
    <cellStyle name="Normal 10 2 3 3 4 4 2 2" xfId="27400"/>
    <cellStyle name="Normal 10 2 3 3 4 4 3" xfId="15880"/>
    <cellStyle name="Normal 10 2 3 3 4 4 3 2" xfId="33160"/>
    <cellStyle name="Normal 10 2 3 3 4 4 4" xfId="21640"/>
    <cellStyle name="Normal 10 2 3 3 4 5" xfId="7240"/>
    <cellStyle name="Normal 10 2 3 3 4 5 2" xfId="24520"/>
    <cellStyle name="Normal 10 2 3 3 4 6" xfId="13000"/>
    <cellStyle name="Normal 10 2 3 3 4 6 2" xfId="30280"/>
    <cellStyle name="Normal 10 2 3 3 4 7" xfId="18760"/>
    <cellStyle name="Normal 10 2 3 3 5" xfId="1720"/>
    <cellStyle name="Normal 10 2 3 3 5 2" xfId="3160"/>
    <cellStyle name="Normal 10 2 3 3 5 2 2" xfId="6040"/>
    <cellStyle name="Normal 10 2 3 3 5 2 2 2" xfId="11800"/>
    <cellStyle name="Normal 10 2 3 3 5 2 2 2 2" xfId="29080"/>
    <cellStyle name="Normal 10 2 3 3 5 2 2 3" xfId="17560"/>
    <cellStyle name="Normal 10 2 3 3 5 2 2 3 2" xfId="34840"/>
    <cellStyle name="Normal 10 2 3 3 5 2 2 4" xfId="23320"/>
    <cellStyle name="Normal 10 2 3 3 5 2 3" xfId="8920"/>
    <cellStyle name="Normal 10 2 3 3 5 2 3 2" xfId="26200"/>
    <cellStyle name="Normal 10 2 3 3 5 2 4" xfId="14680"/>
    <cellStyle name="Normal 10 2 3 3 5 2 4 2" xfId="31960"/>
    <cellStyle name="Normal 10 2 3 3 5 2 5" xfId="20440"/>
    <cellStyle name="Normal 10 2 3 3 5 3" xfId="4600"/>
    <cellStyle name="Normal 10 2 3 3 5 3 2" xfId="10360"/>
    <cellStyle name="Normal 10 2 3 3 5 3 2 2" xfId="27640"/>
    <cellStyle name="Normal 10 2 3 3 5 3 3" xfId="16120"/>
    <cellStyle name="Normal 10 2 3 3 5 3 3 2" xfId="33400"/>
    <cellStyle name="Normal 10 2 3 3 5 3 4" xfId="21880"/>
    <cellStyle name="Normal 10 2 3 3 5 4" xfId="7480"/>
    <cellStyle name="Normal 10 2 3 3 5 4 2" xfId="24760"/>
    <cellStyle name="Normal 10 2 3 3 5 5" xfId="13240"/>
    <cellStyle name="Normal 10 2 3 3 5 5 2" xfId="30520"/>
    <cellStyle name="Normal 10 2 3 3 5 6" xfId="19000"/>
    <cellStyle name="Normal 10 2 3 3 6" xfId="2440"/>
    <cellStyle name="Normal 10 2 3 3 6 2" xfId="5320"/>
    <cellStyle name="Normal 10 2 3 3 6 2 2" xfId="11080"/>
    <cellStyle name="Normal 10 2 3 3 6 2 2 2" xfId="28360"/>
    <cellStyle name="Normal 10 2 3 3 6 2 3" xfId="16840"/>
    <cellStyle name="Normal 10 2 3 3 6 2 3 2" xfId="34120"/>
    <cellStyle name="Normal 10 2 3 3 6 2 4" xfId="22600"/>
    <cellStyle name="Normal 10 2 3 3 6 3" xfId="8200"/>
    <cellStyle name="Normal 10 2 3 3 6 3 2" xfId="25480"/>
    <cellStyle name="Normal 10 2 3 3 6 4" xfId="13960"/>
    <cellStyle name="Normal 10 2 3 3 6 4 2" xfId="31240"/>
    <cellStyle name="Normal 10 2 3 3 6 5" xfId="19720"/>
    <cellStyle name="Normal 10 2 3 3 7" xfId="3880"/>
    <cellStyle name="Normal 10 2 3 3 7 2" xfId="9640"/>
    <cellStyle name="Normal 10 2 3 3 7 2 2" xfId="26920"/>
    <cellStyle name="Normal 10 2 3 3 7 3" xfId="15400"/>
    <cellStyle name="Normal 10 2 3 3 7 3 2" xfId="32680"/>
    <cellStyle name="Normal 10 2 3 3 7 4" xfId="21160"/>
    <cellStyle name="Normal 10 2 3 3 8" xfId="6760"/>
    <cellStyle name="Normal 10 2 3 3 8 2" xfId="24040"/>
    <cellStyle name="Normal 10 2 3 3 9" xfId="12520"/>
    <cellStyle name="Normal 10 2 3 3 9 2" xfId="29800"/>
    <cellStyle name="Normal 10 2 3 4" xfId="1080"/>
    <cellStyle name="Normal 10 2 3 4 2" xfId="1320"/>
    <cellStyle name="Normal 10 2 3 4 2 2" xfId="2040"/>
    <cellStyle name="Normal 10 2 3 4 2 2 2" xfId="3480"/>
    <cellStyle name="Normal 10 2 3 4 2 2 2 2" xfId="6360"/>
    <cellStyle name="Normal 10 2 3 4 2 2 2 2 2" xfId="12120"/>
    <cellStyle name="Normal 10 2 3 4 2 2 2 2 2 2" xfId="29400"/>
    <cellStyle name="Normal 10 2 3 4 2 2 2 2 3" xfId="17880"/>
    <cellStyle name="Normal 10 2 3 4 2 2 2 2 3 2" xfId="35160"/>
    <cellStyle name="Normal 10 2 3 4 2 2 2 2 4" xfId="23640"/>
    <cellStyle name="Normal 10 2 3 4 2 2 2 3" xfId="9240"/>
    <cellStyle name="Normal 10 2 3 4 2 2 2 3 2" xfId="26520"/>
    <cellStyle name="Normal 10 2 3 4 2 2 2 4" xfId="15000"/>
    <cellStyle name="Normal 10 2 3 4 2 2 2 4 2" xfId="32280"/>
    <cellStyle name="Normal 10 2 3 4 2 2 2 5" xfId="20760"/>
    <cellStyle name="Normal 10 2 3 4 2 2 3" xfId="4920"/>
    <cellStyle name="Normal 10 2 3 4 2 2 3 2" xfId="10680"/>
    <cellStyle name="Normal 10 2 3 4 2 2 3 2 2" xfId="27960"/>
    <cellStyle name="Normal 10 2 3 4 2 2 3 3" xfId="16440"/>
    <cellStyle name="Normal 10 2 3 4 2 2 3 3 2" xfId="33720"/>
    <cellStyle name="Normal 10 2 3 4 2 2 3 4" xfId="22200"/>
    <cellStyle name="Normal 10 2 3 4 2 2 4" xfId="7800"/>
    <cellStyle name="Normal 10 2 3 4 2 2 4 2" xfId="25080"/>
    <cellStyle name="Normal 10 2 3 4 2 2 5" xfId="13560"/>
    <cellStyle name="Normal 10 2 3 4 2 2 5 2" xfId="30840"/>
    <cellStyle name="Normal 10 2 3 4 2 2 6" xfId="19320"/>
    <cellStyle name="Normal 10 2 3 4 2 3" xfId="2760"/>
    <cellStyle name="Normal 10 2 3 4 2 3 2" xfId="5640"/>
    <cellStyle name="Normal 10 2 3 4 2 3 2 2" xfId="11400"/>
    <cellStyle name="Normal 10 2 3 4 2 3 2 2 2" xfId="28680"/>
    <cellStyle name="Normal 10 2 3 4 2 3 2 3" xfId="17160"/>
    <cellStyle name="Normal 10 2 3 4 2 3 2 3 2" xfId="34440"/>
    <cellStyle name="Normal 10 2 3 4 2 3 2 4" xfId="22920"/>
    <cellStyle name="Normal 10 2 3 4 2 3 3" xfId="8520"/>
    <cellStyle name="Normal 10 2 3 4 2 3 3 2" xfId="25800"/>
    <cellStyle name="Normal 10 2 3 4 2 3 4" xfId="14280"/>
    <cellStyle name="Normal 10 2 3 4 2 3 4 2" xfId="31560"/>
    <cellStyle name="Normal 10 2 3 4 2 3 5" xfId="20040"/>
    <cellStyle name="Normal 10 2 3 4 2 4" xfId="4200"/>
    <cellStyle name="Normal 10 2 3 4 2 4 2" xfId="9960"/>
    <cellStyle name="Normal 10 2 3 4 2 4 2 2" xfId="27240"/>
    <cellStyle name="Normal 10 2 3 4 2 4 3" xfId="15720"/>
    <cellStyle name="Normal 10 2 3 4 2 4 3 2" xfId="33000"/>
    <cellStyle name="Normal 10 2 3 4 2 4 4" xfId="21480"/>
    <cellStyle name="Normal 10 2 3 4 2 5" xfId="7080"/>
    <cellStyle name="Normal 10 2 3 4 2 5 2" xfId="24360"/>
    <cellStyle name="Normal 10 2 3 4 2 6" xfId="12840"/>
    <cellStyle name="Normal 10 2 3 4 2 6 2" xfId="30120"/>
    <cellStyle name="Normal 10 2 3 4 2 7" xfId="18600"/>
    <cellStyle name="Normal 10 2 3 4 3" xfId="1560"/>
    <cellStyle name="Normal 10 2 3 4 3 2" xfId="2280"/>
    <cellStyle name="Normal 10 2 3 4 3 2 2" xfId="3720"/>
    <cellStyle name="Normal 10 2 3 4 3 2 2 2" xfId="6600"/>
    <cellStyle name="Normal 10 2 3 4 3 2 2 2 2" xfId="12360"/>
    <cellStyle name="Normal 10 2 3 4 3 2 2 2 2 2" xfId="29640"/>
    <cellStyle name="Normal 10 2 3 4 3 2 2 2 3" xfId="18120"/>
    <cellStyle name="Normal 10 2 3 4 3 2 2 2 3 2" xfId="35400"/>
    <cellStyle name="Normal 10 2 3 4 3 2 2 2 4" xfId="23880"/>
    <cellStyle name="Normal 10 2 3 4 3 2 2 3" xfId="9480"/>
    <cellStyle name="Normal 10 2 3 4 3 2 2 3 2" xfId="26760"/>
    <cellStyle name="Normal 10 2 3 4 3 2 2 4" xfId="15240"/>
    <cellStyle name="Normal 10 2 3 4 3 2 2 4 2" xfId="32520"/>
    <cellStyle name="Normal 10 2 3 4 3 2 2 5" xfId="21000"/>
    <cellStyle name="Normal 10 2 3 4 3 2 3" xfId="5160"/>
    <cellStyle name="Normal 10 2 3 4 3 2 3 2" xfId="10920"/>
    <cellStyle name="Normal 10 2 3 4 3 2 3 2 2" xfId="28200"/>
    <cellStyle name="Normal 10 2 3 4 3 2 3 3" xfId="16680"/>
    <cellStyle name="Normal 10 2 3 4 3 2 3 3 2" xfId="33960"/>
    <cellStyle name="Normal 10 2 3 4 3 2 3 4" xfId="22440"/>
    <cellStyle name="Normal 10 2 3 4 3 2 4" xfId="8040"/>
    <cellStyle name="Normal 10 2 3 4 3 2 4 2" xfId="25320"/>
    <cellStyle name="Normal 10 2 3 4 3 2 5" xfId="13800"/>
    <cellStyle name="Normal 10 2 3 4 3 2 5 2" xfId="31080"/>
    <cellStyle name="Normal 10 2 3 4 3 2 6" xfId="19560"/>
    <cellStyle name="Normal 10 2 3 4 3 3" xfId="3000"/>
    <cellStyle name="Normal 10 2 3 4 3 3 2" xfId="5880"/>
    <cellStyle name="Normal 10 2 3 4 3 3 2 2" xfId="11640"/>
    <cellStyle name="Normal 10 2 3 4 3 3 2 2 2" xfId="28920"/>
    <cellStyle name="Normal 10 2 3 4 3 3 2 3" xfId="17400"/>
    <cellStyle name="Normal 10 2 3 4 3 3 2 3 2" xfId="34680"/>
    <cellStyle name="Normal 10 2 3 4 3 3 2 4" xfId="23160"/>
    <cellStyle name="Normal 10 2 3 4 3 3 3" xfId="8760"/>
    <cellStyle name="Normal 10 2 3 4 3 3 3 2" xfId="26040"/>
    <cellStyle name="Normal 10 2 3 4 3 3 4" xfId="14520"/>
    <cellStyle name="Normal 10 2 3 4 3 3 4 2" xfId="31800"/>
    <cellStyle name="Normal 10 2 3 4 3 3 5" xfId="20280"/>
    <cellStyle name="Normal 10 2 3 4 3 4" xfId="4440"/>
    <cellStyle name="Normal 10 2 3 4 3 4 2" xfId="10200"/>
    <cellStyle name="Normal 10 2 3 4 3 4 2 2" xfId="27480"/>
    <cellStyle name="Normal 10 2 3 4 3 4 3" xfId="15960"/>
    <cellStyle name="Normal 10 2 3 4 3 4 3 2" xfId="33240"/>
    <cellStyle name="Normal 10 2 3 4 3 4 4" xfId="21720"/>
    <cellStyle name="Normal 10 2 3 4 3 5" xfId="7320"/>
    <cellStyle name="Normal 10 2 3 4 3 5 2" xfId="24600"/>
    <cellStyle name="Normal 10 2 3 4 3 6" xfId="13080"/>
    <cellStyle name="Normal 10 2 3 4 3 6 2" xfId="30360"/>
    <cellStyle name="Normal 10 2 3 4 3 7" xfId="18840"/>
    <cellStyle name="Normal 10 2 3 4 4" xfId="1800"/>
    <cellStyle name="Normal 10 2 3 4 4 2" xfId="3240"/>
    <cellStyle name="Normal 10 2 3 4 4 2 2" xfId="6120"/>
    <cellStyle name="Normal 10 2 3 4 4 2 2 2" xfId="11880"/>
    <cellStyle name="Normal 10 2 3 4 4 2 2 2 2" xfId="29160"/>
    <cellStyle name="Normal 10 2 3 4 4 2 2 3" xfId="17640"/>
    <cellStyle name="Normal 10 2 3 4 4 2 2 3 2" xfId="34920"/>
    <cellStyle name="Normal 10 2 3 4 4 2 2 4" xfId="23400"/>
    <cellStyle name="Normal 10 2 3 4 4 2 3" xfId="9000"/>
    <cellStyle name="Normal 10 2 3 4 4 2 3 2" xfId="26280"/>
    <cellStyle name="Normal 10 2 3 4 4 2 4" xfId="14760"/>
    <cellStyle name="Normal 10 2 3 4 4 2 4 2" xfId="32040"/>
    <cellStyle name="Normal 10 2 3 4 4 2 5" xfId="20520"/>
    <cellStyle name="Normal 10 2 3 4 4 3" xfId="4680"/>
    <cellStyle name="Normal 10 2 3 4 4 3 2" xfId="10440"/>
    <cellStyle name="Normal 10 2 3 4 4 3 2 2" xfId="27720"/>
    <cellStyle name="Normal 10 2 3 4 4 3 3" xfId="16200"/>
    <cellStyle name="Normal 10 2 3 4 4 3 3 2" xfId="33480"/>
    <cellStyle name="Normal 10 2 3 4 4 3 4" xfId="21960"/>
    <cellStyle name="Normal 10 2 3 4 4 4" xfId="7560"/>
    <cellStyle name="Normal 10 2 3 4 4 4 2" xfId="24840"/>
    <cellStyle name="Normal 10 2 3 4 4 5" xfId="13320"/>
    <cellStyle name="Normal 10 2 3 4 4 5 2" xfId="30600"/>
    <cellStyle name="Normal 10 2 3 4 4 6" xfId="19080"/>
    <cellStyle name="Normal 10 2 3 4 5" xfId="2520"/>
    <cellStyle name="Normal 10 2 3 4 5 2" xfId="5400"/>
    <cellStyle name="Normal 10 2 3 4 5 2 2" xfId="11160"/>
    <cellStyle name="Normal 10 2 3 4 5 2 2 2" xfId="28440"/>
    <cellStyle name="Normal 10 2 3 4 5 2 3" xfId="16920"/>
    <cellStyle name="Normal 10 2 3 4 5 2 3 2" xfId="34200"/>
    <cellStyle name="Normal 10 2 3 4 5 2 4" xfId="22680"/>
    <cellStyle name="Normal 10 2 3 4 5 3" xfId="8280"/>
    <cellStyle name="Normal 10 2 3 4 5 3 2" xfId="25560"/>
    <cellStyle name="Normal 10 2 3 4 5 4" xfId="14040"/>
    <cellStyle name="Normal 10 2 3 4 5 4 2" xfId="31320"/>
    <cellStyle name="Normal 10 2 3 4 5 5" xfId="19800"/>
    <cellStyle name="Normal 10 2 3 4 6" xfId="3960"/>
    <cellStyle name="Normal 10 2 3 4 6 2" xfId="9720"/>
    <cellStyle name="Normal 10 2 3 4 6 2 2" xfId="27000"/>
    <cellStyle name="Normal 10 2 3 4 6 3" xfId="15480"/>
    <cellStyle name="Normal 10 2 3 4 6 3 2" xfId="32760"/>
    <cellStyle name="Normal 10 2 3 4 6 4" xfId="21240"/>
    <cellStyle name="Normal 10 2 3 4 7" xfId="6840"/>
    <cellStyle name="Normal 10 2 3 4 7 2" xfId="24120"/>
    <cellStyle name="Normal 10 2 3 4 8" xfId="12600"/>
    <cellStyle name="Normal 10 2 3 4 8 2" xfId="29880"/>
    <cellStyle name="Normal 10 2 3 4 9" xfId="18360"/>
    <cellStyle name="Normal 10 2 3 5" xfId="1200"/>
    <cellStyle name="Normal 10 2 3 5 2" xfId="1920"/>
    <cellStyle name="Normal 10 2 3 5 2 2" xfId="3360"/>
    <cellStyle name="Normal 10 2 3 5 2 2 2" xfId="6240"/>
    <cellStyle name="Normal 10 2 3 5 2 2 2 2" xfId="12000"/>
    <cellStyle name="Normal 10 2 3 5 2 2 2 2 2" xfId="29280"/>
    <cellStyle name="Normal 10 2 3 5 2 2 2 3" xfId="17760"/>
    <cellStyle name="Normal 10 2 3 5 2 2 2 3 2" xfId="35040"/>
    <cellStyle name="Normal 10 2 3 5 2 2 2 4" xfId="23520"/>
    <cellStyle name="Normal 10 2 3 5 2 2 3" xfId="9120"/>
    <cellStyle name="Normal 10 2 3 5 2 2 3 2" xfId="26400"/>
    <cellStyle name="Normal 10 2 3 5 2 2 4" xfId="14880"/>
    <cellStyle name="Normal 10 2 3 5 2 2 4 2" xfId="32160"/>
    <cellStyle name="Normal 10 2 3 5 2 2 5" xfId="20640"/>
    <cellStyle name="Normal 10 2 3 5 2 3" xfId="4800"/>
    <cellStyle name="Normal 10 2 3 5 2 3 2" xfId="10560"/>
    <cellStyle name="Normal 10 2 3 5 2 3 2 2" xfId="27840"/>
    <cellStyle name="Normal 10 2 3 5 2 3 3" xfId="16320"/>
    <cellStyle name="Normal 10 2 3 5 2 3 3 2" xfId="33600"/>
    <cellStyle name="Normal 10 2 3 5 2 3 4" xfId="22080"/>
    <cellStyle name="Normal 10 2 3 5 2 4" xfId="7680"/>
    <cellStyle name="Normal 10 2 3 5 2 4 2" xfId="24960"/>
    <cellStyle name="Normal 10 2 3 5 2 5" xfId="13440"/>
    <cellStyle name="Normal 10 2 3 5 2 5 2" xfId="30720"/>
    <cellStyle name="Normal 10 2 3 5 2 6" xfId="19200"/>
    <cellStyle name="Normal 10 2 3 5 3" xfId="2640"/>
    <cellStyle name="Normal 10 2 3 5 3 2" xfId="5520"/>
    <cellStyle name="Normal 10 2 3 5 3 2 2" xfId="11280"/>
    <cellStyle name="Normal 10 2 3 5 3 2 2 2" xfId="28560"/>
    <cellStyle name="Normal 10 2 3 5 3 2 3" xfId="17040"/>
    <cellStyle name="Normal 10 2 3 5 3 2 3 2" xfId="34320"/>
    <cellStyle name="Normal 10 2 3 5 3 2 4" xfId="22800"/>
    <cellStyle name="Normal 10 2 3 5 3 3" xfId="8400"/>
    <cellStyle name="Normal 10 2 3 5 3 3 2" xfId="25680"/>
    <cellStyle name="Normal 10 2 3 5 3 4" xfId="14160"/>
    <cellStyle name="Normal 10 2 3 5 3 4 2" xfId="31440"/>
    <cellStyle name="Normal 10 2 3 5 3 5" xfId="19920"/>
    <cellStyle name="Normal 10 2 3 5 4" xfId="4080"/>
    <cellStyle name="Normal 10 2 3 5 4 2" xfId="9840"/>
    <cellStyle name="Normal 10 2 3 5 4 2 2" xfId="27120"/>
    <cellStyle name="Normal 10 2 3 5 4 3" xfId="15600"/>
    <cellStyle name="Normal 10 2 3 5 4 3 2" xfId="32880"/>
    <cellStyle name="Normal 10 2 3 5 4 4" xfId="21360"/>
    <cellStyle name="Normal 10 2 3 5 5" xfId="6960"/>
    <cellStyle name="Normal 10 2 3 5 5 2" xfId="24240"/>
    <cellStyle name="Normal 10 2 3 5 6" xfId="12720"/>
    <cellStyle name="Normal 10 2 3 5 6 2" xfId="30000"/>
    <cellStyle name="Normal 10 2 3 5 7" xfId="18480"/>
    <cellStyle name="Normal 10 2 3 6" xfId="1440"/>
    <cellStyle name="Normal 10 2 3 6 2" xfId="2160"/>
    <cellStyle name="Normal 10 2 3 6 2 2" xfId="3600"/>
    <cellStyle name="Normal 10 2 3 6 2 2 2" xfId="6480"/>
    <cellStyle name="Normal 10 2 3 6 2 2 2 2" xfId="12240"/>
    <cellStyle name="Normal 10 2 3 6 2 2 2 2 2" xfId="29520"/>
    <cellStyle name="Normal 10 2 3 6 2 2 2 3" xfId="18000"/>
    <cellStyle name="Normal 10 2 3 6 2 2 2 3 2" xfId="35280"/>
    <cellStyle name="Normal 10 2 3 6 2 2 2 4" xfId="23760"/>
    <cellStyle name="Normal 10 2 3 6 2 2 3" xfId="9360"/>
    <cellStyle name="Normal 10 2 3 6 2 2 3 2" xfId="26640"/>
    <cellStyle name="Normal 10 2 3 6 2 2 4" xfId="15120"/>
    <cellStyle name="Normal 10 2 3 6 2 2 4 2" xfId="32400"/>
    <cellStyle name="Normal 10 2 3 6 2 2 5" xfId="20880"/>
    <cellStyle name="Normal 10 2 3 6 2 3" xfId="5040"/>
    <cellStyle name="Normal 10 2 3 6 2 3 2" xfId="10800"/>
    <cellStyle name="Normal 10 2 3 6 2 3 2 2" xfId="28080"/>
    <cellStyle name="Normal 10 2 3 6 2 3 3" xfId="16560"/>
    <cellStyle name="Normal 10 2 3 6 2 3 3 2" xfId="33840"/>
    <cellStyle name="Normal 10 2 3 6 2 3 4" xfId="22320"/>
    <cellStyle name="Normal 10 2 3 6 2 4" xfId="7920"/>
    <cellStyle name="Normal 10 2 3 6 2 4 2" xfId="25200"/>
    <cellStyle name="Normal 10 2 3 6 2 5" xfId="13680"/>
    <cellStyle name="Normal 10 2 3 6 2 5 2" xfId="30960"/>
    <cellStyle name="Normal 10 2 3 6 2 6" xfId="19440"/>
    <cellStyle name="Normal 10 2 3 6 3" xfId="2880"/>
    <cellStyle name="Normal 10 2 3 6 3 2" xfId="5760"/>
    <cellStyle name="Normal 10 2 3 6 3 2 2" xfId="11520"/>
    <cellStyle name="Normal 10 2 3 6 3 2 2 2" xfId="28800"/>
    <cellStyle name="Normal 10 2 3 6 3 2 3" xfId="17280"/>
    <cellStyle name="Normal 10 2 3 6 3 2 3 2" xfId="34560"/>
    <cellStyle name="Normal 10 2 3 6 3 2 4" xfId="23040"/>
    <cellStyle name="Normal 10 2 3 6 3 3" xfId="8640"/>
    <cellStyle name="Normal 10 2 3 6 3 3 2" xfId="25920"/>
    <cellStyle name="Normal 10 2 3 6 3 4" xfId="14400"/>
    <cellStyle name="Normal 10 2 3 6 3 4 2" xfId="31680"/>
    <cellStyle name="Normal 10 2 3 6 3 5" xfId="20160"/>
    <cellStyle name="Normal 10 2 3 6 4" xfId="4320"/>
    <cellStyle name="Normal 10 2 3 6 4 2" xfId="10080"/>
    <cellStyle name="Normal 10 2 3 6 4 2 2" xfId="27360"/>
    <cellStyle name="Normal 10 2 3 6 4 3" xfId="15840"/>
    <cellStyle name="Normal 10 2 3 6 4 3 2" xfId="33120"/>
    <cellStyle name="Normal 10 2 3 6 4 4" xfId="21600"/>
    <cellStyle name="Normal 10 2 3 6 5" xfId="7200"/>
    <cellStyle name="Normal 10 2 3 6 5 2" xfId="24480"/>
    <cellStyle name="Normal 10 2 3 6 6" xfId="12960"/>
    <cellStyle name="Normal 10 2 3 6 6 2" xfId="30240"/>
    <cellStyle name="Normal 10 2 3 6 7" xfId="18720"/>
    <cellStyle name="Normal 10 2 3 7" xfId="1680"/>
    <cellStyle name="Normal 10 2 3 7 2" xfId="3120"/>
    <cellStyle name="Normal 10 2 3 7 2 2" xfId="6000"/>
    <cellStyle name="Normal 10 2 3 7 2 2 2" xfId="11760"/>
    <cellStyle name="Normal 10 2 3 7 2 2 2 2" xfId="29040"/>
    <cellStyle name="Normal 10 2 3 7 2 2 3" xfId="17520"/>
    <cellStyle name="Normal 10 2 3 7 2 2 3 2" xfId="34800"/>
    <cellStyle name="Normal 10 2 3 7 2 2 4" xfId="23280"/>
    <cellStyle name="Normal 10 2 3 7 2 3" xfId="8880"/>
    <cellStyle name="Normal 10 2 3 7 2 3 2" xfId="26160"/>
    <cellStyle name="Normal 10 2 3 7 2 4" xfId="14640"/>
    <cellStyle name="Normal 10 2 3 7 2 4 2" xfId="31920"/>
    <cellStyle name="Normal 10 2 3 7 2 5" xfId="20400"/>
    <cellStyle name="Normal 10 2 3 7 3" xfId="4560"/>
    <cellStyle name="Normal 10 2 3 7 3 2" xfId="10320"/>
    <cellStyle name="Normal 10 2 3 7 3 2 2" xfId="27600"/>
    <cellStyle name="Normal 10 2 3 7 3 3" xfId="16080"/>
    <cellStyle name="Normal 10 2 3 7 3 3 2" xfId="33360"/>
    <cellStyle name="Normal 10 2 3 7 3 4" xfId="21840"/>
    <cellStyle name="Normal 10 2 3 7 4" xfId="7440"/>
    <cellStyle name="Normal 10 2 3 7 4 2" xfId="24720"/>
    <cellStyle name="Normal 10 2 3 7 5" xfId="13200"/>
    <cellStyle name="Normal 10 2 3 7 5 2" xfId="30480"/>
    <cellStyle name="Normal 10 2 3 7 6" xfId="18960"/>
    <cellStyle name="Normal 10 2 3 8" xfId="2400"/>
    <cellStyle name="Normal 10 2 3 8 2" xfId="5280"/>
    <cellStyle name="Normal 10 2 3 8 2 2" xfId="11040"/>
    <cellStyle name="Normal 10 2 3 8 2 2 2" xfId="28320"/>
    <cellStyle name="Normal 10 2 3 8 2 3" xfId="16800"/>
    <cellStyle name="Normal 10 2 3 8 2 3 2" xfId="34080"/>
    <cellStyle name="Normal 10 2 3 8 2 4" xfId="22560"/>
    <cellStyle name="Normal 10 2 3 8 3" xfId="8160"/>
    <cellStyle name="Normal 10 2 3 8 3 2" xfId="25440"/>
    <cellStyle name="Normal 10 2 3 8 4" xfId="13920"/>
    <cellStyle name="Normal 10 2 3 8 4 2" xfId="31200"/>
    <cellStyle name="Normal 10 2 3 8 5" xfId="19680"/>
    <cellStyle name="Normal 10 2 3 9" xfId="3840"/>
    <cellStyle name="Normal 10 2 3 9 2" xfId="9600"/>
    <cellStyle name="Normal 10 2 3 9 2 2" xfId="26880"/>
    <cellStyle name="Normal 10 2 3 9 3" xfId="15360"/>
    <cellStyle name="Normal 10 2 3 9 3 2" xfId="32640"/>
    <cellStyle name="Normal 10 2 3 9 4" xfId="21120"/>
    <cellStyle name="Normal 10 2 4" xfId="1020"/>
    <cellStyle name="Normal 10 2 4 10" xfId="18300"/>
    <cellStyle name="Normal 10 2 4 2" xfId="1140"/>
    <cellStyle name="Normal 10 2 4 2 2" xfId="1380"/>
    <cellStyle name="Normal 10 2 4 2 2 2" xfId="2100"/>
    <cellStyle name="Normal 10 2 4 2 2 2 2" xfId="3540"/>
    <cellStyle name="Normal 10 2 4 2 2 2 2 2" xfId="6420"/>
    <cellStyle name="Normal 10 2 4 2 2 2 2 2 2" xfId="12180"/>
    <cellStyle name="Normal 10 2 4 2 2 2 2 2 2 2" xfId="29460"/>
    <cellStyle name="Normal 10 2 4 2 2 2 2 2 3" xfId="17940"/>
    <cellStyle name="Normal 10 2 4 2 2 2 2 2 3 2" xfId="35220"/>
    <cellStyle name="Normal 10 2 4 2 2 2 2 2 4" xfId="23700"/>
    <cellStyle name="Normal 10 2 4 2 2 2 2 3" xfId="9300"/>
    <cellStyle name="Normal 10 2 4 2 2 2 2 3 2" xfId="26580"/>
    <cellStyle name="Normal 10 2 4 2 2 2 2 4" xfId="15060"/>
    <cellStyle name="Normal 10 2 4 2 2 2 2 4 2" xfId="32340"/>
    <cellStyle name="Normal 10 2 4 2 2 2 2 5" xfId="20820"/>
    <cellStyle name="Normal 10 2 4 2 2 2 3" xfId="4980"/>
    <cellStyle name="Normal 10 2 4 2 2 2 3 2" xfId="10740"/>
    <cellStyle name="Normal 10 2 4 2 2 2 3 2 2" xfId="28020"/>
    <cellStyle name="Normal 10 2 4 2 2 2 3 3" xfId="16500"/>
    <cellStyle name="Normal 10 2 4 2 2 2 3 3 2" xfId="33780"/>
    <cellStyle name="Normal 10 2 4 2 2 2 3 4" xfId="22260"/>
    <cellStyle name="Normal 10 2 4 2 2 2 4" xfId="7860"/>
    <cellStyle name="Normal 10 2 4 2 2 2 4 2" xfId="25140"/>
    <cellStyle name="Normal 10 2 4 2 2 2 5" xfId="13620"/>
    <cellStyle name="Normal 10 2 4 2 2 2 5 2" xfId="30900"/>
    <cellStyle name="Normal 10 2 4 2 2 2 6" xfId="19380"/>
    <cellStyle name="Normal 10 2 4 2 2 3" xfId="2820"/>
    <cellStyle name="Normal 10 2 4 2 2 3 2" xfId="5700"/>
    <cellStyle name="Normal 10 2 4 2 2 3 2 2" xfId="11460"/>
    <cellStyle name="Normal 10 2 4 2 2 3 2 2 2" xfId="28740"/>
    <cellStyle name="Normal 10 2 4 2 2 3 2 3" xfId="17220"/>
    <cellStyle name="Normal 10 2 4 2 2 3 2 3 2" xfId="34500"/>
    <cellStyle name="Normal 10 2 4 2 2 3 2 4" xfId="22980"/>
    <cellStyle name="Normal 10 2 4 2 2 3 3" xfId="8580"/>
    <cellStyle name="Normal 10 2 4 2 2 3 3 2" xfId="25860"/>
    <cellStyle name="Normal 10 2 4 2 2 3 4" xfId="14340"/>
    <cellStyle name="Normal 10 2 4 2 2 3 4 2" xfId="31620"/>
    <cellStyle name="Normal 10 2 4 2 2 3 5" xfId="20100"/>
    <cellStyle name="Normal 10 2 4 2 2 4" xfId="4260"/>
    <cellStyle name="Normal 10 2 4 2 2 4 2" xfId="10020"/>
    <cellStyle name="Normal 10 2 4 2 2 4 2 2" xfId="27300"/>
    <cellStyle name="Normal 10 2 4 2 2 4 3" xfId="15780"/>
    <cellStyle name="Normal 10 2 4 2 2 4 3 2" xfId="33060"/>
    <cellStyle name="Normal 10 2 4 2 2 4 4" xfId="21540"/>
    <cellStyle name="Normal 10 2 4 2 2 5" xfId="7140"/>
    <cellStyle name="Normal 10 2 4 2 2 5 2" xfId="24420"/>
    <cellStyle name="Normal 10 2 4 2 2 6" xfId="12900"/>
    <cellStyle name="Normal 10 2 4 2 2 6 2" xfId="30180"/>
    <cellStyle name="Normal 10 2 4 2 2 7" xfId="18660"/>
    <cellStyle name="Normal 10 2 4 2 3" xfId="1620"/>
    <cellStyle name="Normal 10 2 4 2 3 2" xfId="2340"/>
    <cellStyle name="Normal 10 2 4 2 3 2 2" xfId="3780"/>
    <cellStyle name="Normal 10 2 4 2 3 2 2 2" xfId="6660"/>
    <cellStyle name="Normal 10 2 4 2 3 2 2 2 2" xfId="12420"/>
    <cellStyle name="Normal 10 2 4 2 3 2 2 2 2 2" xfId="29700"/>
    <cellStyle name="Normal 10 2 4 2 3 2 2 2 3" xfId="18180"/>
    <cellStyle name="Normal 10 2 4 2 3 2 2 2 3 2" xfId="35460"/>
    <cellStyle name="Normal 10 2 4 2 3 2 2 2 4" xfId="23940"/>
    <cellStyle name="Normal 10 2 4 2 3 2 2 3" xfId="9540"/>
    <cellStyle name="Normal 10 2 4 2 3 2 2 3 2" xfId="26820"/>
    <cellStyle name="Normal 10 2 4 2 3 2 2 4" xfId="15300"/>
    <cellStyle name="Normal 10 2 4 2 3 2 2 4 2" xfId="32580"/>
    <cellStyle name="Normal 10 2 4 2 3 2 2 5" xfId="21060"/>
    <cellStyle name="Normal 10 2 4 2 3 2 3" xfId="5220"/>
    <cellStyle name="Normal 10 2 4 2 3 2 3 2" xfId="10980"/>
    <cellStyle name="Normal 10 2 4 2 3 2 3 2 2" xfId="28260"/>
    <cellStyle name="Normal 10 2 4 2 3 2 3 3" xfId="16740"/>
    <cellStyle name="Normal 10 2 4 2 3 2 3 3 2" xfId="34020"/>
    <cellStyle name="Normal 10 2 4 2 3 2 3 4" xfId="22500"/>
    <cellStyle name="Normal 10 2 4 2 3 2 4" xfId="8100"/>
    <cellStyle name="Normal 10 2 4 2 3 2 4 2" xfId="25380"/>
    <cellStyle name="Normal 10 2 4 2 3 2 5" xfId="13860"/>
    <cellStyle name="Normal 10 2 4 2 3 2 5 2" xfId="31140"/>
    <cellStyle name="Normal 10 2 4 2 3 2 6" xfId="19620"/>
    <cellStyle name="Normal 10 2 4 2 3 3" xfId="3060"/>
    <cellStyle name="Normal 10 2 4 2 3 3 2" xfId="5940"/>
    <cellStyle name="Normal 10 2 4 2 3 3 2 2" xfId="11700"/>
    <cellStyle name="Normal 10 2 4 2 3 3 2 2 2" xfId="28980"/>
    <cellStyle name="Normal 10 2 4 2 3 3 2 3" xfId="17460"/>
    <cellStyle name="Normal 10 2 4 2 3 3 2 3 2" xfId="34740"/>
    <cellStyle name="Normal 10 2 4 2 3 3 2 4" xfId="23220"/>
    <cellStyle name="Normal 10 2 4 2 3 3 3" xfId="8820"/>
    <cellStyle name="Normal 10 2 4 2 3 3 3 2" xfId="26100"/>
    <cellStyle name="Normal 10 2 4 2 3 3 4" xfId="14580"/>
    <cellStyle name="Normal 10 2 4 2 3 3 4 2" xfId="31860"/>
    <cellStyle name="Normal 10 2 4 2 3 3 5" xfId="20340"/>
    <cellStyle name="Normal 10 2 4 2 3 4" xfId="4500"/>
    <cellStyle name="Normal 10 2 4 2 3 4 2" xfId="10260"/>
    <cellStyle name="Normal 10 2 4 2 3 4 2 2" xfId="27540"/>
    <cellStyle name="Normal 10 2 4 2 3 4 3" xfId="16020"/>
    <cellStyle name="Normal 10 2 4 2 3 4 3 2" xfId="33300"/>
    <cellStyle name="Normal 10 2 4 2 3 4 4" xfId="21780"/>
    <cellStyle name="Normal 10 2 4 2 3 5" xfId="7380"/>
    <cellStyle name="Normal 10 2 4 2 3 5 2" xfId="24660"/>
    <cellStyle name="Normal 10 2 4 2 3 6" xfId="13140"/>
    <cellStyle name="Normal 10 2 4 2 3 6 2" xfId="30420"/>
    <cellStyle name="Normal 10 2 4 2 3 7" xfId="18900"/>
    <cellStyle name="Normal 10 2 4 2 4" xfId="1860"/>
    <cellStyle name="Normal 10 2 4 2 4 2" xfId="3300"/>
    <cellStyle name="Normal 10 2 4 2 4 2 2" xfId="6180"/>
    <cellStyle name="Normal 10 2 4 2 4 2 2 2" xfId="11940"/>
    <cellStyle name="Normal 10 2 4 2 4 2 2 2 2" xfId="29220"/>
    <cellStyle name="Normal 10 2 4 2 4 2 2 3" xfId="17700"/>
    <cellStyle name="Normal 10 2 4 2 4 2 2 3 2" xfId="34980"/>
    <cellStyle name="Normal 10 2 4 2 4 2 2 4" xfId="23460"/>
    <cellStyle name="Normal 10 2 4 2 4 2 3" xfId="9060"/>
    <cellStyle name="Normal 10 2 4 2 4 2 3 2" xfId="26340"/>
    <cellStyle name="Normal 10 2 4 2 4 2 4" xfId="14820"/>
    <cellStyle name="Normal 10 2 4 2 4 2 4 2" xfId="32100"/>
    <cellStyle name="Normal 10 2 4 2 4 2 5" xfId="20580"/>
    <cellStyle name="Normal 10 2 4 2 4 3" xfId="4740"/>
    <cellStyle name="Normal 10 2 4 2 4 3 2" xfId="10500"/>
    <cellStyle name="Normal 10 2 4 2 4 3 2 2" xfId="27780"/>
    <cellStyle name="Normal 10 2 4 2 4 3 3" xfId="16260"/>
    <cellStyle name="Normal 10 2 4 2 4 3 3 2" xfId="33540"/>
    <cellStyle name="Normal 10 2 4 2 4 3 4" xfId="22020"/>
    <cellStyle name="Normal 10 2 4 2 4 4" xfId="7620"/>
    <cellStyle name="Normal 10 2 4 2 4 4 2" xfId="24900"/>
    <cellStyle name="Normal 10 2 4 2 4 5" xfId="13380"/>
    <cellStyle name="Normal 10 2 4 2 4 5 2" xfId="30660"/>
    <cellStyle name="Normal 10 2 4 2 4 6" xfId="19140"/>
    <cellStyle name="Normal 10 2 4 2 5" xfId="2580"/>
    <cellStyle name="Normal 10 2 4 2 5 2" xfId="5460"/>
    <cellStyle name="Normal 10 2 4 2 5 2 2" xfId="11220"/>
    <cellStyle name="Normal 10 2 4 2 5 2 2 2" xfId="28500"/>
    <cellStyle name="Normal 10 2 4 2 5 2 3" xfId="16980"/>
    <cellStyle name="Normal 10 2 4 2 5 2 3 2" xfId="34260"/>
    <cellStyle name="Normal 10 2 4 2 5 2 4" xfId="22740"/>
    <cellStyle name="Normal 10 2 4 2 5 3" xfId="8340"/>
    <cellStyle name="Normal 10 2 4 2 5 3 2" xfId="25620"/>
    <cellStyle name="Normal 10 2 4 2 5 4" xfId="14100"/>
    <cellStyle name="Normal 10 2 4 2 5 4 2" xfId="31380"/>
    <cellStyle name="Normal 10 2 4 2 5 5" xfId="19860"/>
    <cellStyle name="Normal 10 2 4 2 6" xfId="4020"/>
    <cellStyle name="Normal 10 2 4 2 6 2" xfId="9780"/>
    <cellStyle name="Normal 10 2 4 2 6 2 2" xfId="27060"/>
    <cellStyle name="Normal 10 2 4 2 6 3" xfId="15540"/>
    <cellStyle name="Normal 10 2 4 2 6 3 2" xfId="32820"/>
    <cellStyle name="Normal 10 2 4 2 6 4" xfId="21300"/>
    <cellStyle name="Normal 10 2 4 2 7" xfId="6900"/>
    <cellStyle name="Normal 10 2 4 2 7 2" xfId="24180"/>
    <cellStyle name="Normal 10 2 4 2 8" xfId="12660"/>
    <cellStyle name="Normal 10 2 4 2 8 2" xfId="29940"/>
    <cellStyle name="Normal 10 2 4 2 9" xfId="18420"/>
    <cellStyle name="Normal 10 2 4 3" xfId="1260"/>
    <cellStyle name="Normal 10 2 4 3 2" xfId="1980"/>
    <cellStyle name="Normal 10 2 4 3 2 2" xfId="3420"/>
    <cellStyle name="Normal 10 2 4 3 2 2 2" xfId="6300"/>
    <cellStyle name="Normal 10 2 4 3 2 2 2 2" xfId="12060"/>
    <cellStyle name="Normal 10 2 4 3 2 2 2 2 2" xfId="29340"/>
    <cellStyle name="Normal 10 2 4 3 2 2 2 3" xfId="17820"/>
    <cellStyle name="Normal 10 2 4 3 2 2 2 3 2" xfId="35100"/>
    <cellStyle name="Normal 10 2 4 3 2 2 2 4" xfId="23580"/>
    <cellStyle name="Normal 10 2 4 3 2 2 3" xfId="9180"/>
    <cellStyle name="Normal 10 2 4 3 2 2 3 2" xfId="26460"/>
    <cellStyle name="Normal 10 2 4 3 2 2 4" xfId="14940"/>
    <cellStyle name="Normal 10 2 4 3 2 2 4 2" xfId="32220"/>
    <cellStyle name="Normal 10 2 4 3 2 2 5" xfId="20700"/>
    <cellStyle name="Normal 10 2 4 3 2 3" xfId="4860"/>
    <cellStyle name="Normal 10 2 4 3 2 3 2" xfId="10620"/>
    <cellStyle name="Normal 10 2 4 3 2 3 2 2" xfId="27900"/>
    <cellStyle name="Normal 10 2 4 3 2 3 3" xfId="16380"/>
    <cellStyle name="Normal 10 2 4 3 2 3 3 2" xfId="33660"/>
    <cellStyle name="Normal 10 2 4 3 2 3 4" xfId="22140"/>
    <cellStyle name="Normal 10 2 4 3 2 4" xfId="7740"/>
    <cellStyle name="Normal 10 2 4 3 2 4 2" xfId="25020"/>
    <cellStyle name="Normal 10 2 4 3 2 5" xfId="13500"/>
    <cellStyle name="Normal 10 2 4 3 2 5 2" xfId="30780"/>
    <cellStyle name="Normal 10 2 4 3 2 6" xfId="19260"/>
    <cellStyle name="Normal 10 2 4 3 3" xfId="2700"/>
    <cellStyle name="Normal 10 2 4 3 3 2" xfId="5580"/>
    <cellStyle name="Normal 10 2 4 3 3 2 2" xfId="11340"/>
    <cellStyle name="Normal 10 2 4 3 3 2 2 2" xfId="28620"/>
    <cellStyle name="Normal 10 2 4 3 3 2 3" xfId="17100"/>
    <cellStyle name="Normal 10 2 4 3 3 2 3 2" xfId="34380"/>
    <cellStyle name="Normal 10 2 4 3 3 2 4" xfId="22860"/>
    <cellStyle name="Normal 10 2 4 3 3 3" xfId="8460"/>
    <cellStyle name="Normal 10 2 4 3 3 3 2" xfId="25740"/>
    <cellStyle name="Normal 10 2 4 3 3 4" xfId="14220"/>
    <cellStyle name="Normal 10 2 4 3 3 4 2" xfId="31500"/>
    <cellStyle name="Normal 10 2 4 3 3 5" xfId="19980"/>
    <cellStyle name="Normal 10 2 4 3 4" xfId="4140"/>
    <cellStyle name="Normal 10 2 4 3 4 2" xfId="9900"/>
    <cellStyle name="Normal 10 2 4 3 4 2 2" xfId="27180"/>
    <cellStyle name="Normal 10 2 4 3 4 3" xfId="15660"/>
    <cellStyle name="Normal 10 2 4 3 4 3 2" xfId="32940"/>
    <cellStyle name="Normal 10 2 4 3 4 4" xfId="21420"/>
    <cellStyle name="Normal 10 2 4 3 5" xfId="7020"/>
    <cellStyle name="Normal 10 2 4 3 5 2" xfId="24300"/>
    <cellStyle name="Normal 10 2 4 3 6" xfId="12780"/>
    <cellStyle name="Normal 10 2 4 3 6 2" xfId="30060"/>
    <cellStyle name="Normal 10 2 4 3 7" xfId="18540"/>
    <cellStyle name="Normal 10 2 4 4" xfId="1500"/>
    <cellStyle name="Normal 10 2 4 4 2" xfId="2220"/>
    <cellStyle name="Normal 10 2 4 4 2 2" xfId="3660"/>
    <cellStyle name="Normal 10 2 4 4 2 2 2" xfId="6540"/>
    <cellStyle name="Normal 10 2 4 4 2 2 2 2" xfId="12300"/>
    <cellStyle name="Normal 10 2 4 4 2 2 2 2 2" xfId="29580"/>
    <cellStyle name="Normal 10 2 4 4 2 2 2 3" xfId="18060"/>
    <cellStyle name="Normal 10 2 4 4 2 2 2 3 2" xfId="35340"/>
    <cellStyle name="Normal 10 2 4 4 2 2 2 4" xfId="23820"/>
    <cellStyle name="Normal 10 2 4 4 2 2 3" xfId="9420"/>
    <cellStyle name="Normal 10 2 4 4 2 2 3 2" xfId="26700"/>
    <cellStyle name="Normal 10 2 4 4 2 2 4" xfId="15180"/>
    <cellStyle name="Normal 10 2 4 4 2 2 4 2" xfId="32460"/>
    <cellStyle name="Normal 10 2 4 4 2 2 5" xfId="20940"/>
    <cellStyle name="Normal 10 2 4 4 2 3" xfId="5100"/>
    <cellStyle name="Normal 10 2 4 4 2 3 2" xfId="10860"/>
    <cellStyle name="Normal 10 2 4 4 2 3 2 2" xfId="28140"/>
    <cellStyle name="Normal 10 2 4 4 2 3 3" xfId="16620"/>
    <cellStyle name="Normal 10 2 4 4 2 3 3 2" xfId="33900"/>
    <cellStyle name="Normal 10 2 4 4 2 3 4" xfId="22380"/>
    <cellStyle name="Normal 10 2 4 4 2 4" xfId="7980"/>
    <cellStyle name="Normal 10 2 4 4 2 4 2" xfId="25260"/>
    <cellStyle name="Normal 10 2 4 4 2 5" xfId="13740"/>
    <cellStyle name="Normal 10 2 4 4 2 5 2" xfId="31020"/>
    <cellStyle name="Normal 10 2 4 4 2 6" xfId="19500"/>
    <cellStyle name="Normal 10 2 4 4 3" xfId="2940"/>
    <cellStyle name="Normal 10 2 4 4 3 2" xfId="5820"/>
    <cellStyle name="Normal 10 2 4 4 3 2 2" xfId="11580"/>
    <cellStyle name="Normal 10 2 4 4 3 2 2 2" xfId="28860"/>
    <cellStyle name="Normal 10 2 4 4 3 2 3" xfId="17340"/>
    <cellStyle name="Normal 10 2 4 4 3 2 3 2" xfId="34620"/>
    <cellStyle name="Normal 10 2 4 4 3 2 4" xfId="23100"/>
    <cellStyle name="Normal 10 2 4 4 3 3" xfId="8700"/>
    <cellStyle name="Normal 10 2 4 4 3 3 2" xfId="25980"/>
    <cellStyle name="Normal 10 2 4 4 3 4" xfId="14460"/>
    <cellStyle name="Normal 10 2 4 4 3 4 2" xfId="31740"/>
    <cellStyle name="Normal 10 2 4 4 3 5" xfId="20220"/>
    <cellStyle name="Normal 10 2 4 4 4" xfId="4380"/>
    <cellStyle name="Normal 10 2 4 4 4 2" xfId="10140"/>
    <cellStyle name="Normal 10 2 4 4 4 2 2" xfId="27420"/>
    <cellStyle name="Normal 10 2 4 4 4 3" xfId="15900"/>
    <cellStyle name="Normal 10 2 4 4 4 3 2" xfId="33180"/>
    <cellStyle name="Normal 10 2 4 4 4 4" xfId="21660"/>
    <cellStyle name="Normal 10 2 4 4 5" xfId="7260"/>
    <cellStyle name="Normal 10 2 4 4 5 2" xfId="24540"/>
    <cellStyle name="Normal 10 2 4 4 6" xfId="13020"/>
    <cellStyle name="Normal 10 2 4 4 6 2" xfId="30300"/>
    <cellStyle name="Normal 10 2 4 4 7" xfId="18780"/>
    <cellStyle name="Normal 10 2 4 5" xfId="1740"/>
    <cellStyle name="Normal 10 2 4 5 2" xfId="3180"/>
    <cellStyle name="Normal 10 2 4 5 2 2" xfId="6060"/>
    <cellStyle name="Normal 10 2 4 5 2 2 2" xfId="11820"/>
    <cellStyle name="Normal 10 2 4 5 2 2 2 2" xfId="29100"/>
    <cellStyle name="Normal 10 2 4 5 2 2 3" xfId="17580"/>
    <cellStyle name="Normal 10 2 4 5 2 2 3 2" xfId="34860"/>
    <cellStyle name="Normal 10 2 4 5 2 2 4" xfId="23340"/>
    <cellStyle name="Normal 10 2 4 5 2 3" xfId="8940"/>
    <cellStyle name="Normal 10 2 4 5 2 3 2" xfId="26220"/>
    <cellStyle name="Normal 10 2 4 5 2 4" xfId="14700"/>
    <cellStyle name="Normal 10 2 4 5 2 4 2" xfId="31980"/>
    <cellStyle name="Normal 10 2 4 5 2 5" xfId="20460"/>
    <cellStyle name="Normal 10 2 4 5 3" xfId="4620"/>
    <cellStyle name="Normal 10 2 4 5 3 2" xfId="10380"/>
    <cellStyle name="Normal 10 2 4 5 3 2 2" xfId="27660"/>
    <cellStyle name="Normal 10 2 4 5 3 3" xfId="16140"/>
    <cellStyle name="Normal 10 2 4 5 3 3 2" xfId="33420"/>
    <cellStyle name="Normal 10 2 4 5 3 4" xfId="21900"/>
    <cellStyle name="Normal 10 2 4 5 4" xfId="7500"/>
    <cellStyle name="Normal 10 2 4 5 4 2" xfId="24780"/>
    <cellStyle name="Normal 10 2 4 5 5" xfId="13260"/>
    <cellStyle name="Normal 10 2 4 5 5 2" xfId="30540"/>
    <cellStyle name="Normal 10 2 4 5 6" xfId="19020"/>
    <cellStyle name="Normal 10 2 4 6" xfId="2460"/>
    <cellStyle name="Normal 10 2 4 6 2" xfId="5340"/>
    <cellStyle name="Normal 10 2 4 6 2 2" xfId="11100"/>
    <cellStyle name="Normal 10 2 4 6 2 2 2" xfId="28380"/>
    <cellStyle name="Normal 10 2 4 6 2 3" xfId="16860"/>
    <cellStyle name="Normal 10 2 4 6 2 3 2" xfId="34140"/>
    <cellStyle name="Normal 10 2 4 6 2 4" xfId="22620"/>
    <cellStyle name="Normal 10 2 4 6 3" xfId="8220"/>
    <cellStyle name="Normal 10 2 4 6 3 2" xfId="25500"/>
    <cellStyle name="Normal 10 2 4 6 4" xfId="13980"/>
    <cellStyle name="Normal 10 2 4 6 4 2" xfId="31260"/>
    <cellStyle name="Normal 10 2 4 6 5" xfId="19740"/>
    <cellStyle name="Normal 10 2 4 7" xfId="3900"/>
    <cellStyle name="Normal 10 2 4 7 2" xfId="9660"/>
    <cellStyle name="Normal 10 2 4 7 2 2" xfId="26940"/>
    <cellStyle name="Normal 10 2 4 7 3" xfId="15420"/>
    <cellStyle name="Normal 10 2 4 7 3 2" xfId="32700"/>
    <cellStyle name="Normal 10 2 4 7 4" xfId="21180"/>
    <cellStyle name="Normal 10 2 4 8" xfId="6780"/>
    <cellStyle name="Normal 10 2 4 8 2" xfId="24060"/>
    <cellStyle name="Normal 10 2 4 9" xfId="12540"/>
    <cellStyle name="Normal 10 2 4 9 2" xfId="29820"/>
    <cellStyle name="Normal 10 2 5" xfId="980"/>
    <cellStyle name="Normal 10 2 5 10" xfId="18260"/>
    <cellStyle name="Normal 10 2 5 2" xfId="1100"/>
    <cellStyle name="Normal 10 2 5 2 2" xfId="1340"/>
    <cellStyle name="Normal 10 2 5 2 2 2" xfId="2060"/>
    <cellStyle name="Normal 10 2 5 2 2 2 2" xfId="3500"/>
    <cellStyle name="Normal 10 2 5 2 2 2 2 2" xfId="6380"/>
    <cellStyle name="Normal 10 2 5 2 2 2 2 2 2" xfId="12140"/>
    <cellStyle name="Normal 10 2 5 2 2 2 2 2 2 2" xfId="29420"/>
    <cellStyle name="Normal 10 2 5 2 2 2 2 2 3" xfId="17900"/>
    <cellStyle name="Normal 10 2 5 2 2 2 2 2 3 2" xfId="35180"/>
    <cellStyle name="Normal 10 2 5 2 2 2 2 2 4" xfId="23660"/>
    <cellStyle name="Normal 10 2 5 2 2 2 2 3" xfId="9260"/>
    <cellStyle name="Normal 10 2 5 2 2 2 2 3 2" xfId="26540"/>
    <cellStyle name="Normal 10 2 5 2 2 2 2 4" xfId="15020"/>
    <cellStyle name="Normal 10 2 5 2 2 2 2 4 2" xfId="32300"/>
    <cellStyle name="Normal 10 2 5 2 2 2 2 5" xfId="20780"/>
    <cellStyle name="Normal 10 2 5 2 2 2 3" xfId="4940"/>
    <cellStyle name="Normal 10 2 5 2 2 2 3 2" xfId="10700"/>
    <cellStyle name="Normal 10 2 5 2 2 2 3 2 2" xfId="27980"/>
    <cellStyle name="Normal 10 2 5 2 2 2 3 3" xfId="16460"/>
    <cellStyle name="Normal 10 2 5 2 2 2 3 3 2" xfId="33740"/>
    <cellStyle name="Normal 10 2 5 2 2 2 3 4" xfId="22220"/>
    <cellStyle name="Normal 10 2 5 2 2 2 4" xfId="7820"/>
    <cellStyle name="Normal 10 2 5 2 2 2 4 2" xfId="25100"/>
    <cellStyle name="Normal 10 2 5 2 2 2 5" xfId="13580"/>
    <cellStyle name="Normal 10 2 5 2 2 2 5 2" xfId="30860"/>
    <cellStyle name="Normal 10 2 5 2 2 2 6" xfId="19340"/>
    <cellStyle name="Normal 10 2 5 2 2 3" xfId="2780"/>
    <cellStyle name="Normal 10 2 5 2 2 3 2" xfId="5660"/>
    <cellStyle name="Normal 10 2 5 2 2 3 2 2" xfId="11420"/>
    <cellStyle name="Normal 10 2 5 2 2 3 2 2 2" xfId="28700"/>
    <cellStyle name="Normal 10 2 5 2 2 3 2 3" xfId="17180"/>
    <cellStyle name="Normal 10 2 5 2 2 3 2 3 2" xfId="34460"/>
    <cellStyle name="Normal 10 2 5 2 2 3 2 4" xfId="22940"/>
    <cellStyle name="Normal 10 2 5 2 2 3 3" xfId="8540"/>
    <cellStyle name="Normal 10 2 5 2 2 3 3 2" xfId="25820"/>
    <cellStyle name="Normal 10 2 5 2 2 3 4" xfId="14300"/>
    <cellStyle name="Normal 10 2 5 2 2 3 4 2" xfId="31580"/>
    <cellStyle name="Normal 10 2 5 2 2 3 5" xfId="20060"/>
    <cellStyle name="Normal 10 2 5 2 2 4" xfId="4220"/>
    <cellStyle name="Normal 10 2 5 2 2 4 2" xfId="9980"/>
    <cellStyle name="Normal 10 2 5 2 2 4 2 2" xfId="27260"/>
    <cellStyle name="Normal 10 2 5 2 2 4 3" xfId="15740"/>
    <cellStyle name="Normal 10 2 5 2 2 4 3 2" xfId="33020"/>
    <cellStyle name="Normal 10 2 5 2 2 4 4" xfId="21500"/>
    <cellStyle name="Normal 10 2 5 2 2 5" xfId="7100"/>
    <cellStyle name="Normal 10 2 5 2 2 5 2" xfId="24380"/>
    <cellStyle name="Normal 10 2 5 2 2 6" xfId="12860"/>
    <cellStyle name="Normal 10 2 5 2 2 6 2" xfId="30140"/>
    <cellStyle name="Normal 10 2 5 2 2 7" xfId="18620"/>
    <cellStyle name="Normal 10 2 5 2 3" xfId="1580"/>
    <cellStyle name="Normal 10 2 5 2 3 2" xfId="2300"/>
    <cellStyle name="Normal 10 2 5 2 3 2 2" xfId="3740"/>
    <cellStyle name="Normal 10 2 5 2 3 2 2 2" xfId="6620"/>
    <cellStyle name="Normal 10 2 5 2 3 2 2 2 2" xfId="12380"/>
    <cellStyle name="Normal 10 2 5 2 3 2 2 2 2 2" xfId="29660"/>
    <cellStyle name="Normal 10 2 5 2 3 2 2 2 3" xfId="18140"/>
    <cellStyle name="Normal 10 2 5 2 3 2 2 2 3 2" xfId="35420"/>
    <cellStyle name="Normal 10 2 5 2 3 2 2 2 4" xfId="23900"/>
    <cellStyle name="Normal 10 2 5 2 3 2 2 3" xfId="9500"/>
    <cellStyle name="Normal 10 2 5 2 3 2 2 3 2" xfId="26780"/>
    <cellStyle name="Normal 10 2 5 2 3 2 2 4" xfId="15260"/>
    <cellStyle name="Normal 10 2 5 2 3 2 2 4 2" xfId="32540"/>
    <cellStyle name="Normal 10 2 5 2 3 2 2 5" xfId="21020"/>
    <cellStyle name="Normal 10 2 5 2 3 2 3" xfId="5180"/>
    <cellStyle name="Normal 10 2 5 2 3 2 3 2" xfId="10940"/>
    <cellStyle name="Normal 10 2 5 2 3 2 3 2 2" xfId="28220"/>
    <cellStyle name="Normal 10 2 5 2 3 2 3 3" xfId="16700"/>
    <cellStyle name="Normal 10 2 5 2 3 2 3 3 2" xfId="33980"/>
    <cellStyle name="Normal 10 2 5 2 3 2 3 4" xfId="22460"/>
    <cellStyle name="Normal 10 2 5 2 3 2 4" xfId="8060"/>
    <cellStyle name="Normal 10 2 5 2 3 2 4 2" xfId="25340"/>
    <cellStyle name="Normal 10 2 5 2 3 2 5" xfId="13820"/>
    <cellStyle name="Normal 10 2 5 2 3 2 5 2" xfId="31100"/>
    <cellStyle name="Normal 10 2 5 2 3 2 6" xfId="19580"/>
    <cellStyle name="Normal 10 2 5 2 3 3" xfId="3020"/>
    <cellStyle name="Normal 10 2 5 2 3 3 2" xfId="5900"/>
    <cellStyle name="Normal 10 2 5 2 3 3 2 2" xfId="11660"/>
    <cellStyle name="Normal 10 2 5 2 3 3 2 2 2" xfId="28940"/>
    <cellStyle name="Normal 10 2 5 2 3 3 2 3" xfId="17420"/>
    <cellStyle name="Normal 10 2 5 2 3 3 2 3 2" xfId="34700"/>
    <cellStyle name="Normal 10 2 5 2 3 3 2 4" xfId="23180"/>
    <cellStyle name="Normal 10 2 5 2 3 3 3" xfId="8780"/>
    <cellStyle name="Normal 10 2 5 2 3 3 3 2" xfId="26060"/>
    <cellStyle name="Normal 10 2 5 2 3 3 4" xfId="14540"/>
    <cellStyle name="Normal 10 2 5 2 3 3 4 2" xfId="31820"/>
    <cellStyle name="Normal 10 2 5 2 3 3 5" xfId="20300"/>
    <cellStyle name="Normal 10 2 5 2 3 4" xfId="4460"/>
    <cellStyle name="Normal 10 2 5 2 3 4 2" xfId="10220"/>
    <cellStyle name="Normal 10 2 5 2 3 4 2 2" xfId="27500"/>
    <cellStyle name="Normal 10 2 5 2 3 4 3" xfId="15980"/>
    <cellStyle name="Normal 10 2 5 2 3 4 3 2" xfId="33260"/>
    <cellStyle name="Normal 10 2 5 2 3 4 4" xfId="21740"/>
    <cellStyle name="Normal 10 2 5 2 3 5" xfId="7340"/>
    <cellStyle name="Normal 10 2 5 2 3 5 2" xfId="24620"/>
    <cellStyle name="Normal 10 2 5 2 3 6" xfId="13100"/>
    <cellStyle name="Normal 10 2 5 2 3 6 2" xfId="30380"/>
    <cellStyle name="Normal 10 2 5 2 3 7" xfId="18860"/>
    <cellStyle name="Normal 10 2 5 2 4" xfId="1820"/>
    <cellStyle name="Normal 10 2 5 2 4 2" xfId="3260"/>
    <cellStyle name="Normal 10 2 5 2 4 2 2" xfId="6140"/>
    <cellStyle name="Normal 10 2 5 2 4 2 2 2" xfId="11900"/>
    <cellStyle name="Normal 10 2 5 2 4 2 2 2 2" xfId="29180"/>
    <cellStyle name="Normal 10 2 5 2 4 2 2 3" xfId="17660"/>
    <cellStyle name="Normal 10 2 5 2 4 2 2 3 2" xfId="34940"/>
    <cellStyle name="Normal 10 2 5 2 4 2 2 4" xfId="23420"/>
    <cellStyle name="Normal 10 2 5 2 4 2 3" xfId="9020"/>
    <cellStyle name="Normal 10 2 5 2 4 2 3 2" xfId="26300"/>
    <cellStyle name="Normal 10 2 5 2 4 2 4" xfId="14780"/>
    <cellStyle name="Normal 10 2 5 2 4 2 4 2" xfId="32060"/>
    <cellStyle name="Normal 10 2 5 2 4 2 5" xfId="20540"/>
    <cellStyle name="Normal 10 2 5 2 4 3" xfId="4700"/>
    <cellStyle name="Normal 10 2 5 2 4 3 2" xfId="10460"/>
    <cellStyle name="Normal 10 2 5 2 4 3 2 2" xfId="27740"/>
    <cellStyle name="Normal 10 2 5 2 4 3 3" xfId="16220"/>
    <cellStyle name="Normal 10 2 5 2 4 3 3 2" xfId="33500"/>
    <cellStyle name="Normal 10 2 5 2 4 3 4" xfId="21980"/>
    <cellStyle name="Normal 10 2 5 2 4 4" xfId="7580"/>
    <cellStyle name="Normal 10 2 5 2 4 4 2" xfId="24860"/>
    <cellStyle name="Normal 10 2 5 2 4 5" xfId="13340"/>
    <cellStyle name="Normal 10 2 5 2 4 5 2" xfId="30620"/>
    <cellStyle name="Normal 10 2 5 2 4 6" xfId="19100"/>
    <cellStyle name="Normal 10 2 5 2 5" xfId="2540"/>
    <cellStyle name="Normal 10 2 5 2 5 2" xfId="5420"/>
    <cellStyle name="Normal 10 2 5 2 5 2 2" xfId="11180"/>
    <cellStyle name="Normal 10 2 5 2 5 2 2 2" xfId="28460"/>
    <cellStyle name="Normal 10 2 5 2 5 2 3" xfId="16940"/>
    <cellStyle name="Normal 10 2 5 2 5 2 3 2" xfId="34220"/>
    <cellStyle name="Normal 10 2 5 2 5 2 4" xfId="22700"/>
    <cellStyle name="Normal 10 2 5 2 5 3" xfId="8300"/>
    <cellStyle name="Normal 10 2 5 2 5 3 2" xfId="25580"/>
    <cellStyle name="Normal 10 2 5 2 5 4" xfId="14060"/>
    <cellStyle name="Normal 10 2 5 2 5 4 2" xfId="31340"/>
    <cellStyle name="Normal 10 2 5 2 5 5" xfId="19820"/>
    <cellStyle name="Normal 10 2 5 2 6" xfId="3980"/>
    <cellStyle name="Normal 10 2 5 2 6 2" xfId="9740"/>
    <cellStyle name="Normal 10 2 5 2 6 2 2" xfId="27020"/>
    <cellStyle name="Normal 10 2 5 2 6 3" xfId="15500"/>
    <cellStyle name="Normal 10 2 5 2 6 3 2" xfId="32780"/>
    <cellStyle name="Normal 10 2 5 2 6 4" xfId="21260"/>
    <cellStyle name="Normal 10 2 5 2 7" xfId="6860"/>
    <cellStyle name="Normal 10 2 5 2 7 2" xfId="24140"/>
    <cellStyle name="Normal 10 2 5 2 8" xfId="12620"/>
    <cellStyle name="Normal 10 2 5 2 8 2" xfId="29900"/>
    <cellStyle name="Normal 10 2 5 2 9" xfId="18380"/>
    <cellStyle name="Normal 10 2 5 3" xfId="1220"/>
    <cellStyle name="Normal 10 2 5 3 2" xfId="1940"/>
    <cellStyle name="Normal 10 2 5 3 2 2" xfId="3380"/>
    <cellStyle name="Normal 10 2 5 3 2 2 2" xfId="6260"/>
    <cellStyle name="Normal 10 2 5 3 2 2 2 2" xfId="12020"/>
    <cellStyle name="Normal 10 2 5 3 2 2 2 2 2" xfId="29300"/>
    <cellStyle name="Normal 10 2 5 3 2 2 2 3" xfId="17780"/>
    <cellStyle name="Normal 10 2 5 3 2 2 2 3 2" xfId="35060"/>
    <cellStyle name="Normal 10 2 5 3 2 2 2 4" xfId="23540"/>
    <cellStyle name="Normal 10 2 5 3 2 2 3" xfId="9140"/>
    <cellStyle name="Normal 10 2 5 3 2 2 3 2" xfId="26420"/>
    <cellStyle name="Normal 10 2 5 3 2 2 4" xfId="14900"/>
    <cellStyle name="Normal 10 2 5 3 2 2 4 2" xfId="32180"/>
    <cellStyle name="Normal 10 2 5 3 2 2 5" xfId="20660"/>
    <cellStyle name="Normal 10 2 5 3 2 3" xfId="4820"/>
    <cellStyle name="Normal 10 2 5 3 2 3 2" xfId="10580"/>
    <cellStyle name="Normal 10 2 5 3 2 3 2 2" xfId="27860"/>
    <cellStyle name="Normal 10 2 5 3 2 3 3" xfId="16340"/>
    <cellStyle name="Normal 10 2 5 3 2 3 3 2" xfId="33620"/>
    <cellStyle name="Normal 10 2 5 3 2 3 4" xfId="22100"/>
    <cellStyle name="Normal 10 2 5 3 2 4" xfId="7700"/>
    <cellStyle name="Normal 10 2 5 3 2 4 2" xfId="24980"/>
    <cellStyle name="Normal 10 2 5 3 2 5" xfId="13460"/>
    <cellStyle name="Normal 10 2 5 3 2 5 2" xfId="30740"/>
    <cellStyle name="Normal 10 2 5 3 2 6" xfId="19220"/>
    <cellStyle name="Normal 10 2 5 3 3" xfId="2660"/>
    <cellStyle name="Normal 10 2 5 3 3 2" xfId="5540"/>
    <cellStyle name="Normal 10 2 5 3 3 2 2" xfId="11300"/>
    <cellStyle name="Normal 10 2 5 3 3 2 2 2" xfId="28580"/>
    <cellStyle name="Normal 10 2 5 3 3 2 3" xfId="17060"/>
    <cellStyle name="Normal 10 2 5 3 3 2 3 2" xfId="34340"/>
    <cellStyle name="Normal 10 2 5 3 3 2 4" xfId="22820"/>
    <cellStyle name="Normal 10 2 5 3 3 3" xfId="8420"/>
    <cellStyle name="Normal 10 2 5 3 3 3 2" xfId="25700"/>
    <cellStyle name="Normal 10 2 5 3 3 4" xfId="14180"/>
    <cellStyle name="Normal 10 2 5 3 3 4 2" xfId="31460"/>
    <cellStyle name="Normal 10 2 5 3 3 5" xfId="19940"/>
    <cellStyle name="Normal 10 2 5 3 4" xfId="4100"/>
    <cellStyle name="Normal 10 2 5 3 4 2" xfId="9860"/>
    <cellStyle name="Normal 10 2 5 3 4 2 2" xfId="27140"/>
    <cellStyle name="Normal 10 2 5 3 4 3" xfId="15620"/>
    <cellStyle name="Normal 10 2 5 3 4 3 2" xfId="32900"/>
    <cellStyle name="Normal 10 2 5 3 4 4" xfId="21380"/>
    <cellStyle name="Normal 10 2 5 3 5" xfId="6980"/>
    <cellStyle name="Normal 10 2 5 3 5 2" xfId="24260"/>
    <cellStyle name="Normal 10 2 5 3 6" xfId="12740"/>
    <cellStyle name="Normal 10 2 5 3 6 2" xfId="30020"/>
    <cellStyle name="Normal 10 2 5 3 7" xfId="18500"/>
    <cellStyle name="Normal 10 2 5 4" xfId="1460"/>
    <cellStyle name="Normal 10 2 5 4 2" xfId="2180"/>
    <cellStyle name="Normal 10 2 5 4 2 2" xfId="3620"/>
    <cellStyle name="Normal 10 2 5 4 2 2 2" xfId="6500"/>
    <cellStyle name="Normal 10 2 5 4 2 2 2 2" xfId="12260"/>
    <cellStyle name="Normal 10 2 5 4 2 2 2 2 2" xfId="29540"/>
    <cellStyle name="Normal 10 2 5 4 2 2 2 3" xfId="18020"/>
    <cellStyle name="Normal 10 2 5 4 2 2 2 3 2" xfId="35300"/>
    <cellStyle name="Normal 10 2 5 4 2 2 2 4" xfId="23780"/>
    <cellStyle name="Normal 10 2 5 4 2 2 3" xfId="9380"/>
    <cellStyle name="Normal 10 2 5 4 2 2 3 2" xfId="26660"/>
    <cellStyle name="Normal 10 2 5 4 2 2 4" xfId="15140"/>
    <cellStyle name="Normal 10 2 5 4 2 2 4 2" xfId="32420"/>
    <cellStyle name="Normal 10 2 5 4 2 2 5" xfId="20900"/>
    <cellStyle name="Normal 10 2 5 4 2 3" xfId="5060"/>
    <cellStyle name="Normal 10 2 5 4 2 3 2" xfId="10820"/>
    <cellStyle name="Normal 10 2 5 4 2 3 2 2" xfId="28100"/>
    <cellStyle name="Normal 10 2 5 4 2 3 3" xfId="16580"/>
    <cellStyle name="Normal 10 2 5 4 2 3 3 2" xfId="33860"/>
    <cellStyle name="Normal 10 2 5 4 2 3 4" xfId="22340"/>
    <cellStyle name="Normal 10 2 5 4 2 4" xfId="7940"/>
    <cellStyle name="Normal 10 2 5 4 2 4 2" xfId="25220"/>
    <cellStyle name="Normal 10 2 5 4 2 5" xfId="13700"/>
    <cellStyle name="Normal 10 2 5 4 2 5 2" xfId="30980"/>
    <cellStyle name="Normal 10 2 5 4 2 6" xfId="19460"/>
    <cellStyle name="Normal 10 2 5 4 3" xfId="2900"/>
    <cellStyle name="Normal 10 2 5 4 3 2" xfId="5780"/>
    <cellStyle name="Normal 10 2 5 4 3 2 2" xfId="11540"/>
    <cellStyle name="Normal 10 2 5 4 3 2 2 2" xfId="28820"/>
    <cellStyle name="Normal 10 2 5 4 3 2 3" xfId="17300"/>
    <cellStyle name="Normal 10 2 5 4 3 2 3 2" xfId="34580"/>
    <cellStyle name="Normal 10 2 5 4 3 2 4" xfId="23060"/>
    <cellStyle name="Normal 10 2 5 4 3 3" xfId="8660"/>
    <cellStyle name="Normal 10 2 5 4 3 3 2" xfId="25940"/>
    <cellStyle name="Normal 10 2 5 4 3 4" xfId="14420"/>
    <cellStyle name="Normal 10 2 5 4 3 4 2" xfId="31700"/>
    <cellStyle name="Normal 10 2 5 4 3 5" xfId="20180"/>
    <cellStyle name="Normal 10 2 5 4 4" xfId="4340"/>
    <cellStyle name="Normal 10 2 5 4 4 2" xfId="10100"/>
    <cellStyle name="Normal 10 2 5 4 4 2 2" xfId="27380"/>
    <cellStyle name="Normal 10 2 5 4 4 3" xfId="15860"/>
    <cellStyle name="Normal 10 2 5 4 4 3 2" xfId="33140"/>
    <cellStyle name="Normal 10 2 5 4 4 4" xfId="21620"/>
    <cellStyle name="Normal 10 2 5 4 5" xfId="7220"/>
    <cellStyle name="Normal 10 2 5 4 5 2" xfId="24500"/>
    <cellStyle name="Normal 10 2 5 4 6" xfId="12980"/>
    <cellStyle name="Normal 10 2 5 4 6 2" xfId="30260"/>
    <cellStyle name="Normal 10 2 5 4 7" xfId="18740"/>
    <cellStyle name="Normal 10 2 5 5" xfId="1700"/>
    <cellStyle name="Normal 10 2 5 5 2" xfId="3140"/>
    <cellStyle name="Normal 10 2 5 5 2 2" xfId="6020"/>
    <cellStyle name="Normal 10 2 5 5 2 2 2" xfId="11780"/>
    <cellStyle name="Normal 10 2 5 5 2 2 2 2" xfId="29060"/>
    <cellStyle name="Normal 10 2 5 5 2 2 3" xfId="17540"/>
    <cellStyle name="Normal 10 2 5 5 2 2 3 2" xfId="34820"/>
    <cellStyle name="Normal 10 2 5 5 2 2 4" xfId="23300"/>
    <cellStyle name="Normal 10 2 5 5 2 3" xfId="8900"/>
    <cellStyle name="Normal 10 2 5 5 2 3 2" xfId="26180"/>
    <cellStyle name="Normal 10 2 5 5 2 4" xfId="14660"/>
    <cellStyle name="Normal 10 2 5 5 2 4 2" xfId="31940"/>
    <cellStyle name="Normal 10 2 5 5 2 5" xfId="20420"/>
    <cellStyle name="Normal 10 2 5 5 3" xfId="4580"/>
    <cellStyle name="Normal 10 2 5 5 3 2" xfId="10340"/>
    <cellStyle name="Normal 10 2 5 5 3 2 2" xfId="27620"/>
    <cellStyle name="Normal 10 2 5 5 3 3" xfId="16100"/>
    <cellStyle name="Normal 10 2 5 5 3 3 2" xfId="33380"/>
    <cellStyle name="Normal 10 2 5 5 3 4" xfId="21860"/>
    <cellStyle name="Normal 10 2 5 5 4" xfId="7460"/>
    <cellStyle name="Normal 10 2 5 5 4 2" xfId="24740"/>
    <cellStyle name="Normal 10 2 5 5 5" xfId="13220"/>
    <cellStyle name="Normal 10 2 5 5 5 2" xfId="30500"/>
    <cellStyle name="Normal 10 2 5 5 6" xfId="18980"/>
    <cellStyle name="Normal 10 2 5 6" xfId="2420"/>
    <cellStyle name="Normal 10 2 5 6 2" xfId="5300"/>
    <cellStyle name="Normal 10 2 5 6 2 2" xfId="11060"/>
    <cellStyle name="Normal 10 2 5 6 2 2 2" xfId="28340"/>
    <cellStyle name="Normal 10 2 5 6 2 3" xfId="16820"/>
    <cellStyle name="Normal 10 2 5 6 2 3 2" xfId="34100"/>
    <cellStyle name="Normal 10 2 5 6 2 4" xfId="22580"/>
    <cellStyle name="Normal 10 2 5 6 3" xfId="8180"/>
    <cellStyle name="Normal 10 2 5 6 3 2" xfId="25460"/>
    <cellStyle name="Normal 10 2 5 6 4" xfId="13940"/>
    <cellStyle name="Normal 10 2 5 6 4 2" xfId="31220"/>
    <cellStyle name="Normal 10 2 5 6 5" xfId="19700"/>
    <cellStyle name="Normal 10 2 5 7" xfId="3860"/>
    <cellStyle name="Normal 10 2 5 7 2" xfId="9620"/>
    <cellStyle name="Normal 10 2 5 7 2 2" xfId="26900"/>
    <cellStyle name="Normal 10 2 5 7 3" xfId="15380"/>
    <cellStyle name="Normal 10 2 5 7 3 2" xfId="32660"/>
    <cellStyle name="Normal 10 2 5 7 4" xfId="21140"/>
    <cellStyle name="Normal 10 2 5 8" xfId="6740"/>
    <cellStyle name="Normal 10 2 5 8 2" xfId="24020"/>
    <cellStyle name="Normal 10 2 5 9" xfId="12500"/>
    <cellStyle name="Normal 10 2 5 9 2" xfId="29780"/>
    <cellStyle name="Normal 10 2 6" xfId="1060"/>
    <cellStyle name="Normal 10 2 6 2" xfId="1300"/>
    <cellStyle name="Normal 10 2 6 2 2" xfId="2020"/>
    <cellStyle name="Normal 10 2 6 2 2 2" xfId="3460"/>
    <cellStyle name="Normal 10 2 6 2 2 2 2" xfId="6340"/>
    <cellStyle name="Normal 10 2 6 2 2 2 2 2" xfId="12100"/>
    <cellStyle name="Normal 10 2 6 2 2 2 2 2 2" xfId="29380"/>
    <cellStyle name="Normal 10 2 6 2 2 2 2 3" xfId="17860"/>
    <cellStyle name="Normal 10 2 6 2 2 2 2 3 2" xfId="35140"/>
    <cellStyle name="Normal 10 2 6 2 2 2 2 4" xfId="23620"/>
    <cellStyle name="Normal 10 2 6 2 2 2 3" xfId="9220"/>
    <cellStyle name="Normal 10 2 6 2 2 2 3 2" xfId="26500"/>
    <cellStyle name="Normal 10 2 6 2 2 2 4" xfId="14980"/>
    <cellStyle name="Normal 10 2 6 2 2 2 4 2" xfId="32260"/>
    <cellStyle name="Normal 10 2 6 2 2 2 5" xfId="20740"/>
    <cellStyle name="Normal 10 2 6 2 2 3" xfId="4900"/>
    <cellStyle name="Normal 10 2 6 2 2 3 2" xfId="10660"/>
    <cellStyle name="Normal 10 2 6 2 2 3 2 2" xfId="27940"/>
    <cellStyle name="Normal 10 2 6 2 2 3 3" xfId="16420"/>
    <cellStyle name="Normal 10 2 6 2 2 3 3 2" xfId="33700"/>
    <cellStyle name="Normal 10 2 6 2 2 3 4" xfId="22180"/>
    <cellStyle name="Normal 10 2 6 2 2 4" xfId="7780"/>
    <cellStyle name="Normal 10 2 6 2 2 4 2" xfId="25060"/>
    <cellStyle name="Normal 10 2 6 2 2 5" xfId="13540"/>
    <cellStyle name="Normal 10 2 6 2 2 5 2" xfId="30820"/>
    <cellStyle name="Normal 10 2 6 2 2 6" xfId="19300"/>
    <cellStyle name="Normal 10 2 6 2 3" xfId="2740"/>
    <cellStyle name="Normal 10 2 6 2 3 2" xfId="5620"/>
    <cellStyle name="Normal 10 2 6 2 3 2 2" xfId="11380"/>
    <cellStyle name="Normal 10 2 6 2 3 2 2 2" xfId="28660"/>
    <cellStyle name="Normal 10 2 6 2 3 2 3" xfId="17140"/>
    <cellStyle name="Normal 10 2 6 2 3 2 3 2" xfId="34420"/>
    <cellStyle name="Normal 10 2 6 2 3 2 4" xfId="22900"/>
    <cellStyle name="Normal 10 2 6 2 3 3" xfId="8500"/>
    <cellStyle name="Normal 10 2 6 2 3 3 2" xfId="25780"/>
    <cellStyle name="Normal 10 2 6 2 3 4" xfId="14260"/>
    <cellStyle name="Normal 10 2 6 2 3 4 2" xfId="31540"/>
    <cellStyle name="Normal 10 2 6 2 3 5" xfId="20020"/>
    <cellStyle name="Normal 10 2 6 2 4" xfId="4180"/>
    <cellStyle name="Normal 10 2 6 2 4 2" xfId="9940"/>
    <cellStyle name="Normal 10 2 6 2 4 2 2" xfId="27220"/>
    <cellStyle name="Normal 10 2 6 2 4 3" xfId="15700"/>
    <cellStyle name="Normal 10 2 6 2 4 3 2" xfId="32980"/>
    <cellStyle name="Normal 10 2 6 2 4 4" xfId="21460"/>
    <cellStyle name="Normal 10 2 6 2 5" xfId="7060"/>
    <cellStyle name="Normal 10 2 6 2 5 2" xfId="24340"/>
    <cellStyle name="Normal 10 2 6 2 6" xfId="12820"/>
    <cellStyle name="Normal 10 2 6 2 6 2" xfId="30100"/>
    <cellStyle name="Normal 10 2 6 2 7" xfId="18580"/>
    <cellStyle name="Normal 10 2 6 3" xfId="1540"/>
    <cellStyle name="Normal 10 2 6 3 2" xfId="2260"/>
    <cellStyle name="Normal 10 2 6 3 2 2" xfId="3700"/>
    <cellStyle name="Normal 10 2 6 3 2 2 2" xfId="6580"/>
    <cellStyle name="Normal 10 2 6 3 2 2 2 2" xfId="12340"/>
    <cellStyle name="Normal 10 2 6 3 2 2 2 2 2" xfId="29620"/>
    <cellStyle name="Normal 10 2 6 3 2 2 2 3" xfId="18100"/>
    <cellStyle name="Normal 10 2 6 3 2 2 2 3 2" xfId="35380"/>
    <cellStyle name="Normal 10 2 6 3 2 2 2 4" xfId="23860"/>
    <cellStyle name="Normal 10 2 6 3 2 2 3" xfId="9460"/>
    <cellStyle name="Normal 10 2 6 3 2 2 3 2" xfId="26740"/>
    <cellStyle name="Normal 10 2 6 3 2 2 4" xfId="15220"/>
    <cellStyle name="Normal 10 2 6 3 2 2 4 2" xfId="32500"/>
    <cellStyle name="Normal 10 2 6 3 2 2 5" xfId="20980"/>
    <cellStyle name="Normal 10 2 6 3 2 3" xfId="5140"/>
    <cellStyle name="Normal 10 2 6 3 2 3 2" xfId="10900"/>
    <cellStyle name="Normal 10 2 6 3 2 3 2 2" xfId="28180"/>
    <cellStyle name="Normal 10 2 6 3 2 3 3" xfId="16660"/>
    <cellStyle name="Normal 10 2 6 3 2 3 3 2" xfId="33940"/>
    <cellStyle name="Normal 10 2 6 3 2 3 4" xfId="22420"/>
    <cellStyle name="Normal 10 2 6 3 2 4" xfId="8020"/>
    <cellStyle name="Normal 10 2 6 3 2 4 2" xfId="25300"/>
    <cellStyle name="Normal 10 2 6 3 2 5" xfId="13780"/>
    <cellStyle name="Normal 10 2 6 3 2 5 2" xfId="31060"/>
    <cellStyle name="Normal 10 2 6 3 2 6" xfId="19540"/>
    <cellStyle name="Normal 10 2 6 3 3" xfId="2980"/>
    <cellStyle name="Normal 10 2 6 3 3 2" xfId="5860"/>
    <cellStyle name="Normal 10 2 6 3 3 2 2" xfId="11620"/>
    <cellStyle name="Normal 10 2 6 3 3 2 2 2" xfId="28900"/>
    <cellStyle name="Normal 10 2 6 3 3 2 3" xfId="17380"/>
    <cellStyle name="Normal 10 2 6 3 3 2 3 2" xfId="34660"/>
    <cellStyle name="Normal 10 2 6 3 3 2 4" xfId="23140"/>
    <cellStyle name="Normal 10 2 6 3 3 3" xfId="8740"/>
    <cellStyle name="Normal 10 2 6 3 3 3 2" xfId="26020"/>
    <cellStyle name="Normal 10 2 6 3 3 4" xfId="14500"/>
    <cellStyle name="Normal 10 2 6 3 3 4 2" xfId="31780"/>
    <cellStyle name="Normal 10 2 6 3 3 5" xfId="20260"/>
    <cellStyle name="Normal 10 2 6 3 4" xfId="4420"/>
    <cellStyle name="Normal 10 2 6 3 4 2" xfId="10180"/>
    <cellStyle name="Normal 10 2 6 3 4 2 2" xfId="27460"/>
    <cellStyle name="Normal 10 2 6 3 4 3" xfId="15940"/>
    <cellStyle name="Normal 10 2 6 3 4 3 2" xfId="33220"/>
    <cellStyle name="Normal 10 2 6 3 4 4" xfId="21700"/>
    <cellStyle name="Normal 10 2 6 3 5" xfId="7300"/>
    <cellStyle name="Normal 10 2 6 3 5 2" xfId="24580"/>
    <cellStyle name="Normal 10 2 6 3 6" xfId="13060"/>
    <cellStyle name="Normal 10 2 6 3 6 2" xfId="30340"/>
    <cellStyle name="Normal 10 2 6 3 7" xfId="18820"/>
    <cellStyle name="Normal 10 2 6 4" xfId="1780"/>
    <cellStyle name="Normal 10 2 6 4 2" xfId="3220"/>
    <cellStyle name="Normal 10 2 6 4 2 2" xfId="6100"/>
    <cellStyle name="Normal 10 2 6 4 2 2 2" xfId="11860"/>
    <cellStyle name="Normal 10 2 6 4 2 2 2 2" xfId="29140"/>
    <cellStyle name="Normal 10 2 6 4 2 2 3" xfId="17620"/>
    <cellStyle name="Normal 10 2 6 4 2 2 3 2" xfId="34900"/>
    <cellStyle name="Normal 10 2 6 4 2 2 4" xfId="23380"/>
    <cellStyle name="Normal 10 2 6 4 2 3" xfId="8980"/>
    <cellStyle name="Normal 10 2 6 4 2 3 2" xfId="26260"/>
    <cellStyle name="Normal 10 2 6 4 2 4" xfId="14740"/>
    <cellStyle name="Normal 10 2 6 4 2 4 2" xfId="32020"/>
    <cellStyle name="Normal 10 2 6 4 2 5" xfId="20500"/>
    <cellStyle name="Normal 10 2 6 4 3" xfId="4660"/>
    <cellStyle name="Normal 10 2 6 4 3 2" xfId="10420"/>
    <cellStyle name="Normal 10 2 6 4 3 2 2" xfId="27700"/>
    <cellStyle name="Normal 10 2 6 4 3 3" xfId="16180"/>
    <cellStyle name="Normal 10 2 6 4 3 3 2" xfId="33460"/>
    <cellStyle name="Normal 10 2 6 4 3 4" xfId="21940"/>
    <cellStyle name="Normal 10 2 6 4 4" xfId="7540"/>
    <cellStyle name="Normal 10 2 6 4 4 2" xfId="24820"/>
    <cellStyle name="Normal 10 2 6 4 5" xfId="13300"/>
    <cellStyle name="Normal 10 2 6 4 5 2" xfId="30580"/>
    <cellStyle name="Normal 10 2 6 4 6" xfId="19060"/>
    <cellStyle name="Normal 10 2 6 5" xfId="2500"/>
    <cellStyle name="Normal 10 2 6 5 2" xfId="5380"/>
    <cellStyle name="Normal 10 2 6 5 2 2" xfId="11140"/>
    <cellStyle name="Normal 10 2 6 5 2 2 2" xfId="28420"/>
    <cellStyle name="Normal 10 2 6 5 2 3" xfId="16900"/>
    <cellStyle name="Normal 10 2 6 5 2 3 2" xfId="34180"/>
    <cellStyle name="Normal 10 2 6 5 2 4" xfId="22660"/>
    <cellStyle name="Normal 10 2 6 5 3" xfId="8260"/>
    <cellStyle name="Normal 10 2 6 5 3 2" xfId="25540"/>
    <cellStyle name="Normal 10 2 6 5 4" xfId="14020"/>
    <cellStyle name="Normal 10 2 6 5 4 2" xfId="31300"/>
    <cellStyle name="Normal 10 2 6 5 5" xfId="19780"/>
    <cellStyle name="Normal 10 2 6 6" xfId="3940"/>
    <cellStyle name="Normal 10 2 6 6 2" xfId="9700"/>
    <cellStyle name="Normal 10 2 6 6 2 2" xfId="26980"/>
    <cellStyle name="Normal 10 2 6 6 3" xfId="15460"/>
    <cellStyle name="Normal 10 2 6 6 3 2" xfId="32740"/>
    <cellStyle name="Normal 10 2 6 6 4" xfId="21220"/>
    <cellStyle name="Normal 10 2 6 7" xfId="6820"/>
    <cellStyle name="Normal 10 2 6 7 2" xfId="24100"/>
    <cellStyle name="Normal 10 2 6 8" xfId="12580"/>
    <cellStyle name="Normal 10 2 6 8 2" xfId="29860"/>
    <cellStyle name="Normal 10 2 6 9" xfId="18340"/>
    <cellStyle name="Normal 10 2 7" xfId="1180"/>
    <cellStyle name="Normal 10 2 7 2" xfId="1900"/>
    <cellStyle name="Normal 10 2 7 2 2" xfId="3340"/>
    <cellStyle name="Normal 10 2 7 2 2 2" xfId="6220"/>
    <cellStyle name="Normal 10 2 7 2 2 2 2" xfId="11980"/>
    <cellStyle name="Normal 10 2 7 2 2 2 2 2" xfId="29260"/>
    <cellStyle name="Normal 10 2 7 2 2 2 3" xfId="17740"/>
    <cellStyle name="Normal 10 2 7 2 2 2 3 2" xfId="35020"/>
    <cellStyle name="Normal 10 2 7 2 2 2 4" xfId="23500"/>
    <cellStyle name="Normal 10 2 7 2 2 3" xfId="9100"/>
    <cellStyle name="Normal 10 2 7 2 2 3 2" xfId="26380"/>
    <cellStyle name="Normal 10 2 7 2 2 4" xfId="14860"/>
    <cellStyle name="Normal 10 2 7 2 2 4 2" xfId="32140"/>
    <cellStyle name="Normal 10 2 7 2 2 5" xfId="20620"/>
    <cellStyle name="Normal 10 2 7 2 3" xfId="4780"/>
    <cellStyle name="Normal 10 2 7 2 3 2" xfId="10540"/>
    <cellStyle name="Normal 10 2 7 2 3 2 2" xfId="27820"/>
    <cellStyle name="Normal 10 2 7 2 3 3" xfId="16300"/>
    <cellStyle name="Normal 10 2 7 2 3 3 2" xfId="33580"/>
    <cellStyle name="Normal 10 2 7 2 3 4" xfId="22060"/>
    <cellStyle name="Normal 10 2 7 2 4" xfId="7660"/>
    <cellStyle name="Normal 10 2 7 2 4 2" xfId="24940"/>
    <cellStyle name="Normal 10 2 7 2 5" xfId="13420"/>
    <cellStyle name="Normal 10 2 7 2 5 2" xfId="30700"/>
    <cellStyle name="Normal 10 2 7 2 6" xfId="19180"/>
    <cellStyle name="Normal 10 2 7 3" xfId="2620"/>
    <cellStyle name="Normal 10 2 7 3 2" xfId="5500"/>
    <cellStyle name="Normal 10 2 7 3 2 2" xfId="11260"/>
    <cellStyle name="Normal 10 2 7 3 2 2 2" xfId="28540"/>
    <cellStyle name="Normal 10 2 7 3 2 3" xfId="17020"/>
    <cellStyle name="Normal 10 2 7 3 2 3 2" xfId="34300"/>
    <cellStyle name="Normal 10 2 7 3 2 4" xfId="22780"/>
    <cellStyle name="Normal 10 2 7 3 3" xfId="8380"/>
    <cellStyle name="Normal 10 2 7 3 3 2" xfId="25660"/>
    <cellStyle name="Normal 10 2 7 3 4" xfId="14140"/>
    <cellStyle name="Normal 10 2 7 3 4 2" xfId="31420"/>
    <cellStyle name="Normal 10 2 7 3 5" xfId="19900"/>
    <cellStyle name="Normal 10 2 7 4" xfId="4060"/>
    <cellStyle name="Normal 10 2 7 4 2" xfId="9820"/>
    <cellStyle name="Normal 10 2 7 4 2 2" xfId="27100"/>
    <cellStyle name="Normal 10 2 7 4 3" xfId="15580"/>
    <cellStyle name="Normal 10 2 7 4 3 2" xfId="32860"/>
    <cellStyle name="Normal 10 2 7 4 4" xfId="21340"/>
    <cellStyle name="Normal 10 2 7 5" xfId="6940"/>
    <cellStyle name="Normal 10 2 7 5 2" xfId="24220"/>
    <cellStyle name="Normal 10 2 7 6" xfId="12700"/>
    <cellStyle name="Normal 10 2 7 6 2" xfId="29980"/>
    <cellStyle name="Normal 10 2 7 7" xfId="18460"/>
    <cellStyle name="Normal 10 2 8" xfId="1420"/>
    <cellStyle name="Normal 10 2 8 2" xfId="2140"/>
    <cellStyle name="Normal 10 2 8 2 2" xfId="3580"/>
    <cellStyle name="Normal 10 2 8 2 2 2" xfId="6460"/>
    <cellStyle name="Normal 10 2 8 2 2 2 2" xfId="12220"/>
    <cellStyle name="Normal 10 2 8 2 2 2 2 2" xfId="29500"/>
    <cellStyle name="Normal 10 2 8 2 2 2 3" xfId="17980"/>
    <cellStyle name="Normal 10 2 8 2 2 2 3 2" xfId="35260"/>
    <cellStyle name="Normal 10 2 8 2 2 2 4" xfId="23740"/>
    <cellStyle name="Normal 10 2 8 2 2 3" xfId="9340"/>
    <cellStyle name="Normal 10 2 8 2 2 3 2" xfId="26620"/>
    <cellStyle name="Normal 10 2 8 2 2 4" xfId="15100"/>
    <cellStyle name="Normal 10 2 8 2 2 4 2" xfId="32380"/>
    <cellStyle name="Normal 10 2 8 2 2 5" xfId="20860"/>
    <cellStyle name="Normal 10 2 8 2 3" xfId="5020"/>
    <cellStyle name="Normal 10 2 8 2 3 2" xfId="10780"/>
    <cellStyle name="Normal 10 2 8 2 3 2 2" xfId="28060"/>
    <cellStyle name="Normal 10 2 8 2 3 3" xfId="16540"/>
    <cellStyle name="Normal 10 2 8 2 3 3 2" xfId="33820"/>
    <cellStyle name="Normal 10 2 8 2 3 4" xfId="22300"/>
    <cellStyle name="Normal 10 2 8 2 4" xfId="7900"/>
    <cellStyle name="Normal 10 2 8 2 4 2" xfId="25180"/>
    <cellStyle name="Normal 10 2 8 2 5" xfId="13660"/>
    <cellStyle name="Normal 10 2 8 2 5 2" xfId="30940"/>
    <cellStyle name="Normal 10 2 8 2 6" xfId="19420"/>
    <cellStyle name="Normal 10 2 8 3" xfId="2860"/>
    <cellStyle name="Normal 10 2 8 3 2" xfId="5740"/>
    <cellStyle name="Normal 10 2 8 3 2 2" xfId="11500"/>
    <cellStyle name="Normal 10 2 8 3 2 2 2" xfId="28780"/>
    <cellStyle name="Normal 10 2 8 3 2 3" xfId="17260"/>
    <cellStyle name="Normal 10 2 8 3 2 3 2" xfId="34540"/>
    <cellStyle name="Normal 10 2 8 3 2 4" xfId="23020"/>
    <cellStyle name="Normal 10 2 8 3 3" xfId="8620"/>
    <cellStyle name="Normal 10 2 8 3 3 2" xfId="25900"/>
    <cellStyle name="Normal 10 2 8 3 4" xfId="14380"/>
    <cellStyle name="Normal 10 2 8 3 4 2" xfId="31660"/>
    <cellStyle name="Normal 10 2 8 3 5" xfId="20140"/>
    <cellStyle name="Normal 10 2 8 4" xfId="4300"/>
    <cellStyle name="Normal 10 2 8 4 2" xfId="10060"/>
    <cellStyle name="Normal 10 2 8 4 2 2" xfId="27340"/>
    <cellStyle name="Normal 10 2 8 4 3" xfId="15820"/>
    <cellStyle name="Normal 10 2 8 4 3 2" xfId="33100"/>
    <cellStyle name="Normal 10 2 8 4 4" xfId="21580"/>
    <cellStyle name="Normal 10 2 8 5" xfId="7180"/>
    <cellStyle name="Normal 10 2 8 5 2" xfId="24460"/>
    <cellStyle name="Normal 10 2 8 6" xfId="12940"/>
    <cellStyle name="Normal 10 2 8 6 2" xfId="30220"/>
    <cellStyle name="Normal 10 2 8 7" xfId="18700"/>
    <cellStyle name="Normal 10 2 9" xfId="1660"/>
    <cellStyle name="Normal 10 2 9 2" xfId="3100"/>
    <cellStyle name="Normal 10 2 9 2 2" xfId="5980"/>
    <cellStyle name="Normal 10 2 9 2 2 2" xfId="11740"/>
    <cellStyle name="Normal 10 2 9 2 2 2 2" xfId="29020"/>
    <cellStyle name="Normal 10 2 9 2 2 3" xfId="17500"/>
    <cellStyle name="Normal 10 2 9 2 2 3 2" xfId="34780"/>
    <cellStyle name="Normal 10 2 9 2 2 4" xfId="23260"/>
    <cellStyle name="Normal 10 2 9 2 3" xfId="8860"/>
    <cellStyle name="Normal 10 2 9 2 3 2" xfId="26140"/>
    <cellStyle name="Normal 10 2 9 2 4" xfId="14620"/>
    <cellStyle name="Normal 10 2 9 2 4 2" xfId="31900"/>
    <cellStyle name="Normal 10 2 9 2 5" xfId="20380"/>
    <cellStyle name="Normal 10 2 9 3" xfId="4540"/>
    <cellStyle name="Normal 10 2 9 3 2" xfId="10300"/>
    <cellStyle name="Normal 10 2 9 3 2 2" xfId="27580"/>
    <cellStyle name="Normal 10 2 9 3 3" xfId="16060"/>
    <cellStyle name="Normal 10 2 9 3 3 2" xfId="33340"/>
    <cellStyle name="Normal 10 2 9 3 4" xfId="21820"/>
    <cellStyle name="Normal 10 2 9 4" xfId="7420"/>
    <cellStyle name="Normal 10 2 9 4 2" xfId="24700"/>
    <cellStyle name="Normal 10 2 9 5" xfId="13180"/>
    <cellStyle name="Normal 10 2 9 5 2" xfId="30460"/>
    <cellStyle name="Normal 10 2 9 6" xfId="18940"/>
    <cellStyle name="Normal 10 3" xfId="63"/>
    <cellStyle name="Normal 10 3 10" xfId="3825"/>
    <cellStyle name="Normal 10 3 10 2" xfId="9585"/>
    <cellStyle name="Normal 10 3 10 2 2" xfId="26865"/>
    <cellStyle name="Normal 10 3 10 3" xfId="15345"/>
    <cellStyle name="Normal 10 3 10 3 2" xfId="32625"/>
    <cellStyle name="Normal 10 3 10 4" xfId="21105"/>
    <cellStyle name="Normal 10 3 11" xfId="6705"/>
    <cellStyle name="Normal 10 3 11 2" xfId="23985"/>
    <cellStyle name="Normal 10 3 12" xfId="12465"/>
    <cellStyle name="Normal 10 3 12 2" xfId="29745"/>
    <cellStyle name="Normal 10 3 13" xfId="18225"/>
    <cellStyle name="Normal 10 3 14" xfId="394"/>
    <cellStyle name="Normal 10 3 15" xfId="35505"/>
    <cellStyle name="Normal 10 3 2" xfId="414"/>
    <cellStyle name="Normal 10 3 2 10" xfId="6725"/>
    <cellStyle name="Normal 10 3 2 10 2" xfId="24005"/>
    <cellStyle name="Normal 10 3 2 11" xfId="12485"/>
    <cellStyle name="Normal 10 3 2 11 2" xfId="29765"/>
    <cellStyle name="Normal 10 3 2 12" xfId="18245"/>
    <cellStyle name="Normal 10 3 2 2" xfId="1045"/>
    <cellStyle name="Normal 10 3 2 2 10" xfId="18325"/>
    <cellStyle name="Normal 10 3 2 2 2" xfId="1165"/>
    <cellStyle name="Normal 10 3 2 2 2 2" xfId="1405"/>
    <cellStyle name="Normal 10 3 2 2 2 2 2" xfId="2125"/>
    <cellStyle name="Normal 10 3 2 2 2 2 2 2" xfId="3565"/>
    <cellStyle name="Normal 10 3 2 2 2 2 2 2 2" xfId="6445"/>
    <cellStyle name="Normal 10 3 2 2 2 2 2 2 2 2" xfId="12205"/>
    <cellStyle name="Normal 10 3 2 2 2 2 2 2 2 2 2" xfId="29485"/>
    <cellStyle name="Normal 10 3 2 2 2 2 2 2 2 3" xfId="17965"/>
    <cellStyle name="Normal 10 3 2 2 2 2 2 2 2 3 2" xfId="35245"/>
    <cellStyle name="Normal 10 3 2 2 2 2 2 2 2 4" xfId="23725"/>
    <cellStyle name="Normal 10 3 2 2 2 2 2 2 3" xfId="9325"/>
    <cellStyle name="Normal 10 3 2 2 2 2 2 2 3 2" xfId="26605"/>
    <cellStyle name="Normal 10 3 2 2 2 2 2 2 4" xfId="15085"/>
    <cellStyle name="Normal 10 3 2 2 2 2 2 2 4 2" xfId="32365"/>
    <cellStyle name="Normal 10 3 2 2 2 2 2 2 5" xfId="20845"/>
    <cellStyle name="Normal 10 3 2 2 2 2 2 3" xfId="5005"/>
    <cellStyle name="Normal 10 3 2 2 2 2 2 3 2" xfId="10765"/>
    <cellStyle name="Normal 10 3 2 2 2 2 2 3 2 2" xfId="28045"/>
    <cellStyle name="Normal 10 3 2 2 2 2 2 3 3" xfId="16525"/>
    <cellStyle name="Normal 10 3 2 2 2 2 2 3 3 2" xfId="33805"/>
    <cellStyle name="Normal 10 3 2 2 2 2 2 3 4" xfId="22285"/>
    <cellStyle name="Normal 10 3 2 2 2 2 2 4" xfId="7885"/>
    <cellStyle name="Normal 10 3 2 2 2 2 2 4 2" xfId="25165"/>
    <cellStyle name="Normal 10 3 2 2 2 2 2 5" xfId="13645"/>
    <cellStyle name="Normal 10 3 2 2 2 2 2 5 2" xfId="30925"/>
    <cellStyle name="Normal 10 3 2 2 2 2 2 6" xfId="19405"/>
    <cellStyle name="Normal 10 3 2 2 2 2 3" xfId="2845"/>
    <cellStyle name="Normal 10 3 2 2 2 2 3 2" xfId="5725"/>
    <cellStyle name="Normal 10 3 2 2 2 2 3 2 2" xfId="11485"/>
    <cellStyle name="Normal 10 3 2 2 2 2 3 2 2 2" xfId="28765"/>
    <cellStyle name="Normal 10 3 2 2 2 2 3 2 3" xfId="17245"/>
    <cellStyle name="Normal 10 3 2 2 2 2 3 2 3 2" xfId="34525"/>
    <cellStyle name="Normal 10 3 2 2 2 2 3 2 4" xfId="23005"/>
    <cellStyle name="Normal 10 3 2 2 2 2 3 3" xfId="8605"/>
    <cellStyle name="Normal 10 3 2 2 2 2 3 3 2" xfId="25885"/>
    <cellStyle name="Normal 10 3 2 2 2 2 3 4" xfId="14365"/>
    <cellStyle name="Normal 10 3 2 2 2 2 3 4 2" xfId="31645"/>
    <cellStyle name="Normal 10 3 2 2 2 2 3 5" xfId="20125"/>
    <cellStyle name="Normal 10 3 2 2 2 2 4" xfId="4285"/>
    <cellStyle name="Normal 10 3 2 2 2 2 4 2" xfId="10045"/>
    <cellStyle name="Normal 10 3 2 2 2 2 4 2 2" xfId="27325"/>
    <cellStyle name="Normal 10 3 2 2 2 2 4 3" xfId="15805"/>
    <cellStyle name="Normal 10 3 2 2 2 2 4 3 2" xfId="33085"/>
    <cellStyle name="Normal 10 3 2 2 2 2 4 4" xfId="21565"/>
    <cellStyle name="Normal 10 3 2 2 2 2 5" xfId="7165"/>
    <cellStyle name="Normal 10 3 2 2 2 2 5 2" xfId="24445"/>
    <cellStyle name="Normal 10 3 2 2 2 2 6" xfId="12925"/>
    <cellStyle name="Normal 10 3 2 2 2 2 6 2" xfId="30205"/>
    <cellStyle name="Normal 10 3 2 2 2 2 7" xfId="18685"/>
    <cellStyle name="Normal 10 3 2 2 2 3" xfId="1645"/>
    <cellStyle name="Normal 10 3 2 2 2 3 2" xfId="2365"/>
    <cellStyle name="Normal 10 3 2 2 2 3 2 2" xfId="3805"/>
    <cellStyle name="Normal 10 3 2 2 2 3 2 2 2" xfId="6685"/>
    <cellStyle name="Normal 10 3 2 2 2 3 2 2 2 2" xfId="12445"/>
    <cellStyle name="Normal 10 3 2 2 2 3 2 2 2 2 2" xfId="29725"/>
    <cellStyle name="Normal 10 3 2 2 2 3 2 2 2 3" xfId="18205"/>
    <cellStyle name="Normal 10 3 2 2 2 3 2 2 2 3 2" xfId="35485"/>
    <cellStyle name="Normal 10 3 2 2 2 3 2 2 2 4" xfId="23965"/>
    <cellStyle name="Normal 10 3 2 2 2 3 2 2 3" xfId="9565"/>
    <cellStyle name="Normal 10 3 2 2 2 3 2 2 3 2" xfId="26845"/>
    <cellStyle name="Normal 10 3 2 2 2 3 2 2 4" xfId="15325"/>
    <cellStyle name="Normal 10 3 2 2 2 3 2 2 4 2" xfId="32605"/>
    <cellStyle name="Normal 10 3 2 2 2 3 2 2 5" xfId="21085"/>
    <cellStyle name="Normal 10 3 2 2 2 3 2 3" xfId="5245"/>
    <cellStyle name="Normal 10 3 2 2 2 3 2 3 2" xfId="11005"/>
    <cellStyle name="Normal 10 3 2 2 2 3 2 3 2 2" xfId="28285"/>
    <cellStyle name="Normal 10 3 2 2 2 3 2 3 3" xfId="16765"/>
    <cellStyle name="Normal 10 3 2 2 2 3 2 3 3 2" xfId="34045"/>
    <cellStyle name="Normal 10 3 2 2 2 3 2 3 4" xfId="22525"/>
    <cellStyle name="Normal 10 3 2 2 2 3 2 4" xfId="8125"/>
    <cellStyle name="Normal 10 3 2 2 2 3 2 4 2" xfId="25405"/>
    <cellStyle name="Normal 10 3 2 2 2 3 2 5" xfId="13885"/>
    <cellStyle name="Normal 10 3 2 2 2 3 2 5 2" xfId="31165"/>
    <cellStyle name="Normal 10 3 2 2 2 3 2 6" xfId="19645"/>
    <cellStyle name="Normal 10 3 2 2 2 3 3" xfId="3085"/>
    <cellStyle name="Normal 10 3 2 2 2 3 3 2" xfId="5965"/>
    <cellStyle name="Normal 10 3 2 2 2 3 3 2 2" xfId="11725"/>
    <cellStyle name="Normal 10 3 2 2 2 3 3 2 2 2" xfId="29005"/>
    <cellStyle name="Normal 10 3 2 2 2 3 3 2 3" xfId="17485"/>
    <cellStyle name="Normal 10 3 2 2 2 3 3 2 3 2" xfId="34765"/>
    <cellStyle name="Normal 10 3 2 2 2 3 3 2 4" xfId="23245"/>
    <cellStyle name="Normal 10 3 2 2 2 3 3 3" xfId="8845"/>
    <cellStyle name="Normal 10 3 2 2 2 3 3 3 2" xfId="26125"/>
    <cellStyle name="Normal 10 3 2 2 2 3 3 4" xfId="14605"/>
    <cellStyle name="Normal 10 3 2 2 2 3 3 4 2" xfId="31885"/>
    <cellStyle name="Normal 10 3 2 2 2 3 3 5" xfId="20365"/>
    <cellStyle name="Normal 10 3 2 2 2 3 4" xfId="4525"/>
    <cellStyle name="Normal 10 3 2 2 2 3 4 2" xfId="10285"/>
    <cellStyle name="Normal 10 3 2 2 2 3 4 2 2" xfId="27565"/>
    <cellStyle name="Normal 10 3 2 2 2 3 4 3" xfId="16045"/>
    <cellStyle name="Normal 10 3 2 2 2 3 4 3 2" xfId="33325"/>
    <cellStyle name="Normal 10 3 2 2 2 3 4 4" xfId="21805"/>
    <cellStyle name="Normal 10 3 2 2 2 3 5" xfId="7405"/>
    <cellStyle name="Normal 10 3 2 2 2 3 5 2" xfId="24685"/>
    <cellStyle name="Normal 10 3 2 2 2 3 6" xfId="13165"/>
    <cellStyle name="Normal 10 3 2 2 2 3 6 2" xfId="30445"/>
    <cellStyle name="Normal 10 3 2 2 2 3 7" xfId="18925"/>
    <cellStyle name="Normal 10 3 2 2 2 4" xfId="1885"/>
    <cellStyle name="Normal 10 3 2 2 2 4 2" xfId="3325"/>
    <cellStyle name="Normal 10 3 2 2 2 4 2 2" xfId="6205"/>
    <cellStyle name="Normal 10 3 2 2 2 4 2 2 2" xfId="11965"/>
    <cellStyle name="Normal 10 3 2 2 2 4 2 2 2 2" xfId="29245"/>
    <cellStyle name="Normal 10 3 2 2 2 4 2 2 3" xfId="17725"/>
    <cellStyle name="Normal 10 3 2 2 2 4 2 2 3 2" xfId="35005"/>
    <cellStyle name="Normal 10 3 2 2 2 4 2 2 4" xfId="23485"/>
    <cellStyle name="Normal 10 3 2 2 2 4 2 3" xfId="9085"/>
    <cellStyle name="Normal 10 3 2 2 2 4 2 3 2" xfId="26365"/>
    <cellStyle name="Normal 10 3 2 2 2 4 2 4" xfId="14845"/>
    <cellStyle name="Normal 10 3 2 2 2 4 2 4 2" xfId="32125"/>
    <cellStyle name="Normal 10 3 2 2 2 4 2 5" xfId="20605"/>
    <cellStyle name="Normal 10 3 2 2 2 4 3" xfId="4765"/>
    <cellStyle name="Normal 10 3 2 2 2 4 3 2" xfId="10525"/>
    <cellStyle name="Normal 10 3 2 2 2 4 3 2 2" xfId="27805"/>
    <cellStyle name="Normal 10 3 2 2 2 4 3 3" xfId="16285"/>
    <cellStyle name="Normal 10 3 2 2 2 4 3 3 2" xfId="33565"/>
    <cellStyle name="Normal 10 3 2 2 2 4 3 4" xfId="22045"/>
    <cellStyle name="Normal 10 3 2 2 2 4 4" xfId="7645"/>
    <cellStyle name="Normal 10 3 2 2 2 4 4 2" xfId="24925"/>
    <cellStyle name="Normal 10 3 2 2 2 4 5" xfId="13405"/>
    <cellStyle name="Normal 10 3 2 2 2 4 5 2" xfId="30685"/>
    <cellStyle name="Normal 10 3 2 2 2 4 6" xfId="19165"/>
    <cellStyle name="Normal 10 3 2 2 2 5" xfId="2605"/>
    <cellStyle name="Normal 10 3 2 2 2 5 2" xfId="5485"/>
    <cellStyle name="Normal 10 3 2 2 2 5 2 2" xfId="11245"/>
    <cellStyle name="Normal 10 3 2 2 2 5 2 2 2" xfId="28525"/>
    <cellStyle name="Normal 10 3 2 2 2 5 2 3" xfId="17005"/>
    <cellStyle name="Normal 10 3 2 2 2 5 2 3 2" xfId="34285"/>
    <cellStyle name="Normal 10 3 2 2 2 5 2 4" xfId="22765"/>
    <cellStyle name="Normal 10 3 2 2 2 5 3" xfId="8365"/>
    <cellStyle name="Normal 10 3 2 2 2 5 3 2" xfId="25645"/>
    <cellStyle name="Normal 10 3 2 2 2 5 4" xfId="14125"/>
    <cellStyle name="Normal 10 3 2 2 2 5 4 2" xfId="31405"/>
    <cellStyle name="Normal 10 3 2 2 2 5 5" xfId="19885"/>
    <cellStyle name="Normal 10 3 2 2 2 6" xfId="4045"/>
    <cellStyle name="Normal 10 3 2 2 2 6 2" xfId="9805"/>
    <cellStyle name="Normal 10 3 2 2 2 6 2 2" xfId="27085"/>
    <cellStyle name="Normal 10 3 2 2 2 6 3" xfId="15565"/>
    <cellStyle name="Normal 10 3 2 2 2 6 3 2" xfId="32845"/>
    <cellStyle name="Normal 10 3 2 2 2 6 4" xfId="21325"/>
    <cellStyle name="Normal 10 3 2 2 2 7" xfId="6925"/>
    <cellStyle name="Normal 10 3 2 2 2 7 2" xfId="24205"/>
    <cellStyle name="Normal 10 3 2 2 2 8" xfId="12685"/>
    <cellStyle name="Normal 10 3 2 2 2 8 2" xfId="29965"/>
    <cellStyle name="Normal 10 3 2 2 2 9" xfId="18445"/>
    <cellStyle name="Normal 10 3 2 2 3" xfId="1285"/>
    <cellStyle name="Normal 10 3 2 2 3 2" xfId="2005"/>
    <cellStyle name="Normal 10 3 2 2 3 2 2" xfId="3445"/>
    <cellStyle name="Normal 10 3 2 2 3 2 2 2" xfId="6325"/>
    <cellStyle name="Normal 10 3 2 2 3 2 2 2 2" xfId="12085"/>
    <cellStyle name="Normal 10 3 2 2 3 2 2 2 2 2" xfId="29365"/>
    <cellStyle name="Normal 10 3 2 2 3 2 2 2 3" xfId="17845"/>
    <cellStyle name="Normal 10 3 2 2 3 2 2 2 3 2" xfId="35125"/>
    <cellStyle name="Normal 10 3 2 2 3 2 2 2 4" xfId="23605"/>
    <cellStyle name="Normal 10 3 2 2 3 2 2 3" xfId="9205"/>
    <cellStyle name="Normal 10 3 2 2 3 2 2 3 2" xfId="26485"/>
    <cellStyle name="Normal 10 3 2 2 3 2 2 4" xfId="14965"/>
    <cellStyle name="Normal 10 3 2 2 3 2 2 4 2" xfId="32245"/>
    <cellStyle name="Normal 10 3 2 2 3 2 2 5" xfId="20725"/>
    <cellStyle name="Normal 10 3 2 2 3 2 3" xfId="4885"/>
    <cellStyle name="Normal 10 3 2 2 3 2 3 2" xfId="10645"/>
    <cellStyle name="Normal 10 3 2 2 3 2 3 2 2" xfId="27925"/>
    <cellStyle name="Normal 10 3 2 2 3 2 3 3" xfId="16405"/>
    <cellStyle name="Normal 10 3 2 2 3 2 3 3 2" xfId="33685"/>
    <cellStyle name="Normal 10 3 2 2 3 2 3 4" xfId="22165"/>
    <cellStyle name="Normal 10 3 2 2 3 2 4" xfId="7765"/>
    <cellStyle name="Normal 10 3 2 2 3 2 4 2" xfId="25045"/>
    <cellStyle name="Normal 10 3 2 2 3 2 5" xfId="13525"/>
    <cellStyle name="Normal 10 3 2 2 3 2 5 2" xfId="30805"/>
    <cellStyle name="Normal 10 3 2 2 3 2 6" xfId="19285"/>
    <cellStyle name="Normal 10 3 2 2 3 3" xfId="2725"/>
    <cellStyle name="Normal 10 3 2 2 3 3 2" xfId="5605"/>
    <cellStyle name="Normal 10 3 2 2 3 3 2 2" xfId="11365"/>
    <cellStyle name="Normal 10 3 2 2 3 3 2 2 2" xfId="28645"/>
    <cellStyle name="Normal 10 3 2 2 3 3 2 3" xfId="17125"/>
    <cellStyle name="Normal 10 3 2 2 3 3 2 3 2" xfId="34405"/>
    <cellStyle name="Normal 10 3 2 2 3 3 2 4" xfId="22885"/>
    <cellStyle name="Normal 10 3 2 2 3 3 3" xfId="8485"/>
    <cellStyle name="Normal 10 3 2 2 3 3 3 2" xfId="25765"/>
    <cellStyle name="Normal 10 3 2 2 3 3 4" xfId="14245"/>
    <cellStyle name="Normal 10 3 2 2 3 3 4 2" xfId="31525"/>
    <cellStyle name="Normal 10 3 2 2 3 3 5" xfId="20005"/>
    <cellStyle name="Normal 10 3 2 2 3 4" xfId="4165"/>
    <cellStyle name="Normal 10 3 2 2 3 4 2" xfId="9925"/>
    <cellStyle name="Normal 10 3 2 2 3 4 2 2" xfId="27205"/>
    <cellStyle name="Normal 10 3 2 2 3 4 3" xfId="15685"/>
    <cellStyle name="Normal 10 3 2 2 3 4 3 2" xfId="32965"/>
    <cellStyle name="Normal 10 3 2 2 3 4 4" xfId="21445"/>
    <cellStyle name="Normal 10 3 2 2 3 5" xfId="7045"/>
    <cellStyle name="Normal 10 3 2 2 3 5 2" xfId="24325"/>
    <cellStyle name="Normal 10 3 2 2 3 6" xfId="12805"/>
    <cellStyle name="Normal 10 3 2 2 3 6 2" xfId="30085"/>
    <cellStyle name="Normal 10 3 2 2 3 7" xfId="18565"/>
    <cellStyle name="Normal 10 3 2 2 4" xfId="1525"/>
    <cellStyle name="Normal 10 3 2 2 4 2" xfId="2245"/>
    <cellStyle name="Normal 10 3 2 2 4 2 2" xfId="3685"/>
    <cellStyle name="Normal 10 3 2 2 4 2 2 2" xfId="6565"/>
    <cellStyle name="Normal 10 3 2 2 4 2 2 2 2" xfId="12325"/>
    <cellStyle name="Normal 10 3 2 2 4 2 2 2 2 2" xfId="29605"/>
    <cellStyle name="Normal 10 3 2 2 4 2 2 2 3" xfId="18085"/>
    <cellStyle name="Normal 10 3 2 2 4 2 2 2 3 2" xfId="35365"/>
    <cellStyle name="Normal 10 3 2 2 4 2 2 2 4" xfId="23845"/>
    <cellStyle name="Normal 10 3 2 2 4 2 2 3" xfId="9445"/>
    <cellStyle name="Normal 10 3 2 2 4 2 2 3 2" xfId="26725"/>
    <cellStyle name="Normal 10 3 2 2 4 2 2 4" xfId="15205"/>
    <cellStyle name="Normal 10 3 2 2 4 2 2 4 2" xfId="32485"/>
    <cellStyle name="Normal 10 3 2 2 4 2 2 5" xfId="20965"/>
    <cellStyle name="Normal 10 3 2 2 4 2 3" xfId="5125"/>
    <cellStyle name="Normal 10 3 2 2 4 2 3 2" xfId="10885"/>
    <cellStyle name="Normal 10 3 2 2 4 2 3 2 2" xfId="28165"/>
    <cellStyle name="Normal 10 3 2 2 4 2 3 3" xfId="16645"/>
    <cellStyle name="Normal 10 3 2 2 4 2 3 3 2" xfId="33925"/>
    <cellStyle name="Normal 10 3 2 2 4 2 3 4" xfId="22405"/>
    <cellStyle name="Normal 10 3 2 2 4 2 4" xfId="8005"/>
    <cellStyle name="Normal 10 3 2 2 4 2 4 2" xfId="25285"/>
    <cellStyle name="Normal 10 3 2 2 4 2 5" xfId="13765"/>
    <cellStyle name="Normal 10 3 2 2 4 2 5 2" xfId="31045"/>
    <cellStyle name="Normal 10 3 2 2 4 2 6" xfId="19525"/>
    <cellStyle name="Normal 10 3 2 2 4 3" xfId="2965"/>
    <cellStyle name="Normal 10 3 2 2 4 3 2" xfId="5845"/>
    <cellStyle name="Normal 10 3 2 2 4 3 2 2" xfId="11605"/>
    <cellStyle name="Normal 10 3 2 2 4 3 2 2 2" xfId="28885"/>
    <cellStyle name="Normal 10 3 2 2 4 3 2 3" xfId="17365"/>
    <cellStyle name="Normal 10 3 2 2 4 3 2 3 2" xfId="34645"/>
    <cellStyle name="Normal 10 3 2 2 4 3 2 4" xfId="23125"/>
    <cellStyle name="Normal 10 3 2 2 4 3 3" xfId="8725"/>
    <cellStyle name="Normal 10 3 2 2 4 3 3 2" xfId="26005"/>
    <cellStyle name="Normal 10 3 2 2 4 3 4" xfId="14485"/>
    <cellStyle name="Normal 10 3 2 2 4 3 4 2" xfId="31765"/>
    <cellStyle name="Normal 10 3 2 2 4 3 5" xfId="20245"/>
    <cellStyle name="Normal 10 3 2 2 4 4" xfId="4405"/>
    <cellStyle name="Normal 10 3 2 2 4 4 2" xfId="10165"/>
    <cellStyle name="Normal 10 3 2 2 4 4 2 2" xfId="27445"/>
    <cellStyle name="Normal 10 3 2 2 4 4 3" xfId="15925"/>
    <cellStyle name="Normal 10 3 2 2 4 4 3 2" xfId="33205"/>
    <cellStyle name="Normal 10 3 2 2 4 4 4" xfId="21685"/>
    <cellStyle name="Normal 10 3 2 2 4 5" xfId="7285"/>
    <cellStyle name="Normal 10 3 2 2 4 5 2" xfId="24565"/>
    <cellStyle name="Normal 10 3 2 2 4 6" xfId="13045"/>
    <cellStyle name="Normal 10 3 2 2 4 6 2" xfId="30325"/>
    <cellStyle name="Normal 10 3 2 2 4 7" xfId="18805"/>
    <cellStyle name="Normal 10 3 2 2 5" xfId="1765"/>
    <cellStyle name="Normal 10 3 2 2 5 2" xfId="3205"/>
    <cellStyle name="Normal 10 3 2 2 5 2 2" xfId="6085"/>
    <cellStyle name="Normal 10 3 2 2 5 2 2 2" xfId="11845"/>
    <cellStyle name="Normal 10 3 2 2 5 2 2 2 2" xfId="29125"/>
    <cellStyle name="Normal 10 3 2 2 5 2 2 3" xfId="17605"/>
    <cellStyle name="Normal 10 3 2 2 5 2 2 3 2" xfId="34885"/>
    <cellStyle name="Normal 10 3 2 2 5 2 2 4" xfId="23365"/>
    <cellStyle name="Normal 10 3 2 2 5 2 3" xfId="8965"/>
    <cellStyle name="Normal 10 3 2 2 5 2 3 2" xfId="26245"/>
    <cellStyle name="Normal 10 3 2 2 5 2 4" xfId="14725"/>
    <cellStyle name="Normal 10 3 2 2 5 2 4 2" xfId="32005"/>
    <cellStyle name="Normal 10 3 2 2 5 2 5" xfId="20485"/>
    <cellStyle name="Normal 10 3 2 2 5 3" xfId="4645"/>
    <cellStyle name="Normal 10 3 2 2 5 3 2" xfId="10405"/>
    <cellStyle name="Normal 10 3 2 2 5 3 2 2" xfId="27685"/>
    <cellStyle name="Normal 10 3 2 2 5 3 3" xfId="16165"/>
    <cellStyle name="Normal 10 3 2 2 5 3 3 2" xfId="33445"/>
    <cellStyle name="Normal 10 3 2 2 5 3 4" xfId="21925"/>
    <cellStyle name="Normal 10 3 2 2 5 4" xfId="7525"/>
    <cellStyle name="Normal 10 3 2 2 5 4 2" xfId="24805"/>
    <cellStyle name="Normal 10 3 2 2 5 5" xfId="13285"/>
    <cellStyle name="Normal 10 3 2 2 5 5 2" xfId="30565"/>
    <cellStyle name="Normal 10 3 2 2 5 6" xfId="19045"/>
    <cellStyle name="Normal 10 3 2 2 6" xfId="2485"/>
    <cellStyle name="Normal 10 3 2 2 6 2" xfId="5365"/>
    <cellStyle name="Normal 10 3 2 2 6 2 2" xfId="11125"/>
    <cellStyle name="Normal 10 3 2 2 6 2 2 2" xfId="28405"/>
    <cellStyle name="Normal 10 3 2 2 6 2 3" xfId="16885"/>
    <cellStyle name="Normal 10 3 2 2 6 2 3 2" xfId="34165"/>
    <cellStyle name="Normal 10 3 2 2 6 2 4" xfId="22645"/>
    <cellStyle name="Normal 10 3 2 2 6 3" xfId="8245"/>
    <cellStyle name="Normal 10 3 2 2 6 3 2" xfId="25525"/>
    <cellStyle name="Normal 10 3 2 2 6 4" xfId="14005"/>
    <cellStyle name="Normal 10 3 2 2 6 4 2" xfId="31285"/>
    <cellStyle name="Normal 10 3 2 2 6 5" xfId="19765"/>
    <cellStyle name="Normal 10 3 2 2 7" xfId="3925"/>
    <cellStyle name="Normal 10 3 2 2 7 2" xfId="9685"/>
    <cellStyle name="Normal 10 3 2 2 7 2 2" xfId="26965"/>
    <cellStyle name="Normal 10 3 2 2 7 3" xfId="15445"/>
    <cellStyle name="Normal 10 3 2 2 7 3 2" xfId="32725"/>
    <cellStyle name="Normal 10 3 2 2 7 4" xfId="21205"/>
    <cellStyle name="Normal 10 3 2 2 8" xfId="6805"/>
    <cellStyle name="Normal 10 3 2 2 8 2" xfId="24085"/>
    <cellStyle name="Normal 10 3 2 2 9" xfId="12565"/>
    <cellStyle name="Normal 10 3 2 2 9 2" xfId="29845"/>
    <cellStyle name="Normal 10 3 2 3" xfId="1005"/>
    <cellStyle name="Normal 10 3 2 3 10" xfId="18285"/>
    <cellStyle name="Normal 10 3 2 3 2" xfId="1125"/>
    <cellStyle name="Normal 10 3 2 3 2 2" xfId="1365"/>
    <cellStyle name="Normal 10 3 2 3 2 2 2" xfId="2085"/>
    <cellStyle name="Normal 10 3 2 3 2 2 2 2" xfId="3525"/>
    <cellStyle name="Normal 10 3 2 3 2 2 2 2 2" xfId="6405"/>
    <cellStyle name="Normal 10 3 2 3 2 2 2 2 2 2" xfId="12165"/>
    <cellStyle name="Normal 10 3 2 3 2 2 2 2 2 2 2" xfId="29445"/>
    <cellStyle name="Normal 10 3 2 3 2 2 2 2 2 3" xfId="17925"/>
    <cellStyle name="Normal 10 3 2 3 2 2 2 2 2 3 2" xfId="35205"/>
    <cellStyle name="Normal 10 3 2 3 2 2 2 2 2 4" xfId="23685"/>
    <cellStyle name="Normal 10 3 2 3 2 2 2 2 3" xfId="9285"/>
    <cellStyle name="Normal 10 3 2 3 2 2 2 2 3 2" xfId="26565"/>
    <cellStyle name="Normal 10 3 2 3 2 2 2 2 4" xfId="15045"/>
    <cellStyle name="Normal 10 3 2 3 2 2 2 2 4 2" xfId="32325"/>
    <cellStyle name="Normal 10 3 2 3 2 2 2 2 5" xfId="20805"/>
    <cellStyle name="Normal 10 3 2 3 2 2 2 3" xfId="4965"/>
    <cellStyle name="Normal 10 3 2 3 2 2 2 3 2" xfId="10725"/>
    <cellStyle name="Normal 10 3 2 3 2 2 2 3 2 2" xfId="28005"/>
    <cellStyle name="Normal 10 3 2 3 2 2 2 3 3" xfId="16485"/>
    <cellStyle name="Normal 10 3 2 3 2 2 2 3 3 2" xfId="33765"/>
    <cellStyle name="Normal 10 3 2 3 2 2 2 3 4" xfId="22245"/>
    <cellStyle name="Normal 10 3 2 3 2 2 2 4" xfId="7845"/>
    <cellStyle name="Normal 10 3 2 3 2 2 2 4 2" xfId="25125"/>
    <cellStyle name="Normal 10 3 2 3 2 2 2 5" xfId="13605"/>
    <cellStyle name="Normal 10 3 2 3 2 2 2 5 2" xfId="30885"/>
    <cellStyle name="Normal 10 3 2 3 2 2 2 6" xfId="19365"/>
    <cellStyle name="Normal 10 3 2 3 2 2 3" xfId="2805"/>
    <cellStyle name="Normal 10 3 2 3 2 2 3 2" xfId="5685"/>
    <cellStyle name="Normal 10 3 2 3 2 2 3 2 2" xfId="11445"/>
    <cellStyle name="Normal 10 3 2 3 2 2 3 2 2 2" xfId="28725"/>
    <cellStyle name="Normal 10 3 2 3 2 2 3 2 3" xfId="17205"/>
    <cellStyle name="Normal 10 3 2 3 2 2 3 2 3 2" xfId="34485"/>
    <cellStyle name="Normal 10 3 2 3 2 2 3 2 4" xfId="22965"/>
    <cellStyle name="Normal 10 3 2 3 2 2 3 3" xfId="8565"/>
    <cellStyle name="Normal 10 3 2 3 2 2 3 3 2" xfId="25845"/>
    <cellStyle name="Normal 10 3 2 3 2 2 3 4" xfId="14325"/>
    <cellStyle name="Normal 10 3 2 3 2 2 3 4 2" xfId="31605"/>
    <cellStyle name="Normal 10 3 2 3 2 2 3 5" xfId="20085"/>
    <cellStyle name="Normal 10 3 2 3 2 2 4" xfId="4245"/>
    <cellStyle name="Normal 10 3 2 3 2 2 4 2" xfId="10005"/>
    <cellStyle name="Normal 10 3 2 3 2 2 4 2 2" xfId="27285"/>
    <cellStyle name="Normal 10 3 2 3 2 2 4 3" xfId="15765"/>
    <cellStyle name="Normal 10 3 2 3 2 2 4 3 2" xfId="33045"/>
    <cellStyle name="Normal 10 3 2 3 2 2 4 4" xfId="21525"/>
    <cellStyle name="Normal 10 3 2 3 2 2 5" xfId="7125"/>
    <cellStyle name="Normal 10 3 2 3 2 2 5 2" xfId="24405"/>
    <cellStyle name="Normal 10 3 2 3 2 2 6" xfId="12885"/>
    <cellStyle name="Normal 10 3 2 3 2 2 6 2" xfId="30165"/>
    <cellStyle name="Normal 10 3 2 3 2 2 7" xfId="18645"/>
    <cellStyle name="Normal 10 3 2 3 2 3" xfId="1605"/>
    <cellStyle name="Normal 10 3 2 3 2 3 2" xfId="2325"/>
    <cellStyle name="Normal 10 3 2 3 2 3 2 2" xfId="3765"/>
    <cellStyle name="Normal 10 3 2 3 2 3 2 2 2" xfId="6645"/>
    <cellStyle name="Normal 10 3 2 3 2 3 2 2 2 2" xfId="12405"/>
    <cellStyle name="Normal 10 3 2 3 2 3 2 2 2 2 2" xfId="29685"/>
    <cellStyle name="Normal 10 3 2 3 2 3 2 2 2 3" xfId="18165"/>
    <cellStyle name="Normal 10 3 2 3 2 3 2 2 2 3 2" xfId="35445"/>
    <cellStyle name="Normal 10 3 2 3 2 3 2 2 2 4" xfId="23925"/>
    <cellStyle name="Normal 10 3 2 3 2 3 2 2 3" xfId="9525"/>
    <cellStyle name="Normal 10 3 2 3 2 3 2 2 3 2" xfId="26805"/>
    <cellStyle name="Normal 10 3 2 3 2 3 2 2 4" xfId="15285"/>
    <cellStyle name="Normal 10 3 2 3 2 3 2 2 4 2" xfId="32565"/>
    <cellStyle name="Normal 10 3 2 3 2 3 2 2 5" xfId="21045"/>
    <cellStyle name="Normal 10 3 2 3 2 3 2 3" xfId="5205"/>
    <cellStyle name="Normal 10 3 2 3 2 3 2 3 2" xfId="10965"/>
    <cellStyle name="Normal 10 3 2 3 2 3 2 3 2 2" xfId="28245"/>
    <cellStyle name="Normal 10 3 2 3 2 3 2 3 3" xfId="16725"/>
    <cellStyle name="Normal 10 3 2 3 2 3 2 3 3 2" xfId="34005"/>
    <cellStyle name="Normal 10 3 2 3 2 3 2 3 4" xfId="22485"/>
    <cellStyle name="Normal 10 3 2 3 2 3 2 4" xfId="8085"/>
    <cellStyle name="Normal 10 3 2 3 2 3 2 4 2" xfId="25365"/>
    <cellStyle name="Normal 10 3 2 3 2 3 2 5" xfId="13845"/>
    <cellStyle name="Normal 10 3 2 3 2 3 2 5 2" xfId="31125"/>
    <cellStyle name="Normal 10 3 2 3 2 3 2 6" xfId="19605"/>
    <cellStyle name="Normal 10 3 2 3 2 3 3" xfId="3045"/>
    <cellStyle name="Normal 10 3 2 3 2 3 3 2" xfId="5925"/>
    <cellStyle name="Normal 10 3 2 3 2 3 3 2 2" xfId="11685"/>
    <cellStyle name="Normal 10 3 2 3 2 3 3 2 2 2" xfId="28965"/>
    <cellStyle name="Normal 10 3 2 3 2 3 3 2 3" xfId="17445"/>
    <cellStyle name="Normal 10 3 2 3 2 3 3 2 3 2" xfId="34725"/>
    <cellStyle name="Normal 10 3 2 3 2 3 3 2 4" xfId="23205"/>
    <cellStyle name="Normal 10 3 2 3 2 3 3 3" xfId="8805"/>
    <cellStyle name="Normal 10 3 2 3 2 3 3 3 2" xfId="26085"/>
    <cellStyle name="Normal 10 3 2 3 2 3 3 4" xfId="14565"/>
    <cellStyle name="Normal 10 3 2 3 2 3 3 4 2" xfId="31845"/>
    <cellStyle name="Normal 10 3 2 3 2 3 3 5" xfId="20325"/>
    <cellStyle name="Normal 10 3 2 3 2 3 4" xfId="4485"/>
    <cellStyle name="Normal 10 3 2 3 2 3 4 2" xfId="10245"/>
    <cellStyle name="Normal 10 3 2 3 2 3 4 2 2" xfId="27525"/>
    <cellStyle name="Normal 10 3 2 3 2 3 4 3" xfId="16005"/>
    <cellStyle name="Normal 10 3 2 3 2 3 4 3 2" xfId="33285"/>
    <cellStyle name="Normal 10 3 2 3 2 3 4 4" xfId="21765"/>
    <cellStyle name="Normal 10 3 2 3 2 3 5" xfId="7365"/>
    <cellStyle name="Normal 10 3 2 3 2 3 5 2" xfId="24645"/>
    <cellStyle name="Normal 10 3 2 3 2 3 6" xfId="13125"/>
    <cellStyle name="Normal 10 3 2 3 2 3 6 2" xfId="30405"/>
    <cellStyle name="Normal 10 3 2 3 2 3 7" xfId="18885"/>
    <cellStyle name="Normal 10 3 2 3 2 4" xfId="1845"/>
    <cellStyle name="Normal 10 3 2 3 2 4 2" xfId="3285"/>
    <cellStyle name="Normal 10 3 2 3 2 4 2 2" xfId="6165"/>
    <cellStyle name="Normal 10 3 2 3 2 4 2 2 2" xfId="11925"/>
    <cellStyle name="Normal 10 3 2 3 2 4 2 2 2 2" xfId="29205"/>
    <cellStyle name="Normal 10 3 2 3 2 4 2 2 3" xfId="17685"/>
    <cellStyle name="Normal 10 3 2 3 2 4 2 2 3 2" xfId="34965"/>
    <cellStyle name="Normal 10 3 2 3 2 4 2 2 4" xfId="23445"/>
    <cellStyle name="Normal 10 3 2 3 2 4 2 3" xfId="9045"/>
    <cellStyle name="Normal 10 3 2 3 2 4 2 3 2" xfId="26325"/>
    <cellStyle name="Normal 10 3 2 3 2 4 2 4" xfId="14805"/>
    <cellStyle name="Normal 10 3 2 3 2 4 2 4 2" xfId="32085"/>
    <cellStyle name="Normal 10 3 2 3 2 4 2 5" xfId="20565"/>
    <cellStyle name="Normal 10 3 2 3 2 4 3" xfId="4725"/>
    <cellStyle name="Normal 10 3 2 3 2 4 3 2" xfId="10485"/>
    <cellStyle name="Normal 10 3 2 3 2 4 3 2 2" xfId="27765"/>
    <cellStyle name="Normal 10 3 2 3 2 4 3 3" xfId="16245"/>
    <cellStyle name="Normal 10 3 2 3 2 4 3 3 2" xfId="33525"/>
    <cellStyle name="Normal 10 3 2 3 2 4 3 4" xfId="22005"/>
    <cellStyle name="Normal 10 3 2 3 2 4 4" xfId="7605"/>
    <cellStyle name="Normal 10 3 2 3 2 4 4 2" xfId="24885"/>
    <cellStyle name="Normal 10 3 2 3 2 4 5" xfId="13365"/>
    <cellStyle name="Normal 10 3 2 3 2 4 5 2" xfId="30645"/>
    <cellStyle name="Normal 10 3 2 3 2 4 6" xfId="19125"/>
    <cellStyle name="Normal 10 3 2 3 2 5" xfId="2565"/>
    <cellStyle name="Normal 10 3 2 3 2 5 2" xfId="5445"/>
    <cellStyle name="Normal 10 3 2 3 2 5 2 2" xfId="11205"/>
    <cellStyle name="Normal 10 3 2 3 2 5 2 2 2" xfId="28485"/>
    <cellStyle name="Normal 10 3 2 3 2 5 2 3" xfId="16965"/>
    <cellStyle name="Normal 10 3 2 3 2 5 2 3 2" xfId="34245"/>
    <cellStyle name="Normal 10 3 2 3 2 5 2 4" xfId="22725"/>
    <cellStyle name="Normal 10 3 2 3 2 5 3" xfId="8325"/>
    <cellStyle name="Normal 10 3 2 3 2 5 3 2" xfId="25605"/>
    <cellStyle name="Normal 10 3 2 3 2 5 4" xfId="14085"/>
    <cellStyle name="Normal 10 3 2 3 2 5 4 2" xfId="31365"/>
    <cellStyle name="Normal 10 3 2 3 2 5 5" xfId="19845"/>
    <cellStyle name="Normal 10 3 2 3 2 6" xfId="4005"/>
    <cellStyle name="Normal 10 3 2 3 2 6 2" xfId="9765"/>
    <cellStyle name="Normal 10 3 2 3 2 6 2 2" xfId="27045"/>
    <cellStyle name="Normal 10 3 2 3 2 6 3" xfId="15525"/>
    <cellStyle name="Normal 10 3 2 3 2 6 3 2" xfId="32805"/>
    <cellStyle name="Normal 10 3 2 3 2 6 4" xfId="21285"/>
    <cellStyle name="Normal 10 3 2 3 2 7" xfId="6885"/>
    <cellStyle name="Normal 10 3 2 3 2 7 2" xfId="24165"/>
    <cellStyle name="Normal 10 3 2 3 2 8" xfId="12645"/>
    <cellStyle name="Normal 10 3 2 3 2 8 2" xfId="29925"/>
    <cellStyle name="Normal 10 3 2 3 2 9" xfId="18405"/>
    <cellStyle name="Normal 10 3 2 3 3" xfId="1245"/>
    <cellStyle name="Normal 10 3 2 3 3 2" xfId="1965"/>
    <cellStyle name="Normal 10 3 2 3 3 2 2" xfId="3405"/>
    <cellStyle name="Normal 10 3 2 3 3 2 2 2" xfId="6285"/>
    <cellStyle name="Normal 10 3 2 3 3 2 2 2 2" xfId="12045"/>
    <cellStyle name="Normal 10 3 2 3 3 2 2 2 2 2" xfId="29325"/>
    <cellStyle name="Normal 10 3 2 3 3 2 2 2 3" xfId="17805"/>
    <cellStyle name="Normal 10 3 2 3 3 2 2 2 3 2" xfId="35085"/>
    <cellStyle name="Normal 10 3 2 3 3 2 2 2 4" xfId="23565"/>
    <cellStyle name="Normal 10 3 2 3 3 2 2 3" xfId="9165"/>
    <cellStyle name="Normal 10 3 2 3 3 2 2 3 2" xfId="26445"/>
    <cellStyle name="Normal 10 3 2 3 3 2 2 4" xfId="14925"/>
    <cellStyle name="Normal 10 3 2 3 3 2 2 4 2" xfId="32205"/>
    <cellStyle name="Normal 10 3 2 3 3 2 2 5" xfId="20685"/>
    <cellStyle name="Normal 10 3 2 3 3 2 3" xfId="4845"/>
    <cellStyle name="Normal 10 3 2 3 3 2 3 2" xfId="10605"/>
    <cellStyle name="Normal 10 3 2 3 3 2 3 2 2" xfId="27885"/>
    <cellStyle name="Normal 10 3 2 3 3 2 3 3" xfId="16365"/>
    <cellStyle name="Normal 10 3 2 3 3 2 3 3 2" xfId="33645"/>
    <cellStyle name="Normal 10 3 2 3 3 2 3 4" xfId="22125"/>
    <cellStyle name="Normal 10 3 2 3 3 2 4" xfId="7725"/>
    <cellStyle name="Normal 10 3 2 3 3 2 4 2" xfId="25005"/>
    <cellStyle name="Normal 10 3 2 3 3 2 5" xfId="13485"/>
    <cellStyle name="Normal 10 3 2 3 3 2 5 2" xfId="30765"/>
    <cellStyle name="Normal 10 3 2 3 3 2 6" xfId="19245"/>
    <cellStyle name="Normal 10 3 2 3 3 3" xfId="2685"/>
    <cellStyle name="Normal 10 3 2 3 3 3 2" xfId="5565"/>
    <cellStyle name="Normal 10 3 2 3 3 3 2 2" xfId="11325"/>
    <cellStyle name="Normal 10 3 2 3 3 3 2 2 2" xfId="28605"/>
    <cellStyle name="Normal 10 3 2 3 3 3 2 3" xfId="17085"/>
    <cellStyle name="Normal 10 3 2 3 3 3 2 3 2" xfId="34365"/>
    <cellStyle name="Normal 10 3 2 3 3 3 2 4" xfId="22845"/>
    <cellStyle name="Normal 10 3 2 3 3 3 3" xfId="8445"/>
    <cellStyle name="Normal 10 3 2 3 3 3 3 2" xfId="25725"/>
    <cellStyle name="Normal 10 3 2 3 3 3 4" xfId="14205"/>
    <cellStyle name="Normal 10 3 2 3 3 3 4 2" xfId="31485"/>
    <cellStyle name="Normal 10 3 2 3 3 3 5" xfId="19965"/>
    <cellStyle name="Normal 10 3 2 3 3 4" xfId="4125"/>
    <cellStyle name="Normal 10 3 2 3 3 4 2" xfId="9885"/>
    <cellStyle name="Normal 10 3 2 3 3 4 2 2" xfId="27165"/>
    <cellStyle name="Normal 10 3 2 3 3 4 3" xfId="15645"/>
    <cellStyle name="Normal 10 3 2 3 3 4 3 2" xfId="32925"/>
    <cellStyle name="Normal 10 3 2 3 3 4 4" xfId="21405"/>
    <cellStyle name="Normal 10 3 2 3 3 5" xfId="7005"/>
    <cellStyle name="Normal 10 3 2 3 3 5 2" xfId="24285"/>
    <cellStyle name="Normal 10 3 2 3 3 6" xfId="12765"/>
    <cellStyle name="Normal 10 3 2 3 3 6 2" xfId="30045"/>
    <cellStyle name="Normal 10 3 2 3 3 7" xfId="18525"/>
    <cellStyle name="Normal 10 3 2 3 4" xfId="1485"/>
    <cellStyle name="Normal 10 3 2 3 4 2" xfId="2205"/>
    <cellStyle name="Normal 10 3 2 3 4 2 2" xfId="3645"/>
    <cellStyle name="Normal 10 3 2 3 4 2 2 2" xfId="6525"/>
    <cellStyle name="Normal 10 3 2 3 4 2 2 2 2" xfId="12285"/>
    <cellStyle name="Normal 10 3 2 3 4 2 2 2 2 2" xfId="29565"/>
    <cellStyle name="Normal 10 3 2 3 4 2 2 2 3" xfId="18045"/>
    <cellStyle name="Normal 10 3 2 3 4 2 2 2 3 2" xfId="35325"/>
    <cellStyle name="Normal 10 3 2 3 4 2 2 2 4" xfId="23805"/>
    <cellStyle name="Normal 10 3 2 3 4 2 2 3" xfId="9405"/>
    <cellStyle name="Normal 10 3 2 3 4 2 2 3 2" xfId="26685"/>
    <cellStyle name="Normal 10 3 2 3 4 2 2 4" xfId="15165"/>
    <cellStyle name="Normal 10 3 2 3 4 2 2 4 2" xfId="32445"/>
    <cellStyle name="Normal 10 3 2 3 4 2 2 5" xfId="20925"/>
    <cellStyle name="Normal 10 3 2 3 4 2 3" xfId="5085"/>
    <cellStyle name="Normal 10 3 2 3 4 2 3 2" xfId="10845"/>
    <cellStyle name="Normal 10 3 2 3 4 2 3 2 2" xfId="28125"/>
    <cellStyle name="Normal 10 3 2 3 4 2 3 3" xfId="16605"/>
    <cellStyle name="Normal 10 3 2 3 4 2 3 3 2" xfId="33885"/>
    <cellStyle name="Normal 10 3 2 3 4 2 3 4" xfId="22365"/>
    <cellStyle name="Normal 10 3 2 3 4 2 4" xfId="7965"/>
    <cellStyle name="Normal 10 3 2 3 4 2 4 2" xfId="25245"/>
    <cellStyle name="Normal 10 3 2 3 4 2 5" xfId="13725"/>
    <cellStyle name="Normal 10 3 2 3 4 2 5 2" xfId="31005"/>
    <cellStyle name="Normal 10 3 2 3 4 2 6" xfId="19485"/>
    <cellStyle name="Normal 10 3 2 3 4 3" xfId="2925"/>
    <cellStyle name="Normal 10 3 2 3 4 3 2" xfId="5805"/>
    <cellStyle name="Normal 10 3 2 3 4 3 2 2" xfId="11565"/>
    <cellStyle name="Normal 10 3 2 3 4 3 2 2 2" xfId="28845"/>
    <cellStyle name="Normal 10 3 2 3 4 3 2 3" xfId="17325"/>
    <cellStyle name="Normal 10 3 2 3 4 3 2 3 2" xfId="34605"/>
    <cellStyle name="Normal 10 3 2 3 4 3 2 4" xfId="23085"/>
    <cellStyle name="Normal 10 3 2 3 4 3 3" xfId="8685"/>
    <cellStyle name="Normal 10 3 2 3 4 3 3 2" xfId="25965"/>
    <cellStyle name="Normal 10 3 2 3 4 3 4" xfId="14445"/>
    <cellStyle name="Normal 10 3 2 3 4 3 4 2" xfId="31725"/>
    <cellStyle name="Normal 10 3 2 3 4 3 5" xfId="20205"/>
    <cellStyle name="Normal 10 3 2 3 4 4" xfId="4365"/>
    <cellStyle name="Normal 10 3 2 3 4 4 2" xfId="10125"/>
    <cellStyle name="Normal 10 3 2 3 4 4 2 2" xfId="27405"/>
    <cellStyle name="Normal 10 3 2 3 4 4 3" xfId="15885"/>
    <cellStyle name="Normal 10 3 2 3 4 4 3 2" xfId="33165"/>
    <cellStyle name="Normal 10 3 2 3 4 4 4" xfId="21645"/>
    <cellStyle name="Normal 10 3 2 3 4 5" xfId="7245"/>
    <cellStyle name="Normal 10 3 2 3 4 5 2" xfId="24525"/>
    <cellStyle name="Normal 10 3 2 3 4 6" xfId="13005"/>
    <cellStyle name="Normal 10 3 2 3 4 6 2" xfId="30285"/>
    <cellStyle name="Normal 10 3 2 3 4 7" xfId="18765"/>
    <cellStyle name="Normal 10 3 2 3 5" xfId="1725"/>
    <cellStyle name="Normal 10 3 2 3 5 2" xfId="3165"/>
    <cellStyle name="Normal 10 3 2 3 5 2 2" xfId="6045"/>
    <cellStyle name="Normal 10 3 2 3 5 2 2 2" xfId="11805"/>
    <cellStyle name="Normal 10 3 2 3 5 2 2 2 2" xfId="29085"/>
    <cellStyle name="Normal 10 3 2 3 5 2 2 3" xfId="17565"/>
    <cellStyle name="Normal 10 3 2 3 5 2 2 3 2" xfId="34845"/>
    <cellStyle name="Normal 10 3 2 3 5 2 2 4" xfId="23325"/>
    <cellStyle name="Normal 10 3 2 3 5 2 3" xfId="8925"/>
    <cellStyle name="Normal 10 3 2 3 5 2 3 2" xfId="26205"/>
    <cellStyle name="Normal 10 3 2 3 5 2 4" xfId="14685"/>
    <cellStyle name="Normal 10 3 2 3 5 2 4 2" xfId="31965"/>
    <cellStyle name="Normal 10 3 2 3 5 2 5" xfId="20445"/>
    <cellStyle name="Normal 10 3 2 3 5 3" xfId="4605"/>
    <cellStyle name="Normal 10 3 2 3 5 3 2" xfId="10365"/>
    <cellStyle name="Normal 10 3 2 3 5 3 2 2" xfId="27645"/>
    <cellStyle name="Normal 10 3 2 3 5 3 3" xfId="16125"/>
    <cellStyle name="Normal 10 3 2 3 5 3 3 2" xfId="33405"/>
    <cellStyle name="Normal 10 3 2 3 5 3 4" xfId="21885"/>
    <cellStyle name="Normal 10 3 2 3 5 4" xfId="7485"/>
    <cellStyle name="Normal 10 3 2 3 5 4 2" xfId="24765"/>
    <cellStyle name="Normal 10 3 2 3 5 5" xfId="13245"/>
    <cellStyle name="Normal 10 3 2 3 5 5 2" xfId="30525"/>
    <cellStyle name="Normal 10 3 2 3 5 6" xfId="19005"/>
    <cellStyle name="Normal 10 3 2 3 6" xfId="2445"/>
    <cellStyle name="Normal 10 3 2 3 6 2" xfId="5325"/>
    <cellStyle name="Normal 10 3 2 3 6 2 2" xfId="11085"/>
    <cellStyle name="Normal 10 3 2 3 6 2 2 2" xfId="28365"/>
    <cellStyle name="Normal 10 3 2 3 6 2 3" xfId="16845"/>
    <cellStyle name="Normal 10 3 2 3 6 2 3 2" xfId="34125"/>
    <cellStyle name="Normal 10 3 2 3 6 2 4" xfId="22605"/>
    <cellStyle name="Normal 10 3 2 3 6 3" xfId="8205"/>
    <cellStyle name="Normal 10 3 2 3 6 3 2" xfId="25485"/>
    <cellStyle name="Normal 10 3 2 3 6 4" xfId="13965"/>
    <cellStyle name="Normal 10 3 2 3 6 4 2" xfId="31245"/>
    <cellStyle name="Normal 10 3 2 3 6 5" xfId="19725"/>
    <cellStyle name="Normal 10 3 2 3 7" xfId="3885"/>
    <cellStyle name="Normal 10 3 2 3 7 2" xfId="9645"/>
    <cellStyle name="Normal 10 3 2 3 7 2 2" xfId="26925"/>
    <cellStyle name="Normal 10 3 2 3 7 3" xfId="15405"/>
    <cellStyle name="Normal 10 3 2 3 7 3 2" xfId="32685"/>
    <cellStyle name="Normal 10 3 2 3 7 4" xfId="21165"/>
    <cellStyle name="Normal 10 3 2 3 8" xfId="6765"/>
    <cellStyle name="Normal 10 3 2 3 8 2" xfId="24045"/>
    <cellStyle name="Normal 10 3 2 3 9" xfId="12525"/>
    <cellStyle name="Normal 10 3 2 3 9 2" xfId="29805"/>
    <cellStyle name="Normal 10 3 2 4" xfId="1085"/>
    <cellStyle name="Normal 10 3 2 4 2" xfId="1325"/>
    <cellStyle name="Normal 10 3 2 4 2 2" xfId="2045"/>
    <cellStyle name="Normal 10 3 2 4 2 2 2" xfId="3485"/>
    <cellStyle name="Normal 10 3 2 4 2 2 2 2" xfId="6365"/>
    <cellStyle name="Normal 10 3 2 4 2 2 2 2 2" xfId="12125"/>
    <cellStyle name="Normal 10 3 2 4 2 2 2 2 2 2" xfId="29405"/>
    <cellStyle name="Normal 10 3 2 4 2 2 2 2 3" xfId="17885"/>
    <cellStyle name="Normal 10 3 2 4 2 2 2 2 3 2" xfId="35165"/>
    <cellStyle name="Normal 10 3 2 4 2 2 2 2 4" xfId="23645"/>
    <cellStyle name="Normal 10 3 2 4 2 2 2 3" xfId="9245"/>
    <cellStyle name="Normal 10 3 2 4 2 2 2 3 2" xfId="26525"/>
    <cellStyle name="Normal 10 3 2 4 2 2 2 4" xfId="15005"/>
    <cellStyle name="Normal 10 3 2 4 2 2 2 4 2" xfId="32285"/>
    <cellStyle name="Normal 10 3 2 4 2 2 2 5" xfId="20765"/>
    <cellStyle name="Normal 10 3 2 4 2 2 3" xfId="4925"/>
    <cellStyle name="Normal 10 3 2 4 2 2 3 2" xfId="10685"/>
    <cellStyle name="Normal 10 3 2 4 2 2 3 2 2" xfId="27965"/>
    <cellStyle name="Normal 10 3 2 4 2 2 3 3" xfId="16445"/>
    <cellStyle name="Normal 10 3 2 4 2 2 3 3 2" xfId="33725"/>
    <cellStyle name="Normal 10 3 2 4 2 2 3 4" xfId="22205"/>
    <cellStyle name="Normal 10 3 2 4 2 2 4" xfId="7805"/>
    <cellStyle name="Normal 10 3 2 4 2 2 4 2" xfId="25085"/>
    <cellStyle name="Normal 10 3 2 4 2 2 5" xfId="13565"/>
    <cellStyle name="Normal 10 3 2 4 2 2 5 2" xfId="30845"/>
    <cellStyle name="Normal 10 3 2 4 2 2 6" xfId="19325"/>
    <cellStyle name="Normal 10 3 2 4 2 3" xfId="2765"/>
    <cellStyle name="Normal 10 3 2 4 2 3 2" xfId="5645"/>
    <cellStyle name="Normal 10 3 2 4 2 3 2 2" xfId="11405"/>
    <cellStyle name="Normal 10 3 2 4 2 3 2 2 2" xfId="28685"/>
    <cellStyle name="Normal 10 3 2 4 2 3 2 3" xfId="17165"/>
    <cellStyle name="Normal 10 3 2 4 2 3 2 3 2" xfId="34445"/>
    <cellStyle name="Normal 10 3 2 4 2 3 2 4" xfId="22925"/>
    <cellStyle name="Normal 10 3 2 4 2 3 3" xfId="8525"/>
    <cellStyle name="Normal 10 3 2 4 2 3 3 2" xfId="25805"/>
    <cellStyle name="Normal 10 3 2 4 2 3 4" xfId="14285"/>
    <cellStyle name="Normal 10 3 2 4 2 3 4 2" xfId="31565"/>
    <cellStyle name="Normal 10 3 2 4 2 3 5" xfId="20045"/>
    <cellStyle name="Normal 10 3 2 4 2 4" xfId="4205"/>
    <cellStyle name="Normal 10 3 2 4 2 4 2" xfId="9965"/>
    <cellStyle name="Normal 10 3 2 4 2 4 2 2" xfId="27245"/>
    <cellStyle name="Normal 10 3 2 4 2 4 3" xfId="15725"/>
    <cellStyle name="Normal 10 3 2 4 2 4 3 2" xfId="33005"/>
    <cellStyle name="Normal 10 3 2 4 2 4 4" xfId="21485"/>
    <cellStyle name="Normal 10 3 2 4 2 5" xfId="7085"/>
    <cellStyle name="Normal 10 3 2 4 2 5 2" xfId="24365"/>
    <cellStyle name="Normal 10 3 2 4 2 6" xfId="12845"/>
    <cellStyle name="Normal 10 3 2 4 2 6 2" xfId="30125"/>
    <cellStyle name="Normal 10 3 2 4 2 7" xfId="18605"/>
    <cellStyle name="Normal 10 3 2 4 3" xfId="1565"/>
    <cellStyle name="Normal 10 3 2 4 3 2" xfId="2285"/>
    <cellStyle name="Normal 10 3 2 4 3 2 2" xfId="3725"/>
    <cellStyle name="Normal 10 3 2 4 3 2 2 2" xfId="6605"/>
    <cellStyle name="Normal 10 3 2 4 3 2 2 2 2" xfId="12365"/>
    <cellStyle name="Normal 10 3 2 4 3 2 2 2 2 2" xfId="29645"/>
    <cellStyle name="Normal 10 3 2 4 3 2 2 2 3" xfId="18125"/>
    <cellStyle name="Normal 10 3 2 4 3 2 2 2 3 2" xfId="35405"/>
    <cellStyle name="Normal 10 3 2 4 3 2 2 2 4" xfId="23885"/>
    <cellStyle name="Normal 10 3 2 4 3 2 2 3" xfId="9485"/>
    <cellStyle name="Normal 10 3 2 4 3 2 2 3 2" xfId="26765"/>
    <cellStyle name="Normal 10 3 2 4 3 2 2 4" xfId="15245"/>
    <cellStyle name="Normal 10 3 2 4 3 2 2 4 2" xfId="32525"/>
    <cellStyle name="Normal 10 3 2 4 3 2 2 5" xfId="21005"/>
    <cellStyle name="Normal 10 3 2 4 3 2 3" xfId="5165"/>
    <cellStyle name="Normal 10 3 2 4 3 2 3 2" xfId="10925"/>
    <cellStyle name="Normal 10 3 2 4 3 2 3 2 2" xfId="28205"/>
    <cellStyle name="Normal 10 3 2 4 3 2 3 3" xfId="16685"/>
    <cellStyle name="Normal 10 3 2 4 3 2 3 3 2" xfId="33965"/>
    <cellStyle name="Normal 10 3 2 4 3 2 3 4" xfId="22445"/>
    <cellStyle name="Normal 10 3 2 4 3 2 4" xfId="8045"/>
    <cellStyle name="Normal 10 3 2 4 3 2 4 2" xfId="25325"/>
    <cellStyle name="Normal 10 3 2 4 3 2 5" xfId="13805"/>
    <cellStyle name="Normal 10 3 2 4 3 2 5 2" xfId="31085"/>
    <cellStyle name="Normal 10 3 2 4 3 2 6" xfId="19565"/>
    <cellStyle name="Normal 10 3 2 4 3 3" xfId="3005"/>
    <cellStyle name="Normal 10 3 2 4 3 3 2" xfId="5885"/>
    <cellStyle name="Normal 10 3 2 4 3 3 2 2" xfId="11645"/>
    <cellStyle name="Normal 10 3 2 4 3 3 2 2 2" xfId="28925"/>
    <cellStyle name="Normal 10 3 2 4 3 3 2 3" xfId="17405"/>
    <cellStyle name="Normal 10 3 2 4 3 3 2 3 2" xfId="34685"/>
    <cellStyle name="Normal 10 3 2 4 3 3 2 4" xfId="23165"/>
    <cellStyle name="Normal 10 3 2 4 3 3 3" xfId="8765"/>
    <cellStyle name="Normal 10 3 2 4 3 3 3 2" xfId="26045"/>
    <cellStyle name="Normal 10 3 2 4 3 3 4" xfId="14525"/>
    <cellStyle name="Normal 10 3 2 4 3 3 4 2" xfId="31805"/>
    <cellStyle name="Normal 10 3 2 4 3 3 5" xfId="20285"/>
    <cellStyle name="Normal 10 3 2 4 3 4" xfId="4445"/>
    <cellStyle name="Normal 10 3 2 4 3 4 2" xfId="10205"/>
    <cellStyle name="Normal 10 3 2 4 3 4 2 2" xfId="27485"/>
    <cellStyle name="Normal 10 3 2 4 3 4 3" xfId="15965"/>
    <cellStyle name="Normal 10 3 2 4 3 4 3 2" xfId="33245"/>
    <cellStyle name="Normal 10 3 2 4 3 4 4" xfId="21725"/>
    <cellStyle name="Normal 10 3 2 4 3 5" xfId="7325"/>
    <cellStyle name="Normal 10 3 2 4 3 5 2" xfId="24605"/>
    <cellStyle name="Normal 10 3 2 4 3 6" xfId="13085"/>
    <cellStyle name="Normal 10 3 2 4 3 6 2" xfId="30365"/>
    <cellStyle name="Normal 10 3 2 4 3 7" xfId="18845"/>
    <cellStyle name="Normal 10 3 2 4 4" xfId="1805"/>
    <cellStyle name="Normal 10 3 2 4 4 2" xfId="3245"/>
    <cellStyle name="Normal 10 3 2 4 4 2 2" xfId="6125"/>
    <cellStyle name="Normal 10 3 2 4 4 2 2 2" xfId="11885"/>
    <cellStyle name="Normal 10 3 2 4 4 2 2 2 2" xfId="29165"/>
    <cellStyle name="Normal 10 3 2 4 4 2 2 3" xfId="17645"/>
    <cellStyle name="Normal 10 3 2 4 4 2 2 3 2" xfId="34925"/>
    <cellStyle name="Normal 10 3 2 4 4 2 2 4" xfId="23405"/>
    <cellStyle name="Normal 10 3 2 4 4 2 3" xfId="9005"/>
    <cellStyle name="Normal 10 3 2 4 4 2 3 2" xfId="26285"/>
    <cellStyle name="Normal 10 3 2 4 4 2 4" xfId="14765"/>
    <cellStyle name="Normal 10 3 2 4 4 2 4 2" xfId="32045"/>
    <cellStyle name="Normal 10 3 2 4 4 2 5" xfId="20525"/>
    <cellStyle name="Normal 10 3 2 4 4 3" xfId="4685"/>
    <cellStyle name="Normal 10 3 2 4 4 3 2" xfId="10445"/>
    <cellStyle name="Normal 10 3 2 4 4 3 2 2" xfId="27725"/>
    <cellStyle name="Normal 10 3 2 4 4 3 3" xfId="16205"/>
    <cellStyle name="Normal 10 3 2 4 4 3 3 2" xfId="33485"/>
    <cellStyle name="Normal 10 3 2 4 4 3 4" xfId="21965"/>
    <cellStyle name="Normal 10 3 2 4 4 4" xfId="7565"/>
    <cellStyle name="Normal 10 3 2 4 4 4 2" xfId="24845"/>
    <cellStyle name="Normal 10 3 2 4 4 5" xfId="13325"/>
    <cellStyle name="Normal 10 3 2 4 4 5 2" xfId="30605"/>
    <cellStyle name="Normal 10 3 2 4 4 6" xfId="19085"/>
    <cellStyle name="Normal 10 3 2 4 5" xfId="2525"/>
    <cellStyle name="Normal 10 3 2 4 5 2" xfId="5405"/>
    <cellStyle name="Normal 10 3 2 4 5 2 2" xfId="11165"/>
    <cellStyle name="Normal 10 3 2 4 5 2 2 2" xfId="28445"/>
    <cellStyle name="Normal 10 3 2 4 5 2 3" xfId="16925"/>
    <cellStyle name="Normal 10 3 2 4 5 2 3 2" xfId="34205"/>
    <cellStyle name="Normal 10 3 2 4 5 2 4" xfId="22685"/>
    <cellStyle name="Normal 10 3 2 4 5 3" xfId="8285"/>
    <cellStyle name="Normal 10 3 2 4 5 3 2" xfId="25565"/>
    <cellStyle name="Normal 10 3 2 4 5 4" xfId="14045"/>
    <cellStyle name="Normal 10 3 2 4 5 4 2" xfId="31325"/>
    <cellStyle name="Normal 10 3 2 4 5 5" xfId="19805"/>
    <cellStyle name="Normal 10 3 2 4 6" xfId="3965"/>
    <cellStyle name="Normal 10 3 2 4 6 2" xfId="9725"/>
    <cellStyle name="Normal 10 3 2 4 6 2 2" xfId="27005"/>
    <cellStyle name="Normal 10 3 2 4 6 3" xfId="15485"/>
    <cellStyle name="Normal 10 3 2 4 6 3 2" xfId="32765"/>
    <cellStyle name="Normal 10 3 2 4 6 4" xfId="21245"/>
    <cellStyle name="Normal 10 3 2 4 7" xfId="6845"/>
    <cellStyle name="Normal 10 3 2 4 7 2" xfId="24125"/>
    <cellStyle name="Normal 10 3 2 4 8" xfId="12605"/>
    <cellStyle name="Normal 10 3 2 4 8 2" xfId="29885"/>
    <cellStyle name="Normal 10 3 2 4 9" xfId="18365"/>
    <cellStyle name="Normal 10 3 2 5" xfId="1205"/>
    <cellStyle name="Normal 10 3 2 5 2" xfId="1925"/>
    <cellStyle name="Normal 10 3 2 5 2 2" xfId="3365"/>
    <cellStyle name="Normal 10 3 2 5 2 2 2" xfId="6245"/>
    <cellStyle name="Normal 10 3 2 5 2 2 2 2" xfId="12005"/>
    <cellStyle name="Normal 10 3 2 5 2 2 2 2 2" xfId="29285"/>
    <cellStyle name="Normal 10 3 2 5 2 2 2 3" xfId="17765"/>
    <cellStyle name="Normal 10 3 2 5 2 2 2 3 2" xfId="35045"/>
    <cellStyle name="Normal 10 3 2 5 2 2 2 4" xfId="23525"/>
    <cellStyle name="Normal 10 3 2 5 2 2 3" xfId="9125"/>
    <cellStyle name="Normal 10 3 2 5 2 2 3 2" xfId="26405"/>
    <cellStyle name="Normal 10 3 2 5 2 2 4" xfId="14885"/>
    <cellStyle name="Normal 10 3 2 5 2 2 4 2" xfId="32165"/>
    <cellStyle name="Normal 10 3 2 5 2 2 5" xfId="20645"/>
    <cellStyle name="Normal 10 3 2 5 2 3" xfId="4805"/>
    <cellStyle name="Normal 10 3 2 5 2 3 2" xfId="10565"/>
    <cellStyle name="Normal 10 3 2 5 2 3 2 2" xfId="27845"/>
    <cellStyle name="Normal 10 3 2 5 2 3 3" xfId="16325"/>
    <cellStyle name="Normal 10 3 2 5 2 3 3 2" xfId="33605"/>
    <cellStyle name="Normal 10 3 2 5 2 3 4" xfId="22085"/>
    <cellStyle name="Normal 10 3 2 5 2 4" xfId="7685"/>
    <cellStyle name="Normal 10 3 2 5 2 4 2" xfId="24965"/>
    <cellStyle name="Normal 10 3 2 5 2 5" xfId="13445"/>
    <cellStyle name="Normal 10 3 2 5 2 5 2" xfId="30725"/>
    <cellStyle name="Normal 10 3 2 5 2 6" xfId="19205"/>
    <cellStyle name="Normal 10 3 2 5 3" xfId="2645"/>
    <cellStyle name="Normal 10 3 2 5 3 2" xfId="5525"/>
    <cellStyle name="Normal 10 3 2 5 3 2 2" xfId="11285"/>
    <cellStyle name="Normal 10 3 2 5 3 2 2 2" xfId="28565"/>
    <cellStyle name="Normal 10 3 2 5 3 2 3" xfId="17045"/>
    <cellStyle name="Normal 10 3 2 5 3 2 3 2" xfId="34325"/>
    <cellStyle name="Normal 10 3 2 5 3 2 4" xfId="22805"/>
    <cellStyle name="Normal 10 3 2 5 3 3" xfId="8405"/>
    <cellStyle name="Normal 10 3 2 5 3 3 2" xfId="25685"/>
    <cellStyle name="Normal 10 3 2 5 3 4" xfId="14165"/>
    <cellStyle name="Normal 10 3 2 5 3 4 2" xfId="31445"/>
    <cellStyle name="Normal 10 3 2 5 3 5" xfId="19925"/>
    <cellStyle name="Normal 10 3 2 5 4" xfId="4085"/>
    <cellStyle name="Normal 10 3 2 5 4 2" xfId="9845"/>
    <cellStyle name="Normal 10 3 2 5 4 2 2" xfId="27125"/>
    <cellStyle name="Normal 10 3 2 5 4 3" xfId="15605"/>
    <cellStyle name="Normal 10 3 2 5 4 3 2" xfId="32885"/>
    <cellStyle name="Normal 10 3 2 5 4 4" xfId="21365"/>
    <cellStyle name="Normal 10 3 2 5 5" xfId="6965"/>
    <cellStyle name="Normal 10 3 2 5 5 2" xfId="24245"/>
    <cellStyle name="Normal 10 3 2 5 6" xfId="12725"/>
    <cellStyle name="Normal 10 3 2 5 6 2" xfId="30005"/>
    <cellStyle name="Normal 10 3 2 5 7" xfId="18485"/>
    <cellStyle name="Normal 10 3 2 6" xfId="1445"/>
    <cellStyle name="Normal 10 3 2 6 2" xfId="2165"/>
    <cellStyle name="Normal 10 3 2 6 2 2" xfId="3605"/>
    <cellStyle name="Normal 10 3 2 6 2 2 2" xfId="6485"/>
    <cellStyle name="Normal 10 3 2 6 2 2 2 2" xfId="12245"/>
    <cellStyle name="Normal 10 3 2 6 2 2 2 2 2" xfId="29525"/>
    <cellStyle name="Normal 10 3 2 6 2 2 2 3" xfId="18005"/>
    <cellStyle name="Normal 10 3 2 6 2 2 2 3 2" xfId="35285"/>
    <cellStyle name="Normal 10 3 2 6 2 2 2 4" xfId="23765"/>
    <cellStyle name="Normal 10 3 2 6 2 2 3" xfId="9365"/>
    <cellStyle name="Normal 10 3 2 6 2 2 3 2" xfId="26645"/>
    <cellStyle name="Normal 10 3 2 6 2 2 4" xfId="15125"/>
    <cellStyle name="Normal 10 3 2 6 2 2 4 2" xfId="32405"/>
    <cellStyle name="Normal 10 3 2 6 2 2 5" xfId="20885"/>
    <cellStyle name="Normal 10 3 2 6 2 3" xfId="5045"/>
    <cellStyle name="Normal 10 3 2 6 2 3 2" xfId="10805"/>
    <cellStyle name="Normal 10 3 2 6 2 3 2 2" xfId="28085"/>
    <cellStyle name="Normal 10 3 2 6 2 3 3" xfId="16565"/>
    <cellStyle name="Normal 10 3 2 6 2 3 3 2" xfId="33845"/>
    <cellStyle name="Normal 10 3 2 6 2 3 4" xfId="22325"/>
    <cellStyle name="Normal 10 3 2 6 2 4" xfId="7925"/>
    <cellStyle name="Normal 10 3 2 6 2 4 2" xfId="25205"/>
    <cellStyle name="Normal 10 3 2 6 2 5" xfId="13685"/>
    <cellStyle name="Normal 10 3 2 6 2 5 2" xfId="30965"/>
    <cellStyle name="Normal 10 3 2 6 2 6" xfId="19445"/>
    <cellStyle name="Normal 10 3 2 6 3" xfId="2885"/>
    <cellStyle name="Normal 10 3 2 6 3 2" xfId="5765"/>
    <cellStyle name="Normal 10 3 2 6 3 2 2" xfId="11525"/>
    <cellStyle name="Normal 10 3 2 6 3 2 2 2" xfId="28805"/>
    <cellStyle name="Normal 10 3 2 6 3 2 3" xfId="17285"/>
    <cellStyle name="Normal 10 3 2 6 3 2 3 2" xfId="34565"/>
    <cellStyle name="Normal 10 3 2 6 3 2 4" xfId="23045"/>
    <cellStyle name="Normal 10 3 2 6 3 3" xfId="8645"/>
    <cellStyle name="Normal 10 3 2 6 3 3 2" xfId="25925"/>
    <cellStyle name="Normal 10 3 2 6 3 4" xfId="14405"/>
    <cellStyle name="Normal 10 3 2 6 3 4 2" xfId="31685"/>
    <cellStyle name="Normal 10 3 2 6 3 5" xfId="20165"/>
    <cellStyle name="Normal 10 3 2 6 4" xfId="4325"/>
    <cellStyle name="Normal 10 3 2 6 4 2" xfId="10085"/>
    <cellStyle name="Normal 10 3 2 6 4 2 2" xfId="27365"/>
    <cellStyle name="Normal 10 3 2 6 4 3" xfId="15845"/>
    <cellStyle name="Normal 10 3 2 6 4 3 2" xfId="33125"/>
    <cellStyle name="Normal 10 3 2 6 4 4" xfId="21605"/>
    <cellStyle name="Normal 10 3 2 6 5" xfId="7205"/>
    <cellStyle name="Normal 10 3 2 6 5 2" xfId="24485"/>
    <cellStyle name="Normal 10 3 2 6 6" xfId="12965"/>
    <cellStyle name="Normal 10 3 2 6 6 2" xfId="30245"/>
    <cellStyle name="Normal 10 3 2 6 7" xfId="18725"/>
    <cellStyle name="Normal 10 3 2 7" xfId="1685"/>
    <cellStyle name="Normal 10 3 2 7 2" xfId="3125"/>
    <cellStyle name="Normal 10 3 2 7 2 2" xfId="6005"/>
    <cellStyle name="Normal 10 3 2 7 2 2 2" xfId="11765"/>
    <cellStyle name="Normal 10 3 2 7 2 2 2 2" xfId="29045"/>
    <cellStyle name="Normal 10 3 2 7 2 2 3" xfId="17525"/>
    <cellStyle name="Normal 10 3 2 7 2 2 3 2" xfId="34805"/>
    <cellStyle name="Normal 10 3 2 7 2 2 4" xfId="23285"/>
    <cellStyle name="Normal 10 3 2 7 2 3" xfId="8885"/>
    <cellStyle name="Normal 10 3 2 7 2 3 2" xfId="26165"/>
    <cellStyle name="Normal 10 3 2 7 2 4" xfId="14645"/>
    <cellStyle name="Normal 10 3 2 7 2 4 2" xfId="31925"/>
    <cellStyle name="Normal 10 3 2 7 2 5" xfId="20405"/>
    <cellStyle name="Normal 10 3 2 7 3" xfId="4565"/>
    <cellStyle name="Normal 10 3 2 7 3 2" xfId="10325"/>
    <cellStyle name="Normal 10 3 2 7 3 2 2" xfId="27605"/>
    <cellStyle name="Normal 10 3 2 7 3 3" xfId="16085"/>
    <cellStyle name="Normal 10 3 2 7 3 3 2" xfId="33365"/>
    <cellStyle name="Normal 10 3 2 7 3 4" xfId="21845"/>
    <cellStyle name="Normal 10 3 2 7 4" xfId="7445"/>
    <cellStyle name="Normal 10 3 2 7 4 2" xfId="24725"/>
    <cellStyle name="Normal 10 3 2 7 5" xfId="13205"/>
    <cellStyle name="Normal 10 3 2 7 5 2" xfId="30485"/>
    <cellStyle name="Normal 10 3 2 7 6" xfId="18965"/>
    <cellStyle name="Normal 10 3 2 8" xfId="2405"/>
    <cellStyle name="Normal 10 3 2 8 2" xfId="5285"/>
    <cellStyle name="Normal 10 3 2 8 2 2" xfId="11045"/>
    <cellStyle name="Normal 10 3 2 8 2 2 2" xfId="28325"/>
    <cellStyle name="Normal 10 3 2 8 2 3" xfId="16805"/>
    <cellStyle name="Normal 10 3 2 8 2 3 2" xfId="34085"/>
    <cellStyle name="Normal 10 3 2 8 2 4" xfId="22565"/>
    <cellStyle name="Normal 10 3 2 8 3" xfId="8165"/>
    <cellStyle name="Normal 10 3 2 8 3 2" xfId="25445"/>
    <cellStyle name="Normal 10 3 2 8 4" xfId="13925"/>
    <cellStyle name="Normal 10 3 2 8 4 2" xfId="31205"/>
    <cellStyle name="Normal 10 3 2 8 5" xfId="19685"/>
    <cellStyle name="Normal 10 3 2 9" xfId="3845"/>
    <cellStyle name="Normal 10 3 2 9 2" xfId="9605"/>
    <cellStyle name="Normal 10 3 2 9 2 2" xfId="26885"/>
    <cellStyle name="Normal 10 3 2 9 3" xfId="15365"/>
    <cellStyle name="Normal 10 3 2 9 3 2" xfId="32645"/>
    <cellStyle name="Normal 10 3 2 9 4" xfId="21125"/>
    <cellStyle name="Normal 10 3 3" xfId="1025"/>
    <cellStyle name="Normal 10 3 3 10" xfId="18305"/>
    <cellStyle name="Normal 10 3 3 2" xfId="1145"/>
    <cellStyle name="Normal 10 3 3 2 2" xfId="1385"/>
    <cellStyle name="Normal 10 3 3 2 2 2" xfId="2105"/>
    <cellStyle name="Normal 10 3 3 2 2 2 2" xfId="3545"/>
    <cellStyle name="Normal 10 3 3 2 2 2 2 2" xfId="6425"/>
    <cellStyle name="Normal 10 3 3 2 2 2 2 2 2" xfId="12185"/>
    <cellStyle name="Normal 10 3 3 2 2 2 2 2 2 2" xfId="29465"/>
    <cellStyle name="Normal 10 3 3 2 2 2 2 2 3" xfId="17945"/>
    <cellStyle name="Normal 10 3 3 2 2 2 2 2 3 2" xfId="35225"/>
    <cellStyle name="Normal 10 3 3 2 2 2 2 2 4" xfId="23705"/>
    <cellStyle name="Normal 10 3 3 2 2 2 2 3" xfId="9305"/>
    <cellStyle name="Normal 10 3 3 2 2 2 2 3 2" xfId="26585"/>
    <cellStyle name="Normal 10 3 3 2 2 2 2 4" xfId="15065"/>
    <cellStyle name="Normal 10 3 3 2 2 2 2 4 2" xfId="32345"/>
    <cellStyle name="Normal 10 3 3 2 2 2 2 5" xfId="20825"/>
    <cellStyle name="Normal 10 3 3 2 2 2 3" xfId="4985"/>
    <cellStyle name="Normal 10 3 3 2 2 2 3 2" xfId="10745"/>
    <cellStyle name="Normal 10 3 3 2 2 2 3 2 2" xfId="28025"/>
    <cellStyle name="Normal 10 3 3 2 2 2 3 3" xfId="16505"/>
    <cellStyle name="Normal 10 3 3 2 2 2 3 3 2" xfId="33785"/>
    <cellStyle name="Normal 10 3 3 2 2 2 3 4" xfId="22265"/>
    <cellStyle name="Normal 10 3 3 2 2 2 4" xfId="7865"/>
    <cellStyle name="Normal 10 3 3 2 2 2 4 2" xfId="25145"/>
    <cellStyle name="Normal 10 3 3 2 2 2 5" xfId="13625"/>
    <cellStyle name="Normal 10 3 3 2 2 2 5 2" xfId="30905"/>
    <cellStyle name="Normal 10 3 3 2 2 2 6" xfId="19385"/>
    <cellStyle name="Normal 10 3 3 2 2 3" xfId="2825"/>
    <cellStyle name="Normal 10 3 3 2 2 3 2" xfId="5705"/>
    <cellStyle name="Normal 10 3 3 2 2 3 2 2" xfId="11465"/>
    <cellStyle name="Normal 10 3 3 2 2 3 2 2 2" xfId="28745"/>
    <cellStyle name="Normal 10 3 3 2 2 3 2 3" xfId="17225"/>
    <cellStyle name="Normal 10 3 3 2 2 3 2 3 2" xfId="34505"/>
    <cellStyle name="Normal 10 3 3 2 2 3 2 4" xfId="22985"/>
    <cellStyle name="Normal 10 3 3 2 2 3 3" xfId="8585"/>
    <cellStyle name="Normal 10 3 3 2 2 3 3 2" xfId="25865"/>
    <cellStyle name="Normal 10 3 3 2 2 3 4" xfId="14345"/>
    <cellStyle name="Normal 10 3 3 2 2 3 4 2" xfId="31625"/>
    <cellStyle name="Normal 10 3 3 2 2 3 5" xfId="20105"/>
    <cellStyle name="Normal 10 3 3 2 2 4" xfId="4265"/>
    <cellStyle name="Normal 10 3 3 2 2 4 2" xfId="10025"/>
    <cellStyle name="Normal 10 3 3 2 2 4 2 2" xfId="27305"/>
    <cellStyle name="Normal 10 3 3 2 2 4 3" xfId="15785"/>
    <cellStyle name="Normal 10 3 3 2 2 4 3 2" xfId="33065"/>
    <cellStyle name="Normal 10 3 3 2 2 4 4" xfId="21545"/>
    <cellStyle name="Normal 10 3 3 2 2 5" xfId="7145"/>
    <cellStyle name="Normal 10 3 3 2 2 5 2" xfId="24425"/>
    <cellStyle name="Normal 10 3 3 2 2 6" xfId="12905"/>
    <cellStyle name="Normal 10 3 3 2 2 6 2" xfId="30185"/>
    <cellStyle name="Normal 10 3 3 2 2 7" xfId="18665"/>
    <cellStyle name="Normal 10 3 3 2 3" xfId="1625"/>
    <cellStyle name="Normal 10 3 3 2 3 2" xfId="2345"/>
    <cellStyle name="Normal 10 3 3 2 3 2 2" xfId="3785"/>
    <cellStyle name="Normal 10 3 3 2 3 2 2 2" xfId="6665"/>
    <cellStyle name="Normal 10 3 3 2 3 2 2 2 2" xfId="12425"/>
    <cellStyle name="Normal 10 3 3 2 3 2 2 2 2 2" xfId="29705"/>
    <cellStyle name="Normal 10 3 3 2 3 2 2 2 3" xfId="18185"/>
    <cellStyle name="Normal 10 3 3 2 3 2 2 2 3 2" xfId="35465"/>
    <cellStyle name="Normal 10 3 3 2 3 2 2 2 4" xfId="23945"/>
    <cellStyle name="Normal 10 3 3 2 3 2 2 3" xfId="9545"/>
    <cellStyle name="Normal 10 3 3 2 3 2 2 3 2" xfId="26825"/>
    <cellStyle name="Normal 10 3 3 2 3 2 2 4" xfId="15305"/>
    <cellStyle name="Normal 10 3 3 2 3 2 2 4 2" xfId="32585"/>
    <cellStyle name="Normal 10 3 3 2 3 2 2 5" xfId="21065"/>
    <cellStyle name="Normal 10 3 3 2 3 2 3" xfId="5225"/>
    <cellStyle name="Normal 10 3 3 2 3 2 3 2" xfId="10985"/>
    <cellStyle name="Normal 10 3 3 2 3 2 3 2 2" xfId="28265"/>
    <cellStyle name="Normal 10 3 3 2 3 2 3 3" xfId="16745"/>
    <cellStyle name="Normal 10 3 3 2 3 2 3 3 2" xfId="34025"/>
    <cellStyle name="Normal 10 3 3 2 3 2 3 4" xfId="22505"/>
    <cellStyle name="Normal 10 3 3 2 3 2 4" xfId="8105"/>
    <cellStyle name="Normal 10 3 3 2 3 2 4 2" xfId="25385"/>
    <cellStyle name="Normal 10 3 3 2 3 2 5" xfId="13865"/>
    <cellStyle name="Normal 10 3 3 2 3 2 5 2" xfId="31145"/>
    <cellStyle name="Normal 10 3 3 2 3 2 6" xfId="19625"/>
    <cellStyle name="Normal 10 3 3 2 3 3" xfId="3065"/>
    <cellStyle name="Normal 10 3 3 2 3 3 2" xfId="5945"/>
    <cellStyle name="Normal 10 3 3 2 3 3 2 2" xfId="11705"/>
    <cellStyle name="Normal 10 3 3 2 3 3 2 2 2" xfId="28985"/>
    <cellStyle name="Normal 10 3 3 2 3 3 2 3" xfId="17465"/>
    <cellStyle name="Normal 10 3 3 2 3 3 2 3 2" xfId="34745"/>
    <cellStyle name="Normal 10 3 3 2 3 3 2 4" xfId="23225"/>
    <cellStyle name="Normal 10 3 3 2 3 3 3" xfId="8825"/>
    <cellStyle name="Normal 10 3 3 2 3 3 3 2" xfId="26105"/>
    <cellStyle name="Normal 10 3 3 2 3 3 4" xfId="14585"/>
    <cellStyle name="Normal 10 3 3 2 3 3 4 2" xfId="31865"/>
    <cellStyle name="Normal 10 3 3 2 3 3 5" xfId="20345"/>
    <cellStyle name="Normal 10 3 3 2 3 4" xfId="4505"/>
    <cellStyle name="Normal 10 3 3 2 3 4 2" xfId="10265"/>
    <cellStyle name="Normal 10 3 3 2 3 4 2 2" xfId="27545"/>
    <cellStyle name="Normal 10 3 3 2 3 4 3" xfId="16025"/>
    <cellStyle name="Normal 10 3 3 2 3 4 3 2" xfId="33305"/>
    <cellStyle name="Normal 10 3 3 2 3 4 4" xfId="21785"/>
    <cellStyle name="Normal 10 3 3 2 3 5" xfId="7385"/>
    <cellStyle name="Normal 10 3 3 2 3 5 2" xfId="24665"/>
    <cellStyle name="Normal 10 3 3 2 3 6" xfId="13145"/>
    <cellStyle name="Normal 10 3 3 2 3 6 2" xfId="30425"/>
    <cellStyle name="Normal 10 3 3 2 3 7" xfId="18905"/>
    <cellStyle name="Normal 10 3 3 2 4" xfId="1865"/>
    <cellStyle name="Normal 10 3 3 2 4 2" xfId="3305"/>
    <cellStyle name="Normal 10 3 3 2 4 2 2" xfId="6185"/>
    <cellStyle name="Normal 10 3 3 2 4 2 2 2" xfId="11945"/>
    <cellStyle name="Normal 10 3 3 2 4 2 2 2 2" xfId="29225"/>
    <cellStyle name="Normal 10 3 3 2 4 2 2 3" xfId="17705"/>
    <cellStyle name="Normal 10 3 3 2 4 2 2 3 2" xfId="34985"/>
    <cellStyle name="Normal 10 3 3 2 4 2 2 4" xfId="23465"/>
    <cellStyle name="Normal 10 3 3 2 4 2 3" xfId="9065"/>
    <cellStyle name="Normal 10 3 3 2 4 2 3 2" xfId="26345"/>
    <cellStyle name="Normal 10 3 3 2 4 2 4" xfId="14825"/>
    <cellStyle name="Normal 10 3 3 2 4 2 4 2" xfId="32105"/>
    <cellStyle name="Normal 10 3 3 2 4 2 5" xfId="20585"/>
    <cellStyle name="Normal 10 3 3 2 4 3" xfId="4745"/>
    <cellStyle name="Normal 10 3 3 2 4 3 2" xfId="10505"/>
    <cellStyle name="Normal 10 3 3 2 4 3 2 2" xfId="27785"/>
    <cellStyle name="Normal 10 3 3 2 4 3 3" xfId="16265"/>
    <cellStyle name="Normal 10 3 3 2 4 3 3 2" xfId="33545"/>
    <cellStyle name="Normal 10 3 3 2 4 3 4" xfId="22025"/>
    <cellStyle name="Normal 10 3 3 2 4 4" xfId="7625"/>
    <cellStyle name="Normal 10 3 3 2 4 4 2" xfId="24905"/>
    <cellStyle name="Normal 10 3 3 2 4 5" xfId="13385"/>
    <cellStyle name="Normal 10 3 3 2 4 5 2" xfId="30665"/>
    <cellStyle name="Normal 10 3 3 2 4 6" xfId="19145"/>
    <cellStyle name="Normal 10 3 3 2 5" xfId="2585"/>
    <cellStyle name="Normal 10 3 3 2 5 2" xfId="5465"/>
    <cellStyle name="Normal 10 3 3 2 5 2 2" xfId="11225"/>
    <cellStyle name="Normal 10 3 3 2 5 2 2 2" xfId="28505"/>
    <cellStyle name="Normal 10 3 3 2 5 2 3" xfId="16985"/>
    <cellStyle name="Normal 10 3 3 2 5 2 3 2" xfId="34265"/>
    <cellStyle name="Normal 10 3 3 2 5 2 4" xfId="22745"/>
    <cellStyle name="Normal 10 3 3 2 5 3" xfId="8345"/>
    <cellStyle name="Normal 10 3 3 2 5 3 2" xfId="25625"/>
    <cellStyle name="Normal 10 3 3 2 5 4" xfId="14105"/>
    <cellStyle name="Normal 10 3 3 2 5 4 2" xfId="31385"/>
    <cellStyle name="Normal 10 3 3 2 5 5" xfId="19865"/>
    <cellStyle name="Normal 10 3 3 2 6" xfId="4025"/>
    <cellStyle name="Normal 10 3 3 2 6 2" xfId="9785"/>
    <cellStyle name="Normal 10 3 3 2 6 2 2" xfId="27065"/>
    <cellStyle name="Normal 10 3 3 2 6 3" xfId="15545"/>
    <cellStyle name="Normal 10 3 3 2 6 3 2" xfId="32825"/>
    <cellStyle name="Normal 10 3 3 2 6 4" xfId="21305"/>
    <cellStyle name="Normal 10 3 3 2 7" xfId="6905"/>
    <cellStyle name="Normal 10 3 3 2 7 2" xfId="24185"/>
    <cellStyle name="Normal 10 3 3 2 8" xfId="12665"/>
    <cellStyle name="Normal 10 3 3 2 8 2" xfId="29945"/>
    <cellStyle name="Normal 10 3 3 2 9" xfId="18425"/>
    <cellStyle name="Normal 10 3 3 3" xfId="1265"/>
    <cellStyle name="Normal 10 3 3 3 2" xfId="1985"/>
    <cellStyle name="Normal 10 3 3 3 2 2" xfId="3425"/>
    <cellStyle name="Normal 10 3 3 3 2 2 2" xfId="6305"/>
    <cellStyle name="Normal 10 3 3 3 2 2 2 2" xfId="12065"/>
    <cellStyle name="Normal 10 3 3 3 2 2 2 2 2" xfId="29345"/>
    <cellStyle name="Normal 10 3 3 3 2 2 2 3" xfId="17825"/>
    <cellStyle name="Normal 10 3 3 3 2 2 2 3 2" xfId="35105"/>
    <cellStyle name="Normal 10 3 3 3 2 2 2 4" xfId="23585"/>
    <cellStyle name="Normal 10 3 3 3 2 2 3" xfId="9185"/>
    <cellStyle name="Normal 10 3 3 3 2 2 3 2" xfId="26465"/>
    <cellStyle name="Normal 10 3 3 3 2 2 4" xfId="14945"/>
    <cellStyle name="Normal 10 3 3 3 2 2 4 2" xfId="32225"/>
    <cellStyle name="Normal 10 3 3 3 2 2 5" xfId="20705"/>
    <cellStyle name="Normal 10 3 3 3 2 3" xfId="4865"/>
    <cellStyle name="Normal 10 3 3 3 2 3 2" xfId="10625"/>
    <cellStyle name="Normal 10 3 3 3 2 3 2 2" xfId="27905"/>
    <cellStyle name="Normal 10 3 3 3 2 3 3" xfId="16385"/>
    <cellStyle name="Normal 10 3 3 3 2 3 3 2" xfId="33665"/>
    <cellStyle name="Normal 10 3 3 3 2 3 4" xfId="22145"/>
    <cellStyle name="Normal 10 3 3 3 2 4" xfId="7745"/>
    <cellStyle name="Normal 10 3 3 3 2 4 2" xfId="25025"/>
    <cellStyle name="Normal 10 3 3 3 2 5" xfId="13505"/>
    <cellStyle name="Normal 10 3 3 3 2 5 2" xfId="30785"/>
    <cellStyle name="Normal 10 3 3 3 2 6" xfId="19265"/>
    <cellStyle name="Normal 10 3 3 3 3" xfId="2705"/>
    <cellStyle name="Normal 10 3 3 3 3 2" xfId="5585"/>
    <cellStyle name="Normal 10 3 3 3 3 2 2" xfId="11345"/>
    <cellStyle name="Normal 10 3 3 3 3 2 2 2" xfId="28625"/>
    <cellStyle name="Normal 10 3 3 3 3 2 3" xfId="17105"/>
    <cellStyle name="Normal 10 3 3 3 3 2 3 2" xfId="34385"/>
    <cellStyle name="Normal 10 3 3 3 3 2 4" xfId="22865"/>
    <cellStyle name="Normal 10 3 3 3 3 3" xfId="8465"/>
    <cellStyle name="Normal 10 3 3 3 3 3 2" xfId="25745"/>
    <cellStyle name="Normal 10 3 3 3 3 4" xfId="14225"/>
    <cellStyle name="Normal 10 3 3 3 3 4 2" xfId="31505"/>
    <cellStyle name="Normal 10 3 3 3 3 5" xfId="19985"/>
    <cellStyle name="Normal 10 3 3 3 4" xfId="4145"/>
    <cellStyle name="Normal 10 3 3 3 4 2" xfId="9905"/>
    <cellStyle name="Normal 10 3 3 3 4 2 2" xfId="27185"/>
    <cellStyle name="Normal 10 3 3 3 4 3" xfId="15665"/>
    <cellStyle name="Normal 10 3 3 3 4 3 2" xfId="32945"/>
    <cellStyle name="Normal 10 3 3 3 4 4" xfId="21425"/>
    <cellStyle name="Normal 10 3 3 3 5" xfId="7025"/>
    <cellStyle name="Normal 10 3 3 3 5 2" xfId="24305"/>
    <cellStyle name="Normal 10 3 3 3 6" xfId="12785"/>
    <cellStyle name="Normal 10 3 3 3 6 2" xfId="30065"/>
    <cellStyle name="Normal 10 3 3 3 7" xfId="18545"/>
    <cellStyle name="Normal 10 3 3 4" xfId="1505"/>
    <cellStyle name="Normal 10 3 3 4 2" xfId="2225"/>
    <cellStyle name="Normal 10 3 3 4 2 2" xfId="3665"/>
    <cellStyle name="Normal 10 3 3 4 2 2 2" xfId="6545"/>
    <cellStyle name="Normal 10 3 3 4 2 2 2 2" xfId="12305"/>
    <cellStyle name="Normal 10 3 3 4 2 2 2 2 2" xfId="29585"/>
    <cellStyle name="Normal 10 3 3 4 2 2 2 3" xfId="18065"/>
    <cellStyle name="Normal 10 3 3 4 2 2 2 3 2" xfId="35345"/>
    <cellStyle name="Normal 10 3 3 4 2 2 2 4" xfId="23825"/>
    <cellStyle name="Normal 10 3 3 4 2 2 3" xfId="9425"/>
    <cellStyle name="Normal 10 3 3 4 2 2 3 2" xfId="26705"/>
    <cellStyle name="Normal 10 3 3 4 2 2 4" xfId="15185"/>
    <cellStyle name="Normal 10 3 3 4 2 2 4 2" xfId="32465"/>
    <cellStyle name="Normal 10 3 3 4 2 2 5" xfId="20945"/>
    <cellStyle name="Normal 10 3 3 4 2 3" xfId="5105"/>
    <cellStyle name="Normal 10 3 3 4 2 3 2" xfId="10865"/>
    <cellStyle name="Normal 10 3 3 4 2 3 2 2" xfId="28145"/>
    <cellStyle name="Normal 10 3 3 4 2 3 3" xfId="16625"/>
    <cellStyle name="Normal 10 3 3 4 2 3 3 2" xfId="33905"/>
    <cellStyle name="Normal 10 3 3 4 2 3 4" xfId="22385"/>
    <cellStyle name="Normal 10 3 3 4 2 4" xfId="7985"/>
    <cellStyle name="Normal 10 3 3 4 2 4 2" xfId="25265"/>
    <cellStyle name="Normal 10 3 3 4 2 5" xfId="13745"/>
    <cellStyle name="Normal 10 3 3 4 2 5 2" xfId="31025"/>
    <cellStyle name="Normal 10 3 3 4 2 6" xfId="19505"/>
    <cellStyle name="Normal 10 3 3 4 3" xfId="2945"/>
    <cellStyle name="Normal 10 3 3 4 3 2" xfId="5825"/>
    <cellStyle name="Normal 10 3 3 4 3 2 2" xfId="11585"/>
    <cellStyle name="Normal 10 3 3 4 3 2 2 2" xfId="28865"/>
    <cellStyle name="Normal 10 3 3 4 3 2 3" xfId="17345"/>
    <cellStyle name="Normal 10 3 3 4 3 2 3 2" xfId="34625"/>
    <cellStyle name="Normal 10 3 3 4 3 2 4" xfId="23105"/>
    <cellStyle name="Normal 10 3 3 4 3 3" xfId="8705"/>
    <cellStyle name="Normal 10 3 3 4 3 3 2" xfId="25985"/>
    <cellStyle name="Normal 10 3 3 4 3 4" xfId="14465"/>
    <cellStyle name="Normal 10 3 3 4 3 4 2" xfId="31745"/>
    <cellStyle name="Normal 10 3 3 4 3 5" xfId="20225"/>
    <cellStyle name="Normal 10 3 3 4 4" xfId="4385"/>
    <cellStyle name="Normal 10 3 3 4 4 2" xfId="10145"/>
    <cellStyle name="Normal 10 3 3 4 4 2 2" xfId="27425"/>
    <cellStyle name="Normal 10 3 3 4 4 3" xfId="15905"/>
    <cellStyle name="Normal 10 3 3 4 4 3 2" xfId="33185"/>
    <cellStyle name="Normal 10 3 3 4 4 4" xfId="21665"/>
    <cellStyle name="Normal 10 3 3 4 5" xfId="7265"/>
    <cellStyle name="Normal 10 3 3 4 5 2" xfId="24545"/>
    <cellStyle name="Normal 10 3 3 4 6" xfId="13025"/>
    <cellStyle name="Normal 10 3 3 4 6 2" xfId="30305"/>
    <cellStyle name="Normal 10 3 3 4 7" xfId="18785"/>
    <cellStyle name="Normal 10 3 3 5" xfId="1745"/>
    <cellStyle name="Normal 10 3 3 5 2" xfId="3185"/>
    <cellStyle name="Normal 10 3 3 5 2 2" xfId="6065"/>
    <cellStyle name="Normal 10 3 3 5 2 2 2" xfId="11825"/>
    <cellStyle name="Normal 10 3 3 5 2 2 2 2" xfId="29105"/>
    <cellStyle name="Normal 10 3 3 5 2 2 3" xfId="17585"/>
    <cellStyle name="Normal 10 3 3 5 2 2 3 2" xfId="34865"/>
    <cellStyle name="Normal 10 3 3 5 2 2 4" xfId="23345"/>
    <cellStyle name="Normal 10 3 3 5 2 3" xfId="8945"/>
    <cellStyle name="Normal 10 3 3 5 2 3 2" xfId="26225"/>
    <cellStyle name="Normal 10 3 3 5 2 4" xfId="14705"/>
    <cellStyle name="Normal 10 3 3 5 2 4 2" xfId="31985"/>
    <cellStyle name="Normal 10 3 3 5 2 5" xfId="20465"/>
    <cellStyle name="Normal 10 3 3 5 3" xfId="4625"/>
    <cellStyle name="Normal 10 3 3 5 3 2" xfId="10385"/>
    <cellStyle name="Normal 10 3 3 5 3 2 2" xfId="27665"/>
    <cellStyle name="Normal 10 3 3 5 3 3" xfId="16145"/>
    <cellStyle name="Normal 10 3 3 5 3 3 2" xfId="33425"/>
    <cellStyle name="Normal 10 3 3 5 3 4" xfId="21905"/>
    <cellStyle name="Normal 10 3 3 5 4" xfId="7505"/>
    <cellStyle name="Normal 10 3 3 5 4 2" xfId="24785"/>
    <cellStyle name="Normal 10 3 3 5 5" xfId="13265"/>
    <cellStyle name="Normal 10 3 3 5 5 2" xfId="30545"/>
    <cellStyle name="Normal 10 3 3 5 6" xfId="19025"/>
    <cellStyle name="Normal 10 3 3 6" xfId="2465"/>
    <cellStyle name="Normal 10 3 3 6 2" xfId="5345"/>
    <cellStyle name="Normal 10 3 3 6 2 2" xfId="11105"/>
    <cellStyle name="Normal 10 3 3 6 2 2 2" xfId="28385"/>
    <cellStyle name="Normal 10 3 3 6 2 3" xfId="16865"/>
    <cellStyle name="Normal 10 3 3 6 2 3 2" xfId="34145"/>
    <cellStyle name="Normal 10 3 3 6 2 4" xfId="22625"/>
    <cellStyle name="Normal 10 3 3 6 3" xfId="8225"/>
    <cellStyle name="Normal 10 3 3 6 3 2" xfId="25505"/>
    <cellStyle name="Normal 10 3 3 6 4" xfId="13985"/>
    <cellStyle name="Normal 10 3 3 6 4 2" xfId="31265"/>
    <cellStyle name="Normal 10 3 3 6 5" xfId="19745"/>
    <cellStyle name="Normal 10 3 3 7" xfId="3905"/>
    <cellStyle name="Normal 10 3 3 7 2" xfId="9665"/>
    <cellStyle name="Normal 10 3 3 7 2 2" xfId="26945"/>
    <cellStyle name="Normal 10 3 3 7 3" xfId="15425"/>
    <cellStyle name="Normal 10 3 3 7 3 2" xfId="32705"/>
    <cellStyle name="Normal 10 3 3 7 4" xfId="21185"/>
    <cellStyle name="Normal 10 3 3 8" xfId="6785"/>
    <cellStyle name="Normal 10 3 3 8 2" xfId="24065"/>
    <cellStyle name="Normal 10 3 3 9" xfId="12545"/>
    <cellStyle name="Normal 10 3 3 9 2" xfId="29825"/>
    <cellStyle name="Normal 10 3 4" xfId="985"/>
    <cellStyle name="Normal 10 3 4 10" xfId="18265"/>
    <cellStyle name="Normal 10 3 4 2" xfId="1105"/>
    <cellStyle name="Normal 10 3 4 2 2" xfId="1345"/>
    <cellStyle name="Normal 10 3 4 2 2 2" xfId="2065"/>
    <cellStyle name="Normal 10 3 4 2 2 2 2" xfId="3505"/>
    <cellStyle name="Normal 10 3 4 2 2 2 2 2" xfId="6385"/>
    <cellStyle name="Normal 10 3 4 2 2 2 2 2 2" xfId="12145"/>
    <cellStyle name="Normal 10 3 4 2 2 2 2 2 2 2" xfId="29425"/>
    <cellStyle name="Normal 10 3 4 2 2 2 2 2 3" xfId="17905"/>
    <cellStyle name="Normal 10 3 4 2 2 2 2 2 3 2" xfId="35185"/>
    <cellStyle name="Normal 10 3 4 2 2 2 2 2 4" xfId="23665"/>
    <cellStyle name="Normal 10 3 4 2 2 2 2 3" xfId="9265"/>
    <cellStyle name="Normal 10 3 4 2 2 2 2 3 2" xfId="26545"/>
    <cellStyle name="Normal 10 3 4 2 2 2 2 4" xfId="15025"/>
    <cellStyle name="Normal 10 3 4 2 2 2 2 4 2" xfId="32305"/>
    <cellStyle name="Normal 10 3 4 2 2 2 2 5" xfId="20785"/>
    <cellStyle name="Normal 10 3 4 2 2 2 3" xfId="4945"/>
    <cellStyle name="Normal 10 3 4 2 2 2 3 2" xfId="10705"/>
    <cellStyle name="Normal 10 3 4 2 2 2 3 2 2" xfId="27985"/>
    <cellStyle name="Normal 10 3 4 2 2 2 3 3" xfId="16465"/>
    <cellStyle name="Normal 10 3 4 2 2 2 3 3 2" xfId="33745"/>
    <cellStyle name="Normal 10 3 4 2 2 2 3 4" xfId="22225"/>
    <cellStyle name="Normal 10 3 4 2 2 2 4" xfId="7825"/>
    <cellStyle name="Normal 10 3 4 2 2 2 4 2" xfId="25105"/>
    <cellStyle name="Normal 10 3 4 2 2 2 5" xfId="13585"/>
    <cellStyle name="Normal 10 3 4 2 2 2 5 2" xfId="30865"/>
    <cellStyle name="Normal 10 3 4 2 2 2 6" xfId="19345"/>
    <cellStyle name="Normal 10 3 4 2 2 3" xfId="2785"/>
    <cellStyle name="Normal 10 3 4 2 2 3 2" xfId="5665"/>
    <cellStyle name="Normal 10 3 4 2 2 3 2 2" xfId="11425"/>
    <cellStyle name="Normal 10 3 4 2 2 3 2 2 2" xfId="28705"/>
    <cellStyle name="Normal 10 3 4 2 2 3 2 3" xfId="17185"/>
    <cellStyle name="Normal 10 3 4 2 2 3 2 3 2" xfId="34465"/>
    <cellStyle name="Normal 10 3 4 2 2 3 2 4" xfId="22945"/>
    <cellStyle name="Normal 10 3 4 2 2 3 3" xfId="8545"/>
    <cellStyle name="Normal 10 3 4 2 2 3 3 2" xfId="25825"/>
    <cellStyle name="Normal 10 3 4 2 2 3 4" xfId="14305"/>
    <cellStyle name="Normal 10 3 4 2 2 3 4 2" xfId="31585"/>
    <cellStyle name="Normal 10 3 4 2 2 3 5" xfId="20065"/>
    <cellStyle name="Normal 10 3 4 2 2 4" xfId="4225"/>
    <cellStyle name="Normal 10 3 4 2 2 4 2" xfId="9985"/>
    <cellStyle name="Normal 10 3 4 2 2 4 2 2" xfId="27265"/>
    <cellStyle name="Normal 10 3 4 2 2 4 3" xfId="15745"/>
    <cellStyle name="Normal 10 3 4 2 2 4 3 2" xfId="33025"/>
    <cellStyle name="Normal 10 3 4 2 2 4 4" xfId="21505"/>
    <cellStyle name="Normal 10 3 4 2 2 5" xfId="7105"/>
    <cellStyle name="Normal 10 3 4 2 2 5 2" xfId="24385"/>
    <cellStyle name="Normal 10 3 4 2 2 6" xfId="12865"/>
    <cellStyle name="Normal 10 3 4 2 2 6 2" xfId="30145"/>
    <cellStyle name="Normal 10 3 4 2 2 7" xfId="18625"/>
    <cellStyle name="Normal 10 3 4 2 3" xfId="1585"/>
    <cellStyle name="Normal 10 3 4 2 3 2" xfId="2305"/>
    <cellStyle name="Normal 10 3 4 2 3 2 2" xfId="3745"/>
    <cellStyle name="Normal 10 3 4 2 3 2 2 2" xfId="6625"/>
    <cellStyle name="Normal 10 3 4 2 3 2 2 2 2" xfId="12385"/>
    <cellStyle name="Normal 10 3 4 2 3 2 2 2 2 2" xfId="29665"/>
    <cellStyle name="Normal 10 3 4 2 3 2 2 2 3" xfId="18145"/>
    <cellStyle name="Normal 10 3 4 2 3 2 2 2 3 2" xfId="35425"/>
    <cellStyle name="Normal 10 3 4 2 3 2 2 2 4" xfId="23905"/>
    <cellStyle name="Normal 10 3 4 2 3 2 2 3" xfId="9505"/>
    <cellStyle name="Normal 10 3 4 2 3 2 2 3 2" xfId="26785"/>
    <cellStyle name="Normal 10 3 4 2 3 2 2 4" xfId="15265"/>
    <cellStyle name="Normal 10 3 4 2 3 2 2 4 2" xfId="32545"/>
    <cellStyle name="Normal 10 3 4 2 3 2 2 5" xfId="21025"/>
    <cellStyle name="Normal 10 3 4 2 3 2 3" xfId="5185"/>
    <cellStyle name="Normal 10 3 4 2 3 2 3 2" xfId="10945"/>
    <cellStyle name="Normal 10 3 4 2 3 2 3 2 2" xfId="28225"/>
    <cellStyle name="Normal 10 3 4 2 3 2 3 3" xfId="16705"/>
    <cellStyle name="Normal 10 3 4 2 3 2 3 3 2" xfId="33985"/>
    <cellStyle name="Normal 10 3 4 2 3 2 3 4" xfId="22465"/>
    <cellStyle name="Normal 10 3 4 2 3 2 4" xfId="8065"/>
    <cellStyle name="Normal 10 3 4 2 3 2 4 2" xfId="25345"/>
    <cellStyle name="Normal 10 3 4 2 3 2 5" xfId="13825"/>
    <cellStyle name="Normal 10 3 4 2 3 2 5 2" xfId="31105"/>
    <cellStyle name="Normal 10 3 4 2 3 2 6" xfId="19585"/>
    <cellStyle name="Normal 10 3 4 2 3 3" xfId="3025"/>
    <cellStyle name="Normal 10 3 4 2 3 3 2" xfId="5905"/>
    <cellStyle name="Normal 10 3 4 2 3 3 2 2" xfId="11665"/>
    <cellStyle name="Normal 10 3 4 2 3 3 2 2 2" xfId="28945"/>
    <cellStyle name="Normal 10 3 4 2 3 3 2 3" xfId="17425"/>
    <cellStyle name="Normal 10 3 4 2 3 3 2 3 2" xfId="34705"/>
    <cellStyle name="Normal 10 3 4 2 3 3 2 4" xfId="23185"/>
    <cellStyle name="Normal 10 3 4 2 3 3 3" xfId="8785"/>
    <cellStyle name="Normal 10 3 4 2 3 3 3 2" xfId="26065"/>
    <cellStyle name="Normal 10 3 4 2 3 3 4" xfId="14545"/>
    <cellStyle name="Normal 10 3 4 2 3 3 4 2" xfId="31825"/>
    <cellStyle name="Normal 10 3 4 2 3 3 5" xfId="20305"/>
    <cellStyle name="Normal 10 3 4 2 3 4" xfId="4465"/>
    <cellStyle name="Normal 10 3 4 2 3 4 2" xfId="10225"/>
    <cellStyle name="Normal 10 3 4 2 3 4 2 2" xfId="27505"/>
    <cellStyle name="Normal 10 3 4 2 3 4 3" xfId="15985"/>
    <cellStyle name="Normal 10 3 4 2 3 4 3 2" xfId="33265"/>
    <cellStyle name="Normal 10 3 4 2 3 4 4" xfId="21745"/>
    <cellStyle name="Normal 10 3 4 2 3 5" xfId="7345"/>
    <cellStyle name="Normal 10 3 4 2 3 5 2" xfId="24625"/>
    <cellStyle name="Normal 10 3 4 2 3 6" xfId="13105"/>
    <cellStyle name="Normal 10 3 4 2 3 6 2" xfId="30385"/>
    <cellStyle name="Normal 10 3 4 2 3 7" xfId="18865"/>
    <cellStyle name="Normal 10 3 4 2 4" xfId="1825"/>
    <cellStyle name="Normal 10 3 4 2 4 2" xfId="3265"/>
    <cellStyle name="Normal 10 3 4 2 4 2 2" xfId="6145"/>
    <cellStyle name="Normal 10 3 4 2 4 2 2 2" xfId="11905"/>
    <cellStyle name="Normal 10 3 4 2 4 2 2 2 2" xfId="29185"/>
    <cellStyle name="Normal 10 3 4 2 4 2 2 3" xfId="17665"/>
    <cellStyle name="Normal 10 3 4 2 4 2 2 3 2" xfId="34945"/>
    <cellStyle name="Normal 10 3 4 2 4 2 2 4" xfId="23425"/>
    <cellStyle name="Normal 10 3 4 2 4 2 3" xfId="9025"/>
    <cellStyle name="Normal 10 3 4 2 4 2 3 2" xfId="26305"/>
    <cellStyle name="Normal 10 3 4 2 4 2 4" xfId="14785"/>
    <cellStyle name="Normal 10 3 4 2 4 2 4 2" xfId="32065"/>
    <cellStyle name="Normal 10 3 4 2 4 2 5" xfId="20545"/>
    <cellStyle name="Normal 10 3 4 2 4 3" xfId="4705"/>
    <cellStyle name="Normal 10 3 4 2 4 3 2" xfId="10465"/>
    <cellStyle name="Normal 10 3 4 2 4 3 2 2" xfId="27745"/>
    <cellStyle name="Normal 10 3 4 2 4 3 3" xfId="16225"/>
    <cellStyle name="Normal 10 3 4 2 4 3 3 2" xfId="33505"/>
    <cellStyle name="Normal 10 3 4 2 4 3 4" xfId="21985"/>
    <cellStyle name="Normal 10 3 4 2 4 4" xfId="7585"/>
    <cellStyle name="Normal 10 3 4 2 4 4 2" xfId="24865"/>
    <cellStyle name="Normal 10 3 4 2 4 5" xfId="13345"/>
    <cellStyle name="Normal 10 3 4 2 4 5 2" xfId="30625"/>
    <cellStyle name="Normal 10 3 4 2 4 6" xfId="19105"/>
    <cellStyle name="Normal 10 3 4 2 5" xfId="2545"/>
    <cellStyle name="Normal 10 3 4 2 5 2" xfId="5425"/>
    <cellStyle name="Normal 10 3 4 2 5 2 2" xfId="11185"/>
    <cellStyle name="Normal 10 3 4 2 5 2 2 2" xfId="28465"/>
    <cellStyle name="Normal 10 3 4 2 5 2 3" xfId="16945"/>
    <cellStyle name="Normal 10 3 4 2 5 2 3 2" xfId="34225"/>
    <cellStyle name="Normal 10 3 4 2 5 2 4" xfId="22705"/>
    <cellStyle name="Normal 10 3 4 2 5 3" xfId="8305"/>
    <cellStyle name="Normal 10 3 4 2 5 3 2" xfId="25585"/>
    <cellStyle name="Normal 10 3 4 2 5 4" xfId="14065"/>
    <cellStyle name="Normal 10 3 4 2 5 4 2" xfId="31345"/>
    <cellStyle name="Normal 10 3 4 2 5 5" xfId="19825"/>
    <cellStyle name="Normal 10 3 4 2 6" xfId="3985"/>
    <cellStyle name="Normal 10 3 4 2 6 2" xfId="9745"/>
    <cellStyle name="Normal 10 3 4 2 6 2 2" xfId="27025"/>
    <cellStyle name="Normal 10 3 4 2 6 3" xfId="15505"/>
    <cellStyle name="Normal 10 3 4 2 6 3 2" xfId="32785"/>
    <cellStyle name="Normal 10 3 4 2 6 4" xfId="21265"/>
    <cellStyle name="Normal 10 3 4 2 7" xfId="6865"/>
    <cellStyle name="Normal 10 3 4 2 7 2" xfId="24145"/>
    <cellStyle name="Normal 10 3 4 2 8" xfId="12625"/>
    <cellStyle name="Normal 10 3 4 2 8 2" xfId="29905"/>
    <cellStyle name="Normal 10 3 4 2 9" xfId="18385"/>
    <cellStyle name="Normal 10 3 4 3" xfId="1225"/>
    <cellStyle name="Normal 10 3 4 3 2" xfId="1945"/>
    <cellStyle name="Normal 10 3 4 3 2 2" xfId="3385"/>
    <cellStyle name="Normal 10 3 4 3 2 2 2" xfId="6265"/>
    <cellStyle name="Normal 10 3 4 3 2 2 2 2" xfId="12025"/>
    <cellStyle name="Normal 10 3 4 3 2 2 2 2 2" xfId="29305"/>
    <cellStyle name="Normal 10 3 4 3 2 2 2 3" xfId="17785"/>
    <cellStyle name="Normal 10 3 4 3 2 2 2 3 2" xfId="35065"/>
    <cellStyle name="Normal 10 3 4 3 2 2 2 4" xfId="23545"/>
    <cellStyle name="Normal 10 3 4 3 2 2 3" xfId="9145"/>
    <cellStyle name="Normal 10 3 4 3 2 2 3 2" xfId="26425"/>
    <cellStyle name="Normal 10 3 4 3 2 2 4" xfId="14905"/>
    <cellStyle name="Normal 10 3 4 3 2 2 4 2" xfId="32185"/>
    <cellStyle name="Normal 10 3 4 3 2 2 5" xfId="20665"/>
    <cellStyle name="Normal 10 3 4 3 2 3" xfId="4825"/>
    <cellStyle name="Normal 10 3 4 3 2 3 2" xfId="10585"/>
    <cellStyle name="Normal 10 3 4 3 2 3 2 2" xfId="27865"/>
    <cellStyle name="Normal 10 3 4 3 2 3 3" xfId="16345"/>
    <cellStyle name="Normal 10 3 4 3 2 3 3 2" xfId="33625"/>
    <cellStyle name="Normal 10 3 4 3 2 3 4" xfId="22105"/>
    <cellStyle name="Normal 10 3 4 3 2 4" xfId="7705"/>
    <cellStyle name="Normal 10 3 4 3 2 4 2" xfId="24985"/>
    <cellStyle name="Normal 10 3 4 3 2 5" xfId="13465"/>
    <cellStyle name="Normal 10 3 4 3 2 5 2" xfId="30745"/>
    <cellStyle name="Normal 10 3 4 3 2 6" xfId="19225"/>
    <cellStyle name="Normal 10 3 4 3 3" xfId="2665"/>
    <cellStyle name="Normal 10 3 4 3 3 2" xfId="5545"/>
    <cellStyle name="Normal 10 3 4 3 3 2 2" xfId="11305"/>
    <cellStyle name="Normal 10 3 4 3 3 2 2 2" xfId="28585"/>
    <cellStyle name="Normal 10 3 4 3 3 2 3" xfId="17065"/>
    <cellStyle name="Normal 10 3 4 3 3 2 3 2" xfId="34345"/>
    <cellStyle name="Normal 10 3 4 3 3 2 4" xfId="22825"/>
    <cellStyle name="Normal 10 3 4 3 3 3" xfId="8425"/>
    <cellStyle name="Normal 10 3 4 3 3 3 2" xfId="25705"/>
    <cellStyle name="Normal 10 3 4 3 3 4" xfId="14185"/>
    <cellStyle name="Normal 10 3 4 3 3 4 2" xfId="31465"/>
    <cellStyle name="Normal 10 3 4 3 3 5" xfId="19945"/>
    <cellStyle name="Normal 10 3 4 3 4" xfId="4105"/>
    <cellStyle name="Normal 10 3 4 3 4 2" xfId="9865"/>
    <cellStyle name="Normal 10 3 4 3 4 2 2" xfId="27145"/>
    <cellStyle name="Normal 10 3 4 3 4 3" xfId="15625"/>
    <cellStyle name="Normal 10 3 4 3 4 3 2" xfId="32905"/>
    <cellStyle name="Normal 10 3 4 3 4 4" xfId="21385"/>
    <cellStyle name="Normal 10 3 4 3 5" xfId="6985"/>
    <cellStyle name="Normal 10 3 4 3 5 2" xfId="24265"/>
    <cellStyle name="Normal 10 3 4 3 6" xfId="12745"/>
    <cellStyle name="Normal 10 3 4 3 6 2" xfId="30025"/>
    <cellStyle name="Normal 10 3 4 3 7" xfId="18505"/>
    <cellStyle name="Normal 10 3 4 4" xfId="1465"/>
    <cellStyle name="Normal 10 3 4 4 2" xfId="2185"/>
    <cellStyle name="Normal 10 3 4 4 2 2" xfId="3625"/>
    <cellStyle name="Normal 10 3 4 4 2 2 2" xfId="6505"/>
    <cellStyle name="Normal 10 3 4 4 2 2 2 2" xfId="12265"/>
    <cellStyle name="Normal 10 3 4 4 2 2 2 2 2" xfId="29545"/>
    <cellStyle name="Normal 10 3 4 4 2 2 2 3" xfId="18025"/>
    <cellStyle name="Normal 10 3 4 4 2 2 2 3 2" xfId="35305"/>
    <cellStyle name="Normal 10 3 4 4 2 2 2 4" xfId="23785"/>
    <cellStyle name="Normal 10 3 4 4 2 2 3" xfId="9385"/>
    <cellStyle name="Normal 10 3 4 4 2 2 3 2" xfId="26665"/>
    <cellStyle name="Normal 10 3 4 4 2 2 4" xfId="15145"/>
    <cellStyle name="Normal 10 3 4 4 2 2 4 2" xfId="32425"/>
    <cellStyle name="Normal 10 3 4 4 2 2 5" xfId="20905"/>
    <cellStyle name="Normal 10 3 4 4 2 3" xfId="5065"/>
    <cellStyle name="Normal 10 3 4 4 2 3 2" xfId="10825"/>
    <cellStyle name="Normal 10 3 4 4 2 3 2 2" xfId="28105"/>
    <cellStyle name="Normal 10 3 4 4 2 3 3" xfId="16585"/>
    <cellStyle name="Normal 10 3 4 4 2 3 3 2" xfId="33865"/>
    <cellStyle name="Normal 10 3 4 4 2 3 4" xfId="22345"/>
    <cellStyle name="Normal 10 3 4 4 2 4" xfId="7945"/>
    <cellStyle name="Normal 10 3 4 4 2 4 2" xfId="25225"/>
    <cellStyle name="Normal 10 3 4 4 2 5" xfId="13705"/>
    <cellStyle name="Normal 10 3 4 4 2 5 2" xfId="30985"/>
    <cellStyle name="Normal 10 3 4 4 2 6" xfId="19465"/>
    <cellStyle name="Normal 10 3 4 4 3" xfId="2905"/>
    <cellStyle name="Normal 10 3 4 4 3 2" xfId="5785"/>
    <cellStyle name="Normal 10 3 4 4 3 2 2" xfId="11545"/>
    <cellStyle name="Normal 10 3 4 4 3 2 2 2" xfId="28825"/>
    <cellStyle name="Normal 10 3 4 4 3 2 3" xfId="17305"/>
    <cellStyle name="Normal 10 3 4 4 3 2 3 2" xfId="34585"/>
    <cellStyle name="Normal 10 3 4 4 3 2 4" xfId="23065"/>
    <cellStyle name="Normal 10 3 4 4 3 3" xfId="8665"/>
    <cellStyle name="Normal 10 3 4 4 3 3 2" xfId="25945"/>
    <cellStyle name="Normal 10 3 4 4 3 4" xfId="14425"/>
    <cellStyle name="Normal 10 3 4 4 3 4 2" xfId="31705"/>
    <cellStyle name="Normal 10 3 4 4 3 5" xfId="20185"/>
    <cellStyle name="Normal 10 3 4 4 4" xfId="4345"/>
    <cellStyle name="Normal 10 3 4 4 4 2" xfId="10105"/>
    <cellStyle name="Normal 10 3 4 4 4 2 2" xfId="27385"/>
    <cellStyle name="Normal 10 3 4 4 4 3" xfId="15865"/>
    <cellStyle name="Normal 10 3 4 4 4 3 2" xfId="33145"/>
    <cellStyle name="Normal 10 3 4 4 4 4" xfId="21625"/>
    <cellStyle name="Normal 10 3 4 4 5" xfId="7225"/>
    <cellStyle name="Normal 10 3 4 4 5 2" xfId="24505"/>
    <cellStyle name="Normal 10 3 4 4 6" xfId="12985"/>
    <cellStyle name="Normal 10 3 4 4 6 2" xfId="30265"/>
    <cellStyle name="Normal 10 3 4 4 7" xfId="18745"/>
    <cellStyle name="Normal 10 3 4 5" xfId="1705"/>
    <cellStyle name="Normal 10 3 4 5 2" xfId="3145"/>
    <cellStyle name="Normal 10 3 4 5 2 2" xfId="6025"/>
    <cellStyle name="Normal 10 3 4 5 2 2 2" xfId="11785"/>
    <cellStyle name="Normal 10 3 4 5 2 2 2 2" xfId="29065"/>
    <cellStyle name="Normal 10 3 4 5 2 2 3" xfId="17545"/>
    <cellStyle name="Normal 10 3 4 5 2 2 3 2" xfId="34825"/>
    <cellStyle name="Normal 10 3 4 5 2 2 4" xfId="23305"/>
    <cellStyle name="Normal 10 3 4 5 2 3" xfId="8905"/>
    <cellStyle name="Normal 10 3 4 5 2 3 2" xfId="26185"/>
    <cellStyle name="Normal 10 3 4 5 2 4" xfId="14665"/>
    <cellStyle name="Normal 10 3 4 5 2 4 2" xfId="31945"/>
    <cellStyle name="Normal 10 3 4 5 2 5" xfId="20425"/>
    <cellStyle name="Normal 10 3 4 5 3" xfId="4585"/>
    <cellStyle name="Normal 10 3 4 5 3 2" xfId="10345"/>
    <cellStyle name="Normal 10 3 4 5 3 2 2" xfId="27625"/>
    <cellStyle name="Normal 10 3 4 5 3 3" xfId="16105"/>
    <cellStyle name="Normal 10 3 4 5 3 3 2" xfId="33385"/>
    <cellStyle name="Normal 10 3 4 5 3 4" xfId="21865"/>
    <cellStyle name="Normal 10 3 4 5 4" xfId="7465"/>
    <cellStyle name="Normal 10 3 4 5 4 2" xfId="24745"/>
    <cellStyle name="Normal 10 3 4 5 5" xfId="13225"/>
    <cellStyle name="Normal 10 3 4 5 5 2" xfId="30505"/>
    <cellStyle name="Normal 10 3 4 5 6" xfId="18985"/>
    <cellStyle name="Normal 10 3 4 6" xfId="2425"/>
    <cellStyle name="Normal 10 3 4 6 2" xfId="5305"/>
    <cellStyle name="Normal 10 3 4 6 2 2" xfId="11065"/>
    <cellStyle name="Normal 10 3 4 6 2 2 2" xfId="28345"/>
    <cellStyle name="Normal 10 3 4 6 2 3" xfId="16825"/>
    <cellStyle name="Normal 10 3 4 6 2 3 2" xfId="34105"/>
    <cellStyle name="Normal 10 3 4 6 2 4" xfId="22585"/>
    <cellStyle name="Normal 10 3 4 6 3" xfId="8185"/>
    <cellStyle name="Normal 10 3 4 6 3 2" xfId="25465"/>
    <cellStyle name="Normal 10 3 4 6 4" xfId="13945"/>
    <cellStyle name="Normal 10 3 4 6 4 2" xfId="31225"/>
    <cellStyle name="Normal 10 3 4 6 5" xfId="19705"/>
    <cellStyle name="Normal 10 3 4 7" xfId="3865"/>
    <cellStyle name="Normal 10 3 4 7 2" xfId="9625"/>
    <cellStyle name="Normal 10 3 4 7 2 2" xfId="26905"/>
    <cellStyle name="Normal 10 3 4 7 3" xfId="15385"/>
    <cellStyle name="Normal 10 3 4 7 3 2" xfId="32665"/>
    <cellStyle name="Normal 10 3 4 7 4" xfId="21145"/>
    <cellStyle name="Normal 10 3 4 8" xfId="6745"/>
    <cellStyle name="Normal 10 3 4 8 2" xfId="24025"/>
    <cellStyle name="Normal 10 3 4 9" xfId="12505"/>
    <cellStyle name="Normal 10 3 4 9 2" xfId="29785"/>
    <cellStyle name="Normal 10 3 5" xfId="1065"/>
    <cellStyle name="Normal 10 3 5 2" xfId="1305"/>
    <cellStyle name="Normal 10 3 5 2 2" xfId="2025"/>
    <cellStyle name="Normal 10 3 5 2 2 2" xfId="3465"/>
    <cellStyle name="Normal 10 3 5 2 2 2 2" xfId="6345"/>
    <cellStyle name="Normal 10 3 5 2 2 2 2 2" xfId="12105"/>
    <cellStyle name="Normal 10 3 5 2 2 2 2 2 2" xfId="29385"/>
    <cellStyle name="Normal 10 3 5 2 2 2 2 3" xfId="17865"/>
    <cellStyle name="Normal 10 3 5 2 2 2 2 3 2" xfId="35145"/>
    <cellStyle name="Normal 10 3 5 2 2 2 2 4" xfId="23625"/>
    <cellStyle name="Normal 10 3 5 2 2 2 3" xfId="9225"/>
    <cellStyle name="Normal 10 3 5 2 2 2 3 2" xfId="26505"/>
    <cellStyle name="Normal 10 3 5 2 2 2 4" xfId="14985"/>
    <cellStyle name="Normal 10 3 5 2 2 2 4 2" xfId="32265"/>
    <cellStyle name="Normal 10 3 5 2 2 2 5" xfId="20745"/>
    <cellStyle name="Normal 10 3 5 2 2 3" xfId="4905"/>
    <cellStyle name="Normal 10 3 5 2 2 3 2" xfId="10665"/>
    <cellStyle name="Normal 10 3 5 2 2 3 2 2" xfId="27945"/>
    <cellStyle name="Normal 10 3 5 2 2 3 3" xfId="16425"/>
    <cellStyle name="Normal 10 3 5 2 2 3 3 2" xfId="33705"/>
    <cellStyle name="Normal 10 3 5 2 2 3 4" xfId="22185"/>
    <cellStyle name="Normal 10 3 5 2 2 4" xfId="7785"/>
    <cellStyle name="Normal 10 3 5 2 2 4 2" xfId="25065"/>
    <cellStyle name="Normal 10 3 5 2 2 5" xfId="13545"/>
    <cellStyle name="Normal 10 3 5 2 2 5 2" xfId="30825"/>
    <cellStyle name="Normal 10 3 5 2 2 6" xfId="19305"/>
    <cellStyle name="Normal 10 3 5 2 3" xfId="2745"/>
    <cellStyle name="Normal 10 3 5 2 3 2" xfId="5625"/>
    <cellStyle name="Normal 10 3 5 2 3 2 2" xfId="11385"/>
    <cellStyle name="Normal 10 3 5 2 3 2 2 2" xfId="28665"/>
    <cellStyle name="Normal 10 3 5 2 3 2 3" xfId="17145"/>
    <cellStyle name="Normal 10 3 5 2 3 2 3 2" xfId="34425"/>
    <cellStyle name="Normal 10 3 5 2 3 2 4" xfId="22905"/>
    <cellStyle name="Normal 10 3 5 2 3 3" xfId="8505"/>
    <cellStyle name="Normal 10 3 5 2 3 3 2" xfId="25785"/>
    <cellStyle name="Normal 10 3 5 2 3 4" xfId="14265"/>
    <cellStyle name="Normal 10 3 5 2 3 4 2" xfId="31545"/>
    <cellStyle name="Normal 10 3 5 2 3 5" xfId="20025"/>
    <cellStyle name="Normal 10 3 5 2 4" xfId="4185"/>
    <cellStyle name="Normal 10 3 5 2 4 2" xfId="9945"/>
    <cellStyle name="Normal 10 3 5 2 4 2 2" xfId="27225"/>
    <cellStyle name="Normal 10 3 5 2 4 3" xfId="15705"/>
    <cellStyle name="Normal 10 3 5 2 4 3 2" xfId="32985"/>
    <cellStyle name="Normal 10 3 5 2 4 4" xfId="21465"/>
    <cellStyle name="Normal 10 3 5 2 5" xfId="7065"/>
    <cellStyle name="Normal 10 3 5 2 5 2" xfId="24345"/>
    <cellStyle name="Normal 10 3 5 2 6" xfId="12825"/>
    <cellStyle name="Normal 10 3 5 2 6 2" xfId="30105"/>
    <cellStyle name="Normal 10 3 5 2 7" xfId="18585"/>
    <cellStyle name="Normal 10 3 5 3" xfId="1545"/>
    <cellStyle name="Normal 10 3 5 3 2" xfId="2265"/>
    <cellStyle name="Normal 10 3 5 3 2 2" xfId="3705"/>
    <cellStyle name="Normal 10 3 5 3 2 2 2" xfId="6585"/>
    <cellStyle name="Normal 10 3 5 3 2 2 2 2" xfId="12345"/>
    <cellStyle name="Normal 10 3 5 3 2 2 2 2 2" xfId="29625"/>
    <cellStyle name="Normal 10 3 5 3 2 2 2 3" xfId="18105"/>
    <cellStyle name="Normal 10 3 5 3 2 2 2 3 2" xfId="35385"/>
    <cellStyle name="Normal 10 3 5 3 2 2 2 4" xfId="23865"/>
    <cellStyle name="Normal 10 3 5 3 2 2 3" xfId="9465"/>
    <cellStyle name="Normal 10 3 5 3 2 2 3 2" xfId="26745"/>
    <cellStyle name="Normal 10 3 5 3 2 2 4" xfId="15225"/>
    <cellStyle name="Normal 10 3 5 3 2 2 4 2" xfId="32505"/>
    <cellStyle name="Normal 10 3 5 3 2 2 5" xfId="20985"/>
    <cellStyle name="Normal 10 3 5 3 2 3" xfId="5145"/>
    <cellStyle name="Normal 10 3 5 3 2 3 2" xfId="10905"/>
    <cellStyle name="Normal 10 3 5 3 2 3 2 2" xfId="28185"/>
    <cellStyle name="Normal 10 3 5 3 2 3 3" xfId="16665"/>
    <cellStyle name="Normal 10 3 5 3 2 3 3 2" xfId="33945"/>
    <cellStyle name="Normal 10 3 5 3 2 3 4" xfId="22425"/>
    <cellStyle name="Normal 10 3 5 3 2 4" xfId="8025"/>
    <cellStyle name="Normal 10 3 5 3 2 4 2" xfId="25305"/>
    <cellStyle name="Normal 10 3 5 3 2 5" xfId="13785"/>
    <cellStyle name="Normal 10 3 5 3 2 5 2" xfId="31065"/>
    <cellStyle name="Normal 10 3 5 3 2 6" xfId="19545"/>
    <cellStyle name="Normal 10 3 5 3 3" xfId="2985"/>
    <cellStyle name="Normal 10 3 5 3 3 2" xfId="5865"/>
    <cellStyle name="Normal 10 3 5 3 3 2 2" xfId="11625"/>
    <cellStyle name="Normal 10 3 5 3 3 2 2 2" xfId="28905"/>
    <cellStyle name="Normal 10 3 5 3 3 2 3" xfId="17385"/>
    <cellStyle name="Normal 10 3 5 3 3 2 3 2" xfId="34665"/>
    <cellStyle name="Normal 10 3 5 3 3 2 4" xfId="23145"/>
    <cellStyle name="Normal 10 3 5 3 3 3" xfId="8745"/>
    <cellStyle name="Normal 10 3 5 3 3 3 2" xfId="26025"/>
    <cellStyle name="Normal 10 3 5 3 3 4" xfId="14505"/>
    <cellStyle name="Normal 10 3 5 3 3 4 2" xfId="31785"/>
    <cellStyle name="Normal 10 3 5 3 3 5" xfId="20265"/>
    <cellStyle name="Normal 10 3 5 3 4" xfId="4425"/>
    <cellStyle name="Normal 10 3 5 3 4 2" xfId="10185"/>
    <cellStyle name="Normal 10 3 5 3 4 2 2" xfId="27465"/>
    <cellStyle name="Normal 10 3 5 3 4 3" xfId="15945"/>
    <cellStyle name="Normal 10 3 5 3 4 3 2" xfId="33225"/>
    <cellStyle name="Normal 10 3 5 3 4 4" xfId="21705"/>
    <cellStyle name="Normal 10 3 5 3 5" xfId="7305"/>
    <cellStyle name="Normal 10 3 5 3 5 2" xfId="24585"/>
    <cellStyle name="Normal 10 3 5 3 6" xfId="13065"/>
    <cellStyle name="Normal 10 3 5 3 6 2" xfId="30345"/>
    <cellStyle name="Normal 10 3 5 3 7" xfId="18825"/>
    <cellStyle name="Normal 10 3 5 4" xfId="1785"/>
    <cellStyle name="Normal 10 3 5 4 2" xfId="3225"/>
    <cellStyle name="Normal 10 3 5 4 2 2" xfId="6105"/>
    <cellStyle name="Normal 10 3 5 4 2 2 2" xfId="11865"/>
    <cellStyle name="Normal 10 3 5 4 2 2 2 2" xfId="29145"/>
    <cellStyle name="Normal 10 3 5 4 2 2 3" xfId="17625"/>
    <cellStyle name="Normal 10 3 5 4 2 2 3 2" xfId="34905"/>
    <cellStyle name="Normal 10 3 5 4 2 2 4" xfId="23385"/>
    <cellStyle name="Normal 10 3 5 4 2 3" xfId="8985"/>
    <cellStyle name="Normal 10 3 5 4 2 3 2" xfId="26265"/>
    <cellStyle name="Normal 10 3 5 4 2 4" xfId="14745"/>
    <cellStyle name="Normal 10 3 5 4 2 4 2" xfId="32025"/>
    <cellStyle name="Normal 10 3 5 4 2 5" xfId="20505"/>
    <cellStyle name="Normal 10 3 5 4 3" xfId="4665"/>
    <cellStyle name="Normal 10 3 5 4 3 2" xfId="10425"/>
    <cellStyle name="Normal 10 3 5 4 3 2 2" xfId="27705"/>
    <cellStyle name="Normal 10 3 5 4 3 3" xfId="16185"/>
    <cellStyle name="Normal 10 3 5 4 3 3 2" xfId="33465"/>
    <cellStyle name="Normal 10 3 5 4 3 4" xfId="21945"/>
    <cellStyle name="Normal 10 3 5 4 4" xfId="7545"/>
    <cellStyle name="Normal 10 3 5 4 4 2" xfId="24825"/>
    <cellStyle name="Normal 10 3 5 4 5" xfId="13305"/>
    <cellStyle name="Normal 10 3 5 4 5 2" xfId="30585"/>
    <cellStyle name="Normal 10 3 5 4 6" xfId="19065"/>
    <cellStyle name="Normal 10 3 5 5" xfId="2505"/>
    <cellStyle name="Normal 10 3 5 5 2" xfId="5385"/>
    <cellStyle name="Normal 10 3 5 5 2 2" xfId="11145"/>
    <cellStyle name="Normal 10 3 5 5 2 2 2" xfId="28425"/>
    <cellStyle name="Normal 10 3 5 5 2 3" xfId="16905"/>
    <cellStyle name="Normal 10 3 5 5 2 3 2" xfId="34185"/>
    <cellStyle name="Normal 10 3 5 5 2 4" xfId="22665"/>
    <cellStyle name="Normal 10 3 5 5 3" xfId="8265"/>
    <cellStyle name="Normal 10 3 5 5 3 2" xfId="25545"/>
    <cellStyle name="Normal 10 3 5 5 4" xfId="14025"/>
    <cellStyle name="Normal 10 3 5 5 4 2" xfId="31305"/>
    <cellStyle name="Normal 10 3 5 5 5" xfId="19785"/>
    <cellStyle name="Normal 10 3 5 6" xfId="3945"/>
    <cellStyle name="Normal 10 3 5 6 2" xfId="9705"/>
    <cellStyle name="Normal 10 3 5 6 2 2" xfId="26985"/>
    <cellStyle name="Normal 10 3 5 6 3" xfId="15465"/>
    <cellStyle name="Normal 10 3 5 6 3 2" xfId="32745"/>
    <cellStyle name="Normal 10 3 5 6 4" xfId="21225"/>
    <cellStyle name="Normal 10 3 5 7" xfId="6825"/>
    <cellStyle name="Normal 10 3 5 7 2" xfId="24105"/>
    <cellStyle name="Normal 10 3 5 8" xfId="12585"/>
    <cellStyle name="Normal 10 3 5 8 2" xfId="29865"/>
    <cellStyle name="Normal 10 3 5 9" xfId="18345"/>
    <cellStyle name="Normal 10 3 6" xfId="1185"/>
    <cellStyle name="Normal 10 3 6 2" xfId="1905"/>
    <cellStyle name="Normal 10 3 6 2 2" xfId="3345"/>
    <cellStyle name="Normal 10 3 6 2 2 2" xfId="6225"/>
    <cellStyle name="Normal 10 3 6 2 2 2 2" xfId="11985"/>
    <cellStyle name="Normal 10 3 6 2 2 2 2 2" xfId="29265"/>
    <cellStyle name="Normal 10 3 6 2 2 2 3" xfId="17745"/>
    <cellStyle name="Normal 10 3 6 2 2 2 3 2" xfId="35025"/>
    <cellStyle name="Normal 10 3 6 2 2 2 4" xfId="23505"/>
    <cellStyle name="Normal 10 3 6 2 2 3" xfId="9105"/>
    <cellStyle name="Normal 10 3 6 2 2 3 2" xfId="26385"/>
    <cellStyle name="Normal 10 3 6 2 2 4" xfId="14865"/>
    <cellStyle name="Normal 10 3 6 2 2 4 2" xfId="32145"/>
    <cellStyle name="Normal 10 3 6 2 2 5" xfId="20625"/>
    <cellStyle name="Normal 10 3 6 2 3" xfId="4785"/>
    <cellStyle name="Normal 10 3 6 2 3 2" xfId="10545"/>
    <cellStyle name="Normal 10 3 6 2 3 2 2" xfId="27825"/>
    <cellStyle name="Normal 10 3 6 2 3 3" xfId="16305"/>
    <cellStyle name="Normal 10 3 6 2 3 3 2" xfId="33585"/>
    <cellStyle name="Normal 10 3 6 2 3 4" xfId="22065"/>
    <cellStyle name="Normal 10 3 6 2 4" xfId="7665"/>
    <cellStyle name="Normal 10 3 6 2 4 2" xfId="24945"/>
    <cellStyle name="Normal 10 3 6 2 5" xfId="13425"/>
    <cellStyle name="Normal 10 3 6 2 5 2" xfId="30705"/>
    <cellStyle name="Normal 10 3 6 2 6" xfId="19185"/>
    <cellStyle name="Normal 10 3 6 3" xfId="2625"/>
    <cellStyle name="Normal 10 3 6 3 2" xfId="5505"/>
    <cellStyle name="Normal 10 3 6 3 2 2" xfId="11265"/>
    <cellStyle name="Normal 10 3 6 3 2 2 2" xfId="28545"/>
    <cellStyle name="Normal 10 3 6 3 2 3" xfId="17025"/>
    <cellStyle name="Normal 10 3 6 3 2 3 2" xfId="34305"/>
    <cellStyle name="Normal 10 3 6 3 2 4" xfId="22785"/>
    <cellStyle name="Normal 10 3 6 3 3" xfId="8385"/>
    <cellStyle name="Normal 10 3 6 3 3 2" xfId="25665"/>
    <cellStyle name="Normal 10 3 6 3 4" xfId="14145"/>
    <cellStyle name="Normal 10 3 6 3 4 2" xfId="31425"/>
    <cellStyle name="Normal 10 3 6 3 5" xfId="19905"/>
    <cellStyle name="Normal 10 3 6 4" xfId="4065"/>
    <cellStyle name="Normal 10 3 6 4 2" xfId="9825"/>
    <cellStyle name="Normal 10 3 6 4 2 2" xfId="27105"/>
    <cellStyle name="Normal 10 3 6 4 3" xfId="15585"/>
    <cellStyle name="Normal 10 3 6 4 3 2" xfId="32865"/>
    <cellStyle name="Normal 10 3 6 4 4" xfId="21345"/>
    <cellStyle name="Normal 10 3 6 5" xfId="6945"/>
    <cellStyle name="Normal 10 3 6 5 2" xfId="24225"/>
    <cellStyle name="Normal 10 3 6 6" xfId="12705"/>
    <cellStyle name="Normal 10 3 6 6 2" xfId="29985"/>
    <cellStyle name="Normal 10 3 6 7" xfId="18465"/>
    <cellStyle name="Normal 10 3 7" xfId="1425"/>
    <cellStyle name="Normal 10 3 7 2" xfId="2145"/>
    <cellStyle name="Normal 10 3 7 2 2" xfId="3585"/>
    <cellStyle name="Normal 10 3 7 2 2 2" xfId="6465"/>
    <cellStyle name="Normal 10 3 7 2 2 2 2" xfId="12225"/>
    <cellStyle name="Normal 10 3 7 2 2 2 2 2" xfId="29505"/>
    <cellStyle name="Normal 10 3 7 2 2 2 3" xfId="17985"/>
    <cellStyle name="Normal 10 3 7 2 2 2 3 2" xfId="35265"/>
    <cellStyle name="Normal 10 3 7 2 2 2 4" xfId="23745"/>
    <cellStyle name="Normal 10 3 7 2 2 3" xfId="9345"/>
    <cellStyle name="Normal 10 3 7 2 2 3 2" xfId="26625"/>
    <cellStyle name="Normal 10 3 7 2 2 4" xfId="15105"/>
    <cellStyle name="Normal 10 3 7 2 2 4 2" xfId="32385"/>
    <cellStyle name="Normal 10 3 7 2 2 5" xfId="20865"/>
    <cellStyle name="Normal 10 3 7 2 3" xfId="5025"/>
    <cellStyle name="Normal 10 3 7 2 3 2" xfId="10785"/>
    <cellStyle name="Normal 10 3 7 2 3 2 2" xfId="28065"/>
    <cellStyle name="Normal 10 3 7 2 3 3" xfId="16545"/>
    <cellStyle name="Normal 10 3 7 2 3 3 2" xfId="33825"/>
    <cellStyle name="Normal 10 3 7 2 3 4" xfId="22305"/>
    <cellStyle name="Normal 10 3 7 2 4" xfId="7905"/>
    <cellStyle name="Normal 10 3 7 2 4 2" xfId="25185"/>
    <cellStyle name="Normal 10 3 7 2 5" xfId="13665"/>
    <cellStyle name="Normal 10 3 7 2 5 2" xfId="30945"/>
    <cellStyle name="Normal 10 3 7 2 6" xfId="19425"/>
    <cellStyle name="Normal 10 3 7 3" xfId="2865"/>
    <cellStyle name="Normal 10 3 7 3 2" xfId="5745"/>
    <cellStyle name="Normal 10 3 7 3 2 2" xfId="11505"/>
    <cellStyle name="Normal 10 3 7 3 2 2 2" xfId="28785"/>
    <cellStyle name="Normal 10 3 7 3 2 3" xfId="17265"/>
    <cellStyle name="Normal 10 3 7 3 2 3 2" xfId="34545"/>
    <cellStyle name="Normal 10 3 7 3 2 4" xfId="23025"/>
    <cellStyle name="Normal 10 3 7 3 3" xfId="8625"/>
    <cellStyle name="Normal 10 3 7 3 3 2" xfId="25905"/>
    <cellStyle name="Normal 10 3 7 3 4" xfId="14385"/>
    <cellStyle name="Normal 10 3 7 3 4 2" xfId="31665"/>
    <cellStyle name="Normal 10 3 7 3 5" xfId="20145"/>
    <cellStyle name="Normal 10 3 7 4" xfId="4305"/>
    <cellStyle name="Normal 10 3 7 4 2" xfId="10065"/>
    <cellStyle name="Normal 10 3 7 4 2 2" xfId="27345"/>
    <cellStyle name="Normal 10 3 7 4 3" xfId="15825"/>
    <cellStyle name="Normal 10 3 7 4 3 2" xfId="33105"/>
    <cellStyle name="Normal 10 3 7 4 4" xfId="21585"/>
    <cellStyle name="Normal 10 3 7 5" xfId="7185"/>
    <cellStyle name="Normal 10 3 7 5 2" xfId="24465"/>
    <cellStyle name="Normal 10 3 7 6" xfId="12945"/>
    <cellStyle name="Normal 10 3 7 6 2" xfId="30225"/>
    <cellStyle name="Normal 10 3 7 7" xfId="18705"/>
    <cellStyle name="Normal 10 3 8" xfId="1665"/>
    <cellStyle name="Normal 10 3 8 2" xfId="3105"/>
    <cellStyle name="Normal 10 3 8 2 2" xfId="5985"/>
    <cellStyle name="Normal 10 3 8 2 2 2" xfId="11745"/>
    <cellStyle name="Normal 10 3 8 2 2 2 2" xfId="29025"/>
    <cellStyle name="Normal 10 3 8 2 2 3" xfId="17505"/>
    <cellStyle name="Normal 10 3 8 2 2 3 2" xfId="34785"/>
    <cellStyle name="Normal 10 3 8 2 2 4" xfId="23265"/>
    <cellStyle name="Normal 10 3 8 2 3" xfId="8865"/>
    <cellStyle name="Normal 10 3 8 2 3 2" xfId="26145"/>
    <cellStyle name="Normal 10 3 8 2 4" xfId="14625"/>
    <cellStyle name="Normal 10 3 8 2 4 2" xfId="31905"/>
    <cellStyle name="Normal 10 3 8 2 5" xfId="20385"/>
    <cellStyle name="Normal 10 3 8 3" xfId="4545"/>
    <cellStyle name="Normal 10 3 8 3 2" xfId="10305"/>
    <cellStyle name="Normal 10 3 8 3 2 2" xfId="27585"/>
    <cellStyle name="Normal 10 3 8 3 3" xfId="16065"/>
    <cellStyle name="Normal 10 3 8 3 3 2" xfId="33345"/>
    <cellStyle name="Normal 10 3 8 3 4" xfId="21825"/>
    <cellStyle name="Normal 10 3 8 4" xfId="7425"/>
    <cellStyle name="Normal 10 3 8 4 2" xfId="24705"/>
    <cellStyle name="Normal 10 3 8 5" xfId="13185"/>
    <cellStyle name="Normal 10 3 8 5 2" xfId="30465"/>
    <cellStyle name="Normal 10 3 8 6" xfId="18945"/>
    <cellStyle name="Normal 10 3 9" xfId="2385"/>
    <cellStyle name="Normal 10 3 9 2" xfId="5265"/>
    <cellStyle name="Normal 10 3 9 2 2" xfId="11025"/>
    <cellStyle name="Normal 10 3 9 2 2 2" xfId="28305"/>
    <cellStyle name="Normal 10 3 9 2 3" xfId="16785"/>
    <cellStyle name="Normal 10 3 9 2 3 2" xfId="34065"/>
    <cellStyle name="Normal 10 3 9 2 4" xfId="22545"/>
    <cellStyle name="Normal 10 3 9 3" xfId="8145"/>
    <cellStyle name="Normal 10 3 9 3 2" xfId="25425"/>
    <cellStyle name="Normal 10 3 9 4" xfId="13905"/>
    <cellStyle name="Normal 10 3 9 4 2" xfId="31185"/>
    <cellStyle name="Normal 10 3 9 5" xfId="19665"/>
    <cellStyle name="Normal 10 4" xfId="404"/>
    <cellStyle name="Normal 10 4 10" xfId="6715"/>
    <cellStyle name="Normal 10 4 10 2" xfId="23995"/>
    <cellStyle name="Normal 10 4 11" xfId="12475"/>
    <cellStyle name="Normal 10 4 11 2" xfId="29755"/>
    <cellStyle name="Normal 10 4 12" xfId="18235"/>
    <cellStyle name="Normal 10 4 2" xfId="1035"/>
    <cellStyle name="Normal 10 4 2 10" xfId="18315"/>
    <cellStyle name="Normal 10 4 2 2" xfId="1155"/>
    <cellStyle name="Normal 10 4 2 2 2" xfId="1395"/>
    <cellStyle name="Normal 10 4 2 2 2 2" xfId="2115"/>
    <cellStyle name="Normal 10 4 2 2 2 2 2" xfId="3555"/>
    <cellStyle name="Normal 10 4 2 2 2 2 2 2" xfId="6435"/>
    <cellStyle name="Normal 10 4 2 2 2 2 2 2 2" xfId="12195"/>
    <cellStyle name="Normal 10 4 2 2 2 2 2 2 2 2" xfId="29475"/>
    <cellStyle name="Normal 10 4 2 2 2 2 2 2 3" xfId="17955"/>
    <cellStyle name="Normal 10 4 2 2 2 2 2 2 3 2" xfId="35235"/>
    <cellStyle name="Normal 10 4 2 2 2 2 2 2 4" xfId="23715"/>
    <cellStyle name="Normal 10 4 2 2 2 2 2 3" xfId="9315"/>
    <cellStyle name="Normal 10 4 2 2 2 2 2 3 2" xfId="26595"/>
    <cellStyle name="Normal 10 4 2 2 2 2 2 4" xfId="15075"/>
    <cellStyle name="Normal 10 4 2 2 2 2 2 4 2" xfId="32355"/>
    <cellStyle name="Normal 10 4 2 2 2 2 2 5" xfId="20835"/>
    <cellStyle name="Normal 10 4 2 2 2 2 3" xfId="4995"/>
    <cellStyle name="Normal 10 4 2 2 2 2 3 2" xfId="10755"/>
    <cellStyle name="Normal 10 4 2 2 2 2 3 2 2" xfId="28035"/>
    <cellStyle name="Normal 10 4 2 2 2 2 3 3" xfId="16515"/>
    <cellStyle name="Normal 10 4 2 2 2 2 3 3 2" xfId="33795"/>
    <cellStyle name="Normal 10 4 2 2 2 2 3 4" xfId="22275"/>
    <cellStyle name="Normal 10 4 2 2 2 2 4" xfId="7875"/>
    <cellStyle name="Normal 10 4 2 2 2 2 4 2" xfId="25155"/>
    <cellStyle name="Normal 10 4 2 2 2 2 5" xfId="13635"/>
    <cellStyle name="Normal 10 4 2 2 2 2 5 2" xfId="30915"/>
    <cellStyle name="Normal 10 4 2 2 2 2 6" xfId="19395"/>
    <cellStyle name="Normal 10 4 2 2 2 3" xfId="2835"/>
    <cellStyle name="Normal 10 4 2 2 2 3 2" xfId="5715"/>
    <cellStyle name="Normal 10 4 2 2 2 3 2 2" xfId="11475"/>
    <cellStyle name="Normal 10 4 2 2 2 3 2 2 2" xfId="28755"/>
    <cellStyle name="Normal 10 4 2 2 2 3 2 3" xfId="17235"/>
    <cellStyle name="Normal 10 4 2 2 2 3 2 3 2" xfId="34515"/>
    <cellStyle name="Normal 10 4 2 2 2 3 2 4" xfId="22995"/>
    <cellStyle name="Normal 10 4 2 2 2 3 3" xfId="8595"/>
    <cellStyle name="Normal 10 4 2 2 2 3 3 2" xfId="25875"/>
    <cellStyle name="Normal 10 4 2 2 2 3 4" xfId="14355"/>
    <cellStyle name="Normal 10 4 2 2 2 3 4 2" xfId="31635"/>
    <cellStyle name="Normal 10 4 2 2 2 3 5" xfId="20115"/>
    <cellStyle name="Normal 10 4 2 2 2 4" xfId="4275"/>
    <cellStyle name="Normal 10 4 2 2 2 4 2" xfId="10035"/>
    <cellStyle name="Normal 10 4 2 2 2 4 2 2" xfId="27315"/>
    <cellStyle name="Normal 10 4 2 2 2 4 3" xfId="15795"/>
    <cellStyle name="Normal 10 4 2 2 2 4 3 2" xfId="33075"/>
    <cellStyle name="Normal 10 4 2 2 2 4 4" xfId="21555"/>
    <cellStyle name="Normal 10 4 2 2 2 5" xfId="7155"/>
    <cellStyle name="Normal 10 4 2 2 2 5 2" xfId="24435"/>
    <cellStyle name="Normal 10 4 2 2 2 6" xfId="12915"/>
    <cellStyle name="Normal 10 4 2 2 2 6 2" xfId="30195"/>
    <cellStyle name="Normal 10 4 2 2 2 7" xfId="18675"/>
    <cellStyle name="Normal 10 4 2 2 3" xfId="1635"/>
    <cellStyle name="Normal 10 4 2 2 3 2" xfId="2355"/>
    <cellStyle name="Normal 10 4 2 2 3 2 2" xfId="3795"/>
    <cellStyle name="Normal 10 4 2 2 3 2 2 2" xfId="6675"/>
    <cellStyle name="Normal 10 4 2 2 3 2 2 2 2" xfId="12435"/>
    <cellStyle name="Normal 10 4 2 2 3 2 2 2 2 2" xfId="29715"/>
    <cellStyle name="Normal 10 4 2 2 3 2 2 2 3" xfId="18195"/>
    <cellStyle name="Normal 10 4 2 2 3 2 2 2 3 2" xfId="35475"/>
    <cellStyle name="Normal 10 4 2 2 3 2 2 2 4" xfId="23955"/>
    <cellStyle name="Normal 10 4 2 2 3 2 2 3" xfId="9555"/>
    <cellStyle name="Normal 10 4 2 2 3 2 2 3 2" xfId="26835"/>
    <cellStyle name="Normal 10 4 2 2 3 2 2 4" xfId="15315"/>
    <cellStyle name="Normal 10 4 2 2 3 2 2 4 2" xfId="32595"/>
    <cellStyle name="Normal 10 4 2 2 3 2 2 5" xfId="21075"/>
    <cellStyle name="Normal 10 4 2 2 3 2 3" xfId="5235"/>
    <cellStyle name="Normal 10 4 2 2 3 2 3 2" xfId="10995"/>
    <cellStyle name="Normal 10 4 2 2 3 2 3 2 2" xfId="28275"/>
    <cellStyle name="Normal 10 4 2 2 3 2 3 3" xfId="16755"/>
    <cellStyle name="Normal 10 4 2 2 3 2 3 3 2" xfId="34035"/>
    <cellStyle name="Normal 10 4 2 2 3 2 3 4" xfId="22515"/>
    <cellStyle name="Normal 10 4 2 2 3 2 4" xfId="8115"/>
    <cellStyle name="Normal 10 4 2 2 3 2 4 2" xfId="25395"/>
    <cellStyle name="Normal 10 4 2 2 3 2 5" xfId="13875"/>
    <cellStyle name="Normal 10 4 2 2 3 2 5 2" xfId="31155"/>
    <cellStyle name="Normal 10 4 2 2 3 2 6" xfId="19635"/>
    <cellStyle name="Normal 10 4 2 2 3 3" xfId="3075"/>
    <cellStyle name="Normal 10 4 2 2 3 3 2" xfId="5955"/>
    <cellStyle name="Normal 10 4 2 2 3 3 2 2" xfId="11715"/>
    <cellStyle name="Normal 10 4 2 2 3 3 2 2 2" xfId="28995"/>
    <cellStyle name="Normal 10 4 2 2 3 3 2 3" xfId="17475"/>
    <cellStyle name="Normal 10 4 2 2 3 3 2 3 2" xfId="34755"/>
    <cellStyle name="Normal 10 4 2 2 3 3 2 4" xfId="23235"/>
    <cellStyle name="Normal 10 4 2 2 3 3 3" xfId="8835"/>
    <cellStyle name="Normal 10 4 2 2 3 3 3 2" xfId="26115"/>
    <cellStyle name="Normal 10 4 2 2 3 3 4" xfId="14595"/>
    <cellStyle name="Normal 10 4 2 2 3 3 4 2" xfId="31875"/>
    <cellStyle name="Normal 10 4 2 2 3 3 5" xfId="20355"/>
    <cellStyle name="Normal 10 4 2 2 3 4" xfId="4515"/>
    <cellStyle name="Normal 10 4 2 2 3 4 2" xfId="10275"/>
    <cellStyle name="Normal 10 4 2 2 3 4 2 2" xfId="27555"/>
    <cellStyle name="Normal 10 4 2 2 3 4 3" xfId="16035"/>
    <cellStyle name="Normal 10 4 2 2 3 4 3 2" xfId="33315"/>
    <cellStyle name="Normal 10 4 2 2 3 4 4" xfId="21795"/>
    <cellStyle name="Normal 10 4 2 2 3 5" xfId="7395"/>
    <cellStyle name="Normal 10 4 2 2 3 5 2" xfId="24675"/>
    <cellStyle name="Normal 10 4 2 2 3 6" xfId="13155"/>
    <cellStyle name="Normal 10 4 2 2 3 6 2" xfId="30435"/>
    <cellStyle name="Normal 10 4 2 2 3 7" xfId="18915"/>
    <cellStyle name="Normal 10 4 2 2 4" xfId="1875"/>
    <cellStyle name="Normal 10 4 2 2 4 2" xfId="3315"/>
    <cellStyle name="Normal 10 4 2 2 4 2 2" xfId="6195"/>
    <cellStyle name="Normal 10 4 2 2 4 2 2 2" xfId="11955"/>
    <cellStyle name="Normal 10 4 2 2 4 2 2 2 2" xfId="29235"/>
    <cellStyle name="Normal 10 4 2 2 4 2 2 3" xfId="17715"/>
    <cellStyle name="Normal 10 4 2 2 4 2 2 3 2" xfId="34995"/>
    <cellStyle name="Normal 10 4 2 2 4 2 2 4" xfId="23475"/>
    <cellStyle name="Normal 10 4 2 2 4 2 3" xfId="9075"/>
    <cellStyle name="Normal 10 4 2 2 4 2 3 2" xfId="26355"/>
    <cellStyle name="Normal 10 4 2 2 4 2 4" xfId="14835"/>
    <cellStyle name="Normal 10 4 2 2 4 2 4 2" xfId="32115"/>
    <cellStyle name="Normal 10 4 2 2 4 2 5" xfId="20595"/>
    <cellStyle name="Normal 10 4 2 2 4 3" xfId="4755"/>
    <cellStyle name="Normal 10 4 2 2 4 3 2" xfId="10515"/>
    <cellStyle name="Normal 10 4 2 2 4 3 2 2" xfId="27795"/>
    <cellStyle name="Normal 10 4 2 2 4 3 3" xfId="16275"/>
    <cellStyle name="Normal 10 4 2 2 4 3 3 2" xfId="33555"/>
    <cellStyle name="Normal 10 4 2 2 4 3 4" xfId="22035"/>
    <cellStyle name="Normal 10 4 2 2 4 4" xfId="7635"/>
    <cellStyle name="Normal 10 4 2 2 4 4 2" xfId="24915"/>
    <cellStyle name="Normal 10 4 2 2 4 5" xfId="13395"/>
    <cellStyle name="Normal 10 4 2 2 4 5 2" xfId="30675"/>
    <cellStyle name="Normal 10 4 2 2 4 6" xfId="19155"/>
    <cellStyle name="Normal 10 4 2 2 5" xfId="2595"/>
    <cellStyle name="Normal 10 4 2 2 5 2" xfId="5475"/>
    <cellStyle name="Normal 10 4 2 2 5 2 2" xfId="11235"/>
    <cellStyle name="Normal 10 4 2 2 5 2 2 2" xfId="28515"/>
    <cellStyle name="Normal 10 4 2 2 5 2 3" xfId="16995"/>
    <cellStyle name="Normal 10 4 2 2 5 2 3 2" xfId="34275"/>
    <cellStyle name="Normal 10 4 2 2 5 2 4" xfId="22755"/>
    <cellStyle name="Normal 10 4 2 2 5 3" xfId="8355"/>
    <cellStyle name="Normal 10 4 2 2 5 3 2" xfId="25635"/>
    <cellStyle name="Normal 10 4 2 2 5 4" xfId="14115"/>
    <cellStyle name="Normal 10 4 2 2 5 4 2" xfId="31395"/>
    <cellStyle name="Normal 10 4 2 2 5 5" xfId="19875"/>
    <cellStyle name="Normal 10 4 2 2 6" xfId="4035"/>
    <cellStyle name="Normal 10 4 2 2 6 2" xfId="9795"/>
    <cellStyle name="Normal 10 4 2 2 6 2 2" xfId="27075"/>
    <cellStyle name="Normal 10 4 2 2 6 3" xfId="15555"/>
    <cellStyle name="Normal 10 4 2 2 6 3 2" xfId="32835"/>
    <cellStyle name="Normal 10 4 2 2 6 4" xfId="21315"/>
    <cellStyle name="Normal 10 4 2 2 7" xfId="6915"/>
    <cellStyle name="Normal 10 4 2 2 7 2" xfId="24195"/>
    <cellStyle name="Normal 10 4 2 2 8" xfId="12675"/>
    <cellStyle name="Normal 10 4 2 2 8 2" xfId="29955"/>
    <cellStyle name="Normal 10 4 2 2 9" xfId="18435"/>
    <cellStyle name="Normal 10 4 2 3" xfId="1275"/>
    <cellStyle name="Normal 10 4 2 3 2" xfId="1995"/>
    <cellStyle name="Normal 10 4 2 3 2 2" xfId="3435"/>
    <cellStyle name="Normal 10 4 2 3 2 2 2" xfId="6315"/>
    <cellStyle name="Normal 10 4 2 3 2 2 2 2" xfId="12075"/>
    <cellStyle name="Normal 10 4 2 3 2 2 2 2 2" xfId="29355"/>
    <cellStyle name="Normal 10 4 2 3 2 2 2 3" xfId="17835"/>
    <cellStyle name="Normal 10 4 2 3 2 2 2 3 2" xfId="35115"/>
    <cellStyle name="Normal 10 4 2 3 2 2 2 4" xfId="23595"/>
    <cellStyle name="Normal 10 4 2 3 2 2 3" xfId="9195"/>
    <cellStyle name="Normal 10 4 2 3 2 2 3 2" xfId="26475"/>
    <cellStyle name="Normal 10 4 2 3 2 2 4" xfId="14955"/>
    <cellStyle name="Normal 10 4 2 3 2 2 4 2" xfId="32235"/>
    <cellStyle name="Normal 10 4 2 3 2 2 5" xfId="20715"/>
    <cellStyle name="Normal 10 4 2 3 2 3" xfId="4875"/>
    <cellStyle name="Normal 10 4 2 3 2 3 2" xfId="10635"/>
    <cellStyle name="Normal 10 4 2 3 2 3 2 2" xfId="27915"/>
    <cellStyle name="Normal 10 4 2 3 2 3 3" xfId="16395"/>
    <cellStyle name="Normal 10 4 2 3 2 3 3 2" xfId="33675"/>
    <cellStyle name="Normal 10 4 2 3 2 3 4" xfId="22155"/>
    <cellStyle name="Normal 10 4 2 3 2 4" xfId="7755"/>
    <cellStyle name="Normal 10 4 2 3 2 4 2" xfId="25035"/>
    <cellStyle name="Normal 10 4 2 3 2 5" xfId="13515"/>
    <cellStyle name="Normal 10 4 2 3 2 5 2" xfId="30795"/>
    <cellStyle name="Normal 10 4 2 3 2 6" xfId="19275"/>
    <cellStyle name="Normal 10 4 2 3 3" xfId="2715"/>
    <cellStyle name="Normal 10 4 2 3 3 2" xfId="5595"/>
    <cellStyle name="Normal 10 4 2 3 3 2 2" xfId="11355"/>
    <cellStyle name="Normal 10 4 2 3 3 2 2 2" xfId="28635"/>
    <cellStyle name="Normal 10 4 2 3 3 2 3" xfId="17115"/>
    <cellStyle name="Normal 10 4 2 3 3 2 3 2" xfId="34395"/>
    <cellStyle name="Normal 10 4 2 3 3 2 4" xfId="22875"/>
    <cellStyle name="Normal 10 4 2 3 3 3" xfId="8475"/>
    <cellStyle name="Normal 10 4 2 3 3 3 2" xfId="25755"/>
    <cellStyle name="Normal 10 4 2 3 3 4" xfId="14235"/>
    <cellStyle name="Normal 10 4 2 3 3 4 2" xfId="31515"/>
    <cellStyle name="Normal 10 4 2 3 3 5" xfId="19995"/>
    <cellStyle name="Normal 10 4 2 3 4" xfId="4155"/>
    <cellStyle name="Normal 10 4 2 3 4 2" xfId="9915"/>
    <cellStyle name="Normal 10 4 2 3 4 2 2" xfId="27195"/>
    <cellStyle name="Normal 10 4 2 3 4 3" xfId="15675"/>
    <cellStyle name="Normal 10 4 2 3 4 3 2" xfId="32955"/>
    <cellStyle name="Normal 10 4 2 3 4 4" xfId="21435"/>
    <cellStyle name="Normal 10 4 2 3 5" xfId="7035"/>
    <cellStyle name="Normal 10 4 2 3 5 2" xfId="24315"/>
    <cellStyle name="Normal 10 4 2 3 6" xfId="12795"/>
    <cellStyle name="Normal 10 4 2 3 6 2" xfId="30075"/>
    <cellStyle name="Normal 10 4 2 3 7" xfId="18555"/>
    <cellStyle name="Normal 10 4 2 4" xfId="1515"/>
    <cellStyle name="Normal 10 4 2 4 2" xfId="2235"/>
    <cellStyle name="Normal 10 4 2 4 2 2" xfId="3675"/>
    <cellStyle name="Normal 10 4 2 4 2 2 2" xfId="6555"/>
    <cellStyle name="Normal 10 4 2 4 2 2 2 2" xfId="12315"/>
    <cellStyle name="Normal 10 4 2 4 2 2 2 2 2" xfId="29595"/>
    <cellStyle name="Normal 10 4 2 4 2 2 2 3" xfId="18075"/>
    <cellStyle name="Normal 10 4 2 4 2 2 2 3 2" xfId="35355"/>
    <cellStyle name="Normal 10 4 2 4 2 2 2 4" xfId="23835"/>
    <cellStyle name="Normal 10 4 2 4 2 2 3" xfId="9435"/>
    <cellStyle name="Normal 10 4 2 4 2 2 3 2" xfId="26715"/>
    <cellStyle name="Normal 10 4 2 4 2 2 4" xfId="15195"/>
    <cellStyle name="Normal 10 4 2 4 2 2 4 2" xfId="32475"/>
    <cellStyle name="Normal 10 4 2 4 2 2 5" xfId="20955"/>
    <cellStyle name="Normal 10 4 2 4 2 3" xfId="5115"/>
    <cellStyle name="Normal 10 4 2 4 2 3 2" xfId="10875"/>
    <cellStyle name="Normal 10 4 2 4 2 3 2 2" xfId="28155"/>
    <cellStyle name="Normal 10 4 2 4 2 3 3" xfId="16635"/>
    <cellStyle name="Normal 10 4 2 4 2 3 3 2" xfId="33915"/>
    <cellStyle name="Normal 10 4 2 4 2 3 4" xfId="22395"/>
    <cellStyle name="Normal 10 4 2 4 2 4" xfId="7995"/>
    <cellStyle name="Normal 10 4 2 4 2 4 2" xfId="25275"/>
    <cellStyle name="Normal 10 4 2 4 2 5" xfId="13755"/>
    <cellStyle name="Normal 10 4 2 4 2 5 2" xfId="31035"/>
    <cellStyle name="Normal 10 4 2 4 2 6" xfId="19515"/>
    <cellStyle name="Normal 10 4 2 4 3" xfId="2955"/>
    <cellStyle name="Normal 10 4 2 4 3 2" xfId="5835"/>
    <cellStyle name="Normal 10 4 2 4 3 2 2" xfId="11595"/>
    <cellStyle name="Normal 10 4 2 4 3 2 2 2" xfId="28875"/>
    <cellStyle name="Normal 10 4 2 4 3 2 3" xfId="17355"/>
    <cellStyle name="Normal 10 4 2 4 3 2 3 2" xfId="34635"/>
    <cellStyle name="Normal 10 4 2 4 3 2 4" xfId="23115"/>
    <cellStyle name="Normal 10 4 2 4 3 3" xfId="8715"/>
    <cellStyle name="Normal 10 4 2 4 3 3 2" xfId="25995"/>
    <cellStyle name="Normal 10 4 2 4 3 4" xfId="14475"/>
    <cellStyle name="Normal 10 4 2 4 3 4 2" xfId="31755"/>
    <cellStyle name="Normal 10 4 2 4 3 5" xfId="20235"/>
    <cellStyle name="Normal 10 4 2 4 4" xfId="4395"/>
    <cellStyle name="Normal 10 4 2 4 4 2" xfId="10155"/>
    <cellStyle name="Normal 10 4 2 4 4 2 2" xfId="27435"/>
    <cellStyle name="Normal 10 4 2 4 4 3" xfId="15915"/>
    <cellStyle name="Normal 10 4 2 4 4 3 2" xfId="33195"/>
    <cellStyle name="Normal 10 4 2 4 4 4" xfId="21675"/>
    <cellStyle name="Normal 10 4 2 4 5" xfId="7275"/>
    <cellStyle name="Normal 10 4 2 4 5 2" xfId="24555"/>
    <cellStyle name="Normal 10 4 2 4 6" xfId="13035"/>
    <cellStyle name="Normal 10 4 2 4 6 2" xfId="30315"/>
    <cellStyle name="Normal 10 4 2 4 7" xfId="18795"/>
    <cellStyle name="Normal 10 4 2 5" xfId="1755"/>
    <cellStyle name="Normal 10 4 2 5 2" xfId="3195"/>
    <cellStyle name="Normal 10 4 2 5 2 2" xfId="6075"/>
    <cellStyle name="Normal 10 4 2 5 2 2 2" xfId="11835"/>
    <cellStyle name="Normal 10 4 2 5 2 2 2 2" xfId="29115"/>
    <cellStyle name="Normal 10 4 2 5 2 2 3" xfId="17595"/>
    <cellStyle name="Normal 10 4 2 5 2 2 3 2" xfId="34875"/>
    <cellStyle name="Normal 10 4 2 5 2 2 4" xfId="23355"/>
    <cellStyle name="Normal 10 4 2 5 2 3" xfId="8955"/>
    <cellStyle name="Normal 10 4 2 5 2 3 2" xfId="26235"/>
    <cellStyle name="Normal 10 4 2 5 2 4" xfId="14715"/>
    <cellStyle name="Normal 10 4 2 5 2 4 2" xfId="31995"/>
    <cellStyle name="Normal 10 4 2 5 2 5" xfId="20475"/>
    <cellStyle name="Normal 10 4 2 5 3" xfId="4635"/>
    <cellStyle name="Normal 10 4 2 5 3 2" xfId="10395"/>
    <cellStyle name="Normal 10 4 2 5 3 2 2" xfId="27675"/>
    <cellStyle name="Normal 10 4 2 5 3 3" xfId="16155"/>
    <cellStyle name="Normal 10 4 2 5 3 3 2" xfId="33435"/>
    <cellStyle name="Normal 10 4 2 5 3 4" xfId="21915"/>
    <cellStyle name="Normal 10 4 2 5 4" xfId="7515"/>
    <cellStyle name="Normal 10 4 2 5 4 2" xfId="24795"/>
    <cellStyle name="Normal 10 4 2 5 5" xfId="13275"/>
    <cellStyle name="Normal 10 4 2 5 5 2" xfId="30555"/>
    <cellStyle name="Normal 10 4 2 5 6" xfId="19035"/>
    <cellStyle name="Normal 10 4 2 6" xfId="2475"/>
    <cellStyle name="Normal 10 4 2 6 2" xfId="5355"/>
    <cellStyle name="Normal 10 4 2 6 2 2" xfId="11115"/>
    <cellStyle name="Normal 10 4 2 6 2 2 2" xfId="28395"/>
    <cellStyle name="Normal 10 4 2 6 2 3" xfId="16875"/>
    <cellStyle name="Normal 10 4 2 6 2 3 2" xfId="34155"/>
    <cellStyle name="Normal 10 4 2 6 2 4" xfId="22635"/>
    <cellStyle name="Normal 10 4 2 6 3" xfId="8235"/>
    <cellStyle name="Normal 10 4 2 6 3 2" xfId="25515"/>
    <cellStyle name="Normal 10 4 2 6 4" xfId="13995"/>
    <cellStyle name="Normal 10 4 2 6 4 2" xfId="31275"/>
    <cellStyle name="Normal 10 4 2 6 5" xfId="19755"/>
    <cellStyle name="Normal 10 4 2 7" xfId="3915"/>
    <cellStyle name="Normal 10 4 2 7 2" xfId="9675"/>
    <cellStyle name="Normal 10 4 2 7 2 2" xfId="26955"/>
    <cellStyle name="Normal 10 4 2 7 3" xfId="15435"/>
    <cellStyle name="Normal 10 4 2 7 3 2" xfId="32715"/>
    <cellStyle name="Normal 10 4 2 7 4" xfId="21195"/>
    <cellStyle name="Normal 10 4 2 8" xfId="6795"/>
    <cellStyle name="Normal 10 4 2 8 2" xfId="24075"/>
    <cellStyle name="Normal 10 4 2 9" xfId="12555"/>
    <cellStyle name="Normal 10 4 2 9 2" xfId="29835"/>
    <cellStyle name="Normal 10 4 3" xfId="995"/>
    <cellStyle name="Normal 10 4 3 10" xfId="18275"/>
    <cellStyle name="Normal 10 4 3 2" xfId="1115"/>
    <cellStyle name="Normal 10 4 3 2 2" xfId="1355"/>
    <cellStyle name="Normal 10 4 3 2 2 2" xfId="2075"/>
    <cellStyle name="Normal 10 4 3 2 2 2 2" xfId="3515"/>
    <cellStyle name="Normal 10 4 3 2 2 2 2 2" xfId="6395"/>
    <cellStyle name="Normal 10 4 3 2 2 2 2 2 2" xfId="12155"/>
    <cellStyle name="Normal 10 4 3 2 2 2 2 2 2 2" xfId="29435"/>
    <cellStyle name="Normal 10 4 3 2 2 2 2 2 3" xfId="17915"/>
    <cellStyle name="Normal 10 4 3 2 2 2 2 2 3 2" xfId="35195"/>
    <cellStyle name="Normal 10 4 3 2 2 2 2 2 4" xfId="23675"/>
    <cellStyle name="Normal 10 4 3 2 2 2 2 3" xfId="9275"/>
    <cellStyle name="Normal 10 4 3 2 2 2 2 3 2" xfId="26555"/>
    <cellStyle name="Normal 10 4 3 2 2 2 2 4" xfId="15035"/>
    <cellStyle name="Normal 10 4 3 2 2 2 2 4 2" xfId="32315"/>
    <cellStyle name="Normal 10 4 3 2 2 2 2 5" xfId="20795"/>
    <cellStyle name="Normal 10 4 3 2 2 2 3" xfId="4955"/>
    <cellStyle name="Normal 10 4 3 2 2 2 3 2" xfId="10715"/>
    <cellStyle name="Normal 10 4 3 2 2 2 3 2 2" xfId="27995"/>
    <cellStyle name="Normal 10 4 3 2 2 2 3 3" xfId="16475"/>
    <cellStyle name="Normal 10 4 3 2 2 2 3 3 2" xfId="33755"/>
    <cellStyle name="Normal 10 4 3 2 2 2 3 4" xfId="22235"/>
    <cellStyle name="Normal 10 4 3 2 2 2 4" xfId="7835"/>
    <cellStyle name="Normal 10 4 3 2 2 2 4 2" xfId="25115"/>
    <cellStyle name="Normal 10 4 3 2 2 2 5" xfId="13595"/>
    <cellStyle name="Normal 10 4 3 2 2 2 5 2" xfId="30875"/>
    <cellStyle name="Normal 10 4 3 2 2 2 6" xfId="19355"/>
    <cellStyle name="Normal 10 4 3 2 2 3" xfId="2795"/>
    <cellStyle name="Normal 10 4 3 2 2 3 2" xfId="5675"/>
    <cellStyle name="Normal 10 4 3 2 2 3 2 2" xfId="11435"/>
    <cellStyle name="Normal 10 4 3 2 2 3 2 2 2" xfId="28715"/>
    <cellStyle name="Normal 10 4 3 2 2 3 2 3" xfId="17195"/>
    <cellStyle name="Normal 10 4 3 2 2 3 2 3 2" xfId="34475"/>
    <cellStyle name="Normal 10 4 3 2 2 3 2 4" xfId="22955"/>
    <cellStyle name="Normal 10 4 3 2 2 3 3" xfId="8555"/>
    <cellStyle name="Normal 10 4 3 2 2 3 3 2" xfId="25835"/>
    <cellStyle name="Normal 10 4 3 2 2 3 4" xfId="14315"/>
    <cellStyle name="Normal 10 4 3 2 2 3 4 2" xfId="31595"/>
    <cellStyle name="Normal 10 4 3 2 2 3 5" xfId="20075"/>
    <cellStyle name="Normal 10 4 3 2 2 4" xfId="4235"/>
    <cellStyle name="Normal 10 4 3 2 2 4 2" xfId="9995"/>
    <cellStyle name="Normal 10 4 3 2 2 4 2 2" xfId="27275"/>
    <cellStyle name="Normal 10 4 3 2 2 4 3" xfId="15755"/>
    <cellStyle name="Normal 10 4 3 2 2 4 3 2" xfId="33035"/>
    <cellStyle name="Normal 10 4 3 2 2 4 4" xfId="21515"/>
    <cellStyle name="Normal 10 4 3 2 2 5" xfId="7115"/>
    <cellStyle name="Normal 10 4 3 2 2 5 2" xfId="24395"/>
    <cellStyle name="Normal 10 4 3 2 2 6" xfId="12875"/>
    <cellStyle name="Normal 10 4 3 2 2 6 2" xfId="30155"/>
    <cellStyle name="Normal 10 4 3 2 2 7" xfId="18635"/>
    <cellStyle name="Normal 10 4 3 2 3" xfId="1595"/>
    <cellStyle name="Normal 10 4 3 2 3 2" xfId="2315"/>
    <cellStyle name="Normal 10 4 3 2 3 2 2" xfId="3755"/>
    <cellStyle name="Normal 10 4 3 2 3 2 2 2" xfId="6635"/>
    <cellStyle name="Normal 10 4 3 2 3 2 2 2 2" xfId="12395"/>
    <cellStyle name="Normal 10 4 3 2 3 2 2 2 2 2" xfId="29675"/>
    <cellStyle name="Normal 10 4 3 2 3 2 2 2 3" xfId="18155"/>
    <cellStyle name="Normal 10 4 3 2 3 2 2 2 3 2" xfId="35435"/>
    <cellStyle name="Normal 10 4 3 2 3 2 2 2 4" xfId="23915"/>
    <cellStyle name="Normal 10 4 3 2 3 2 2 3" xfId="9515"/>
    <cellStyle name="Normal 10 4 3 2 3 2 2 3 2" xfId="26795"/>
    <cellStyle name="Normal 10 4 3 2 3 2 2 4" xfId="15275"/>
    <cellStyle name="Normal 10 4 3 2 3 2 2 4 2" xfId="32555"/>
    <cellStyle name="Normal 10 4 3 2 3 2 2 5" xfId="21035"/>
    <cellStyle name="Normal 10 4 3 2 3 2 3" xfId="5195"/>
    <cellStyle name="Normal 10 4 3 2 3 2 3 2" xfId="10955"/>
    <cellStyle name="Normal 10 4 3 2 3 2 3 2 2" xfId="28235"/>
    <cellStyle name="Normal 10 4 3 2 3 2 3 3" xfId="16715"/>
    <cellStyle name="Normal 10 4 3 2 3 2 3 3 2" xfId="33995"/>
    <cellStyle name="Normal 10 4 3 2 3 2 3 4" xfId="22475"/>
    <cellStyle name="Normal 10 4 3 2 3 2 4" xfId="8075"/>
    <cellStyle name="Normal 10 4 3 2 3 2 4 2" xfId="25355"/>
    <cellStyle name="Normal 10 4 3 2 3 2 5" xfId="13835"/>
    <cellStyle name="Normal 10 4 3 2 3 2 5 2" xfId="31115"/>
    <cellStyle name="Normal 10 4 3 2 3 2 6" xfId="19595"/>
    <cellStyle name="Normal 10 4 3 2 3 3" xfId="3035"/>
    <cellStyle name="Normal 10 4 3 2 3 3 2" xfId="5915"/>
    <cellStyle name="Normal 10 4 3 2 3 3 2 2" xfId="11675"/>
    <cellStyle name="Normal 10 4 3 2 3 3 2 2 2" xfId="28955"/>
    <cellStyle name="Normal 10 4 3 2 3 3 2 3" xfId="17435"/>
    <cellStyle name="Normal 10 4 3 2 3 3 2 3 2" xfId="34715"/>
    <cellStyle name="Normal 10 4 3 2 3 3 2 4" xfId="23195"/>
    <cellStyle name="Normal 10 4 3 2 3 3 3" xfId="8795"/>
    <cellStyle name="Normal 10 4 3 2 3 3 3 2" xfId="26075"/>
    <cellStyle name="Normal 10 4 3 2 3 3 4" xfId="14555"/>
    <cellStyle name="Normal 10 4 3 2 3 3 4 2" xfId="31835"/>
    <cellStyle name="Normal 10 4 3 2 3 3 5" xfId="20315"/>
    <cellStyle name="Normal 10 4 3 2 3 4" xfId="4475"/>
    <cellStyle name="Normal 10 4 3 2 3 4 2" xfId="10235"/>
    <cellStyle name="Normal 10 4 3 2 3 4 2 2" xfId="27515"/>
    <cellStyle name="Normal 10 4 3 2 3 4 3" xfId="15995"/>
    <cellStyle name="Normal 10 4 3 2 3 4 3 2" xfId="33275"/>
    <cellStyle name="Normal 10 4 3 2 3 4 4" xfId="21755"/>
    <cellStyle name="Normal 10 4 3 2 3 5" xfId="7355"/>
    <cellStyle name="Normal 10 4 3 2 3 5 2" xfId="24635"/>
    <cellStyle name="Normal 10 4 3 2 3 6" xfId="13115"/>
    <cellStyle name="Normal 10 4 3 2 3 6 2" xfId="30395"/>
    <cellStyle name="Normal 10 4 3 2 3 7" xfId="18875"/>
    <cellStyle name="Normal 10 4 3 2 4" xfId="1835"/>
    <cellStyle name="Normal 10 4 3 2 4 2" xfId="3275"/>
    <cellStyle name="Normal 10 4 3 2 4 2 2" xfId="6155"/>
    <cellStyle name="Normal 10 4 3 2 4 2 2 2" xfId="11915"/>
    <cellStyle name="Normal 10 4 3 2 4 2 2 2 2" xfId="29195"/>
    <cellStyle name="Normal 10 4 3 2 4 2 2 3" xfId="17675"/>
    <cellStyle name="Normal 10 4 3 2 4 2 2 3 2" xfId="34955"/>
    <cellStyle name="Normal 10 4 3 2 4 2 2 4" xfId="23435"/>
    <cellStyle name="Normal 10 4 3 2 4 2 3" xfId="9035"/>
    <cellStyle name="Normal 10 4 3 2 4 2 3 2" xfId="26315"/>
    <cellStyle name="Normal 10 4 3 2 4 2 4" xfId="14795"/>
    <cellStyle name="Normal 10 4 3 2 4 2 4 2" xfId="32075"/>
    <cellStyle name="Normal 10 4 3 2 4 2 5" xfId="20555"/>
    <cellStyle name="Normal 10 4 3 2 4 3" xfId="4715"/>
    <cellStyle name="Normal 10 4 3 2 4 3 2" xfId="10475"/>
    <cellStyle name="Normal 10 4 3 2 4 3 2 2" xfId="27755"/>
    <cellStyle name="Normal 10 4 3 2 4 3 3" xfId="16235"/>
    <cellStyle name="Normal 10 4 3 2 4 3 3 2" xfId="33515"/>
    <cellStyle name="Normal 10 4 3 2 4 3 4" xfId="21995"/>
    <cellStyle name="Normal 10 4 3 2 4 4" xfId="7595"/>
    <cellStyle name="Normal 10 4 3 2 4 4 2" xfId="24875"/>
    <cellStyle name="Normal 10 4 3 2 4 5" xfId="13355"/>
    <cellStyle name="Normal 10 4 3 2 4 5 2" xfId="30635"/>
    <cellStyle name="Normal 10 4 3 2 4 6" xfId="19115"/>
    <cellStyle name="Normal 10 4 3 2 5" xfId="2555"/>
    <cellStyle name="Normal 10 4 3 2 5 2" xfId="5435"/>
    <cellStyle name="Normal 10 4 3 2 5 2 2" xfId="11195"/>
    <cellStyle name="Normal 10 4 3 2 5 2 2 2" xfId="28475"/>
    <cellStyle name="Normal 10 4 3 2 5 2 3" xfId="16955"/>
    <cellStyle name="Normal 10 4 3 2 5 2 3 2" xfId="34235"/>
    <cellStyle name="Normal 10 4 3 2 5 2 4" xfId="22715"/>
    <cellStyle name="Normal 10 4 3 2 5 3" xfId="8315"/>
    <cellStyle name="Normal 10 4 3 2 5 3 2" xfId="25595"/>
    <cellStyle name="Normal 10 4 3 2 5 4" xfId="14075"/>
    <cellStyle name="Normal 10 4 3 2 5 4 2" xfId="31355"/>
    <cellStyle name="Normal 10 4 3 2 5 5" xfId="19835"/>
    <cellStyle name="Normal 10 4 3 2 6" xfId="3995"/>
    <cellStyle name="Normal 10 4 3 2 6 2" xfId="9755"/>
    <cellStyle name="Normal 10 4 3 2 6 2 2" xfId="27035"/>
    <cellStyle name="Normal 10 4 3 2 6 3" xfId="15515"/>
    <cellStyle name="Normal 10 4 3 2 6 3 2" xfId="32795"/>
    <cellStyle name="Normal 10 4 3 2 6 4" xfId="21275"/>
    <cellStyle name="Normal 10 4 3 2 7" xfId="6875"/>
    <cellStyle name="Normal 10 4 3 2 7 2" xfId="24155"/>
    <cellStyle name="Normal 10 4 3 2 8" xfId="12635"/>
    <cellStyle name="Normal 10 4 3 2 8 2" xfId="29915"/>
    <cellStyle name="Normal 10 4 3 2 9" xfId="18395"/>
    <cellStyle name="Normal 10 4 3 3" xfId="1235"/>
    <cellStyle name="Normal 10 4 3 3 2" xfId="1955"/>
    <cellStyle name="Normal 10 4 3 3 2 2" xfId="3395"/>
    <cellStyle name="Normal 10 4 3 3 2 2 2" xfId="6275"/>
    <cellStyle name="Normal 10 4 3 3 2 2 2 2" xfId="12035"/>
    <cellStyle name="Normal 10 4 3 3 2 2 2 2 2" xfId="29315"/>
    <cellStyle name="Normal 10 4 3 3 2 2 2 3" xfId="17795"/>
    <cellStyle name="Normal 10 4 3 3 2 2 2 3 2" xfId="35075"/>
    <cellStyle name="Normal 10 4 3 3 2 2 2 4" xfId="23555"/>
    <cellStyle name="Normal 10 4 3 3 2 2 3" xfId="9155"/>
    <cellStyle name="Normal 10 4 3 3 2 2 3 2" xfId="26435"/>
    <cellStyle name="Normal 10 4 3 3 2 2 4" xfId="14915"/>
    <cellStyle name="Normal 10 4 3 3 2 2 4 2" xfId="32195"/>
    <cellStyle name="Normal 10 4 3 3 2 2 5" xfId="20675"/>
    <cellStyle name="Normal 10 4 3 3 2 3" xfId="4835"/>
    <cellStyle name="Normal 10 4 3 3 2 3 2" xfId="10595"/>
    <cellStyle name="Normal 10 4 3 3 2 3 2 2" xfId="27875"/>
    <cellStyle name="Normal 10 4 3 3 2 3 3" xfId="16355"/>
    <cellStyle name="Normal 10 4 3 3 2 3 3 2" xfId="33635"/>
    <cellStyle name="Normal 10 4 3 3 2 3 4" xfId="22115"/>
    <cellStyle name="Normal 10 4 3 3 2 4" xfId="7715"/>
    <cellStyle name="Normal 10 4 3 3 2 4 2" xfId="24995"/>
    <cellStyle name="Normal 10 4 3 3 2 5" xfId="13475"/>
    <cellStyle name="Normal 10 4 3 3 2 5 2" xfId="30755"/>
    <cellStyle name="Normal 10 4 3 3 2 6" xfId="19235"/>
    <cellStyle name="Normal 10 4 3 3 3" xfId="2675"/>
    <cellStyle name="Normal 10 4 3 3 3 2" xfId="5555"/>
    <cellStyle name="Normal 10 4 3 3 3 2 2" xfId="11315"/>
    <cellStyle name="Normal 10 4 3 3 3 2 2 2" xfId="28595"/>
    <cellStyle name="Normal 10 4 3 3 3 2 3" xfId="17075"/>
    <cellStyle name="Normal 10 4 3 3 3 2 3 2" xfId="34355"/>
    <cellStyle name="Normal 10 4 3 3 3 2 4" xfId="22835"/>
    <cellStyle name="Normal 10 4 3 3 3 3" xfId="8435"/>
    <cellStyle name="Normal 10 4 3 3 3 3 2" xfId="25715"/>
    <cellStyle name="Normal 10 4 3 3 3 4" xfId="14195"/>
    <cellStyle name="Normal 10 4 3 3 3 4 2" xfId="31475"/>
    <cellStyle name="Normal 10 4 3 3 3 5" xfId="19955"/>
    <cellStyle name="Normal 10 4 3 3 4" xfId="4115"/>
    <cellStyle name="Normal 10 4 3 3 4 2" xfId="9875"/>
    <cellStyle name="Normal 10 4 3 3 4 2 2" xfId="27155"/>
    <cellStyle name="Normal 10 4 3 3 4 3" xfId="15635"/>
    <cellStyle name="Normal 10 4 3 3 4 3 2" xfId="32915"/>
    <cellStyle name="Normal 10 4 3 3 4 4" xfId="21395"/>
    <cellStyle name="Normal 10 4 3 3 5" xfId="6995"/>
    <cellStyle name="Normal 10 4 3 3 5 2" xfId="24275"/>
    <cellStyle name="Normal 10 4 3 3 6" xfId="12755"/>
    <cellStyle name="Normal 10 4 3 3 6 2" xfId="30035"/>
    <cellStyle name="Normal 10 4 3 3 7" xfId="18515"/>
    <cellStyle name="Normal 10 4 3 4" xfId="1475"/>
    <cellStyle name="Normal 10 4 3 4 2" xfId="2195"/>
    <cellStyle name="Normal 10 4 3 4 2 2" xfId="3635"/>
    <cellStyle name="Normal 10 4 3 4 2 2 2" xfId="6515"/>
    <cellStyle name="Normal 10 4 3 4 2 2 2 2" xfId="12275"/>
    <cellStyle name="Normal 10 4 3 4 2 2 2 2 2" xfId="29555"/>
    <cellStyle name="Normal 10 4 3 4 2 2 2 3" xfId="18035"/>
    <cellStyle name="Normal 10 4 3 4 2 2 2 3 2" xfId="35315"/>
    <cellStyle name="Normal 10 4 3 4 2 2 2 4" xfId="23795"/>
    <cellStyle name="Normal 10 4 3 4 2 2 3" xfId="9395"/>
    <cellStyle name="Normal 10 4 3 4 2 2 3 2" xfId="26675"/>
    <cellStyle name="Normal 10 4 3 4 2 2 4" xfId="15155"/>
    <cellStyle name="Normal 10 4 3 4 2 2 4 2" xfId="32435"/>
    <cellStyle name="Normal 10 4 3 4 2 2 5" xfId="20915"/>
    <cellStyle name="Normal 10 4 3 4 2 3" xfId="5075"/>
    <cellStyle name="Normal 10 4 3 4 2 3 2" xfId="10835"/>
    <cellStyle name="Normal 10 4 3 4 2 3 2 2" xfId="28115"/>
    <cellStyle name="Normal 10 4 3 4 2 3 3" xfId="16595"/>
    <cellStyle name="Normal 10 4 3 4 2 3 3 2" xfId="33875"/>
    <cellStyle name="Normal 10 4 3 4 2 3 4" xfId="22355"/>
    <cellStyle name="Normal 10 4 3 4 2 4" xfId="7955"/>
    <cellStyle name="Normal 10 4 3 4 2 4 2" xfId="25235"/>
    <cellStyle name="Normal 10 4 3 4 2 5" xfId="13715"/>
    <cellStyle name="Normal 10 4 3 4 2 5 2" xfId="30995"/>
    <cellStyle name="Normal 10 4 3 4 2 6" xfId="19475"/>
    <cellStyle name="Normal 10 4 3 4 3" xfId="2915"/>
    <cellStyle name="Normal 10 4 3 4 3 2" xfId="5795"/>
    <cellStyle name="Normal 10 4 3 4 3 2 2" xfId="11555"/>
    <cellStyle name="Normal 10 4 3 4 3 2 2 2" xfId="28835"/>
    <cellStyle name="Normal 10 4 3 4 3 2 3" xfId="17315"/>
    <cellStyle name="Normal 10 4 3 4 3 2 3 2" xfId="34595"/>
    <cellStyle name="Normal 10 4 3 4 3 2 4" xfId="23075"/>
    <cellStyle name="Normal 10 4 3 4 3 3" xfId="8675"/>
    <cellStyle name="Normal 10 4 3 4 3 3 2" xfId="25955"/>
    <cellStyle name="Normal 10 4 3 4 3 4" xfId="14435"/>
    <cellStyle name="Normal 10 4 3 4 3 4 2" xfId="31715"/>
    <cellStyle name="Normal 10 4 3 4 3 5" xfId="20195"/>
    <cellStyle name="Normal 10 4 3 4 4" xfId="4355"/>
    <cellStyle name="Normal 10 4 3 4 4 2" xfId="10115"/>
    <cellStyle name="Normal 10 4 3 4 4 2 2" xfId="27395"/>
    <cellStyle name="Normal 10 4 3 4 4 3" xfId="15875"/>
    <cellStyle name="Normal 10 4 3 4 4 3 2" xfId="33155"/>
    <cellStyle name="Normal 10 4 3 4 4 4" xfId="21635"/>
    <cellStyle name="Normal 10 4 3 4 5" xfId="7235"/>
    <cellStyle name="Normal 10 4 3 4 5 2" xfId="24515"/>
    <cellStyle name="Normal 10 4 3 4 6" xfId="12995"/>
    <cellStyle name="Normal 10 4 3 4 6 2" xfId="30275"/>
    <cellStyle name="Normal 10 4 3 4 7" xfId="18755"/>
    <cellStyle name="Normal 10 4 3 5" xfId="1715"/>
    <cellStyle name="Normal 10 4 3 5 2" xfId="3155"/>
    <cellStyle name="Normal 10 4 3 5 2 2" xfId="6035"/>
    <cellStyle name="Normal 10 4 3 5 2 2 2" xfId="11795"/>
    <cellStyle name="Normal 10 4 3 5 2 2 2 2" xfId="29075"/>
    <cellStyle name="Normal 10 4 3 5 2 2 3" xfId="17555"/>
    <cellStyle name="Normal 10 4 3 5 2 2 3 2" xfId="34835"/>
    <cellStyle name="Normal 10 4 3 5 2 2 4" xfId="23315"/>
    <cellStyle name="Normal 10 4 3 5 2 3" xfId="8915"/>
    <cellStyle name="Normal 10 4 3 5 2 3 2" xfId="26195"/>
    <cellStyle name="Normal 10 4 3 5 2 4" xfId="14675"/>
    <cellStyle name="Normal 10 4 3 5 2 4 2" xfId="31955"/>
    <cellStyle name="Normal 10 4 3 5 2 5" xfId="20435"/>
    <cellStyle name="Normal 10 4 3 5 3" xfId="4595"/>
    <cellStyle name="Normal 10 4 3 5 3 2" xfId="10355"/>
    <cellStyle name="Normal 10 4 3 5 3 2 2" xfId="27635"/>
    <cellStyle name="Normal 10 4 3 5 3 3" xfId="16115"/>
    <cellStyle name="Normal 10 4 3 5 3 3 2" xfId="33395"/>
    <cellStyle name="Normal 10 4 3 5 3 4" xfId="21875"/>
    <cellStyle name="Normal 10 4 3 5 4" xfId="7475"/>
    <cellStyle name="Normal 10 4 3 5 4 2" xfId="24755"/>
    <cellStyle name="Normal 10 4 3 5 5" xfId="13235"/>
    <cellStyle name="Normal 10 4 3 5 5 2" xfId="30515"/>
    <cellStyle name="Normal 10 4 3 5 6" xfId="18995"/>
    <cellStyle name="Normal 10 4 3 6" xfId="2435"/>
    <cellStyle name="Normal 10 4 3 6 2" xfId="5315"/>
    <cellStyle name="Normal 10 4 3 6 2 2" xfId="11075"/>
    <cellStyle name="Normal 10 4 3 6 2 2 2" xfId="28355"/>
    <cellStyle name="Normal 10 4 3 6 2 3" xfId="16835"/>
    <cellStyle name="Normal 10 4 3 6 2 3 2" xfId="34115"/>
    <cellStyle name="Normal 10 4 3 6 2 4" xfId="22595"/>
    <cellStyle name="Normal 10 4 3 6 3" xfId="8195"/>
    <cellStyle name="Normal 10 4 3 6 3 2" xfId="25475"/>
    <cellStyle name="Normal 10 4 3 6 4" xfId="13955"/>
    <cellStyle name="Normal 10 4 3 6 4 2" xfId="31235"/>
    <cellStyle name="Normal 10 4 3 6 5" xfId="19715"/>
    <cellStyle name="Normal 10 4 3 7" xfId="3875"/>
    <cellStyle name="Normal 10 4 3 7 2" xfId="9635"/>
    <cellStyle name="Normal 10 4 3 7 2 2" xfId="26915"/>
    <cellStyle name="Normal 10 4 3 7 3" xfId="15395"/>
    <cellStyle name="Normal 10 4 3 7 3 2" xfId="32675"/>
    <cellStyle name="Normal 10 4 3 7 4" xfId="21155"/>
    <cellStyle name="Normal 10 4 3 8" xfId="6755"/>
    <cellStyle name="Normal 10 4 3 8 2" xfId="24035"/>
    <cellStyle name="Normal 10 4 3 9" xfId="12515"/>
    <cellStyle name="Normal 10 4 3 9 2" xfId="29795"/>
    <cellStyle name="Normal 10 4 4" xfId="1075"/>
    <cellStyle name="Normal 10 4 4 2" xfId="1315"/>
    <cellStyle name="Normal 10 4 4 2 2" xfId="2035"/>
    <cellStyle name="Normal 10 4 4 2 2 2" xfId="3475"/>
    <cellStyle name="Normal 10 4 4 2 2 2 2" xfId="6355"/>
    <cellStyle name="Normal 10 4 4 2 2 2 2 2" xfId="12115"/>
    <cellStyle name="Normal 10 4 4 2 2 2 2 2 2" xfId="29395"/>
    <cellStyle name="Normal 10 4 4 2 2 2 2 3" xfId="17875"/>
    <cellStyle name="Normal 10 4 4 2 2 2 2 3 2" xfId="35155"/>
    <cellStyle name="Normal 10 4 4 2 2 2 2 4" xfId="23635"/>
    <cellStyle name="Normal 10 4 4 2 2 2 3" xfId="9235"/>
    <cellStyle name="Normal 10 4 4 2 2 2 3 2" xfId="26515"/>
    <cellStyle name="Normal 10 4 4 2 2 2 4" xfId="14995"/>
    <cellStyle name="Normal 10 4 4 2 2 2 4 2" xfId="32275"/>
    <cellStyle name="Normal 10 4 4 2 2 2 5" xfId="20755"/>
    <cellStyle name="Normal 10 4 4 2 2 3" xfId="4915"/>
    <cellStyle name="Normal 10 4 4 2 2 3 2" xfId="10675"/>
    <cellStyle name="Normal 10 4 4 2 2 3 2 2" xfId="27955"/>
    <cellStyle name="Normal 10 4 4 2 2 3 3" xfId="16435"/>
    <cellStyle name="Normal 10 4 4 2 2 3 3 2" xfId="33715"/>
    <cellStyle name="Normal 10 4 4 2 2 3 4" xfId="22195"/>
    <cellStyle name="Normal 10 4 4 2 2 4" xfId="7795"/>
    <cellStyle name="Normal 10 4 4 2 2 4 2" xfId="25075"/>
    <cellStyle name="Normal 10 4 4 2 2 5" xfId="13555"/>
    <cellStyle name="Normal 10 4 4 2 2 5 2" xfId="30835"/>
    <cellStyle name="Normal 10 4 4 2 2 6" xfId="19315"/>
    <cellStyle name="Normal 10 4 4 2 3" xfId="2755"/>
    <cellStyle name="Normal 10 4 4 2 3 2" xfId="5635"/>
    <cellStyle name="Normal 10 4 4 2 3 2 2" xfId="11395"/>
    <cellStyle name="Normal 10 4 4 2 3 2 2 2" xfId="28675"/>
    <cellStyle name="Normal 10 4 4 2 3 2 3" xfId="17155"/>
    <cellStyle name="Normal 10 4 4 2 3 2 3 2" xfId="34435"/>
    <cellStyle name="Normal 10 4 4 2 3 2 4" xfId="22915"/>
    <cellStyle name="Normal 10 4 4 2 3 3" xfId="8515"/>
    <cellStyle name="Normal 10 4 4 2 3 3 2" xfId="25795"/>
    <cellStyle name="Normal 10 4 4 2 3 4" xfId="14275"/>
    <cellStyle name="Normal 10 4 4 2 3 4 2" xfId="31555"/>
    <cellStyle name="Normal 10 4 4 2 3 5" xfId="20035"/>
    <cellStyle name="Normal 10 4 4 2 4" xfId="4195"/>
    <cellStyle name="Normal 10 4 4 2 4 2" xfId="9955"/>
    <cellStyle name="Normal 10 4 4 2 4 2 2" xfId="27235"/>
    <cellStyle name="Normal 10 4 4 2 4 3" xfId="15715"/>
    <cellStyle name="Normal 10 4 4 2 4 3 2" xfId="32995"/>
    <cellStyle name="Normal 10 4 4 2 4 4" xfId="21475"/>
    <cellStyle name="Normal 10 4 4 2 5" xfId="7075"/>
    <cellStyle name="Normal 10 4 4 2 5 2" xfId="24355"/>
    <cellStyle name="Normal 10 4 4 2 6" xfId="12835"/>
    <cellStyle name="Normal 10 4 4 2 6 2" xfId="30115"/>
    <cellStyle name="Normal 10 4 4 2 7" xfId="18595"/>
    <cellStyle name="Normal 10 4 4 3" xfId="1555"/>
    <cellStyle name="Normal 10 4 4 3 2" xfId="2275"/>
    <cellStyle name="Normal 10 4 4 3 2 2" xfId="3715"/>
    <cellStyle name="Normal 10 4 4 3 2 2 2" xfId="6595"/>
    <cellStyle name="Normal 10 4 4 3 2 2 2 2" xfId="12355"/>
    <cellStyle name="Normal 10 4 4 3 2 2 2 2 2" xfId="29635"/>
    <cellStyle name="Normal 10 4 4 3 2 2 2 3" xfId="18115"/>
    <cellStyle name="Normal 10 4 4 3 2 2 2 3 2" xfId="35395"/>
    <cellStyle name="Normal 10 4 4 3 2 2 2 4" xfId="23875"/>
    <cellStyle name="Normal 10 4 4 3 2 2 3" xfId="9475"/>
    <cellStyle name="Normal 10 4 4 3 2 2 3 2" xfId="26755"/>
    <cellStyle name="Normal 10 4 4 3 2 2 4" xfId="15235"/>
    <cellStyle name="Normal 10 4 4 3 2 2 4 2" xfId="32515"/>
    <cellStyle name="Normal 10 4 4 3 2 2 5" xfId="20995"/>
    <cellStyle name="Normal 10 4 4 3 2 3" xfId="5155"/>
    <cellStyle name="Normal 10 4 4 3 2 3 2" xfId="10915"/>
    <cellStyle name="Normal 10 4 4 3 2 3 2 2" xfId="28195"/>
    <cellStyle name="Normal 10 4 4 3 2 3 3" xfId="16675"/>
    <cellStyle name="Normal 10 4 4 3 2 3 3 2" xfId="33955"/>
    <cellStyle name="Normal 10 4 4 3 2 3 4" xfId="22435"/>
    <cellStyle name="Normal 10 4 4 3 2 4" xfId="8035"/>
    <cellStyle name="Normal 10 4 4 3 2 4 2" xfId="25315"/>
    <cellStyle name="Normal 10 4 4 3 2 5" xfId="13795"/>
    <cellStyle name="Normal 10 4 4 3 2 5 2" xfId="31075"/>
    <cellStyle name="Normal 10 4 4 3 2 6" xfId="19555"/>
    <cellStyle name="Normal 10 4 4 3 3" xfId="2995"/>
    <cellStyle name="Normal 10 4 4 3 3 2" xfId="5875"/>
    <cellStyle name="Normal 10 4 4 3 3 2 2" xfId="11635"/>
    <cellStyle name="Normal 10 4 4 3 3 2 2 2" xfId="28915"/>
    <cellStyle name="Normal 10 4 4 3 3 2 3" xfId="17395"/>
    <cellStyle name="Normal 10 4 4 3 3 2 3 2" xfId="34675"/>
    <cellStyle name="Normal 10 4 4 3 3 2 4" xfId="23155"/>
    <cellStyle name="Normal 10 4 4 3 3 3" xfId="8755"/>
    <cellStyle name="Normal 10 4 4 3 3 3 2" xfId="26035"/>
    <cellStyle name="Normal 10 4 4 3 3 4" xfId="14515"/>
    <cellStyle name="Normal 10 4 4 3 3 4 2" xfId="31795"/>
    <cellStyle name="Normal 10 4 4 3 3 5" xfId="20275"/>
    <cellStyle name="Normal 10 4 4 3 4" xfId="4435"/>
    <cellStyle name="Normal 10 4 4 3 4 2" xfId="10195"/>
    <cellStyle name="Normal 10 4 4 3 4 2 2" xfId="27475"/>
    <cellStyle name="Normal 10 4 4 3 4 3" xfId="15955"/>
    <cellStyle name="Normal 10 4 4 3 4 3 2" xfId="33235"/>
    <cellStyle name="Normal 10 4 4 3 4 4" xfId="21715"/>
    <cellStyle name="Normal 10 4 4 3 5" xfId="7315"/>
    <cellStyle name="Normal 10 4 4 3 5 2" xfId="24595"/>
    <cellStyle name="Normal 10 4 4 3 6" xfId="13075"/>
    <cellStyle name="Normal 10 4 4 3 6 2" xfId="30355"/>
    <cellStyle name="Normal 10 4 4 3 7" xfId="18835"/>
    <cellStyle name="Normal 10 4 4 4" xfId="1795"/>
    <cellStyle name="Normal 10 4 4 4 2" xfId="3235"/>
    <cellStyle name="Normal 10 4 4 4 2 2" xfId="6115"/>
    <cellStyle name="Normal 10 4 4 4 2 2 2" xfId="11875"/>
    <cellStyle name="Normal 10 4 4 4 2 2 2 2" xfId="29155"/>
    <cellStyle name="Normal 10 4 4 4 2 2 3" xfId="17635"/>
    <cellStyle name="Normal 10 4 4 4 2 2 3 2" xfId="34915"/>
    <cellStyle name="Normal 10 4 4 4 2 2 4" xfId="23395"/>
    <cellStyle name="Normal 10 4 4 4 2 3" xfId="8995"/>
    <cellStyle name="Normal 10 4 4 4 2 3 2" xfId="26275"/>
    <cellStyle name="Normal 10 4 4 4 2 4" xfId="14755"/>
    <cellStyle name="Normal 10 4 4 4 2 4 2" xfId="32035"/>
    <cellStyle name="Normal 10 4 4 4 2 5" xfId="20515"/>
    <cellStyle name="Normal 10 4 4 4 3" xfId="4675"/>
    <cellStyle name="Normal 10 4 4 4 3 2" xfId="10435"/>
    <cellStyle name="Normal 10 4 4 4 3 2 2" xfId="27715"/>
    <cellStyle name="Normal 10 4 4 4 3 3" xfId="16195"/>
    <cellStyle name="Normal 10 4 4 4 3 3 2" xfId="33475"/>
    <cellStyle name="Normal 10 4 4 4 3 4" xfId="21955"/>
    <cellStyle name="Normal 10 4 4 4 4" xfId="7555"/>
    <cellStyle name="Normal 10 4 4 4 4 2" xfId="24835"/>
    <cellStyle name="Normal 10 4 4 4 5" xfId="13315"/>
    <cellStyle name="Normal 10 4 4 4 5 2" xfId="30595"/>
    <cellStyle name="Normal 10 4 4 4 6" xfId="19075"/>
    <cellStyle name="Normal 10 4 4 5" xfId="2515"/>
    <cellStyle name="Normal 10 4 4 5 2" xfId="5395"/>
    <cellStyle name="Normal 10 4 4 5 2 2" xfId="11155"/>
    <cellStyle name="Normal 10 4 4 5 2 2 2" xfId="28435"/>
    <cellStyle name="Normal 10 4 4 5 2 3" xfId="16915"/>
    <cellStyle name="Normal 10 4 4 5 2 3 2" xfId="34195"/>
    <cellStyle name="Normal 10 4 4 5 2 4" xfId="22675"/>
    <cellStyle name="Normal 10 4 4 5 3" xfId="8275"/>
    <cellStyle name="Normal 10 4 4 5 3 2" xfId="25555"/>
    <cellStyle name="Normal 10 4 4 5 4" xfId="14035"/>
    <cellStyle name="Normal 10 4 4 5 4 2" xfId="31315"/>
    <cellStyle name="Normal 10 4 4 5 5" xfId="19795"/>
    <cellStyle name="Normal 10 4 4 6" xfId="3955"/>
    <cellStyle name="Normal 10 4 4 6 2" xfId="9715"/>
    <cellStyle name="Normal 10 4 4 6 2 2" xfId="26995"/>
    <cellStyle name="Normal 10 4 4 6 3" xfId="15475"/>
    <cellStyle name="Normal 10 4 4 6 3 2" xfId="32755"/>
    <cellStyle name="Normal 10 4 4 6 4" xfId="21235"/>
    <cellStyle name="Normal 10 4 4 7" xfId="6835"/>
    <cellStyle name="Normal 10 4 4 7 2" xfId="24115"/>
    <cellStyle name="Normal 10 4 4 8" xfId="12595"/>
    <cellStyle name="Normal 10 4 4 8 2" xfId="29875"/>
    <cellStyle name="Normal 10 4 4 9" xfId="18355"/>
    <cellStyle name="Normal 10 4 5" xfId="1195"/>
    <cellStyle name="Normal 10 4 5 2" xfId="1915"/>
    <cellStyle name="Normal 10 4 5 2 2" xfId="3355"/>
    <cellStyle name="Normal 10 4 5 2 2 2" xfId="6235"/>
    <cellStyle name="Normal 10 4 5 2 2 2 2" xfId="11995"/>
    <cellStyle name="Normal 10 4 5 2 2 2 2 2" xfId="29275"/>
    <cellStyle name="Normal 10 4 5 2 2 2 3" xfId="17755"/>
    <cellStyle name="Normal 10 4 5 2 2 2 3 2" xfId="35035"/>
    <cellStyle name="Normal 10 4 5 2 2 2 4" xfId="23515"/>
    <cellStyle name="Normal 10 4 5 2 2 3" xfId="9115"/>
    <cellStyle name="Normal 10 4 5 2 2 3 2" xfId="26395"/>
    <cellStyle name="Normal 10 4 5 2 2 4" xfId="14875"/>
    <cellStyle name="Normal 10 4 5 2 2 4 2" xfId="32155"/>
    <cellStyle name="Normal 10 4 5 2 2 5" xfId="20635"/>
    <cellStyle name="Normal 10 4 5 2 3" xfId="4795"/>
    <cellStyle name="Normal 10 4 5 2 3 2" xfId="10555"/>
    <cellStyle name="Normal 10 4 5 2 3 2 2" xfId="27835"/>
    <cellStyle name="Normal 10 4 5 2 3 3" xfId="16315"/>
    <cellStyle name="Normal 10 4 5 2 3 3 2" xfId="33595"/>
    <cellStyle name="Normal 10 4 5 2 3 4" xfId="22075"/>
    <cellStyle name="Normal 10 4 5 2 4" xfId="7675"/>
    <cellStyle name="Normal 10 4 5 2 4 2" xfId="24955"/>
    <cellStyle name="Normal 10 4 5 2 5" xfId="13435"/>
    <cellStyle name="Normal 10 4 5 2 5 2" xfId="30715"/>
    <cellStyle name="Normal 10 4 5 2 6" xfId="19195"/>
    <cellStyle name="Normal 10 4 5 3" xfId="2635"/>
    <cellStyle name="Normal 10 4 5 3 2" xfId="5515"/>
    <cellStyle name="Normal 10 4 5 3 2 2" xfId="11275"/>
    <cellStyle name="Normal 10 4 5 3 2 2 2" xfId="28555"/>
    <cellStyle name="Normal 10 4 5 3 2 3" xfId="17035"/>
    <cellStyle name="Normal 10 4 5 3 2 3 2" xfId="34315"/>
    <cellStyle name="Normal 10 4 5 3 2 4" xfId="22795"/>
    <cellStyle name="Normal 10 4 5 3 3" xfId="8395"/>
    <cellStyle name="Normal 10 4 5 3 3 2" xfId="25675"/>
    <cellStyle name="Normal 10 4 5 3 4" xfId="14155"/>
    <cellStyle name="Normal 10 4 5 3 4 2" xfId="31435"/>
    <cellStyle name="Normal 10 4 5 3 5" xfId="19915"/>
    <cellStyle name="Normal 10 4 5 4" xfId="4075"/>
    <cellStyle name="Normal 10 4 5 4 2" xfId="9835"/>
    <cellStyle name="Normal 10 4 5 4 2 2" xfId="27115"/>
    <cellStyle name="Normal 10 4 5 4 3" xfId="15595"/>
    <cellStyle name="Normal 10 4 5 4 3 2" xfId="32875"/>
    <cellStyle name="Normal 10 4 5 4 4" xfId="21355"/>
    <cellStyle name="Normal 10 4 5 5" xfId="6955"/>
    <cellStyle name="Normal 10 4 5 5 2" xfId="24235"/>
    <cellStyle name="Normal 10 4 5 6" xfId="12715"/>
    <cellStyle name="Normal 10 4 5 6 2" xfId="29995"/>
    <cellStyle name="Normal 10 4 5 7" xfId="18475"/>
    <cellStyle name="Normal 10 4 6" xfId="1435"/>
    <cellStyle name="Normal 10 4 6 2" xfId="2155"/>
    <cellStyle name="Normal 10 4 6 2 2" xfId="3595"/>
    <cellStyle name="Normal 10 4 6 2 2 2" xfId="6475"/>
    <cellStyle name="Normal 10 4 6 2 2 2 2" xfId="12235"/>
    <cellStyle name="Normal 10 4 6 2 2 2 2 2" xfId="29515"/>
    <cellStyle name="Normal 10 4 6 2 2 2 3" xfId="17995"/>
    <cellStyle name="Normal 10 4 6 2 2 2 3 2" xfId="35275"/>
    <cellStyle name="Normal 10 4 6 2 2 2 4" xfId="23755"/>
    <cellStyle name="Normal 10 4 6 2 2 3" xfId="9355"/>
    <cellStyle name="Normal 10 4 6 2 2 3 2" xfId="26635"/>
    <cellStyle name="Normal 10 4 6 2 2 4" xfId="15115"/>
    <cellStyle name="Normal 10 4 6 2 2 4 2" xfId="32395"/>
    <cellStyle name="Normal 10 4 6 2 2 5" xfId="20875"/>
    <cellStyle name="Normal 10 4 6 2 3" xfId="5035"/>
    <cellStyle name="Normal 10 4 6 2 3 2" xfId="10795"/>
    <cellStyle name="Normal 10 4 6 2 3 2 2" xfId="28075"/>
    <cellStyle name="Normal 10 4 6 2 3 3" xfId="16555"/>
    <cellStyle name="Normal 10 4 6 2 3 3 2" xfId="33835"/>
    <cellStyle name="Normal 10 4 6 2 3 4" xfId="22315"/>
    <cellStyle name="Normal 10 4 6 2 4" xfId="7915"/>
    <cellStyle name="Normal 10 4 6 2 4 2" xfId="25195"/>
    <cellStyle name="Normal 10 4 6 2 5" xfId="13675"/>
    <cellStyle name="Normal 10 4 6 2 5 2" xfId="30955"/>
    <cellStyle name="Normal 10 4 6 2 6" xfId="19435"/>
    <cellStyle name="Normal 10 4 6 3" xfId="2875"/>
    <cellStyle name="Normal 10 4 6 3 2" xfId="5755"/>
    <cellStyle name="Normal 10 4 6 3 2 2" xfId="11515"/>
    <cellStyle name="Normal 10 4 6 3 2 2 2" xfId="28795"/>
    <cellStyle name="Normal 10 4 6 3 2 3" xfId="17275"/>
    <cellStyle name="Normal 10 4 6 3 2 3 2" xfId="34555"/>
    <cellStyle name="Normal 10 4 6 3 2 4" xfId="23035"/>
    <cellStyle name="Normal 10 4 6 3 3" xfId="8635"/>
    <cellStyle name="Normal 10 4 6 3 3 2" xfId="25915"/>
    <cellStyle name="Normal 10 4 6 3 4" xfId="14395"/>
    <cellStyle name="Normal 10 4 6 3 4 2" xfId="31675"/>
    <cellStyle name="Normal 10 4 6 3 5" xfId="20155"/>
    <cellStyle name="Normal 10 4 6 4" xfId="4315"/>
    <cellStyle name="Normal 10 4 6 4 2" xfId="10075"/>
    <cellStyle name="Normal 10 4 6 4 2 2" xfId="27355"/>
    <cellStyle name="Normal 10 4 6 4 3" xfId="15835"/>
    <cellStyle name="Normal 10 4 6 4 3 2" xfId="33115"/>
    <cellStyle name="Normal 10 4 6 4 4" xfId="21595"/>
    <cellStyle name="Normal 10 4 6 5" xfId="7195"/>
    <cellStyle name="Normal 10 4 6 5 2" xfId="24475"/>
    <cellStyle name="Normal 10 4 6 6" xfId="12955"/>
    <cellStyle name="Normal 10 4 6 6 2" xfId="30235"/>
    <cellStyle name="Normal 10 4 6 7" xfId="18715"/>
    <cellStyle name="Normal 10 4 7" xfId="1675"/>
    <cellStyle name="Normal 10 4 7 2" xfId="3115"/>
    <cellStyle name="Normal 10 4 7 2 2" xfId="5995"/>
    <cellStyle name="Normal 10 4 7 2 2 2" xfId="11755"/>
    <cellStyle name="Normal 10 4 7 2 2 2 2" xfId="29035"/>
    <cellStyle name="Normal 10 4 7 2 2 3" xfId="17515"/>
    <cellStyle name="Normal 10 4 7 2 2 3 2" xfId="34795"/>
    <cellStyle name="Normal 10 4 7 2 2 4" xfId="23275"/>
    <cellStyle name="Normal 10 4 7 2 3" xfId="8875"/>
    <cellStyle name="Normal 10 4 7 2 3 2" xfId="26155"/>
    <cellStyle name="Normal 10 4 7 2 4" xfId="14635"/>
    <cellStyle name="Normal 10 4 7 2 4 2" xfId="31915"/>
    <cellStyle name="Normal 10 4 7 2 5" xfId="20395"/>
    <cellStyle name="Normal 10 4 7 3" xfId="4555"/>
    <cellStyle name="Normal 10 4 7 3 2" xfId="10315"/>
    <cellStyle name="Normal 10 4 7 3 2 2" xfId="27595"/>
    <cellStyle name="Normal 10 4 7 3 3" xfId="16075"/>
    <cellStyle name="Normal 10 4 7 3 3 2" xfId="33355"/>
    <cellStyle name="Normal 10 4 7 3 4" xfId="21835"/>
    <cellStyle name="Normal 10 4 7 4" xfId="7435"/>
    <cellStyle name="Normal 10 4 7 4 2" xfId="24715"/>
    <cellStyle name="Normal 10 4 7 5" xfId="13195"/>
    <cellStyle name="Normal 10 4 7 5 2" xfId="30475"/>
    <cellStyle name="Normal 10 4 7 6" xfId="18955"/>
    <cellStyle name="Normal 10 4 8" xfId="2395"/>
    <cellStyle name="Normal 10 4 8 2" xfId="5275"/>
    <cellStyle name="Normal 10 4 8 2 2" xfId="11035"/>
    <cellStyle name="Normal 10 4 8 2 2 2" xfId="28315"/>
    <cellStyle name="Normal 10 4 8 2 3" xfId="16795"/>
    <cellStyle name="Normal 10 4 8 2 3 2" xfId="34075"/>
    <cellStyle name="Normal 10 4 8 2 4" xfId="22555"/>
    <cellStyle name="Normal 10 4 8 3" xfId="8155"/>
    <cellStyle name="Normal 10 4 8 3 2" xfId="25435"/>
    <cellStyle name="Normal 10 4 8 4" xfId="13915"/>
    <cellStyle name="Normal 10 4 8 4 2" xfId="31195"/>
    <cellStyle name="Normal 10 4 8 5" xfId="19675"/>
    <cellStyle name="Normal 10 4 9" xfId="3835"/>
    <cellStyle name="Normal 10 4 9 2" xfId="9595"/>
    <cellStyle name="Normal 10 4 9 2 2" xfId="26875"/>
    <cellStyle name="Normal 10 4 9 3" xfId="15355"/>
    <cellStyle name="Normal 10 4 9 3 2" xfId="32635"/>
    <cellStyle name="Normal 10 4 9 4" xfId="21115"/>
    <cellStyle name="Normal 10 5" xfId="1015"/>
    <cellStyle name="Normal 10 5 10" xfId="18295"/>
    <cellStyle name="Normal 10 5 2" xfId="1135"/>
    <cellStyle name="Normal 10 5 2 2" xfId="1375"/>
    <cellStyle name="Normal 10 5 2 2 2" xfId="2095"/>
    <cellStyle name="Normal 10 5 2 2 2 2" xfId="3535"/>
    <cellStyle name="Normal 10 5 2 2 2 2 2" xfId="6415"/>
    <cellStyle name="Normal 10 5 2 2 2 2 2 2" xfId="12175"/>
    <cellStyle name="Normal 10 5 2 2 2 2 2 2 2" xfId="29455"/>
    <cellStyle name="Normal 10 5 2 2 2 2 2 3" xfId="17935"/>
    <cellStyle name="Normal 10 5 2 2 2 2 2 3 2" xfId="35215"/>
    <cellStyle name="Normal 10 5 2 2 2 2 2 4" xfId="23695"/>
    <cellStyle name="Normal 10 5 2 2 2 2 3" xfId="9295"/>
    <cellStyle name="Normal 10 5 2 2 2 2 3 2" xfId="26575"/>
    <cellStyle name="Normal 10 5 2 2 2 2 4" xfId="15055"/>
    <cellStyle name="Normal 10 5 2 2 2 2 4 2" xfId="32335"/>
    <cellStyle name="Normal 10 5 2 2 2 2 5" xfId="20815"/>
    <cellStyle name="Normal 10 5 2 2 2 3" xfId="4975"/>
    <cellStyle name="Normal 10 5 2 2 2 3 2" xfId="10735"/>
    <cellStyle name="Normal 10 5 2 2 2 3 2 2" xfId="28015"/>
    <cellStyle name="Normal 10 5 2 2 2 3 3" xfId="16495"/>
    <cellStyle name="Normal 10 5 2 2 2 3 3 2" xfId="33775"/>
    <cellStyle name="Normal 10 5 2 2 2 3 4" xfId="22255"/>
    <cellStyle name="Normal 10 5 2 2 2 4" xfId="7855"/>
    <cellStyle name="Normal 10 5 2 2 2 4 2" xfId="25135"/>
    <cellStyle name="Normal 10 5 2 2 2 5" xfId="13615"/>
    <cellStyle name="Normal 10 5 2 2 2 5 2" xfId="30895"/>
    <cellStyle name="Normal 10 5 2 2 2 6" xfId="19375"/>
    <cellStyle name="Normal 10 5 2 2 3" xfId="2815"/>
    <cellStyle name="Normal 10 5 2 2 3 2" xfId="5695"/>
    <cellStyle name="Normal 10 5 2 2 3 2 2" xfId="11455"/>
    <cellStyle name="Normal 10 5 2 2 3 2 2 2" xfId="28735"/>
    <cellStyle name="Normal 10 5 2 2 3 2 3" xfId="17215"/>
    <cellStyle name="Normal 10 5 2 2 3 2 3 2" xfId="34495"/>
    <cellStyle name="Normal 10 5 2 2 3 2 4" xfId="22975"/>
    <cellStyle name="Normal 10 5 2 2 3 3" xfId="8575"/>
    <cellStyle name="Normal 10 5 2 2 3 3 2" xfId="25855"/>
    <cellStyle name="Normal 10 5 2 2 3 4" xfId="14335"/>
    <cellStyle name="Normal 10 5 2 2 3 4 2" xfId="31615"/>
    <cellStyle name="Normal 10 5 2 2 3 5" xfId="20095"/>
    <cellStyle name="Normal 10 5 2 2 4" xfId="4255"/>
    <cellStyle name="Normal 10 5 2 2 4 2" xfId="10015"/>
    <cellStyle name="Normal 10 5 2 2 4 2 2" xfId="27295"/>
    <cellStyle name="Normal 10 5 2 2 4 3" xfId="15775"/>
    <cellStyle name="Normal 10 5 2 2 4 3 2" xfId="33055"/>
    <cellStyle name="Normal 10 5 2 2 4 4" xfId="21535"/>
    <cellStyle name="Normal 10 5 2 2 5" xfId="7135"/>
    <cellStyle name="Normal 10 5 2 2 5 2" xfId="24415"/>
    <cellStyle name="Normal 10 5 2 2 6" xfId="12895"/>
    <cellStyle name="Normal 10 5 2 2 6 2" xfId="30175"/>
    <cellStyle name="Normal 10 5 2 2 7" xfId="18655"/>
    <cellStyle name="Normal 10 5 2 3" xfId="1615"/>
    <cellStyle name="Normal 10 5 2 3 2" xfId="2335"/>
    <cellStyle name="Normal 10 5 2 3 2 2" xfId="3775"/>
    <cellStyle name="Normal 10 5 2 3 2 2 2" xfId="6655"/>
    <cellStyle name="Normal 10 5 2 3 2 2 2 2" xfId="12415"/>
    <cellStyle name="Normal 10 5 2 3 2 2 2 2 2" xfId="29695"/>
    <cellStyle name="Normal 10 5 2 3 2 2 2 3" xfId="18175"/>
    <cellStyle name="Normal 10 5 2 3 2 2 2 3 2" xfId="35455"/>
    <cellStyle name="Normal 10 5 2 3 2 2 2 4" xfId="23935"/>
    <cellStyle name="Normal 10 5 2 3 2 2 3" xfId="9535"/>
    <cellStyle name="Normal 10 5 2 3 2 2 3 2" xfId="26815"/>
    <cellStyle name="Normal 10 5 2 3 2 2 4" xfId="15295"/>
    <cellStyle name="Normal 10 5 2 3 2 2 4 2" xfId="32575"/>
    <cellStyle name="Normal 10 5 2 3 2 2 5" xfId="21055"/>
    <cellStyle name="Normal 10 5 2 3 2 3" xfId="5215"/>
    <cellStyle name="Normal 10 5 2 3 2 3 2" xfId="10975"/>
    <cellStyle name="Normal 10 5 2 3 2 3 2 2" xfId="28255"/>
    <cellStyle name="Normal 10 5 2 3 2 3 3" xfId="16735"/>
    <cellStyle name="Normal 10 5 2 3 2 3 3 2" xfId="34015"/>
    <cellStyle name="Normal 10 5 2 3 2 3 4" xfId="22495"/>
    <cellStyle name="Normal 10 5 2 3 2 4" xfId="8095"/>
    <cellStyle name="Normal 10 5 2 3 2 4 2" xfId="25375"/>
    <cellStyle name="Normal 10 5 2 3 2 5" xfId="13855"/>
    <cellStyle name="Normal 10 5 2 3 2 5 2" xfId="31135"/>
    <cellStyle name="Normal 10 5 2 3 2 6" xfId="19615"/>
    <cellStyle name="Normal 10 5 2 3 3" xfId="3055"/>
    <cellStyle name="Normal 10 5 2 3 3 2" xfId="5935"/>
    <cellStyle name="Normal 10 5 2 3 3 2 2" xfId="11695"/>
    <cellStyle name="Normal 10 5 2 3 3 2 2 2" xfId="28975"/>
    <cellStyle name="Normal 10 5 2 3 3 2 3" xfId="17455"/>
    <cellStyle name="Normal 10 5 2 3 3 2 3 2" xfId="34735"/>
    <cellStyle name="Normal 10 5 2 3 3 2 4" xfId="23215"/>
    <cellStyle name="Normal 10 5 2 3 3 3" xfId="8815"/>
    <cellStyle name="Normal 10 5 2 3 3 3 2" xfId="26095"/>
    <cellStyle name="Normal 10 5 2 3 3 4" xfId="14575"/>
    <cellStyle name="Normal 10 5 2 3 3 4 2" xfId="31855"/>
    <cellStyle name="Normal 10 5 2 3 3 5" xfId="20335"/>
    <cellStyle name="Normal 10 5 2 3 4" xfId="4495"/>
    <cellStyle name="Normal 10 5 2 3 4 2" xfId="10255"/>
    <cellStyle name="Normal 10 5 2 3 4 2 2" xfId="27535"/>
    <cellStyle name="Normal 10 5 2 3 4 3" xfId="16015"/>
    <cellStyle name="Normal 10 5 2 3 4 3 2" xfId="33295"/>
    <cellStyle name="Normal 10 5 2 3 4 4" xfId="21775"/>
    <cellStyle name="Normal 10 5 2 3 5" xfId="7375"/>
    <cellStyle name="Normal 10 5 2 3 5 2" xfId="24655"/>
    <cellStyle name="Normal 10 5 2 3 6" xfId="13135"/>
    <cellStyle name="Normal 10 5 2 3 6 2" xfId="30415"/>
    <cellStyle name="Normal 10 5 2 3 7" xfId="18895"/>
    <cellStyle name="Normal 10 5 2 4" xfId="1855"/>
    <cellStyle name="Normal 10 5 2 4 2" xfId="3295"/>
    <cellStyle name="Normal 10 5 2 4 2 2" xfId="6175"/>
    <cellStyle name="Normal 10 5 2 4 2 2 2" xfId="11935"/>
    <cellStyle name="Normal 10 5 2 4 2 2 2 2" xfId="29215"/>
    <cellStyle name="Normal 10 5 2 4 2 2 3" xfId="17695"/>
    <cellStyle name="Normal 10 5 2 4 2 2 3 2" xfId="34975"/>
    <cellStyle name="Normal 10 5 2 4 2 2 4" xfId="23455"/>
    <cellStyle name="Normal 10 5 2 4 2 3" xfId="9055"/>
    <cellStyle name="Normal 10 5 2 4 2 3 2" xfId="26335"/>
    <cellStyle name="Normal 10 5 2 4 2 4" xfId="14815"/>
    <cellStyle name="Normal 10 5 2 4 2 4 2" xfId="32095"/>
    <cellStyle name="Normal 10 5 2 4 2 5" xfId="20575"/>
    <cellStyle name="Normal 10 5 2 4 3" xfId="4735"/>
    <cellStyle name="Normal 10 5 2 4 3 2" xfId="10495"/>
    <cellStyle name="Normal 10 5 2 4 3 2 2" xfId="27775"/>
    <cellStyle name="Normal 10 5 2 4 3 3" xfId="16255"/>
    <cellStyle name="Normal 10 5 2 4 3 3 2" xfId="33535"/>
    <cellStyle name="Normal 10 5 2 4 3 4" xfId="22015"/>
    <cellStyle name="Normal 10 5 2 4 4" xfId="7615"/>
    <cellStyle name="Normal 10 5 2 4 4 2" xfId="24895"/>
    <cellStyle name="Normal 10 5 2 4 5" xfId="13375"/>
    <cellStyle name="Normal 10 5 2 4 5 2" xfId="30655"/>
    <cellStyle name="Normal 10 5 2 4 6" xfId="19135"/>
    <cellStyle name="Normal 10 5 2 5" xfId="2575"/>
    <cellStyle name="Normal 10 5 2 5 2" xfId="5455"/>
    <cellStyle name="Normal 10 5 2 5 2 2" xfId="11215"/>
    <cellStyle name="Normal 10 5 2 5 2 2 2" xfId="28495"/>
    <cellStyle name="Normal 10 5 2 5 2 3" xfId="16975"/>
    <cellStyle name="Normal 10 5 2 5 2 3 2" xfId="34255"/>
    <cellStyle name="Normal 10 5 2 5 2 4" xfId="22735"/>
    <cellStyle name="Normal 10 5 2 5 3" xfId="8335"/>
    <cellStyle name="Normal 10 5 2 5 3 2" xfId="25615"/>
    <cellStyle name="Normal 10 5 2 5 4" xfId="14095"/>
    <cellStyle name="Normal 10 5 2 5 4 2" xfId="31375"/>
    <cellStyle name="Normal 10 5 2 5 5" xfId="19855"/>
    <cellStyle name="Normal 10 5 2 6" xfId="4015"/>
    <cellStyle name="Normal 10 5 2 6 2" xfId="9775"/>
    <cellStyle name="Normal 10 5 2 6 2 2" xfId="27055"/>
    <cellStyle name="Normal 10 5 2 6 3" xfId="15535"/>
    <cellStyle name="Normal 10 5 2 6 3 2" xfId="32815"/>
    <cellStyle name="Normal 10 5 2 6 4" xfId="21295"/>
    <cellStyle name="Normal 10 5 2 7" xfId="6895"/>
    <cellStyle name="Normal 10 5 2 7 2" xfId="24175"/>
    <cellStyle name="Normal 10 5 2 8" xfId="12655"/>
    <cellStyle name="Normal 10 5 2 8 2" xfId="29935"/>
    <cellStyle name="Normal 10 5 2 9" xfId="18415"/>
    <cellStyle name="Normal 10 5 3" xfId="1255"/>
    <cellStyle name="Normal 10 5 3 2" xfId="1975"/>
    <cellStyle name="Normal 10 5 3 2 2" xfId="3415"/>
    <cellStyle name="Normal 10 5 3 2 2 2" xfId="6295"/>
    <cellStyle name="Normal 10 5 3 2 2 2 2" xfId="12055"/>
    <cellStyle name="Normal 10 5 3 2 2 2 2 2" xfId="29335"/>
    <cellStyle name="Normal 10 5 3 2 2 2 3" xfId="17815"/>
    <cellStyle name="Normal 10 5 3 2 2 2 3 2" xfId="35095"/>
    <cellStyle name="Normal 10 5 3 2 2 2 4" xfId="23575"/>
    <cellStyle name="Normal 10 5 3 2 2 3" xfId="9175"/>
    <cellStyle name="Normal 10 5 3 2 2 3 2" xfId="26455"/>
    <cellStyle name="Normal 10 5 3 2 2 4" xfId="14935"/>
    <cellStyle name="Normal 10 5 3 2 2 4 2" xfId="32215"/>
    <cellStyle name="Normal 10 5 3 2 2 5" xfId="20695"/>
    <cellStyle name="Normal 10 5 3 2 3" xfId="4855"/>
    <cellStyle name="Normal 10 5 3 2 3 2" xfId="10615"/>
    <cellStyle name="Normal 10 5 3 2 3 2 2" xfId="27895"/>
    <cellStyle name="Normal 10 5 3 2 3 3" xfId="16375"/>
    <cellStyle name="Normal 10 5 3 2 3 3 2" xfId="33655"/>
    <cellStyle name="Normal 10 5 3 2 3 4" xfId="22135"/>
    <cellStyle name="Normal 10 5 3 2 4" xfId="7735"/>
    <cellStyle name="Normal 10 5 3 2 4 2" xfId="25015"/>
    <cellStyle name="Normal 10 5 3 2 5" xfId="13495"/>
    <cellStyle name="Normal 10 5 3 2 5 2" xfId="30775"/>
    <cellStyle name="Normal 10 5 3 2 6" xfId="19255"/>
    <cellStyle name="Normal 10 5 3 3" xfId="2695"/>
    <cellStyle name="Normal 10 5 3 3 2" xfId="5575"/>
    <cellStyle name="Normal 10 5 3 3 2 2" xfId="11335"/>
    <cellStyle name="Normal 10 5 3 3 2 2 2" xfId="28615"/>
    <cellStyle name="Normal 10 5 3 3 2 3" xfId="17095"/>
    <cellStyle name="Normal 10 5 3 3 2 3 2" xfId="34375"/>
    <cellStyle name="Normal 10 5 3 3 2 4" xfId="22855"/>
    <cellStyle name="Normal 10 5 3 3 3" xfId="8455"/>
    <cellStyle name="Normal 10 5 3 3 3 2" xfId="25735"/>
    <cellStyle name="Normal 10 5 3 3 4" xfId="14215"/>
    <cellStyle name="Normal 10 5 3 3 4 2" xfId="31495"/>
    <cellStyle name="Normal 10 5 3 3 5" xfId="19975"/>
    <cellStyle name="Normal 10 5 3 4" xfId="4135"/>
    <cellStyle name="Normal 10 5 3 4 2" xfId="9895"/>
    <cellStyle name="Normal 10 5 3 4 2 2" xfId="27175"/>
    <cellStyle name="Normal 10 5 3 4 3" xfId="15655"/>
    <cellStyle name="Normal 10 5 3 4 3 2" xfId="32935"/>
    <cellStyle name="Normal 10 5 3 4 4" xfId="21415"/>
    <cellStyle name="Normal 10 5 3 5" xfId="7015"/>
    <cellStyle name="Normal 10 5 3 5 2" xfId="24295"/>
    <cellStyle name="Normal 10 5 3 6" xfId="12775"/>
    <cellStyle name="Normal 10 5 3 6 2" xfId="30055"/>
    <cellStyle name="Normal 10 5 3 7" xfId="18535"/>
    <cellStyle name="Normal 10 5 4" xfId="1495"/>
    <cellStyle name="Normal 10 5 4 2" xfId="2215"/>
    <cellStyle name="Normal 10 5 4 2 2" xfId="3655"/>
    <cellStyle name="Normal 10 5 4 2 2 2" xfId="6535"/>
    <cellStyle name="Normal 10 5 4 2 2 2 2" xfId="12295"/>
    <cellStyle name="Normal 10 5 4 2 2 2 2 2" xfId="29575"/>
    <cellStyle name="Normal 10 5 4 2 2 2 3" xfId="18055"/>
    <cellStyle name="Normal 10 5 4 2 2 2 3 2" xfId="35335"/>
    <cellStyle name="Normal 10 5 4 2 2 2 4" xfId="23815"/>
    <cellStyle name="Normal 10 5 4 2 2 3" xfId="9415"/>
    <cellStyle name="Normal 10 5 4 2 2 3 2" xfId="26695"/>
    <cellStyle name="Normal 10 5 4 2 2 4" xfId="15175"/>
    <cellStyle name="Normal 10 5 4 2 2 4 2" xfId="32455"/>
    <cellStyle name="Normal 10 5 4 2 2 5" xfId="20935"/>
    <cellStyle name="Normal 10 5 4 2 3" xfId="5095"/>
    <cellStyle name="Normal 10 5 4 2 3 2" xfId="10855"/>
    <cellStyle name="Normal 10 5 4 2 3 2 2" xfId="28135"/>
    <cellStyle name="Normal 10 5 4 2 3 3" xfId="16615"/>
    <cellStyle name="Normal 10 5 4 2 3 3 2" xfId="33895"/>
    <cellStyle name="Normal 10 5 4 2 3 4" xfId="22375"/>
    <cellStyle name="Normal 10 5 4 2 4" xfId="7975"/>
    <cellStyle name="Normal 10 5 4 2 4 2" xfId="25255"/>
    <cellStyle name="Normal 10 5 4 2 5" xfId="13735"/>
    <cellStyle name="Normal 10 5 4 2 5 2" xfId="31015"/>
    <cellStyle name="Normal 10 5 4 2 6" xfId="19495"/>
    <cellStyle name="Normal 10 5 4 3" xfId="2935"/>
    <cellStyle name="Normal 10 5 4 3 2" xfId="5815"/>
    <cellStyle name="Normal 10 5 4 3 2 2" xfId="11575"/>
    <cellStyle name="Normal 10 5 4 3 2 2 2" xfId="28855"/>
    <cellStyle name="Normal 10 5 4 3 2 3" xfId="17335"/>
    <cellStyle name="Normal 10 5 4 3 2 3 2" xfId="34615"/>
    <cellStyle name="Normal 10 5 4 3 2 4" xfId="23095"/>
    <cellStyle name="Normal 10 5 4 3 3" xfId="8695"/>
    <cellStyle name="Normal 10 5 4 3 3 2" xfId="25975"/>
    <cellStyle name="Normal 10 5 4 3 4" xfId="14455"/>
    <cellStyle name="Normal 10 5 4 3 4 2" xfId="31735"/>
    <cellStyle name="Normal 10 5 4 3 5" xfId="20215"/>
    <cellStyle name="Normal 10 5 4 4" xfId="4375"/>
    <cellStyle name="Normal 10 5 4 4 2" xfId="10135"/>
    <cellStyle name="Normal 10 5 4 4 2 2" xfId="27415"/>
    <cellStyle name="Normal 10 5 4 4 3" xfId="15895"/>
    <cellStyle name="Normal 10 5 4 4 3 2" xfId="33175"/>
    <cellStyle name="Normal 10 5 4 4 4" xfId="21655"/>
    <cellStyle name="Normal 10 5 4 5" xfId="7255"/>
    <cellStyle name="Normal 10 5 4 5 2" xfId="24535"/>
    <cellStyle name="Normal 10 5 4 6" xfId="13015"/>
    <cellStyle name="Normal 10 5 4 6 2" xfId="30295"/>
    <cellStyle name="Normal 10 5 4 7" xfId="18775"/>
    <cellStyle name="Normal 10 5 5" xfId="1735"/>
    <cellStyle name="Normal 10 5 5 2" xfId="3175"/>
    <cellStyle name="Normal 10 5 5 2 2" xfId="6055"/>
    <cellStyle name="Normal 10 5 5 2 2 2" xfId="11815"/>
    <cellStyle name="Normal 10 5 5 2 2 2 2" xfId="29095"/>
    <cellStyle name="Normal 10 5 5 2 2 3" xfId="17575"/>
    <cellStyle name="Normal 10 5 5 2 2 3 2" xfId="34855"/>
    <cellStyle name="Normal 10 5 5 2 2 4" xfId="23335"/>
    <cellStyle name="Normal 10 5 5 2 3" xfId="8935"/>
    <cellStyle name="Normal 10 5 5 2 3 2" xfId="26215"/>
    <cellStyle name="Normal 10 5 5 2 4" xfId="14695"/>
    <cellStyle name="Normal 10 5 5 2 4 2" xfId="31975"/>
    <cellStyle name="Normal 10 5 5 2 5" xfId="20455"/>
    <cellStyle name="Normal 10 5 5 3" xfId="4615"/>
    <cellStyle name="Normal 10 5 5 3 2" xfId="10375"/>
    <cellStyle name="Normal 10 5 5 3 2 2" xfId="27655"/>
    <cellStyle name="Normal 10 5 5 3 3" xfId="16135"/>
    <cellStyle name="Normal 10 5 5 3 3 2" xfId="33415"/>
    <cellStyle name="Normal 10 5 5 3 4" xfId="21895"/>
    <cellStyle name="Normal 10 5 5 4" xfId="7495"/>
    <cellStyle name="Normal 10 5 5 4 2" xfId="24775"/>
    <cellStyle name="Normal 10 5 5 5" xfId="13255"/>
    <cellStyle name="Normal 10 5 5 5 2" xfId="30535"/>
    <cellStyle name="Normal 10 5 5 6" xfId="19015"/>
    <cellStyle name="Normal 10 5 6" xfId="2455"/>
    <cellStyle name="Normal 10 5 6 2" xfId="5335"/>
    <cellStyle name="Normal 10 5 6 2 2" xfId="11095"/>
    <cellStyle name="Normal 10 5 6 2 2 2" xfId="28375"/>
    <cellStyle name="Normal 10 5 6 2 3" xfId="16855"/>
    <cellStyle name="Normal 10 5 6 2 3 2" xfId="34135"/>
    <cellStyle name="Normal 10 5 6 2 4" xfId="22615"/>
    <cellStyle name="Normal 10 5 6 3" xfId="8215"/>
    <cellStyle name="Normal 10 5 6 3 2" xfId="25495"/>
    <cellStyle name="Normal 10 5 6 4" xfId="13975"/>
    <cellStyle name="Normal 10 5 6 4 2" xfId="31255"/>
    <cellStyle name="Normal 10 5 6 5" xfId="19735"/>
    <cellStyle name="Normal 10 5 7" xfId="3895"/>
    <cellStyle name="Normal 10 5 7 2" xfId="9655"/>
    <cellStyle name="Normal 10 5 7 2 2" xfId="26935"/>
    <cellStyle name="Normal 10 5 7 3" xfId="15415"/>
    <cellStyle name="Normal 10 5 7 3 2" xfId="32695"/>
    <cellStyle name="Normal 10 5 7 4" xfId="21175"/>
    <cellStyle name="Normal 10 5 8" xfId="6775"/>
    <cellStyle name="Normal 10 5 8 2" xfId="24055"/>
    <cellStyle name="Normal 10 5 9" xfId="12535"/>
    <cellStyle name="Normal 10 5 9 2" xfId="29815"/>
    <cellStyle name="Normal 10 6" xfId="975"/>
    <cellStyle name="Normal 10 6 10" xfId="18255"/>
    <cellStyle name="Normal 10 6 2" xfId="1095"/>
    <cellStyle name="Normal 10 6 2 2" xfId="1335"/>
    <cellStyle name="Normal 10 6 2 2 2" xfId="2055"/>
    <cellStyle name="Normal 10 6 2 2 2 2" xfId="3495"/>
    <cellStyle name="Normal 10 6 2 2 2 2 2" xfId="6375"/>
    <cellStyle name="Normal 10 6 2 2 2 2 2 2" xfId="12135"/>
    <cellStyle name="Normal 10 6 2 2 2 2 2 2 2" xfId="29415"/>
    <cellStyle name="Normal 10 6 2 2 2 2 2 3" xfId="17895"/>
    <cellStyle name="Normal 10 6 2 2 2 2 2 3 2" xfId="35175"/>
    <cellStyle name="Normal 10 6 2 2 2 2 2 4" xfId="23655"/>
    <cellStyle name="Normal 10 6 2 2 2 2 3" xfId="9255"/>
    <cellStyle name="Normal 10 6 2 2 2 2 3 2" xfId="26535"/>
    <cellStyle name="Normal 10 6 2 2 2 2 4" xfId="15015"/>
    <cellStyle name="Normal 10 6 2 2 2 2 4 2" xfId="32295"/>
    <cellStyle name="Normal 10 6 2 2 2 2 5" xfId="20775"/>
    <cellStyle name="Normal 10 6 2 2 2 3" xfId="4935"/>
    <cellStyle name="Normal 10 6 2 2 2 3 2" xfId="10695"/>
    <cellStyle name="Normal 10 6 2 2 2 3 2 2" xfId="27975"/>
    <cellStyle name="Normal 10 6 2 2 2 3 3" xfId="16455"/>
    <cellStyle name="Normal 10 6 2 2 2 3 3 2" xfId="33735"/>
    <cellStyle name="Normal 10 6 2 2 2 3 4" xfId="22215"/>
    <cellStyle name="Normal 10 6 2 2 2 4" xfId="7815"/>
    <cellStyle name="Normal 10 6 2 2 2 4 2" xfId="25095"/>
    <cellStyle name="Normal 10 6 2 2 2 5" xfId="13575"/>
    <cellStyle name="Normal 10 6 2 2 2 5 2" xfId="30855"/>
    <cellStyle name="Normal 10 6 2 2 2 6" xfId="19335"/>
    <cellStyle name="Normal 10 6 2 2 3" xfId="2775"/>
    <cellStyle name="Normal 10 6 2 2 3 2" xfId="5655"/>
    <cellStyle name="Normal 10 6 2 2 3 2 2" xfId="11415"/>
    <cellStyle name="Normal 10 6 2 2 3 2 2 2" xfId="28695"/>
    <cellStyle name="Normal 10 6 2 2 3 2 3" xfId="17175"/>
    <cellStyle name="Normal 10 6 2 2 3 2 3 2" xfId="34455"/>
    <cellStyle name="Normal 10 6 2 2 3 2 4" xfId="22935"/>
    <cellStyle name="Normal 10 6 2 2 3 3" xfId="8535"/>
    <cellStyle name="Normal 10 6 2 2 3 3 2" xfId="25815"/>
    <cellStyle name="Normal 10 6 2 2 3 4" xfId="14295"/>
    <cellStyle name="Normal 10 6 2 2 3 4 2" xfId="31575"/>
    <cellStyle name="Normal 10 6 2 2 3 5" xfId="20055"/>
    <cellStyle name="Normal 10 6 2 2 4" xfId="4215"/>
    <cellStyle name="Normal 10 6 2 2 4 2" xfId="9975"/>
    <cellStyle name="Normal 10 6 2 2 4 2 2" xfId="27255"/>
    <cellStyle name="Normal 10 6 2 2 4 3" xfId="15735"/>
    <cellStyle name="Normal 10 6 2 2 4 3 2" xfId="33015"/>
    <cellStyle name="Normal 10 6 2 2 4 4" xfId="21495"/>
    <cellStyle name="Normal 10 6 2 2 5" xfId="7095"/>
    <cellStyle name="Normal 10 6 2 2 5 2" xfId="24375"/>
    <cellStyle name="Normal 10 6 2 2 6" xfId="12855"/>
    <cellStyle name="Normal 10 6 2 2 6 2" xfId="30135"/>
    <cellStyle name="Normal 10 6 2 2 7" xfId="18615"/>
    <cellStyle name="Normal 10 6 2 3" xfId="1575"/>
    <cellStyle name="Normal 10 6 2 3 2" xfId="2295"/>
    <cellStyle name="Normal 10 6 2 3 2 2" xfId="3735"/>
    <cellStyle name="Normal 10 6 2 3 2 2 2" xfId="6615"/>
    <cellStyle name="Normal 10 6 2 3 2 2 2 2" xfId="12375"/>
    <cellStyle name="Normal 10 6 2 3 2 2 2 2 2" xfId="29655"/>
    <cellStyle name="Normal 10 6 2 3 2 2 2 3" xfId="18135"/>
    <cellStyle name="Normal 10 6 2 3 2 2 2 3 2" xfId="35415"/>
    <cellStyle name="Normal 10 6 2 3 2 2 2 4" xfId="23895"/>
    <cellStyle name="Normal 10 6 2 3 2 2 3" xfId="9495"/>
    <cellStyle name="Normal 10 6 2 3 2 2 3 2" xfId="26775"/>
    <cellStyle name="Normal 10 6 2 3 2 2 4" xfId="15255"/>
    <cellStyle name="Normal 10 6 2 3 2 2 4 2" xfId="32535"/>
    <cellStyle name="Normal 10 6 2 3 2 2 5" xfId="21015"/>
    <cellStyle name="Normal 10 6 2 3 2 3" xfId="5175"/>
    <cellStyle name="Normal 10 6 2 3 2 3 2" xfId="10935"/>
    <cellStyle name="Normal 10 6 2 3 2 3 2 2" xfId="28215"/>
    <cellStyle name="Normal 10 6 2 3 2 3 3" xfId="16695"/>
    <cellStyle name="Normal 10 6 2 3 2 3 3 2" xfId="33975"/>
    <cellStyle name="Normal 10 6 2 3 2 3 4" xfId="22455"/>
    <cellStyle name="Normal 10 6 2 3 2 4" xfId="8055"/>
    <cellStyle name="Normal 10 6 2 3 2 4 2" xfId="25335"/>
    <cellStyle name="Normal 10 6 2 3 2 5" xfId="13815"/>
    <cellStyle name="Normal 10 6 2 3 2 5 2" xfId="31095"/>
    <cellStyle name="Normal 10 6 2 3 2 6" xfId="19575"/>
    <cellStyle name="Normal 10 6 2 3 3" xfId="3015"/>
    <cellStyle name="Normal 10 6 2 3 3 2" xfId="5895"/>
    <cellStyle name="Normal 10 6 2 3 3 2 2" xfId="11655"/>
    <cellStyle name="Normal 10 6 2 3 3 2 2 2" xfId="28935"/>
    <cellStyle name="Normal 10 6 2 3 3 2 3" xfId="17415"/>
    <cellStyle name="Normal 10 6 2 3 3 2 3 2" xfId="34695"/>
    <cellStyle name="Normal 10 6 2 3 3 2 4" xfId="23175"/>
    <cellStyle name="Normal 10 6 2 3 3 3" xfId="8775"/>
    <cellStyle name="Normal 10 6 2 3 3 3 2" xfId="26055"/>
    <cellStyle name="Normal 10 6 2 3 3 4" xfId="14535"/>
    <cellStyle name="Normal 10 6 2 3 3 4 2" xfId="31815"/>
    <cellStyle name="Normal 10 6 2 3 3 5" xfId="20295"/>
    <cellStyle name="Normal 10 6 2 3 4" xfId="4455"/>
    <cellStyle name="Normal 10 6 2 3 4 2" xfId="10215"/>
    <cellStyle name="Normal 10 6 2 3 4 2 2" xfId="27495"/>
    <cellStyle name="Normal 10 6 2 3 4 3" xfId="15975"/>
    <cellStyle name="Normal 10 6 2 3 4 3 2" xfId="33255"/>
    <cellStyle name="Normal 10 6 2 3 4 4" xfId="21735"/>
    <cellStyle name="Normal 10 6 2 3 5" xfId="7335"/>
    <cellStyle name="Normal 10 6 2 3 5 2" xfId="24615"/>
    <cellStyle name="Normal 10 6 2 3 6" xfId="13095"/>
    <cellStyle name="Normal 10 6 2 3 6 2" xfId="30375"/>
    <cellStyle name="Normal 10 6 2 3 7" xfId="18855"/>
    <cellStyle name="Normal 10 6 2 4" xfId="1815"/>
    <cellStyle name="Normal 10 6 2 4 2" xfId="3255"/>
    <cellStyle name="Normal 10 6 2 4 2 2" xfId="6135"/>
    <cellStyle name="Normal 10 6 2 4 2 2 2" xfId="11895"/>
    <cellStyle name="Normal 10 6 2 4 2 2 2 2" xfId="29175"/>
    <cellStyle name="Normal 10 6 2 4 2 2 3" xfId="17655"/>
    <cellStyle name="Normal 10 6 2 4 2 2 3 2" xfId="34935"/>
    <cellStyle name="Normal 10 6 2 4 2 2 4" xfId="23415"/>
    <cellStyle name="Normal 10 6 2 4 2 3" xfId="9015"/>
    <cellStyle name="Normal 10 6 2 4 2 3 2" xfId="26295"/>
    <cellStyle name="Normal 10 6 2 4 2 4" xfId="14775"/>
    <cellStyle name="Normal 10 6 2 4 2 4 2" xfId="32055"/>
    <cellStyle name="Normal 10 6 2 4 2 5" xfId="20535"/>
    <cellStyle name="Normal 10 6 2 4 3" xfId="4695"/>
    <cellStyle name="Normal 10 6 2 4 3 2" xfId="10455"/>
    <cellStyle name="Normal 10 6 2 4 3 2 2" xfId="27735"/>
    <cellStyle name="Normal 10 6 2 4 3 3" xfId="16215"/>
    <cellStyle name="Normal 10 6 2 4 3 3 2" xfId="33495"/>
    <cellStyle name="Normal 10 6 2 4 3 4" xfId="21975"/>
    <cellStyle name="Normal 10 6 2 4 4" xfId="7575"/>
    <cellStyle name="Normal 10 6 2 4 4 2" xfId="24855"/>
    <cellStyle name="Normal 10 6 2 4 5" xfId="13335"/>
    <cellStyle name="Normal 10 6 2 4 5 2" xfId="30615"/>
    <cellStyle name="Normal 10 6 2 4 6" xfId="19095"/>
    <cellStyle name="Normal 10 6 2 5" xfId="2535"/>
    <cellStyle name="Normal 10 6 2 5 2" xfId="5415"/>
    <cellStyle name="Normal 10 6 2 5 2 2" xfId="11175"/>
    <cellStyle name="Normal 10 6 2 5 2 2 2" xfId="28455"/>
    <cellStyle name="Normal 10 6 2 5 2 3" xfId="16935"/>
    <cellStyle name="Normal 10 6 2 5 2 3 2" xfId="34215"/>
    <cellStyle name="Normal 10 6 2 5 2 4" xfId="22695"/>
    <cellStyle name="Normal 10 6 2 5 3" xfId="8295"/>
    <cellStyle name="Normal 10 6 2 5 3 2" xfId="25575"/>
    <cellStyle name="Normal 10 6 2 5 4" xfId="14055"/>
    <cellStyle name="Normal 10 6 2 5 4 2" xfId="31335"/>
    <cellStyle name="Normal 10 6 2 5 5" xfId="19815"/>
    <cellStyle name="Normal 10 6 2 6" xfId="3975"/>
    <cellStyle name="Normal 10 6 2 6 2" xfId="9735"/>
    <cellStyle name="Normal 10 6 2 6 2 2" xfId="27015"/>
    <cellStyle name="Normal 10 6 2 6 3" xfId="15495"/>
    <cellStyle name="Normal 10 6 2 6 3 2" xfId="32775"/>
    <cellStyle name="Normal 10 6 2 6 4" xfId="21255"/>
    <cellStyle name="Normal 10 6 2 7" xfId="6855"/>
    <cellStyle name="Normal 10 6 2 7 2" xfId="24135"/>
    <cellStyle name="Normal 10 6 2 8" xfId="12615"/>
    <cellStyle name="Normal 10 6 2 8 2" xfId="29895"/>
    <cellStyle name="Normal 10 6 2 9" xfId="18375"/>
    <cellStyle name="Normal 10 6 3" xfId="1215"/>
    <cellStyle name="Normal 10 6 3 2" xfId="1935"/>
    <cellStyle name="Normal 10 6 3 2 2" xfId="3375"/>
    <cellStyle name="Normal 10 6 3 2 2 2" xfId="6255"/>
    <cellStyle name="Normal 10 6 3 2 2 2 2" xfId="12015"/>
    <cellStyle name="Normal 10 6 3 2 2 2 2 2" xfId="29295"/>
    <cellStyle name="Normal 10 6 3 2 2 2 3" xfId="17775"/>
    <cellStyle name="Normal 10 6 3 2 2 2 3 2" xfId="35055"/>
    <cellStyle name="Normal 10 6 3 2 2 2 4" xfId="23535"/>
    <cellStyle name="Normal 10 6 3 2 2 3" xfId="9135"/>
    <cellStyle name="Normal 10 6 3 2 2 3 2" xfId="26415"/>
    <cellStyle name="Normal 10 6 3 2 2 4" xfId="14895"/>
    <cellStyle name="Normal 10 6 3 2 2 4 2" xfId="32175"/>
    <cellStyle name="Normal 10 6 3 2 2 5" xfId="20655"/>
    <cellStyle name="Normal 10 6 3 2 3" xfId="4815"/>
    <cellStyle name="Normal 10 6 3 2 3 2" xfId="10575"/>
    <cellStyle name="Normal 10 6 3 2 3 2 2" xfId="27855"/>
    <cellStyle name="Normal 10 6 3 2 3 3" xfId="16335"/>
    <cellStyle name="Normal 10 6 3 2 3 3 2" xfId="33615"/>
    <cellStyle name="Normal 10 6 3 2 3 4" xfId="22095"/>
    <cellStyle name="Normal 10 6 3 2 4" xfId="7695"/>
    <cellStyle name="Normal 10 6 3 2 4 2" xfId="24975"/>
    <cellStyle name="Normal 10 6 3 2 5" xfId="13455"/>
    <cellStyle name="Normal 10 6 3 2 5 2" xfId="30735"/>
    <cellStyle name="Normal 10 6 3 2 6" xfId="19215"/>
    <cellStyle name="Normal 10 6 3 3" xfId="2655"/>
    <cellStyle name="Normal 10 6 3 3 2" xfId="5535"/>
    <cellStyle name="Normal 10 6 3 3 2 2" xfId="11295"/>
    <cellStyle name="Normal 10 6 3 3 2 2 2" xfId="28575"/>
    <cellStyle name="Normal 10 6 3 3 2 3" xfId="17055"/>
    <cellStyle name="Normal 10 6 3 3 2 3 2" xfId="34335"/>
    <cellStyle name="Normal 10 6 3 3 2 4" xfId="22815"/>
    <cellStyle name="Normal 10 6 3 3 3" xfId="8415"/>
    <cellStyle name="Normal 10 6 3 3 3 2" xfId="25695"/>
    <cellStyle name="Normal 10 6 3 3 4" xfId="14175"/>
    <cellStyle name="Normal 10 6 3 3 4 2" xfId="31455"/>
    <cellStyle name="Normal 10 6 3 3 5" xfId="19935"/>
    <cellStyle name="Normal 10 6 3 4" xfId="4095"/>
    <cellStyle name="Normal 10 6 3 4 2" xfId="9855"/>
    <cellStyle name="Normal 10 6 3 4 2 2" xfId="27135"/>
    <cellStyle name="Normal 10 6 3 4 3" xfId="15615"/>
    <cellStyle name="Normal 10 6 3 4 3 2" xfId="32895"/>
    <cellStyle name="Normal 10 6 3 4 4" xfId="21375"/>
    <cellStyle name="Normal 10 6 3 5" xfId="6975"/>
    <cellStyle name="Normal 10 6 3 5 2" xfId="24255"/>
    <cellStyle name="Normal 10 6 3 6" xfId="12735"/>
    <cellStyle name="Normal 10 6 3 6 2" xfId="30015"/>
    <cellStyle name="Normal 10 6 3 7" xfId="18495"/>
    <cellStyle name="Normal 10 6 4" xfId="1455"/>
    <cellStyle name="Normal 10 6 4 2" xfId="2175"/>
    <cellStyle name="Normal 10 6 4 2 2" xfId="3615"/>
    <cellStyle name="Normal 10 6 4 2 2 2" xfId="6495"/>
    <cellStyle name="Normal 10 6 4 2 2 2 2" xfId="12255"/>
    <cellStyle name="Normal 10 6 4 2 2 2 2 2" xfId="29535"/>
    <cellStyle name="Normal 10 6 4 2 2 2 3" xfId="18015"/>
    <cellStyle name="Normal 10 6 4 2 2 2 3 2" xfId="35295"/>
    <cellStyle name="Normal 10 6 4 2 2 2 4" xfId="23775"/>
    <cellStyle name="Normal 10 6 4 2 2 3" xfId="9375"/>
    <cellStyle name="Normal 10 6 4 2 2 3 2" xfId="26655"/>
    <cellStyle name="Normal 10 6 4 2 2 4" xfId="15135"/>
    <cellStyle name="Normal 10 6 4 2 2 4 2" xfId="32415"/>
    <cellStyle name="Normal 10 6 4 2 2 5" xfId="20895"/>
    <cellStyle name="Normal 10 6 4 2 3" xfId="5055"/>
    <cellStyle name="Normal 10 6 4 2 3 2" xfId="10815"/>
    <cellStyle name="Normal 10 6 4 2 3 2 2" xfId="28095"/>
    <cellStyle name="Normal 10 6 4 2 3 3" xfId="16575"/>
    <cellStyle name="Normal 10 6 4 2 3 3 2" xfId="33855"/>
    <cellStyle name="Normal 10 6 4 2 3 4" xfId="22335"/>
    <cellStyle name="Normal 10 6 4 2 4" xfId="7935"/>
    <cellStyle name="Normal 10 6 4 2 4 2" xfId="25215"/>
    <cellStyle name="Normal 10 6 4 2 5" xfId="13695"/>
    <cellStyle name="Normal 10 6 4 2 5 2" xfId="30975"/>
    <cellStyle name="Normal 10 6 4 2 6" xfId="19455"/>
    <cellStyle name="Normal 10 6 4 3" xfId="2895"/>
    <cellStyle name="Normal 10 6 4 3 2" xfId="5775"/>
    <cellStyle name="Normal 10 6 4 3 2 2" xfId="11535"/>
    <cellStyle name="Normal 10 6 4 3 2 2 2" xfId="28815"/>
    <cellStyle name="Normal 10 6 4 3 2 3" xfId="17295"/>
    <cellStyle name="Normal 10 6 4 3 2 3 2" xfId="34575"/>
    <cellStyle name="Normal 10 6 4 3 2 4" xfId="23055"/>
    <cellStyle name="Normal 10 6 4 3 3" xfId="8655"/>
    <cellStyle name="Normal 10 6 4 3 3 2" xfId="25935"/>
    <cellStyle name="Normal 10 6 4 3 4" xfId="14415"/>
    <cellStyle name="Normal 10 6 4 3 4 2" xfId="31695"/>
    <cellStyle name="Normal 10 6 4 3 5" xfId="20175"/>
    <cellStyle name="Normal 10 6 4 4" xfId="4335"/>
    <cellStyle name="Normal 10 6 4 4 2" xfId="10095"/>
    <cellStyle name="Normal 10 6 4 4 2 2" xfId="27375"/>
    <cellStyle name="Normal 10 6 4 4 3" xfId="15855"/>
    <cellStyle name="Normal 10 6 4 4 3 2" xfId="33135"/>
    <cellStyle name="Normal 10 6 4 4 4" xfId="21615"/>
    <cellStyle name="Normal 10 6 4 5" xfId="7215"/>
    <cellStyle name="Normal 10 6 4 5 2" xfId="24495"/>
    <cellStyle name="Normal 10 6 4 6" xfId="12975"/>
    <cellStyle name="Normal 10 6 4 6 2" xfId="30255"/>
    <cellStyle name="Normal 10 6 4 7" xfId="18735"/>
    <cellStyle name="Normal 10 6 5" xfId="1695"/>
    <cellStyle name="Normal 10 6 5 2" xfId="3135"/>
    <cellStyle name="Normal 10 6 5 2 2" xfId="6015"/>
    <cellStyle name="Normal 10 6 5 2 2 2" xfId="11775"/>
    <cellStyle name="Normal 10 6 5 2 2 2 2" xfId="29055"/>
    <cellStyle name="Normal 10 6 5 2 2 3" xfId="17535"/>
    <cellStyle name="Normal 10 6 5 2 2 3 2" xfId="34815"/>
    <cellStyle name="Normal 10 6 5 2 2 4" xfId="23295"/>
    <cellStyle name="Normal 10 6 5 2 3" xfId="8895"/>
    <cellStyle name="Normal 10 6 5 2 3 2" xfId="26175"/>
    <cellStyle name="Normal 10 6 5 2 4" xfId="14655"/>
    <cellStyle name="Normal 10 6 5 2 4 2" xfId="31935"/>
    <cellStyle name="Normal 10 6 5 2 5" xfId="20415"/>
    <cellStyle name="Normal 10 6 5 3" xfId="4575"/>
    <cellStyle name="Normal 10 6 5 3 2" xfId="10335"/>
    <cellStyle name="Normal 10 6 5 3 2 2" xfId="27615"/>
    <cellStyle name="Normal 10 6 5 3 3" xfId="16095"/>
    <cellStyle name="Normal 10 6 5 3 3 2" xfId="33375"/>
    <cellStyle name="Normal 10 6 5 3 4" xfId="21855"/>
    <cellStyle name="Normal 10 6 5 4" xfId="7455"/>
    <cellStyle name="Normal 10 6 5 4 2" xfId="24735"/>
    <cellStyle name="Normal 10 6 5 5" xfId="13215"/>
    <cellStyle name="Normal 10 6 5 5 2" xfId="30495"/>
    <cellStyle name="Normal 10 6 5 6" xfId="18975"/>
    <cellStyle name="Normal 10 6 6" xfId="2415"/>
    <cellStyle name="Normal 10 6 6 2" xfId="5295"/>
    <cellStyle name="Normal 10 6 6 2 2" xfId="11055"/>
    <cellStyle name="Normal 10 6 6 2 2 2" xfId="28335"/>
    <cellStyle name="Normal 10 6 6 2 3" xfId="16815"/>
    <cellStyle name="Normal 10 6 6 2 3 2" xfId="34095"/>
    <cellStyle name="Normal 10 6 6 2 4" xfId="22575"/>
    <cellStyle name="Normal 10 6 6 3" xfId="8175"/>
    <cellStyle name="Normal 10 6 6 3 2" xfId="25455"/>
    <cellStyle name="Normal 10 6 6 4" xfId="13935"/>
    <cellStyle name="Normal 10 6 6 4 2" xfId="31215"/>
    <cellStyle name="Normal 10 6 6 5" xfId="19695"/>
    <cellStyle name="Normal 10 6 7" xfId="3855"/>
    <cellStyle name="Normal 10 6 7 2" xfId="9615"/>
    <cellStyle name="Normal 10 6 7 2 2" xfId="26895"/>
    <cellStyle name="Normal 10 6 7 3" xfId="15375"/>
    <cellStyle name="Normal 10 6 7 3 2" xfId="32655"/>
    <cellStyle name="Normal 10 6 7 4" xfId="21135"/>
    <cellStyle name="Normal 10 6 8" xfId="6735"/>
    <cellStyle name="Normal 10 6 8 2" xfId="24015"/>
    <cellStyle name="Normal 10 6 9" xfId="12495"/>
    <cellStyle name="Normal 10 6 9 2" xfId="29775"/>
    <cellStyle name="Normal 10 7" xfId="1055"/>
    <cellStyle name="Normal 10 7 2" xfId="1295"/>
    <cellStyle name="Normal 10 7 2 2" xfId="2015"/>
    <cellStyle name="Normal 10 7 2 2 2" xfId="3455"/>
    <cellStyle name="Normal 10 7 2 2 2 2" xfId="6335"/>
    <cellStyle name="Normal 10 7 2 2 2 2 2" xfId="12095"/>
    <cellStyle name="Normal 10 7 2 2 2 2 2 2" xfId="29375"/>
    <cellStyle name="Normal 10 7 2 2 2 2 3" xfId="17855"/>
    <cellStyle name="Normal 10 7 2 2 2 2 3 2" xfId="35135"/>
    <cellStyle name="Normal 10 7 2 2 2 2 4" xfId="23615"/>
    <cellStyle name="Normal 10 7 2 2 2 3" xfId="9215"/>
    <cellStyle name="Normal 10 7 2 2 2 3 2" xfId="26495"/>
    <cellStyle name="Normal 10 7 2 2 2 4" xfId="14975"/>
    <cellStyle name="Normal 10 7 2 2 2 4 2" xfId="32255"/>
    <cellStyle name="Normal 10 7 2 2 2 5" xfId="20735"/>
    <cellStyle name="Normal 10 7 2 2 3" xfId="4895"/>
    <cellStyle name="Normal 10 7 2 2 3 2" xfId="10655"/>
    <cellStyle name="Normal 10 7 2 2 3 2 2" xfId="27935"/>
    <cellStyle name="Normal 10 7 2 2 3 3" xfId="16415"/>
    <cellStyle name="Normal 10 7 2 2 3 3 2" xfId="33695"/>
    <cellStyle name="Normal 10 7 2 2 3 4" xfId="22175"/>
    <cellStyle name="Normal 10 7 2 2 4" xfId="7775"/>
    <cellStyle name="Normal 10 7 2 2 4 2" xfId="25055"/>
    <cellStyle name="Normal 10 7 2 2 5" xfId="13535"/>
    <cellStyle name="Normal 10 7 2 2 5 2" xfId="30815"/>
    <cellStyle name="Normal 10 7 2 2 6" xfId="19295"/>
    <cellStyle name="Normal 10 7 2 3" xfId="2735"/>
    <cellStyle name="Normal 10 7 2 3 2" xfId="5615"/>
    <cellStyle name="Normal 10 7 2 3 2 2" xfId="11375"/>
    <cellStyle name="Normal 10 7 2 3 2 2 2" xfId="28655"/>
    <cellStyle name="Normal 10 7 2 3 2 3" xfId="17135"/>
    <cellStyle name="Normal 10 7 2 3 2 3 2" xfId="34415"/>
    <cellStyle name="Normal 10 7 2 3 2 4" xfId="22895"/>
    <cellStyle name="Normal 10 7 2 3 3" xfId="8495"/>
    <cellStyle name="Normal 10 7 2 3 3 2" xfId="25775"/>
    <cellStyle name="Normal 10 7 2 3 4" xfId="14255"/>
    <cellStyle name="Normal 10 7 2 3 4 2" xfId="31535"/>
    <cellStyle name="Normal 10 7 2 3 5" xfId="20015"/>
    <cellStyle name="Normal 10 7 2 4" xfId="4175"/>
    <cellStyle name="Normal 10 7 2 4 2" xfId="9935"/>
    <cellStyle name="Normal 10 7 2 4 2 2" xfId="27215"/>
    <cellStyle name="Normal 10 7 2 4 3" xfId="15695"/>
    <cellStyle name="Normal 10 7 2 4 3 2" xfId="32975"/>
    <cellStyle name="Normal 10 7 2 4 4" xfId="21455"/>
    <cellStyle name="Normal 10 7 2 5" xfId="7055"/>
    <cellStyle name="Normal 10 7 2 5 2" xfId="24335"/>
    <cellStyle name="Normal 10 7 2 6" xfId="12815"/>
    <cellStyle name="Normal 10 7 2 6 2" xfId="30095"/>
    <cellStyle name="Normal 10 7 2 7" xfId="18575"/>
    <cellStyle name="Normal 10 7 3" xfId="1535"/>
    <cellStyle name="Normal 10 7 3 2" xfId="2255"/>
    <cellStyle name="Normal 10 7 3 2 2" xfId="3695"/>
    <cellStyle name="Normal 10 7 3 2 2 2" xfId="6575"/>
    <cellStyle name="Normal 10 7 3 2 2 2 2" xfId="12335"/>
    <cellStyle name="Normal 10 7 3 2 2 2 2 2" xfId="29615"/>
    <cellStyle name="Normal 10 7 3 2 2 2 3" xfId="18095"/>
    <cellStyle name="Normal 10 7 3 2 2 2 3 2" xfId="35375"/>
    <cellStyle name="Normal 10 7 3 2 2 2 4" xfId="23855"/>
    <cellStyle name="Normal 10 7 3 2 2 3" xfId="9455"/>
    <cellStyle name="Normal 10 7 3 2 2 3 2" xfId="26735"/>
    <cellStyle name="Normal 10 7 3 2 2 4" xfId="15215"/>
    <cellStyle name="Normal 10 7 3 2 2 4 2" xfId="32495"/>
    <cellStyle name="Normal 10 7 3 2 2 5" xfId="20975"/>
    <cellStyle name="Normal 10 7 3 2 3" xfId="5135"/>
    <cellStyle name="Normal 10 7 3 2 3 2" xfId="10895"/>
    <cellStyle name="Normal 10 7 3 2 3 2 2" xfId="28175"/>
    <cellStyle name="Normal 10 7 3 2 3 3" xfId="16655"/>
    <cellStyle name="Normal 10 7 3 2 3 3 2" xfId="33935"/>
    <cellStyle name="Normal 10 7 3 2 3 4" xfId="22415"/>
    <cellStyle name="Normal 10 7 3 2 4" xfId="8015"/>
    <cellStyle name="Normal 10 7 3 2 4 2" xfId="25295"/>
    <cellStyle name="Normal 10 7 3 2 5" xfId="13775"/>
    <cellStyle name="Normal 10 7 3 2 5 2" xfId="31055"/>
    <cellStyle name="Normal 10 7 3 2 6" xfId="19535"/>
    <cellStyle name="Normal 10 7 3 3" xfId="2975"/>
    <cellStyle name="Normal 10 7 3 3 2" xfId="5855"/>
    <cellStyle name="Normal 10 7 3 3 2 2" xfId="11615"/>
    <cellStyle name="Normal 10 7 3 3 2 2 2" xfId="28895"/>
    <cellStyle name="Normal 10 7 3 3 2 3" xfId="17375"/>
    <cellStyle name="Normal 10 7 3 3 2 3 2" xfId="34655"/>
    <cellStyle name="Normal 10 7 3 3 2 4" xfId="23135"/>
    <cellStyle name="Normal 10 7 3 3 3" xfId="8735"/>
    <cellStyle name="Normal 10 7 3 3 3 2" xfId="26015"/>
    <cellStyle name="Normal 10 7 3 3 4" xfId="14495"/>
    <cellStyle name="Normal 10 7 3 3 4 2" xfId="31775"/>
    <cellStyle name="Normal 10 7 3 3 5" xfId="20255"/>
    <cellStyle name="Normal 10 7 3 4" xfId="4415"/>
    <cellStyle name="Normal 10 7 3 4 2" xfId="10175"/>
    <cellStyle name="Normal 10 7 3 4 2 2" xfId="27455"/>
    <cellStyle name="Normal 10 7 3 4 3" xfId="15935"/>
    <cellStyle name="Normal 10 7 3 4 3 2" xfId="33215"/>
    <cellStyle name="Normal 10 7 3 4 4" xfId="21695"/>
    <cellStyle name="Normal 10 7 3 5" xfId="7295"/>
    <cellStyle name="Normal 10 7 3 5 2" xfId="24575"/>
    <cellStyle name="Normal 10 7 3 6" xfId="13055"/>
    <cellStyle name="Normal 10 7 3 6 2" xfId="30335"/>
    <cellStyle name="Normal 10 7 3 7" xfId="18815"/>
    <cellStyle name="Normal 10 7 4" xfId="1775"/>
    <cellStyle name="Normal 10 7 4 2" xfId="3215"/>
    <cellStyle name="Normal 10 7 4 2 2" xfId="6095"/>
    <cellStyle name="Normal 10 7 4 2 2 2" xfId="11855"/>
    <cellStyle name="Normal 10 7 4 2 2 2 2" xfId="29135"/>
    <cellStyle name="Normal 10 7 4 2 2 3" xfId="17615"/>
    <cellStyle name="Normal 10 7 4 2 2 3 2" xfId="34895"/>
    <cellStyle name="Normal 10 7 4 2 2 4" xfId="23375"/>
    <cellStyle name="Normal 10 7 4 2 3" xfId="8975"/>
    <cellStyle name="Normal 10 7 4 2 3 2" xfId="26255"/>
    <cellStyle name="Normal 10 7 4 2 4" xfId="14735"/>
    <cellStyle name="Normal 10 7 4 2 4 2" xfId="32015"/>
    <cellStyle name="Normal 10 7 4 2 5" xfId="20495"/>
    <cellStyle name="Normal 10 7 4 3" xfId="4655"/>
    <cellStyle name="Normal 10 7 4 3 2" xfId="10415"/>
    <cellStyle name="Normal 10 7 4 3 2 2" xfId="27695"/>
    <cellStyle name="Normal 10 7 4 3 3" xfId="16175"/>
    <cellStyle name="Normal 10 7 4 3 3 2" xfId="33455"/>
    <cellStyle name="Normal 10 7 4 3 4" xfId="21935"/>
    <cellStyle name="Normal 10 7 4 4" xfId="7535"/>
    <cellStyle name="Normal 10 7 4 4 2" xfId="24815"/>
    <cellStyle name="Normal 10 7 4 5" xfId="13295"/>
    <cellStyle name="Normal 10 7 4 5 2" xfId="30575"/>
    <cellStyle name="Normal 10 7 4 6" xfId="19055"/>
    <cellStyle name="Normal 10 7 5" xfId="2495"/>
    <cellStyle name="Normal 10 7 5 2" xfId="5375"/>
    <cellStyle name="Normal 10 7 5 2 2" xfId="11135"/>
    <cellStyle name="Normal 10 7 5 2 2 2" xfId="28415"/>
    <cellStyle name="Normal 10 7 5 2 3" xfId="16895"/>
    <cellStyle name="Normal 10 7 5 2 3 2" xfId="34175"/>
    <cellStyle name="Normal 10 7 5 2 4" xfId="22655"/>
    <cellStyle name="Normal 10 7 5 3" xfId="8255"/>
    <cellStyle name="Normal 10 7 5 3 2" xfId="25535"/>
    <cellStyle name="Normal 10 7 5 4" xfId="14015"/>
    <cellStyle name="Normal 10 7 5 4 2" xfId="31295"/>
    <cellStyle name="Normal 10 7 5 5" xfId="19775"/>
    <cellStyle name="Normal 10 7 6" xfId="3935"/>
    <cellStyle name="Normal 10 7 6 2" xfId="9695"/>
    <cellStyle name="Normal 10 7 6 2 2" xfId="26975"/>
    <cellStyle name="Normal 10 7 6 3" xfId="15455"/>
    <cellStyle name="Normal 10 7 6 3 2" xfId="32735"/>
    <cellStyle name="Normal 10 7 6 4" xfId="21215"/>
    <cellStyle name="Normal 10 7 7" xfId="6815"/>
    <cellStyle name="Normal 10 7 7 2" xfId="24095"/>
    <cellStyle name="Normal 10 7 8" xfId="12575"/>
    <cellStyle name="Normal 10 7 8 2" xfId="29855"/>
    <cellStyle name="Normal 10 7 9" xfId="18335"/>
    <cellStyle name="Normal 10 8" xfId="1175"/>
    <cellStyle name="Normal 10 8 2" xfId="1895"/>
    <cellStyle name="Normal 10 8 2 2" xfId="3335"/>
    <cellStyle name="Normal 10 8 2 2 2" xfId="6215"/>
    <cellStyle name="Normal 10 8 2 2 2 2" xfId="11975"/>
    <cellStyle name="Normal 10 8 2 2 2 2 2" xfId="29255"/>
    <cellStyle name="Normal 10 8 2 2 2 3" xfId="17735"/>
    <cellStyle name="Normal 10 8 2 2 2 3 2" xfId="35015"/>
    <cellStyle name="Normal 10 8 2 2 2 4" xfId="23495"/>
    <cellStyle name="Normal 10 8 2 2 3" xfId="9095"/>
    <cellStyle name="Normal 10 8 2 2 3 2" xfId="26375"/>
    <cellStyle name="Normal 10 8 2 2 4" xfId="14855"/>
    <cellStyle name="Normal 10 8 2 2 4 2" xfId="32135"/>
    <cellStyle name="Normal 10 8 2 2 5" xfId="20615"/>
    <cellStyle name="Normal 10 8 2 3" xfId="4775"/>
    <cellStyle name="Normal 10 8 2 3 2" xfId="10535"/>
    <cellStyle name="Normal 10 8 2 3 2 2" xfId="27815"/>
    <cellStyle name="Normal 10 8 2 3 3" xfId="16295"/>
    <cellStyle name="Normal 10 8 2 3 3 2" xfId="33575"/>
    <cellStyle name="Normal 10 8 2 3 4" xfId="22055"/>
    <cellStyle name="Normal 10 8 2 4" xfId="7655"/>
    <cellStyle name="Normal 10 8 2 4 2" xfId="24935"/>
    <cellStyle name="Normal 10 8 2 5" xfId="13415"/>
    <cellStyle name="Normal 10 8 2 5 2" xfId="30695"/>
    <cellStyle name="Normal 10 8 2 6" xfId="19175"/>
    <cellStyle name="Normal 10 8 3" xfId="2615"/>
    <cellStyle name="Normal 10 8 3 2" xfId="5495"/>
    <cellStyle name="Normal 10 8 3 2 2" xfId="11255"/>
    <cellStyle name="Normal 10 8 3 2 2 2" xfId="28535"/>
    <cellStyle name="Normal 10 8 3 2 3" xfId="17015"/>
    <cellStyle name="Normal 10 8 3 2 3 2" xfId="34295"/>
    <cellStyle name="Normal 10 8 3 2 4" xfId="22775"/>
    <cellStyle name="Normal 10 8 3 3" xfId="8375"/>
    <cellStyle name="Normal 10 8 3 3 2" xfId="25655"/>
    <cellStyle name="Normal 10 8 3 4" xfId="14135"/>
    <cellStyle name="Normal 10 8 3 4 2" xfId="31415"/>
    <cellStyle name="Normal 10 8 3 5" xfId="19895"/>
    <cellStyle name="Normal 10 8 4" xfId="4055"/>
    <cellStyle name="Normal 10 8 4 2" xfId="9815"/>
    <cellStyle name="Normal 10 8 4 2 2" xfId="27095"/>
    <cellStyle name="Normal 10 8 4 3" xfId="15575"/>
    <cellStyle name="Normal 10 8 4 3 2" xfId="32855"/>
    <cellStyle name="Normal 10 8 4 4" xfId="21335"/>
    <cellStyle name="Normal 10 8 5" xfId="6935"/>
    <cellStyle name="Normal 10 8 5 2" xfId="24215"/>
    <cellStyle name="Normal 10 8 6" xfId="12695"/>
    <cellStyle name="Normal 10 8 6 2" xfId="29975"/>
    <cellStyle name="Normal 10 8 7" xfId="18455"/>
    <cellStyle name="Normal 10 9" xfId="1415"/>
    <cellStyle name="Normal 10 9 2" xfId="2135"/>
    <cellStyle name="Normal 10 9 2 2" xfId="3575"/>
    <cellStyle name="Normal 10 9 2 2 2" xfId="6455"/>
    <cellStyle name="Normal 10 9 2 2 2 2" xfId="12215"/>
    <cellStyle name="Normal 10 9 2 2 2 2 2" xfId="29495"/>
    <cellStyle name="Normal 10 9 2 2 2 3" xfId="17975"/>
    <cellStyle name="Normal 10 9 2 2 2 3 2" xfId="35255"/>
    <cellStyle name="Normal 10 9 2 2 2 4" xfId="23735"/>
    <cellStyle name="Normal 10 9 2 2 3" xfId="9335"/>
    <cellStyle name="Normal 10 9 2 2 3 2" xfId="26615"/>
    <cellStyle name="Normal 10 9 2 2 4" xfId="15095"/>
    <cellStyle name="Normal 10 9 2 2 4 2" xfId="32375"/>
    <cellStyle name="Normal 10 9 2 2 5" xfId="20855"/>
    <cellStyle name="Normal 10 9 2 3" xfId="5015"/>
    <cellStyle name="Normal 10 9 2 3 2" xfId="10775"/>
    <cellStyle name="Normal 10 9 2 3 2 2" xfId="28055"/>
    <cellStyle name="Normal 10 9 2 3 3" xfId="16535"/>
    <cellStyle name="Normal 10 9 2 3 3 2" xfId="33815"/>
    <cellStyle name="Normal 10 9 2 3 4" xfId="22295"/>
    <cellStyle name="Normal 10 9 2 4" xfId="7895"/>
    <cellStyle name="Normal 10 9 2 4 2" xfId="25175"/>
    <cellStyle name="Normal 10 9 2 5" xfId="13655"/>
    <cellStyle name="Normal 10 9 2 5 2" xfId="30935"/>
    <cellStyle name="Normal 10 9 2 6" xfId="19415"/>
    <cellStyle name="Normal 10 9 3" xfId="2855"/>
    <cellStyle name="Normal 10 9 3 2" xfId="5735"/>
    <cellStyle name="Normal 10 9 3 2 2" xfId="11495"/>
    <cellStyle name="Normal 10 9 3 2 2 2" xfId="28775"/>
    <cellStyle name="Normal 10 9 3 2 3" xfId="17255"/>
    <cellStyle name="Normal 10 9 3 2 3 2" xfId="34535"/>
    <cellStyle name="Normal 10 9 3 2 4" xfId="23015"/>
    <cellStyle name="Normal 10 9 3 3" xfId="8615"/>
    <cellStyle name="Normal 10 9 3 3 2" xfId="25895"/>
    <cellStyle name="Normal 10 9 3 4" xfId="14375"/>
    <cellStyle name="Normal 10 9 3 4 2" xfId="31655"/>
    <cellStyle name="Normal 10 9 3 5" xfId="20135"/>
    <cellStyle name="Normal 10 9 4" xfId="4295"/>
    <cellStyle name="Normal 10 9 4 2" xfId="10055"/>
    <cellStyle name="Normal 10 9 4 2 2" xfId="27335"/>
    <cellStyle name="Normal 10 9 4 3" xfId="15815"/>
    <cellStyle name="Normal 10 9 4 3 2" xfId="33095"/>
    <cellStyle name="Normal 10 9 4 4" xfId="21575"/>
    <cellStyle name="Normal 10 9 5" xfId="7175"/>
    <cellStyle name="Normal 10 9 5 2" xfId="24455"/>
    <cellStyle name="Normal 10 9 6" xfId="12935"/>
    <cellStyle name="Normal 10 9 6 2" xfId="30215"/>
    <cellStyle name="Normal 10 9 7" xfId="18695"/>
    <cellStyle name="Normal 11" xfId="19"/>
    <cellStyle name="Normal 11 10" xfId="1656"/>
    <cellStyle name="Normal 11 10 2" xfId="3096"/>
    <cellStyle name="Normal 11 10 2 2" xfId="5976"/>
    <cellStyle name="Normal 11 10 2 2 2" xfId="11736"/>
    <cellStyle name="Normal 11 10 2 2 2 2" xfId="29016"/>
    <cellStyle name="Normal 11 10 2 2 3" xfId="17496"/>
    <cellStyle name="Normal 11 10 2 2 3 2" xfId="34776"/>
    <cellStyle name="Normal 11 10 2 2 4" xfId="23256"/>
    <cellStyle name="Normal 11 10 2 3" xfId="8856"/>
    <cellStyle name="Normal 11 10 2 3 2" xfId="26136"/>
    <cellStyle name="Normal 11 10 2 4" xfId="14616"/>
    <cellStyle name="Normal 11 10 2 4 2" xfId="31896"/>
    <cellStyle name="Normal 11 10 2 5" xfId="20376"/>
    <cellStyle name="Normal 11 10 3" xfId="4536"/>
    <cellStyle name="Normal 11 10 3 2" xfId="10296"/>
    <cellStyle name="Normal 11 10 3 2 2" xfId="27576"/>
    <cellStyle name="Normal 11 10 3 3" xfId="16056"/>
    <cellStyle name="Normal 11 10 3 3 2" xfId="33336"/>
    <cellStyle name="Normal 11 10 3 4" xfId="21816"/>
    <cellStyle name="Normal 11 10 4" xfId="7416"/>
    <cellStyle name="Normal 11 10 4 2" xfId="24696"/>
    <cellStyle name="Normal 11 10 5" xfId="13176"/>
    <cellStyle name="Normal 11 10 5 2" xfId="30456"/>
    <cellStyle name="Normal 11 10 6" xfId="18936"/>
    <cellStyle name="Normal 11 11" xfId="2376"/>
    <cellStyle name="Normal 11 11 2" xfId="5256"/>
    <cellStyle name="Normal 11 11 2 2" xfId="11016"/>
    <cellStyle name="Normal 11 11 2 2 2" xfId="28296"/>
    <cellStyle name="Normal 11 11 2 3" xfId="16776"/>
    <cellStyle name="Normal 11 11 2 3 2" xfId="34056"/>
    <cellStyle name="Normal 11 11 2 4" xfId="22536"/>
    <cellStyle name="Normal 11 11 3" xfId="8136"/>
    <cellStyle name="Normal 11 11 3 2" xfId="25416"/>
    <cellStyle name="Normal 11 11 4" xfId="13896"/>
    <cellStyle name="Normal 11 11 4 2" xfId="31176"/>
    <cellStyle name="Normal 11 11 5" xfId="19656"/>
    <cellStyle name="Normal 11 12" xfId="3816"/>
    <cellStyle name="Normal 11 12 2" xfId="9576"/>
    <cellStyle name="Normal 11 12 2 2" xfId="26856"/>
    <cellStyle name="Normal 11 12 3" xfId="15336"/>
    <cellStyle name="Normal 11 12 3 2" xfId="32616"/>
    <cellStyle name="Normal 11 12 4" xfId="21096"/>
    <cellStyle name="Normal 11 13" xfId="6696"/>
    <cellStyle name="Normal 11 13 2" xfId="23976"/>
    <cellStyle name="Normal 11 14" xfId="12456"/>
    <cellStyle name="Normal 11 14 2" xfId="29736"/>
    <cellStyle name="Normal 11 15" xfId="18216"/>
    <cellStyle name="Normal 11 16" xfId="384"/>
    <cellStyle name="Normal 11 17" xfId="35506"/>
    <cellStyle name="Normal 11 2" xfId="64"/>
    <cellStyle name="Normal 11 2 10" xfId="2381"/>
    <cellStyle name="Normal 11 2 10 2" xfId="5261"/>
    <cellStyle name="Normal 11 2 10 2 2" xfId="11021"/>
    <cellStyle name="Normal 11 2 10 2 2 2" xfId="28301"/>
    <cellStyle name="Normal 11 2 10 2 3" xfId="16781"/>
    <cellStyle name="Normal 11 2 10 2 3 2" xfId="34061"/>
    <cellStyle name="Normal 11 2 10 2 4" xfId="22541"/>
    <cellStyle name="Normal 11 2 10 3" xfId="8141"/>
    <cellStyle name="Normal 11 2 10 3 2" xfId="25421"/>
    <cellStyle name="Normal 11 2 10 4" xfId="13901"/>
    <cellStyle name="Normal 11 2 10 4 2" xfId="31181"/>
    <cellStyle name="Normal 11 2 10 5" xfId="19661"/>
    <cellStyle name="Normal 11 2 11" xfId="3821"/>
    <cellStyle name="Normal 11 2 11 2" xfId="9581"/>
    <cellStyle name="Normal 11 2 11 2 2" xfId="26861"/>
    <cellStyle name="Normal 11 2 11 3" xfId="15341"/>
    <cellStyle name="Normal 11 2 11 3 2" xfId="32621"/>
    <cellStyle name="Normal 11 2 11 4" xfId="21101"/>
    <cellStyle name="Normal 11 2 12" xfId="6701"/>
    <cellStyle name="Normal 11 2 12 2" xfId="23981"/>
    <cellStyle name="Normal 11 2 13" xfId="12461"/>
    <cellStyle name="Normal 11 2 13 2" xfId="29741"/>
    <cellStyle name="Normal 11 2 14" xfId="18221"/>
    <cellStyle name="Normal 11 2 15" xfId="389"/>
    <cellStyle name="Normal 11 2 16" xfId="35507"/>
    <cellStyle name="Normal 11 2 2" xfId="400"/>
    <cellStyle name="Normal 11 2 2 10" xfId="3831"/>
    <cellStyle name="Normal 11 2 2 10 2" xfId="9591"/>
    <cellStyle name="Normal 11 2 2 10 2 2" xfId="26871"/>
    <cellStyle name="Normal 11 2 2 10 3" xfId="15351"/>
    <cellStyle name="Normal 11 2 2 10 3 2" xfId="32631"/>
    <cellStyle name="Normal 11 2 2 10 4" xfId="21111"/>
    <cellStyle name="Normal 11 2 2 11" xfId="6711"/>
    <cellStyle name="Normal 11 2 2 11 2" xfId="23991"/>
    <cellStyle name="Normal 11 2 2 12" xfId="12471"/>
    <cellStyle name="Normal 11 2 2 12 2" xfId="29751"/>
    <cellStyle name="Normal 11 2 2 13" xfId="18231"/>
    <cellStyle name="Normal 11 2 2 2" xfId="420"/>
    <cellStyle name="Normal 11 2 2 2 10" xfId="6731"/>
    <cellStyle name="Normal 11 2 2 2 10 2" xfId="24011"/>
    <cellStyle name="Normal 11 2 2 2 11" xfId="12491"/>
    <cellStyle name="Normal 11 2 2 2 11 2" xfId="29771"/>
    <cellStyle name="Normal 11 2 2 2 12" xfId="18251"/>
    <cellStyle name="Normal 11 2 2 2 2" xfId="1051"/>
    <cellStyle name="Normal 11 2 2 2 2 10" xfId="18331"/>
    <cellStyle name="Normal 11 2 2 2 2 2" xfId="1171"/>
    <cellStyle name="Normal 11 2 2 2 2 2 2" xfId="1411"/>
    <cellStyle name="Normal 11 2 2 2 2 2 2 2" xfId="2131"/>
    <cellStyle name="Normal 11 2 2 2 2 2 2 2 2" xfId="3571"/>
    <cellStyle name="Normal 11 2 2 2 2 2 2 2 2 2" xfId="6451"/>
    <cellStyle name="Normal 11 2 2 2 2 2 2 2 2 2 2" xfId="12211"/>
    <cellStyle name="Normal 11 2 2 2 2 2 2 2 2 2 2 2" xfId="29491"/>
    <cellStyle name="Normal 11 2 2 2 2 2 2 2 2 2 3" xfId="17971"/>
    <cellStyle name="Normal 11 2 2 2 2 2 2 2 2 2 3 2" xfId="35251"/>
    <cellStyle name="Normal 11 2 2 2 2 2 2 2 2 2 4" xfId="23731"/>
    <cellStyle name="Normal 11 2 2 2 2 2 2 2 2 3" xfId="9331"/>
    <cellStyle name="Normal 11 2 2 2 2 2 2 2 2 3 2" xfId="26611"/>
    <cellStyle name="Normal 11 2 2 2 2 2 2 2 2 4" xfId="15091"/>
    <cellStyle name="Normal 11 2 2 2 2 2 2 2 2 4 2" xfId="32371"/>
    <cellStyle name="Normal 11 2 2 2 2 2 2 2 2 5" xfId="20851"/>
    <cellStyle name="Normal 11 2 2 2 2 2 2 2 3" xfId="5011"/>
    <cellStyle name="Normal 11 2 2 2 2 2 2 2 3 2" xfId="10771"/>
    <cellStyle name="Normal 11 2 2 2 2 2 2 2 3 2 2" xfId="28051"/>
    <cellStyle name="Normal 11 2 2 2 2 2 2 2 3 3" xfId="16531"/>
    <cellStyle name="Normal 11 2 2 2 2 2 2 2 3 3 2" xfId="33811"/>
    <cellStyle name="Normal 11 2 2 2 2 2 2 2 3 4" xfId="22291"/>
    <cellStyle name="Normal 11 2 2 2 2 2 2 2 4" xfId="7891"/>
    <cellStyle name="Normal 11 2 2 2 2 2 2 2 4 2" xfId="25171"/>
    <cellStyle name="Normal 11 2 2 2 2 2 2 2 5" xfId="13651"/>
    <cellStyle name="Normal 11 2 2 2 2 2 2 2 5 2" xfId="30931"/>
    <cellStyle name="Normal 11 2 2 2 2 2 2 2 6" xfId="19411"/>
    <cellStyle name="Normal 11 2 2 2 2 2 2 3" xfId="2851"/>
    <cellStyle name="Normal 11 2 2 2 2 2 2 3 2" xfId="5731"/>
    <cellStyle name="Normal 11 2 2 2 2 2 2 3 2 2" xfId="11491"/>
    <cellStyle name="Normal 11 2 2 2 2 2 2 3 2 2 2" xfId="28771"/>
    <cellStyle name="Normal 11 2 2 2 2 2 2 3 2 3" xfId="17251"/>
    <cellStyle name="Normal 11 2 2 2 2 2 2 3 2 3 2" xfId="34531"/>
    <cellStyle name="Normal 11 2 2 2 2 2 2 3 2 4" xfId="23011"/>
    <cellStyle name="Normal 11 2 2 2 2 2 2 3 3" xfId="8611"/>
    <cellStyle name="Normal 11 2 2 2 2 2 2 3 3 2" xfId="25891"/>
    <cellStyle name="Normal 11 2 2 2 2 2 2 3 4" xfId="14371"/>
    <cellStyle name="Normal 11 2 2 2 2 2 2 3 4 2" xfId="31651"/>
    <cellStyle name="Normal 11 2 2 2 2 2 2 3 5" xfId="20131"/>
    <cellStyle name="Normal 11 2 2 2 2 2 2 4" xfId="4291"/>
    <cellStyle name="Normal 11 2 2 2 2 2 2 4 2" xfId="10051"/>
    <cellStyle name="Normal 11 2 2 2 2 2 2 4 2 2" xfId="27331"/>
    <cellStyle name="Normal 11 2 2 2 2 2 2 4 3" xfId="15811"/>
    <cellStyle name="Normal 11 2 2 2 2 2 2 4 3 2" xfId="33091"/>
    <cellStyle name="Normal 11 2 2 2 2 2 2 4 4" xfId="21571"/>
    <cellStyle name="Normal 11 2 2 2 2 2 2 5" xfId="7171"/>
    <cellStyle name="Normal 11 2 2 2 2 2 2 5 2" xfId="24451"/>
    <cellStyle name="Normal 11 2 2 2 2 2 2 6" xfId="12931"/>
    <cellStyle name="Normal 11 2 2 2 2 2 2 6 2" xfId="30211"/>
    <cellStyle name="Normal 11 2 2 2 2 2 2 7" xfId="18691"/>
    <cellStyle name="Normal 11 2 2 2 2 2 3" xfId="1651"/>
    <cellStyle name="Normal 11 2 2 2 2 2 3 2" xfId="2371"/>
    <cellStyle name="Normal 11 2 2 2 2 2 3 2 2" xfId="3811"/>
    <cellStyle name="Normal 11 2 2 2 2 2 3 2 2 2" xfId="6691"/>
    <cellStyle name="Normal 11 2 2 2 2 2 3 2 2 2 2" xfId="12451"/>
    <cellStyle name="Normal 11 2 2 2 2 2 3 2 2 2 2 2" xfId="29731"/>
    <cellStyle name="Normal 11 2 2 2 2 2 3 2 2 2 3" xfId="18211"/>
    <cellStyle name="Normal 11 2 2 2 2 2 3 2 2 2 3 2" xfId="35491"/>
    <cellStyle name="Normal 11 2 2 2 2 2 3 2 2 2 4" xfId="23971"/>
    <cellStyle name="Normal 11 2 2 2 2 2 3 2 2 3" xfId="9571"/>
    <cellStyle name="Normal 11 2 2 2 2 2 3 2 2 3 2" xfId="26851"/>
    <cellStyle name="Normal 11 2 2 2 2 2 3 2 2 4" xfId="15331"/>
    <cellStyle name="Normal 11 2 2 2 2 2 3 2 2 4 2" xfId="32611"/>
    <cellStyle name="Normal 11 2 2 2 2 2 3 2 2 5" xfId="21091"/>
    <cellStyle name="Normal 11 2 2 2 2 2 3 2 3" xfId="5251"/>
    <cellStyle name="Normal 11 2 2 2 2 2 3 2 3 2" xfId="11011"/>
    <cellStyle name="Normal 11 2 2 2 2 2 3 2 3 2 2" xfId="28291"/>
    <cellStyle name="Normal 11 2 2 2 2 2 3 2 3 3" xfId="16771"/>
    <cellStyle name="Normal 11 2 2 2 2 2 3 2 3 3 2" xfId="34051"/>
    <cellStyle name="Normal 11 2 2 2 2 2 3 2 3 4" xfId="22531"/>
    <cellStyle name="Normal 11 2 2 2 2 2 3 2 4" xfId="8131"/>
    <cellStyle name="Normal 11 2 2 2 2 2 3 2 4 2" xfId="25411"/>
    <cellStyle name="Normal 11 2 2 2 2 2 3 2 5" xfId="13891"/>
    <cellStyle name="Normal 11 2 2 2 2 2 3 2 5 2" xfId="31171"/>
    <cellStyle name="Normal 11 2 2 2 2 2 3 2 6" xfId="19651"/>
    <cellStyle name="Normal 11 2 2 2 2 2 3 3" xfId="3091"/>
    <cellStyle name="Normal 11 2 2 2 2 2 3 3 2" xfId="5971"/>
    <cellStyle name="Normal 11 2 2 2 2 2 3 3 2 2" xfId="11731"/>
    <cellStyle name="Normal 11 2 2 2 2 2 3 3 2 2 2" xfId="29011"/>
    <cellStyle name="Normal 11 2 2 2 2 2 3 3 2 3" xfId="17491"/>
    <cellStyle name="Normal 11 2 2 2 2 2 3 3 2 3 2" xfId="34771"/>
    <cellStyle name="Normal 11 2 2 2 2 2 3 3 2 4" xfId="23251"/>
    <cellStyle name="Normal 11 2 2 2 2 2 3 3 3" xfId="8851"/>
    <cellStyle name="Normal 11 2 2 2 2 2 3 3 3 2" xfId="26131"/>
    <cellStyle name="Normal 11 2 2 2 2 2 3 3 4" xfId="14611"/>
    <cellStyle name="Normal 11 2 2 2 2 2 3 3 4 2" xfId="31891"/>
    <cellStyle name="Normal 11 2 2 2 2 2 3 3 5" xfId="20371"/>
    <cellStyle name="Normal 11 2 2 2 2 2 3 4" xfId="4531"/>
    <cellStyle name="Normal 11 2 2 2 2 2 3 4 2" xfId="10291"/>
    <cellStyle name="Normal 11 2 2 2 2 2 3 4 2 2" xfId="27571"/>
    <cellStyle name="Normal 11 2 2 2 2 2 3 4 3" xfId="16051"/>
    <cellStyle name="Normal 11 2 2 2 2 2 3 4 3 2" xfId="33331"/>
    <cellStyle name="Normal 11 2 2 2 2 2 3 4 4" xfId="21811"/>
    <cellStyle name="Normal 11 2 2 2 2 2 3 5" xfId="7411"/>
    <cellStyle name="Normal 11 2 2 2 2 2 3 5 2" xfId="24691"/>
    <cellStyle name="Normal 11 2 2 2 2 2 3 6" xfId="13171"/>
    <cellStyle name="Normal 11 2 2 2 2 2 3 6 2" xfId="30451"/>
    <cellStyle name="Normal 11 2 2 2 2 2 3 7" xfId="18931"/>
    <cellStyle name="Normal 11 2 2 2 2 2 4" xfId="1891"/>
    <cellStyle name="Normal 11 2 2 2 2 2 4 2" xfId="3331"/>
    <cellStyle name="Normal 11 2 2 2 2 2 4 2 2" xfId="6211"/>
    <cellStyle name="Normal 11 2 2 2 2 2 4 2 2 2" xfId="11971"/>
    <cellStyle name="Normal 11 2 2 2 2 2 4 2 2 2 2" xfId="29251"/>
    <cellStyle name="Normal 11 2 2 2 2 2 4 2 2 3" xfId="17731"/>
    <cellStyle name="Normal 11 2 2 2 2 2 4 2 2 3 2" xfId="35011"/>
    <cellStyle name="Normal 11 2 2 2 2 2 4 2 2 4" xfId="23491"/>
    <cellStyle name="Normal 11 2 2 2 2 2 4 2 3" xfId="9091"/>
    <cellStyle name="Normal 11 2 2 2 2 2 4 2 3 2" xfId="26371"/>
    <cellStyle name="Normal 11 2 2 2 2 2 4 2 4" xfId="14851"/>
    <cellStyle name="Normal 11 2 2 2 2 2 4 2 4 2" xfId="32131"/>
    <cellStyle name="Normal 11 2 2 2 2 2 4 2 5" xfId="20611"/>
    <cellStyle name="Normal 11 2 2 2 2 2 4 3" xfId="4771"/>
    <cellStyle name="Normal 11 2 2 2 2 2 4 3 2" xfId="10531"/>
    <cellStyle name="Normal 11 2 2 2 2 2 4 3 2 2" xfId="27811"/>
    <cellStyle name="Normal 11 2 2 2 2 2 4 3 3" xfId="16291"/>
    <cellStyle name="Normal 11 2 2 2 2 2 4 3 3 2" xfId="33571"/>
    <cellStyle name="Normal 11 2 2 2 2 2 4 3 4" xfId="22051"/>
    <cellStyle name="Normal 11 2 2 2 2 2 4 4" xfId="7651"/>
    <cellStyle name="Normal 11 2 2 2 2 2 4 4 2" xfId="24931"/>
    <cellStyle name="Normal 11 2 2 2 2 2 4 5" xfId="13411"/>
    <cellStyle name="Normal 11 2 2 2 2 2 4 5 2" xfId="30691"/>
    <cellStyle name="Normal 11 2 2 2 2 2 4 6" xfId="19171"/>
    <cellStyle name="Normal 11 2 2 2 2 2 5" xfId="2611"/>
    <cellStyle name="Normal 11 2 2 2 2 2 5 2" xfId="5491"/>
    <cellStyle name="Normal 11 2 2 2 2 2 5 2 2" xfId="11251"/>
    <cellStyle name="Normal 11 2 2 2 2 2 5 2 2 2" xfId="28531"/>
    <cellStyle name="Normal 11 2 2 2 2 2 5 2 3" xfId="17011"/>
    <cellStyle name="Normal 11 2 2 2 2 2 5 2 3 2" xfId="34291"/>
    <cellStyle name="Normal 11 2 2 2 2 2 5 2 4" xfId="22771"/>
    <cellStyle name="Normal 11 2 2 2 2 2 5 3" xfId="8371"/>
    <cellStyle name="Normal 11 2 2 2 2 2 5 3 2" xfId="25651"/>
    <cellStyle name="Normal 11 2 2 2 2 2 5 4" xfId="14131"/>
    <cellStyle name="Normal 11 2 2 2 2 2 5 4 2" xfId="31411"/>
    <cellStyle name="Normal 11 2 2 2 2 2 5 5" xfId="19891"/>
    <cellStyle name="Normal 11 2 2 2 2 2 6" xfId="4051"/>
    <cellStyle name="Normal 11 2 2 2 2 2 6 2" xfId="9811"/>
    <cellStyle name="Normal 11 2 2 2 2 2 6 2 2" xfId="27091"/>
    <cellStyle name="Normal 11 2 2 2 2 2 6 3" xfId="15571"/>
    <cellStyle name="Normal 11 2 2 2 2 2 6 3 2" xfId="32851"/>
    <cellStyle name="Normal 11 2 2 2 2 2 6 4" xfId="21331"/>
    <cellStyle name="Normal 11 2 2 2 2 2 7" xfId="6931"/>
    <cellStyle name="Normal 11 2 2 2 2 2 7 2" xfId="24211"/>
    <cellStyle name="Normal 11 2 2 2 2 2 8" xfId="12691"/>
    <cellStyle name="Normal 11 2 2 2 2 2 8 2" xfId="29971"/>
    <cellStyle name="Normal 11 2 2 2 2 2 9" xfId="18451"/>
    <cellStyle name="Normal 11 2 2 2 2 3" xfId="1291"/>
    <cellStyle name="Normal 11 2 2 2 2 3 2" xfId="2011"/>
    <cellStyle name="Normal 11 2 2 2 2 3 2 2" xfId="3451"/>
    <cellStyle name="Normal 11 2 2 2 2 3 2 2 2" xfId="6331"/>
    <cellStyle name="Normal 11 2 2 2 2 3 2 2 2 2" xfId="12091"/>
    <cellStyle name="Normal 11 2 2 2 2 3 2 2 2 2 2" xfId="29371"/>
    <cellStyle name="Normal 11 2 2 2 2 3 2 2 2 3" xfId="17851"/>
    <cellStyle name="Normal 11 2 2 2 2 3 2 2 2 3 2" xfId="35131"/>
    <cellStyle name="Normal 11 2 2 2 2 3 2 2 2 4" xfId="23611"/>
    <cellStyle name="Normal 11 2 2 2 2 3 2 2 3" xfId="9211"/>
    <cellStyle name="Normal 11 2 2 2 2 3 2 2 3 2" xfId="26491"/>
    <cellStyle name="Normal 11 2 2 2 2 3 2 2 4" xfId="14971"/>
    <cellStyle name="Normal 11 2 2 2 2 3 2 2 4 2" xfId="32251"/>
    <cellStyle name="Normal 11 2 2 2 2 3 2 2 5" xfId="20731"/>
    <cellStyle name="Normal 11 2 2 2 2 3 2 3" xfId="4891"/>
    <cellStyle name="Normal 11 2 2 2 2 3 2 3 2" xfId="10651"/>
    <cellStyle name="Normal 11 2 2 2 2 3 2 3 2 2" xfId="27931"/>
    <cellStyle name="Normal 11 2 2 2 2 3 2 3 3" xfId="16411"/>
    <cellStyle name="Normal 11 2 2 2 2 3 2 3 3 2" xfId="33691"/>
    <cellStyle name="Normal 11 2 2 2 2 3 2 3 4" xfId="22171"/>
    <cellStyle name="Normal 11 2 2 2 2 3 2 4" xfId="7771"/>
    <cellStyle name="Normal 11 2 2 2 2 3 2 4 2" xfId="25051"/>
    <cellStyle name="Normal 11 2 2 2 2 3 2 5" xfId="13531"/>
    <cellStyle name="Normal 11 2 2 2 2 3 2 5 2" xfId="30811"/>
    <cellStyle name="Normal 11 2 2 2 2 3 2 6" xfId="19291"/>
    <cellStyle name="Normal 11 2 2 2 2 3 3" xfId="2731"/>
    <cellStyle name="Normal 11 2 2 2 2 3 3 2" xfId="5611"/>
    <cellStyle name="Normal 11 2 2 2 2 3 3 2 2" xfId="11371"/>
    <cellStyle name="Normal 11 2 2 2 2 3 3 2 2 2" xfId="28651"/>
    <cellStyle name="Normal 11 2 2 2 2 3 3 2 3" xfId="17131"/>
    <cellStyle name="Normal 11 2 2 2 2 3 3 2 3 2" xfId="34411"/>
    <cellStyle name="Normal 11 2 2 2 2 3 3 2 4" xfId="22891"/>
    <cellStyle name="Normal 11 2 2 2 2 3 3 3" xfId="8491"/>
    <cellStyle name="Normal 11 2 2 2 2 3 3 3 2" xfId="25771"/>
    <cellStyle name="Normal 11 2 2 2 2 3 3 4" xfId="14251"/>
    <cellStyle name="Normal 11 2 2 2 2 3 3 4 2" xfId="31531"/>
    <cellStyle name="Normal 11 2 2 2 2 3 3 5" xfId="20011"/>
    <cellStyle name="Normal 11 2 2 2 2 3 4" xfId="4171"/>
    <cellStyle name="Normal 11 2 2 2 2 3 4 2" xfId="9931"/>
    <cellStyle name="Normal 11 2 2 2 2 3 4 2 2" xfId="27211"/>
    <cellStyle name="Normal 11 2 2 2 2 3 4 3" xfId="15691"/>
    <cellStyle name="Normal 11 2 2 2 2 3 4 3 2" xfId="32971"/>
    <cellStyle name="Normal 11 2 2 2 2 3 4 4" xfId="21451"/>
    <cellStyle name="Normal 11 2 2 2 2 3 5" xfId="7051"/>
    <cellStyle name="Normal 11 2 2 2 2 3 5 2" xfId="24331"/>
    <cellStyle name="Normal 11 2 2 2 2 3 6" xfId="12811"/>
    <cellStyle name="Normal 11 2 2 2 2 3 6 2" xfId="30091"/>
    <cellStyle name="Normal 11 2 2 2 2 3 7" xfId="18571"/>
    <cellStyle name="Normal 11 2 2 2 2 4" xfId="1531"/>
    <cellStyle name="Normal 11 2 2 2 2 4 2" xfId="2251"/>
    <cellStyle name="Normal 11 2 2 2 2 4 2 2" xfId="3691"/>
    <cellStyle name="Normal 11 2 2 2 2 4 2 2 2" xfId="6571"/>
    <cellStyle name="Normal 11 2 2 2 2 4 2 2 2 2" xfId="12331"/>
    <cellStyle name="Normal 11 2 2 2 2 4 2 2 2 2 2" xfId="29611"/>
    <cellStyle name="Normal 11 2 2 2 2 4 2 2 2 3" xfId="18091"/>
    <cellStyle name="Normal 11 2 2 2 2 4 2 2 2 3 2" xfId="35371"/>
    <cellStyle name="Normal 11 2 2 2 2 4 2 2 2 4" xfId="23851"/>
    <cellStyle name="Normal 11 2 2 2 2 4 2 2 3" xfId="9451"/>
    <cellStyle name="Normal 11 2 2 2 2 4 2 2 3 2" xfId="26731"/>
    <cellStyle name="Normal 11 2 2 2 2 4 2 2 4" xfId="15211"/>
    <cellStyle name="Normal 11 2 2 2 2 4 2 2 4 2" xfId="32491"/>
    <cellStyle name="Normal 11 2 2 2 2 4 2 2 5" xfId="20971"/>
    <cellStyle name="Normal 11 2 2 2 2 4 2 3" xfId="5131"/>
    <cellStyle name="Normal 11 2 2 2 2 4 2 3 2" xfId="10891"/>
    <cellStyle name="Normal 11 2 2 2 2 4 2 3 2 2" xfId="28171"/>
    <cellStyle name="Normal 11 2 2 2 2 4 2 3 3" xfId="16651"/>
    <cellStyle name="Normal 11 2 2 2 2 4 2 3 3 2" xfId="33931"/>
    <cellStyle name="Normal 11 2 2 2 2 4 2 3 4" xfId="22411"/>
    <cellStyle name="Normal 11 2 2 2 2 4 2 4" xfId="8011"/>
    <cellStyle name="Normal 11 2 2 2 2 4 2 4 2" xfId="25291"/>
    <cellStyle name="Normal 11 2 2 2 2 4 2 5" xfId="13771"/>
    <cellStyle name="Normal 11 2 2 2 2 4 2 5 2" xfId="31051"/>
    <cellStyle name="Normal 11 2 2 2 2 4 2 6" xfId="19531"/>
    <cellStyle name="Normal 11 2 2 2 2 4 3" xfId="2971"/>
    <cellStyle name="Normal 11 2 2 2 2 4 3 2" xfId="5851"/>
    <cellStyle name="Normal 11 2 2 2 2 4 3 2 2" xfId="11611"/>
    <cellStyle name="Normal 11 2 2 2 2 4 3 2 2 2" xfId="28891"/>
    <cellStyle name="Normal 11 2 2 2 2 4 3 2 3" xfId="17371"/>
    <cellStyle name="Normal 11 2 2 2 2 4 3 2 3 2" xfId="34651"/>
    <cellStyle name="Normal 11 2 2 2 2 4 3 2 4" xfId="23131"/>
    <cellStyle name="Normal 11 2 2 2 2 4 3 3" xfId="8731"/>
    <cellStyle name="Normal 11 2 2 2 2 4 3 3 2" xfId="26011"/>
    <cellStyle name="Normal 11 2 2 2 2 4 3 4" xfId="14491"/>
    <cellStyle name="Normal 11 2 2 2 2 4 3 4 2" xfId="31771"/>
    <cellStyle name="Normal 11 2 2 2 2 4 3 5" xfId="20251"/>
    <cellStyle name="Normal 11 2 2 2 2 4 4" xfId="4411"/>
    <cellStyle name="Normal 11 2 2 2 2 4 4 2" xfId="10171"/>
    <cellStyle name="Normal 11 2 2 2 2 4 4 2 2" xfId="27451"/>
    <cellStyle name="Normal 11 2 2 2 2 4 4 3" xfId="15931"/>
    <cellStyle name="Normal 11 2 2 2 2 4 4 3 2" xfId="33211"/>
    <cellStyle name="Normal 11 2 2 2 2 4 4 4" xfId="21691"/>
    <cellStyle name="Normal 11 2 2 2 2 4 5" xfId="7291"/>
    <cellStyle name="Normal 11 2 2 2 2 4 5 2" xfId="24571"/>
    <cellStyle name="Normal 11 2 2 2 2 4 6" xfId="13051"/>
    <cellStyle name="Normal 11 2 2 2 2 4 6 2" xfId="30331"/>
    <cellStyle name="Normal 11 2 2 2 2 4 7" xfId="18811"/>
    <cellStyle name="Normal 11 2 2 2 2 5" xfId="1771"/>
    <cellStyle name="Normal 11 2 2 2 2 5 2" xfId="3211"/>
    <cellStyle name="Normal 11 2 2 2 2 5 2 2" xfId="6091"/>
    <cellStyle name="Normal 11 2 2 2 2 5 2 2 2" xfId="11851"/>
    <cellStyle name="Normal 11 2 2 2 2 5 2 2 2 2" xfId="29131"/>
    <cellStyle name="Normal 11 2 2 2 2 5 2 2 3" xfId="17611"/>
    <cellStyle name="Normal 11 2 2 2 2 5 2 2 3 2" xfId="34891"/>
    <cellStyle name="Normal 11 2 2 2 2 5 2 2 4" xfId="23371"/>
    <cellStyle name="Normal 11 2 2 2 2 5 2 3" xfId="8971"/>
    <cellStyle name="Normal 11 2 2 2 2 5 2 3 2" xfId="26251"/>
    <cellStyle name="Normal 11 2 2 2 2 5 2 4" xfId="14731"/>
    <cellStyle name="Normal 11 2 2 2 2 5 2 4 2" xfId="32011"/>
    <cellStyle name="Normal 11 2 2 2 2 5 2 5" xfId="20491"/>
    <cellStyle name="Normal 11 2 2 2 2 5 3" xfId="4651"/>
    <cellStyle name="Normal 11 2 2 2 2 5 3 2" xfId="10411"/>
    <cellStyle name="Normal 11 2 2 2 2 5 3 2 2" xfId="27691"/>
    <cellStyle name="Normal 11 2 2 2 2 5 3 3" xfId="16171"/>
    <cellStyle name="Normal 11 2 2 2 2 5 3 3 2" xfId="33451"/>
    <cellStyle name="Normal 11 2 2 2 2 5 3 4" xfId="21931"/>
    <cellStyle name="Normal 11 2 2 2 2 5 4" xfId="7531"/>
    <cellStyle name="Normal 11 2 2 2 2 5 4 2" xfId="24811"/>
    <cellStyle name="Normal 11 2 2 2 2 5 5" xfId="13291"/>
    <cellStyle name="Normal 11 2 2 2 2 5 5 2" xfId="30571"/>
    <cellStyle name="Normal 11 2 2 2 2 5 6" xfId="19051"/>
    <cellStyle name="Normal 11 2 2 2 2 6" xfId="2491"/>
    <cellStyle name="Normal 11 2 2 2 2 6 2" xfId="5371"/>
    <cellStyle name="Normal 11 2 2 2 2 6 2 2" xfId="11131"/>
    <cellStyle name="Normal 11 2 2 2 2 6 2 2 2" xfId="28411"/>
    <cellStyle name="Normal 11 2 2 2 2 6 2 3" xfId="16891"/>
    <cellStyle name="Normal 11 2 2 2 2 6 2 3 2" xfId="34171"/>
    <cellStyle name="Normal 11 2 2 2 2 6 2 4" xfId="22651"/>
    <cellStyle name="Normal 11 2 2 2 2 6 3" xfId="8251"/>
    <cellStyle name="Normal 11 2 2 2 2 6 3 2" xfId="25531"/>
    <cellStyle name="Normal 11 2 2 2 2 6 4" xfId="14011"/>
    <cellStyle name="Normal 11 2 2 2 2 6 4 2" xfId="31291"/>
    <cellStyle name="Normal 11 2 2 2 2 6 5" xfId="19771"/>
    <cellStyle name="Normal 11 2 2 2 2 7" xfId="3931"/>
    <cellStyle name="Normal 11 2 2 2 2 7 2" xfId="9691"/>
    <cellStyle name="Normal 11 2 2 2 2 7 2 2" xfId="26971"/>
    <cellStyle name="Normal 11 2 2 2 2 7 3" xfId="15451"/>
    <cellStyle name="Normal 11 2 2 2 2 7 3 2" xfId="32731"/>
    <cellStyle name="Normal 11 2 2 2 2 7 4" xfId="21211"/>
    <cellStyle name="Normal 11 2 2 2 2 8" xfId="6811"/>
    <cellStyle name="Normal 11 2 2 2 2 8 2" xfId="24091"/>
    <cellStyle name="Normal 11 2 2 2 2 9" xfId="12571"/>
    <cellStyle name="Normal 11 2 2 2 2 9 2" xfId="29851"/>
    <cellStyle name="Normal 11 2 2 2 3" xfId="1011"/>
    <cellStyle name="Normal 11 2 2 2 3 10" xfId="18291"/>
    <cellStyle name="Normal 11 2 2 2 3 2" xfId="1131"/>
    <cellStyle name="Normal 11 2 2 2 3 2 2" xfId="1371"/>
    <cellStyle name="Normal 11 2 2 2 3 2 2 2" xfId="2091"/>
    <cellStyle name="Normal 11 2 2 2 3 2 2 2 2" xfId="3531"/>
    <cellStyle name="Normal 11 2 2 2 3 2 2 2 2 2" xfId="6411"/>
    <cellStyle name="Normal 11 2 2 2 3 2 2 2 2 2 2" xfId="12171"/>
    <cellStyle name="Normal 11 2 2 2 3 2 2 2 2 2 2 2" xfId="29451"/>
    <cellStyle name="Normal 11 2 2 2 3 2 2 2 2 2 3" xfId="17931"/>
    <cellStyle name="Normal 11 2 2 2 3 2 2 2 2 2 3 2" xfId="35211"/>
    <cellStyle name="Normal 11 2 2 2 3 2 2 2 2 2 4" xfId="23691"/>
    <cellStyle name="Normal 11 2 2 2 3 2 2 2 2 3" xfId="9291"/>
    <cellStyle name="Normal 11 2 2 2 3 2 2 2 2 3 2" xfId="26571"/>
    <cellStyle name="Normal 11 2 2 2 3 2 2 2 2 4" xfId="15051"/>
    <cellStyle name="Normal 11 2 2 2 3 2 2 2 2 4 2" xfId="32331"/>
    <cellStyle name="Normal 11 2 2 2 3 2 2 2 2 5" xfId="20811"/>
    <cellStyle name="Normal 11 2 2 2 3 2 2 2 3" xfId="4971"/>
    <cellStyle name="Normal 11 2 2 2 3 2 2 2 3 2" xfId="10731"/>
    <cellStyle name="Normal 11 2 2 2 3 2 2 2 3 2 2" xfId="28011"/>
    <cellStyle name="Normal 11 2 2 2 3 2 2 2 3 3" xfId="16491"/>
    <cellStyle name="Normal 11 2 2 2 3 2 2 2 3 3 2" xfId="33771"/>
    <cellStyle name="Normal 11 2 2 2 3 2 2 2 3 4" xfId="22251"/>
    <cellStyle name="Normal 11 2 2 2 3 2 2 2 4" xfId="7851"/>
    <cellStyle name="Normal 11 2 2 2 3 2 2 2 4 2" xfId="25131"/>
    <cellStyle name="Normal 11 2 2 2 3 2 2 2 5" xfId="13611"/>
    <cellStyle name="Normal 11 2 2 2 3 2 2 2 5 2" xfId="30891"/>
    <cellStyle name="Normal 11 2 2 2 3 2 2 2 6" xfId="19371"/>
    <cellStyle name="Normal 11 2 2 2 3 2 2 3" xfId="2811"/>
    <cellStyle name="Normal 11 2 2 2 3 2 2 3 2" xfId="5691"/>
    <cellStyle name="Normal 11 2 2 2 3 2 2 3 2 2" xfId="11451"/>
    <cellStyle name="Normal 11 2 2 2 3 2 2 3 2 2 2" xfId="28731"/>
    <cellStyle name="Normal 11 2 2 2 3 2 2 3 2 3" xfId="17211"/>
    <cellStyle name="Normal 11 2 2 2 3 2 2 3 2 3 2" xfId="34491"/>
    <cellStyle name="Normal 11 2 2 2 3 2 2 3 2 4" xfId="22971"/>
    <cellStyle name="Normal 11 2 2 2 3 2 2 3 3" xfId="8571"/>
    <cellStyle name="Normal 11 2 2 2 3 2 2 3 3 2" xfId="25851"/>
    <cellStyle name="Normal 11 2 2 2 3 2 2 3 4" xfId="14331"/>
    <cellStyle name="Normal 11 2 2 2 3 2 2 3 4 2" xfId="31611"/>
    <cellStyle name="Normal 11 2 2 2 3 2 2 3 5" xfId="20091"/>
    <cellStyle name="Normal 11 2 2 2 3 2 2 4" xfId="4251"/>
    <cellStyle name="Normal 11 2 2 2 3 2 2 4 2" xfId="10011"/>
    <cellStyle name="Normal 11 2 2 2 3 2 2 4 2 2" xfId="27291"/>
    <cellStyle name="Normal 11 2 2 2 3 2 2 4 3" xfId="15771"/>
    <cellStyle name="Normal 11 2 2 2 3 2 2 4 3 2" xfId="33051"/>
    <cellStyle name="Normal 11 2 2 2 3 2 2 4 4" xfId="21531"/>
    <cellStyle name="Normal 11 2 2 2 3 2 2 5" xfId="7131"/>
    <cellStyle name="Normal 11 2 2 2 3 2 2 5 2" xfId="24411"/>
    <cellStyle name="Normal 11 2 2 2 3 2 2 6" xfId="12891"/>
    <cellStyle name="Normal 11 2 2 2 3 2 2 6 2" xfId="30171"/>
    <cellStyle name="Normal 11 2 2 2 3 2 2 7" xfId="18651"/>
    <cellStyle name="Normal 11 2 2 2 3 2 3" xfId="1611"/>
    <cellStyle name="Normal 11 2 2 2 3 2 3 2" xfId="2331"/>
    <cellStyle name="Normal 11 2 2 2 3 2 3 2 2" xfId="3771"/>
    <cellStyle name="Normal 11 2 2 2 3 2 3 2 2 2" xfId="6651"/>
    <cellStyle name="Normal 11 2 2 2 3 2 3 2 2 2 2" xfId="12411"/>
    <cellStyle name="Normal 11 2 2 2 3 2 3 2 2 2 2 2" xfId="29691"/>
    <cellStyle name="Normal 11 2 2 2 3 2 3 2 2 2 3" xfId="18171"/>
    <cellStyle name="Normal 11 2 2 2 3 2 3 2 2 2 3 2" xfId="35451"/>
    <cellStyle name="Normal 11 2 2 2 3 2 3 2 2 2 4" xfId="23931"/>
    <cellStyle name="Normal 11 2 2 2 3 2 3 2 2 3" xfId="9531"/>
    <cellStyle name="Normal 11 2 2 2 3 2 3 2 2 3 2" xfId="26811"/>
    <cellStyle name="Normal 11 2 2 2 3 2 3 2 2 4" xfId="15291"/>
    <cellStyle name="Normal 11 2 2 2 3 2 3 2 2 4 2" xfId="32571"/>
    <cellStyle name="Normal 11 2 2 2 3 2 3 2 2 5" xfId="21051"/>
    <cellStyle name="Normal 11 2 2 2 3 2 3 2 3" xfId="5211"/>
    <cellStyle name="Normal 11 2 2 2 3 2 3 2 3 2" xfId="10971"/>
    <cellStyle name="Normal 11 2 2 2 3 2 3 2 3 2 2" xfId="28251"/>
    <cellStyle name="Normal 11 2 2 2 3 2 3 2 3 3" xfId="16731"/>
    <cellStyle name="Normal 11 2 2 2 3 2 3 2 3 3 2" xfId="34011"/>
    <cellStyle name="Normal 11 2 2 2 3 2 3 2 3 4" xfId="22491"/>
    <cellStyle name="Normal 11 2 2 2 3 2 3 2 4" xfId="8091"/>
    <cellStyle name="Normal 11 2 2 2 3 2 3 2 4 2" xfId="25371"/>
    <cellStyle name="Normal 11 2 2 2 3 2 3 2 5" xfId="13851"/>
    <cellStyle name="Normal 11 2 2 2 3 2 3 2 5 2" xfId="31131"/>
    <cellStyle name="Normal 11 2 2 2 3 2 3 2 6" xfId="19611"/>
    <cellStyle name="Normal 11 2 2 2 3 2 3 3" xfId="3051"/>
    <cellStyle name="Normal 11 2 2 2 3 2 3 3 2" xfId="5931"/>
    <cellStyle name="Normal 11 2 2 2 3 2 3 3 2 2" xfId="11691"/>
    <cellStyle name="Normal 11 2 2 2 3 2 3 3 2 2 2" xfId="28971"/>
    <cellStyle name="Normal 11 2 2 2 3 2 3 3 2 3" xfId="17451"/>
    <cellStyle name="Normal 11 2 2 2 3 2 3 3 2 3 2" xfId="34731"/>
    <cellStyle name="Normal 11 2 2 2 3 2 3 3 2 4" xfId="23211"/>
    <cellStyle name="Normal 11 2 2 2 3 2 3 3 3" xfId="8811"/>
    <cellStyle name="Normal 11 2 2 2 3 2 3 3 3 2" xfId="26091"/>
    <cellStyle name="Normal 11 2 2 2 3 2 3 3 4" xfId="14571"/>
    <cellStyle name="Normal 11 2 2 2 3 2 3 3 4 2" xfId="31851"/>
    <cellStyle name="Normal 11 2 2 2 3 2 3 3 5" xfId="20331"/>
    <cellStyle name="Normal 11 2 2 2 3 2 3 4" xfId="4491"/>
    <cellStyle name="Normal 11 2 2 2 3 2 3 4 2" xfId="10251"/>
    <cellStyle name="Normal 11 2 2 2 3 2 3 4 2 2" xfId="27531"/>
    <cellStyle name="Normal 11 2 2 2 3 2 3 4 3" xfId="16011"/>
    <cellStyle name="Normal 11 2 2 2 3 2 3 4 3 2" xfId="33291"/>
    <cellStyle name="Normal 11 2 2 2 3 2 3 4 4" xfId="21771"/>
    <cellStyle name="Normal 11 2 2 2 3 2 3 5" xfId="7371"/>
    <cellStyle name="Normal 11 2 2 2 3 2 3 5 2" xfId="24651"/>
    <cellStyle name="Normal 11 2 2 2 3 2 3 6" xfId="13131"/>
    <cellStyle name="Normal 11 2 2 2 3 2 3 6 2" xfId="30411"/>
    <cellStyle name="Normal 11 2 2 2 3 2 3 7" xfId="18891"/>
    <cellStyle name="Normal 11 2 2 2 3 2 4" xfId="1851"/>
    <cellStyle name="Normal 11 2 2 2 3 2 4 2" xfId="3291"/>
    <cellStyle name="Normal 11 2 2 2 3 2 4 2 2" xfId="6171"/>
    <cellStyle name="Normal 11 2 2 2 3 2 4 2 2 2" xfId="11931"/>
    <cellStyle name="Normal 11 2 2 2 3 2 4 2 2 2 2" xfId="29211"/>
    <cellStyle name="Normal 11 2 2 2 3 2 4 2 2 3" xfId="17691"/>
    <cellStyle name="Normal 11 2 2 2 3 2 4 2 2 3 2" xfId="34971"/>
    <cellStyle name="Normal 11 2 2 2 3 2 4 2 2 4" xfId="23451"/>
    <cellStyle name="Normal 11 2 2 2 3 2 4 2 3" xfId="9051"/>
    <cellStyle name="Normal 11 2 2 2 3 2 4 2 3 2" xfId="26331"/>
    <cellStyle name="Normal 11 2 2 2 3 2 4 2 4" xfId="14811"/>
    <cellStyle name="Normal 11 2 2 2 3 2 4 2 4 2" xfId="32091"/>
    <cellStyle name="Normal 11 2 2 2 3 2 4 2 5" xfId="20571"/>
    <cellStyle name="Normal 11 2 2 2 3 2 4 3" xfId="4731"/>
    <cellStyle name="Normal 11 2 2 2 3 2 4 3 2" xfId="10491"/>
    <cellStyle name="Normal 11 2 2 2 3 2 4 3 2 2" xfId="27771"/>
    <cellStyle name="Normal 11 2 2 2 3 2 4 3 3" xfId="16251"/>
    <cellStyle name="Normal 11 2 2 2 3 2 4 3 3 2" xfId="33531"/>
    <cellStyle name="Normal 11 2 2 2 3 2 4 3 4" xfId="22011"/>
    <cellStyle name="Normal 11 2 2 2 3 2 4 4" xfId="7611"/>
    <cellStyle name="Normal 11 2 2 2 3 2 4 4 2" xfId="24891"/>
    <cellStyle name="Normal 11 2 2 2 3 2 4 5" xfId="13371"/>
    <cellStyle name="Normal 11 2 2 2 3 2 4 5 2" xfId="30651"/>
    <cellStyle name="Normal 11 2 2 2 3 2 4 6" xfId="19131"/>
    <cellStyle name="Normal 11 2 2 2 3 2 5" xfId="2571"/>
    <cellStyle name="Normal 11 2 2 2 3 2 5 2" xfId="5451"/>
    <cellStyle name="Normal 11 2 2 2 3 2 5 2 2" xfId="11211"/>
    <cellStyle name="Normal 11 2 2 2 3 2 5 2 2 2" xfId="28491"/>
    <cellStyle name="Normal 11 2 2 2 3 2 5 2 3" xfId="16971"/>
    <cellStyle name="Normal 11 2 2 2 3 2 5 2 3 2" xfId="34251"/>
    <cellStyle name="Normal 11 2 2 2 3 2 5 2 4" xfId="22731"/>
    <cellStyle name="Normal 11 2 2 2 3 2 5 3" xfId="8331"/>
    <cellStyle name="Normal 11 2 2 2 3 2 5 3 2" xfId="25611"/>
    <cellStyle name="Normal 11 2 2 2 3 2 5 4" xfId="14091"/>
    <cellStyle name="Normal 11 2 2 2 3 2 5 4 2" xfId="31371"/>
    <cellStyle name="Normal 11 2 2 2 3 2 5 5" xfId="19851"/>
    <cellStyle name="Normal 11 2 2 2 3 2 6" xfId="4011"/>
    <cellStyle name="Normal 11 2 2 2 3 2 6 2" xfId="9771"/>
    <cellStyle name="Normal 11 2 2 2 3 2 6 2 2" xfId="27051"/>
    <cellStyle name="Normal 11 2 2 2 3 2 6 3" xfId="15531"/>
    <cellStyle name="Normal 11 2 2 2 3 2 6 3 2" xfId="32811"/>
    <cellStyle name="Normal 11 2 2 2 3 2 6 4" xfId="21291"/>
    <cellStyle name="Normal 11 2 2 2 3 2 7" xfId="6891"/>
    <cellStyle name="Normal 11 2 2 2 3 2 7 2" xfId="24171"/>
    <cellStyle name="Normal 11 2 2 2 3 2 8" xfId="12651"/>
    <cellStyle name="Normal 11 2 2 2 3 2 8 2" xfId="29931"/>
    <cellStyle name="Normal 11 2 2 2 3 2 9" xfId="18411"/>
    <cellStyle name="Normal 11 2 2 2 3 3" xfId="1251"/>
    <cellStyle name="Normal 11 2 2 2 3 3 2" xfId="1971"/>
    <cellStyle name="Normal 11 2 2 2 3 3 2 2" xfId="3411"/>
    <cellStyle name="Normal 11 2 2 2 3 3 2 2 2" xfId="6291"/>
    <cellStyle name="Normal 11 2 2 2 3 3 2 2 2 2" xfId="12051"/>
    <cellStyle name="Normal 11 2 2 2 3 3 2 2 2 2 2" xfId="29331"/>
    <cellStyle name="Normal 11 2 2 2 3 3 2 2 2 3" xfId="17811"/>
    <cellStyle name="Normal 11 2 2 2 3 3 2 2 2 3 2" xfId="35091"/>
    <cellStyle name="Normal 11 2 2 2 3 3 2 2 2 4" xfId="23571"/>
    <cellStyle name="Normal 11 2 2 2 3 3 2 2 3" xfId="9171"/>
    <cellStyle name="Normal 11 2 2 2 3 3 2 2 3 2" xfId="26451"/>
    <cellStyle name="Normal 11 2 2 2 3 3 2 2 4" xfId="14931"/>
    <cellStyle name="Normal 11 2 2 2 3 3 2 2 4 2" xfId="32211"/>
    <cellStyle name="Normal 11 2 2 2 3 3 2 2 5" xfId="20691"/>
    <cellStyle name="Normal 11 2 2 2 3 3 2 3" xfId="4851"/>
    <cellStyle name="Normal 11 2 2 2 3 3 2 3 2" xfId="10611"/>
    <cellStyle name="Normal 11 2 2 2 3 3 2 3 2 2" xfId="27891"/>
    <cellStyle name="Normal 11 2 2 2 3 3 2 3 3" xfId="16371"/>
    <cellStyle name="Normal 11 2 2 2 3 3 2 3 3 2" xfId="33651"/>
    <cellStyle name="Normal 11 2 2 2 3 3 2 3 4" xfId="22131"/>
    <cellStyle name="Normal 11 2 2 2 3 3 2 4" xfId="7731"/>
    <cellStyle name="Normal 11 2 2 2 3 3 2 4 2" xfId="25011"/>
    <cellStyle name="Normal 11 2 2 2 3 3 2 5" xfId="13491"/>
    <cellStyle name="Normal 11 2 2 2 3 3 2 5 2" xfId="30771"/>
    <cellStyle name="Normal 11 2 2 2 3 3 2 6" xfId="19251"/>
    <cellStyle name="Normal 11 2 2 2 3 3 3" xfId="2691"/>
    <cellStyle name="Normal 11 2 2 2 3 3 3 2" xfId="5571"/>
    <cellStyle name="Normal 11 2 2 2 3 3 3 2 2" xfId="11331"/>
    <cellStyle name="Normal 11 2 2 2 3 3 3 2 2 2" xfId="28611"/>
    <cellStyle name="Normal 11 2 2 2 3 3 3 2 3" xfId="17091"/>
    <cellStyle name="Normal 11 2 2 2 3 3 3 2 3 2" xfId="34371"/>
    <cellStyle name="Normal 11 2 2 2 3 3 3 2 4" xfId="22851"/>
    <cellStyle name="Normal 11 2 2 2 3 3 3 3" xfId="8451"/>
    <cellStyle name="Normal 11 2 2 2 3 3 3 3 2" xfId="25731"/>
    <cellStyle name="Normal 11 2 2 2 3 3 3 4" xfId="14211"/>
    <cellStyle name="Normal 11 2 2 2 3 3 3 4 2" xfId="31491"/>
    <cellStyle name="Normal 11 2 2 2 3 3 3 5" xfId="19971"/>
    <cellStyle name="Normal 11 2 2 2 3 3 4" xfId="4131"/>
    <cellStyle name="Normal 11 2 2 2 3 3 4 2" xfId="9891"/>
    <cellStyle name="Normal 11 2 2 2 3 3 4 2 2" xfId="27171"/>
    <cellStyle name="Normal 11 2 2 2 3 3 4 3" xfId="15651"/>
    <cellStyle name="Normal 11 2 2 2 3 3 4 3 2" xfId="32931"/>
    <cellStyle name="Normal 11 2 2 2 3 3 4 4" xfId="21411"/>
    <cellStyle name="Normal 11 2 2 2 3 3 5" xfId="7011"/>
    <cellStyle name="Normal 11 2 2 2 3 3 5 2" xfId="24291"/>
    <cellStyle name="Normal 11 2 2 2 3 3 6" xfId="12771"/>
    <cellStyle name="Normal 11 2 2 2 3 3 6 2" xfId="30051"/>
    <cellStyle name="Normal 11 2 2 2 3 3 7" xfId="18531"/>
    <cellStyle name="Normal 11 2 2 2 3 4" xfId="1491"/>
    <cellStyle name="Normal 11 2 2 2 3 4 2" xfId="2211"/>
    <cellStyle name="Normal 11 2 2 2 3 4 2 2" xfId="3651"/>
    <cellStyle name="Normal 11 2 2 2 3 4 2 2 2" xfId="6531"/>
    <cellStyle name="Normal 11 2 2 2 3 4 2 2 2 2" xfId="12291"/>
    <cellStyle name="Normal 11 2 2 2 3 4 2 2 2 2 2" xfId="29571"/>
    <cellStyle name="Normal 11 2 2 2 3 4 2 2 2 3" xfId="18051"/>
    <cellStyle name="Normal 11 2 2 2 3 4 2 2 2 3 2" xfId="35331"/>
    <cellStyle name="Normal 11 2 2 2 3 4 2 2 2 4" xfId="23811"/>
    <cellStyle name="Normal 11 2 2 2 3 4 2 2 3" xfId="9411"/>
    <cellStyle name="Normal 11 2 2 2 3 4 2 2 3 2" xfId="26691"/>
    <cellStyle name="Normal 11 2 2 2 3 4 2 2 4" xfId="15171"/>
    <cellStyle name="Normal 11 2 2 2 3 4 2 2 4 2" xfId="32451"/>
    <cellStyle name="Normal 11 2 2 2 3 4 2 2 5" xfId="20931"/>
    <cellStyle name="Normal 11 2 2 2 3 4 2 3" xfId="5091"/>
    <cellStyle name="Normal 11 2 2 2 3 4 2 3 2" xfId="10851"/>
    <cellStyle name="Normal 11 2 2 2 3 4 2 3 2 2" xfId="28131"/>
    <cellStyle name="Normal 11 2 2 2 3 4 2 3 3" xfId="16611"/>
    <cellStyle name="Normal 11 2 2 2 3 4 2 3 3 2" xfId="33891"/>
    <cellStyle name="Normal 11 2 2 2 3 4 2 3 4" xfId="22371"/>
    <cellStyle name="Normal 11 2 2 2 3 4 2 4" xfId="7971"/>
    <cellStyle name="Normal 11 2 2 2 3 4 2 4 2" xfId="25251"/>
    <cellStyle name="Normal 11 2 2 2 3 4 2 5" xfId="13731"/>
    <cellStyle name="Normal 11 2 2 2 3 4 2 5 2" xfId="31011"/>
    <cellStyle name="Normal 11 2 2 2 3 4 2 6" xfId="19491"/>
    <cellStyle name="Normal 11 2 2 2 3 4 3" xfId="2931"/>
    <cellStyle name="Normal 11 2 2 2 3 4 3 2" xfId="5811"/>
    <cellStyle name="Normal 11 2 2 2 3 4 3 2 2" xfId="11571"/>
    <cellStyle name="Normal 11 2 2 2 3 4 3 2 2 2" xfId="28851"/>
    <cellStyle name="Normal 11 2 2 2 3 4 3 2 3" xfId="17331"/>
    <cellStyle name="Normal 11 2 2 2 3 4 3 2 3 2" xfId="34611"/>
    <cellStyle name="Normal 11 2 2 2 3 4 3 2 4" xfId="23091"/>
    <cellStyle name="Normal 11 2 2 2 3 4 3 3" xfId="8691"/>
    <cellStyle name="Normal 11 2 2 2 3 4 3 3 2" xfId="25971"/>
    <cellStyle name="Normal 11 2 2 2 3 4 3 4" xfId="14451"/>
    <cellStyle name="Normal 11 2 2 2 3 4 3 4 2" xfId="31731"/>
    <cellStyle name="Normal 11 2 2 2 3 4 3 5" xfId="20211"/>
    <cellStyle name="Normal 11 2 2 2 3 4 4" xfId="4371"/>
    <cellStyle name="Normal 11 2 2 2 3 4 4 2" xfId="10131"/>
    <cellStyle name="Normal 11 2 2 2 3 4 4 2 2" xfId="27411"/>
    <cellStyle name="Normal 11 2 2 2 3 4 4 3" xfId="15891"/>
    <cellStyle name="Normal 11 2 2 2 3 4 4 3 2" xfId="33171"/>
    <cellStyle name="Normal 11 2 2 2 3 4 4 4" xfId="21651"/>
    <cellStyle name="Normal 11 2 2 2 3 4 5" xfId="7251"/>
    <cellStyle name="Normal 11 2 2 2 3 4 5 2" xfId="24531"/>
    <cellStyle name="Normal 11 2 2 2 3 4 6" xfId="13011"/>
    <cellStyle name="Normal 11 2 2 2 3 4 6 2" xfId="30291"/>
    <cellStyle name="Normal 11 2 2 2 3 4 7" xfId="18771"/>
    <cellStyle name="Normal 11 2 2 2 3 5" xfId="1731"/>
    <cellStyle name="Normal 11 2 2 2 3 5 2" xfId="3171"/>
    <cellStyle name="Normal 11 2 2 2 3 5 2 2" xfId="6051"/>
    <cellStyle name="Normal 11 2 2 2 3 5 2 2 2" xfId="11811"/>
    <cellStyle name="Normal 11 2 2 2 3 5 2 2 2 2" xfId="29091"/>
    <cellStyle name="Normal 11 2 2 2 3 5 2 2 3" xfId="17571"/>
    <cellStyle name="Normal 11 2 2 2 3 5 2 2 3 2" xfId="34851"/>
    <cellStyle name="Normal 11 2 2 2 3 5 2 2 4" xfId="23331"/>
    <cellStyle name="Normal 11 2 2 2 3 5 2 3" xfId="8931"/>
    <cellStyle name="Normal 11 2 2 2 3 5 2 3 2" xfId="26211"/>
    <cellStyle name="Normal 11 2 2 2 3 5 2 4" xfId="14691"/>
    <cellStyle name="Normal 11 2 2 2 3 5 2 4 2" xfId="31971"/>
    <cellStyle name="Normal 11 2 2 2 3 5 2 5" xfId="20451"/>
    <cellStyle name="Normal 11 2 2 2 3 5 3" xfId="4611"/>
    <cellStyle name="Normal 11 2 2 2 3 5 3 2" xfId="10371"/>
    <cellStyle name="Normal 11 2 2 2 3 5 3 2 2" xfId="27651"/>
    <cellStyle name="Normal 11 2 2 2 3 5 3 3" xfId="16131"/>
    <cellStyle name="Normal 11 2 2 2 3 5 3 3 2" xfId="33411"/>
    <cellStyle name="Normal 11 2 2 2 3 5 3 4" xfId="21891"/>
    <cellStyle name="Normal 11 2 2 2 3 5 4" xfId="7491"/>
    <cellStyle name="Normal 11 2 2 2 3 5 4 2" xfId="24771"/>
    <cellStyle name="Normal 11 2 2 2 3 5 5" xfId="13251"/>
    <cellStyle name="Normal 11 2 2 2 3 5 5 2" xfId="30531"/>
    <cellStyle name="Normal 11 2 2 2 3 5 6" xfId="19011"/>
    <cellStyle name="Normal 11 2 2 2 3 6" xfId="2451"/>
    <cellStyle name="Normal 11 2 2 2 3 6 2" xfId="5331"/>
    <cellStyle name="Normal 11 2 2 2 3 6 2 2" xfId="11091"/>
    <cellStyle name="Normal 11 2 2 2 3 6 2 2 2" xfId="28371"/>
    <cellStyle name="Normal 11 2 2 2 3 6 2 3" xfId="16851"/>
    <cellStyle name="Normal 11 2 2 2 3 6 2 3 2" xfId="34131"/>
    <cellStyle name="Normal 11 2 2 2 3 6 2 4" xfId="22611"/>
    <cellStyle name="Normal 11 2 2 2 3 6 3" xfId="8211"/>
    <cellStyle name="Normal 11 2 2 2 3 6 3 2" xfId="25491"/>
    <cellStyle name="Normal 11 2 2 2 3 6 4" xfId="13971"/>
    <cellStyle name="Normal 11 2 2 2 3 6 4 2" xfId="31251"/>
    <cellStyle name="Normal 11 2 2 2 3 6 5" xfId="19731"/>
    <cellStyle name="Normal 11 2 2 2 3 7" xfId="3891"/>
    <cellStyle name="Normal 11 2 2 2 3 7 2" xfId="9651"/>
    <cellStyle name="Normal 11 2 2 2 3 7 2 2" xfId="26931"/>
    <cellStyle name="Normal 11 2 2 2 3 7 3" xfId="15411"/>
    <cellStyle name="Normal 11 2 2 2 3 7 3 2" xfId="32691"/>
    <cellStyle name="Normal 11 2 2 2 3 7 4" xfId="21171"/>
    <cellStyle name="Normal 11 2 2 2 3 8" xfId="6771"/>
    <cellStyle name="Normal 11 2 2 2 3 8 2" xfId="24051"/>
    <cellStyle name="Normal 11 2 2 2 3 9" xfId="12531"/>
    <cellStyle name="Normal 11 2 2 2 3 9 2" xfId="29811"/>
    <cellStyle name="Normal 11 2 2 2 4" xfId="1091"/>
    <cellStyle name="Normal 11 2 2 2 4 2" xfId="1331"/>
    <cellStyle name="Normal 11 2 2 2 4 2 2" xfId="2051"/>
    <cellStyle name="Normal 11 2 2 2 4 2 2 2" xfId="3491"/>
    <cellStyle name="Normal 11 2 2 2 4 2 2 2 2" xfId="6371"/>
    <cellStyle name="Normal 11 2 2 2 4 2 2 2 2 2" xfId="12131"/>
    <cellStyle name="Normal 11 2 2 2 4 2 2 2 2 2 2" xfId="29411"/>
    <cellStyle name="Normal 11 2 2 2 4 2 2 2 2 3" xfId="17891"/>
    <cellStyle name="Normal 11 2 2 2 4 2 2 2 2 3 2" xfId="35171"/>
    <cellStyle name="Normal 11 2 2 2 4 2 2 2 2 4" xfId="23651"/>
    <cellStyle name="Normal 11 2 2 2 4 2 2 2 3" xfId="9251"/>
    <cellStyle name="Normal 11 2 2 2 4 2 2 2 3 2" xfId="26531"/>
    <cellStyle name="Normal 11 2 2 2 4 2 2 2 4" xfId="15011"/>
    <cellStyle name="Normal 11 2 2 2 4 2 2 2 4 2" xfId="32291"/>
    <cellStyle name="Normal 11 2 2 2 4 2 2 2 5" xfId="20771"/>
    <cellStyle name="Normal 11 2 2 2 4 2 2 3" xfId="4931"/>
    <cellStyle name="Normal 11 2 2 2 4 2 2 3 2" xfId="10691"/>
    <cellStyle name="Normal 11 2 2 2 4 2 2 3 2 2" xfId="27971"/>
    <cellStyle name="Normal 11 2 2 2 4 2 2 3 3" xfId="16451"/>
    <cellStyle name="Normal 11 2 2 2 4 2 2 3 3 2" xfId="33731"/>
    <cellStyle name="Normal 11 2 2 2 4 2 2 3 4" xfId="22211"/>
    <cellStyle name="Normal 11 2 2 2 4 2 2 4" xfId="7811"/>
    <cellStyle name="Normal 11 2 2 2 4 2 2 4 2" xfId="25091"/>
    <cellStyle name="Normal 11 2 2 2 4 2 2 5" xfId="13571"/>
    <cellStyle name="Normal 11 2 2 2 4 2 2 5 2" xfId="30851"/>
    <cellStyle name="Normal 11 2 2 2 4 2 2 6" xfId="19331"/>
    <cellStyle name="Normal 11 2 2 2 4 2 3" xfId="2771"/>
    <cellStyle name="Normal 11 2 2 2 4 2 3 2" xfId="5651"/>
    <cellStyle name="Normal 11 2 2 2 4 2 3 2 2" xfId="11411"/>
    <cellStyle name="Normal 11 2 2 2 4 2 3 2 2 2" xfId="28691"/>
    <cellStyle name="Normal 11 2 2 2 4 2 3 2 3" xfId="17171"/>
    <cellStyle name="Normal 11 2 2 2 4 2 3 2 3 2" xfId="34451"/>
    <cellStyle name="Normal 11 2 2 2 4 2 3 2 4" xfId="22931"/>
    <cellStyle name="Normal 11 2 2 2 4 2 3 3" xfId="8531"/>
    <cellStyle name="Normal 11 2 2 2 4 2 3 3 2" xfId="25811"/>
    <cellStyle name="Normal 11 2 2 2 4 2 3 4" xfId="14291"/>
    <cellStyle name="Normal 11 2 2 2 4 2 3 4 2" xfId="31571"/>
    <cellStyle name="Normal 11 2 2 2 4 2 3 5" xfId="20051"/>
    <cellStyle name="Normal 11 2 2 2 4 2 4" xfId="4211"/>
    <cellStyle name="Normal 11 2 2 2 4 2 4 2" xfId="9971"/>
    <cellStyle name="Normal 11 2 2 2 4 2 4 2 2" xfId="27251"/>
    <cellStyle name="Normal 11 2 2 2 4 2 4 3" xfId="15731"/>
    <cellStyle name="Normal 11 2 2 2 4 2 4 3 2" xfId="33011"/>
    <cellStyle name="Normal 11 2 2 2 4 2 4 4" xfId="21491"/>
    <cellStyle name="Normal 11 2 2 2 4 2 5" xfId="7091"/>
    <cellStyle name="Normal 11 2 2 2 4 2 5 2" xfId="24371"/>
    <cellStyle name="Normal 11 2 2 2 4 2 6" xfId="12851"/>
    <cellStyle name="Normal 11 2 2 2 4 2 6 2" xfId="30131"/>
    <cellStyle name="Normal 11 2 2 2 4 2 7" xfId="18611"/>
    <cellStyle name="Normal 11 2 2 2 4 3" xfId="1571"/>
    <cellStyle name="Normal 11 2 2 2 4 3 2" xfId="2291"/>
    <cellStyle name="Normal 11 2 2 2 4 3 2 2" xfId="3731"/>
    <cellStyle name="Normal 11 2 2 2 4 3 2 2 2" xfId="6611"/>
    <cellStyle name="Normal 11 2 2 2 4 3 2 2 2 2" xfId="12371"/>
    <cellStyle name="Normal 11 2 2 2 4 3 2 2 2 2 2" xfId="29651"/>
    <cellStyle name="Normal 11 2 2 2 4 3 2 2 2 3" xfId="18131"/>
    <cellStyle name="Normal 11 2 2 2 4 3 2 2 2 3 2" xfId="35411"/>
    <cellStyle name="Normal 11 2 2 2 4 3 2 2 2 4" xfId="23891"/>
    <cellStyle name="Normal 11 2 2 2 4 3 2 2 3" xfId="9491"/>
    <cellStyle name="Normal 11 2 2 2 4 3 2 2 3 2" xfId="26771"/>
    <cellStyle name="Normal 11 2 2 2 4 3 2 2 4" xfId="15251"/>
    <cellStyle name="Normal 11 2 2 2 4 3 2 2 4 2" xfId="32531"/>
    <cellStyle name="Normal 11 2 2 2 4 3 2 2 5" xfId="21011"/>
    <cellStyle name="Normal 11 2 2 2 4 3 2 3" xfId="5171"/>
    <cellStyle name="Normal 11 2 2 2 4 3 2 3 2" xfId="10931"/>
    <cellStyle name="Normal 11 2 2 2 4 3 2 3 2 2" xfId="28211"/>
    <cellStyle name="Normal 11 2 2 2 4 3 2 3 3" xfId="16691"/>
    <cellStyle name="Normal 11 2 2 2 4 3 2 3 3 2" xfId="33971"/>
    <cellStyle name="Normal 11 2 2 2 4 3 2 3 4" xfId="22451"/>
    <cellStyle name="Normal 11 2 2 2 4 3 2 4" xfId="8051"/>
    <cellStyle name="Normal 11 2 2 2 4 3 2 4 2" xfId="25331"/>
    <cellStyle name="Normal 11 2 2 2 4 3 2 5" xfId="13811"/>
    <cellStyle name="Normal 11 2 2 2 4 3 2 5 2" xfId="31091"/>
    <cellStyle name="Normal 11 2 2 2 4 3 2 6" xfId="19571"/>
    <cellStyle name="Normal 11 2 2 2 4 3 3" xfId="3011"/>
    <cellStyle name="Normal 11 2 2 2 4 3 3 2" xfId="5891"/>
    <cellStyle name="Normal 11 2 2 2 4 3 3 2 2" xfId="11651"/>
    <cellStyle name="Normal 11 2 2 2 4 3 3 2 2 2" xfId="28931"/>
    <cellStyle name="Normal 11 2 2 2 4 3 3 2 3" xfId="17411"/>
    <cellStyle name="Normal 11 2 2 2 4 3 3 2 3 2" xfId="34691"/>
    <cellStyle name="Normal 11 2 2 2 4 3 3 2 4" xfId="23171"/>
    <cellStyle name="Normal 11 2 2 2 4 3 3 3" xfId="8771"/>
    <cellStyle name="Normal 11 2 2 2 4 3 3 3 2" xfId="26051"/>
    <cellStyle name="Normal 11 2 2 2 4 3 3 4" xfId="14531"/>
    <cellStyle name="Normal 11 2 2 2 4 3 3 4 2" xfId="31811"/>
    <cellStyle name="Normal 11 2 2 2 4 3 3 5" xfId="20291"/>
    <cellStyle name="Normal 11 2 2 2 4 3 4" xfId="4451"/>
    <cellStyle name="Normal 11 2 2 2 4 3 4 2" xfId="10211"/>
    <cellStyle name="Normal 11 2 2 2 4 3 4 2 2" xfId="27491"/>
    <cellStyle name="Normal 11 2 2 2 4 3 4 3" xfId="15971"/>
    <cellStyle name="Normal 11 2 2 2 4 3 4 3 2" xfId="33251"/>
    <cellStyle name="Normal 11 2 2 2 4 3 4 4" xfId="21731"/>
    <cellStyle name="Normal 11 2 2 2 4 3 5" xfId="7331"/>
    <cellStyle name="Normal 11 2 2 2 4 3 5 2" xfId="24611"/>
    <cellStyle name="Normal 11 2 2 2 4 3 6" xfId="13091"/>
    <cellStyle name="Normal 11 2 2 2 4 3 6 2" xfId="30371"/>
    <cellStyle name="Normal 11 2 2 2 4 3 7" xfId="18851"/>
    <cellStyle name="Normal 11 2 2 2 4 4" xfId="1811"/>
    <cellStyle name="Normal 11 2 2 2 4 4 2" xfId="3251"/>
    <cellStyle name="Normal 11 2 2 2 4 4 2 2" xfId="6131"/>
    <cellStyle name="Normal 11 2 2 2 4 4 2 2 2" xfId="11891"/>
    <cellStyle name="Normal 11 2 2 2 4 4 2 2 2 2" xfId="29171"/>
    <cellStyle name="Normal 11 2 2 2 4 4 2 2 3" xfId="17651"/>
    <cellStyle name="Normal 11 2 2 2 4 4 2 2 3 2" xfId="34931"/>
    <cellStyle name="Normal 11 2 2 2 4 4 2 2 4" xfId="23411"/>
    <cellStyle name="Normal 11 2 2 2 4 4 2 3" xfId="9011"/>
    <cellStyle name="Normal 11 2 2 2 4 4 2 3 2" xfId="26291"/>
    <cellStyle name="Normal 11 2 2 2 4 4 2 4" xfId="14771"/>
    <cellStyle name="Normal 11 2 2 2 4 4 2 4 2" xfId="32051"/>
    <cellStyle name="Normal 11 2 2 2 4 4 2 5" xfId="20531"/>
    <cellStyle name="Normal 11 2 2 2 4 4 3" xfId="4691"/>
    <cellStyle name="Normal 11 2 2 2 4 4 3 2" xfId="10451"/>
    <cellStyle name="Normal 11 2 2 2 4 4 3 2 2" xfId="27731"/>
    <cellStyle name="Normal 11 2 2 2 4 4 3 3" xfId="16211"/>
    <cellStyle name="Normal 11 2 2 2 4 4 3 3 2" xfId="33491"/>
    <cellStyle name="Normal 11 2 2 2 4 4 3 4" xfId="21971"/>
    <cellStyle name="Normal 11 2 2 2 4 4 4" xfId="7571"/>
    <cellStyle name="Normal 11 2 2 2 4 4 4 2" xfId="24851"/>
    <cellStyle name="Normal 11 2 2 2 4 4 5" xfId="13331"/>
    <cellStyle name="Normal 11 2 2 2 4 4 5 2" xfId="30611"/>
    <cellStyle name="Normal 11 2 2 2 4 4 6" xfId="19091"/>
    <cellStyle name="Normal 11 2 2 2 4 5" xfId="2531"/>
    <cellStyle name="Normal 11 2 2 2 4 5 2" xfId="5411"/>
    <cellStyle name="Normal 11 2 2 2 4 5 2 2" xfId="11171"/>
    <cellStyle name="Normal 11 2 2 2 4 5 2 2 2" xfId="28451"/>
    <cellStyle name="Normal 11 2 2 2 4 5 2 3" xfId="16931"/>
    <cellStyle name="Normal 11 2 2 2 4 5 2 3 2" xfId="34211"/>
    <cellStyle name="Normal 11 2 2 2 4 5 2 4" xfId="22691"/>
    <cellStyle name="Normal 11 2 2 2 4 5 3" xfId="8291"/>
    <cellStyle name="Normal 11 2 2 2 4 5 3 2" xfId="25571"/>
    <cellStyle name="Normal 11 2 2 2 4 5 4" xfId="14051"/>
    <cellStyle name="Normal 11 2 2 2 4 5 4 2" xfId="31331"/>
    <cellStyle name="Normal 11 2 2 2 4 5 5" xfId="19811"/>
    <cellStyle name="Normal 11 2 2 2 4 6" xfId="3971"/>
    <cellStyle name="Normal 11 2 2 2 4 6 2" xfId="9731"/>
    <cellStyle name="Normal 11 2 2 2 4 6 2 2" xfId="27011"/>
    <cellStyle name="Normal 11 2 2 2 4 6 3" xfId="15491"/>
    <cellStyle name="Normal 11 2 2 2 4 6 3 2" xfId="32771"/>
    <cellStyle name="Normal 11 2 2 2 4 6 4" xfId="21251"/>
    <cellStyle name="Normal 11 2 2 2 4 7" xfId="6851"/>
    <cellStyle name="Normal 11 2 2 2 4 7 2" xfId="24131"/>
    <cellStyle name="Normal 11 2 2 2 4 8" xfId="12611"/>
    <cellStyle name="Normal 11 2 2 2 4 8 2" xfId="29891"/>
    <cellStyle name="Normal 11 2 2 2 4 9" xfId="18371"/>
    <cellStyle name="Normal 11 2 2 2 5" xfId="1211"/>
    <cellStyle name="Normal 11 2 2 2 5 2" xfId="1931"/>
    <cellStyle name="Normal 11 2 2 2 5 2 2" xfId="3371"/>
    <cellStyle name="Normal 11 2 2 2 5 2 2 2" xfId="6251"/>
    <cellStyle name="Normal 11 2 2 2 5 2 2 2 2" xfId="12011"/>
    <cellStyle name="Normal 11 2 2 2 5 2 2 2 2 2" xfId="29291"/>
    <cellStyle name="Normal 11 2 2 2 5 2 2 2 3" xfId="17771"/>
    <cellStyle name="Normal 11 2 2 2 5 2 2 2 3 2" xfId="35051"/>
    <cellStyle name="Normal 11 2 2 2 5 2 2 2 4" xfId="23531"/>
    <cellStyle name="Normal 11 2 2 2 5 2 2 3" xfId="9131"/>
    <cellStyle name="Normal 11 2 2 2 5 2 2 3 2" xfId="26411"/>
    <cellStyle name="Normal 11 2 2 2 5 2 2 4" xfId="14891"/>
    <cellStyle name="Normal 11 2 2 2 5 2 2 4 2" xfId="32171"/>
    <cellStyle name="Normal 11 2 2 2 5 2 2 5" xfId="20651"/>
    <cellStyle name="Normal 11 2 2 2 5 2 3" xfId="4811"/>
    <cellStyle name="Normal 11 2 2 2 5 2 3 2" xfId="10571"/>
    <cellStyle name="Normal 11 2 2 2 5 2 3 2 2" xfId="27851"/>
    <cellStyle name="Normal 11 2 2 2 5 2 3 3" xfId="16331"/>
    <cellStyle name="Normal 11 2 2 2 5 2 3 3 2" xfId="33611"/>
    <cellStyle name="Normal 11 2 2 2 5 2 3 4" xfId="22091"/>
    <cellStyle name="Normal 11 2 2 2 5 2 4" xfId="7691"/>
    <cellStyle name="Normal 11 2 2 2 5 2 4 2" xfId="24971"/>
    <cellStyle name="Normal 11 2 2 2 5 2 5" xfId="13451"/>
    <cellStyle name="Normal 11 2 2 2 5 2 5 2" xfId="30731"/>
    <cellStyle name="Normal 11 2 2 2 5 2 6" xfId="19211"/>
    <cellStyle name="Normal 11 2 2 2 5 3" xfId="2651"/>
    <cellStyle name="Normal 11 2 2 2 5 3 2" xfId="5531"/>
    <cellStyle name="Normal 11 2 2 2 5 3 2 2" xfId="11291"/>
    <cellStyle name="Normal 11 2 2 2 5 3 2 2 2" xfId="28571"/>
    <cellStyle name="Normal 11 2 2 2 5 3 2 3" xfId="17051"/>
    <cellStyle name="Normal 11 2 2 2 5 3 2 3 2" xfId="34331"/>
    <cellStyle name="Normal 11 2 2 2 5 3 2 4" xfId="22811"/>
    <cellStyle name="Normal 11 2 2 2 5 3 3" xfId="8411"/>
    <cellStyle name="Normal 11 2 2 2 5 3 3 2" xfId="25691"/>
    <cellStyle name="Normal 11 2 2 2 5 3 4" xfId="14171"/>
    <cellStyle name="Normal 11 2 2 2 5 3 4 2" xfId="31451"/>
    <cellStyle name="Normal 11 2 2 2 5 3 5" xfId="19931"/>
    <cellStyle name="Normal 11 2 2 2 5 4" xfId="4091"/>
    <cellStyle name="Normal 11 2 2 2 5 4 2" xfId="9851"/>
    <cellStyle name="Normal 11 2 2 2 5 4 2 2" xfId="27131"/>
    <cellStyle name="Normal 11 2 2 2 5 4 3" xfId="15611"/>
    <cellStyle name="Normal 11 2 2 2 5 4 3 2" xfId="32891"/>
    <cellStyle name="Normal 11 2 2 2 5 4 4" xfId="21371"/>
    <cellStyle name="Normal 11 2 2 2 5 5" xfId="6971"/>
    <cellStyle name="Normal 11 2 2 2 5 5 2" xfId="24251"/>
    <cellStyle name="Normal 11 2 2 2 5 6" xfId="12731"/>
    <cellStyle name="Normal 11 2 2 2 5 6 2" xfId="30011"/>
    <cellStyle name="Normal 11 2 2 2 5 7" xfId="18491"/>
    <cellStyle name="Normal 11 2 2 2 6" xfId="1451"/>
    <cellStyle name="Normal 11 2 2 2 6 2" xfId="2171"/>
    <cellStyle name="Normal 11 2 2 2 6 2 2" xfId="3611"/>
    <cellStyle name="Normal 11 2 2 2 6 2 2 2" xfId="6491"/>
    <cellStyle name="Normal 11 2 2 2 6 2 2 2 2" xfId="12251"/>
    <cellStyle name="Normal 11 2 2 2 6 2 2 2 2 2" xfId="29531"/>
    <cellStyle name="Normal 11 2 2 2 6 2 2 2 3" xfId="18011"/>
    <cellStyle name="Normal 11 2 2 2 6 2 2 2 3 2" xfId="35291"/>
    <cellStyle name="Normal 11 2 2 2 6 2 2 2 4" xfId="23771"/>
    <cellStyle name="Normal 11 2 2 2 6 2 2 3" xfId="9371"/>
    <cellStyle name="Normal 11 2 2 2 6 2 2 3 2" xfId="26651"/>
    <cellStyle name="Normal 11 2 2 2 6 2 2 4" xfId="15131"/>
    <cellStyle name="Normal 11 2 2 2 6 2 2 4 2" xfId="32411"/>
    <cellStyle name="Normal 11 2 2 2 6 2 2 5" xfId="20891"/>
    <cellStyle name="Normal 11 2 2 2 6 2 3" xfId="5051"/>
    <cellStyle name="Normal 11 2 2 2 6 2 3 2" xfId="10811"/>
    <cellStyle name="Normal 11 2 2 2 6 2 3 2 2" xfId="28091"/>
    <cellStyle name="Normal 11 2 2 2 6 2 3 3" xfId="16571"/>
    <cellStyle name="Normal 11 2 2 2 6 2 3 3 2" xfId="33851"/>
    <cellStyle name="Normal 11 2 2 2 6 2 3 4" xfId="22331"/>
    <cellStyle name="Normal 11 2 2 2 6 2 4" xfId="7931"/>
    <cellStyle name="Normal 11 2 2 2 6 2 4 2" xfId="25211"/>
    <cellStyle name="Normal 11 2 2 2 6 2 5" xfId="13691"/>
    <cellStyle name="Normal 11 2 2 2 6 2 5 2" xfId="30971"/>
    <cellStyle name="Normal 11 2 2 2 6 2 6" xfId="19451"/>
    <cellStyle name="Normal 11 2 2 2 6 3" xfId="2891"/>
    <cellStyle name="Normal 11 2 2 2 6 3 2" xfId="5771"/>
    <cellStyle name="Normal 11 2 2 2 6 3 2 2" xfId="11531"/>
    <cellStyle name="Normal 11 2 2 2 6 3 2 2 2" xfId="28811"/>
    <cellStyle name="Normal 11 2 2 2 6 3 2 3" xfId="17291"/>
    <cellStyle name="Normal 11 2 2 2 6 3 2 3 2" xfId="34571"/>
    <cellStyle name="Normal 11 2 2 2 6 3 2 4" xfId="23051"/>
    <cellStyle name="Normal 11 2 2 2 6 3 3" xfId="8651"/>
    <cellStyle name="Normal 11 2 2 2 6 3 3 2" xfId="25931"/>
    <cellStyle name="Normal 11 2 2 2 6 3 4" xfId="14411"/>
    <cellStyle name="Normal 11 2 2 2 6 3 4 2" xfId="31691"/>
    <cellStyle name="Normal 11 2 2 2 6 3 5" xfId="20171"/>
    <cellStyle name="Normal 11 2 2 2 6 4" xfId="4331"/>
    <cellStyle name="Normal 11 2 2 2 6 4 2" xfId="10091"/>
    <cellStyle name="Normal 11 2 2 2 6 4 2 2" xfId="27371"/>
    <cellStyle name="Normal 11 2 2 2 6 4 3" xfId="15851"/>
    <cellStyle name="Normal 11 2 2 2 6 4 3 2" xfId="33131"/>
    <cellStyle name="Normal 11 2 2 2 6 4 4" xfId="21611"/>
    <cellStyle name="Normal 11 2 2 2 6 5" xfId="7211"/>
    <cellStyle name="Normal 11 2 2 2 6 5 2" xfId="24491"/>
    <cellStyle name="Normal 11 2 2 2 6 6" xfId="12971"/>
    <cellStyle name="Normal 11 2 2 2 6 6 2" xfId="30251"/>
    <cellStyle name="Normal 11 2 2 2 6 7" xfId="18731"/>
    <cellStyle name="Normal 11 2 2 2 7" xfId="1691"/>
    <cellStyle name="Normal 11 2 2 2 7 2" xfId="3131"/>
    <cellStyle name="Normal 11 2 2 2 7 2 2" xfId="6011"/>
    <cellStyle name="Normal 11 2 2 2 7 2 2 2" xfId="11771"/>
    <cellStyle name="Normal 11 2 2 2 7 2 2 2 2" xfId="29051"/>
    <cellStyle name="Normal 11 2 2 2 7 2 2 3" xfId="17531"/>
    <cellStyle name="Normal 11 2 2 2 7 2 2 3 2" xfId="34811"/>
    <cellStyle name="Normal 11 2 2 2 7 2 2 4" xfId="23291"/>
    <cellStyle name="Normal 11 2 2 2 7 2 3" xfId="8891"/>
    <cellStyle name="Normal 11 2 2 2 7 2 3 2" xfId="26171"/>
    <cellStyle name="Normal 11 2 2 2 7 2 4" xfId="14651"/>
    <cellStyle name="Normal 11 2 2 2 7 2 4 2" xfId="31931"/>
    <cellStyle name="Normal 11 2 2 2 7 2 5" xfId="20411"/>
    <cellStyle name="Normal 11 2 2 2 7 3" xfId="4571"/>
    <cellStyle name="Normal 11 2 2 2 7 3 2" xfId="10331"/>
    <cellStyle name="Normal 11 2 2 2 7 3 2 2" xfId="27611"/>
    <cellStyle name="Normal 11 2 2 2 7 3 3" xfId="16091"/>
    <cellStyle name="Normal 11 2 2 2 7 3 3 2" xfId="33371"/>
    <cellStyle name="Normal 11 2 2 2 7 3 4" xfId="21851"/>
    <cellStyle name="Normal 11 2 2 2 7 4" xfId="7451"/>
    <cellStyle name="Normal 11 2 2 2 7 4 2" xfId="24731"/>
    <cellStyle name="Normal 11 2 2 2 7 5" xfId="13211"/>
    <cellStyle name="Normal 11 2 2 2 7 5 2" xfId="30491"/>
    <cellStyle name="Normal 11 2 2 2 7 6" xfId="18971"/>
    <cellStyle name="Normal 11 2 2 2 8" xfId="2411"/>
    <cellStyle name="Normal 11 2 2 2 8 2" xfId="5291"/>
    <cellStyle name="Normal 11 2 2 2 8 2 2" xfId="11051"/>
    <cellStyle name="Normal 11 2 2 2 8 2 2 2" xfId="28331"/>
    <cellStyle name="Normal 11 2 2 2 8 2 3" xfId="16811"/>
    <cellStyle name="Normal 11 2 2 2 8 2 3 2" xfId="34091"/>
    <cellStyle name="Normal 11 2 2 2 8 2 4" xfId="22571"/>
    <cellStyle name="Normal 11 2 2 2 8 3" xfId="8171"/>
    <cellStyle name="Normal 11 2 2 2 8 3 2" xfId="25451"/>
    <cellStyle name="Normal 11 2 2 2 8 4" xfId="13931"/>
    <cellStyle name="Normal 11 2 2 2 8 4 2" xfId="31211"/>
    <cellStyle name="Normal 11 2 2 2 8 5" xfId="19691"/>
    <cellStyle name="Normal 11 2 2 2 9" xfId="3851"/>
    <cellStyle name="Normal 11 2 2 2 9 2" xfId="9611"/>
    <cellStyle name="Normal 11 2 2 2 9 2 2" xfId="26891"/>
    <cellStyle name="Normal 11 2 2 2 9 3" xfId="15371"/>
    <cellStyle name="Normal 11 2 2 2 9 3 2" xfId="32651"/>
    <cellStyle name="Normal 11 2 2 2 9 4" xfId="21131"/>
    <cellStyle name="Normal 11 2 2 3" xfId="1031"/>
    <cellStyle name="Normal 11 2 2 3 10" xfId="18311"/>
    <cellStyle name="Normal 11 2 2 3 2" xfId="1151"/>
    <cellStyle name="Normal 11 2 2 3 2 2" xfId="1391"/>
    <cellStyle name="Normal 11 2 2 3 2 2 2" xfId="2111"/>
    <cellStyle name="Normal 11 2 2 3 2 2 2 2" xfId="3551"/>
    <cellStyle name="Normal 11 2 2 3 2 2 2 2 2" xfId="6431"/>
    <cellStyle name="Normal 11 2 2 3 2 2 2 2 2 2" xfId="12191"/>
    <cellStyle name="Normal 11 2 2 3 2 2 2 2 2 2 2" xfId="29471"/>
    <cellStyle name="Normal 11 2 2 3 2 2 2 2 2 3" xfId="17951"/>
    <cellStyle name="Normal 11 2 2 3 2 2 2 2 2 3 2" xfId="35231"/>
    <cellStyle name="Normal 11 2 2 3 2 2 2 2 2 4" xfId="23711"/>
    <cellStyle name="Normal 11 2 2 3 2 2 2 2 3" xfId="9311"/>
    <cellStyle name="Normal 11 2 2 3 2 2 2 2 3 2" xfId="26591"/>
    <cellStyle name="Normal 11 2 2 3 2 2 2 2 4" xfId="15071"/>
    <cellStyle name="Normal 11 2 2 3 2 2 2 2 4 2" xfId="32351"/>
    <cellStyle name="Normal 11 2 2 3 2 2 2 2 5" xfId="20831"/>
    <cellStyle name="Normal 11 2 2 3 2 2 2 3" xfId="4991"/>
    <cellStyle name="Normal 11 2 2 3 2 2 2 3 2" xfId="10751"/>
    <cellStyle name="Normal 11 2 2 3 2 2 2 3 2 2" xfId="28031"/>
    <cellStyle name="Normal 11 2 2 3 2 2 2 3 3" xfId="16511"/>
    <cellStyle name="Normal 11 2 2 3 2 2 2 3 3 2" xfId="33791"/>
    <cellStyle name="Normal 11 2 2 3 2 2 2 3 4" xfId="22271"/>
    <cellStyle name="Normal 11 2 2 3 2 2 2 4" xfId="7871"/>
    <cellStyle name="Normal 11 2 2 3 2 2 2 4 2" xfId="25151"/>
    <cellStyle name="Normal 11 2 2 3 2 2 2 5" xfId="13631"/>
    <cellStyle name="Normal 11 2 2 3 2 2 2 5 2" xfId="30911"/>
    <cellStyle name="Normal 11 2 2 3 2 2 2 6" xfId="19391"/>
    <cellStyle name="Normal 11 2 2 3 2 2 3" xfId="2831"/>
    <cellStyle name="Normal 11 2 2 3 2 2 3 2" xfId="5711"/>
    <cellStyle name="Normal 11 2 2 3 2 2 3 2 2" xfId="11471"/>
    <cellStyle name="Normal 11 2 2 3 2 2 3 2 2 2" xfId="28751"/>
    <cellStyle name="Normal 11 2 2 3 2 2 3 2 3" xfId="17231"/>
    <cellStyle name="Normal 11 2 2 3 2 2 3 2 3 2" xfId="34511"/>
    <cellStyle name="Normal 11 2 2 3 2 2 3 2 4" xfId="22991"/>
    <cellStyle name="Normal 11 2 2 3 2 2 3 3" xfId="8591"/>
    <cellStyle name="Normal 11 2 2 3 2 2 3 3 2" xfId="25871"/>
    <cellStyle name="Normal 11 2 2 3 2 2 3 4" xfId="14351"/>
    <cellStyle name="Normal 11 2 2 3 2 2 3 4 2" xfId="31631"/>
    <cellStyle name="Normal 11 2 2 3 2 2 3 5" xfId="20111"/>
    <cellStyle name="Normal 11 2 2 3 2 2 4" xfId="4271"/>
    <cellStyle name="Normal 11 2 2 3 2 2 4 2" xfId="10031"/>
    <cellStyle name="Normal 11 2 2 3 2 2 4 2 2" xfId="27311"/>
    <cellStyle name="Normal 11 2 2 3 2 2 4 3" xfId="15791"/>
    <cellStyle name="Normal 11 2 2 3 2 2 4 3 2" xfId="33071"/>
    <cellStyle name="Normal 11 2 2 3 2 2 4 4" xfId="21551"/>
    <cellStyle name="Normal 11 2 2 3 2 2 5" xfId="7151"/>
    <cellStyle name="Normal 11 2 2 3 2 2 5 2" xfId="24431"/>
    <cellStyle name="Normal 11 2 2 3 2 2 6" xfId="12911"/>
    <cellStyle name="Normal 11 2 2 3 2 2 6 2" xfId="30191"/>
    <cellStyle name="Normal 11 2 2 3 2 2 7" xfId="18671"/>
    <cellStyle name="Normal 11 2 2 3 2 3" xfId="1631"/>
    <cellStyle name="Normal 11 2 2 3 2 3 2" xfId="2351"/>
    <cellStyle name="Normal 11 2 2 3 2 3 2 2" xfId="3791"/>
    <cellStyle name="Normal 11 2 2 3 2 3 2 2 2" xfId="6671"/>
    <cellStyle name="Normal 11 2 2 3 2 3 2 2 2 2" xfId="12431"/>
    <cellStyle name="Normal 11 2 2 3 2 3 2 2 2 2 2" xfId="29711"/>
    <cellStyle name="Normal 11 2 2 3 2 3 2 2 2 3" xfId="18191"/>
    <cellStyle name="Normal 11 2 2 3 2 3 2 2 2 3 2" xfId="35471"/>
    <cellStyle name="Normal 11 2 2 3 2 3 2 2 2 4" xfId="23951"/>
    <cellStyle name="Normal 11 2 2 3 2 3 2 2 3" xfId="9551"/>
    <cellStyle name="Normal 11 2 2 3 2 3 2 2 3 2" xfId="26831"/>
    <cellStyle name="Normal 11 2 2 3 2 3 2 2 4" xfId="15311"/>
    <cellStyle name="Normal 11 2 2 3 2 3 2 2 4 2" xfId="32591"/>
    <cellStyle name="Normal 11 2 2 3 2 3 2 2 5" xfId="21071"/>
    <cellStyle name="Normal 11 2 2 3 2 3 2 3" xfId="5231"/>
    <cellStyle name="Normal 11 2 2 3 2 3 2 3 2" xfId="10991"/>
    <cellStyle name="Normal 11 2 2 3 2 3 2 3 2 2" xfId="28271"/>
    <cellStyle name="Normal 11 2 2 3 2 3 2 3 3" xfId="16751"/>
    <cellStyle name="Normal 11 2 2 3 2 3 2 3 3 2" xfId="34031"/>
    <cellStyle name="Normal 11 2 2 3 2 3 2 3 4" xfId="22511"/>
    <cellStyle name="Normal 11 2 2 3 2 3 2 4" xfId="8111"/>
    <cellStyle name="Normal 11 2 2 3 2 3 2 4 2" xfId="25391"/>
    <cellStyle name="Normal 11 2 2 3 2 3 2 5" xfId="13871"/>
    <cellStyle name="Normal 11 2 2 3 2 3 2 5 2" xfId="31151"/>
    <cellStyle name="Normal 11 2 2 3 2 3 2 6" xfId="19631"/>
    <cellStyle name="Normal 11 2 2 3 2 3 3" xfId="3071"/>
    <cellStyle name="Normal 11 2 2 3 2 3 3 2" xfId="5951"/>
    <cellStyle name="Normal 11 2 2 3 2 3 3 2 2" xfId="11711"/>
    <cellStyle name="Normal 11 2 2 3 2 3 3 2 2 2" xfId="28991"/>
    <cellStyle name="Normal 11 2 2 3 2 3 3 2 3" xfId="17471"/>
    <cellStyle name="Normal 11 2 2 3 2 3 3 2 3 2" xfId="34751"/>
    <cellStyle name="Normal 11 2 2 3 2 3 3 2 4" xfId="23231"/>
    <cellStyle name="Normal 11 2 2 3 2 3 3 3" xfId="8831"/>
    <cellStyle name="Normal 11 2 2 3 2 3 3 3 2" xfId="26111"/>
    <cellStyle name="Normal 11 2 2 3 2 3 3 4" xfId="14591"/>
    <cellStyle name="Normal 11 2 2 3 2 3 3 4 2" xfId="31871"/>
    <cellStyle name="Normal 11 2 2 3 2 3 3 5" xfId="20351"/>
    <cellStyle name="Normal 11 2 2 3 2 3 4" xfId="4511"/>
    <cellStyle name="Normal 11 2 2 3 2 3 4 2" xfId="10271"/>
    <cellStyle name="Normal 11 2 2 3 2 3 4 2 2" xfId="27551"/>
    <cellStyle name="Normal 11 2 2 3 2 3 4 3" xfId="16031"/>
    <cellStyle name="Normal 11 2 2 3 2 3 4 3 2" xfId="33311"/>
    <cellStyle name="Normal 11 2 2 3 2 3 4 4" xfId="21791"/>
    <cellStyle name="Normal 11 2 2 3 2 3 5" xfId="7391"/>
    <cellStyle name="Normal 11 2 2 3 2 3 5 2" xfId="24671"/>
    <cellStyle name="Normal 11 2 2 3 2 3 6" xfId="13151"/>
    <cellStyle name="Normal 11 2 2 3 2 3 6 2" xfId="30431"/>
    <cellStyle name="Normal 11 2 2 3 2 3 7" xfId="18911"/>
    <cellStyle name="Normal 11 2 2 3 2 4" xfId="1871"/>
    <cellStyle name="Normal 11 2 2 3 2 4 2" xfId="3311"/>
    <cellStyle name="Normal 11 2 2 3 2 4 2 2" xfId="6191"/>
    <cellStyle name="Normal 11 2 2 3 2 4 2 2 2" xfId="11951"/>
    <cellStyle name="Normal 11 2 2 3 2 4 2 2 2 2" xfId="29231"/>
    <cellStyle name="Normal 11 2 2 3 2 4 2 2 3" xfId="17711"/>
    <cellStyle name="Normal 11 2 2 3 2 4 2 2 3 2" xfId="34991"/>
    <cellStyle name="Normal 11 2 2 3 2 4 2 2 4" xfId="23471"/>
    <cellStyle name="Normal 11 2 2 3 2 4 2 3" xfId="9071"/>
    <cellStyle name="Normal 11 2 2 3 2 4 2 3 2" xfId="26351"/>
    <cellStyle name="Normal 11 2 2 3 2 4 2 4" xfId="14831"/>
    <cellStyle name="Normal 11 2 2 3 2 4 2 4 2" xfId="32111"/>
    <cellStyle name="Normal 11 2 2 3 2 4 2 5" xfId="20591"/>
    <cellStyle name="Normal 11 2 2 3 2 4 3" xfId="4751"/>
    <cellStyle name="Normal 11 2 2 3 2 4 3 2" xfId="10511"/>
    <cellStyle name="Normal 11 2 2 3 2 4 3 2 2" xfId="27791"/>
    <cellStyle name="Normal 11 2 2 3 2 4 3 3" xfId="16271"/>
    <cellStyle name="Normal 11 2 2 3 2 4 3 3 2" xfId="33551"/>
    <cellStyle name="Normal 11 2 2 3 2 4 3 4" xfId="22031"/>
    <cellStyle name="Normal 11 2 2 3 2 4 4" xfId="7631"/>
    <cellStyle name="Normal 11 2 2 3 2 4 4 2" xfId="24911"/>
    <cellStyle name="Normal 11 2 2 3 2 4 5" xfId="13391"/>
    <cellStyle name="Normal 11 2 2 3 2 4 5 2" xfId="30671"/>
    <cellStyle name="Normal 11 2 2 3 2 4 6" xfId="19151"/>
    <cellStyle name="Normal 11 2 2 3 2 5" xfId="2591"/>
    <cellStyle name="Normal 11 2 2 3 2 5 2" xfId="5471"/>
    <cellStyle name="Normal 11 2 2 3 2 5 2 2" xfId="11231"/>
    <cellStyle name="Normal 11 2 2 3 2 5 2 2 2" xfId="28511"/>
    <cellStyle name="Normal 11 2 2 3 2 5 2 3" xfId="16991"/>
    <cellStyle name="Normal 11 2 2 3 2 5 2 3 2" xfId="34271"/>
    <cellStyle name="Normal 11 2 2 3 2 5 2 4" xfId="22751"/>
    <cellStyle name="Normal 11 2 2 3 2 5 3" xfId="8351"/>
    <cellStyle name="Normal 11 2 2 3 2 5 3 2" xfId="25631"/>
    <cellStyle name="Normal 11 2 2 3 2 5 4" xfId="14111"/>
    <cellStyle name="Normal 11 2 2 3 2 5 4 2" xfId="31391"/>
    <cellStyle name="Normal 11 2 2 3 2 5 5" xfId="19871"/>
    <cellStyle name="Normal 11 2 2 3 2 6" xfId="4031"/>
    <cellStyle name="Normal 11 2 2 3 2 6 2" xfId="9791"/>
    <cellStyle name="Normal 11 2 2 3 2 6 2 2" xfId="27071"/>
    <cellStyle name="Normal 11 2 2 3 2 6 3" xfId="15551"/>
    <cellStyle name="Normal 11 2 2 3 2 6 3 2" xfId="32831"/>
    <cellStyle name="Normal 11 2 2 3 2 6 4" xfId="21311"/>
    <cellStyle name="Normal 11 2 2 3 2 7" xfId="6911"/>
    <cellStyle name="Normal 11 2 2 3 2 7 2" xfId="24191"/>
    <cellStyle name="Normal 11 2 2 3 2 8" xfId="12671"/>
    <cellStyle name="Normal 11 2 2 3 2 8 2" xfId="29951"/>
    <cellStyle name="Normal 11 2 2 3 2 9" xfId="18431"/>
    <cellStyle name="Normal 11 2 2 3 3" xfId="1271"/>
    <cellStyle name="Normal 11 2 2 3 3 2" xfId="1991"/>
    <cellStyle name="Normal 11 2 2 3 3 2 2" xfId="3431"/>
    <cellStyle name="Normal 11 2 2 3 3 2 2 2" xfId="6311"/>
    <cellStyle name="Normal 11 2 2 3 3 2 2 2 2" xfId="12071"/>
    <cellStyle name="Normal 11 2 2 3 3 2 2 2 2 2" xfId="29351"/>
    <cellStyle name="Normal 11 2 2 3 3 2 2 2 3" xfId="17831"/>
    <cellStyle name="Normal 11 2 2 3 3 2 2 2 3 2" xfId="35111"/>
    <cellStyle name="Normal 11 2 2 3 3 2 2 2 4" xfId="23591"/>
    <cellStyle name="Normal 11 2 2 3 3 2 2 3" xfId="9191"/>
    <cellStyle name="Normal 11 2 2 3 3 2 2 3 2" xfId="26471"/>
    <cellStyle name="Normal 11 2 2 3 3 2 2 4" xfId="14951"/>
    <cellStyle name="Normal 11 2 2 3 3 2 2 4 2" xfId="32231"/>
    <cellStyle name="Normal 11 2 2 3 3 2 2 5" xfId="20711"/>
    <cellStyle name="Normal 11 2 2 3 3 2 3" xfId="4871"/>
    <cellStyle name="Normal 11 2 2 3 3 2 3 2" xfId="10631"/>
    <cellStyle name="Normal 11 2 2 3 3 2 3 2 2" xfId="27911"/>
    <cellStyle name="Normal 11 2 2 3 3 2 3 3" xfId="16391"/>
    <cellStyle name="Normal 11 2 2 3 3 2 3 3 2" xfId="33671"/>
    <cellStyle name="Normal 11 2 2 3 3 2 3 4" xfId="22151"/>
    <cellStyle name="Normal 11 2 2 3 3 2 4" xfId="7751"/>
    <cellStyle name="Normal 11 2 2 3 3 2 4 2" xfId="25031"/>
    <cellStyle name="Normal 11 2 2 3 3 2 5" xfId="13511"/>
    <cellStyle name="Normal 11 2 2 3 3 2 5 2" xfId="30791"/>
    <cellStyle name="Normal 11 2 2 3 3 2 6" xfId="19271"/>
    <cellStyle name="Normal 11 2 2 3 3 3" xfId="2711"/>
    <cellStyle name="Normal 11 2 2 3 3 3 2" xfId="5591"/>
    <cellStyle name="Normal 11 2 2 3 3 3 2 2" xfId="11351"/>
    <cellStyle name="Normal 11 2 2 3 3 3 2 2 2" xfId="28631"/>
    <cellStyle name="Normal 11 2 2 3 3 3 2 3" xfId="17111"/>
    <cellStyle name="Normal 11 2 2 3 3 3 2 3 2" xfId="34391"/>
    <cellStyle name="Normal 11 2 2 3 3 3 2 4" xfId="22871"/>
    <cellStyle name="Normal 11 2 2 3 3 3 3" xfId="8471"/>
    <cellStyle name="Normal 11 2 2 3 3 3 3 2" xfId="25751"/>
    <cellStyle name="Normal 11 2 2 3 3 3 4" xfId="14231"/>
    <cellStyle name="Normal 11 2 2 3 3 3 4 2" xfId="31511"/>
    <cellStyle name="Normal 11 2 2 3 3 3 5" xfId="19991"/>
    <cellStyle name="Normal 11 2 2 3 3 4" xfId="4151"/>
    <cellStyle name="Normal 11 2 2 3 3 4 2" xfId="9911"/>
    <cellStyle name="Normal 11 2 2 3 3 4 2 2" xfId="27191"/>
    <cellStyle name="Normal 11 2 2 3 3 4 3" xfId="15671"/>
    <cellStyle name="Normal 11 2 2 3 3 4 3 2" xfId="32951"/>
    <cellStyle name="Normal 11 2 2 3 3 4 4" xfId="21431"/>
    <cellStyle name="Normal 11 2 2 3 3 5" xfId="7031"/>
    <cellStyle name="Normal 11 2 2 3 3 5 2" xfId="24311"/>
    <cellStyle name="Normal 11 2 2 3 3 6" xfId="12791"/>
    <cellStyle name="Normal 11 2 2 3 3 6 2" xfId="30071"/>
    <cellStyle name="Normal 11 2 2 3 3 7" xfId="18551"/>
    <cellStyle name="Normal 11 2 2 3 4" xfId="1511"/>
    <cellStyle name="Normal 11 2 2 3 4 2" xfId="2231"/>
    <cellStyle name="Normal 11 2 2 3 4 2 2" xfId="3671"/>
    <cellStyle name="Normal 11 2 2 3 4 2 2 2" xfId="6551"/>
    <cellStyle name="Normal 11 2 2 3 4 2 2 2 2" xfId="12311"/>
    <cellStyle name="Normal 11 2 2 3 4 2 2 2 2 2" xfId="29591"/>
    <cellStyle name="Normal 11 2 2 3 4 2 2 2 3" xfId="18071"/>
    <cellStyle name="Normal 11 2 2 3 4 2 2 2 3 2" xfId="35351"/>
    <cellStyle name="Normal 11 2 2 3 4 2 2 2 4" xfId="23831"/>
    <cellStyle name="Normal 11 2 2 3 4 2 2 3" xfId="9431"/>
    <cellStyle name="Normal 11 2 2 3 4 2 2 3 2" xfId="26711"/>
    <cellStyle name="Normal 11 2 2 3 4 2 2 4" xfId="15191"/>
    <cellStyle name="Normal 11 2 2 3 4 2 2 4 2" xfId="32471"/>
    <cellStyle name="Normal 11 2 2 3 4 2 2 5" xfId="20951"/>
    <cellStyle name="Normal 11 2 2 3 4 2 3" xfId="5111"/>
    <cellStyle name="Normal 11 2 2 3 4 2 3 2" xfId="10871"/>
    <cellStyle name="Normal 11 2 2 3 4 2 3 2 2" xfId="28151"/>
    <cellStyle name="Normal 11 2 2 3 4 2 3 3" xfId="16631"/>
    <cellStyle name="Normal 11 2 2 3 4 2 3 3 2" xfId="33911"/>
    <cellStyle name="Normal 11 2 2 3 4 2 3 4" xfId="22391"/>
    <cellStyle name="Normal 11 2 2 3 4 2 4" xfId="7991"/>
    <cellStyle name="Normal 11 2 2 3 4 2 4 2" xfId="25271"/>
    <cellStyle name="Normal 11 2 2 3 4 2 5" xfId="13751"/>
    <cellStyle name="Normal 11 2 2 3 4 2 5 2" xfId="31031"/>
    <cellStyle name="Normal 11 2 2 3 4 2 6" xfId="19511"/>
    <cellStyle name="Normal 11 2 2 3 4 3" xfId="2951"/>
    <cellStyle name="Normal 11 2 2 3 4 3 2" xfId="5831"/>
    <cellStyle name="Normal 11 2 2 3 4 3 2 2" xfId="11591"/>
    <cellStyle name="Normal 11 2 2 3 4 3 2 2 2" xfId="28871"/>
    <cellStyle name="Normal 11 2 2 3 4 3 2 3" xfId="17351"/>
    <cellStyle name="Normal 11 2 2 3 4 3 2 3 2" xfId="34631"/>
    <cellStyle name="Normal 11 2 2 3 4 3 2 4" xfId="23111"/>
    <cellStyle name="Normal 11 2 2 3 4 3 3" xfId="8711"/>
    <cellStyle name="Normal 11 2 2 3 4 3 3 2" xfId="25991"/>
    <cellStyle name="Normal 11 2 2 3 4 3 4" xfId="14471"/>
    <cellStyle name="Normal 11 2 2 3 4 3 4 2" xfId="31751"/>
    <cellStyle name="Normal 11 2 2 3 4 3 5" xfId="20231"/>
    <cellStyle name="Normal 11 2 2 3 4 4" xfId="4391"/>
    <cellStyle name="Normal 11 2 2 3 4 4 2" xfId="10151"/>
    <cellStyle name="Normal 11 2 2 3 4 4 2 2" xfId="27431"/>
    <cellStyle name="Normal 11 2 2 3 4 4 3" xfId="15911"/>
    <cellStyle name="Normal 11 2 2 3 4 4 3 2" xfId="33191"/>
    <cellStyle name="Normal 11 2 2 3 4 4 4" xfId="21671"/>
    <cellStyle name="Normal 11 2 2 3 4 5" xfId="7271"/>
    <cellStyle name="Normal 11 2 2 3 4 5 2" xfId="24551"/>
    <cellStyle name="Normal 11 2 2 3 4 6" xfId="13031"/>
    <cellStyle name="Normal 11 2 2 3 4 6 2" xfId="30311"/>
    <cellStyle name="Normal 11 2 2 3 4 7" xfId="18791"/>
    <cellStyle name="Normal 11 2 2 3 5" xfId="1751"/>
    <cellStyle name="Normal 11 2 2 3 5 2" xfId="3191"/>
    <cellStyle name="Normal 11 2 2 3 5 2 2" xfId="6071"/>
    <cellStyle name="Normal 11 2 2 3 5 2 2 2" xfId="11831"/>
    <cellStyle name="Normal 11 2 2 3 5 2 2 2 2" xfId="29111"/>
    <cellStyle name="Normal 11 2 2 3 5 2 2 3" xfId="17591"/>
    <cellStyle name="Normal 11 2 2 3 5 2 2 3 2" xfId="34871"/>
    <cellStyle name="Normal 11 2 2 3 5 2 2 4" xfId="23351"/>
    <cellStyle name="Normal 11 2 2 3 5 2 3" xfId="8951"/>
    <cellStyle name="Normal 11 2 2 3 5 2 3 2" xfId="26231"/>
    <cellStyle name="Normal 11 2 2 3 5 2 4" xfId="14711"/>
    <cellStyle name="Normal 11 2 2 3 5 2 4 2" xfId="31991"/>
    <cellStyle name="Normal 11 2 2 3 5 2 5" xfId="20471"/>
    <cellStyle name="Normal 11 2 2 3 5 3" xfId="4631"/>
    <cellStyle name="Normal 11 2 2 3 5 3 2" xfId="10391"/>
    <cellStyle name="Normal 11 2 2 3 5 3 2 2" xfId="27671"/>
    <cellStyle name="Normal 11 2 2 3 5 3 3" xfId="16151"/>
    <cellStyle name="Normal 11 2 2 3 5 3 3 2" xfId="33431"/>
    <cellStyle name="Normal 11 2 2 3 5 3 4" xfId="21911"/>
    <cellStyle name="Normal 11 2 2 3 5 4" xfId="7511"/>
    <cellStyle name="Normal 11 2 2 3 5 4 2" xfId="24791"/>
    <cellStyle name="Normal 11 2 2 3 5 5" xfId="13271"/>
    <cellStyle name="Normal 11 2 2 3 5 5 2" xfId="30551"/>
    <cellStyle name="Normal 11 2 2 3 5 6" xfId="19031"/>
    <cellStyle name="Normal 11 2 2 3 6" xfId="2471"/>
    <cellStyle name="Normal 11 2 2 3 6 2" xfId="5351"/>
    <cellStyle name="Normal 11 2 2 3 6 2 2" xfId="11111"/>
    <cellStyle name="Normal 11 2 2 3 6 2 2 2" xfId="28391"/>
    <cellStyle name="Normal 11 2 2 3 6 2 3" xfId="16871"/>
    <cellStyle name="Normal 11 2 2 3 6 2 3 2" xfId="34151"/>
    <cellStyle name="Normal 11 2 2 3 6 2 4" xfId="22631"/>
    <cellStyle name="Normal 11 2 2 3 6 3" xfId="8231"/>
    <cellStyle name="Normal 11 2 2 3 6 3 2" xfId="25511"/>
    <cellStyle name="Normal 11 2 2 3 6 4" xfId="13991"/>
    <cellStyle name="Normal 11 2 2 3 6 4 2" xfId="31271"/>
    <cellStyle name="Normal 11 2 2 3 6 5" xfId="19751"/>
    <cellStyle name="Normal 11 2 2 3 7" xfId="3911"/>
    <cellStyle name="Normal 11 2 2 3 7 2" xfId="9671"/>
    <cellStyle name="Normal 11 2 2 3 7 2 2" xfId="26951"/>
    <cellStyle name="Normal 11 2 2 3 7 3" xfId="15431"/>
    <cellStyle name="Normal 11 2 2 3 7 3 2" xfId="32711"/>
    <cellStyle name="Normal 11 2 2 3 7 4" xfId="21191"/>
    <cellStyle name="Normal 11 2 2 3 8" xfId="6791"/>
    <cellStyle name="Normal 11 2 2 3 8 2" xfId="24071"/>
    <cellStyle name="Normal 11 2 2 3 9" xfId="12551"/>
    <cellStyle name="Normal 11 2 2 3 9 2" xfId="29831"/>
    <cellStyle name="Normal 11 2 2 4" xfId="991"/>
    <cellStyle name="Normal 11 2 2 4 10" xfId="18271"/>
    <cellStyle name="Normal 11 2 2 4 2" xfId="1111"/>
    <cellStyle name="Normal 11 2 2 4 2 2" xfId="1351"/>
    <cellStyle name="Normal 11 2 2 4 2 2 2" xfId="2071"/>
    <cellStyle name="Normal 11 2 2 4 2 2 2 2" xfId="3511"/>
    <cellStyle name="Normal 11 2 2 4 2 2 2 2 2" xfId="6391"/>
    <cellStyle name="Normal 11 2 2 4 2 2 2 2 2 2" xfId="12151"/>
    <cellStyle name="Normal 11 2 2 4 2 2 2 2 2 2 2" xfId="29431"/>
    <cellStyle name="Normal 11 2 2 4 2 2 2 2 2 3" xfId="17911"/>
    <cellStyle name="Normal 11 2 2 4 2 2 2 2 2 3 2" xfId="35191"/>
    <cellStyle name="Normal 11 2 2 4 2 2 2 2 2 4" xfId="23671"/>
    <cellStyle name="Normal 11 2 2 4 2 2 2 2 3" xfId="9271"/>
    <cellStyle name="Normal 11 2 2 4 2 2 2 2 3 2" xfId="26551"/>
    <cellStyle name="Normal 11 2 2 4 2 2 2 2 4" xfId="15031"/>
    <cellStyle name="Normal 11 2 2 4 2 2 2 2 4 2" xfId="32311"/>
    <cellStyle name="Normal 11 2 2 4 2 2 2 2 5" xfId="20791"/>
    <cellStyle name="Normal 11 2 2 4 2 2 2 3" xfId="4951"/>
    <cellStyle name="Normal 11 2 2 4 2 2 2 3 2" xfId="10711"/>
    <cellStyle name="Normal 11 2 2 4 2 2 2 3 2 2" xfId="27991"/>
    <cellStyle name="Normal 11 2 2 4 2 2 2 3 3" xfId="16471"/>
    <cellStyle name="Normal 11 2 2 4 2 2 2 3 3 2" xfId="33751"/>
    <cellStyle name="Normal 11 2 2 4 2 2 2 3 4" xfId="22231"/>
    <cellStyle name="Normal 11 2 2 4 2 2 2 4" xfId="7831"/>
    <cellStyle name="Normal 11 2 2 4 2 2 2 4 2" xfId="25111"/>
    <cellStyle name="Normal 11 2 2 4 2 2 2 5" xfId="13591"/>
    <cellStyle name="Normal 11 2 2 4 2 2 2 5 2" xfId="30871"/>
    <cellStyle name="Normal 11 2 2 4 2 2 2 6" xfId="19351"/>
    <cellStyle name="Normal 11 2 2 4 2 2 3" xfId="2791"/>
    <cellStyle name="Normal 11 2 2 4 2 2 3 2" xfId="5671"/>
    <cellStyle name="Normal 11 2 2 4 2 2 3 2 2" xfId="11431"/>
    <cellStyle name="Normal 11 2 2 4 2 2 3 2 2 2" xfId="28711"/>
    <cellStyle name="Normal 11 2 2 4 2 2 3 2 3" xfId="17191"/>
    <cellStyle name="Normal 11 2 2 4 2 2 3 2 3 2" xfId="34471"/>
    <cellStyle name="Normal 11 2 2 4 2 2 3 2 4" xfId="22951"/>
    <cellStyle name="Normal 11 2 2 4 2 2 3 3" xfId="8551"/>
    <cellStyle name="Normal 11 2 2 4 2 2 3 3 2" xfId="25831"/>
    <cellStyle name="Normal 11 2 2 4 2 2 3 4" xfId="14311"/>
    <cellStyle name="Normal 11 2 2 4 2 2 3 4 2" xfId="31591"/>
    <cellStyle name="Normal 11 2 2 4 2 2 3 5" xfId="20071"/>
    <cellStyle name="Normal 11 2 2 4 2 2 4" xfId="4231"/>
    <cellStyle name="Normal 11 2 2 4 2 2 4 2" xfId="9991"/>
    <cellStyle name="Normal 11 2 2 4 2 2 4 2 2" xfId="27271"/>
    <cellStyle name="Normal 11 2 2 4 2 2 4 3" xfId="15751"/>
    <cellStyle name="Normal 11 2 2 4 2 2 4 3 2" xfId="33031"/>
    <cellStyle name="Normal 11 2 2 4 2 2 4 4" xfId="21511"/>
    <cellStyle name="Normal 11 2 2 4 2 2 5" xfId="7111"/>
    <cellStyle name="Normal 11 2 2 4 2 2 5 2" xfId="24391"/>
    <cellStyle name="Normal 11 2 2 4 2 2 6" xfId="12871"/>
    <cellStyle name="Normal 11 2 2 4 2 2 6 2" xfId="30151"/>
    <cellStyle name="Normal 11 2 2 4 2 2 7" xfId="18631"/>
    <cellStyle name="Normal 11 2 2 4 2 3" xfId="1591"/>
    <cellStyle name="Normal 11 2 2 4 2 3 2" xfId="2311"/>
    <cellStyle name="Normal 11 2 2 4 2 3 2 2" xfId="3751"/>
    <cellStyle name="Normal 11 2 2 4 2 3 2 2 2" xfId="6631"/>
    <cellStyle name="Normal 11 2 2 4 2 3 2 2 2 2" xfId="12391"/>
    <cellStyle name="Normal 11 2 2 4 2 3 2 2 2 2 2" xfId="29671"/>
    <cellStyle name="Normal 11 2 2 4 2 3 2 2 2 3" xfId="18151"/>
    <cellStyle name="Normal 11 2 2 4 2 3 2 2 2 3 2" xfId="35431"/>
    <cellStyle name="Normal 11 2 2 4 2 3 2 2 2 4" xfId="23911"/>
    <cellStyle name="Normal 11 2 2 4 2 3 2 2 3" xfId="9511"/>
    <cellStyle name="Normal 11 2 2 4 2 3 2 2 3 2" xfId="26791"/>
    <cellStyle name="Normal 11 2 2 4 2 3 2 2 4" xfId="15271"/>
    <cellStyle name="Normal 11 2 2 4 2 3 2 2 4 2" xfId="32551"/>
    <cellStyle name="Normal 11 2 2 4 2 3 2 2 5" xfId="21031"/>
    <cellStyle name="Normal 11 2 2 4 2 3 2 3" xfId="5191"/>
    <cellStyle name="Normal 11 2 2 4 2 3 2 3 2" xfId="10951"/>
    <cellStyle name="Normal 11 2 2 4 2 3 2 3 2 2" xfId="28231"/>
    <cellStyle name="Normal 11 2 2 4 2 3 2 3 3" xfId="16711"/>
    <cellStyle name="Normal 11 2 2 4 2 3 2 3 3 2" xfId="33991"/>
    <cellStyle name="Normal 11 2 2 4 2 3 2 3 4" xfId="22471"/>
    <cellStyle name="Normal 11 2 2 4 2 3 2 4" xfId="8071"/>
    <cellStyle name="Normal 11 2 2 4 2 3 2 4 2" xfId="25351"/>
    <cellStyle name="Normal 11 2 2 4 2 3 2 5" xfId="13831"/>
    <cellStyle name="Normal 11 2 2 4 2 3 2 5 2" xfId="31111"/>
    <cellStyle name="Normal 11 2 2 4 2 3 2 6" xfId="19591"/>
    <cellStyle name="Normal 11 2 2 4 2 3 3" xfId="3031"/>
    <cellStyle name="Normal 11 2 2 4 2 3 3 2" xfId="5911"/>
    <cellStyle name="Normal 11 2 2 4 2 3 3 2 2" xfId="11671"/>
    <cellStyle name="Normal 11 2 2 4 2 3 3 2 2 2" xfId="28951"/>
    <cellStyle name="Normal 11 2 2 4 2 3 3 2 3" xfId="17431"/>
    <cellStyle name="Normal 11 2 2 4 2 3 3 2 3 2" xfId="34711"/>
    <cellStyle name="Normal 11 2 2 4 2 3 3 2 4" xfId="23191"/>
    <cellStyle name="Normal 11 2 2 4 2 3 3 3" xfId="8791"/>
    <cellStyle name="Normal 11 2 2 4 2 3 3 3 2" xfId="26071"/>
    <cellStyle name="Normal 11 2 2 4 2 3 3 4" xfId="14551"/>
    <cellStyle name="Normal 11 2 2 4 2 3 3 4 2" xfId="31831"/>
    <cellStyle name="Normal 11 2 2 4 2 3 3 5" xfId="20311"/>
    <cellStyle name="Normal 11 2 2 4 2 3 4" xfId="4471"/>
    <cellStyle name="Normal 11 2 2 4 2 3 4 2" xfId="10231"/>
    <cellStyle name="Normal 11 2 2 4 2 3 4 2 2" xfId="27511"/>
    <cellStyle name="Normal 11 2 2 4 2 3 4 3" xfId="15991"/>
    <cellStyle name="Normal 11 2 2 4 2 3 4 3 2" xfId="33271"/>
    <cellStyle name="Normal 11 2 2 4 2 3 4 4" xfId="21751"/>
    <cellStyle name="Normal 11 2 2 4 2 3 5" xfId="7351"/>
    <cellStyle name="Normal 11 2 2 4 2 3 5 2" xfId="24631"/>
    <cellStyle name="Normal 11 2 2 4 2 3 6" xfId="13111"/>
    <cellStyle name="Normal 11 2 2 4 2 3 6 2" xfId="30391"/>
    <cellStyle name="Normal 11 2 2 4 2 3 7" xfId="18871"/>
    <cellStyle name="Normal 11 2 2 4 2 4" xfId="1831"/>
    <cellStyle name="Normal 11 2 2 4 2 4 2" xfId="3271"/>
    <cellStyle name="Normal 11 2 2 4 2 4 2 2" xfId="6151"/>
    <cellStyle name="Normal 11 2 2 4 2 4 2 2 2" xfId="11911"/>
    <cellStyle name="Normal 11 2 2 4 2 4 2 2 2 2" xfId="29191"/>
    <cellStyle name="Normal 11 2 2 4 2 4 2 2 3" xfId="17671"/>
    <cellStyle name="Normal 11 2 2 4 2 4 2 2 3 2" xfId="34951"/>
    <cellStyle name="Normal 11 2 2 4 2 4 2 2 4" xfId="23431"/>
    <cellStyle name="Normal 11 2 2 4 2 4 2 3" xfId="9031"/>
    <cellStyle name="Normal 11 2 2 4 2 4 2 3 2" xfId="26311"/>
    <cellStyle name="Normal 11 2 2 4 2 4 2 4" xfId="14791"/>
    <cellStyle name="Normal 11 2 2 4 2 4 2 4 2" xfId="32071"/>
    <cellStyle name="Normal 11 2 2 4 2 4 2 5" xfId="20551"/>
    <cellStyle name="Normal 11 2 2 4 2 4 3" xfId="4711"/>
    <cellStyle name="Normal 11 2 2 4 2 4 3 2" xfId="10471"/>
    <cellStyle name="Normal 11 2 2 4 2 4 3 2 2" xfId="27751"/>
    <cellStyle name="Normal 11 2 2 4 2 4 3 3" xfId="16231"/>
    <cellStyle name="Normal 11 2 2 4 2 4 3 3 2" xfId="33511"/>
    <cellStyle name="Normal 11 2 2 4 2 4 3 4" xfId="21991"/>
    <cellStyle name="Normal 11 2 2 4 2 4 4" xfId="7591"/>
    <cellStyle name="Normal 11 2 2 4 2 4 4 2" xfId="24871"/>
    <cellStyle name="Normal 11 2 2 4 2 4 5" xfId="13351"/>
    <cellStyle name="Normal 11 2 2 4 2 4 5 2" xfId="30631"/>
    <cellStyle name="Normal 11 2 2 4 2 4 6" xfId="19111"/>
    <cellStyle name="Normal 11 2 2 4 2 5" xfId="2551"/>
    <cellStyle name="Normal 11 2 2 4 2 5 2" xfId="5431"/>
    <cellStyle name="Normal 11 2 2 4 2 5 2 2" xfId="11191"/>
    <cellStyle name="Normal 11 2 2 4 2 5 2 2 2" xfId="28471"/>
    <cellStyle name="Normal 11 2 2 4 2 5 2 3" xfId="16951"/>
    <cellStyle name="Normal 11 2 2 4 2 5 2 3 2" xfId="34231"/>
    <cellStyle name="Normal 11 2 2 4 2 5 2 4" xfId="22711"/>
    <cellStyle name="Normal 11 2 2 4 2 5 3" xfId="8311"/>
    <cellStyle name="Normal 11 2 2 4 2 5 3 2" xfId="25591"/>
    <cellStyle name="Normal 11 2 2 4 2 5 4" xfId="14071"/>
    <cellStyle name="Normal 11 2 2 4 2 5 4 2" xfId="31351"/>
    <cellStyle name="Normal 11 2 2 4 2 5 5" xfId="19831"/>
    <cellStyle name="Normal 11 2 2 4 2 6" xfId="3991"/>
    <cellStyle name="Normal 11 2 2 4 2 6 2" xfId="9751"/>
    <cellStyle name="Normal 11 2 2 4 2 6 2 2" xfId="27031"/>
    <cellStyle name="Normal 11 2 2 4 2 6 3" xfId="15511"/>
    <cellStyle name="Normal 11 2 2 4 2 6 3 2" xfId="32791"/>
    <cellStyle name="Normal 11 2 2 4 2 6 4" xfId="21271"/>
    <cellStyle name="Normal 11 2 2 4 2 7" xfId="6871"/>
    <cellStyle name="Normal 11 2 2 4 2 7 2" xfId="24151"/>
    <cellStyle name="Normal 11 2 2 4 2 8" xfId="12631"/>
    <cellStyle name="Normal 11 2 2 4 2 8 2" xfId="29911"/>
    <cellStyle name="Normal 11 2 2 4 2 9" xfId="18391"/>
    <cellStyle name="Normal 11 2 2 4 3" xfId="1231"/>
    <cellStyle name="Normal 11 2 2 4 3 2" xfId="1951"/>
    <cellStyle name="Normal 11 2 2 4 3 2 2" xfId="3391"/>
    <cellStyle name="Normal 11 2 2 4 3 2 2 2" xfId="6271"/>
    <cellStyle name="Normal 11 2 2 4 3 2 2 2 2" xfId="12031"/>
    <cellStyle name="Normal 11 2 2 4 3 2 2 2 2 2" xfId="29311"/>
    <cellStyle name="Normal 11 2 2 4 3 2 2 2 3" xfId="17791"/>
    <cellStyle name="Normal 11 2 2 4 3 2 2 2 3 2" xfId="35071"/>
    <cellStyle name="Normal 11 2 2 4 3 2 2 2 4" xfId="23551"/>
    <cellStyle name="Normal 11 2 2 4 3 2 2 3" xfId="9151"/>
    <cellStyle name="Normal 11 2 2 4 3 2 2 3 2" xfId="26431"/>
    <cellStyle name="Normal 11 2 2 4 3 2 2 4" xfId="14911"/>
    <cellStyle name="Normal 11 2 2 4 3 2 2 4 2" xfId="32191"/>
    <cellStyle name="Normal 11 2 2 4 3 2 2 5" xfId="20671"/>
    <cellStyle name="Normal 11 2 2 4 3 2 3" xfId="4831"/>
    <cellStyle name="Normal 11 2 2 4 3 2 3 2" xfId="10591"/>
    <cellStyle name="Normal 11 2 2 4 3 2 3 2 2" xfId="27871"/>
    <cellStyle name="Normal 11 2 2 4 3 2 3 3" xfId="16351"/>
    <cellStyle name="Normal 11 2 2 4 3 2 3 3 2" xfId="33631"/>
    <cellStyle name="Normal 11 2 2 4 3 2 3 4" xfId="22111"/>
    <cellStyle name="Normal 11 2 2 4 3 2 4" xfId="7711"/>
    <cellStyle name="Normal 11 2 2 4 3 2 4 2" xfId="24991"/>
    <cellStyle name="Normal 11 2 2 4 3 2 5" xfId="13471"/>
    <cellStyle name="Normal 11 2 2 4 3 2 5 2" xfId="30751"/>
    <cellStyle name="Normal 11 2 2 4 3 2 6" xfId="19231"/>
    <cellStyle name="Normal 11 2 2 4 3 3" xfId="2671"/>
    <cellStyle name="Normal 11 2 2 4 3 3 2" xfId="5551"/>
    <cellStyle name="Normal 11 2 2 4 3 3 2 2" xfId="11311"/>
    <cellStyle name="Normal 11 2 2 4 3 3 2 2 2" xfId="28591"/>
    <cellStyle name="Normal 11 2 2 4 3 3 2 3" xfId="17071"/>
    <cellStyle name="Normal 11 2 2 4 3 3 2 3 2" xfId="34351"/>
    <cellStyle name="Normal 11 2 2 4 3 3 2 4" xfId="22831"/>
    <cellStyle name="Normal 11 2 2 4 3 3 3" xfId="8431"/>
    <cellStyle name="Normal 11 2 2 4 3 3 3 2" xfId="25711"/>
    <cellStyle name="Normal 11 2 2 4 3 3 4" xfId="14191"/>
    <cellStyle name="Normal 11 2 2 4 3 3 4 2" xfId="31471"/>
    <cellStyle name="Normal 11 2 2 4 3 3 5" xfId="19951"/>
    <cellStyle name="Normal 11 2 2 4 3 4" xfId="4111"/>
    <cellStyle name="Normal 11 2 2 4 3 4 2" xfId="9871"/>
    <cellStyle name="Normal 11 2 2 4 3 4 2 2" xfId="27151"/>
    <cellStyle name="Normal 11 2 2 4 3 4 3" xfId="15631"/>
    <cellStyle name="Normal 11 2 2 4 3 4 3 2" xfId="32911"/>
    <cellStyle name="Normal 11 2 2 4 3 4 4" xfId="21391"/>
    <cellStyle name="Normal 11 2 2 4 3 5" xfId="6991"/>
    <cellStyle name="Normal 11 2 2 4 3 5 2" xfId="24271"/>
    <cellStyle name="Normal 11 2 2 4 3 6" xfId="12751"/>
    <cellStyle name="Normal 11 2 2 4 3 6 2" xfId="30031"/>
    <cellStyle name="Normal 11 2 2 4 3 7" xfId="18511"/>
    <cellStyle name="Normal 11 2 2 4 4" xfId="1471"/>
    <cellStyle name="Normal 11 2 2 4 4 2" xfId="2191"/>
    <cellStyle name="Normal 11 2 2 4 4 2 2" xfId="3631"/>
    <cellStyle name="Normal 11 2 2 4 4 2 2 2" xfId="6511"/>
    <cellStyle name="Normal 11 2 2 4 4 2 2 2 2" xfId="12271"/>
    <cellStyle name="Normal 11 2 2 4 4 2 2 2 2 2" xfId="29551"/>
    <cellStyle name="Normal 11 2 2 4 4 2 2 2 3" xfId="18031"/>
    <cellStyle name="Normal 11 2 2 4 4 2 2 2 3 2" xfId="35311"/>
    <cellStyle name="Normal 11 2 2 4 4 2 2 2 4" xfId="23791"/>
    <cellStyle name="Normal 11 2 2 4 4 2 2 3" xfId="9391"/>
    <cellStyle name="Normal 11 2 2 4 4 2 2 3 2" xfId="26671"/>
    <cellStyle name="Normal 11 2 2 4 4 2 2 4" xfId="15151"/>
    <cellStyle name="Normal 11 2 2 4 4 2 2 4 2" xfId="32431"/>
    <cellStyle name="Normal 11 2 2 4 4 2 2 5" xfId="20911"/>
    <cellStyle name="Normal 11 2 2 4 4 2 3" xfId="5071"/>
    <cellStyle name="Normal 11 2 2 4 4 2 3 2" xfId="10831"/>
    <cellStyle name="Normal 11 2 2 4 4 2 3 2 2" xfId="28111"/>
    <cellStyle name="Normal 11 2 2 4 4 2 3 3" xfId="16591"/>
    <cellStyle name="Normal 11 2 2 4 4 2 3 3 2" xfId="33871"/>
    <cellStyle name="Normal 11 2 2 4 4 2 3 4" xfId="22351"/>
    <cellStyle name="Normal 11 2 2 4 4 2 4" xfId="7951"/>
    <cellStyle name="Normal 11 2 2 4 4 2 4 2" xfId="25231"/>
    <cellStyle name="Normal 11 2 2 4 4 2 5" xfId="13711"/>
    <cellStyle name="Normal 11 2 2 4 4 2 5 2" xfId="30991"/>
    <cellStyle name="Normal 11 2 2 4 4 2 6" xfId="19471"/>
    <cellStyle name="Normal 11 2 2 4 4 3" xfId="2911"/>
    <cellStyle name="Normal 11 2 2 4 4 3 2" xfId="5791"/>
    <cellStyle name="Normal 11 2 2 4 4 3 2 2" xfId="11551"/>
    <cellStyle name="Normal 11 2 2 4 4 3 2 2 2" xfId="28831"/>
    <cellStyle name="Normal 11 2 2 4 4 3 2 3" xfId="17311"/>
    <cellStyle name="Normal 11 2 2 4 4 3 2 3 2" xfId="34591"/>
    <cellStyle name="Normal 11 2 2 4 4 3 2 4" xfId="23071"/>
    <cellStyle name="Normal 11 2 2 4 4 3 3" xfId="8671"/>
    <cellStyle name="Normal 11 2 2 4 4 3 3 2" xfId="25951"/>
    <cellStyle name="Normal 11 2 2 4 4 3 4" xfId="14431"/>
    <cellStyle name="Normal 11 2 2 4 4 3 4 2" xfId="31711"/>
    <cellStyle name="Normal 11 2 2 4 4 3 5" xfId="20191"/>
    <cellStyle name="Normal 11 2 2 4 4 4" xfId="4351"/>
    <cellStyle name="Normal 11 2 2 4 4 4 2" xfId="10111"/>
    <cellStyle name="Normal 11 2 2 4 4 4 2 2" xfId="27391"/>
    <cellStyle name="Normal 11 2 2 4 4 4 3" xfId="15871"/>
    <cellStyle name="Normal 11 2 2 4 4 4 3 2" xfId="33151"/>
    <cellStyle name="Normal 11 2 2 4 4 4 4" xfId="21631"/>
    <cellStyle name="Normal 11 2 2 4 4 5" xfId="7231"/>
    <cellStyle name="Normal 11 2 2 4 4 5 2" xfId="24511"/>
    <cellStyle name="Normal 11 2 2 4 4 6" xfId="12991"/>
    <cellStyle name="Normal 11 2 2 4 4 6 2" xfId="30271"/>
    <cellStyle name="Normal 11 2 2 4 4 7" xfId="18751"/>
    <cellStyle name="Normal 11 2 2 4 5" xfId="1711"/>
    <cellStyle name="Normal 11 2 2 4 5 2" xfId="3151"/>
    <cellStyle name="Normal 11 2 2 4 5 2 2" xfId="6031"/>
    <cellStyle name="Normal 11 2 2 4 5 2 2 2" xfId="11791"/>
    <cellStyle name="Normal 11 2 2 4 5 2 2 2 2" xfId="29071"/>
    <cellStyle name="Normal 11 2 2 4 5 2 2 3" xfId="17551"/>
    <cellStyle name="Normal 11 2 2 4 5 2 2 3 2" xfId="34831"/>
    <cellStyle name="Normal 11 2 2 4 5 2 2 4" xfId="23311"/>
    <cellStyle name="Normal 11 2 2 4 5 2 3" xfId="8911"/>
    <cellStyle name="Normal 11 2 2 4 5 2 3 2" xfId="26191"/>
    <cellStyle name="Normal 11 2 2 4 5 2 4" xfId="14671"/>
    <cellStyle name="Normal 11 2 2 4 5 2 4 2" xfId="31951"/>
    <cellStyle name="Normal 11 2 2 4 5 2 5" xfId="20431"/>
    <cellStyle name="Normal 11 2 2 4 5 3" xfId="4591"/>
    <cellStyle name="Normal 11 2 2 4 5 3 2" xfId="10351"/>
    <cellStyle name="Normal 11 2 2 4 5 3 2 2" xfId="27631"/>
    <cellStyle name="Normal 11 2 2 4 5 3 3" xfId="16111"/>
    <cellStyle name="Normal 11 2 2 4 5 3 3 2" xfId="33391"/>
    <cellStyle name="Normal 11 2 2 4 5 3 4" xfId="21871"/>
    <cellStyle name="Normal 11 2 2 4 5 4" xfId="7471"/>
    <cellStyle name="Normal 11 2 2 4 5 4 2" xfId="24751"/>
    <cellStyle name="Normal 11 2 2 4 5 5" xfId="13231"/>
    <cellStyle name="Normal 11 2 2 4 5 5 2" xfId="30511"/>
    <cellStyle name="Normal 11 2 2 4 5 6" xfId="18991"/>
    <cellStyle name="Normal 11 2 2 4 6" xfId="2431"/>
    <cellStyle name="Normal 11 2 2 4 6 2" xfId="5311"/>
    <cellStyle name="Normal 11 2 2 4 6 2 2" xfId="11071"/>
    <cellStyle name="Normal 11 2 2 4 6 2 2 2" xfId="28351"/>
    <cellStyle name="Normal 11 2 2 4 6 2 3" xfId="16831"/>
    <cellStyle name="Normal 11 2 2 4 6 2 3 2" xfId="34111"/>
    <cellStyle name="Normal 11 2 2 4 6 2 4" xfId="22591"/>
    <cellStyle name="Normal 11 2 2 4 6 3" xfId="8191"/>
    <cellStyle name="Normal 11 2 2 4 6 3 2" xfId="25471"/>
    <cellStyle name="Normal 11 2 2 4 6 4" xfId="13951"/>
    <cellStyle name="Normal 11 2 2 4 6 4 2" xfId="31231"/>
    <cellStyle name="Normal 11 2 2 4 6 5" xfId="19711"/>
    <cellStyle name="Normal 11 2 2 4 7" xfId="3871"/>
    <cellStyle name="Normal 11 2 2 4 7 2" xfId="9631"/>
    <cellStyle name="Normal 11 2 2 4 7 2 2" xfId="26911"/>
    <cellStyle name="Normal 11 2 2 4 7 3" xfId="15391"/>
    <cellStyle name="Normal 11 2 2 4 7 3 2" xfId="32671"/>
    <cellStyle name="Normal 11 2 2 4 7 4" xfId="21151"/>
    <cellStyle name="Normal 11 2 2 4 8" xfId="6751"/>
    <cellStyle name="Normal 11 2 2 4 8 2" xfId="24031"/>
    <cellStyle name="Normal 11 2 2 4 9" xfId="12511"/>
    <cellStyle name="Normal 11 2 2 4 9 2" xfId="29791"/>
    <cellStyle name="Normal 11 2 2 5" xfId="1071"/>
    <cellStyle name="Normal 11 2 2 5 2" xfId="1311"/>
    <cellStyle name="Normal 11 2 2 5 2 2" xfId="2031"/>
    <cellStyle name="Normal 11 2 2 5 2 2 2" xfId="3471"/>
    <cellStyle name="Normal 11 2 2 5 2 2 2 2" xfId="6351"/>
    <cellStyle name="Normal 11 2 2 5 2 2 2 2 2" xfId="12111"/>
    <cellStyle name="Normal 11 2 2 5 2 2 2 2 2 2" xfId="29391"/>
    <cellStyle name="Normal 11 2 2 5 2 2 2 2 3" xfId="17871"/>
    <cellStyle name="Normal 11 2 2 5 2 2 2 2 3 2" xfId="35151"/>
    <cellStyle name="Normal 11 2 2 5 2 2 2 2 4" xfId="23631"/>
    <cellStyle name="Normal 11 2 2 5 2 2 2 3" xfId="9231"/>
    <cellStyle name="Normal 11 2 2 5 2 2 2 3 2" xfId="26511"/>
    <cellStyle name="Normal 11 2 2 5 2 2 2 4" xfId="14991"/>
    <cellStyle name="Normal 11 2 2 5 2 2 2 4 2" xfId="32271"/>
    <cellStyle name="Normal 11 2 2 5 2 2 2 5" xfId="20751"/>
    <cellStyle name="Normal 11 2 2 5 2 2 3" xfId="4911"/>
    <cellStyle name="Normal 11 2 2 5 2 2 3 2" xfId="10671"/>
    <cellStyle name="Normal 11 2 2 5 2 2 3 2 2" xfId="27951"/>
    <cellStyle name="Normal 11 2 2 5 2 2 3 3" xfId="16431"/>
    <cellStyle name="Normal 11 2 2 5 2 2 3 3 2" xfId="33711"/>
    <cellStyle name="Normal 11 2 2 5 2 2 3 4" xfId="22191"/>
    <cellStyle name="Normal 11 2 2 5 2 2 4" xfId="7791"/>
    <cellStyle name="Normal 11 2 2 5 2 2 4 2" xfId="25071"/>
    <cellStyle name="Normal 11 2 2 5 2 2 5" xfId="13551"/>
    <cellStyle name="Normal 11 2 2 5 2 2 5 2" xfId="30831"/>
    <cellStyle name="Normal 11 2 2 5 2 2 6" xfId="19311"/>
    <cellStyle name="Normal 11 2 2 5 2 3" xfId="2751"/>
    <cellStyle name="Normal 11 2 2 5 2 3 2" xfId="5631"/>
    <cellStyle name="Normal 11 2 2 5 2 3 2 2" xfId="11391"/>
    <cellStyle name="Normal 11 2 2 5 2 3 2 2 2" xfId="28671"/>
    <cellStyle name="Normal 11 2 2 5 2 3 2 3" xfId="17151"/>
    <cellStyle name="Normal 11 2 2 5 2 3 2 3 2" xfId="34431"/>
    <cellStyle name="Normal 11 2 2 5 2 3 2 4" xfId="22911"/>
    <cellStyle name="Normal 11 2 2 5 2 3 3" xfId="8511"/>
    <cellStyle name="Normal 11 2 2 5 2 3 3 2" xfId="25791"/>
    <cellStyle name="Normal 11 2 2 5 2 3 4" xfId="14271"/>
    <cellStyle name="Normal 11 2 2 5 2 3 4 2" xfId="31551"/>
    <cellStyle name="Normal 11 2 2 5 2 3 5" xfId="20031"/>
    <cellStyle name="Normal 11 2 2 5 2 4" xfId="4191"/>
    <cellStyle name="Normal 11 2 2 5 2 4 2" xfId="9951"/>
    <cellStyle name="Normal 11 2 2 5 2 4 2 2" xfId="27231"/>
    <cellStyle name="Normal 11 2 2 5 2 4 3" xfId="15711"/>
    <cellStyle name="Normal 11 2 2 5 2 4 3 2" xfId="32991"/>
    <cellStyle name="Normal 11 2 2 5 2 4 4" xfId="21471"/>
    <cellStyle name="Normal 11 2 2 5 2 5" xfId="7071"/>
    <cellStyle name="Normal 11 2 2 5 2 5 2" xfId="24351"/>
    <cellStyle name="Normal 11 2 2 5 2 6" xfId="12831"/>
    <cellStyle name="Normal 11 2 2 5 2 6 2" xfId="30111"/>
    <cellStyle name="Normal 11 2 2 5 2 7" xfId="18591"/>
    <cellStyle name="Normal 11 2 2 5 3" xfId="1551"/>
    <cellStyle name="Normal 11 2 2 5 3 2" xfId="2271"/>
    <cellStyle name="Normal 11 2 2 5 3 2 2" xfId="3711"/>
    <cellStyle name="Normal 11 2 2 5 3 2 2 2" xfId="6591"/>
    <cellStyle name="Normal 11 2 2 5 3 2 2 2 2" xfId="12351"/>
    <cellStyle name="Normal 11 2 2 5 3 2 2 2 2 2" xfId="29631"/>
    <cellStyle name="Normal 11 2 2 5 3 2 2 2 3" xfId="18111"/>
    <cellStyle name="Normal 11 2 2 5 3 2 2 2 3 2" xfId="35391"/>
    <cellStyle name="Normal 11 2 2 5 3 2 2 2 4" xfId="23871"/>
    <cellStyle name="Normal 11 2 2 5 3 2 2 3" xfId="9471"/>
    <cellStyle name="Normal 11 2 2 5 3 2 2 3 2" xfId="26751"/>
    <cellStyle name="Normal 11 2 2 5 3 2 2 4" xfId="15231"/>
    <cellStyle name="Normal 11 2 2 5 3 2 2 4 2" xfId="32511"/>
    <cellStyle name="Normal 11 2 2 5 3 2 2 5" xfId="20991"/>
    <cellStyle name="Normal 11 2 2 5 3 2 3" xfId="5151"/>
    <cellStyle name="Normal 11 2 2 5 3 2 3 2" xfId="10911"/>
    <cellStyle name="Normal 11 2 2 5 3 2 3 2 2" xfId="28191"/>
    <cellStyle name="Normal 11 2 2 5 3 2 3 3" xfId="16671"/>
    <cellStyle name="Normal 11 2 2 5 3 2 3 3 2" xfId="33951"/>
    <cellStyle name="Normal 11 2 2 5 3 2 3 4" xfId="22431"/>
    <cellStyle name="Normal 11 2 2 5 3 2 4" xfId="8031"/>
    <cellStyle name="Normal 11 2 2 5 3 2 4 2" xfId="25311"/>
    <cellStyle name="Normal 11 2 2 5 3 2 5" xfId="13791"/>
    <cellStyle name="Normal 11 2 2 5 3 2 5 2" xfId="31071"/>
    <cellStyle name="Normal 11 2 2 5 3 2 6" xfId="19551"/>
    <cellStyle name="Normal 11 2 2 5 3 3" xfId="2991"/>
    <cellStyle name="Normal 11 2 2 5 3 3 2" xfId="5871"/>
    <cellStyle name="Normal 11 2 2 5 3 3 2 2" xfId="11631"/>
    <cellStyle name="Normal 11 2 2 5 3 3 2 2 2" xfId="28911"/>
    <cellStyle name="Normal 11 2 2 5 3 3 2 3" xfId="17391"/>
    <cellStyle name="Normal 11 2 2 5 3 3 2 3 2" xfId="34671"/>
    <cellStyle name="Normal 11 2 2 5 3 3 2 4" xfId="23151"/>
    <cellStyle name="Normal 11 2 2 5 3 3 3" xfId="8751"/>
    <cellStyle name="Normal 11 2 2 5 3 3 3 2" xfId="26031"/>
    <cellStyle name="Normal 11 2 2 5 3 3 4" xfId="14511"/>
    <cellStyle name="Normal 11 2 2 5 3 3 4 2" xfId="31791"/>
    <cellStyle name="Normal 11 2 2 5 3 3 5" xfId="20271"/>
    <cellStyle name="Normal 11 2 2 5 3 4" xfId="4431"/>
    <cellStyle name="Normal 11 2 2 5 3 4 2" xfId="10191"/>
    <cellStyle name="Normal 11 2 2 5 3 4 2 2" xfId="27471"/>
    <cellStyle name="Normal 11 2 2 5 3 4 3" xfId="15951"/>
    <cellStyle name="Normal 11 2 2 5 3 4 3 2" xfId="33231"/>
    <cellStyle name="Normal 11 2 2 5 3 4 4" xfId="21711"/>
    <cellStyle name="Normal 11 2 2 5 3 5" xfId="7311"/>
    <cellStyle name="Normal 11 2 2 5 3 5 2" xfId="24591"/>
    <cellStyle name="Normal 11 2 2 5 3 6" xfId="13071"/>
    <cellStyle name="Normal 11 2 2 5 3 6 2" xfId="30351"/>
    <cellStyle name="Normal 11 2 2 5 3 7" xfId="18831"/>
    <cellStyle name="Normal 11 2 2 5 4" xfId="1791"/>
    <cellStyle name="Normal 11 2 2 5 4 2" xfId="3231"/>
    <cellStyle name="Normal 11 2 2 5 4 2 2" xfId="6111"/>
    <cellStyle name="Normal 11 2 2 5 4 2 2 2" xfId="11871"/>
    <cellStyle name="Normal 11 2 2 5 4 2 2 2 2" xfId="29151"/>
    <cellStyle name="Normal 11 2 2 5 4 2 2 3" xfId="17631"/>
    <cellStyle name="Normal 11 2 2 5 4 2 2 3 2" xfId="34911"/>
    <cellStyle name="Normal 11 2 2 5 4 2 2 4" xfId="23391"/>
    <cellStyle name="Normal 11 2 2 5 4 2 3" xfId="8991"/>
    <cellStyle name="Normal 11 2 2 5 4 2 3 2" xfId="26271"/>
    <cellStyle name="Normal 11 2 2 5 4 2 4" xfId="14751"/>
    <cellStyle name="Normal 11 2 2 5 4 2 4 2" xfId="32031"/>
    <cellStyle name="Normal 11 2 2 5 4 2 5" xfId="20511"/>
    <cellStyle name="Normal 11 2 2 5 4 3" xfId="4671"/>
    <cellStyle name="Normal 11 2 2 5 4 3 2" xfId="10431"/>
    <cellStyle name="Normal 11 2 2 5 4 3 2 2" xfId="27711"/>
    <cellStyle name="Normal 11 2 2 5 4 3 3" xfId="16191"/>
    <cellStyle name="Normal 11 2 2 5 4 3 3 2" xfId="33471"/>
    <cellStyle name="Normal 11 2 2 5 4 3 4" xfId="21951"/>
    <cellStyle name="Normal 11 2 2 5 4 4" xfId="7551"/>
    <cellStyle name="Normal 11 2 2 5 4 4 2" xfId="24831"/>
    <cellStyle name="Normal 11 2 2 5 4 5" xfId="13311"/>
    <cellStyle name="Normal 11 2 2 5 4 5 2" xfId="30591"/>
    <cellStyle name="Normal 11 2 2 5 4 6" xfId="19071"/>
    <cellStyle name="Normal 11 2 2 5 5" xfId="2511"/>
    <cellStyle name="Normal 11 2 2 5 5 2" xfId="5391"/>
    <cellStyle name="Normal 11 2 2 5 5 2 2" xfId="11151"/>
    <cellStyle name="Normal 11 2 2 5 5 2 2 2" xfId="28431"/>
    <cellStyle name="Normal 11 2 2 5 5 2 3" xfId="16911"/>
    <cellStyle name="Normal 11 2 2 5 5 2 3 2" xfId="34191"/>
    <cellStyle name="Normal 11 2 2 5 5 2 4" xfId="22671"/>
    <cellStyle name="Normal 11 2 2 5 5 3" xfId="8271"/>
    <cellStyle name="Normal 11 2 2 5 5 3 2" xfId="25551"/>
    <cellStyle name="Normal 11 2 2 5 5 4" xfId="14031"/>
    <cellStyle name="Normal 11 2 2 5 5 4 2" xfId="31311"/>
    <cellStyle name="Normal 11 2 2 5 5 5" xfId="19791"/>
    <cellStyle name="Normal 11 2 2 5 6" xfId="3951"/>
    <cellStyle name="Normal 11 2 2 5 6 2" xfId="9711"/>
    <cellStyle name="Normal 11 2 2 5 6 2 2" xfId="26991"/>
    <cellStyle name="Normal 11 2 2 5 6 3" xfId="15471"/>
    <cellStyle name="Normal 11 2 2 5 6 3 2" xfId="32751"/>
    <cellStyle name="Normal 11 2 2 5 6 4" xfId="21231"/>
    <cellStyle name="Normal 11 2 2 5 7" xfId="6831"/>
    <cellStyle name="Normal 11 2 2 5 7 2" xfId="24111"/>
    <cellStyle name="Normal 11 2 2 5 8" xfId="12591"/>
    <cellStyle name="Normal 11 2 2 5 8 2" xfId="29871"/>
    <cellStyle name="Normal 11 2 2 5 9" xfId="18351"/>
    <cellStyle name="Normal 11 2 2 6" xfId="1191"/>
    <cellStyle name="Normal 11 2 2 6 2" xfId="1911"/>
    <cellStyle name="Normal 11 2 2 6 2 2" xfId="3351"/>
    <cellStyle name="Normal 11 2 2 6 2 2 2" xfId="6231"/>
    <cellStyle name="Normal 11 2 2 6 2 2 2 2" xfId="11991"/>
    <cellStyle name="Normal 11 2 2 6 2 2 2 2 2" xfId="29271"/>
    <cellStyle name="Normal 11 2 2 6 2 2 2 3" xfId="17751"/>
    <cellStyle name="Normal 11 2 2 6 2 2 2 3 2" xfId="35031"/>
    <cellStyle name="Normal 11 2 2 6 2 2 2 4" xfId="23511"/>
    <cellStyle name="Normal 11 2 2 6 2 2 3" xfId="9111"/>
    <cellStyle name="Normal 11 2 2 6 2 2 3 2" xfId="26391"/>
    <cellStyle name="Normal 11 2 2 6 2 2 4" xfId="14871"/>
    <cellStyle name="Normal 11 2 2 6 2 2 4 2" xfId="32151"/>
    <cellStyle name="Normal 11 2 2 6 2 2 5" xfId="20631"/>
    <cellStyle name="Normal 11 2 2 6 2 3" xfId="4791"/>
    <cellStyle name="Normal 11 2 2 6 2 3 2" xfId="10551"/>
    <cellStyle name="Normal 11 2 2 6 2 3 2 2" xfId="27831"/>
    <cellStyle name="Normal 11 2 2 6 2 3 3" xfId="16311"/>
    <cellStyle name="Normal 11 2 2 6 2 3 3 2" xfId="33591"/>
    <cellStyle name="Normal 11 2 2 6 2 3 4" xfId="22071"/>
    <cellStyle name="Normal 11 2 2 6 2 4" xfId="7671"/>
    <cellStyle name="Normal 11 2 2 6 2 4 2" xfId="24951"/>
    <cellStyle name="Normal 11 2 2 6 2 5" xfId="13431"/>
    <cellStyle name="Normal 11 2 2 6 2 5 2" xfId="30711"/>
    <cellStyle name="Normal 11 2 2 6 2 6" xfId="19191"/>
    <cellStyle name="Normal 11 2 2 6 3" xfId="2631"/>
    <cellStyle name="Normal 11 2 2 6 3 2" xfId="5511"/>
    <cellStyle name="Normal 11 2 2 6 3 2 2" xfId="11271"/>
    <cellStyle name="Normal 11 2 2 6 3 2 2 2" xfId="28551"/>
    <cellStyle name="Normal 11 2 2 6 3 2 3" xfId="17031"/>
    <cellStyle name="Normal 11 2 2 6 3 2 3 2" xfId="34311"/>
    <cellStyle name="Normal 11 2 2 6 3 2 4" xfId="22791"/>
    <cellStyle name="Normal 11 2 2 6 3 3" xfId="8391"/>
    <cellStyle name="Normal 11 2 2 6 3 3 2" xfId="25671"/>
    <cellStyle name="Normal 11 2 2 6 3 4" xfId="14151"/>
    <cellStyle name="Normal 11 2 2 6 3 4 2" xfId="31431"/>
    <cellStyle name="Normal 11 2 2 6 3 5" xfId="19911"/>
    <cellStyle name="Normal 11 2 2 6 4" xfId="4071"/>
    <cellStyle name="Normal 11 2 2 6 4 2" xfId="9831"/>
    <cellStyle name="Normal 11 2 2 6 4 2 2" xfId="27111"/>
    <cellStyle name="Normal 11 2 2 6 4 3" xfId="15591"/>
    <cellStyle name="Normal 11 2 2 6 4 3 2" xfId="32871"/>
    <cellStyle name="Normal 11 2 2 6 4 4" xfId="21351"/>
    <cellStyle name="Normal 11 2 2 6 5" xfId="6951"/>
    <cellStyle name="Normal 11 2 2 6 5 2" xfId="24231"/>
    <cellStyle name="Normal 11 2 2 6 6" xfId="12711"/>
    <cellStyle name="Normal 11 2 2 6 6 2" xfId="29991"/>
    <cellStyle name="Normal 11 2 2 6 7" xfId="18471"/>
    <cellStyle name="Normal 11 2 2 7" xfId="1431"/>
    <cellStyle name="Normal 11 2 2 7 2" xfId="2151"/>
    <cellStyle name="Normal 11 2 2 7 2 2" xfId="3591"/>
    <cellStyle name="Normal 11 2 2 7 2 2 2" xfId="6471"/>
    <cellStyle name="Normal 11 2 2 7 2 2 2 2" xfId="12231"/>
    <cellStyle name="Normal 11 2 2 7 2 2 2 2 2" xfId="29511"/>
    <cellStyle name="Normal 11 2 2 7 2 2 2 3" xfId="17991"/>
    <cellStyle name="Normal 11 2 2 7 2 2 2 3 2" xfId="35271"/>
    <cellStyle name="Normal 11 2 2 7 2 2 2 4" xfId="23751"/>
    <cellStyle name="Normal 11 2 2 7 2 2 3" xfId="9351"/>
    <cellStyle name="Normal 11 2 2 7 2 2 3 2" xfId="26631"/>
    <cellStyle name="Normal 11 2 2 7 2 2 4" xfId="15111"/>
    <cellStyle name="Normal 11 2 2 7 2 2 4 2" xfId="32391"/>
    <cellStyle name="Normal 11 2 2 7 2 2 5" xfId="20871"/>
    <cellStyle name="Normal 11 2 2 7 2 3" xfId="5031"/>
    <cellStyle name="Normal 11 2 2 7 2 3 2" xfId="10791"/>
    <cellStyle name="Normal 11 2 2 7 2 3 2 2" xfId="28071"/>
    <cellStyle name="Normal 11 2 2 7 2 3 3" xfId="16551"/>
    <cellStyle name="Normal 11 2 2 7 2 3 3 2" xfId="33831"/>
    <cellStyle name="Normal 11 2 2 7 2 3 4" xfId="22311"/>
    <cellStyle name="Normal 11 2 2 7 2 4" xfId="7911"/>
    <cellStyle name="Normal 11 2 2 7 2 4 2" xfId="25191"/>
    <cellStyle name="Normal 11 2 2 7 2 5" xfId="13671"/>
    <cellStyle name="Normal 11 2 2 7 2 5 2" xfId="30951"/>
    <cellStyle name="Normal 11 2 2 7 2 6" xfId="19431"/>
    <cellStyle name="Normal 11 2 2 7 3" xfId="2871"/>
    <cellStyle name="Normal 11 2 2 7 3 2" xfId="5751"/>
    <cellStyle name="Normal 11 2 2 7 3 2 2" xfId="11511"/>
    <cellStyle name="Normal 11 2 2 7 3 2 2 2" xfId="28791"/>
    <cellStyle name="Normal 11 2 2 7 3 2 3" xfId="17271"/>
    <cellStyle name="Normal 11 2 2 7 3 2 3 2" xfId="34551"/>
    <cellStyle name="Normal 11 2 2 7 3 2 4" xfId="23031"/>
    <cellStyle name="Normal 11 2 2 7 3 3" xfId="8631"/>
    <cellStyle name="Normal 11 2 2 7 3 3 2" xfId="25911"/>
    <cellStyle name="Normal 11 2 2 7 3 4" xfId="14391"/>
    <cellStyle name="Normal 11 2 2 7 3 4 2" xfId="31671"/>
    <cellStyle name="Normal 11 2 2 7 3 5" xfId="20151"/>
    <cellStyle name="Normal 11 2 2 7 4" xfId="4311"/>
    <cellStyle name="Normal 11 2 2 7 4 2" xfId="10071"/>
    <cellStyle name="Normal 11 2 2 7 4 2 2" xfId="27351"/>
    <cellStyle name="Normal 11 2 2 7 4 3" xfId="15831"/>
    <cellStyle name="Normal 11 2 2 7 4 3 2" xfId="33111"/>
    <cellStyle name="Normal 11 2 2 7 4 4" xfId="21591"/>
    <cellStyle name="Normal 11 2 2 7 5" xfId="7191"/>
    <cellStyle name="Normal 11 2 2 7 5 2" xfId="24471"/>
    <cellStyle name="Normal 11 2 2 7 6" xfId="12951"/>
    <cellStyle name="Normal 11 2 2 7 6 2" xfId="30231"/>
    <cellStyle name="Normal 11 2 2 7 7" xfId="18711"/>
    <cellStyle name="Normal 11 2 2 8" xfId="1671"/>
    <cellStyle name="Normal 11 2 2 8 2" xfId="3111"/>
    <cellStyle name="Normal 11 2 2 8 2 2" xfId="5991"/>
    <cellStyle name="Normal 11 2 2 8 2 2 2" xfId="11751"/>
    <cellStyle name="Normal 11 2 2 8 2 2 2 2" xfId="29031"/>
    <cellStyle name="Normal 11 2 2 8 2 2 3" xfId="17511"/>
    <cellStyle name="Normal 11 2 2 8 2 2 3 2" xfId="34791"/>
    <cellStyle name="Normal 11 2 2 8 2 2 4" xfId="23271"/>
    <cellStyle name="Normal 11 2 2 8 2 3" xfId="8871"/>
    <cellStyle name="Normal 11 2 2 8 2 3 2" xfId="26151"/>
    <cellStyle name="Normal 11 2 2 8 2 4" xfId="14631"/>
    <cellStyle name="Normal 11 2 2 8 2 4 2" xfId="31911"/>
    <cellStyle name="Normal 11 2 2 8 2 5" xfId="20391"/>
    <cellStyle name="Normal 11 2 2 8 3" xfId="4551"/>
    <cellStyle name="Normal 11 2 2 8 3 2" xfId="10311"/>
    <cellStyle name="Normal 11 2 2 8 3 2 2" xfId="27591"/>
    <cellStyle name="Normal 11 2 2 8 3 3" xfId="16071"/>
    <cellStyle name="Normal 11 2 2 8 3 3 2" xfId="33351"/>
    <cellStyle name="Normal 11 2 2 8 3 4" xfId="21831"/>
    <cellStyle name="Normal 11 2 2 8 4" xfId="7431"/>
    <cellStyle name="Normal 11 2 2 8 4 2" xfId="24711"/>
    <cellStyle name="Normal 11 2 2 8 5" xfId="13191"/>
    <cellStyle name="Normal 11 2 2 8 5 2" xfId="30471"/>
    <cellStyle name="Normal 11 2 2 8 6" xfId="18951"/>
    <cellStyle name="Normal 11 2 2 9" xfId="2391"/>
    <cellStyle name="Normal 11 2 2 9 2" xfId="5271"/>
    <cellStyle name="Normal 11 2 2 9 2 2" xfId="11031"/>
    <cellStyle name="Normal 11 2 2 9 2 2 2" xfId="28311"/>
    <cellStyle name="Normal 11 2 2 9 2 3" xfId="16791"/>
    <cellStyle name="Normal 11 2 2 9 2 3 2" xfId="34071"/>
    <cellStyle name="Normal 11 2 2 9 2 4" xfId="22551"/>
    <cellStyle name="Normal 11 2 2 9 3" xfId="8151"/>
    <cellStyle name="Normal 11 2 2 9 3 2" xfId="25431"/>
    <cellStyle name="Normal 11 2 2 9 4" xfId="13911"/>
    <cellStyle name="Normal 11 2 2 9 4 2" xfId="31191"/>
    <cellStyle name="Normal 11 2 2 9 5" xfId="19671"/>
    <cellStyle name="Normal 11 2 3" xfId="410"/>
    <cellStyle name="Normal 11 2 3 10" xfId="6721"/>
    <cellStyle name="Normal 11 2 3 10 2" xfId="24001"/>
    <cellStyle name="Normal 11 2 3 11" xfId="12481"/>
    <cellStyle name="Normal 11 2 3 11 2" xfId="29761"/>
    <cellStyle name="Normal 11 2 3 12" xfId="18241"/>
    <cellStyle name="Normal 11 2 3 2" xfId="1041"/>
    <cellStyle name="Normal 11 2 3 2 10" xfId="18321"/>
    <cellStyle name="Normal 11 2 3 2 2" xfId="1161"/>
    <cellStyle name="Normal 11 2 3 2 2 2" xfId="1401"/>
    <cellStyle name="Normal 11 2 3 2 2 2 2" xfId="2121"/>
    <cellStyle name="Normal 11 2 3 2 2 2 2 2" xfId="3561"/>
    <cellStyle name="Normal 11 2 3 2 2 2 2 2 2" xfId="6441"/>
    <cellStyle name="Normal 11 2 3 2 2 2 2 2 2 2" xfId="12201"/>
    <cellStyle name="Normal 11 2 3 2 2 2 2 2 2 2 2" xfId="29481"/>
    <cellStyle name="Normal 11 2 3 2 2 2 2 2 2 3" xfId="17961"/>
    <cellStyle name="Normal 11 2 3 2 2 2 2 2 2 3 2" xfId="35241"/>
    <cellStyle name="Normal 11 2 3 2 2 2 2 2 2 4" xfId="23721"/>
    <cellStyle name="Normal 11 2 3 2 2 2 2 2 3" xfId="9321"/>
    <cellStyle name="Normal 11 2 3 2 2 2 2 2 3 2" xfId="26601"/>
    <cellStyle name="Normal 11 2 3 2 2 2 2 2 4" xfId="15081"/>
    <cellStyle name="Normal 11 2 3 2 2 2 2 2 4 2" xfId="32361"/>
    <cellStyle name="Normal 11 2 3 2 2 2 2 2 5" xfId="20841"/>
    <cellStyle name="Normal 11 2 3 2 2 2 2 3" xfId="5001"/>
    <cellStyle name="Normal 11 2 3 2 2 2 2 3 2" xfId="10761"/>
    <cellStyle name="Normal 11 2 3 2 2 2 2 3 2 2" xfId="28041"/>
    <cellStyle name="Normal 11 2 3 2 2 2 2 3 3" xfId="16521"/>
    <cellStyle name="Normal 11 2 3 2 2 2 2 3 3 2" xfId="33801"/>
    <cellStyle name="Normal 11 2 3 2 2 2 2 3 4" xfId="22281"/>
    <cellStyle name="Normal 11 2 3 2 2 2 2 4" xfId="7881"/>
    <cellStyle name="Normal 11 2 3 2 2 2 2 4 2" xfId="25161"/>
    <cellStyle name="Normal 11 2 3 2 2 2 2 5" xfId="13641"/>
    <cellStyle name="Normal 11 2 3 2 2 2 2 5 2" xfId="30921"/>
    <cellStyle name="Normal 11 2 3 2 2 2 2 6" xfId="19401"/>
    <cellStyle name="Normal 11 2 3 2 2 2 3" xfId="2841"/>
    <cellStyle name="Normal 11 2 3 2 2 2 3 2" xfId="5721"/>
    <cellStyle name="Normal 11 2 3 2 2 2 3 2 2" xfId="11481"/>
    <cellStyle name="Normal 11 2 3 2 2 2 3 2 2 2" xfId="28761"/>
    <cellStyle name="Normal 11 2 3 2 2 2 3 2 3" xfId="17241"/>
    <cellStyle name="Normal 11 2 3 2 2 2 3 2 3 2" xfId="34521"/>
    <cellStyle name="Normal 11 2 3 2 2 2 3 2 4" xfId="23001"/>
    <cellStyle name="Normal 11 2 3 2 2 2 3 3" xfId="8601"/>
    <cellStyle name="Normal 11 2 3 2 2 2 3 3 2" xfId="25881"/>
    <cellStyle name="Normal 11 2 3 2 2 2 3 4" xfId="14361"/>
    <cellStyle name="Normal 11 2 3 2 2 2 3 4 2" xfId="31641"/>
    <cellStyle name="Normal 11 2 3 2 2 2 3 5" xfId="20121"/>
    <cellStyle name="Normal 11 2 3 2 2 2 4" xfId="4281"/>
    <cellStyle name="Normal 11 2 3 2 2 2 4 2" xfId="10041"/>
    <cellStyle name="Normal 11 2 3 2 2 2 4 2 2" xfId="27321"/>
    <cellStyle name="Normal 11 2 3 2 2 2 4 3" xfId="15801"/>
    <cellStyle name="Normal 11 2 3 2 2 2 4 3 2" xfId="33081"/>
    <cellStyle name="Normal 11 2 3 2 2 2 4 4" xfId="21561"/>
    <cellStyle name="Normal 11 2 3 2 2 2 5" xfId="7161"/>
    <cellStyle name="Normal 11 2 3 2 2 2 5 2" xfId="24441"/>
    <cellStyle name="Normal 11 2 3 2 2 2 6" xfId="12921"/>
    <cellStyle name="Normal 11 2 3 2 2 2 6 2" xfId="30201"/>
    <cellStyle name="Normal 11 2 3 2 2 2 7" xfId="18681"/>
    <cellStyle name="Normal 11 2 3 2 2 3" xfId="1641"/>
    <cellStyle name="Normal 11 2 3 2 2 3 2" xfId="2361"/>
    <cellStyle name="Normal 11 2 3 2 2 3 2 2" xfId="3801"/>
    <cellStyle name="Normal 11 2 3 2 2 3 2 2 2" xfId="6681"/>
    <cellStyle name="Normal 11 2 3 2 2 3 2 2 2 2" xfId="12441"/>
    <cellStyle name="Normal 11 2 3 2 2 3 2 2 2 2 2" xfId="29721"/>
    <cellStyle name="Normal 11 2 3 2 2 3 2 2 2 3" xfId="18201"/>
    <cellStyle name="Normal 11 2 3 2 2 3 2 2 2 3 2" xfId="35481"/>
    <cellStyle name="Normal 11 2 3 2 2 3 2 2 2 4" xfId="23961"/>
    <cellStyle name="Normal 11 2 3 2 2 3 2 2 3" xfId="9561"/>
    <cellStyle name="Normal 11 2 3 2 2 3 2 2 3 2" xfId="26841"/>
    <cellStyle name="Normal 11 2 3 2 2 3 2 2 4" xfId="15321"/>
    <cellStyle name="Normal 11 2 3 2 2 3 2 2 4 2" xfId="32601"/>
    <cellStyle name="Normal 11 2 3 2 2 3 2 2 5" xfId="21081"/>
    <cellStyle name="Normal 11 2 3 2 2 3 2 3" xfId="5241"/>
    <cellStyle name="Normal 11 2 3 2 2 3 2 3 2" xfId="11001"/>
    <cellStyle name="Normal 11 2 3 2 2 3 2 3 2 2" xfId="28281"/>
    <cellStyle name="Normal 11 2 3 2 2 3 2 3 3" xfId="16761"/>
    <cellStyle name="Normal 11 2 3 2 2 3 2 3 3 2" xfId="34041"/>
    <cellStyle name="Normal 11 2 3 2 2 3 2 3 4" xfId="22521"/>
    <cellStyle name="Normal 11 2 3 2 2 3 2 4" xfId="8121"/>
    <cellStyle name="Normal 11 2 3 2 2 3 2 4 2" xfId="25401"/>
    <cellStyle name="Normal 11 2 3 2 2 3 2 5" xfId="13881"/>
    <cellStyle name="Normal 11 2 3 2 2 3 2 5 2" xfId="31161"/>
    <cellStyle name="Normal 11 2 3 2 2 3 2 6" xfId="19641"/>
    <cellStyle name="Normal 11 2 3 2 2 3 3" xfId="3081"/>
    <cellStyle name="Normal 11 2 3 2 2 3 3 2" xfId="5961"/>
    <cellStyle name="Normal 11 2 3 2 2 3 3 2 2" xfId="11721"/>
    <cellStyle name="Normal 11 2 3 2 2 3 3 2 2 2" xfId="29001"/>
    <cellStyle name="Normal 11 2 3 2 2 3 3 2 3" xfId="17481"/>
    <cellStyle name="Normal 11 2 3 2 2 3 3 2 3 2" xfId="34761"/>
    <cellStyle name="Normal 11 2 3 2 2 3 3 2 4" xfId="23241"/>
    <cellStyle name="Normal 11 2 3 2 2 3 3 3" xfId="8841"/>
    <cellStyle name="Normal 11 2 3 2 2 3 3 3 2" xfId="26121"/>
    <cellStyle name="Normal 11 2 3 2 2 3 3 4" xfId="14601"/>
    <cellStyle name="Normal 11 2 3 2 2 3 3 4 2" xfId="31881"/>
    <cellStyle name="Normal 11 2 3 2 2 3 3 5" xfId="20361"/>
    <cellStyle name="Normal 11 2 3 2 2 3 4" xfId="4521"/>
    <cellStyle name="Normal 11 2 3 2 2 3 4 2" xfId="10281"/>
    <cellStyle name="Normal 11 2 3 2 2 3 4 2 2" xfId="27561"/>
    <cellStyle name="Normal 11 2 3 2 2 3 4 3" xfId="16041"/>
    <cellStyle name="Normal 11 2 3 2 2 3 4 3 2" xfId="33321"/>
    <cellStyle name="Normal 11 2 3 2 2 3 4 4" xfId="21801"/>
    <cellStyle name="Normal 11 2 3 2 2 3 5" xfId="7401"/>
    <cellStyle name="Normal 11 2 3 2 2 3 5 2" xfId="24681"/>
    <cellStyle name="Normal 11 2 3 2 2 3 6" xfId="13161"/>
    <cellStyle name="Normal 11 2 3 2 2 3 6 2" xfId="30441"/>
    <cellStyle name="Normal 11 2 3 2 2 3 7" xfId="18921"/>
    <cellStyle name="Normal 11 2 3 2 2 4" xfId="1881"/>
    <cellStyle name="Normal 11 2 3 2 2 4 2" xfId="3321"/>
    <cellStyle name="Normal 11 2 3 2 2 4 2 2" xfId="6201"/>
    <cellStyle name="Normal 11 2 3 2 2 4 2 2 2" xfId="11961"/>
    <cellStyle name="Normal 11 2 3 2 2 4 2 2 2 2" xfId="29241"/>
    <cellStyle name="Normal 11 2 3 2 2 4 2 2 3" xfId="17721"/>
    <cellStyle name="Normal 11 2 3 2 2 4 2 2 3 2" xfId="35001"/>
    <cellStyle name="Normal 11 2 3 2 2 4 2 2 4" xfId="23481"/>
    <cellStyle name="Normal 11 2 3 2 2 4 2 3" xfId="9081"/>
    <cellStyle name="Normal 11 2 3 2 2 4 2 3 2" xfId="26361"/>
    <cellStyle name="Normal 11 2 3 2 2 4 2 4" xfId="14841"/>
    <cellStyle name="Normal 11 2 3 2 2 4 2 4 2" xfId="32121"/>
    <cellStyle name="Normal 11 2 3 2 2 4 2 5" xfId="20601"/>
    <cellStyle name="Normal 11 2 3 2 2 4 3" xfId="4761"/>
    <cellStyle name="Normal 11 2 3 2 2 4 3 2" xfId="10521"/>
    <cellStyle name="Normal 11 2 3 2 2 4 3 2 2" xfId="27801"/>
    <cellStyle name="Normal 11 2 3 2 2 4 3 3" xfId="16281"/>
    <cellStyle name="Normal 11 2 3 2 2 4 3 3 2" xfId="33561"/>
    <cellStyle name="Normal 11 2 3 2 2 4 3 4" xfId="22041"/>
    <cellStyle name="Normal 11 2 3 2 2 4 4" xfId="7641"/>
    <cellStyle name="Normal 11 2 3 2 2 4 4 2" xfId="24921"/>
    <cellStyle name="Normal 11 2 3 2 2 4 5" xfId="13401"/>
    <cellStyle name="Normal 11 2 3 2 2 4 5 2" xfId="30681"/>
    <cellStyle name="Normal 11 2 3 2 2 4 6" xfId="19161"/>
    <cellStyle name="Normal 11 2 3 2 2 5" xfId="2601"/>
    <cellStyle name="Normal 11 2 3 2 2 5 2" xfId="5481"/>
    <cellStyle name="Normal 11 2 3 2 2 5 2 2" xfId="11241"/>
    <cellStyle name="Normal 11 2 3 2 2 5 2 2 2" xfId="28521"/>
    <cellStyle name="Normal 11 2 3 2 2 5 2 3" xfId="17001"/>
    <cellStyle name="Normal 11 2 3 2 2 5 2 3 2" xfId="34281"/>
    <cellStyle name="Normal 11 2 3 2 2 5 2 4" xfId="22761"/>
    <cellStyle name="Normal 11 2 3 2 2 5 3" xfId="8361"/>
    <cellStyle name="Normal 11 2 3 2 2 5 3 2" xfId="25641"/>
    <cellStyle name="Normal 11 2 3 2 2 5 4" xfId="14121"/>
    <cellStyle name="Normal 11 2 3 2 2 5 4 2" xfId="31401"/>
    <cellStyle name="Normal 11 2 3 2 2 5 5" xfId="19881"/>
    <cellStyle name="Normal 11 2 3 2 2 6" xfId="4041"/>
    <cellStyle name="Normal 11 2 3 2 2 6 2" xfId="9801"/>
    <cellStyle name="Normal 11 2 3 2 2 6 2 2" xfId="27081"/>
    <cellStyle name="Normal 11 2 3 2 2 6 3" xfId="15561"/>
    <cellStyle name="Normal 11 2 3 2 2 6 3 2" xfId="32841"/>
    <cellStyle name="Normal 11 2 3 2 2 6 4" xfId="21321"/>
    <cellStyle name="Normal 11 2 3 2 2 7" xfId="6921"/>
    <cellStyle name="Normal 11 2 3 2 2 7 2" xfId="24201"/>
    <cellStyle name="Normal 11 2 3 2 2 8" xfId="12681"/>
    <cellStyle name="Normal 11 2 3 2 2 8 2" xfId="29961"/>
    <cellStyle name="Normal 11 2 3 2 2 9" xfId="18441"/>
    <cellStyle name="Normal 11 2 3 2 3" xfId="1281"/>
    <cellStyle name="Normal 11 2 3 2 3 2" xfId="2001"/>
    <cellStyle name="Normal 11 2 3 2 3 2 2" xfId="3441"/>
    <cellStyle name="Normal 11 2 3 2 3 2 2 2" xfId="6321"/>
    <cellStyle name="Normal 11 2 3 2 3 2 2 2 2" xfId="12081"/>
    <cellStyle name="Normal 11 2 3 2 3 2 2 2 2 2" xfId="29361"/>
    <cellStyle name="Normal 11 2 3 2 3 2 2 2 3" xfId="17841"/>
    <cellStyle name="Normal 11 2 3 2 3 2 2 2 3 2" xfId="35121"/>
    <cellStyle name="Normal 11 2 3 2 3 2 2 2 4" xfId="23601"/>
    <cellStyle name="Normal 11 2 3 2 3 2 2 3" xfId="9201"/>
    <cellStyle name="Normal 11 2 3 2 3 2 2 3 2" xfId="26481"/>
    <cellStyle name="Normal 11 2 3 2 3 2 2 4" xfId="14961"/>
    <cellStyle name="Normal 11 2 3 2 3 2 2 4 2" xfId="32241"/>
    <cellStyle name="Normal 11 2 3 2 3 2 2 5" xfId="20721"/>
    <cellStyle name="Normal 11 2 3 2 3 2 3" xfId="4881"/>
    <cellStyle name="Normal 11 2 3 2 3 2 3 2" xfId="10641"/>
    <cellStyle name="Normal 11 2 3 2 3 2 3 2 2" xfId="27921"/>
    <cellStyle name="Normal 11 2 3 2 3 2 3 3" xfId="16401"/>
    <cellStyle name="Normal 11 2 3 2 3 2 3 3 2" xfId="33681"/>
    <cellStyle name="Normal 11 2 3 2 3 2 3 4" xfId="22161"/>
    <cellStyle name="Normal 11 2 3 2 3 2 4" xfId="7761"/>
    <cellStyle name="Normal 11 2 3 2 3 2 4 2" xfId="25041"/>
    <cellStyle name="Normal 11 2 3 2 3 2 5" xfId="13521"/>
    <cellStyle name="Normal 11 2 3 2 3 2 5 2" xfId="30801"/>
    <cellStyle name="Normal 11 2 3 2 3 2 6" xfId="19281"/>
    <cellStyle name="Normal 11 2 3 2 3 3" xfId="2721"/>
    <cellStyle name="Normal 11 2 3 2 3 3 2" xfId="5601"/>
    <cellStyle name="Normal 11 2 3 2 3 3 2 2" xfId="11361"/>
    <cellStyle name="Normal 11 2 3 2 3 3 2 2 2" xfId="28641"/>
    <cellStyle name="Normal 11 2 3 2 3 3 2 3" xfId="17121"/>
    <cellStyle name="Normal 11 2 3 2 3 3 2 3 2" xfId="34401"/>
    <cellStyle name="Normal 11 2 3 2 3 3 2 4" xfId="22881"/>
    <cellStyle name="Normal 11 2 3 2 3 3 3" xfId="8481"/>
    <cellStyle name="Normal 11 2 3 2 3 3 3 2" xfId="25761"/>
    <cellStyle name="Normal 11 2 3 2 3 3 4" xfId="14241"/>
    <cellStyle name="Normal 11 2 3 2 3 3 4 2" xfId="31521"/>
    <cellStyle name="Normal 11 2 3 2 3 3 5" xfId="20001"/>
    <cellStyle name="Normal 11 2 3 2 3 4" xfId="4161"/>
    <cellStyle name="Normal 11 2 3 2 3 4 2" xfId="9921"/>
    <cellStyle name="Normal 11 2 3 2 3 4 2 2" xfId="27201"/>
    <cellStyle name="Normal 11 2 3 2 3 4 3" xfId="15681"/>
    <cellStyle name="Normal 11 2 3 2 3 4 3 2" xfId="32961"/>
    <cellStyle name="Normal 11 2 3 2 3 4 4" xfId="21441"/>
    <cellStyle name="Normal 11 2 3 2 3 5" xfId="7041"/>
    <cellStyle name="Normal 11 2 3 2 3 5 2" xfId="24321"/>
    <cellStyle name="Normal 11 2 3 2 3 6" xfId="12801"/>
    <cellStyle name="Normal 11 2 3 2 3 6 2" xfId="30081"/>
    <cellStyle name="Normal 11 2 3 2 3 7" xfId="18561"/>
    <cellStyle name="Normal 11 2 3 2 4" xfId="1521"/>
    <cellStyle name="Normal 11 2 3 2 4 2" xfId="2241"/>
    <cellStyle name="Normal 11 2 3 2 4 2 2" xfId="3681"/>
    <cellStyle name="Normal 11 2 3 2 4 2 2 2" xfId="6561"/>
    <cellStyle name="Normal 11 2 3 2 4 2 2 2 2" xfId="12321"/>
    <cellStyle name="Normal 11 2 3 2 4 2 2 2 2 2" xfId="29601"/>
    <cellStyle name="Normal 11 2 3 2 4 2 2 2 3" xfId="18081"/>
    <cellStyle name="Normal 11 2 3 2 4 2 2 2 3 2" xfId="35361"/>
    <cellStyle name="Normal 11 2 3 2 4 2 2 2 4" xfId="23841"/>
    <cellStyle name="Normal 11 2 3 2 4 2 2 3" xfId="9441"/>
    <cellStyle name="Normal 11 2 3 2 4 2 2 3 2" xfId="26721"/>
    <cellStyle name="Normal 11 2 3 2 4 2 2 4" xfId="15201"/>
    <cellStyle name="Normal 11 2 3 2 4 2 2 4 2" xfId="32481"/>
    <cellStyle name="Normal 11 2 3 2 4 2 2 5" xfId="20961"/>
    <cellStyle name="Normal 11 2 3 2 4 2 3" xfId="5121"/>
    <cellStyle name="Normal 11 2 3 2 4 2 3 2" xfId="10881"/>
    <cellStyle name="Normal 11 2 3 2 4 2 3 2 2" xfId="28161"/>
    <cellStyle name="Normal 11 2 3 2 4 2 3 3" xfId="16641"/>
    <cellStyle name="Normal 11 2 3 2 4 2 3 3 2" xfId="33921"/>
    <cellStyle name="Normal 11 2 3 2 4 2 3 4" xfId="22401"/>
    <cellStyle name="Normal 11 2 3 2 4 2 4" xfId="8001"/>
    <cellStyle name="Normal 11 2 3 2 4 2 4 2" xfId="25281"/>
    <cellStyle name="Normal 11 2 3 2 4 2 5" xfId="13761"/>
    <cellStyle name="Normal 11 2 3 2 4 2 5 2" xfId="31041"/>
    <cellStyle name="Normal 11 2 3 2 4 2 6" xfId="19521"/>
    <cellStyle name="Normal 11 2 3 2 4 3" xfId="2961"/>
    <cellStyle name="Normal 11 2 3 2 4 3 2" xfId="5841"/>
    <cellStyle name="Normal 11 2 3 2 4 3 2 2" xfId="11601"/>
    <cellStyle name="Normal 11 2 3 2 4 3 2 2 2" xfId="28881"/>
    <cellStyle name="Normal 11 2 3 2 4 3 2 3" xfId="17361"/>
    <cellStyle name="Normal 11 2 3 2 4 3 2 3 2" xfId="34641"/>
    <cellStyle name="Normal 11 2 3 2 4 3 2 4" xfId="23121"/>
    <cellStyle name="Normal 11 2 3 2 4 3 3" xfId="8721"/>
    <cellStyle name="Normal 11 2 3 2 4 3 3 2" xfId="26001"/>
    <cellStyle name="Normal 11 2 3 2 4 3 4" xfId="14481"/>
    <cellStyle name="Normal 11 2 3 2 4 3 4 2" xfId="31761"/>
    <cellStyle name="Normal 11 2 3 2 4 3 5" xfId="20241"/>
    <cellStyle name="Normal 11 2 3 2 4 4" xfId="4401"/>
    <cellStyle name="Normal 11 2 3 2 4 4 2" xfId="10161"/>
    <cellStyle name="Normal 11 2 3 2 4 4 2 2" xfId="27441"/>
    <cellStyle name="Normal 11 2 3 2 4 4 3" xfId="15921"/>
    <cellStyle name="Normal 11 2 3 2 4 4 3 2" xfId="33201"/>
    <cellStyle name="Normal 11 2 3 2 4 4 4" xfId="21681"/>
    <cellStyle name="Normal 11 2 3 2 4 5" xfId="7281"/>
    <cellStyle name="Normal 11 2 3 2 4 5 2" xfId="24561"/>
    <cellStyle name="Normal 11 2 3 2 4 6" xfId="13041"/>
    <cellStyle name="Normal 11 2 3 2 4 6 2" xfId="30321"/>
    <cellStyle name="Normal 11 2 3 2 4 7" xfId="18801"/>
    <cellStyle name="Normal 11 2 3 2 5" xfId="1761"/>
    <cellStyle name="Normal 11 2 3 2 5 2" xfId="3201"/>
    <cellStyle name="Normal 11 2 3 2 5 2 2" xfId="6081"/>
    <cellStyle name="Normal 11 2 3 2 5 2 2 2" xfId="11841"/>
    <cellStyle name="Normal 11 2 3 2 5 2 2 2 2" xfId="29121"/>
    <cellStyle name="Normal 11 2 3 2 5 2 2 3" xfId="17601"/>
    <cellStyle name="Normal 11 2 3 2 5 2 2 3 2" xfId="34881"/>
    <cellStyle name="Normal 11 2 3 2 5 2 2 4" xfId="23361"/>
    <cellStyle name="Normal 11 2 3 2 5 2 3" xfId="8961"/>
    <cellStyle name="Normal 11 2 3 2 5 2 3 2" xfId="26241"/>
    <cellStyle name="Normal 11 2 3 2 5 2 4" xfId="14721"/>
    <cellStyle name="Normal 11 2 3 2 5 2 4 2" xfId="32001"/>
    <cellStyle name="Normal 11 2 3 2 5 2 5" xfId="20481"/>
    <cellStyle name="Normal 11 2 3 2 5 3" xfId="4641"/>
    <cellStyle name="Normal 11 2 3 2 5 3 2" xfId="10401"/>
    <cellStyle name="Normal 11 2 3 2 5 3 2 2" xfId="27681"/>
    <cellStyle name="Normal 11 2 3 2 5 3 3" xfId="16161"/>
    <cellStyle name="Normal 11 2 3 2 5 3 3 2" xfId="33441"/>
    <cellStyle name="Normal 11 2 3 2 5 3 4" xfId="21921"/>
    <cellStyle name="Normal 11 2 3 2 5 4" xfId="7521"/>
    <cellStyle name="Normal 11 2 3 2 5 4 2" xfId="24801"/>
    <cellStyle name="Normal 11 2 3 2 5 5" xfId="13281"/>
    <cellStyle name="Normal 11 2 3 2 5 5 2" xfId="30561"/>
    <cellStyle name="Normal 11 2 3 2 5 6" xfId="19041"/>
    <cellStyle name="Normal 11 2 3 2 6" xfId="2481"/>
    <cellStyle name="Normal 11 2 3 2 6 2" xfId="5361"/>
    <cellStyle name="Normal 11 2 3 2 6 2 2" xfId="11121"/>
    <cellStyle name="Normal 11 2 3 2 6 2 2 2" xfId="28401"/>
    <cellStyle name="Normal 11 2 3 2 6 2 3" xfId="16881"/>
    <cellStyle name="Normal 11 2 3 2 6 2 3 2" xfId="34161"/>
    <cellStyle name="Normal 11 2 3 2 6 2 4" xfId="22641"/>
    <cellStyle name="Normal 11 2 3 2 6 3" xfId="8241"/>
    <cellStyle name="Normal 11 2 3 2 6 3 2" xfId="25521"/>
    <cellStyle name="Normal 11 2 3 2 6 4" xfId="14001"/>
    <cellStyle name="Normal 11 2 3 2 6 4 2" xfId="31281"/>
    <cellStyle name="Normal 11 2 3 2 6 5" xfId="19761"/>
    <cellStyle name="Normal 11 2 3 2 7" xfId="3921"/>
    <cellStyle name="Normal 11 2 3 2 7 2" xfId="9681"/>
    <cellStyle name="Normal 11 2 3 2 7 2 2" xfId="26961"/>
    <cellStyle name="Normal 11 2 3 2 7 3" xfId="15441"/>
    <cellStyle name="Normal 11 2 3 2 7 3 2" xfId="32721"/>
    <cellStyle name="Normal 11 2 3 2 7 4" xfId="21201"/>
    <cellStyle name="Normal 11 2 3 2 8" xfId="6801"/>
    <cellStyle name="Normal 11 2 3 2 8 2" xfId="24081"/>
    <cellStyle name="Normal 11 2 3 2 9" xfId="12561"/>
    <cellStyle name="Normal 11 2 3 2 9 2" xfId="29841"/>
    <cellStyle name="Normal 11 2 3 3" xfId="1001"/>
    <cellStyle name="Normal 11 2 3 3 10" xfId="18281"/>
    <cellStyle name="Normal 11 2 3 3 2" xfId="1121"/>
    <cellStyle name="Normal 11 2 3 3 2 2" xfId="1361"/>
    <cellStyle name="Normal 11 2 3 3 2 2 2" xfId="2081"/>
    <cellStyle name="Normal 11 2 3 3 2 2 2 2" xfId="3521"/>
    <cellStyle name="Normal 11 2 3 3 2 2 2 2 2" xfId="6401"/>
    <cellStyle name="Normal 11 2 3 3 2 2 2 2 2 2" xfId="12161"/>
    <cellStyle name="Normal 11 2 3 3 2 2 2 2 2 2 2" xfId="29441"/>
    <cellStyle name="Normal 11 2 3 3 2 2 2 2 2 3" xfId="17921"/>
    <cellStyle name="Normal 11 2 3 3 2 2 2 2 2 3 2" xfId="35201"/>
    <cellStyle name="Normal 11 2 3 3 2 2 2 2 2 4" xfId="23681"/>
    <cellStyle name="Normal 11 2 3 3 2 2 2 2 3" xfId="9281"/>
    <cellStyle name="Normal 11 2 3 3 2 2 2 2 3 2" xfId="26561"/>
    <cellStyle name="Normal 11 2 3 3 2 2 2 2 4" xfId="15041"/>
    <cellStyle name="Normal 11 2 3 3 2 2 2 2 4 2" xfId="32321"/>
    <cellStyle name="Normal 11 2 3 3 2 2 2 2 5" xfId="20801"/>
    <cellStyle name="Normal 11 2 3 3 2 2 2 3" xfId="4961"/>
    <cellStyle name="Normal 11 2 3 3 2 2 2 3 2" xfId="10721"/>
    <cellStyle name="Normal 11 2 3 3 2 2 2 3 2 2" xfId="28001"/>
    <cellStyle name="Normal 11 2 3 3 2 2 2 3 3" xfId="16481"/>
    <cellStyle name="Normal 11 2 3 3 2 2 2 3 3 2" xfId="33761"/>
    <cellStyle name="Normal 11 2 3 3 2 2 2 3 4" xfId="22241"/>
    <cellStyle name="Normal 11 2 3 3 2 2 2 4" xfId="7841"/>
    <cellStyle name="Normal 11 2 3 3 2 2 2 4 2" xfId="25121"/>
    <cellStyle name="Normal 11 2 3 3 2 2 2 5" xfId="13601"/>
    <cellStyle name="Normal 11 2 3 3 2 2 2 5 2" xfId="30881"/>
    <cellStyle name="Normal 11 2 3 3 2 2 2 6" xfId="19361"/>
    <cellStyle name="Normal 11 2 3 3 2 2 3" xfId="2801"/>
    <cellStyle name="Normal 11 2 3 3 2 2 3 2" xfId="5681"/>
    <cellStyle name="Normal 11 2 3 3 2 2 3 2 2" xfId="11441"/>
    <cellStyle name="Normal 11 2 3 3 2 2 3 2 2 2" xfId="28721"/>
    <cellStyle name="Normal 11 2 3 3 2 2 3 2 3" xfId="17201"/>
    <cellStyle name="Normal 11 2 3 3 2 2 3 2 3 2" xfId="34481"/>
    <cellStyle name="Normal 11 2 3 3 2 2 3 2 4" xfId="22961"/>
    <cellStyle name="Normal 11 2 3 3 2 2 3 3" xfId="8561"/>
    <cellStyle name="Normal 11 2 3 3 2 2 3 3 2" xfId="25841"/>
    <cellStyle name="Normal 11 2 3 3 2 2 3 4" xfId="14321"/>
    <cellStyle name="Normal 11 2 3 3 2 2 3 4 2" xfId="31601"/>
    <cellStyle name="Normal 11 2 3 3 2 2 3 5" xfId="20081"/>
    <cellStyle name="Normal 11 2 3 3 2 2 4" xfId="4241"/>
    <cellStyle name="Normal 11 2 3 3 2 2 4 2" xfId="10001"/>
    <cellStyle name="Normal 11 2 3 3 2 2 4 2 2" xfId="27281"/>
    <cellStyle name="Normal 11 2 3 3 2 2 4 3" xfId="15761"/>
    <cellStyle name="Normal 11 2 3 3 2 2 4 3 2" xfId="33041"/>
    <cellStyle name="Normal 11 2 3 3 2 2 4 4" xfId="21521"/>
    <cellStyle name="Normal 11 2 3 3 2 2 5" xfId="7121"/>
    <cellStyle name="Normal 11 2 3 3 2 2 5 2" xfId="24401"/>
    <cellStyle name="Normal 11 2 3 3 2 2 6" xfId="12881"/>
    <cellStyle name="Normal 11 2 3 3 2 2 6 2" xfId="30161"/>
    <cellStyle name="Normal 11 2 3 3 2 2 7" xfId="18641"/>
    <cellStyle name="Normal 11 2 3 3 2 3" xfId="1601"/>
    <cellStyle name="Normal 11 2 3 3 2 3 2" xfId="2321"/>
    <cellStyle name="Normal 11 2 3 3 2 3 2 2" xfId="3761"/>
    <cellStyle name="Normal 11 2 3 3 2 3 2 2 2" xfId="6641"/>
    <cellStyle name="Normal 11 2 3 3 2 3 2 2 2 2" xfId="12401"/>
    <cellStyle name="Normal 11 2 3 3 2 3 2 2 2 2 2" xfId="29681"/>
    <cellStyle name="Normal 11 2 3 3 2 3 2 2 2 3" xfId="18161"/>
    <cellStyle name="Normal 11 2 3 3 2 3 2 2 2 3 2" xfId="35441"/>
    <cellStyle name="Normal 11 2 3 3 2 3 2 2 2 4" xfId="23921"/>
    <cellStyle name="Normal 11 2 3 3 2 3 2 2 3" xfId="9521"/>
    <cellStyle name="Normal 11 2 3 3 2 3 2 2 3 2" xfId="26801"/>
    <cellStyle name="Normal 11 2 3 3 2 3 2 2 4" xfId="15281"/>
    <cellStyle name="Normal 11 2 3 3 2 3 2 2 4 2" xfId="32561"/>
    <cellStyle name="Normal 11 2 3 3 2 3 2 2 5" xfId="21041"/>
    <cellStyle name="Normal 11 2 3 3 2 3 2 3" xfId="5201"/>
    <cellStyle name="Normal 11 2 3 3 2 3 2 3 2" xfId="10961"/>
    <cellStyle name="Normal 11 2 3 3 2 3 2 3 2 2" xfId="28241"/>
    <cellStyle name="Normal 11 2 3 3 2 3 2 3 3" xfId="16721"/>
    <cellStyle name="Normal 11 2 3 3 2 3 2 3 3 2" xfId="34001"/>
    <cellStyle name="Normal 11 2 3 3 2 3 2 3 4" xfId="22481"/>
    <cellStyle name="Normal 11 2 3 3 2 3 2 4" xfId="8081"/>
    <cellStyle name="Normal 11 2 3 3 2 3 2 4 2" xfId="25361"/>
    <cellStyle name="Normal 11 2 3 3 2 3 2 5" xfId="13841"/>
    <cellStyle name="Normal 11 2 3 3 2 3 2 5 2" xfId="31121"/>
    <cellStyle name="Normal 11 2 3 3 2 3 2 6" xfId="19601"/>
    <cellStyle name="Normal 11 2 3 3 2 3 3" xfId="3041"/>
    <cellStyle name="Normal 11 2 3 3 2 3 3 2" xfId="5921"/>
    <cellStyle name="Normal 11 2 3 3 2 3 3 2 2" xfId="11681"/>
    <cellStyle name="Normal 11 2 3 3 2 3 3 2 2 2" xfId="28961"/>
    <cellStyle name="Normal 11 2 3 3 2 3 3 2 3" xfId="17441"/>
    <cellStyle name="Normal 11 2 3 3 2 3 3 2 3 2" xfId="34721"/>
    <cellStyle name="Normal 11 2 3 3 2 3 3 2 4" xfId="23201"/>
    <cellStyle name="Normal 11 2 3 3 2 3 3 3" xfId="8801"/>
    <cellStyle name="Normal 11 2 3 3 2 3 3 3 2" xfId="26081"/>
    <cellStyle name="Normal 11 2 3 3 2 3 3 4" xfId="14561"/>
    <cellStyle name="Normal 11 2 3 3 2 3 3 4 2" xfId="31841"/>
    <cellStyle name="Normal 11 2 3 3 2 3 3 5" xfId="20321"/>
    <cellStyle name="Normal 11 2 3 3 2 3 4" xfId="4481"/>
    <cellStyle name="Normal 11 2 3 3 2 3 4 2" xfId="10241"/>
    <cellStyle name="Normal 11 2 3 3 2 3 4 2 2" xfId="27521"/>
    <cellStyle name="Normal 11 2 3 3 2 3 4 3" xfId="16001"/>
    <cellStyle name="Normal 11 2 3 3 2 3 4 3 2" xfId="33281"/>
    <cellStyle name="Normal 11 2 3 3 2 3 4 4" xfId="21761"/>
    <cellStyle name="Normal 11 2 3 3 2 3 5" xfId="7361"/>
    <cellStyle name="Normal 11 2 3 3 2 3 5 2" xfId="24641"/>
    <cellStyle name="Normal 11 2 3 3 2 3 6" xfId="13121"/>
    <cellStyle name="Normal 11 2 3 3 2 3 6 2" xfId="30401"/>
    <cellStyle name="Normal 11 2 3 3 2 3 7" xfId="18881"/>
    <cellStyle name="Normal 11 2 3 3 2 4" xfId="1841"/>
    <cellStyle name="Normal 11 2 3 3 2 4 2" xfId="3281"/>
    <cellStyle name="Normal 11 2 3 3 2 4 2 2" xfId="6161"/>
    <cellStyle name="Normal 11 2 3 3 2 4 2 2 2" xfId="11921"/>
    <cellStyle name="Normal 11 2 3 3 2 4 2 2 2 2" xfId="29201"/>
    <cellStyle name="Normal 11 2 3 3 2 4 2 2 3" xfId="17681"/>
    <cellStyle name="Normal 11 2 3 3 2 4 2 2 3 2" xfId="34961"/>
    <cellStyle name="Normal 11 2 3 3 2 4 2 2 4" xfId="23441"/>
    <cellStyle name="Normal 11 2 3 3 2 4 2 3" xfId="9041"/>
    <cellStyle name="Normal 11 2 3 3 2 4 2 3 2" xfId="26321"/>
    <cellStyle name="Normal 11 2 3 3 2 4 2 4" xfId="14801"/>
    <cellStyle name="Normal 11 2 3 3 2 4 2 4 2" xfId="32081"/>
    <cellStyle name="Normal 11 2 3 3 2 4 2 5" xfId="20561"/>
    <cellStyle name="Normal 11 2 3 3 2 4 3" xfId="4721"/>
    <cellStyle name="Normal 11 2 3 3 2 4 3 2" xfId="10481"/>
    <cellStyle name="Normal 11 2 3 3 2 4 3 2 2" xfId="27761"/>
    <cellStyle name="Normal 11 2 3 3 2 4 3 3" xfId="16241"/>
    <cellStyle name="Normal 11 2 3 3 2 4 3 3 2" xfId="33521"/>
    <cellStyle name="Normal 11 2 3 3 2 4 3 4" xfId="22001"/>
    <cellStyle name="Normal 11 2 3 3 2 4 4" xfId="7601"/>
    <cellStyle name="Normal 11 2 3 3 2 4 4 2" xfId="24881"/>
    <cellStyle name="Normal 11 2 3 3 2 4 5" xfId="13361"/>
    <cellStyle name="Normal 11 2 3 3 2 4 5 2" xfId="30641"/>
    <cellStyle name="Normal 11 2 3 3 2 4 6" xfId="19121"/>
    <cellStyle name="Normal 11 2 3 3 2 5" xfId="2561"/>
    <cellStyle name="Normal 11 2 3 3 2 5 2" xfId="5441"/>
    <cellStyle name="Normal 11 2 3 3 2 5 2 2" xfId="11201"/>
    <cellStyle name="Normal 11 2 3 3 2 5 2 2 2" xfId="28481"/>
    <cellStyle name="Normal 11 2 3 3 2 5 2 3" xfId="16961"/>
    <cellStyle name="Normal 11 2 3 3 2 5 2 3 2" xfId="34241"/>
    <cellStyle name="Normal 11 2 3 3 2 5 2 4" xfId="22721"/>
    <cellStyle name="Normal 11 2 3 3 2 5 3" xfId="8321"/>
    <cellStyle name="Normal 11 2 3 3 2 5 3 2" xfId="25601"/>
    <cellStyle name="Normal 11 2 3 3 2 5 4" xfId="14081"/>
    <cellStyle name="Normal 11 2 3 3 2 5 4 2" xfId="31361"/>
    <cellStyle name="Normal 11 2 3 3 2 5 5" xfId="19841"/>
    <cellStyle name="Normal 11 2 3 3 2 6" xfId="4001"/>
    <cellStyle name="Normal 11 2 3 3 2 6 2" xfId="9761"/>
    <cellStyle name="Normal 11 2 3 3 2 6 2 2" xfId="27041"/>
    <cellStyle name="Normal 11 2 3 3 2 6 3" xfId="15521"/>
    <cellStyle name="Normal 11 2 3 3 2 6 3 2" xfId="32801"/>
    <cellStyle name="Normal 11 2 3 3 2 6 4" xfId="21281"/>
    <cellStyle name="Normal 11 2 3 3 2 7" xfId="6881"/>
    <cellStyle name="Normal 11 2 3 3 2 7 2" xfId="24161"/>
    <cellStyle name="Normal 11 2 3 3 2 8" xfId="12641"/>
    <cellStyle name="Normal 11 2 3 3 2 8 2" xfId="29921"/>
    <cellStyle name="Normal 11 2 3 3 2 9" xfId="18401"/>
    <cellStyle name="Normal 11 2 3 3 3" xfId="1241"/>
    <cellStyle name="Normal 11 2 3 3 3 2" xfId="1961"/>
    <cellStyle name="Normal 11 2 3 3 3 2 2" xfId="3401"/>
    <cellStyle name="Normal 11 2 3 3 3 2 2 2" xfId="6281"/>
    <cellStyle name="Normal 11 2 3 3 3 2 2 2 2" xfId="12041"/>
    <cellStyle name="Normal 11 2 3 3 3 2 2 2 2 2" xfId="29321"/>
    <cellStyle name="Normal 11 2 3 3 3 2 2 2 3" xfId="17801"/>
    <cellStyle name="Normal 11 2 3 3 3 2 2 2 3 2" xfId="35081"/>
    <cellStyle name="Normal 11 2 3 3 3 2 2 2 4" xfId="23561"/>
    <cellStyle name="Normal 11 2 3 3 3 2 2 3" xfId="9161"/>
    <cellStyle name="Normal 11 2 3 3 3 2 2 3 2" xfId="26441"/>
    <cellStyle name="Normal 11 2 3 3 3 2 2 4" xfId="14921"/>
    <cellStyle name="Normal 11 2 3 3 3 2 2 4 2" xfId="32201"/>
    <cellStyle name="Normal 11 2 3 3 3 2 2 5" xfId="20681"/>
    <cellStyle name="Normal 11 2 3 3 3 2 3" xfId="4841"/>
    <cellStyle name="Normal 11 2 3 3 3 2 3 2" xfId="10601"/>
    <cellStyle name="Normal 11 2 3 3 3 2 3 2 2" xfId="27881"/>
    <cellStyle name="Normal 11 2 3 3 3 2 3 3" xfId="16361"/>
    <cellStyle name="Normal 11 2 3 3 3 2 3 3 2" xfId="33641"/>
    <cellStyle name="Normal 11 2 3 3 3 2 3 4" xfId="22121"/>
    <cellStyle name="Normal 11 2 3 3 3 2 4" xfId="7721"/>
    <cellStyle name="Normal 11 2 3 3 3 2 4 2" xfId="25001"/>
    <cellStyle name="Normal 11 2 3 3 3 2 5" xfId="13481"/>
    <cellStyle name="Normal 11 2 3 3 3 2 5 2" xfId="30761"/>
    <cellStyle name="Normal 11 2 3 3 3 2 6" xfId="19241"/>
    <cellStyle name="Normal 11 2 3 3 3 3" xfId="2681"/>
    <cellStyle name="Normal 11 2 3 3 3 3 2" xfId="5561"/>
    <cellStyle name="Normal 11 2 3 3 3 3 2 2" xfId="11321"/>
    <cellStyle name="Normal 11 2 3 3 3 3 2 2 2" xfId="28601"/>
    <cellStyle name="Normal 11 2 3 3 3 3 2 3" xfId="17081"/>
    <cellStyle name="Normal 11 2 3 3 3 3 2 3 2" xfId="34361"/>
    <cellStyle name="Normal 11 2 3 3 3 3 2 4" xfId="22841"/>
    <cellStyle name="Normal 11 2 3 3 3 3 3" xfId="8441"/>
    <cellStyle name="Normal 11 2 3 3 3 3 3 2" xfId="25721"/>
    <cellStyle name="Normal 11 2 3 3 3 3 4" xfId="14201"/>
    <cellStyle name="Normal 11 2 3 3 3 3 4 2" xfId="31481"/>
    <cellStyle name="Normal 11 2 3 3 3 3 5" xfId="19961"/>
    <cellStyle name="Normal 11 2 3 3 3 4" xfId="4121"/>
    <cellStyle name="Normal 11 2 3 3 3 4 2" xfId="9881"/>
    <cellStyle name="Normal 11 2 3 3 3 4 2 2" xfId="27161"/>
    <cellStyle name="Normal 11 2 3 3 3 4 3" xfId="15641"/>
    <cellStyle name="Normal 11 2 3 3 3 4 3 2" xfId="32921"/>
    <cellStyle name="Normal 11 2 3 3 3 4 4" xfId="21401"/>
    <cellStyle name="Normal 11 2 3 3 3 5" xfId="7001"/>
    <cellStyle name="Normal 11 2 3 3 3 5 2" xfId="24281"/>
    <cellStyle name="Normal 11 2 3 3 3 6" xfId="12761"/>
    <cellStyle name="Normal 11 2 3 3 3 6 2" xfId="30041"/>
    <cellStyle name="Normal 11 2 3 3 3 7" xfId="18521"/>
    <cellStyle name="Normal 11 2 3 3 4" xfId="1481"/>
    <cellStyle name="Normal 11 2 3 3 4 2" xfId="2201"/>
    <cellStyle name="Normal 11 2 3 3 4 2 2" xfId="3641"/>
    <cellStyle name="Normal 11 2 3 3 4 2 2 2" xfId="6521"/>
    <cellStyle name="Normal 11 2 3 3 4 2 2 2 2" xfId="12281"/>
    <cellStyle name="Normal 11 2 3 3 4 2 2 2 2 2" xfId="29561"/>
    <cellStyle name="Normal 11 2 3 3 4 2 2 2 3" xfId="18041"/>
    <cellStyle name="Normal 11 2 3 3 4 2 2 2 3 2" xfId="35321"/>
    <cellStyle name="Normal 11 2 3 3 4 2 2 2 4" xfId="23801"/>
    <cellStyle name="Normal 11 2 3 3 4 2 2 3" xfId="9401"/>
    <cellStyle name="Normal 11 2 3 3 4 2 2 3 2" xfId="26681"/>
    <cellStyle name="Normal 11 2 3 3 4 2 2 4" xfId="15161"/>
    <cellStyle name="Normal 11 2 3 3 4 2 2 4 2" xfId="32441"/>
    <cellStyle name="Normal 11 2 3 3 4 2 2 5" xfId="20921"/>
    <cellStyle name="Normal 11 2 3 3 4 2 3" xfId="5081"/>
    <cellStyle name="Normal 11 2 3 3 4 2 3 2" xfId="10841"/>
    <cellStyle name="Normal 11 2 3 3 4 2 3 2 2" xfId="28121"/>
    <cellStyle name="Normal 11 2 3 3 4 2 3 3" xfId="16601"/>
    <cellStyle name="Normal 11 2 3 3 4 2 3 3 2" xfId="33881"/>
    <cellStyle name="Normal 11 2 3 3 4 2 3 4" xfId="22361"/>
    <cellStyle name="Normal 11 2 3 3 4 2 4" xfId="7961"/>
    <cellStyle name="Normal 11 2 3 3 4 2 4 2" xfId="25241"/>
    <cellStyle name="Normal 11 2 3 3 4 2 5" xfId="13721"/>
    <cellStyle name="Normal 11 2 3 3 4 2 5 2" xfId="31001"/>
    <cellStyle name="Normal 11 2 3 3 4 2 6" xfId="19481"/>
    <cellStyle name="Normal 11 2 3 3 4 3" xfId="2921"/>
    <cellStyle name="Normal 11 2 3 3 4 3 2" xfId="5801"/>
    <cellStyle name="Normal 11 2 3 3 4 3 2 2" xfId="11561"/>
    <cellStyle name="Normal 11 2 3 3 4 3 2 2 2" xfId="28841"/>
    <cellStyle name="Normal 11 2 3 3 4 3 2 3" xfId="17321"/>
    <cellStyle name="Normal 11 2 3 3 4 3 2 3 2" xfId="34601"/>
    <cellStyle name="Normal 11 2 3 3 4 3 2 4" xfId="23081"/>
    <cellStyle name="Normal 11 2 3 3 4 3 3" xfId="8681"/>
    <cellStyle name="Normal 11 2 3 3 4 3 3 2" xfId="25961"/>
    <cellStyle name="Normal 11 2 3 3 4 3 4" xfId="14441"/>
    <cellStyle name="Normal 11 2 3 3 4 3 4 2" xfId="31721"/>
    <cellStyle name="Normal 11 2 3 3 4 3 5" xfId="20201"/>
    <cellStyle name="Normal 11 2 3 3 4 4" xfId="4361"/>
    <cellStyle name="Normal 11 2 3 3 4 4 2" xfId="10121"/>
    <cellStyle name="Normal 11 2 3 3 4 4 2 2" xfId="27401"/>
    <cellStyle name="Normal 11 2 3 3 4 4 3" xfId="15881"/>
    <cellStyle name="Normal 11 2 3 3 4 4 3 2" xfId="33161"/>
    <cellStyle name="Normal 11 2 3 3 4 4 4" xfId="21641"/>
    <cellStyle name="Normal 11 2 3 3 4 5" xfId="7241"/>
    <cellStyle name="Normal 11 2 3 3 4 5 2" xfId="24521"/>
    <cellStyle name="Normal 11 2 3 3 4 6" xfId="13001"/>
    <cellStyle name="Normal 11 2 3 3 4 6 2" xfId="30281"/>
    <cellStyle name="Normal 11 2 3 3 4 7" xfId="18761"/>
    <cellStyle name="Normal 11 2 3 3 5" xfId="1721"/>
    <cellStyle name="Normal 11 2 3 3 5 2" xfId="3161"/>
    <cellStyle name="Normal 11 2 3 3 5 2 2" xfId="6041"/>
    <cellStyle name="Normal 11 2 3 3 5 2 2 2" xfId="11801"/>
    <cellStyle name="Normal 11 2 3 3 5 2 2 2 2" xfId="29081"/>
    <cellStyle name="Normal 11 2 3 3 5 2 2 3" xfId="17561"/>
    <cellStyle name="Normal 11 2 3 3 5 2 2 3 2" xfId="34841"/>
    <cellStyle name="Normal 11 2 3 3 5 2 2 4" xfId="23321"/>
    <cellStyle name="Normal 11 2 3 3 5 2 3" xfId="8921"/>
    <cellStyle name="Normal 11 2 3 3 5 2 3 2" xfId="26201"/>
    <cellStyle name="Normal 11 2 3 3 5 2 4" xfId="14681"/>
    <cellStyle name="Normal 11 2 3 3 5 2 4 2" xfId="31961"/>
    <cellStyle name="Normal 11 2 3 3 5 2 5" xfId="20441"/>
    <cellStyle name="Normal 11 2 3 3 5 3" xfId="4601"/>
    <cellStyle name="Normal 11 2 3 3 5 3 2" xfId="10361"/>
    <cellStyle name="Normal 11 2 3 3 5 3 2 2" xfId="27641"/>
    <cellStyle name="Normal 11 2 3 3 5 3 3" xfId="16121"/>
    <cellStyle name="Normal 11 2 3 3 5 3 3 2" xfId="33401"/>
    <cellStyle name="Normal 11 2 3 3 5 3 4" xfId="21881"/>
    <cellStyle name="Normal 11 2 3 3 5 4" xfId="7481"/>
    <cellStyle name="Normal 11 2 3 3 5 4 2" xfId="24761"/>
    <cellStyle name="Normal 11 2 3 3 5 5" xfId="13241"/>
    <cellStyle name="Normal 11 2 3 3 5 5 2" xfId="30521"/>
    <cellStyle name="Normal 11 2 3 3 5 6" xfId="19001"/>
    <cellStyle name="Normal 11 2 3 3 6" xfId="2441"/>
    <cellStyle name="Normal 11 2 3 3 6 2" xfId="5321"/>
    <cellStyle name="Normal 11 2 3 3 6 2 2" xfId="11081"/>
    <cellStyle name="Normal 11 2 3 3 6 2 2 2" xfId="28361"/>
    <cellStyle name="Normal 11 2 3 3 6 2 3" xfId="16841"/>
    <cellStyle name="Normal 11 2 3 3 6 2 3 2" xfId="34121"/>
    <cellStyle name="Normal 11 2 3 3 6 2 4" xfId="22601"/>
    <cellStyle name="Normal 11 2 3 3 6 3" xfId="8201"/>
    <cellStyle name="Normal 11 2 3 3 6 3 2" xfId="25481"/>
    <cellStyle name="Normal 11 2 3 3 6 4" xfId="13961"/>
    <cellStyle name="Normal 11 2 3 3 6 4 2" xfId="31241"/>
    <cellStyle name="Normal 11 2 3 3 6 5" xfId="19721"/>
    <cellStyle name="Normal 11 2 3 3 7" xfId="3881"/>
    <cellStyle name="Normal 11 2 3 3 7 2" xfId="9641"/>
    <cellStyle name="Normal 11 2 3 3 7 2 2" xfId="26921"/>
    <cellStyle name="Normal 11 2 3 3 7 3" xfId="15401"/>
    <cellStyle name="Normal 11 2 3 3 7 3 2" xfId="32681"/>
    <cellStyle name="Normal 11 2 3 3 7 4" xfId="21161"/>
    <cellStyle name="Normal 11 2 3 3 8" xfId="6761"/>
    <cellStyle name="Normal 11 2 3 3 8 2" xfId="24041"/>
    <cellStyle name="Normal 11 2 3 3 9" xfId="12521"/>
    <cellStyle name="Normal 11 2 3 3 9 2" xfId="29801"/>
    <cellStyle name="Normal 11 2 3 4" xfId="1081"/>
    <cellStyle name="Normal 11 2 3 4 2" xfId="1321"/>
    <cellStyle name="Normal 11 2 3 4 2 2" xfId="2041"/>
    <cellStyle name="Normal 11 2 3 4 2 2 2" xfId="3481"/>
    <cellStyle name="Normal 11 2 3 4 2 2 2 2" xfId="6361"/>
    <cellStyle name="Normal 11 2 3 4 2 2 2 2 2" xfId="12121"/>
    <cellStyle name="Normal 11 2 3 4 2 2 2 2 2 2" xfId="29401"/>
    <cellStyle name="Normal 11 2 3 4 2 2 2 2 3" xfId="17881"/>
    <cellStyle name="Normal 11 2 3 4 2 2 2 2 3 2" xfId="35161"/>
    <cellStyle name="Normal 11 2 3 4 2 2 2 2 4" xfId="23641"/>
    <cellStyle name="Normal 11 2 3 4 2 2 2 3" xfId="9241"/>
    <cellStyle name="Normal 11 2 3 4 2 2 2 3 2" xfId="26521"/>
    <cellStyle name="Normal 11 2 3 4 2 2 2 4" xfId="15001"/>
    <cellStyle name="Normal 11 2 3 4 2 2 2 4 2" xfId="32281"/>
    <cellStyle name="Normal 11 2 3 4 2 2 2 5" xfId="20761"/>
    <cellStyle name="Normal 11 2 3 4 2 2 3" xfId="4921"/>
    <cellStyle name="Normal 11 2 3 4 2 2 3 2" xfId="10681"/>
    <cellStyle name="Normal 11 2 3 4 2 2 3 2 2" xfId="27961"/>
    <cellStyle name="Normal 11 2 3 4 2 2 3 3" xfId="16441"/>
    <cellStyle name="Normal 11 2 3 4 2 2 3 3 2" xfId="33721"/>
    <cellStyle name="Normal 11 2 3 4 2 2 3 4" xfId="22201"/>
    <cellStyle name="Normal 11 2 3 4 2 2 4" xfId="7801"/>
    <cellStyle name="Normal 11 2 3 4 2 2 4 2" xfId="25081"/>
    <cellStyle name="Normal 11 2 3 4 2 2 5" xfId="13561"/>
    <cellStyle name="Normal 11 2 3 4 2 2 5 2" xfId="30841"/>
    <cellStyle name="Normal 11 2 3 4 2 2 6" xfId="19321"/>
    <cellStyle name="Normal 11 2 3 4 2 3" xfId="2761"/>
    <cellStyle name="Normal 11 2 3 4 2 3 2" xfId="5641"/>
    <cellStyle name="Normal 11 2 3 4 2 3 2 2" xfId="11401"/>
    <cellStyle name="Normal 11 2 3 4 2 3 2 2 2" xfId="28681"/>
    <cellStyle name="Normal 11 2 3 4 2 3 2 3" xfId="17161"/>
    <cellStyle name="Normal 11 2 3 4 2 3 2 3 2" xfId="34441"/>
    <cellStyle name="Normal 11 2 3 4 2 3 2 4" xfId="22921"/>
    <cellStyle name="Normal 11 2 3 4 2 3 3" xfId="8521"/>
    <cellStyle name="Normal 11 2 3 4 2 3 3 2" xfId="25801"/>
    <cellStyle name="Normal 11 2 3 4 2 3 4" xfId="14281"/>
    <cellStyle name="Normal 11 2 3 4 2 3 4 2" xfId="31561"/>
    <cellStyle name="Normal 11 2 3 4 2 3 5" xfId="20041"/>
    <cellStyle name="Normal 11 2 3 4 2 4" xfId="4201"/>
    <cellStyle name="Normal 11 2 3 4 2 4 2" xfId="9961"/>
    <cellStyle name="Normal 11 2 3 4 2 4 2 2" xfId="27241"/>
    <cellStyle name="Normal 11 2 3 4 2 4 3" xfId="15721"/>
    <cellStyle name="Normal 11 2 3 4 2 4 3 2" xfId="33001"/>
    <cellStyle name="Normal 11 2 3 4 2 4 4" xfId="21481"/>
    <cellStyle name="Normal 11 2 3 4 2 5" xfId="7081"/>
    <cellStyle name="Normal 11 2 3 4 2 5 2" xfId="24361"/>
    <cellStyle name="Normal 11 2 3 4 2 6" xfId="12841"/>
    <cellStyle name="Normal 11 2 3 4 2 6 2" xfId="30121"/>
    <cellStyle name="Normal 11 2 3 4 2 7" xfId="18601"/>
    <cellStyle name="Normal 11 2 3 4 3" xfId="1561"/>
    <cellStyle name="Normal 11 2 3 4 3 2" xfId="2281"/>
    <cellStyle name="Normal 11 2 3 4 3 2 2" xfId="3721"/>
    <cellStyle name="Normal 11 2 3 4 3 2 2 2" xfId="6601"/>
    <cellStyle name="Normal 11 2 3 4 3 2 2 2 2" xfId="12361"/>
    <cellStyle name="Normal 11 2 3 4 3 2 2 2 2 2" xfId="29641"/>
    <cellStyle name="Normal 11 2 3 4 3 2 2 2 3" xfId="18121"/>
    <cellStyle name="Normal 11 2 3 4 3 2 2 2 3 2" xfId="35401"/>
    <cellStyle name="Normal 11 2 3 4 3 2 2 2 4" xfId="23881"/>
    <cellStyle name="Normal 11 2 3 4 3 2 2 3" xfId="9481"/>
    <cellStyle name="Normal 11 2 3 4 3 2 2 3 2" xfId="26761"/>
    <cellStyle name="Normal 11 2 3 4 3 2 2 4" xfId="15241"/>
    <cellStyle name="Normal 11 2 3 4 3 2 2 4 2" xfId="32521"/>
    <cellStyle name="Normal 11 2 3 4 3 2 2 5" xfId="21001"/>
    <cellStyle name="Normal 11 2 3 4 3 2 3" xfId="5161"/>
    <cellStyle name="Normal 11 2 3 4 3 2 3 2" xfId="10921"/>
    <cellStyle name="Normal 11 2 3 4 3 2 3 2 2" xfId="28201"/>
    <cellStyle name="Normal 11 2 3 4 3 2 3 3" xfId="16681"/>
    <cellStyle name="Normal 11 2 3 4 3 2 3 3 2" xfId="33961"/>
    <cellStyle name="Normal 11 2 3 4 3 2 3 4" xfId="22441"/>
    <cellStyle name="Normal 11 2 3 4 3 2 4" xfId="8041"/>
    <cellStyle name="Normal 11 2 3 4 3 2 4 2" xfId="25321"/>
    <cellStyle name="Normal 11 2 3 4 3 2 5" xfId="13801"/>
    <cellStyle name="Normal 11 2 3 4 3 2 5 2" xfId="31081"/>
    <cellStyle name="Normal 11 2 3 4 3 2 6" xfId="19561"/>
    <cellStyle name="Normal 11 2 3 4 3 3" xfId="3001"/>
    <cellStyle name="Normal 11 2 3 4 3 3 2" xfId="5881"/>
    <cellStyle name="Normal 11 2 3 4 3 3 2 2" xfId="11641"/>
    <cellStyle name="Normal 11 2 3 4 3 3 2 2 2" xfId="28921"/>
    <cellStyle name="Normal 11 2 3 4 3 3 2 3" xfId="17401"/>
    <cellStyle name="Normal 11 2 3 4 3 3 2 3 2" xfId="34681"/>
    <cellStyle name="Normal 11 2 3 4 3 3 2 4" xfId="23161"/>
    <cellStyle name="Normal 11 2 3 4 3 3 3" xfId="8761"/>
    <cellStyle name="Normal 11 2 3 4 3 3 3 2" xfId="26041"/>
    <cellStyle name="Normal 11 2 3 4 3 3 4" xfId="14521"/>
    <cellStyle name="Normal 11 2 3 4 3 3 4 2" xfId="31801"/>
    <cellStyle name="Normal 11 2 3 4 3 3 5" xfId="20281"/>
    <cellStyle name="Normal 11 2 3 4 3 4" xfId="4441"/>
    <cellStyle name="Normal 11 2 3 4 3 4 2" xfId="10201"/>
    <cellStyle name="Normal 11 2 3 4 3 4 2 2" xfId="27481"/>
    <cellStyle name="Normal 11 2 3 4 3 4 3" xfId="15961"/>
    <cellStyle name="Normal 11 2 3 4 3 4 3 2" xfId="33241"/>
    <cellStyle name="Normal 11 2 3 4 3 4 4" xfId="21721"/>
    <cellStyle name="Normal 11 2 3 4 3 5" xfId="7321"/>
    <cellStyle name="Normal 11 2 3 4 3 5 2" xfId="24601"/>
    <cellStyle name="Normal 11 2 3 4 3 6" xfId="13081"/>
    <cellStyle name="Normal 11 2 3 4 3 6 2" xfId="30361"/>
    <cellStyle name="Normal 11 2 3 4 3 7" xfId="18841"/>
    <cellStyle name="Normal 11 2 3 4 4" xfId="1801"/>
    <cellStyle name="Normal 11 2 3 4 4 2" xfId="3241"/>
    <cellStyle name="Normal 11 2 3 4 4 2 2" xfId="6121"/>
    <cellStyle name="Normal 11 2 3 4 4 2 2 2" xfId="11881"/>
    <cellStyle name="Normal 11 2 3 4 4 2 2 2 2" xfId="29161"/>
    <cellStyle name="Normal 11 2 3 4 4 2 2 3" xfId="17641"/>
    <cellStyle name="Normal 11 2 3 4 4 2 2 3 2" xfId="34921"/>
    <cellStyle name="Normal 11 2 3 4 4 2 2 4" xfId="23401"/>
    <cellStyle name="Normal 11 2 3 4 4 2 3" xfId="9001"/>
    <cellStyle name="Normal 11 2 3 4 4 2 3 2" xfId="26281"/>
    <cellStyle name="Normal 11 2 3 4 4 2 4" xfId="14761"/>
    <cellStyle name="Normal 11 2 3 4 4 2 4 2" xfId="32041"/>
    <cellStyle name="Normal 11 2 3 4 4 2 5" xfId="20521"/>
    <cellStyle name="Normal 11 2 3 4 4 3" xfId="4681"/>
    <cellStyle name="Normal 11 2 3 4 4 3 2" xfId="10441"/>
    <cellStyle name="Normal 11 2 3 4 4 3 2 2" xfId="27721"/>
    <cellStyle name="Normal 11 2 3 4 4 3 3" xfId="16201"/>
    <cellStyle name="Normal 11 2 3 4 4 3 3 2" xfId="33481"/>
    <cellStyle name="Normal 11 2 3 4 4 3 4" xfId="21961"/>
    <cellStyle name="Normal 11 2 3 4 4 4" xfId="7561"/>
    <cellStyle name="Normal 11 2 3 4 4 4 2" xfId="24841"/>
    <cellStyle name="Normal 11 2 3 4 4 5" xfId="13321"/>
    <cellStyle name="Normal 11 2 3 4 4 5 2" xfId="30601"/>
    <cellStyle name="Normal 11 2 3 4 4 6" xfId="19081"/>
    <cellStyle name="Normal 11 2 3 4 5" xfId="2521"/>
    <cellStyle name="Normal 11 2 3 4 5 2" xfId="5401"/>
    <cellStyle name="Normal 11 2 3 4 5 2 2" xfId="11161"/>
    <cellStyle name="Normal 11 2 3 4 5 2 2 2" xfId="28441"/>
    <cellStyle name="Normal 11 2 3 4 5 2 3" xfId="16921"/>
    <cellStyle name="Normal 11 2 3 4 5 2 3 2" xfId="34201"/>
    <cellStyle name="Normal 11 2 3 4 5 2 4" xfId="22681"/>
    <cellStyle name="Normal 11 2 3 4 5 3" xfId="8281"/>
    <cellStyle name="Normal 11 2 3 4 5 3 2" xfId="25561"/>
    <cellStyle name="Normal 11 2 3 4 5 4" xfId="14041"/>
    <cellStyle name="Normal 11 2 3 4 5 4 2" xfId="31321"/>
    <cellStyle name="Normal 11 2 3 4 5 5" xfId="19801"/>
    <cellStyle name="Normal 11 2 3 4 6" xfId="3961"/>
    <cellStyle name="Normal 11 2 3 4 6 2" xfId="9721"/>
    <cellStyle name="Normal 11 2 3 4 6 2 2" xfId="27001"/>
    <cellStyle name="Normal 11 2 3 4 6 3" xfId="15481"/>
    <cellStyle name="Normal 11 2 3 4 6 3 2" xfId="32761"/>
    <cellStyle name="Normal 11 2 3 4 6 4" xfId="21241"/>
    <cellStyle name="Normal 11 2 3 4 7" xfId="6841"/>
    <cellStyle name="Normal 11 2 3 4 7 2" xfId="24121"/>
    <cellStyle name="Normal 11 2 3 4 8" xfId="12601"/>
    <cellStyle name="Normal 11 2 3 4 8 2" xfId="29881"/>
    <cellStyle name="Normal 11 2 3 4 9" xfId="18361"/>
    <cellStyle name="Normal 11 2 3 5" xfId="1201"/>
    <cellStyle name="Normal 11 2 3 5 2" xfId="1921"/>
    <cellStyle name="Normal 11 2 3 5 2 2" xfId="3361"/>
    <cellStyle name="Normal 11 2 3 5 2 2 2" xfId="6241"/>
    <cellStyle name="Normal 11 2 3 5 2 2 2 2" xfId="12001"/>
    <cellStyle name="Normal 11 2 3 5 2 2 2 2 2" xfId="29281"/>
    <cellStyle name="Normal 11 2 3 5 2 2 2 3" xfId="17761"/>
    <cellStyle name="Normal 11 2 3 5 2 2 2 3 2" xfId="35041"/>
    <cellStyle name="Normal 11 2 3 5 2 2 2 4" xfId="23521"/>
    <cellStyle name="Normal 11 2 3 5 2 2 3" xfId="9121"/>
    <cellStyle name="Normal 11 2 3 5 2 2 3 2" xfId="26401"/>
    <cellStyle name="Normal 11 2 3 5 2 2 4" xfId="14881"/>
    <cellStyle name="Normal 11 2 3 5 2 2 4 2" xfId="32161"/>
    <cellStyle name="Normal 11 2 3 5 2 2 5" xfId="20641"/>
    <cellStyle name="Normal 11 2 3 5 2 3" xfId="4801"/>
    <cellStyle name="Normal 11 2 3 5 2 3 2" xfId="10561"/>
    <cellStyle name="Normal 11 2 3 5 2 3 2 2" xfId="27841"/>
    <cellStyle name="Normal 11 2 3 5 2 3 3" xfId="16321"/>
    <cellStyle name="Normal 11 2 3 5 2 3 3 2" xfId="33601"/>
    <cellStyle name="Normal 11 2 3 5 2 3 4" xfId="22081"/>
    <cellStyle name="Normal 11 2 3 5 2 4" xfId="7681"/>
    <cellStyle name="Normal 11 2 3 5 2 4 2" xfId="24961"/>
    <cellStyle name="Normal 11 2 3 5 2 5" xfId="13441"/>
    <cellStyle name="Normal 11 2 3 5 2 5 2" xfId="30721"/>
    <cellStyle name="Normal 11 2 3 5 2 6" xfId="19201"/>
    <cellStyle name="Normal 11 2 3 5 3" xfId="2641"/>
    <cellStyle name="Normal 11 2 3 5 3 2" xfId="5521"/>
    <cellStyle name="Normal 11 2 3 5 3 2 2" xfId="11281"/>
    <cellStyle name="Normal 11 2 3 5 3 2 2 2" xfId="28561"/>
    <cellStyle name="Normal 11 2 3 5 3 2 3" xfId="17041"/>
    <cellStyle name="Normal 11 2 3 5 3 2 3 2" xfId="34321"/>
    <cellStyle name="Normal 11 2 3 5 3 2 4" xfId="22801"/>
    <cellStyle name="Normal 11 2 3 5 3 3" xfId="8401"/>
    <cellStyle name="Normal 11 2 3 5 3 3 2" xfId="25681"/>
    <cellStyle name="Normal 11 2 3 5 3 4" xfId="14161"/>
    <cellStyle name="Normal 11 2 3 5 3 4 2" xfId="31441"/>
    <cellStyle name="Normal 11 2 3 5 3 5" xfId="19921"/>
    <cellStyle name="Normal 11 2 3 5 4" xfId="4081"/>
    <cellStyle name="Normal 11 2 3 5 4 2" xfId="9841"/>
    <cellStyle name="Normal 11 2 3 5 4 2 2" xfId="27121"/>
    <cellStyle name="Normal 11 2 3 5 4 3" xfId="15601"/>
    <cellStyle name="Normal 11 2 3 5 4 3 2" xfId="32881"/>
    <cellStyle name="Normal 11 2 3 5 4 4" xfId="21361"/>
    <cellStyle name="Normal 11 2 3 5 5" xfId="6961"/>
    <cellStyle name="Normal 11 2 3 5 5 2" xfId="24241"/>
    <cellStyle name="Normal 11 2 3 5 6" xfId="12721"/>
    <cellStyle name="Normal 11 2 3 5 6 2" xfId="30001"/>
    <cellStyle name="Normal 11 2 3 5 7" xfId="18481"/>
    <cellStyle name="Normal 11 2 3 6" xfId="1441"/>
    <cellStyle name="Normal 11 2 3 6 2" xfId="2161"/>
    <cellStyle name="Normal 11 2 3 6 2 2" xfId="3601"/>
    <cellStyle name="Normal 11 2 3 6 2 2 2" xfId="6481"/>
    <cellStyle name="Normal 11 2 3 6 2 2 2 2" xfId="12241"/>
    <cellStyle name="Normal 11 2 3 6 2 2 2 2 2" xfId="29521"/>
    <cellStyle name="Normal 11 2 3 6 2 2 2 3" xfId="18001"/>
    <cellStyle name="Normal 11 2 3 6 2 2 2 3 2" xfId="35281"/>
    <cellStyle name="Normal 11 2 3 6 2 2 2 4" xfId="23761"/>
    <cellStyle name="Normal 11 2 3 6 2 2 3" xfId="9361"/>
    <cellStyle name="Normal 11 2 3 6 2 2 3 2" xfId="26641"/>
    <cellStyle name="Normal 11 2 3 6 2 2 4" xfId="15121"/>
    <cellStyle name="Normal 11 2 3 6 2 2 4 2" xfId="32401"/>
    <cellStyle name="Normal 11 2 3 6 2 2 5" xfId="20881"/>
    <cellStyle name="Normal 11 2 3 6 2 3" xfId="5041"/>
    <cellStyle name="Normal 11 2 3 6 2 3 2" xfId="10801"/>
    <cellStyle name="Normal 11 2 3 6 2 3 2 2" xfId="28081"/>
    <cellStyle name="Normal 11 2 3 6 2 3 3" xfId="16561"/>
    <cellStyle name="Normal 11 2 3 6 2 3 3 2" xfId="33841"/>
    <cellStyle name="Normal 11 2 3 6 2 3 4" xfId="22321"/>
    <cellStyle name="Normal 11 2 3 6 2 4" xfId="7921"/>
    <cellStyle name="Normal 11 2 3 6 2 4 2" xfId="25201"/>
    <cellStyle name="Normal 11 2 3 6 2 5" xfId="13681"/>
    <cellStyle name="Normal 11 2 3 6 2 5 2" xfId="30961"/>
    <cellStyle name="Normal 11 2 3 6 2 6" xfId="19441"/>
    <cellStyle name="Normal 11 2 3 6 3" xfId="2881"/>
    <cellStyle name="Normal 11 2 3 6 3 2" xfId="5761"/>
    <cellStyle name="Normal 11 2 3 6 3 2 2" xfId="11521"/>
    <cellStyle name="Normal 11 2 3 6 3 2 2 2" xfId="28801"/>
    <cellStyle name="Normal 11 2 3 6 3 2 3" xfId="17281"/>
    <cellStyle name="Normal 11 2 3 6 3 2 3 2" xfId="34561"/>
    <cellStyle name="Normal 11 2 3 6 3 2 4" xfId="23041"/>
    <cellStyle name="Normal 11 2 3 6 3 3" xfId="8641"/>
    <cellStyle name="Normal 11 2 3 6 3 3 2" xfId="25921"/>
    <cellStyle name="Normal 11 2 3 6 3 4" xfId="14401"/>
    <cellStyle name="Normal 11 2 3 6 3 4 2" xfId="31681"/>
    <cellStyle name="Normal 11 2 3 6 3 5" xfId="20161"/>
    <cellStyle name="Normal 11 2 3 6 4" xfId="4321"/>
    <cellStyle name="Normal 11 2 3 6 4 2" xfId="10081"/>
    <cellStyle name="Normal 11 2 3 6 4 2 2" xfId="27361"/>
    <cellStyle name="Normal 11 2 3 6 4 3" xfId="15841"/>
    <cellStyle name="Normal 11 2 3 6 4 3 2" xfId="33121"/>
    <cellStyle name="Normal 11 2 3 6 4 4" xfId="21601"/>
    <cellStyle name="Normal 11 2 3 6 5" xfId="7201"/>
    <cellStyle name="Normal 11 2 3 6 5 2" xfId="24481"/>
    <cellStyle name="Normal 11 2 3 6 6" xfId="12961"/>
    <cellStyle name="Normal 11 2 3 6 6 2" xfId="30241"/>
    <cellStyle name="Normal 11 2 3 6 7" xfId="18721"/>
    <cellStyle name="Normal 11 2 3 7" xfId="1681"/>
    <cellStyle name="Normal 11 2 3 7 2" xfId="3121"/>
    <cellStyle name="Normal 11 2 3 7 2 2" xfId="6001"/>
    <cellStyle name="Normal 11 2 3 7 2 2 2" xfId="11761"/>
    <cellStyle name="Normal 11 2 3 7 2 2 2 2" xfId="29041"/>
    <cellStyle name="Normal 11 2 3 7 2 2 3" xfId="17521"/>
    <cellStyle name="Normal 11 2 3 7 2 2 3 2" xfId="34801"/>
    <cellStyle name="Normal 11 2 3 7 2 2 4" xfId="23281"/>
    <cellStyle name="Normal 11 2 3 7 2 3" xfId="8881"/>
    <cellStyle name="Normal 11 2 3 7 2 3 2" xfId="26161"/>
    <cellStyle name="Normal 11 2 3 7 2 4" xfId="14641"/>
    <cellStyle name="Normal 11 2 3 7 2 4 2" xfId="31921"/>
    <cellStyle name="Normal 11 2 3 7 2 5" xfId="20401"/>
    <cellStyle name="Normal 11 2 3 7 3" xfId="4561"/>
    <cellStyle name="Normal 11 2 3 7 3 2" xfId="10321"/>
    <cellStyle name="Normal 11 2 3 7 3 2 2" xfId="27601"/>
    <cellStyle name="Normal 11 2 3 7 3 3" xfId="16081"/>
    <cellStyle name="Normal 11 2 3 7 3 3 2" xfId="33361"/>
    <cellStyle name="Normal 11 2 3 7 3 4" xfId="21841"/>
    <cellStyle name="Normal 11 2 3 7 4" xfId="7441"/>
    <cellStyle name="Normal 11 2 3 7 4 2" xfId="24721"/>
    <cellStyle name="Normal 11 2 3 7 5" xfId="13201"/>
    <cellStyle name="Normal 11 2 3 7 5 2" xfId="30481"/>
    <cellStyle name="Normal 11 2 3 7 6" xfId="18961"/>
    <cellStyle name="Normal 11 2 3 8" xfId="2401"/>
    <cellStyle name="Normal 11 2 3 8 2" xfId="5281"/>
    <cellStyle name="Normal 11 2 3 8 2 2" xfId="11041"/>
    <cellStyle name="Normal 11 2 3 8 2 2 2" xfId="28321"/>
    <cellStyle name="Normal 11 2 3 8 2 3" xfId="16801"/>
    <cellStyle name="Normal 11 2 3 8 2 3 2" xfId="34081"/>
    <cellStyle name="Normal 11 2 3 8 2 4" xfId="22561"/>
    <cellStyle name="Normal 11 2 3 8 3" xfId="8161"/>
    <cellStyle name="Normal 11 2 3 8 3 2" xfId="25441"/>
    <cellStyle name="Normal 11 2 3 8 4" xfId="13921"/>
    <cellStyle name="Normal 11 2 3 8 4 2" xfId="31201"/>
    <cellStyle name="Normal 11 2 3 8 5" xfId="19681"/>
    <cellStyle name="Normal 11 2 3 9" xfId="3841"/>
    <cellStyle name="Normal 11 2 3 9 2" xfId="9601"/>
    <cellStyle name="Normal 11 2 3 9 2 2" xfId="26881"/>
    <cellStyle name="Normal 11 2 3 9 3" xfId="15361"/>
    <cellStyle name="Normal 11 2 3 9 3 2" xfId="32641"/>
    <cellStyle name="Normal 11 2 3 9 4" xfId="21121"/>
    <cellStyle name="Normal 11 2 4" xfId="1021"/>
    <cellStyle name="Normal 11 2 4 10" xfId="18301"/>
    <cellStyle name="Normal 11 2 4 2" xfId="1141"/>
    <cellStyle name="Normal 11 2 4 2 2" xfId="1381"/>
    <cellStyle name="Normal 11 2 4 2 2 2" xfId="2101"/>
    <cellStyle name="Normal 11 2 4 2 2 2 2" xfId="3541"/>
    <cellStyle name="Normal 11 2 4 2 2 2 2 2" xfId="6421"/>
    <cellStyle name="Normal 11 2 4 2 2 2 2 2 2" xfId="12181"/>
    <cellStyle name="Normal 11 2 4 2 2 2 2 2 2 2" xfId="29461"/>
    <cellStyle name="Normal 11 2 4 2 2 2 2 2 3" xfId="17941"/>
    <cellStyle name="Normal 11 2 4 2 2 2 2 2 3 2" xfId="35221"/>
    <cellStyle name="Normal 11 2 4 2 2 2 2 2 4" xfId="23701"/>
    <cellStyle name="Normal 11 2 4 2 2 2 2 3" xfId="9301"/>
    <cellStyle name="Normal 11 2 4 2 2 2 2 3 2" xfId="26581"/>
    <cellStyle name="Normal 11 2 4 2 2 2 2 4" xfId="15061"/>
    <cellStyle name="Normal 11 2 4 2 2 2 2 4 2" xfId="32341"/>
    <cellStyle name="Normal 11 2 4 2 2 2 2 5" xfId="20821"/>
    <cellStyle name="Normal 11 2 4 2 2 2 3" xfId="4981"/>
    <cellStyle name="Normal 11 2 4 2 2 2 3 2" xfId="10741"/>
    <cellStyle name="Normal 11 2 4 2 2 2 3 2 2" xfId="28021"/>
    <cellStyle name="Normal 11 2 4 2 2 2 3 3" xfId="16501"/>
    <cellStyle name="Normal 11 2 4 2 2 2 3 3 2" xfId="33781"/>
    <cellStyle name="Normal 11 2 4 2 2 2 3 4" xfId="22261"/>
    <cellStyle name="Normal 11 2 4 2 2 2 4" xfId="7861"/>
    <cellStyle name="Normal 11 2 4 2 2 2 4 2" xfId="25141"/>
    <cellStyle name="Normal 11 2 4 2 2 2 5" xfId="13621"/>
    <cellStyle name="Normal 11 2 4 2 2 2 5 2" xfId="30901"/>
    <cellStyle name="Normal 11 2 4 2 2 2 6" xfId="19381"/>
    <cellStyle name="Normal 11 2 4 2 2 3" xfId="2821"/>
    <cellStyle name="Normal 11 2 4 2 2 3 2" xfId="5701"/>
    <cellStyle name="Normal 11 2 4 2 2 3 2 2" xfId="11461"/>
    <cellStyle name="Normal 11 2 4 2 2 3 2 2 2" xfId="28741"/>
    <cellStyle name="Normal 11 2 4 2 2 3 2 3" xfId="17221"/>
    <cellStyle name="Normal 11 2 4 2 2 3 2 3 2" xfId="34501"/>
    <cellStyle name="Normal 11 2 4 2 2 3 2 4" xfId="22981"/>
    <cellStyle name="Normal 11 2 4 2 2 3 3" xfId="8581"/>
    <cellStyle name="Normal 11 2 4 2 2 3 3 2" xfId="25861"/>
    <cellStyle name="Normal 11 2 4 2 2 3 4" xfId="14341"/>
    <cellStyle name="Normal 11 2 4 2 2 3 4 2" xfId="31621"/>
    <cellStyle name="Normal 11 2 4 2 2 3 5" xfId="20101"/>
    <cellStyle name="Normal 11 2 4 2 2 4" xfId="4261"/>
    <cellStyle name="Normal 11 2 4 2 2 4 2" xfId="10021"/>
    <cellStyle name="Normal 11 2 4 2 2 4 2 2" xfId="27301"/>
    <cellStyle name="Normal 11 2 4 2 2 4 3" xfId="15781"/>
    <cellStyle name="Normal 11 2 4 2 2 4 3 2" xfId="33061"/>
    <cellStyle name="Normal 11 2 4 2 2 4 4" xfId="21541"/>
    <cellStyle name="Normal 11 2 4 2 2 5" xfId="7141"/>
    <cellStyle name="Normal 11 2 4 2 2 5 2" xfId="24421"/>
    <cellStyle name="Normal 11 2 4 2 2 6" xfId="12901"/>
    <cellStyle name="Normal 11 2 4 2 2 6 2" xfId="30181"/>
    <cellStyle name="Normal 11 2 4 2 2 7" xfId="18661"/>
    <cellStyle name="Normal 11 2 4 2 3" xfId="1621"/>
    <cellStyle name="Normal 11 2 4 2 3 2" xfId="2341"/>
    <cellStyle name="Normal 11 2 4 2 3 2 2" xfId="3781"/>
    <cellStyle name="Normal 11 2 4 2 3 2 2 2" xfId="6661"/>
    <cellStyle name="Normal 11 2 4 2 3 2 2 2 2" xfId="12421"/>
    <cellStyle name="Normal 11 2 4 2 3 2 2 2 2 2" xfId="29701"/>
    <cellStyle name="Normal 11 2 4 2 3 2 2 2 3" xfId="18181"/>
    <cellStyle name="Normal 11 2 4 2 3 2 2 2 3 2" xfId="35461"/>
    <cellStyle name="Normal 11 2 4 2 3 2 2 2 4" xfId="23941"/>
    <cellStyle name="Normal 11 2 4 2 3 2 2 3" xfId="9541"/>
    <cellStyle name="Normal 11 2 4 2 3 2 2 3 2" xfId="26821"/>
    <cellStyle name="Normal 11 2 4 2 3 2 2 4" xfId="15301"/>
    <cellStyle name="Normal 11 2 4 2 3 2 2 4 2" xfId="32581"/>
    <cellStyle name="Normal 11 2 4 2 3 2 2 5" xfId="21061"/>
    <cellStyle name="Normal 11 2 4 2 3 2 3" xfId="5221"/>
    <cellStyle name="Normal 11 2 4 2 3 2 3 2" xfId="10981"/>
    <cellStyle name="Normal 11 2 4 2 3 2 3 2 2" xfId="28261"/>
    <cellStyle name="Normal 11 2 4 2 3 2 3 3" xfId="16741"/>
    <cellStyle name="Normal 11 2 4 2 3 2 3 3 2" xfId="34021"/>
    <cellStyle name="Normal 11 2 4 2 3 2 3 4" xfId="22501"/>
    <cellStyle name="Normal 11 2 4 2 3 2 4" xfId="8101"/>
    <cellStyle name="Normal 11 2 4 2 3 2 4 2" xfId="25381"/>
    <cellStyle name="Normal 11 2 4 2 3 2 5" xfId="13861"/>
    <cellStyle name="Normal 11 2 4 2 3 2 5 2" xfId="31141"/>
    <cellStyle name="Normal 11 2 4 2 3 2 6" xfId="19621"/>
    <cellStyle name="Normal 11 2 4 2 3 3" xfId="3061"/>
    <cellStyle name="Normal 11 2 4 2 3 3 2" xfId="5941"/>
    <cellStyle name="Normal 11 2 4 2 3 3 2 2" xfId="11701"/>
    <cellStyle name="Normal 11 2 4 2 3 3 2 2 2" xfId="28981"/>
    <cellStyle name="Normal 11 2 4 2 3 3 2 3" xfId="17461"/>
    <cellStyle name="Normal 11 2 4 2 3 3 2 3 2" xfId="34741"/>
    <cellStyle name="Normal 11 2 4 2 3 3 2 4" xfId="23221"/>
    <cellStyle name="Normal 11 2 4 2 3 3 3" xfId="8821"/>
    <cellStyle name="Normal 11 2 4 2 3 3 3 2" xfId="26101"/>
    <cellStyle name="Normal 11 2 4 2 3 3 4" xfId="14581"/>
    <cellStyle name="Normal 11 2 4 2 3 3 4 2" xfId="31861"/>
    <cellStyle name="Normal 11 2 4 2 3 3 5" xfId="20341"/>
    <cellStyle name="Normal 11 2 4 2 3 4" xfId="4501"/>
    <cellStyle name="Normal 11 2 4 2 3 4 2" xfId="10261"/>
    <cellStyle name="Normal 11 2 4 2 3 4 2 2" xfId="27541"/>
    <cellStyle name="Normal 11 2 4 2 3 4 3" xfId="16021"/>
    <cellStyle name="Normal 11 2 4 2 3 4 3 2" xfId="33301"/>
    <cellStyle name="Normal 11 2 4 2 3 4 4" xfId="21781"/>
    <cellStyle name="Normal 11 2 4 2 3 5" xfId="7381"/>
    <cellStyle name="Normal 11 2 4 2 3 5 2" xfId="24661"/>
    <cellStyle name="Normal 11 2 4 2 3 6" xfId="13141"/>
    <cellStyle name="Normal 11 2 4 2 3 6 2" xfId="30421"/>
    <cellStyle name="Normal 11 2 4 2 3 7" xfId="18901"/>
    <cellStyle name="Normal 11 2 4 2 4" xfId="1861"/>
    <cellStyle name="Normal 11 2 4 2 4 2" xfId="3301"/>
    <cellStyle name="Normal 11 2 4 2 4 2 2" xfId="6181"/>
    <cellStyle name="Normal 11 2 4 2 4 2 2 2" xfId="11941"/>
    <cellStyle name="Normal 11 2 4 2 4 2 2 2 2" xfId="29221"/>
    <cellStyle name="Normal 11 2 4 2 4 2 2 3" xfId="17701"/>
    <cellStyle name="Normal 11 2 4 2 4 2 2 3 2" xfId="34981"/>
    <cellStyle name="Normal 11 2 4 2 4 2 2 4" xfId="23461"/>
    <cellStyle name="Normal 11 2 4 2 4 2 3" xfId="9061"/>
    <cellStyle name="Normal 11 2 4 2 4 2 3 2" xfId="26341"/>
    <cellStyle name="Normal 11 2 4 2 4 2 4" xfId="14821"/>
    <cellStyle name="Normal 11 2 4 2 4 2 4 2" xfId="32101"/>
    <cellStyle name="Normal 11 2 4 2 4 2 5" xfId="20581"/>
    <cellStyle name="Normal 11 2 4 2 4 3" xfId="4741"/>
    <cellStyle name="Normal 11 2 4 2 4 3 2" xfId="10501"/>
    <cellStyle name="Normal 11 2 4 2 4 3 2 2" xfId="27781"/>
    <cellStyle name="Normal 11 2 4 2 4 3 3" xfId="16261"/>
    <cellStyle name="Normal 11 2 4 2 4 3 3 2" xfId="33541"/>
    <cellStyle name="Normal 11 2 4 2 4 3 4" xfId="22021"/>
    <cellStyle name="Normal 11 2 4 2 4 4" xfId="7621"/>
    <cellStyle name="Normal 11 2 4 2 4 4 2" xfId="24901"/>
    <cellStyle name="Normal 11 2 4 2 4 5" xfId="13381"/>
    <cellStyle name="Normal 11 2 4 2 4 5 2" xfId="30661"/>
    <cellStyle name="Normal 11 2 4 2 4 6" xfId="19141"/>
    <cellStyle name="Normal 11 2 4 2 5" xfId="2581"/>
    <cellStyle name="Normal 11 2 4 2 5 2" xfId="5461"/>
    <cellStyle name="Normal 11 2 4 2 5 2 2" xfId="11221"/>
    <cellStyle name="Normal 11 2 4 2 5 2 2 2" xfId="28501"/>
    <cellStyle name="Normal 11 2 4 2 5 2 3" xfId="16981"/>
    <cellStyle name="Normal 11 2 4 2 5 2 3 2" xfId="34261"/>
    <cellStyle name="Normal 11 2 4 2 5 2 4" xfId="22741"/>
    <cellStyle name="Normal 11 2 4 2 5 3" xfId="8341"/>
    <cellStyle name="Normal 11 2 4 2 5 3 2" xfId="25621"/>
    <cellStyle name="Normal 11 2 4 2 5 4" xfId="14101"/>
    <cellStyle name="Normal 11 2 4 2 5 4 2" xfId="31381"/>
    <cellStyle name="Normal 11 2 4 2 5 5" xfId="19861"/>
    <cellStyle name="Normal 11 2 4 2 6" xfId="4021"/>
    <cellStyle name="Normal 11 2 4 2 6 2" xfId="9781"/>
    <cellStyle name="Normal 11 2 4 2 6 2 2" xfId="27061"/>
    <cellStyle name="Normal 11 2 4 2 6 3" xfId="15541"/>
    <cellStyle name="Normal 11 2 4 2 6 3 2" xfId="32821"/>
    <cellStyle name="Normal 11 2 4 2 6 4" xfId="21301"/>
    <cellStyle name="Normal 11 2 4 2 7" xfId="6901"/>
    <cellStyle name="Normal 11 2 4 2 7 2" xfId="24181"/>
    <cellStyle name="Normal 11 2 4 2 8" xfId="12661"/>
    <cellStyle name="Normal 11 2 4 2 8 2" xfId="29941"/>
    <cellStyle name="Normal 11 2 4 2 9" xfId="18421"/>
    <cellStyle name="Normal 11 2 4 3" xfId="1261"/>
    <cellStyle name="Normal 11 2 4 3 2" xfId="1981"/>
    <cellStyle name="Normal 11 2 4 3 2 2" xfId="3421"/>
    <cellStyle name="Normal 11 2 4 3 2 2 2" xfId="6301"/>
    <cellStyle name="Normal 11 2 4 3 2 2 2 2" xfId="12061"/>
    <cellStyle name="Normal 11 2 4 3 2 2 2 2 2" xfId="29341"/>
    <cellStyle name="Normal 11 2 4 3 2 2 2 3" xfId="17821"/>
    <cellStyle name="Normal 11 2 4 3 2 2 2 3 2" xfId="35101"/>
    <cellStyle name="Normal 11 2 4 3 2 2 2 4" xfId="23581"/>
    <cellStyle name="Normal 11 2 4 3 2 2 3" xfId="9181"/>
    <cellStyle name="Normal 11 2 4 3 2 2 3 2" xfId="26461"/>
    <cellStyle name="Normal 11 2 4 3 2 2 4" xfId="14941"/>
    <cellStyle name="Normal 11 2 4 3 2 2 4 2" xfId="32221"/>
    <cellStyle name="Normal 11 2 4 3 2 2 5" xfId="20701"/>
    <cellStyle name="Normal 11 2 4 3 2 3" xfId="4861"/>
    <cellStyle name="Normal 11 2 4 3 2 3 2" xfId="10621"/>
    <cellStyle name="Normal 11 2 4 3 2 3 2 2" xfId="27901"/>
    <cellStyle name="Normal 11 2 4 3 2 3 3" xfId="16381"/>
    <cellStyle name="Normal 11 2 4 3 2 3 3 2" xfId="33661"/>
    <cellStyle name="Normal 11 2 4 3 2 3 4" xfId="22141"/>
    <cellStyle name="Normal 11 2 4 3 2 4" xfId="7741"/>
    <cellStyle name="Normal 11 2 4 3 2 4 2" xfId="25021"/>
    <cellStyle name="Normal 11 2 4 3 2 5" xfId="13501"/>
    <cellStyle name="Normal 11 2 4 3 2 5 2" xfId="30781"/>
    <cellStyle name="Normal 11 2 4 3 2 6" xfId="19261"/>
    <cellStyle name="Normal 11 2 4 3 3" xfId="2701"/>
    <cellStyle name="Normal 11 2 4 3 3 2" xfId="5581"/>
    <cellStyle name="Normal 11 2 4 3 3 2 2" xfId="11341"/>
    <cellStyle name="Normal 11 2 4 3 3 2 2 2" xfId="28621"/>
    <cellStyle name="Normal 11 2 4 3 3 2 3" xfId="17101"/>
    <cellStyle name="Normal 11 2 4 3 3 2 3 2" xfId="34381"/>
    <cellStyle name="Normal 11 2 4 3 3 2 4" xfId="22861"/>
    <cellStyle name="Normal 11 2 4 3 3 3" xfId="8461"/>
    <cellStyle name="Normal 11 2 4 3 3 3 2" xfId="25741"/>
    <cellStyle name="Normal 11 2 4 3 3 4" xfId="14221"/>
    <cellStyle name="Normal 11 2 4 3 3 4 2" xfId="31501"/>
    <cellStyle name="Normal 11 2 4 3 3 5" xfId="19981"/>
    <cellStyle name="Normal 11 2 4 3 4" xfId="4141"/>
    <cellStyle name="Normal 11 2 4 3 4 2" xfId="9901"/>
    <cellStyle name="Normal 11 2 4 3 4 2 2" xfId="27181"/>
    <cellStyle name="Normal 11 2 4 3 4 3" xfId="15661"/>
    <cellStyle name="Normal 11 2 4 3 4 3 2" xfId="32941"/>
    <cellStyle name="Normal 11 2 4 3 4 4" xfId="21421"/>
    <cellStyle name="Normal 11 2 4 3 5" xfId="7021"/>
    <cellStyle name="Normal 11 2 4 3 5 2" xfId="24301"/>
    <cellStyle name="Normal 11 2 4 3 6" xfId="12781"/>
    <cellStyle name="Normal 11 2 4 3 6 2" xfId="30061"/>
    <cellStyle name="Normal 11 2 4 3 7" xfId="18541"/>
    <cellStyle name="Normal 11 2 4 4" xfId="1501"/>
    <cellStyle name="Normal 11 2 4 4 2" xfId="2221"/>
    <cellStyle name="Normal 11 2 4 4 2 2" xfId="3661"/>
    <cellStyle name="Normal 11 2 4 4 2 2 2" xfId="6541"/>
    <cellStyle name="Normal 11 2 4 4 2 2 2 2" xfId="12301"/>
    <cellStyle name="Normal 11 2 4 4 2 2 2 2 2" xfId="29581"/>
    <cellStyle name="Normal 11 2 4 4 2 2 2 3" xfId="18061"/>
    <cellStyle name="Normal 11 2 4 4 2 2 2 3 2" xfId="35341"/>
    <cellStyle name="Normal 11 2 4 4 2 2 2 4" xfId="23821"/>
    <cellStyle name="Normal 11 2 4 4 2 2 3" xfId="9421"/>
    <cellStyle name="Normal 11 2 4 4 2 2 3 2" xfId="26701"/>
    <cellStyle name="Normal 11 2 4 4 2 2 4" xfId="15181"/>
    <cellStyle name="Normal 11 2 4 4 2 2 4 2" xfId="32461"/>
    <cellStyle name="Normal 11 2 4 4 2 2 5" xfId="20941"/>
    <cellStyle name="Normal 11 2 4 4 2 3" xfId="5101"/>
    <cellStyle name="Normal 11 2 4 4 2 3 2" xfId="10861"/>
    <cellStyle name="Normal 11 2 4 4 2 3 2 2" xfId="28141"/>
    <cellStyle name="Normal 11 2 4 4 2 3 3" xfId="16621"/>
    <cellStyle name="Normal 11 2 4 4 2 3 3 2" xfId="33901"/>
    <cellStyle name="Normal 11 2 4 4 2 3 4" xfId="22381"/>
    <cellStyle name="Normal 11 2 4 4 2 4" xfId="7981"/>
    <cellStyle name="Normal 11 2 4 4 2 4 2" xfId="25261"/>
    <cellStyle name="Normal 11 2 4 4 2 5" xfId="13741"/>
    <cellStyle name="Normal 11 2 4 4 2 5 2" xfId="31021"/>
    <cellStyle name="Normal 11 2 4 4 2 6" xfId="19501"/>
    <cellStyle name="Normal 11 2 4 4 3" xfId="2941"/>
    <cellStyle name="Normal 11 2 4 4 3 2" xfId="5821"/>
    <cellStyle name="Normal 11 2 4 4 3 2 2" xfId="11581"/>
    <cellStyle name="Normal 11 2 4 4 3 2 2 2" xfId="28861"/>
    <cellStyle name="Normal 11 2 4 4 3 2 3" xfId="17341"/>
    <cellStyle name="Normal 11 2 4 4 3 2 3 2" xfId="34621"/>
    <cellStyle name="Normal 11 2 4 4 3 2 4" xfId="23101"/>
    <cellStyle name="Normal 11 2 4 4 3 3" xfId="8701"/>
    <cellStyle name="Normal 11 2 4 4 3 3 2" xfId="25981"/>
    <cellStyle name="Normal 11 2 4 4 3 4" xfId="14461"/>
    <cellStyle name="Normal 11 2 4 4 3 4 2" xfId="31741"/>
    <cellStyle name="Normal 11 2 4 4 3 5" xfId="20221"/>
    <cellStyle name="Normal 11 2 4 4 4" xfId="4381"/>
    <cellStyle name="Normal 11 2 4 4 4 2" xfId="10141"/>
    <cellStyle name="Normal 11 2 4 4 4 2 2" xfId="27421"/>
    <cellStyle name="Normal 11 2 4 4 4 3" xfId="15901"/>
    <cellStyle name="Normal 11 2 4 4 4 3 2" xfId="33181"/>
    <cellStyle name="Normal 11 2 4 4 4 4" xfId="21661"/>
    <cellStyle name="Normal 11 2 4 4 5" xfId="7261"/>
    <cellStyle name="Normal 11 2 4 4 5 2" xfId="24541"/>
    <cellStyle name="Normal 11 2 4 4 6" xfId="13021"/>
    <cellStyle name="Normal 11 2 4 4 6 2" xfId="30301"/>
    <cellStyle name="Normal 11 2 4 4 7" xfId="18781"/>
    <cellStyle name="Normal 11 2 4 5" xfId="1741"/>
    <cellStyle name="Normal 11 2 4 5 2" xfId="3181"/>
    <cellStyle name="Normal 11 2 4 5 2 2" xfId="6061"/>
    <cellStyle name="Normal 11 2 4 5 2 2 2" xfId="11821"/>
    <cellStyle name="Normal 11 2 4 5 2 2 2 2" xfId="29101"/>
    <cellStyle name="Normal 11 2 4 5 2 2 3" xfId="17581"/>
    <cellStyle name="Normal 11 2 4 5 2 2 3 2" xfId="34861"/>
    <cellStyle name="Normal 11 2 4 5 2 2 4" xfId="23341"/>
    <cellStyle name="Normal 11 2 4 5 2 3" xfId="8941"/>
    <cellStyle name="Normal 11 2 4 5 2 3 2" xfId="26221"/>
    <cellStyle name="Normal 11 2 4 5 2 4" xfId="14701"/>
    <cellStyle name="Normal 11 2 4 5 2 4 2" xfId="31981"/>
    <cellStyle name="Normal 11 2 4 5 2 5" xfId="20461"/>
    <cellStyle name="Normal 11 2 4 5 3" xfId="4621"/>
    <cellStyle name="Normal 11 2 4 5 3 2" xfId="10381"/>
    <cellStyle name="Normal 11 2 4 5 3 2 2" xfId="27661"/>
    <cellStyle name="Normal 11 2 4 5 3 3" xfId="16141"/>
    <cellStyle name="Normal 11 2 4 5 3 3 2" xfId="33421"/>
    <cellStyle name="Normal 11 2 4 5 3 4" xfId="21901"/>
    <cellStyle name="Normal 11 2 4 5 4" xfId="7501"/>
    <cellStyle name="Normal 11 2 4 5 4 2" xfId="24781"/>
    <cellStyle name="Normal 11 2 4 5 5" xfId="13261"/>
    <cellStyle name="Normal 11 2 4 5 5 2" xfId="30541"/>
    <cellStyle name="Normal 11 2 4 5 6" xfId="19021"/>
    <cellStyle name="Normal 11 2 4 6" xfId="2461"/>
    <cellStyle name="Normal 11 2 4 6 2" xfId="5341"/>
    <cellStyle name="Normal 11 2 4 6 2 2" xfId="11101"/>
    <cellStyle name="Normal 11 2 4 6 2 2 2" xfId="28381"/>
    <cellStyle name="Normal 11 2 4 6 2 3" xfId="16861"/>
    <cellStyle name="Normal 11 2 4 6 2 3 2" xfId="34141"/>
    <cellStyle name="Normal 11 2 4 6 2 4" xfId="22621"/>
    <cellStyle name="Normal 11 2 4 6 3" xfId="8221"/>
    <cellStyle name="Normal 11 2 4 6 3 2" xfId="25501"/>
    <cellStyle name="Normal 11 2 4 6 4" xfId="13981"/>
    <cellStyle name="Normal 11 2 4 6 4 2" xfId="31261"/>
    <cellStyle name="Normal 11 2 4 6 5" xfId="19741"/>
    <cellStyle name="Normal 11 2 4 7" xfId="3901"/>
    <cellStyle name="Normal 11 2 4 7 2" xfId="9661"/>
    <cellStyle name="Normal 11 2 4 7 2 2" xfId="26941"/>
    <cellStyle name="Normal 11 2 4 7 3" xfId="15421"/>
    <cellStyle name="Normal 11 2 4 7 3 2" xfId="32701"/>
    <cellStyle name="Normal 11 2 4 7 4" xfId="21181"/>
    <cellStyle name="Normal 11 2 4 8" xfId="6781"/>
    <cellStyle name="Normal 11 2 4 8 2" xfId="24061"/>
    <cellStyle name="Normal 11 2 4 9" xfId="12541"/>
    <cellStyle name="Normal 11 2 4 9 2" xfId="29821"/>
    <cellStyle name="Normal 11 2 5" xfId="981"/>
    <cellStyle name="Normal 11 2 5 10" xfId="18261"/>
    <cellStyle name="Normal 11 2 5 2" xfId="1101"/>
    <cellStyle name="Normal 11 2 5 2 2" xfId="1341"/>
    <cellStyle name="Normal 11 2 5 2 2 2" xfId="2061"/>
    <cellStyle name="Normal 11 2 5 2 2 2 2" xfId="3501"/>
    <cellStyle name="Normal 11 2 5 2 2 2 2 2" xfId="6381"/>
    <cellStyle name="Normal 11 2 5 2 2 2 2 2 2" xfId="12141"/>
    <cellStyle name="Normal 11 2 5 2 2 2 2 2 2 2" xfId="29421"/>
    <cellStyle name="Normal 11 2 5 2 2 2 2 2 3" xfId="17901"/>
    <cellStyle name="Normal 11 2 5 2 2 2 2 2 3 2" xfId="35181"/>
    <cellStyle name="Normal 11 2 5 2 2 2 2 2 4" xfId="23661"/>
    <cellStyle name="Normal 11 2 5 2 2 2 2 3" xfId="9261"/>
    <cellStyle name="Normal 11 2 5 2 2 2 2 3 2" xfId="26541"/>
    <cellStyle name="Normal 11 2 5 2 2 2 2 4" xfId="15021"/>
    <cellStyle name="Normal 11 2 5 2 2 2 2 4 2" xfId="32301"/>
    <cellStyle name="Normal 11 2 5 2 2 2 2 5" xfId="20781"/>
    <cellStyle name="Normal 11 2 5 2 2 2 3" xfId="4941"/>
    <cellStyle name="Normal 11 2 5 2 2 2 3 2" xfId="10701"/>
    <cellStyle name="Normal 11 2 5 2 2 2 3 2 2" xfId="27981"/>
    <cellStyle name="Normal 11 2 5 2 2 2 3 3" xfId="16461"/>
    <cellStyle name="Normal 11 2 5 2 2 2 3 3 2" xfId="33741"/>
    <cellStyle name="Normal 11 2 5 2 2 2 3 4" xfId="22221"/>
    <cellStyle name="Normal 11 2 5 2 2 2 4" xfId="7821"/>
    <cellStyle name="Normal 11 2 5 2 2 2 4 2" xfId="25101"/>
    <cellStyle name="Normal 11 2 5 2 2 2 5" xfId="13581"/>
    <cellStyle name="Normal 11 2 5 2 2 2 5 2" xfId="30861"/>
    <cellStyle name="Normal 11 2 5 2 2 2 6" xfId="19341"/>
    <cellStyle name="Normal 11 2 5 2 2 3" xfId="2781"/>
    <cellStyle name="Normal 11 2 5 2 2 3 2" xfId="5661"/>
    <cellStyle name="Normal 11 2 5 2 2 3 2 2" xfId="11421"/>
    <cellStyle name="Normal 11 2 5 2 2 3 2 2 2" xfId="28701"/>
    <cellStyle name="Normal 11 2 5 2 2 3 2 3" xfId="17181"/>
    <cellStyle name="Normal 11 2 5 2 2 3 2 3 2" xfId="34461"/>
    <cellStyle name="Normal 11 2 5 2 2 3 2 4" xfId="22941"/>
    <cellStyle name="Normal 11 2 5 2 2 3 3" xfId="8541"/>
    <cellStyle name="Normal 11 2 5 2 2 3 3 2" xfId="25821"/>
    <cellStyle name="Normal 11 2 5 2 2 3 4" xfId="14301"/>
    <cellStyle name="Normal 11 2 5 2 2 3 4 2" xfId="31581"/>
    <cellStyle name="Normal 11 2 5 2 2 3 5" xfId="20061"/>
    <cellStyle name="Normal 11 2 5 2 2 4" xfId="4221"/>
    <cellStyle name="Normal 11 2 5 2 2 4 2" xfId="9981"/>
    <cellStyle name="Normal 11 2 5 2 2 4 2 2" xfId="27261"/>
    <cellStyle name="Normal 11 2 5 2 2 4 3" xfId="15741"/>
    <cellStyle name="Normal 11 2 5 2 2 4 3 2" xfId="33021"/>
    <cellStyle name="Normal 11 2 5 2 2 4 4" xfId="21501"/>
    <cellStyle name="Normal 11 2 5 2 2 5" xfId="7101"/>
    <cellStyle name="Normal 11 2 5 2 2 5 2" xfId="24381"/>
    <cellStyle name="Normal 11 2 5 2 2 6" xfId="12861"/>
    <cellStyle name="Normal 11 2 5 2 2 6 2" xfId="30141"/>
    <cellStyle name="Normal 11 2 5 2 2 7" xfId="18621"/>
    <cellStyle name="Normal 11 2 5 2 3" xfId="1581"/>
    <cellStyle name="Normal 11 2 5 2 3 2" xfId="2301"/>
    <cellStyle name="Normal 11 2 5 2 3 2 2" xfId="3741"/>
    <cellStyle name="Normal 11 2 5 2 3 2 2 2" xfId="6621"/>
    <cellStyle name="Normal 11 2 5 2 3 2 2 2 2" xfId="12381"/>
    <cellStyle name="Normal 11 2 5 2 3 2 2 2 2 2" xfId="29661"/>
    <cellStyle name="Normal 11 2 5 2 3 2 2 2 3" xfId="18141"/>
    <cellStyle name="Normal 11 2 5 2 3 2 2 2 3 2" xfId="35421"/>
    <cellStyle name="Normal 11 2 5 2 3 2 2 2 4" xfId="23901"/>
    <cellStyle name="Normal 11 2 5 2 3 2 2 3" xfId="9501"/>
    <cellStyle name="Normal 11 2 5 2 3 2 2 3 2" xfId="26781"/>
    <cellStyle name="Normal 11 2 5 2 3 2 2 4" xfId="15261"/>
    <cellStyle name="Normal 11 2 5 2 3 2 2 4 2" xfId="32541"/>
    <cellStyle name="Normal 11 2 5 2 3 2 2 5" xfId="21021"/>
    <cellStyle name="Normal 11 2 5 2 3 2 3" xfId="5181"/>
    <cellStyle name="Normal 11 2 5 2 3 2 3 2" xfId="10941"/>
    <cellStyle name="Normal 11 2 5 2 3 2 3 2 2" xfId="28221"/>
    <cellStyle name="Normal 11 2 5 2 3 2 3 3" xfId="16701"/>
    <cellStyle name="Normal 11 2 5 2 3 2 3 3 2" xfId="33981"/>
    <cellStyle name="Normal 11 2 5 2 3 2 3 4" xfId="22461"/>
    <cellStyle name="Normal 11 2 5 2 3 2 4" xfId="8061"/>
    <cellStyle name="Normal 11 2 5 2 3 2 4 2" xfId="25341"/>
    <cellStyle name="Normal 11 2 5 2 3 2 5" xfId="13821"/>
    <cellStyle name="Normal 11 2 5 2 3 2 5 2" xfId="31101"/>
    <cellStyle name="Normal 11 2 5 2 3 2 6" xfId="19581"/>
    <cellStyle name="Normal 11 2 5 2 3 3" xfId="3021"/>
    <cellStyle name="Normal 11 2 5 2 3 3 2" xfId="5901"/>
    <cellStyle name="Normal 11 2 5 2 3 3 2 2" xfId="11661"/>
    <cellStyle name="Normal 11 2 5 2 3 3 2 2 2" xfId="28941"/>
    <cellStyle name="Normal 11 2 5 2 3 3 2 3" xfId="17421"/>
    <cellStyle name="Normal 11 2 5 2 3 3 2 3 2" xfId="34701"/>
    <cellStyle name="Normal 11 2 5 2 3 3 2 4" xfId="23181"/>
    <cellStyle name="Normal 11 2 5 2 3 3 3" xfId="8781"/>
    <cellStyle name="Normal 11 2 5 2 3 3 3 2" xfId="26061"/>
    <cellStyle name="Normal 11 2 5 2 3 3 4" xfId="14541"/>
    <cellStyle name="Normal 11 2 5 2 3 3 4 2" xfId="31821"/>
    <cellStyle name="Normal 11 2 5 2 3 3 5" xfId="20301"/>
    <cellStyle name="Normal 11 2 5 2 3 4" xfId="4461"/>
    <cellStyle name="Normal 11 2 5 2 3 4 2" xfId="10221"/>
    <cellStyle name="Normal 11 2 5 2 3 4 2 2" xfId="27501"/>
    <cellStyle name="Normal 11 2 5 2 3 4 3" xfId="15981"/>
    <cellStyle name="Normal 11 2 5 2 3 4 3 2" xfId="33261"/>
    <cellStyle name="Normal 11 2 5 2 3 4 4" xfId="21741"/>
    <cellStyle name="Normal 11 2 5 2 3 5" xfId="7341"/>
    <cellStyle name="Normal 11 2 5 2 3 5 2" xfId="24621"/>
    <cellStyle name="Normal 11 2 5 2 3 6" xfId="13101"/>
    <cellStyle name="Normal 11 2 5 2 3 6 2" xfId="30381"/>
    <cellStyle name="Normal 11 2 5 2 3 7" xfId="18861"/>
    <cellStyle name="Normal 11 2 5 2 4" xfId="1821"/>
    <cellStyle name="Normal 11 2 5 2 4 2" xfId="3261"/>
    <cellStyle name="Normal 11 2 5 2 4 2 2" xfId="6141"/>
    <cellStyle name="Normal 11 2 5 2 4 2 2 2" xfId="11901"/>
    <cellStyle name="Normal 11 2 5 2 4 2 2 2 2" xfId="29181"/>
    <cellStyle name="Normal 11 2 5 2 4 2 2 3" xfId="17661"/>
    <cellStyle name="Normal 11 2 5 2 4 2 2 3 2" xfId="34941"/>
    <cellStyle name="Normal 11 2 5 2 4 2 2 4" xfId="23421"/>
    <cellStyle name="Normal 11 2 5 2 4 2 3" xfId="9021"/>
    <cellStyle name="Normal 11 2 5 2 4 2 3 2" xfId="26301"/>
    <cellStyle name="Normal 11 2 5 2 4 2 4" xfId="14781"/>
    <cellStyle name="Normal 11 2 5 2 4 2 4 2" xfId="32061"/>
    <cellStyle name="Normal 11 2 5 2 4 2 5" xfId="20541"/>
    <cellStyle name="Normal 11 2 5 2 4 3" xfId="4701"/>
    <cellStyle name="Normal 11 2 5 2 4 3 2" xfId="10461"/>
    <cellStyle name="Normal 11 2 5 2 4 3 2 2" xfId="27741"/>
    <cellStyle name="Normal 11 2 5 2 4 3 3" xfId="16221"/>
    <cellStyle name="Normal 11 2 5 2 4 3 3 2" xfId="33501"/>
    <cellStyle name="Normal 11 2 5 2 4 3 4" xfId="21981"/>
    <cellStyle name="Normal 11 2 5 2 4 4" xfId="7581"/>
    <cellStyle name="Normal 11 2 5 2 4 4 2" xfId="24861"/>
    <cellStyle name="Normal 11 2 5 2 4 5" xfId="13341"/>
    <cellStyle name="Normal 11 2 5 2 4 5 2" xfId="30621"/>
    <cellStyle name="Normal 11 2 5 2 4 6" xfId="19101"/>
    <cellStyle name="Normal 11 2 5 2 5" xfId="2541"/>
    <cellStyle name="Normal 11 2 5 2 5 2" xfId="5421"/>
    <cellStyle name="Normal 11 2 5 2 5 2 2" xfId="11181"/>
    <cellStyle name="Normal 11 2 5 2 5 2 2 2" xfId="28461"/>
    <cellStyle name="Normal 11 2 5 2 5 2 3" xfId="16941"/>
    <cellStyle name="Normal 11 2 5 2 5 2 3 2" xfId="34221"/>
    <cellStyle name="Normal 11 2 5 2 5 2 4" xfId="22701"/>
    <cellStyle name="Normal 11 2 5 2 5 3" xfId="8301"/>
    <cellStyle name="Normal 11 2 5 2 5 3 2" xfId="25581"/>
    <cellStyle name="Normal 11 2 5 2 5 4" xfId="14061"/>
    <cellStyle name="Normal 11 2 5 2 5 4 2" xfId="31341"/>
    <cellStyle name="Normal 11 2 5 2 5 5" xfId="19821"/>
    <cellStyle name="Normal 11 2 5 2 6" xfId="3981"/>
    <cellStyle name="Normal 11 2 5 2 6 2" xfId="9741"/>
    <cellStyle name="Normal 11 2 5 2 6 2 2" xfId="27021"/>
    <cellStyle name="Normal 11 2 5 2 6 3" xfId="15501"/>
    <cellStyle name="Normal 11 2 5 2 6 3 2" xfId="32781"/>
    <cellStyle name="Normal 11 2 5 2 6 4" xfId="21261"/>
    <cellStyle name="Normal 11 2 5 2 7" xfId="6861"/>
    <cellStyle name="Normal 11 2 5 2 7 2" xfId="24141"/>
    <cellStyle name="Normal 11 2 5 2 8" xfId="12621"/>
    <cellStyle name="Normal 11 2 5 2 8 2" xfId="29901"/>
    <cellStyle name="Normal 11 2 5 2 9" xfId="18381"/>
    <cellStyle name="Normal 11 2 5 3" xfId="1221"/>
    <cellStyle name="Normal 11 2 5 3 2" xfId="1941"/>
    <cellStyle name="Normal 11 2 5 3 2 2" xfId="3381"/>
    <cellStyle name="Normal 11 2 5 3 2 2 2" xfId="6261"/>
    <cellStyle name="Normal 11 2 5 3 2 2 2 2" xfId="12021"/>
    <cellStyle name="Normal 11 2 5 3 2 2 2 2 2" xfId="29301"/>
    <cellStyle name="Normal 11 2 5 3 2 2 2 3" xfId="17781"/>
    <cellStyle name="Normal 11 2 5 3 2 2 2 3 2" xfId="35061"/>
    <cellStyle name="Normal 11 2 5 3 2 2 2 4" xfId="23541"/>
    <cellStyle name="Normal 11 2 5 3 2 2 3" xfId="9141"/>
    <cellStyle name="Normal 11 2 5 3 2 2 3 2" xfId="26421"/>
    <cellStyle name="Normal 11 2 5 3 2 2 4" xfId="14901"/>
    <cellStyle name="Normal 11 2 5 3 2 2 4 2" xfId="32181"/>
    <cellStyle name="Normal 11 2 5 3 2 2 5" xfId="20661"/>
    <cellStyle name="Normal 11 2 5 3 2 3" xfId="4821"/>
    <cellStyle name="Normal 11 2 5 3 2 3 2" xfId="10581"/>
    <cellStyle name="Normal 11 2 5 3 2 3 2 2" xfId="27861"/>
    <cellStyle name="Normal 11 2 5 3 2 3 3" xfId="16341"/>
    <cellStyle name="Normal 11 2 5 3 2 3 3 2" xfId="33621"/>
    <cellStyle name="Normal 11 2 5 3 2 3 4" xfId="22101"/>
    <cellStyle name="Normal 11 2 5 3 2 4" xfId="7701"/>
    <cellStyle name="Normal 11 2 5 3 2 4 2" xfId="24981"/>
    <cellStyle name="Normal 11 2 5 3 2 5" xfId="13461"/>
    <cellStyle name="Normal 11 2 5 3 2 5 2" xfId="30741"/>
    <cellStyle name="Normal 11 2 5 3 2 6" xfId="19221"/>
    <cellStyle name="Normal 11 2 5 3 3" xfId="2661"/>
    <cellStyle name="Normal 11 2 5 3 3 2" xfId="5541"/>
    <cellStyle name="Normal 11 2 5 3 3 2 2" xfId="11301"/>
    <cellStyle name="Normal 11 2 5 3 3 2 2 2" xfId="28581"/>
    <cellStyle name="Normal 11 2 5 3 3 2 3" xfId="17061"/>
    <cellStyle name="Normal 11 2 5 3 3 2 3 2" xfId="34341"/>
    <cellStyle name="Normal 11 2 5 3 3 2 4" xfId="22821"/>
    <cellStyle name="Normal 11 2 5 3 3 3" xfId="8421"/>
    <cellStyle name="Normal 11 2 5 3 3 3 2" xfId="25701"/>
    <cellStyle name="Normal 11 2 5 3 3 4" xfId="14181"/>
    <cellStyle name="Normal 11 2 5 3 3 4 2" xfId="31461"/>
    <cellStyle name="Normal 11 2 5 3 3 5" xfId="19941"/>
    <cellStyle name="Normal 11 2 5 3 4" xfId="4101"/>
    <cellStyle name="Normal 11 2 5 3 4 2" xfId="9861"/>
    <cellStyle name="Normal 11 2 5 3 4 2 2" xfId="27141"/>
    <cellStyle name="Normal 11 2 5 3 4 3" xfId="15621"/>
    <cellStyle name="Normal 11 2 5 3 4 3 2" xfId="32901"/>
    <cellStyle name="Normal 11 2 5 3 4 4" xfId="21381"/>
    <cellStyle name="Normal 11 2 5 3 5" xfId="6981"/>
    <cellStyle name="Normal 11 2 5 3 5 2" xfId="24261"/>
    <cellStyle name="Normal 11 2 5 3 6" xfId="12741"/>
    <cellStyle name="Normal 11 2 5 3 6 2" xfId="30021"/>
    <cellStyle name="Normal 11 2 5 3 7" xfId="18501"/>
    <cellStyle name="Normal 11 2 5 4" xfId="1461"/>
    <cellStyle name="Normal 11 2 5 4 2" xfId="2181"/>
    <cellStyle name="Normal 11 2 5 4 2 2" xfId="3621"/>
    <cellStyle name="Normal 11 2 5 4 2 2 2" xfId="6501"/>
    <cellStyle name="Normal 11 2 5 4 2 2 2 2" xfId="12261"/>
    <cellStyle name="Normal 11 2 5 4 2 2 2 2 2" xfId="29541"/>
    <cellStyle name="Normal 11 2 5 4 2 2 2 3" xfId="18021"/>
    <cellStyle name="Normal 11 2 5 4 2 2 2 3 2" xfId="35301"/>
    <cellStyle name="Normal 11 2 5 4 2 2 2 4" xfId="23781"/>
    <cellStyle name="Normal 11 2 5 4 2 2 3" xfId="9381"/>
    <cellStyle name="Normal 11 2 5 4 2 2 3 2" xfId="26661"/>
    <cellStyle name="Normal 11 2 5 4 2 2 4" xfId="15141"/>
    <cellStyle name="Normal 11 2 5 4 2 2 4 2" xfId="32421"/>
    <cellStyle name="Normal 11 2 5 4 2 2 5" xfId="20901"/>
    <cellStyle name="Normal 11 2 5 4 2 3" xfId="5061"/>
    <cellStyle name="Normal 11 2 5 4 2 3 2" xfId="10821"/>
    <cellStyle name="Normal 11 2 5 4 2 3 2 2" xfId="28101"/>
    <cellStyle name="Normal 11 2 5 4 2 3 3" xfId="16581"/>
    <cellStyle name="Normal 11 2 5 4 2 3 3 2" xfId="33861"/>
    <cellStyle name="Normal 11 2 5 4 2 3 4" xfId="22341"/>
    <cellStyle name="Normal 11 2 5 4 2 4" xfId="7941"/>
    <cellStyle name="Normal 11 2 5 4 2 4 2" xfId="25221"/>
    <cellStyle name="Normal 11 2 5 4 2 5" xfId="13701"/>
    <cellStyle name="Normal 11 2 5 4 2 5 2" xfId="30981"/>
    <cellStyle name="Normal 11 2 5 4 2 6" xfId="19461"/>
    <cellStyle name="Normal 11 2 5 4 3" xfId="2901"/>
    <cellStyle name="Normal 11 2 5 4 3 2" xfId="5781"/>
    <cellStyle name="Normal 11 2 5 4 3 2 2" xfId="11541"/>
    <cellStyle name="Normal 11 2 5 4 3 2 2 2" xfId="28821"/>
    <cellStyle name="Normal 11 2 5 4 3 2 3" xfId="17301"/>
    <cellStyle name="Normal 11 2 5 4 3 2 3 2" xfId="34581"/>
    <cellStyle name="Normal 11 2 5 4 3 2 4" xfId="23061"/>
    <cellStyle name="Normal 11 2 5 4 3 3" xfId="8661"/>
    <cellStyle name="Normal 11 2 5 4 3 3 2" xfId="25941"/>
    <cellStyle name="Normal 11 2 5 4 3 4" xfId="14421"/>
    <cellStyle name="Normal 11 2 5 4 3 4 2" xfId="31701"/>
    <cellStyle name="Normal 11 2 5 4 3 5" xfId="20181"/>
    <cellStyle name="Normal 11 2 5 4 4" xfId="4341"/>
    <cellStyle name="Normal 11 2 5 4 4 2" xfId="10101"/>
    <cellStyle name="Normal 11 2 5 4 4 2 2" xfId="27381"/>
    <cellStyle name="Normal 11 2 5 4 4 3" xfId="15861"/>
    <cellStyle name="Normal 11 2 5 4 4 3 2" xfId="33141"/>
    <cellStyle name="Normal 11 2 5 4 4 4" xfId="21621"/>
    <cellStyle name="Normal 11 2 5 4 5" xfId="7221"/>
    <cellStyle name="Normal 11 2 5 4 5 2" xfId="24501"/>
    <cellStyle name="Normal 11 2 5 4 6" xfId="12981"/>
    <cellStyle name="Normal 11 2 5 4 6 2" xfId="30261"/>
    <cellStyle name="Normal 11 2 5 4 7" xfId="18741"/>
    <cellStyle name="Normal 11 2 5 5" xfId="1701"/>
    <cellStyle name="Normal 11 2 5 5 2" xfId="3141"/>
    <cellStyle name="Normal 11 2 5 5 2 2" xfId="6021"/>
    <cellStyle name="Normal 11 2 5 5 2 2 2" xfId="11781"/>
    <cellStyle name="Normal 11 2 5 5 2 2 2 2" xfId="29061"/>
    <cellStyle name="Normal 11 2 5 5 2 2 3" xfId="17541"/>
    <cellStyle name="Normal 11 2 5 5 2 2 3 2" xfId="34821"/>
    <cellStyle name="Normal 11 2 5 5 2 2 4" xfId="23301"/>
    <cellStyle name="Normal 11 2 5 5 2 3" xfId="8901"/>
    <cellStyle name="Normal 11 2 5 5 2 3 2" xfId="26181"/>
    <cellStyle name="Normal 11 2 5 5 2 4" xfId="14661"/>
    <cellStyle name="Normal 11 2 5 5 2 4 2" xfId="31941"/>
    <cellStyle name="Normal 11 2 5 5 2 5" xfId="20421"/>
    <cellStyle name="Normal 11 2 5 5 3" xfId="4581"/>
    <cellStyle name="Normal 11 2 5 5 3 2" xfId="10341"/>
    <cellStyle name="Normal 11 2 5 5 3 2 2" xfId="27621"/>
    <cellStyle name="Normal 11 2 5 5 3 3" xfId="16101"/>
    <cellStyle name="Normal 11 2 5 5 3 3 2" xfId="33381"/>
    <cellStyle name="Normal 11 2 5 5 3 4" xfId="21861"/>
    <cellStyle name="Normal 11 2 5 5 4" xfId="7461"/>
    <cellStyle name="Normal 11 2 5 5 4 2" xfId="24741"/>
    <cellStyle name="Normal 11 2 5 5 5" xfId="13221"/>
    <cellStyle name="Normal 11 2 5 5 5 2" xfId="30501"/>
    <cellStyle name="Normal 11 2 5 5 6" xfId="18981"/>
    <cellStyle name="Normal 11 2 5 6" xfId="2421"/>
    <cellStyle name="Normal 11 2 5 6 2" xfId="5301"/>
    <cellStyle name="Normal 11 2 5 6 2 2" xfId="11061"/>
    <cellStyle name="Normal 11 2 5 6 2 2 2" xfId="28341"/>
    <cellStyle name="Normal 11 2 5 6 2 3" xfId="16821"/>
    <cellStyle name="Normal 11 2 5 6 2 3 2" xfId="34101"/>
    <cellStyle name="Normal 11 2 5 6 2 4" xfId="22581"/>
    <cellStyle name="Normal 11 2 5 6 3" xfId="8181"/>
    <cellStyle name="Normal 11 2 5 6 3 2" xfId="25461"/>
    <cellStyle name="Normal 11 2 5 6 4" xfId="13941"/>
    <cellStyle name="Normal 11 2 5 6 4 2" xfId="31221"/>
    <cellStyle name="Normal 11 2 5 6 5" xfId="19701"/>
    <cellStyle name="Normal 11 2 5 7" xfId="3861"/>
    <cellStyle name="Normal 11 2 5 7 2" xfId="9621"/>
    <cellStyle name="Normal 11 2 5 7 2 2" xfId="26901"/>
    <cellStyle name="Normal 11 2 5 7 3" xfId="15381"/>
    <cellStyle name="Normal 11 2 5 7 3 2" xfId="32661"/>
    <cellStyle name="Normal 11 2 5 7 4" xfId="21141"/>
    <cellStyle name="Normal 11 2 5 8" xfId="6741"/>
    <cellStyle name="Normal 11 2 5 8 2" xfId="24021"/>
    <cellStyle name="Normal 11 2 5 9" xfId="12501"/>
    <cellStyle name="Normal 11 2 5 9 2" xfId="29781"/>
    <cellStyle name="Normal 11 2 6" xfId="1061"/>
    <cellStyle name="Normal 11 2 6 2" xfId="1301"/>
    <cellStyle name="Normal 11 2 6 2 2" xfId="2021"/>
    <cellStyle name="Normal 11 2 6 2 2 2" xfId="3461"/>
    <cellStyle name="Normal 11 2 6 2 2 2 2" xfId="6341"/>
    <cellStyle name="Normal 11 2 6 2 2 2 2 2" xfId="12101"/>
    <cellStyle name="Normal 11 2 6 2 2 2 2 2 2" xfId="29381"/>
    <cellStyle name="Normal 11 2 6 2 2 2 2 3" xfId="17861"/>
    <cellStyle name="Normal 11 2 6 2 2 2 2 3 2" xfId="35141"/>
    <cellStyle name="Normal 11 2 6 2 2 2 2 4" xfId="23621"/>
    <cellStyle name="Normal 11 2 6 2 2 2 3" xfId="9221"/>
    <cellStyle name="Normal 11 2 6 2 2 2 3 2" xfId="26501"/>
    <cellStyle name="Normal 11 2 6 2 2 2 4" xfId="14981"/>
    <cellStyle name="Normal 11 2 6 2 2 2 4 2" xfId="32261"/>
    <cellStyle name="Normal 11 2 6 2 2 2 5" xfId="20741"/>
    <cellStyle name="Normal 11 2 6 2 2 3" xfId="4901"/>
    <cellStyle name="Normal 11 2 6 2 2 3 2" xfId="10661"/>
    <cellStyle name="Normal 11 2 6 2 2 3 2 2" xfId="27941"/>
    <cellStyle name="Normal 11 2 6 2 2 3 3" xfId="16421"/>
    <cellStyle name="Normal 11 2 6 2 2 3 3 2" xfId="33701"/>
    <cellStyle name="Normal 11 2 6 2 2 3 4" xfId="22181"/>
    <cellStyle name="Normal 11 2 6 2 2 4" xfId="7781"/>
    <cellStyle name="Normal 11 2 6 2 2 4 2" xfId="25061"/>
    <cellStyle name="Normal 11 2 6 2 2 5" xfId="13541"/>
    <cellStyle name="Normal 11 2 6 2 2 5 2" xfId="30821"/>
    <cellStyle name="Normal 11 2 6 2 2 6" xfId="19301"/>
    <cellStyle name="Normal 11 2 6 2 3" xfId="2741"/>
    <cellStyle name="Normal 11 2 6 2 3 2" xfId="5621"/>
    <cellStyle name="Normal 11 2 6 2 3 2 2" xfId="11381"/>
    <cellStyle name="Normal 11 2 6 2 3 2 2 2" xfId="28661"/>
    <cellStyle name="Normal 11 2 6 2 3 2 3" xfId="17141"/>
    <cellStyle name="Normal 11 2 6 2 3 2 3 2" xfId="34421"/>
    <cellStyle name="Normal 11 2 6 2 3 2 4" xfId="22901"/>
    <cellStyle name="Normal 11 2 6 2 3 3" xfId="8501"/>
    <cellStyle name="Normal 11 2 6 2 3 3 2" xfId="25781"/>
    <cellStyle name="Normal 11 2 6 2 3 4" xfId="14261"/>
    <cellStyle name="Normal 11 2 6 2 3 4 2" xfId="31541"/>
    <cellStyle name="Normal 11 2 6 2 3 5" xfId="20021"/>
    <cellStyle name="Normal 11 2 6 2 4" xfId="4181"/>
    <cellStyle name="Normal 11 2 6 2 4 2" xfId="9941"/>
    <cellStyle name="Normal 11 2 6 2 4 2 2" xfId="27221"/>
    <cellStyle name="Normal 11 2 6 2 4 3" xfId="15701"/>
    <cellStyle name="Normal 11 2 6 2 4 3 2" xfId="32981"/>
    <cellStyle name="Normal 11 2 6 2 4 4" xfId="21461"/>
    <cellStyle name="Normal 11 2 6 2 5" xfId="7061"/>
    <cellStyle name="Normal 11 2 6 2 5 2" xfId="24341"/>
    <cellStyle name="Normal 11 2 6 2 6" xfId="12821"/>
    <cellStyle name="Normal 11 2 6 2 6 2" xfId="30101"/>
    <cellStyle name="Normal 11 2 6 2 7" xfId="18581"/>
    <cellStyle name="Normal 11 2 6 3" xfId="1541"/>
    <cellStyle name="Normal 11 2 6 3 2" xfId="2261"/>
    <cellStyle name="Normal 11 2 6 3 2 2" xfId="3701"/>
    <cellStyle name="Normal 11 2 6 3 2 2 2" xfId="6581"/>
    <cellStyle name="Normal 11 2 6 3 2 2 2 2" xfId="12341"/>
    <cellStyle name="Normal 11 2 6 3 2 2 2 2 2" xfId="29621"/>
    <cellStyle name="Normal 11 2 6 3 2 2 2 3" xfId="18101"/>
    <cellStyle name="Normal 11 2 6 3 2 2 2 3 2" xfId="35381"/>
    <cellStyle name="Normal 11 2 6 3 2 2 2 4" xfId="23861"/>
    <cellStyle name="Normal 11 2 6 3 2 2 3" xfId="9461"/>
    <cellStyle name="Normal 11 2 6 3 2 2 3 2" xfId="26741"/>
    <cellStyle name="Normal 11 2 6 3 2 2 4" xfId="15221"/>
    <cellStyle name="Normal 11 2 6 3 2 2 4 2" xfId="32501"/>
    <cellStyle name="Normal 11 2 6 3 2 2 5" xfId="20981"/>
    <cellStyle name="Normal 11 2 6 3 2 3" xfId="5141"/>
    <cellStyle name="Normal 11 2 6 3 2 3 2" xfId="10901"/>
    <cellStyle name="Normal 11 2 6 3 2 3 2 2" xfId="28181"/>
    <cellStyle name="Normal 11 2 6 3 2 3 3" xfId="16661"/>
    <cellStyle name="Normal 11 2 6 3 2 3 3 2" xfId="33941"/>
    <cellStyle name="Normal 11 2 6 3 2 3 4" xfId="22421"/>
    <cellStyle name="Normal 11 2 6 3 2 4" xfId="8021"/>
    <cellStyle name="Normal 11 2 6 3 2 4 2" xfId="25301"/>
    <cellStyle name="Normal 11 2 6 3 2 5" xfId="13781"/>
    <cellStyle name="Normal 11 2 6 3 2 5 2" xfId="31061"/>
    <cellStyle name="Normal 11 2 6 3 2 6" xfId="19541"/>
    <cellStyle name="Normal 11 2 6 3 3" xfId="2981"/>
    <cellStyle name="Normal 11 2 6 3 3 2" xfId="5861"/>
    <cellStyle name="Normal 11 2 6 3 3 2 2" xfId="11621"/>
    <cellStyle name="Normal 11 2 6 3 3 2 2 2" xfId="28901"/>
    <cellStyle name="Normal 11 2 6 3 3 2 3" xfId="17381"/>
    <cellStyle name="Normal 11 2 6 3 3 2 3 2" xfId="34661"/>
    <cellStyle name="Normal 11 2 6 3 3 2 4" xfId="23141"/>
    <cellStyle name="Normal 11 2 6 3 3 3" xfId="8741"/>
    <cellStyle name="Normal 11 2 6 3 3 3 2" xfId="26021"/>
    <cellStyle name="Normal 11 2 6 3 3 4" xfId="14501"/>
    <cellStyle name="Normal 11 2 6 3 3 4 2" xfId="31781"/>
    <cellStyle name="Normal 11 2 6 3 3 5" xfId="20261"/>
    <cellStyle name="Normal 11 2 6 3 4" xfId="4421"/>
    <cellStyle name="Normal 11 2 6 3 4 2" xfId="10181"/>
    <cellStyle name="Normal 11 2 6 3 4 2 2" xfId="27461"/>
    <cellStyle name="Normal 11 2 6 3 4 3" xfId="15941"/>
    <cellStyle name="Normal 11 2 6 3 4 3 2" xfId="33221"/>
    <cellStyle name="Normal 11 2 6 3 4 4" xfId="21701"/>
    <cellStyle name="Normal 11 2 6 3 5" xfId="7301"/>
    <cellStyle name="Normal 11 2 6 3 5 2" xfId="24581"/>
    <cellStyle name="Normal 11 2 6 3 6" xfId="13061"/>
    <cellStyle name="Normal 11 2 6 3 6 2" xfId="30341"/>
    <cellStyle name="Normal 11 2 6 3 7" xfId="18821"/>
    <cellStyle name="Normal 11 2 6 4" xfId="1781"/>
    <cellStyle name="Normal 11 2 6 4 2" xfId="3221"/>
    <cellStyle name="Normal 11 2 6 4 2 2" xfId="6101"/>
    <cellStyle name="Normal 11 2 6 4 2 2 2" xfId="11861"/>
    <cellStyle name="Normal 11 2 6 4 2 2 2 2" xfId="29141"/>
    <cellStyle name="Normal 11 2 6 4 2 2 3" xfId="17621"/>
    <cellStyle name="Normal 11 2 6 4 2 2 3 2" xfId="34901"/>
    <cellStyle name="Normal 11 2 6 4 2 2 4" xfId="23381"/>
    <cellStyle name="Normal 11 2 6 4 2 3" xfId="8981"/>
    <cellStyle name="Normal 11 2 6 4 2 3 2" xfId="26261"/>
    <cellStyle name="Normal 11 2 6 4 2 4" xfId="14741"/>
    <cellStyle name="Normal 11 2 6 4 2 4 2" xfId="32021"/>
    <cellStyle name="Normal 11 2 6 4 2 5" xfId="20501"/>
    <cellStyle name="Normal 11 2 6 4 3" xfId="4661"/>
    <cellStyle name="Normal 11 2 6 4 3 2" xfId="10421"/>
    <cellStyle name="Normal 11 2 6 4 3 2 2" xfId="27701"/>
    <cellStyle name="Normal 11 2 6 4 3 3" xfId="16181"/>
    <cellStyle name="Normal 11 2 6 4 3 3 2" xfId="33461"/>
    <cellStyle name="Normal 11 2 6 4 3 4" xfId="21941"/>
    <cellStyle name="Normal 11 2 6 4 4" xfId="7541"/>
    <cellStyle name="Normal 11 2 6 4 4 2" xfId="24821"/>
    <cellStyle name="Normal 11 2 6 4 5" xfId="13301"/>
    <cellStyle name="Normal 11 2 6 4 5 2" xfId="30581"/>
    <cellStyle name="Normal 11 2 6 4 6" xfId="19061"/>
    <cellStyle name="Normal 11 2 6 5" xfId="2501"/>
    <cellStyle name="Normal 11 2 6 5 2" xfId="5381"/>
    <cellStyle name="Normal 11 2 6 5 2 2" xfId="11141"/>
    <cellStyle name="Normal 11 2 6 5 2 2 2" xfId="28421"/>
    <cellStyle name="Normal 11 2 6 5 2 3" xfId="16901"/>
    <cellStyle name="Normal 11 2 6 5 2 3 2" xfId="34181"/>
    <cellStyle name="Normal 11 2 6 5 2 4" xfId="22661"/>
    <cellStyle name="Normal 11 2 6 5 3" xfId="8261"/>
    <cellStyle name="Normal 11 2 6 5 3 2" xfId="25541"/>
    <cellStyle name="Normal 11 2 6 5 4" xfId="14021"/>
    <cellStyle name="Normal 11 2 6 5 4 2" xfId="31301"/>
    <cellStyle name="Normal 11 2 6 5 5" xfId="19781"/>
    <cellStyle name="Normal 11 2 6 6" xfId="3941"/>
    <cellStyle name="Normal 11 2 6 6 2" xfId="9701"/>
    <cellStyle name="Normal 11 2 6 6 2 2" xfId="26981"/>
    <cellStyle name="Normal 11 2 6 6 3" xfId="15461"/>
    <cellStyle name="Normal 11 2 6 6 3 2" xfId="32741"/>
    <cellStyle name="Normal 11 2 6 6 4" xfId="21221"/>
    <cellStyle name="Normal 11 2 6 7" xfId="6821"/>
    <cellStyle name="Normal 11 2 6 7 2" xfId="24101"/>
    <cellStyle name="Normal 11 2 6 8" xfId="12581"/>
    <cellStyle name="Normal 11 2 6 8 2" xfId="29861"/>
    <cellStyle name="Normal 11 2 6 9" xfId="18341"/>
    <cellStyle name="Normal 11 2 7" xfId="1181"/>
    <cellStyle name="Normal 11 2 7 2" xfId="1901"/>
    <cellStyle name="Normal 11 2 7 2 2" xfId="3341"/>
    <cellStyle name="Normal 11 2 7 2 2 2" xfId="6221"/>
    <cellStyle name="Normal 11 2 7 2 2 2 2" xfId="11981"/>
    <cellStyle name="Normal 11 2 7 2 2 2 2 2" xfId="29261"/>
    <cellStyle name="Normal 11 2 7 2 2 2 3" xfId="17741"/>
    <cellStyle name="Normal 11 2 7 2 2 2 3 2" xfId="35021"/>
    <cellStyle name="Normal 11 2 7 2 2 2 4" xfId="23501"/>
    <cellStyle name="Normal 11 2 7 2 2 3" xfId="9101"/>
    <cellStyle name="Normal 11 2 7 2 2 3 2" xfId="26381"/>
    <cellStyle name="Normal 11 2 7 2 2 4" xfId="14861"/>
    <cellStyle name="Normal 11 2 7 2 2 4 2" xfId="32141"/>
    <cellStyle name="Normal 11 2 7 2 2 5" xfId="20621"/>
    <cellStyle name="Normal 11 2 7 2 3" xfId="4781"/>
    <cellStyle name="Normal 11 2 7 2 3 2" xfId="10541"/>
    <cellStyle name="Normal 11 2 7 2 3 2 2" xfId="27821"/>
    <cellStyle name="Normal 11 2 7 2 3 3" xfId="16301"/>
    <cellStyle name="Normal 11 2 7 2 3 3 2" xfId="33581"/>
    <cellStyle name="Normal 11 2 7 2 3 4" xfId="22061"/>
    <cellStyle name="Normal 11 2 7 2 4" xfId="7661"/>
    <cellStyle name="Normal 11 2 7 2 4 2" xfId="24941"/>
    <cellStyle name="Normal 11 2 7 2 5" xfId="13421"/>
    <cellStyle name="Normal 11 2 7 2 5 2" xfId="30701"/>
    <cellStyle name="Normal 11 2 7 2 6" xfId="19181"/>
    <cellStyle name="Normal 11 2 7 3" xfId="2621"/>
    <cellStyle name="Normal 11 2 7 3 2" xfId="5501"/>
    <cellStyle name="Normal 11 2 7 3 2 2" xfId="11261"/>
    <cellStyle name="Normal 11 2 7 3 2 2 2" xfId="28541"/>
    <cellStyle name="Normal 11 2 7 3 2 3" xfId="17021"/>
    <cellStyle name="Normal 11 2 7 3 2 3 2" xfId="34301"/>
    <cellStyle name="Normal 11 2 7 3 2 4" xfId="22781"/>
    <cellStyle name="Normal 11 2 7 3 3" xfId="8381"/>
    <cellStyle name="Normal 11 2 7 3 3 2" xfId="25661"/>
    <cellStyle name="Normal 11 2 7 3 4" xfId="14141"/>
    <cellStyle name="Normal 11 2 7 3 4 2" xfId="31421"/>
    <cellStyle name="Normal 11 2 7 3 5" xfId="19901"/>
    <cellStyle name="Normal 11 2 7 4" xfId="4061"/>
    <cellStyle name="Normal 11 2 7 4 2" xfId="9821"/>
    <cellStyle name="Normal 11 2 7 4 2 2" xfId="27101"/>
    <cellStyle name="Normal 11 2 7 4 3" xfId="15581"/>
    <cellStyle name="Normal 11 2 7 4 3 2" xfId="32861"/>
    <cellStyle name="Normal 11 2 7 4 4" xfId="21341"/>
    <cellStyle name="Normal 11 2 7 5" xfId="6941"/>
    <cellStyle name="Normal 11 2 7 5 2" xfId="24221"/>
    <cellStyle name="Normal 11 2 7 6" xfId="12701"/>
    <cellStyle name="Normal 11 2 7 6 2" xfId="29981"/>
    <cellStyle name="Normal 11 2 7 7" xfId="18461"/>
    <cellStyle name="Normal 11 2 8" xfId="1421"/>
    <cellStyle name="Normal 11 2 8 2" xfId="2141"/>
    <cellStyle name="Normal 11 2 8 2 2" xfId="3581"/>
    <cellStyle name="Normal 11 2 8 2 2 2" xfId="6461"/>
    <cellStyle name="Normal 11 2 8 2 2 2 2" xfId="12221"/>
    <cellStyle name="Normal 11 2 8 2 2 2 2 2" xfId="29501"/>
    <cellStyle name="Normal 11 2 8 2 2 2 3" xfId="17981"/>
    <cellStyle name="Normal 11 2 8 2 2 2 3 2" xfId="35261"/>
    <cellStyle name="Normal 11 2 8 2 2 2 4" xfId="23741"/>
    <cellStyle name="Normal 11 2 8 2 2 3" xfId="9341"/>
    <cellStyle name="Normal 11 2 8 2 2 3 2" xfId="26621"/>
    <cellStyle name="Normal 11 2 8 2 2 4" xfId="15101"/>
    <cellStyle name="Normal 11 2 8 2 2 4 2" xfId="32381"/>
    <cellStyle name="Normal 11 2 8 2 2 5" xfId="20861"/>
    <cellStyle name="Normal 11 2 8 2 3" xfId="5021"/>
    <cellStyle name="Normal 11 2 8 2 3 2" xfId="10781"/>
    <cellStyle name="Normal 11 2 8 2 3 2 2" xfId="28061"/>
    <cellStyle name="Normal 11 2 8 2 3 3" xfId="16541"/>
    <cellStyle name="Normal 11 2 8 2 3 3 2" xfId="33821"/>
    <cellStyle name="Normal 11 2 8 2 3 4" xfId="22301"/>
    <cellStyle name="Normal 11 2 8 2 4" xfId="7901"/>
    <cellStyle name="Normal 11 2 8 2 4 2" xfId="25181"/>
    <cellStyle name="Normal 11 2 8 2 5" xfId="13661"/>
    <cellStyle name="Normal 11 2 8 2 5 2" xfId="30941"/>
    <cellStyle name="Normal 11 2 8 2 6" xfId="19421"/>
    <cellStyle name="Normal 11 2 8 3" xfId="2861"/>
    <cellStyle name="Normal 11 2 8 3 2" xfId="5741"/>
    <cellStyle name="Normal 11 2 8 3 2 2" xfId="11501"/>
    <cellStyle name="Normal 11 2 8 3 2 2 2" xfId="28781"/>
    <cellStyle name="Normal 11 2 8 3 2 3" xfId="17261"/>
    <cellStyle name="Normal 11 2 8 3 2 3 2" xfId="34541"/>
    <cellStyle name="Normal 11 2 8 3 2 4" xfId="23021"/>
    <cellStyle name="Normal 11 2 8 3 3" xfId="8621"/>
    <cellStyle name="Normal 11 2 8 3 3 2" xfId="25901"/>
    <cellStyle name="Normal 11 2 8 3 4" xfId="14381"/>
    <cellStyle name="Normal 11 2 8 3 4 2" xfId="31661"/>
    <cellStyle name="Normal 11 2 8 3 5" xfId="20141"/>
    <cellStyle name="Normal 11 2 8 4" xfId="4301"/>
    <cellStyle name="Normal 11 2 8 4 2" xfId="10061"/>
    <cellStyle name="Normal 11 2 8 4 2 2" xfId="27341"/>
    <cellStyle name="Normal 11 2 8 4 3" xfId="15821"/>
    <cellStyle name="Normal 11 2 8 4 3 2" xfId="33101"/>
    <cellStyle name="Normal 11 2 8 4 4" xfId="21581"/>
    <cellStyle name="Normal 11 2 8 5" xfId="7181"/>
    <cellStyle name="Normal 11 2 8 5 2" xfId="24461"/>
    <cellStyle name="Normal 11 2 8 6" xfId="12941"/>
    <cellStyle name="Normal 11 2 8 6 2" xfId="30221"/>
    <cellStyle name="Normal 11 2 8 7" xfId="18701"/>
    <cellStyle name="Normal 11 2 9" xfId="1661"/>
    <cellStyle name="Normal 11 2 9 2" xfId="3101"/>
    <cellStyle name="Normal 11 2 9 2 2" xfId="5981"/>
    <cellStyle name="Normal 11 2 9 2 2 2" xfId="11741"/>
    <cellStyle name="Normal 11 2 9 2 2 2 2" xfId="29021"/>
    <cellStyle name="Normal 11 2 9 2 2 3" xfId="17501"/>
    <cellStyle name="Normal 11 2 9 2 2 3 2" xfId="34781"/>
    <cellStyle name="Normal 11 2 9 2 2 4" xfId="23261"/>
    <cellStyle name="Normal 11 2 9 2 3" xfId="8861"/>
    <cellStyle name="Normal 11 2 9 2 3 2" xfId="26141"/>
    <cellStyle name="Normal 11 2 9 2 4" xfId="14621"/>
    <cellStyle name="Normal 11 2 9 2 4 2" xfId="31901"/>
    <cellStyle name="Normal 11 2 9 2 5" xfId="20381"/>
    <cellStyle name="Normal 11 2 9 3" xfId="4541"/>
    <cellStyle name="Normal 11 2 9 3 2" xfId="10301"/>
    <cellStyle name="Normal 11 2 9 3 2 2" xfId="27581"/>
    <cellStyle name="Normal 11 2 9 3 3" xfId="16061"/>
    <cellStyle name="Normal 11 2 9 3 3 2" xfId="33341"/>
    <cellStyle name="Normal 11 2 9 3 4" xfId="21821"/>
    <cellStyle name="Normal 11 2 9 4" xfId="7421"/>
    <cellStyle name="Normal 11 2 9 4 2" xfId="24701"/>
    <cellStyle name="Normal 11 2 9 5" xfId="13181"/>
    <cellStyle name="Normal 11 2 9 5 2" xfId="30461"/>
    <cellStyle name="Normal 11 2 9 6" xfId="18941"/>
    <cellStyle name="Normal 11 3" xfId="395"/>
    <cellStyle name="Normal 11 3 10" xfId="3826"/>
    <cellStyle name="Normal 11 3 10 2" xfId="9586"/>
    <cellStyle name="Normal 11 3 10 2 2" xfId="26866"/>
    <cellStyle name="Normal 11 3 10 3" xfId="15346"/>
    <cellStyle name="Normal 11 3 10 3 2" xfId="32626"/>
    <cellStyle name="Normal 11 3 10 4" xfId="21106"/>
    <cellStyle name="Normal 11 3 11" xfId="6706"/>
    <cellStyle name="Normal 11 3 11 2" xfId="23986"/>
    <cellStyle name="Normal 11 3 12" xfId="12466"/>
    <cellStyle name="Normal 11 3 12 2" xfId="29746"/>
    <cellStyle name="Normal 11 3 13" xfId="18226"/>
    <cellStyle name="Normal 11 3 2" xfId="415"/>
    <cellStyle name="Normal 11 3 2 10" xfId="6726"/>
    <cellStyle name="Normal 11 3 2 10 2" xfId="24006"/>
    <cellStyle name="Normal 11 3 2 11" xfId="12486"/>
    <cellStyle name="Normal 11 3 2 11 2" xfId="29766"/>
    <cellStyle name="Normal 11 3 2 12" xfId="18246"/>
    <cellStyle name="Normal 11 3 2 2" xfId="1046"/>
    <cellStyle name="Normal 11 3 2 2 10" xfId="18326"/>
    <cellStyle name="Normal 11 3 2 2 2" xfId="1166"/>
    <cellStyle name="Normal 11 3 2 2 2 2" xfId="1406"/>
    <cellStyle name="Normal 11 3 2 2 2 2 2" xfId="2126"/>
    <cellStyle name="Normal 11 3 2 2 2 2 2 2" xfId="3566"/>
    <cellStyle name="Normal 11 3 2 2 2 2 2 2 2" xfId="6446"/>
    <cellStyle name="Normal 11 3 2 2 2 2 2 2 2 2" xfId="12206"/>
    <cellStyle name="Normal 11 3 2 2 2 2 2 2 2 2 2" xfId="29486"/>
    <cellStyle name="Normal 11 3 2 2 2 2 2 2 2 3" xfId="17966"/>
    <cellStyle name="Normal 11 3 2 2 2 2 2 2 2 3 2" xfId="35246"/>
    <cellStyle name="Normal 11 3 2 2 2 2 2 2 2 4" xfId="23726"/>
    <cellStyle name="Normal 11 3 2 2 2 2 2 2 3" xfId="9326"/>
    <cellStyle name="Normal 11 3 2 2 2 2 2 2 3 2" xfId="26606"/>
    <cellStyle name="Normal 11 3 2 2 2 2 2 2 4" xfId="15086"/>
    <cellStyle name="Normal 11 3 2 2 2 2 2 2 4 2" xfId="32366"/>
    <cellStyle name="Normal 11 3 2 2 2 2 2 2 5" xfId="20846"/>
    <cellStyle name="Normal 11 3 2 2 2 2 2 3" xfId="5006"/>
    <cellStyle name="Normal 11 3 2 2 2 2 2 3 2" xfId="10766"/>
    <cellStyle name="Normal 11 3 2 2 2 2 2 3 2 2" xfId="28046"/>
    <cellStyle name="Normal 11 3 2 2 2 2 2 3 3" xfId="16526"/>
    <cellStyle name="Normal 11 3 2 2 2 2 2 3 3 2" xfId="33806"/>
    <cellStyle name="Normal 11 3 2 2 2 2 2 3 4" xfId="22286"/>
    <cellStyle name="Normal 11 3 2 2 2 2 2 4" xfId="7886"/>
    <cellStyle name="Normal 11 3 2 2 2 2 2 4 2" xfId="25166"/>
    <cellStyle name="Normal 11 3 2 2 2 2 2 5" xfId="13646"/>
    <cellStyle name="Normal 11 3 2 2 2 2 2 5 2" xfId="30926"/>
    <cellStyle name="Normal 11 3 2 2 2 2 2 6" xfId="19406"/>
    <cellStyle name="Normal 11 3 2 2 2 2 3" xfId="2846"/>
    <cellStyle name="Normal 11 3 2 2 2 2 3 2" xfId="5726"/>
    <cellStyle name="Normal 11 3 2 2 2 2 3 2 2" xfId="11486"/>
    <cellStyle name="Normal 11 3 2 2 2 2 3 2 2 2" xfId="28766"/>
    <cellStyle name="Normal 11 3 2 2 2 2 3 2 3" xfId="17246"/>
    <cellStyle name="Normal 11 3 2 2 2 2 3 2 3 2" xfId="34526"/>
    <cellStyle name="Normal 11 3 2 2 2 2 3 2 4" xfId="23006"/>
    <cellStyle name="Normal 11 3 2 2 2 2 3 3" xfId="8606"/>
    <cellStyle name="Normal 11 3 2 2 2 2 3 3 2" xfId="25886"/>
    <cellStyle name="Normal 11 3 2 2 2 2 3 4" xfId="14366"/>
    <cellStyle name="Normal 11 3 2 2 2 2 3 4 2" xfId="31646"/>
    <cellStyle name="Normal 11 3 2 2 2 2 3 5" xfId="20126"/>
    <cellStyle name="Normal 11 3 2 2 2 2 4" xfId="4286"/>
    <cellStyle name="Normal 11 3 2 2 2 2 4 2" xfId="10046"/>
    <cellStyle name="Normal 11 3 2 2 2 2 4 2 2" xfId="27326"/>
    <cellStyle name="Normal 11 3 2 2 2 2 4 3" xfId="15806"/>
    <cellStyle name="Normal 11 3 2 2 2 2 4 3 2" xfId="33086"/>
    <cellStyle name="Normal 11 3 2 2 2 2 4 4" xfId="21566"/>
    <cellStyle name="Normal 11 3 2 2 2 2 5" xfId="7166"/>
    <cellStyle name="Normal 11 3 2 2 2 2 5 2" xfId="24446"/>
    <cellStyle name="Normal 11 3 2 2 2 2 6" xfId="12926"/>
    <cellStyle name="Normal 11 3 2 2 2 2 6 2" xfId="30206"/>
    <cellStyle name="Normal 11 3 2 2 2 2 7" xfId="18686"/>
    <cellStyle name="Normal 11 3 2 2 2 3" xfId="1646"/>
    <cellStyle name="Normal 11 3 2 2 2 3 2" xfId="2366"/>
    <cellStyle name="Normal 11 3 2 2 2 3 2 2" xfId="3806"/>
    <cellStyle name="Normal 11 3 2 2 2 3 2 2 2" xfId="6686"/>
    <cellStyle name="Normal 11 3 2 2 2 3 2 2 2 2" xfId="12446"/>
    <cellStyle name="Normal 11 3 2 2 2 3 2 2 2 2 2" xfId="29726"/>
    <cellStyle name="Normal 11 3 2 2 2 3 2 2 2 3" xfId="18206"/>
    <cellStyle name="Normal 11 3 2 2 2 3 2 2 2 3 2" xfId="35486"/>
    <cellStyle name="Normal 11 3 2 2 2 3 2 2 2 4" xfId="23966"/>
    <cellStyle name="Normal 11 3 2 2 2 3 2 2 3" xfId="9566"/>
    <cellStyle name="Normal 11 3 2 2 2 3 2 2 3 2" xfId="26846"/>
    <cellStyle name="Normal 11 3 2 2 2 3 2 2 4" xfId="15326"/>
    <cellStyle name="Normal 11 3 2 2 2 3 2 2 4 2" xfId="32606"/>
    <cellStyle name="Normal 11 3 2 2 2 3 2 2 5" xfId="21086"/>
    <cellStyle name="Normal 11 3 2 2 2 3 2 3" xfId="5246"/>
    <cellStyle name="Normal 11 3 2 2 2 3 2 3 2" xfId="11006"/>
    <cellStyle name="Normal 11 3 2 2 2 3 2 3 2 2" xfId="28286"/>
    <cellStyle name="Normal 11 3 2 2 2 3 2 3 3" xfId="16766"/>
    <cellStyle name="Normal 11 3 2 2 2 3 2 3 3 2" xfId="34046"/>
    <cellStyle name="Normal 11 3 2 2 2 3 2 3 4" xfId="22526"/>
    <cellStyle name="Normal 11 3 2 2 2 3 2 4" xfId="8126"/>
    <cellStyle name="Normal 11 3 2 2 2 3 2 4 2" xfId="25406"/>
    <cellStyle name="Normal 11 3 2 2 2 3 2 5" xfId="13886"/>
    <cellStyle name="Normal 11 3 2 2 2 3 2 5 2" xfId="31166"/>
    <cellStyle name="Normal 11 3 2 2 2 3 2 6" xfId="19646"/>
    <cellStyle name="Normal 11 3 2 2 2 3 3" xfId="3086"/>
    <cellStyle name="Normal 11 3 2 2 2 3 3 2" xfId="5966"/>
    <cellStyle name="Normal 11 3 2 2 2 3 3 2 2" xfId="11726"/>
    <cellStyle name="Normal 11 3 2 2 2 3 3 2 2 2" xfId="29006"/>
    <cellStyle name="Normal 11 3 2 2 2 3 3 2 3" xfId="17486"/>
    <cellStyle name="Normal 11 3 2 2 2 3 3 2 3 2" xfId="34766"/>
    <cellStyle name="Normal 11 3 2 2 2 3 3 2 4" xfId="23246"/>
    <cellStyle name="Normal 11 3 2 2 2 3 3 3" xfId="8846"/>
    <cellStyle name="Normal 11 3 2 2 2 3 3 3 2" xfId="26126"/>
    <cellStyle name="Normal 11 3 2 2 2 3 3 4" xfId="14606"/>
    <cellStyle name="Normal 11 3 2 2 2 3 3 4 2" xfId="31886"/>
    <cellStyle name="Normal 11 3 2 2 2 3 3 5" xfId="20366"/>
    <cellStyle name="Normal 11 3 2 2 2 3 4" xfId="4526"/>
    <cellStyle name="Normal 11 3 2 2 2 3 4 2" xfId="10286"/>
    <cellStyle name="Normal 11 3 2 2 2 3 4 2 2" xfId="27566"/>
    <cellStyle name="Normal 11 3 2 2 2 3 4 3" xfId="16046"/>
    <cellStyle name="Normal 11 3 2 2 2 3 4 3 2" xfId="33326"/>
    <cellStyle name="Normal 11 3 2 2 2 3 4 4" xfId="21806"/>
    <cellStyle name="Normal 11 3 2 2 2 3 5" xfId="7406"/>
    <cellStyle name="Normal 11 3 2 2 2 3 5 2" xfId="24686"/>
    <cellStyle name="Normal 11 3 2 2 2 3 6" xfId="13166"/>
    <cellStyle name="Normal 11 3 2 2 2 3 6 2" xfId="30446"/>
    <cellStyle name="Normal 11 3 2 2 2 3 7" xfId="18926"/>
    <cellStyle name="Normal 11 3 2 2 2 4" xfId="1886"/>
    <cellStyle name="Normal 11 3 2 2 2 4 2" xfId="3326"/>
    <cellStyle name="Normal 11 3 2 2 2 4 2 2" xfId="6206"/>
    <cellStyle name="Normal 11 3 2 2 2 4 2 2 2" xfId="11966"/>
    <cellStyle name="Normal 11 3 2 2 2 4 2 2 2 2" xfId="29246"/>
    <cellStyle name="Normal 11 3 2 2 2 4 2 2 3" xfId="17726"/>
    <cellStyle name="Normal 11 3 2 2 2 4 2 2 3 2" xfId="35006"/>
    <cellStyle name="Normal 11 3 2 2 2 4 2 2 4" xfId="23486"/>
    <cellStyle name="Normal 11 3 2 2 2 4 2 3" xfId="9086"/>
    <cellStyle name="Normal 11 3 2 2 2 4 2 3 2" xfId="26366"/>
    <cellStyle name="Normal 11 3 2 2 2 4 2 4" xfId="14846"/>
    <cellStyle name="Normal 11 3 2 2 2 4 2 4 2" xfId="32126"/>
    <cellStyle name="Normal 11 3 2 2 2 4 2 5" xfId="20606"/>
    <cellStyle name="Normal 11 3 2 2 2 4 3" xfId="4766"/>
    <cellStyle name="Normal 11 3 2 2 2 4 3 2" xfId="10526"/>
    <cellStyle name="Normal 11 3 2 2 2 4 3 2 2" xfId="27806"/>
    <cellStyle name="Normal 11 3 2 2 2 4 3 3" xfId="16286"/>
    <cellStyle name="Normal 11 3 2 2 2 4 3 3 2" xfId="33566"/>
    <cellStyle name="Normal 11 3 2 2 2 4 3 4" xfId="22046"/>
    <cellStyle name="Normal 11 3 2 2 2 4 4" xfId="7646"/>
    <cellStyle name="Normal 11 3 2 2 2 4 4 2" xfId="24926"/>
    <cellStyle name="Normal 11 3 2 2 2 4 5" xfId="13406"/>
    <cellStyle name="Normal 11 3 2 2 2 4 5 2" xfId="30686"/>
    <cellStyle name="Normal 11 3 2 2 2 4 6" xfId="19166"/>
    <cellStyle name="Normal 11 3 2 2 2 5" xfId="2606"/>
    <cellStyle name="Normal 11 3 2 2 2 5 2" xfId="5486"/>
    <cellStyle name="Normal 11 3 2 2 2 5 2 2" xfId="11246"/>
    <cellStyle name="Normal 11 3 2 2 2 5 2 2 2" xfId="28526"/>
    <cellStyle name="Normal 11 3 2 2 2 5 2 3" xfId="17006"/>
    <cellStyle name="Normal 11 3 2 2 2 5 2 3 2" xfId="34286"/>
    <cellStyle name="Normal 11 3 2 2 2 5 2 4" xfId="22766"/>
    <cellStyle name="Normal 11 3 2 2 2 5 3" xfId="8366"/>
    <cellStyle name="Normal 11 3 2 2 2 5 3 2" xfId="25646"/>
    <cellStyle name="Normal 11 3 2 2 2 5 4" xfId="14126"/>
    <cellStyle name="Normal 11 3 2 2 2 5 4 2" xfId="31406"/>
    <cellStyle name="Normal 11 3 2 2 2 5 5" xfId="19886"/>
    <cellStyle name="Normal 11 3 2 2 2 6" xfId="4046"/>
    <cellStyle name="Normal 11 3 2 2 2 6 2" xfId="9806"/>
    <cellStyle name="Normal 11 3 2 2 2 6 2 2" xfId="27086"/>
    <cellStyle name="Normal 11 3 2 2 2 6 3" xfId="15566"/>
    <cellStyle name="Normal 11 3 2 2 2 6 3 2" xfId="32846"/>
    <cellStyle name="Normal 11 3 2 2 2 6 4" xfId="21326"/>
    <cellStyle name="Normal 11 3 2 2 2 7" xfId="6926"/>
    <cellStyle name="Normal 11 3 2 2 2 7 2" xfId="24206"/>
    <cellStyle name="Normal 11 3 2 2 2 8" xfId="12686"/>
    <cellStyle name="Normal 11 3 2 2 2 8 2" xfId="29966"/>
    <cellStyle name="Normal 11 3 2 2 2 9" xfId="18446"/>
    <cellStyle name="Normal 11 3 2 2 3" xfId="1286"/>
    <cellStyle name="Normal 11 3 2 2 3 2" xfId="2006"/>
    <cellStyle name="Normal 11 3 2 2 3 2 2" xfId="3446"/>
    <cellStyle name="Normal 11 3 2 2 3 2 2 2" xfId="6326"/>
    <cellStyle name="Normal 11 3 2 2 3 2 2 2 2" xfId="12086"/>
    <cellStyle name="Normal 11 3 2 2 3 2 2 2 2 2" xfId="29366"/>
    <cellStyle name="Normal 11 3 2 2 3 2 2 2 3" xfId="17846"/>
    <cellStyle name="Normal 11 3 2 2 3 2 2 2 3 2" xfId="35126"/>
    <cellStyle name="Normal 11 3 2 2 3 2 2 2 4" xfId="23606"/>
    <cellStyle name="Normal 11 3 2 2 3 2 2 3" xfId="9206"/>
    <cellStyle name="Normal 11 3 2 2 3 2 2 3 2" xfId="26486"/>
    <cellStyle name="Normal 11 3 2 2 3 2 2 4" xfId="14966"/>
    <cellStyle name="Normal 11 3 2 2 3 2 2 4 2" xfId="32246"/>
    <cellStyle name="Normal 11 3 2 2 3 2 2 5" xfId="20726"/>
    <cellStyle name="Normal 11 3 2 2 3 2 3" xfId="4886"/>
    <cellStyle name="Normal 11 3 2 2 3 2 3 2" xfId="10646"/>
    <cellStyle name="Normal 11 3 2 2 3 2 3 2 2" xfId="27926"/>
    <cellStyle name="Normal 11 3 2 2 3 2 3 3" xfId="16406"/>
    <cellStyle name="Normal 11 3 2 2 3 2 3 3 2" xfId="33686"/>
    <cellStyle name="Normal 11 3 2 2 3 2 3 4" xfId="22166"/>
    <cellStyle name="Normal 11 3 2 2 3 2 4" xfId="7766"/>
    <cellStyle name="Normal 11 3 2 2 3 2 4 2" xfId="25046"/>
    <cellStyle name="Normal 11 3 2 2 3 2 5" xfId="13526"/>
    <cellStyle name="Normal 11 3 2 2 3 2 5 2" xfId="30806"/>
    <cellStyle name="Normal 11 3 2 2 3 2 6" xfId="19286"/>
    <cellStyle name="Normal 11 3 2 2 3 3" xfId="2726"/>
    <cellStyle name="Normal 11 3 2 2 3 3 2" xfId="5606"/>
    <cellStyle name="Normal 11 3 2 2 3 3 2 2" xfId="11366"/>
    <cellStyle name="Normal 11 3 2 2 3 3 2 2 2" xfId="28646"/>
    <cellStyle name="Normal 11 3 2 2 3 3 2 3" xfId="17126"/>
    <cellStyle name="Normal 11 3 2 2 3 3 2 3 2" xfId="34406"/>
    <cellStyle name="Normal 11 3 2 2 3 3 2 4" xfId="22886"/>
    <cellStyle name="Normal 11 3 2 2 3 3 3" xfId="8486"/>
    <cellStyle name="Normal 11 3 2 2 3 3 3 2" xfId="25766"/>
    <cellStyle name="Normal 11 3 2 2 3 3 4" xfId="14246"/>
    <cellStyle name="Normal 11 3 2 2 3 3 4 2" xfId="31526"/>
    <cellStyle name="Normal 11 3 2 2 3 3 5" xfId="20006"/>
    <cellStyle name="Normal 11 3 2 2 3 4" xfId="4166"/>
    <cellStyle name="Normal 11 3 2 2 3 4 2" xfId="9926"/>
    <cellStyle name="Normal 11 3 2 2 3 4 2 2" xfId="27206"/>
    <cellStyle name="Normal 11 3 2 2 3 4 3" xfId="15686"/>
    <cellStyle name="Normal 11 3 2 2 3 4 3 2" xfId="32966"/>
    <cellStyle name="Normal 11 3 2 2 3 4 4" xfId="21446"/>
    <cellStyle name="Normal 11 3 2 2 3 5" xfId="7046"/>
    <cellStyle name="Normal 11 3 2 2 3 5 2" xfId="24326"/>
    <cellStyle name="Normal 11 3 2 2 3 6" xfId="12806"/>
    <cellStyle name="Normal 11 3 2 2 3 6 2" xfId="30086"/>
    <cellStyle name="Normal 11 3 2 2 3 7" xfId="18566"/>
    <cellStyle name="Normal 11 3 2 2 4" xfId="1526"/>
    <cellStyle name="Normal 11 3 2 2 4 2" xfId="2246"/>
    <cellStyle name="Normal 11 3 2 2 4 2 2" xfId="3686"/>
    <cellStyle name="Normal 11 3 2 2 4 2 2 2" xfId="6566"/>
    <cellStyle name="Normal 11 3 2 2 4 2 2 2 2" xfId="12326"/>
    <cellStyle name="Normal 11 3 2 2 4 2 2 2 2 2" xfId="29606"/>
    <cellStyle name="Normal 11 3 2 2 4 2 2 2 3" xfId="18086"/>
    <cellStyle name="Normal 11 3 2 2 4 2 2 2 3 2" xfId="35366"/>
    <cellStyle name="Normal 11 3 2 2 4 2 2 2 4" xfId="23846"/>
    <cellStyle name="Normal 11 3 2 2 4 2 2 3" xfId="9446"/>
    <cellStyle name="Normal 11 3 2 2 4 2 2 3 2" xfId="26726"/>
    <cellStyle name="Normal 11 3 2 2 4 2 2 4" xfId="15206"/>
    <cellStyle name="Normal 11 3 2 2 4 2 2 4 2" xfId="32486"/>
    <cellStyle name="Normal 11 3 2 2 4 2 2 5" xfId="20966"/>
    <cellStyle name="Normal 11 3 2 2 4 2 3" xfId="5126"/>
    <cellStyle name="Normal 11 3 2 2 4 2 3 2" xfId="10886"/>
    <cellStyle name="Normal 11 3 2 2 4 2 3 2 2" xfId="28166"/>
    <cellStyle name="Normal 11 3 2 2 4 2 3 3" xfId="16646"/>
    <cellStyle name="Normal 11 3 2 2 4 2 3 3 2" xfId="33926"/>
    <cellStyle name="Normal 11 3 2 2 4 2 3 4" xfId="22406"/>
    <cellStyle name="Normal 11 3 2 2 4 2 4" xfId="8006"/>
    <cellStyle name="Normal 11 3 2 2 4 2 4 2" xfId="25286"/>
    <cellStyle name="Normal 11 3 2 2 4 2 5" xfId="13766"/>
    <cellStyle name="Normal 11 3 2 2 4 2 5 2" xfId="31046"/>
    <cellStyle name="Normal 11 3 2 2 4 2 6" xfId="19526"/>
    <cellStyle name="Normal 11 3 2 2 4 3" xfId="2966"/>
    <cellStyle name="Normal 11 3 2 2 4 3 2" xfId="5846"/>
    <cellStyle name="Normal 11 3 2 2 4 3 2 2" xfId="11606"/>
    <cellStyle name="Normal 11 3 2 2 4 3 2 2 2" xfId="28886"/>
    <cellStyle name="Normal 11 3 2 2 4 3 2 3" xfId="17366"/>
    <cellStyle name="Normal 11 3 2 2 4 3 2 3 2" xfId="34646"/>
    <cellStyle name="Normal 11 3 2 2 4 3 2 4" xfId="23126"/>
    <cellStyle name="Normal 11 3 2 2 4 3 3" xfId="8726"/>
    <cellStyle name="Normal 11 3 2 2 4 3 3 2" xfId="26006"/>
    <cellStyle name="Normal 11 3 2 2 4 3 4" xfId="14486"/>
    <cellStyle name="Normal 11 3 2 2 4 3 4 2" xfId="31766"/>
    <cellStyle name="Normal 11 3 2 2 4 3 5" xfId="20246"/>
    <cellStyle name="Normal 11 3 2 2 4 4" xfId="4406"/>
    <cellStyle name="Normal 11 3 2 2 4 4 2" xfId="10166"/>
    <cellStyle name="Normal 11 3 2 2 4 4 2 2" xfId="27446"/>
    <cellStyle name="Normal 11 3 2 2 4 4 3" xfId="15926"/>
    <cellStyle name="Normal 11 3 2 2 4 4 3 2" xfId="33206"/>
    <cellStyle name="Normal 11 3 2 2 4 4 4" xfId="21686"/>
    <cellStyle name="Normal 11 3 2 2 4 5" xfId="7286"/>
    <cellStyle name="Normal 11 3 2 2 4 5 2" xfId="24566"/>
    <cellStyle name="Normal 11 3 2 2 4 6" xfId="13046"/>
    <cellStyle name="Normal 11 3 2 2 4 6 2" xfId="30326"/>
    <cellStyle name="Normal 11 3 2 2 4 7" xfId="18806"/>
    <cellStyle name="Normal 11 3 2 2 5" xfId="1766"/>
    <cellStyle name="Normal 11 3 2 2 5 2" xfId="3206"/>
    <cellStyle name="Normal 11 3 2 2 5 2 2" xfId="6086"/>
    <cellStyle name="Normal 11 3 2 2 5 2 2 2" xfId="11846"/>
    <cellStyle name="Normal 11 3 2 2 5 2 2 2 2" xfId="29126"/>
    <cellStyle name="Normal 11 3 2 2 5 2 2 3" xfId="17606"/>
    <cellStyle name="Normal 11 3 2 2 5 2 2 3 2" xfId="34886"/>
    <cellStyle name="Normal 11 3 2 2 5 2 2 4" xfId="23366"/>
    <cellStyle name="Normal 11 3 2 2 5 2 3" xfId="8966"/>
    <cellStyle name="Normal 11 3 2 2 5 2 3 2" xfId="26246"/>
    <cellStyle name="Normal 11 3 2 2 5 2 4" xfId="14726"/>
    <cellStyle name="Normal 11 3 2 2 5 2 4 2" xfId="32006"/>
    <cellStyle name="Normal 11 3 2 2 5 2 5" xfId="20486"/>
    <cellStyle name="Normal 11 3 2 2 5 3" xfId="4646"/>
    <cellStyle name="Normal 11 3 2 2 5 3 2" xfId="10406"/>
    <cellStyle name="Normal 11 3 2 2 5 3 2 2" xfId="27686"/>
    <cellStyle name="Normal 11 3 2 2 5 3 3" xfId="16166"/>
    <cellStyle name="Normal 11 3 2 2 5 3 3 2" xfId="33446"/>
    <cellStyle name="Normal 11 3 2 2 5 3 4" xfId="21926"/>
    <cellStyle name="Normal 11 3 2 2 5 4" xfId="7526"/>
    <cellStyle name="Normal 11 3 2 2 5 4 2" xfId="24806"/>
    <cellStyle name="Normal 11 3 2 2 5 5" xfId="13286"/>
    <cellStyle name="Normal 11 3 2 2 5 5 2" xfId="30566"/>
    <cellStyle name="Normal 11 3 2 2 5 6" xfId="19046"/>
    <cellStyle name="Normal 11 3 2 2 6" xfId="2486"/>
    <cellStyle name="Normal 11 3 2 2 6 2" xfId="5366"/>
    <cellStyle name="Normal 11 3 2 2 6 2 2" xfId="11126"/>
    <cellStyle name="Normal 11 3 2 2 6 2 2 2" xfId="28406"/>
    <cellStyle name="Normal 11 3 2 2 6 2 3" xfId="16886"/>
    <cellStyle name="Normal 11 3 2 2 6 2 3 2" xfId="34166"/>
    <cellStyle name="Normal 11 3 2 2 6 2 4" xfId="22646"/>
    <cellStyle name="Normal 11 3 2 2 6 3" xfId="8246"/>
    <cellStyle name="Normal 11 3 2 2 6 3 2" xfId="25526"/>
    <cellStyle name="Normal 11 3 2 2 6 4" xfId="14006"/>
    <cellStyle name="Normal 11 3 2 2 6 4 2" xfId="31286"/>
    <cellStyle name="Normal 11 3 2 2 6 5" xfId="19766"/>
    <cellStyle name="Normal 11 3 2 2 7" xfId="3926"/>
    <cellStyle name="Normal 11 3 2 2 7 2" xfId="9686"/>
    <cellStyle name="Normal 11 3 2 2 7 2 2" xfId="26966"/>
    <cellStyle name="Normal 11 3 2 2 7 3" xfId="15446"/>
    <cellStyle name="Normal 11 3 2 2 7 3 2" xfId="32726"/>
    <cellStyle name="Normal 11 3 2 2 7 4" xfId="21206"/>
    <cellStyle name="Normal 11 3 2 2 8" xfId="6806"/>
    <cellStyle name="Normal 11 3 2 2 8 2" xfId="24086"/>
    <cellStyle name="Normal 11 3 2 2 9" xfId="12566"/>
    <cellStyle name="Normal 11 3 2 2 9 2" xfId="29846"/>
    <cellStyle name="Normal 11 3 2 3" xfId="1006"/>
    <cellStyle name="Normal 11 3 2 3 10" xfId="18286"/>
    <cellStyle name="Normal 11 3 2 3 2" xfId="1126"/>
    <cellStyle name="Normal 11 3 2 3 2 2" xfId="1366"/>
    <cellStyle name="Normal 11 3 2 3 2 2 2" xfId="2086"/>
    <cellStyle name="Normal 11 3 2 3 2 2 2 2" xfId="3526"/>
    <cellStyle name="Normal 11 3 2 3 2 2 2 2 2" xfId="6406"/>
    <cellStyle name="Normal 11 3 2 3 2 2 2 2 2 2" xfId="12166"/>
    <cellStyle name="Normal 11 3 2 3 2 2 2 2 2 2 2" xfId="29446"/>
    <cellStyle name="Normal 11 3 2 3 2 2 2 2 2 3" xfId="17926"/>
    <cellStyle name="Normal 11 3 2 3 2 2 2 2 2 3 2" xfId="35206"/>
    <cellStyle name="Normal 11 3 2 3 2 2 2 2 2 4" xfId="23686"/>
    <cellStyle name="Normal 11 3 2 3 2 2 2 2 3" xfId="9286"/>
    <cellStyle name="Normal 11 3 2 3 2 2 2 2 3 2" xfId="26566"/>
    <cellStyle name="Normal 11 3 2 3 2 2 2 2 4" xfId="15046"/>
    <cellStyle name="Normal 11 3 2 3 2 2 2 2 4 2" xfId="32326"/>
    <cellStyle name="Normal 11 3 2 3 2 2 2 2 5" xfId="20806"/>
    <cellStyle name="Normal 11 3 2 3 2 2 2 3" xfId="4966"/>
    <cellStyle name="Normal 11 3 2 3 2 2 2 3 2" xfId="10726"/>
    <cellStyle name="Normal 11 3 2 3 2 2 2 3 2 2" xfId="28006"/>
    <cellStyle name="Normal 11 3 2 3 2 2 2 3 3" xfId="16486"/>
    <cellStyle name="Normal 11 3 2 3 2 2 2 3 3 2" xfId="33766"/>
    <cellStyle name="Normal 11 3 2 3 2 2 2 3 4" xfId="22246"/>
    <cellStyle name="Normal 11 3 2 3 2 2 2 4" xfId="7846"/>
    <cellStyle name="Normal 11 3 2 3 2 2 2 4 2" xfId="25126"/>
    <cellStyle name="Normal 11 3 2 3 2 2 2 5" xfId="13606"/>
    <cellStyle name="Normal 11 3 2 3 2 2 2 5 2" xfId="30886"/>
    <cellStyle name="Normal 11 3 2 3 2 2 2 6" xfId="19366"/>
    <cellStyle name="Normal 11 3 2 3 2 2 3" xfId="2806"/>
    <cellStyle name="Normal 11 3 2 3 2 2 3 2" xfId="5686"/>
    <cellStyle name="Normal 11 3 2 3 2 2 3 2 2" xfId="11446"/>
    <cellStyle name="Normal 11 3 2 3 2 2 3 2 2 2" xfId="28726"/>
    <cellStyle name="Normal 11 3 2 3 2 2 3 2 3" xfId="17206"/>
    <cellStyle name="Normal 11 3 2 3 2 2 3 2 3 2" xfId="34486"/>
    <cellStyle name="Normal 11 3 2 3 2 2 3 2 4" xfId="22966"/>
    <cellStyle name="Normal 11 3 2 3 2 2 3 3" xfId="8566"/>
    <cellStyle name="Normal 11 3 2 3 2 2 3 3 2" xfId="25846"/>
    <cellStyle name="Normal 11 3 2 3 2 2 3 4" xfId="14326"/>
    <cellStyle name="Normal 11 3 2 3 2 2 3 4 2" xfId="31606"/>
    <cellStyle name="Normal 11 3 2 3 2 2 3 5" xfId="20086"/>
    <cellStyle name="Normal 11 3 2 3 2 2 4" xfId="4246"/>
    <cellStyle name="Normal 11 3 2 3 2 2 4 2" xfId="10006"/>
    <cellStyle name="Normal 11 3 2 3 2 2 4 2 2" xfId="27286"/>
    <cellStyle name="Normal 11 3 2 3 2 2 4 3" xfId="15766"/>
    <cellStyle name="Normal 11 3 2 3 2 2 4 3 2" xfId="33046"/>
    <cellStyle name="Normal 11 3 2 3 2 2 4 4" xfId="21526"/>
    <cellStyle name="Normal 11 3 2 3 2 2 5" xfId="7126"/>
    <cellStyle name="Normal 11 3 2 3 2 2 5 2" xfId="24406"/>
    <cellStyle name="Normal 11 3 2 3 2 2 6" xfId="12886"/>
    <cellStyle name="Normal 11 3 2 3 2 2 6 2" xfId="30166"/>
    <cellStyle name="Normal 11 3 2 3 2 2 7" xfId="18646"/>
    <cellStyle name="Normal 11 3 2 3 2 3" xfId="1606"/>
    <cellStyle name="Normal 11 3 2 3 2 3 2" xfId="2326"/>
    <cellStyle name="Normal 11 3 2 3 2 3 2 2" xfId="3766"/>
    <cellStyle name="Normal 11 3 2 3 2 3 2 2 2" xfId="6646"/>
    <cellStyle name="Normal 11 3 2 3 2 3 2 2 2 2" xfId="12406"/>
    <cellStyle name="Normal 11 3 2 3 2 3 2 2 2 2 2" xfId="29686"/>
    <cellStyle name="Normal 11 3 2 3 2 3 2 2 2 3" xfId="18166"/>
    <cellStyle name="Normal 11 3 2 3 2 3 2 2 2 3 2" xfId="35446"/>
    <cellStyle name="Normal 11 3 2 3 2 3 2 2 2 4" xfId="23926"/>
    <cellStyle name="Normal 11 3 2 3 2 3 2 2 3" xfId="9526"/>
    <cellStyle name="Normal 11 3 2 3 2 3 2 2 3 2" xfId="26806"/>
    <cellStyle name="Normal 11 3 2 3 2 3 2 2 4" xfId="15286"/>
    <cellStyle name="Normal 11 3 2 3 2 3 2 2 4 2" xfId="32566"/>
    <cellStyle name="Normal 11 3 2 3 2 3 2 2 5" xfId="21046"/>
    <cellStyle name="Normal 11 3 2 3 2 3 2 3" xfId="5206"/>
    <cellStyle name="Normal 11 3 2 3 2 3 2 3 2" xfId="10966"/>
    <cellStyle name="Normal 11 3 2 3 2 3 2 3 2 2" xfId="28246"/>
    <cellStyle name="Normal 11 3 2 3 2 3 2 3 3" xfId="16726"/>
    <cellStyle name="Normal 11 3 2 3 2 3 2 3 3 2" xfId="34006"/>
    <cellStyle name="Normal 11 3 2 3 2 3 2 3 4" xfId="22486"/>
    <cellStyle name="Normal 11 3 2 3 2 3 2 4" xfId="8086"/>
    <cellStyle name="Normal 11 3 2 3 2 3 2 4 2" xfId="25366"/>
    <cellStyle name="Normal 11 3 2 3 2 3 2 5" xfId="13846"/>
    <cellStyle name="Normal 11 3 2 3 2 3 2 5 2" xfId="31126"/>
    <cellStyle name="Normal 11 3 2 3 2 3 2 6" xfId="19606"/>
    <cellStyle name="Normal 11 3 2 3 2 3 3" xfId="3046"/>
    <cellStyle name="Normal 11 3 2 3 2 3 3 2" xfId="5926"/>
    <cellStyle name="Normal 11 3 2 3 2 3 3 2 2" xfId="11686"/>
    <cellStyle name="Normal 11 3 2 3 2 3 3 2 2 2" xfId="28966"/>
    <cellStyle name="Normal 11 3 2 3 2 3 3 2 3" xfId="17446"/>
    <cellStyle name="Normal 11 3 2 3 2 3 3 2 3 2" xfId="34726"/>
    <cellStyle name="Normal 11 3 2 3 2 3 3 2 4" xfId="23206"/>
    <cellStyle name="Normal 11 3 2 3 2 3 3 3" xfId="8806"/>
    <cellStyle name="Normal 11 3 2 3 2 3 3 3 2" xfId="26086"/>
    <cellStyle name="Normal 11 3 2 3 2 3 3 4" xfId="14566"/>
    <cellStyle name="Normal 11 3 2 3 2 3 3 4 2" xfId="31846"/>
    <cellStyle name="Normal 11 3 2 3 2 3 3 5" xfId="20326"/>
    <cellStyle name="Normal 11 3 2 3 2 3 4" xfId="4486"/>
    <cellStyle name="Normal 11 3 2 3 2 3 4 2" xfId="10246"/>
    <cellStyle name="Normal 11 3 2 3 2 3 4 2 2" xfId="27526"/>
    <cellStyle name="Normal 11 3 2 3 2 3 4 3" xfId="16006"/>
    <cellStyle name="Normal 11 3 2 3 2 3 4 3 2" xfId="33286"/>
    <cellStyle name="Normal 11 3 2 3 2 3 4 4" xfId="21766"/>
    <cellStyle name="Normal 11 3 2 3 2 3 5" xfId="7366"/>
    <cellStyle name="Normal 11 3 2 3 2 3 5 2" xfId="24646"/>
    <cellStyle name="Normal 11 3 2 3 2 3 6" xfId="13126"/>
    <cellStyle name="Normal 11 3 2 3 2 3 6 2" xfId="30406"/>
    <cellStyle name="Normal 11 3 2 3 2 3 7" xfId="18886"/>
    <cellStyle name="Normal 11 3 2 3 2 4" xfId="1846"/>
    <cellStyle name="Normal 11 3 2 3 2 4 2" xfId="3286"/>
    <cellStyle name="Normal 11 3 2 3 2 4 2 2" xfId="6166"/>
    <cellStyle name="Normal 11 3 2 3 2 4 2 2 2" xfId="11926"/>
    <cellStyle name="Normal 11 3 2 3 2 4 2 2 2 2" xfId="29206"/>
    <cellStyle name="Normal 11 3 2 3 2 4 2 2 3" xfId="17686"/>
    <cellStyle name="Normal 11 3 2 3 2 4 2 2 3 2" xfId="34966"/>
    <cellStyle name="Normal 11 3 2 3 2 4 2 2 4" xfId="23446"/>
    <cellStyle name="Normal 11 3 2 3 2 4 2 3" xfId="9046"/>
    <cellStyle name="Normal 11 3 2 3 2 4 2 3 2" xfId="26326"/>
    <cellStyle name="Normal 11 3 2 3 2 4 2 4" xfId="14806"/>
    <cellStyle name="Normal 11 3 2 3 2 4 2 4 2" xfId="32086"/>
    <cellStyle name="Normal 11 3 2 3 2 4 2 5" xfId="20566"/>
    <cellStyle name="Normal 11 3 2 3 2 4 3" xfId="4726"/>
    <cellStyle name="Normal 11 3 2 3 2 4 3 2" xfId="10486"/>
    <cellStyle name="Normal 11 3 2 3 2 4 3 2 2" xfId="27766"/>
    <cellStyle name="Normal 11 3 2 3 2 4 3 3" xfId="16246"/>
    <cellStyle name="Normal 11 3 2 3 2 4 3 3 2" xfId="33526"/>
    <cellStyle name="Normal 11 3 2 3 2 4 3 4" xfId="22006"/>
    <cellStyle name="Normal 11 3 2 3 2 4 4" xfId="7606"/>
    <cellStyle name="Normal 11 3 2 3 2 4 4 2" xfId="24886"/>
    <cellStyle name="Normal 11 3 2 3 2 4 5" xfId="13366"/>
    <cellStyle name="Normal 11 3 2 3 2 4 5 2" xfId="30646"/>
    <cellStyle name="Normal 11 3 2 3 2 4 6" xfId="19126"/>
    <cellStyle name="Normal 11 3 2 3 2 5" xfId="2566"/>
    <cellStyle name="Normal 11 3 2 3 2 5 2" xfId="5446"/>
    <cellStyle name="Normal 11 3 2 3 2 5 2 2" xfId="11206"/>
    <cellStyle name="Normal 11 3 2 3 2 5 2 2 2" xfId="28486"/>
    <cellStyle name="Normal 11 3 2 3 2 5 2 3" xfId="16966"/>
    <cellStyle name="Normal 11 3 2 3 2 5 2 3 2" xfId="34246"/>
    <cellStyle name="Normal 11 3 2 3 2 5 2 4" xfId="22726"/>
    <cellStyle name="Normal 11 3 2 3 2 5 3" xfId="8326"/>
    <cellStyle name="Normal 11 3 2 3 2 5 3 2" xfId="25606"/>
    <cellStyle name="Normal 11 3 2 3 2 5 4" xfId="14086"/>
    <cellStyle name="Normal 11 3 2 3 2 5 4 2" xfId="31366"/>
    <cellStyle name="Normal 11 3 2 3 2 5 5" xfId="19846"/>
    <cellStyle name="Normal 11 3 2 3 2 6" xfId="4006"/>
    <cellStyle name="Normal 11 3 2 3 2 6 2" xfId="9766"/>
    <cellStyle name="Normal 11 3 2 3 2 6 2 2" xfId="27046"/>
    <cellStyle name="Normal 11 3 2 3 2 6 3" xfId="15526"/>
    <cellStyle name="Normal 11 3 2 3 2 6 3 2" xfId="32806"/>
    <cellStyle name="Normal 11 3 2 3 2 6 4" xfId="21286"/>
    <cellStyle name="Normal 11 3 2 3 2 7" xfId="6886"/>
    <cellStyle name="Normal 11 3 2 3 2 7 2" xfId="24166"/>
    <cellStyle name="Normal 11 3 2 3 2 8" xfId="12646"/>
    <cellStyle name="Normal 11 3 2 3 2 8 2" xfId="29926"/>
    <cellStyle name="Normal 11 3 2 3 2 9" xfId="18406"/>
    <cellStyle name="Normal 11 3 2 3 3" xfId="1246"/>
    <cellStyle name="Normal 11 3 2 3 3 2" xfId="1966"/>
    <cellStyle name="Normal 11 3 2 3 3 2 2" xfId="3406"/>
    <cellStyle name="Normal 11 3 2 3 3 2 2 2" xfId="6286"/>
    <cellStyle name="Normal 11 3 2 3 3 2 2 2 2" xfId="12046"/>
    <cellStyle name="Normal 11 3 2 3 3 2 2 2 2 2" xfId="29326"/>
    <cellStyle name="Normal 11 3 2 3 3 2 2 2 3" xfId="17806"/>
    <cellStyle name="Normal 11 3 2 3 3 2 2 2 3 2" xfId="35086"/>
    <cellStyle name="Normal 11 3 2 3 3 2 2 2 4" xfId="23566"/>
    <cellStyle name="Normal 11 3 2 3 3 2 2 3" xfId="9166"/>
    <cellStyle name="Normal 11 3 2 3 3 2 2 3 2" xfId="26446"/>
    <cellStyle name="Normal 11 3 2 3 3 2 2 4" xfId="14926"/>
    <cellStyle name="Normal 11 3 2 3 3 2 2 4 2" xfId="32206"/>
    <cellStyle name="Normal 11 3 2 3 3 2 2 5" xfId="20686"/>
    <cellStyle name="Normal 11 3 2 3 3 2 3" xfId="4846"/>
    <cellStyle name="Normal 11 3 2 3 3 2 3 2" xfId="10606"/>
    <cellStyle name="Normal 11 3 2 3 3 2 3 2 2" xfId="27886"/>
    <cellStyle name="Normal 11 3 2 3 3 2 3 3" xfId="16366"/>
    <cellStyle name="Normal 11 3 2 3 3 2 3 3 2" xfId="33646"/>
    <cellStyle name="Normal 11 3 2 3 3 2 3 4" xfId="22126"/>
    <cellStyle name="Normal 11 3 2 3 3 2 4" xfId="7726"/>
    <cellStyle name="Normal 11 3 2 3 3 2 4 2" xfId="25006"/>
    <cellStyle name="Normal 11 3 2 3 3 2 5" xfId="13486"/>
    <cellStyle name="Normal 11 3 2 3 3 2 5 2" xfId="30766"/>
    <cellStyle name="Normal 11 3 2 3 3 2 6" xfId="19246"/>
    <cellStyle name="Normal 11 3 2 3 3 3" xfId="2686"/>
    <cellStyle name="Normal 11 3 2 3 3 3 2" xfId="5566"/>
    <cellStyle name="Normal 11 3 2 3 3 3 2 2" xfId="11326"/>
    <cellStyle name="Normal 11 3 2 3 3 3 2 2 2" xfId="28606"/>
    <cellStyle name="Normal 11 3 2 3 3 3 2 3" xfId="17086"/>
    <cellStyle name="Normal 11 3 2 3 3 3 2 3 2" xfId="34366"/>
    <cellStyle name="Normal 11 3 2 3 3 3 2 4" xfId="22846"/>
    <cellStyle name="Normal 11 3 2 3 3 3 3" xfId="8446"/>
    <cellStyle name="Normal 11 3 2 3 3 3 3 2" xfId="25726"/>
    <cellStyle name="Normal 11 3 2 3 3 3 4" xfId="14206"/>
    <cellStyle name="Normal 11 3 2 3 3 3 4 2" xfId="31486"/>
    <cellStyle name="Normal 11 3 2 3 3 3 5" xfId="19966"/>
    <cellStyle name="Normal 11 3 2 3 3 4" xfId="4126"/>
    <cellStyle name="Normal 11 3 2 3 3 4 2" xfId="9886"/>
    <cellStyle name="Normal 11 3 2 3 3 4 2 2" xfId="27166"/>
    <cellStyle name="Normal 11 3 2 3 3 4 3" xfId="15646"/>
    <cellStyle name="Normal 11 3 2 3 3 4 3 2" xfId="32926"/>
    <cellStyle name="Normal 11 3 2 3 3 4 4" xfId="21406"/>
    <cellStyle name="Normal 11 3 2 3 3 5" xfId="7006"/>
    <cellStyle name="Normal 11 3 2 3 3 5 2" xfId="24286"/>
    <cellStyle name="Normal 11 3 2 3 3 6" xfId="12766"/>
    <cellStyle name="Normal 11 3 2 3 3 6 2" xfId="30046"/>
    <cellStyle name="Normal 11 3 2 3 3 7" xfId="18526"/>
    <cellStyle name="Normal 11 3 2 3 4" xfId="1486"/>
    <cellStyle name="Normal 11 3 2 3 4 2" xfId="2206"/>
    <cellStyle name="Normal 11 3 2 3 4 2 2" xfId="3646"/>
    <cellStyle name="Normal 11 3 2 3 4 2 2 2" xfId="6526"/>
    <cellStyle name="Normal 11 3 2 3 4 2 2 2 2" xfId="12286"/>
    <cellStyle name="Normal 11 3 2 3 4 2 2 2 2 2" xfId="29566"/>
    <cellStyle name="Normal 11 3 2 3 4 2 2 2 3" xfId="18046"/>
    <cellStyle name="Normal 11 3 2 3 4 2 2 2 3 2" xfId="35326"/>
    <cellStyle name="Normal 11 3 2 3 4 2 2 2 4" xfId="23806"/>
    <cellStyle name="Normal 11 3 2 3 4 2 2 3" xfId="9406"/>
    <cellStyle name="Normal 11 3 2 3 4 2 2 3 2" xfId="26686"/>
    <cellStyle name="Normal 11 3 2 3 4 2 2 4" xfId="15166"/>
    <cellStyle name="Normal 11 3 2 3 4 2 2 4 2" xfId="32446"/>
    <cellStyle name="Normal 11 3 2 3 4 2 2 5" xfId="20926"/>
    <cellStyle name="Normal 11 3 2 3 4 2 3" xfId="5086"/>
    <cellStyle name="Normal 11 3 2 3 4 2 3 2" xfId="10846"/>
    <cellStyle name="Normal 11 3 2 3 4 2 3 2 2" xfId="28126"/>
    <cellStyle name="Normal 11 3 2 3 4 2 3 3" xfId="16606"/>
    <cellStyle name="Normal 11 3 2 3 4 2 3 3 2" xfId="33886"/>
    <cellStyle name="Normal 11 3 2 3 4 2 3 4" xfId="22366"/>
    <cellStyle name="Normal 11 3 2 3 4 2 4" xfId="7966"/>
    <cellStyle name="Normal 11 3 2 3 4 2 4 2" xfId="25246"/>
    <cellStyle name="Normal 11 3 2 3 4 2 5" xfId="13726"/>
    <cellStyle name="Normal 11 3 2 3 4 2 5 2" xfId="31006"/>
    <cellStyle name="Normal 11 3 2 3 4 2 6" xfId="19486"/>
    <cellStyle name="Normal 11 3 2 3 4 3" xfId="2926"/>
    <cellStyle name="Normal 11 3 2 3 4 3 2" xfId="5806"/>
    <cellStyle name="Normal 11 3 2 3 4 3 2 2" xfId="11566"/>
    <cellStyle name="Normal 11 3 2 3 4 3 2 2 2" xfId="28846"/>
    <cellStyle name="Normal 11 3 2 3 4 3 2 3" xfId="17326"/>
    <cellStyle name="Normal 11 3 2 3 4 3 2 3 2" xfId="34606"/>
    <cellStyle name="Normal 11 3 2 3 4 3 2 4" xfId="23086"/>
    <cellStyle name="Normal 11 3 2 3 4 3 3" xfId="8686"/>
    <cellStyle name="Normal 11 3 2 3 4 3 3 2" xfId="25966"/>
    <cellStyle name="Normal 11 3 2 3 4 3 4" xfId="14446"/>
    <cellStyle name="Normal 11 3 2 3 4 3 4 2" xfId="31726"/>
    <cellStyle name="Normal 11 3 2 3 4 3 5" xfId="20206"/>
    <cellStyle name="Normal 11 3 2 3 4 4" xfId="4366"/>
    <cellStyle name="Normal 11 3 2 3 4 4 2" xfId="10126"/>
    <cellStyle name="Normal 11 3 2 3 4 4 2 2" xfId="27406"/>
    <cellStyle name="Normal 11 3 2 3 4 4 3" xfId="15886"/>
    <cellStyle name="Normal 11 3 2 3 4 4 3 2" xfId="33166"/>
    <cellStyle name="Normal 11 3 2 3 4 4 4" xfId="21646"/>
    <cellStyle name="Normal 11 3 2 3 4 5" xfId="7246"/>
    <cellStyle name="Normal 11 3 2 3 4 5 2" xfId="24526"/>
    <cellStyle name="Normal 11 3 2 3 4 6" xfId="13006"/>
    <cellStyle name="Normal 11 3 2 3 4 6 2" xfId="30286"/>
    <cellStyle name="Normal 11 3 2 3 4 7" xfId="18766"/>
    <cellStyle name="Normal 11 3 2 3 5" xfId="1726"/>
    <cellStyle name="Normal 11 3 2 3 5 2" xfId="3166"/>
    <cellStyle name="Normal 11 3 2 3 5 2 2" xfId="6046"/>
    <cellStyle name="Normal 11 3 2 3 5 2 2 2" xfId="11806"/>
    <cellStyle name="Normal 11 3 2 3 5 2 2 2 2" xfId="29086"/>
    <cellStyle name="Normal 11 3 2 3 5 2 2 3" xfId="17566"/>
    <cellStyle name="Normal 11 3 2 3 5 2 2 3 2" xfId="34846"/>
    <cellStyle name="Normal 11 3 2 3 5 2 2 4" xfId="23326"/>
    <cellStyle name="Normal 11 3 2 3 5 2 3" xfId="8926"/>
    <cellStyle name="Normal 11 3 2 3 5 2 3 2" xfId="26206"/>
    <cellStyle name="Normal 11 3 2 3 5 2 4" xfId="14686"/>
    <cellStyle name="Normal 11 3 2 3 5 2 4 2" xfId="31966"/>
    <cellStyle name="Normal 11 3 2 3 5 2 5" xfId="20446"/>
    <cellStyle name="Normal 11 3 2 3 5 3" xfId="4606"/>
    <cellStyle name="Normal 11 3 2 3 5 3 2" xfId="10366"/>
    <cellStyle name="Normal 11 3 2 3 5 3 2 2" xfId="27646"/>
    <cellStyle name="Normal 11 3 2 3 5 3 3" xfId="16126"/>
    <cellStyle name="Normal 11 3 2 3 5 3 3 2" xfId="33406"/>
    <cellStyle name="Normal 11 3 2 3 5 3 4" xfId="21886"/>
    <cellStyle name="Normal 11 3 2 3 5 4" xfId="7486"/>
    <cellStyle name="Normal 11 3 2 3 5 4 2" xfId="24766"/>
    <cellStyle name="Normal 11 3 2 3 5 5" xfId="13246"/>
    <cellStyle name="Normal 11 3 2 3 5 5 2" xfId="30526"/>
    <cellStyle name="Normal 11 3 2 3 5 6" xfId="19006"/>
    <cellStyle name="Normal 11 3 2 3 6" xfId="2446"/>
    <cellStyle name="Normal 11 3 2 3 6 2" xfId="5326"/>
    <cellStyle name="Normal 11 3 2 3 6 2 2" xfId="11086"/>
    <cellStyle name="Normal 11 3 2 3 6 2 2 2" xfId="28366"/>
    <cellStyle name="Normal 11 3 2 3 6 2 3" xfId="16846"/>
    <cellStyle name="Normal 11 3 2 3 6 2 3 2" xfId="34126"/>
    <cellStyle name="Normal 11 3 2 3 6 2 4" xfId="22606"/>
    <cellStyle name="Normal 11 3 2 3 6 3" xfId="8206"/>
    <cellStyle name="Normal 11 3 2 3 6 3 2" xfId="25486"/>
    <cellStyle name="Normal 11 3 2 3 6 4" xfId="13966"/>
    <cellStyle name="Normal 11 3 2 3 6 4 2" xfId="31246"/>
    <cellStyle name="Normal 11 3 2 3 6 5" xfId="19726"/>
    <cellStyle name="Normal 11 3 2 3 7" xfId="3886"/>
    <cellStyle name="Normal 11 3 2 3 7 2" xfId="9646"/>
    <cellStyle name="Normal 11 3 2 3 7 2 2" xfId="26926"/>
    <cellStyle name="Normal 11 3 2 3 7 3" xfId="15406"/>
    <cellStyle name="Normal 11 3 2 3 7 3 2" xfId="32686"/>
    <cellStyle name="Normal 11 3 2 3 7 4" xfId="21166"/>
    <cellStyle name="Normal 11 3 2 3 8" xfId="6766"/>
    <cellStyle name="Normal 11 3 2 3 8 2" xfId="24046"/>
    <cellStyle name="Normal 11 3 2 3 9" xfId="12526"/>
    <cellStyle name="Normal 11 3 2 3 9 2" xfId="29806"/>
    <cellStyle name="Normal 11 3 2 4" xfId="1086"/>
    <cellStyle name="Normal 11 3 2 4 2" xfId="1326"/>
    <cellStyle name="Normal 11 3 2 4 2 2" xfId="2046"/>
    <cellStyle name="Normal 11 3 2 4 2 2 2" xfId="3486"/>
    <cellStyle name="Normal 11 3 2 4 2 2 2 2" xfId="6366"/>
    <cellStyle name="Normal 11 3 2 4 2 2 2 2 2" xfId="12126"/>
    <cellStyle name="Normal 11 3 2 4 2 2 2 2 2 2" xfId="29406"/>
    <cellStyle name="Normal 11 3 2 4 2 2 2 2 3" xfId="17886"/>
    <cellStyle name="Normal 11 3 2 4 2 2 2 2 3 2" xfId="35166"/>
    <cellStyle name="Normal 11 3 2 4 2 2 2 2 4" xfId="23646"/>
    <cellStyle name="Normal 11 3 2 4 2 2 2 3" xfId="9246"/>
    <cellStyle name="Normal 11 3 2 4 2 2 2 3 2" xfId="26526"/>
    <cellStyle name="Normal 11 3 2 4 2 2 2 4" xfId="15006"/>
    <cellStyle name="Normal 11 3 2 4 2 2 2 4 2" xfId="32286"/>
    <cellStyle name="Normal 11 3 2 4 2 2 2 5" xfId="20766"/>
    <cellStyle name="Normal 11 3 2 4 2 2 3" xfId="4926"/>
    <cellStyle name="Normal 11 3 2 4 2 2 3 2" xfId="10686"/>
    <cellStyle name="Normal 11 3 2 4 2 2 3 2 2" xfId="27966"/>
    <cellStyle name="Normal 11 3 2 4 2 2 3 3" xfId="16446"/>
    <cellStyle name="Normal 11 3 2 4 2 2 3 3 2" xfId="33726"/>
    <cellStyle name="Normal 11 3 2 4 2 2 3 4" xfId="22206"/>
    <cellStyle name="Normal 11 3 2 4 2 2 4" xfId="7806"/>
    <cellStyle name="Normal 11 3 2 4 2 2 4 2" xfId="25086"/>
    <cellStyle name="Normal 11 3 2 4 2 2 5" xfId="13566"/>
    <cellStyle name="Normal 11 3 2 4 2 2 5 2" xfId="30846"/>
    <cellStyle name="Normal 11 3 2 4 2 2 6" xfId="19326"/>
    <cellStyle name="Normal 11 3 2 4 2 3" xfId="2766"/>
    <cellStyle name="Normal 11 3 2 4 2 3 2" xfId="5646"/>
    <cellStyle name="Normal 11 3 2 4 2 3 2 2" xfId="11406"/>
    <cellStyle name="Normal 11 3 2 4 2 3 2 2 2" xfId="28686"/>
    <cellStyle name="Normal 11 3 2 4 2 3 2 3" xfId="17166"/>
    <cellStyle name="Normal 11 3 2 4 2 3 2 3 2" xfId="34446"/>
    <cellStyle name="Normal 11 3 2 4 2 3 2 4" xfId="22926"/>
    <cellStyle name="Normal 11 3 2 4 2 3 3" xfId="8526"/>
    <cellStyle name="Normal 11 3 2 4 2 3 3 2" xfId="25806"/>
    <cellStyle name="Normal 11 3 2 4 2 3 4" xfId="14286"/>
    <cellStyle name="Normal 11 3 2 4 2 3 4 2" xfId="31566"/>
    <cellStyle name="Normal 11 3 2 4 2 3 5" xfId="20046"/>
    <cellStyle name="Normal 11 3 2 4 2 4" xfId="4206"/>
    <cellStyle name="Normal 11 3 2 4 2 4 2" xfId="9966"/>
    <cellStyle name="Normal 11 3 2 4 2 4 2 2" xfId="27246"/>
    <cellStyle name="Normal 11 3 2 4 2 4 3" xfId="15726"/>
    <cellStyle name="Normal 11 3 2 4 2 4 3 2" xfId="33006"/>
    <cellStyle name="Normal 11 3 2 4 2 4 4" xfId="21486"/>
    <cellStyle name="Normal 11 3 2 4 2 5" xfId="7086"/>
    <cellStyle name="Normal 11 3 2 4 2 5 2" xfId="24366"/>
    <cellStyle name="Normal 11 3 2 4 2 6" xfId="12846"/>
    <cellStyle name="Normal 11 3 2 4 2 6 2" xfId="30126"/>
    <cellStyle name="Normal 11 3 2 4 2 7" xfId="18606"/>
    <cellStyle name="Normal 11 3 2 4 3" xfId="1566"/>
    <cellStyle name="Normal 11 3 2 4 3 2" xfId="2286"/>
    <cellStyle name="Normal 11 3 2 4 3 2 2" xfId="3726"/>
    <cellStyle name="Normal 11 3 2 4 3 2 2 2" xfId="6606"/>
    <cellStyle name="Normal 11 3 2 4 3 2 2 2 2" xfId="12366"/>
    <cellStyle name="Normal 11 3 2 4 3 2 2 2 2 2" xfId="29646"/>
    <cellStyle name="Normal 11 3 2 4 3 2 2 2 3" xfId="18126"/>
    <cellStyle name="Normal 11 3 2 4 3 2 2 2 3 2" xfId="35406"/>
    <cellStyle name="Normal 11 3 2 4 3 2 2 2 4" xfId="23886"/>
    <cellStyle name="Normal 11 3 2 4 3 2 2 3" xfId="9486"/>
    <cellStyle name="Normal 11 3 2 4 3 2 2 3 2" xfId="26766"/>
    <cellStyle name="Normal 11 3 2 4 3 2 2 4" xfId="15246"/>
    <cellStyle name="Normal 11 3 2 4 3 2 2 4 2" xfId="32526"/>
    <cellStyle name="Normal 11 3 2 4 3 2 2 5" xfId="21006"/>
    <cellStyle name="Normal 11 3 2 4 3 2 3" xfId="5166"/>
    <cellStyle name="Normal 11 3 2 4 3 2 3 2" xfId="10926"/>
    <cellStyle name="Normal 11 3 2 4 3 2 3 2 2" xfId="28206"/>
    <cellStyle name="Normal 11 3 2 4 3 2 3 3" xfId="16686"/>
    <cellStyle name="Normal 11 3 2 4 3 2 3 3 2" xfId="33966"/>
    <cellStyle name="Normal 11 3 2 4 3 2 3 4" xfId="22446"/>
    <cellStyle name="Normal 11 3 2 4 3 2 4" xfId="8046"/>
    <cellStyle name="Normal 11 3 2 4 3 2 4 2" xfId="25326"/>
    <cellStyle name="Normal 11 3 2 4 3 2 5" xfId="13806"/>
    <cellStyle name="Normal 11 3 2 4 3 2 5 2" xfId="31086"/>
    <cellStyle name="Normal 11 3 2 4 3 2 6" xfId="19566"/>
    <cellStyle name="Normal 11 3 2 4 3 3" xfId="3006"/>
    <cellStyle name="Normal 11 3 2 4 3 3 2" xfId="5886"/>
    <cellStyle name="Normal 11 3 2 4 3 3 2 2" xfId="11646"/>
    <cellStyle name="Normal 11 3 2 4 3 3 2 2 2" xfId="28926"/>
    <cellStyle name="Normal 11 3 2 4 3 3 2 3" xfId="17406"/>
    <cellStyle name="Normal 11 3 2 4 3 3 2 3 2" xfId="34686"/>
    <cellStyle name="Normal 11 3 2 4 3 3 2 4" xfId="23166"/>
    <cellStyle name="Normal 11 3 2 4 3 3 3" xfId="8766"/>
    <cellStyle name="Normal 11 3 2 4 3 3 3 2" xfId="26046"/>
    <cellStyle name="Normal 11 3 2 4 3 3 4" xfId="14526"/>
    <cellStyle name="Normal 11 3 2 4 3 3 4 2" xfId="31806"/>
    <cellStyle name="Normal 11 3 2 4 3 3 5" xfId="20286"/>
    <cellStyle name="Normal 11 3 2 4 3 4" xfId="4446"/>
    <cellStyle name="Normal 11 3 2 4 3 4 2" xfId="10206"/>
    <cellStyle name="Normal 11 3 2 4 3 4 2 2" xfId="27486"/>
    <cellStyle name="Normal 11 3 2 4 3 4 3" xfId="15966"/>
    <cellStyle name="Normal 11 3 2 4 3 4 3 2" xfId="33246"/>
    <cellStyle name="Normal 11 3 2 4 3 4 4" xfId="21726"/>
    <cellStyle name="Normal 11 3 2 4 3 5" xfId="7326"/>
    <cellStyle name="Normal 11 3 2 4 3 5 2" xfId="24606"/>
    <cellStyle name="Normal 11 3 2 4 3 6" xfId="13086"/>
    <cellStyle name="Normal 11 3 2 4 3 6 2" xfId="30366"/>
    <cellStyle name="Normal 11 3 2 4 3 7" xfId="18846"/>
    <cellStyle name="Normal 11 3 2 4 4" xfId="1806"/>
    <cellStyle name="Normal 11 3 2 4 4 2" xfId="3246"/>
    <cellStyle name="Normal 11 3 2 4 4 2 2" xfId="6126"/>
    <cellStyle name="Normal 11 3 2 4 4 2 2 2" xfId="11886"/>
    <cellStyle name="Normal 11 3 2 4 4 2 2 2 2" xfId="29166"/>
    <cellStyle name="Normal 11 3 2 4 4 2 2 3" xfId="17646"/>
    <cellStyle name="Normal 11 3 2 4 4 2 2 3 2" xfId="34926"/>
    <cellStyle name="Normal 11 3 2 4 4 2 2 4" xfId="23406"/>
    <cellStyle name="Normal 11 3 2 4 4 2 3" xfId="9006"/>
    <cellStyle name="Normal 11 3 2 4 4 2 3 2" xfId="26286"/>
    <cellStyle name="Normal 11 3 2 4 4 2 4" xfId="14766"/>
    <cellStyle name="Normal 11 3 2 4 4 2 4 2" xfId="32046"/>
    <cellStyle name="Normal 11 3 2 4 4 2 5" xfId="20526"/>
    <cellStyle name="Normal 11 3 2 4 4 3" xfId="4686"/>
    <cellStyle name="Normal 11 3 2 4 4 3 2" xfId="10446"/>
    <cellStyle name="Normal 11 3 2 4 4 3 2 2" xfId="27726"/>
    <cellStyle name="Normal 11 3 2 4 4 3 3" xfId="16206"/>
    <cellStyle name="Normal 11 3 2 4 4 3 3 2" xfId="33486"/>
    <cellStyle name="Normal 11 3 2 4 4 3 4" xfId="21966"/>
    <cellStyle name="Normal 11 3 2 4 4 4" xfId="7566"/>
    <cellStyle name="Normal 11 3 2 4 4 4 2" xfId="24846"/>
    <cellStyle name="Normal 11 3 2 4 4 5" xfId="13326"/>
    <cellStyle name="Normal 11 3 2 4 4 5 2" xfId="30606"/>
    <cellStyle name="Normal 11 3 2 4 4 6" xfId="19086"/>
    <cellStyle name="Normal 11 3 2 4 5" xfId="2526"/>
    <cellStyle name="Normal 11 3 2 4 5 2" xfId="5406"/>
    <cellStyle name="Normal 11 3 2 4 5 2 2" xfId="11166"/>
    <cellStyle name="Normal 11 3 2 4 5 2 2 2" xfId="28446"/>
    <cellStyle name="Normal 11 3 2 4 5 2 3" xfId="16926"/>
    <cellStyle name="Normal 11 3 2 4 5 2 3 2" xfId="34206"/>
    <cellStyle name="Normal 11 3 2 4 5 2 4" xfId="22686"/>
    <cellStyle name="Normal 11 3 2 4 5 3" xfId="8286"/>
    <cellStyle name="Normal 11 3 2 4 5 3 2" xfId="25566"/>
    <cellStyle name="Normal 11 3 2 4 5 4" xfId="14046"/>
    <cellStyle name="Normal 11 3 2 4 5 4 2" xfId="31326"/>
    <cellStyle name="Normal 11 3 2 4 5 5" xfId="19806"/>
    <cellStyle name="Normal 11 3 2 4 6" xfId="3966"/>
    <cellStyle name="Normal 11 3 2 4 6 2" xfId="9726"/>
    <cellStyle name="Normal 11 3 2 4 6 2 2" xfId="27006"/>
    <cellStyle name="Normal 11 3 2 4 6 3" xfId="15486"/>
    <cellStyle name="Normal 11 3 2 4 6 3 2" xfId="32766"/>
    <cellStyle name="Normal 11 3 2 4 6 4" xfId="21246"/>
    <cellStyle name="Normal 11 3 2 4 7" xfId="6846"/>
    <cellStyle name="Normal 11 3 2 4 7 2" xfId="24126"/>
    <cellStyle name="Normal 11 3 2 4 8" xfId="12606"/>
    <cellStyle name="Normal 11 3 2 4 8 2" xfId="29886"/>
    <cellStyle name="Normal 11 3 2 4 9" xfId="18366"/>
    <cellStyle name="Normal 11 3 2 5" xfId="1206"/>
    <cellStyle name="Normal 11 3 2 5 2" xfId="1926"/>
    <cellStyle name="Normal 11 3 2 5 2 2" xfId="3366"/>
    <cellStyle name="Normal 11 3 2 5 2 2 2" xfId="6246"/>
    <cellStyle name="Normal 11 3 2 5 2 2 2 2" xfId="12006"/>
    <cellStyle name="Normal 11 3 2 5 2 2 2 2 2" xfId="29286"/>
    <cellStyle name="Normal 11 3 2 5 2 2 2 3" xfId="17766"/>
    <cellStyle name="Normal 11 3 2 5 2 2 2 3 2" xfId="35046"/>
    <cellStyle name="Normal 11 3 2 5 2 2 2 4" xfId="23526"/>
    <cellStyle name="Normal 11 3 2 5 2 2 3" xfId="9126"/>
    <cellStyle name="Normal 11 3 2 5 2 2 3 2" xfId="26406"/>
    <cellStyle name="Normal 11 3 2 5 2 2 4" xfId="14886"/>
    <cellStyle name="Normal 11 3 2 5 2 2 4 2" xfId="32166"/>
    <cellStyle name="Normal 11 3 2 5 2 2 5" xfId="20646"/>
    <cellStyle name="Normal 11 3 2 5 2 3" xfId="4806"/>
    <cellStyle name="Normal 11 3 2 5 2 3 2" xfId="10566"/>
    <cellStyle name="Normal 11 3 2 5 2 3 2 2" xfId="27846"/>
    <cellStyle name="Normal 11 3 2 5 2 3 3" xfId="16326"/>
    <cellStyle name="Normal 11 3 2 5 2 3 3 2" xfId="33606"/>
    <cellStyle name="Normal 11 3 2 5 2 3 4" xfId="22086"/>
    <cellStyle name="Normal 11 3 2 5 2 4" xfId="7686"/>
    <cellStyle name="Normal 11 3 2 5 2 4 2" xfId="24966"/>
    <cellStyle name="Normal 11 3 2 5 2 5" xfId="13446"/>
    <cellStyle name="Normal 11 3 2 5 2 5 2" xfId="30726"/>
    <cellStyle name="Normal 11 3 2 5 2 6" xfId="19206"/>
    <cellStyle name="Normal 11 3 2 5 3" xfId="2646"/>
    <cellStyle name="Normal 11 3 2 5 3 2" xfId="5526"/>
    <cellStyle name="Normal 11 3 2 5 3 2 2" xfId="11286"/>
    <cellStyle name="Normal 11 3 2 5 3 2 2 2" xfId="28566"/>
    <cellStyle name="Normal 11 3 2 5 3 2 3" xfId="17046"/>
    <cellStyle name="Normal 11 3 2 5 3 2 3 2" xfId="34326"/>
    <cellStyle name="Normal 11 3 2 5 3 2 4" xfId="22806"/>
    <cellStyle name="Normal 11 3 2 5 3 3" xfId="8406"/>
    <cellStyle name="Normal 11 3 2 5 3 3 2" xfId="25686"/>
    <cellStyle name="Normal 11 3 2 5 3 4" xfId="14166"/>
    <cellStyle name="Normal 11 3 2 5 3 4 2" xfId="31446"/>
    <cellStyle name="Normal 11 3 2 5 3 5" xfId="19926"/>
    <cellStyle name="Normal 11 3 2 5 4" xfId="4086"/>
    <cellStyle name="Normal 11 3 2 5 4 2" xfId="9846"/>
    <cellStyle name="Normal 11 3 2 5 4 2 2" xfId="27126"/>
    <cellStyle name="Normal 11 3 2 5 4 3" xfId="15606"/>
    <cellStyle name="Normal 11 3 2 5 4 3 2" xfId="32886"/>
    <cellStyle name="Normal 11 3 2 5 4 4" xfId="21366"/>
    <cellStyle name="Normal 11 3 2 5 5" xfId="6966"/>
    <cellStyle name="Normal 11 3 2 5 5 2" xfId="24246"/>
    <cellStyle name="Normal 11 3 2 5 6" xfId="12726"/>
    <cellStyle name="Normal 11 3 2 5 6 2" xfId="30006"/>
    <cellStyle name="Normal 11 3 2 5 7" xfId="18486"/>
    <cellStyle name="Normal 11 3 2 6" xfId="1446"/>
    <cellStyle name="Normal 11 3 2 6 2" xfId="2166"/>
    <cellStyle name="Normal 11 3 2 6 2 2" xfId="3606"/>
    <cellStyle name="Normal 11 3 2 6 2 2 2" xfId="6486"/>
    <cellStyle name="Normal 11 3 2 6 2 2 2 2" xfId="12246"/>
    <cellStyle name="Normal 11 3 2 6 2 2 2 2 2" xfId="29526"/>
    <cellStyle name="Normal 11 3 2 6 2 2 2 3" xfId="18006"/>
    <cellStyle name="Normal 11 3 2 6 2 2 2 3 2" xfId="35286"/>
    <cellStyle name="Normal 11 3 2 6 2 2 2 4" xfId="23766"/>
    <cellStyle name="Normal 11 3 2 6 2 2 3" xfId="9366"/>
    <cellStyle name="Normal 11 3 2 6 2 2 3 2" xfId="26646"/>
    <cellStyle name="Normal 11 3 2 6 2 2 4" xfId="15126"/>
    <cellStyle name="Normal 11 3 2 6 2 2 4 2" xfId="32406"/>
    <cellStyle name="Normal 11 3 2 6 2 2 5" xfId="20886"/>
    <cellStyle name="Normal 11 3 2 6 2 3" xfId="5046"/>
    <cellStyle name="Normal 11 3 2 6 2 3 2" xfId="10806"/>
    <cellStyle name="Normal 11 3 2 6 2 3 2 2" xfId="28086"/>
    <cellStyle name="Normal 11 3 2 6 2 3 3" xfId="16566"/>
    <cellStyle name="Normal 11 3 2 6 2 3 3 2" xfId="33846"/>
    <cellStyle name="Normal 11 3 2 6 2 3 4" xfId="22326"/>
    <cellStyle name="Normal 11 3 2 6 2 4" xfId="7926"/>
    <cellStyle name="Normal 11 3 2 6 2 4 2" xfId="25206"/>
    <cellStyle name="Normal 11 3 2 6 2 5" xfId="13686"/>
    <cellStyle name="Normal 11 3 2 6 2 5 2" xfId="30966"/>
    <cellStyle name="Normal 11 3 2 6 2 6" xfId="19446"/>
    <cellStyle name="Normal 11 3 2 6 3" xfId="2886"/>
    <cellStyle name="Normal 11 3 2 6 3 2" xfId="5766"/>
    <cellStyle name="Normal 11 3 2 6 3 2 2" xfId="11526"/>
    <cellStyle name="Normal 11 3 2 6 3 2 2 2" xfId="28806"/>
    <cellStyle name="Normal 11 3 2 6 3 2 3" xfId="17286"/>
    <cellStyle name="Normal 11 3 2 6 3 2 3 2" xfId="34566"/>
    <cellStyle name="Normal 11 3 2 6 3 2 4" xfId="23046"/>
    <cellStyle name="Normal 11 3 2 6 3 3" xfId="8646"/>
    <cellStyle name="Normal 11 3 2 6 3 3 2" xfId="25926"/>
    <cellStyle name="Normal 11 3 2 6 3 4" xfId="14406"/>
    <cellStyle name="Normal 11 3 2 6 3 4 2" xfId="31686"/>
    <cellStyle name="Normal 11 3 2 6 3 5" xfId="20166"/>
    <cellStyle name="Normal 11 3 2 6 4" xfId="4326"/>
    <cellStyle name="Normal 11 3 2 6 4 2" xfId="10086"/>
    <cellStyle name="Normal 11 3 2 6 4 2 2" xfId="27366"/>
    <cellStyle name="Normal 11 3 2 6 4 3" xfId="15846"/>
    <cellStyle name="Normal 11 3 2 6 4 3 2" xfId="33126"/>
    <cellStyle name="Normal 11 3 2 6 4 4" xfId="21606"/>
    <cellStyle name="Normal 11 3 2 6 5" xfId="7206"/>
    <cellStyle name="Normal 11 3 2 6 5 2" xfId="24486"/>
    <cellStyle name="Normal 11 3 2 6 6" xfId="12966"/>
    <cellStyle name="Normal 11 3 2 6 6 2" xfId="30246"/>
    <cellStyle name="Normal 11 3 2 6 7" xfId="18726"/>
    <cellStyle name="Normal 11 3 2 7" xfId="1686"/>
    <cellStyle name="Normal 11 3 2 7 2" xfId="3126"/>
    <cellStyle name="Normal 11 3 2 7 2 2" xfId="6006"/>
    <cellStyle name="Normal 11 3 2 7 2 2 2" xfId="11766"/>
    <cellStyle name="Normal 11 3 2 7 2 2 2 2" xfId="29046"/>
    <cellStyle name="Normal 11 3 2 7 2 2 3" xfId="17526"/>
    <cellStyle name="Normal 11 3 2 7 2 2 3 2" xfId="34806"/>
    <cellStyle name="Normal 11 3 2 7 2 2 4" xfId="23286"/>
    <cellStyle name="Normal 11 3 2 7 2 3" xfId="8886"/>
    <cellStyle name="Normal 11 3 2 7 2 3 2" xfId="26166"/>
    <cellStyle name="Normal 11 3 2 7 2 4" xfId="14646"/>
    <cellStyle name="Normal 11 3 2 7 2 4 2" xfId="31926"/>
    <cellStyle name="Normal 11 3 2 7 2 5" xfId="20406"/>
    <cellStyle name="Normal 11 3 2 7 3" xfId="4566"/>
    <cellStyle name="Normal 11 3 2 7 3 2" xfId="10326"/>
    <cellStyle name="Normal 11 3 2 7 3 2 2" xfId="27606"/>
    <cellStyle name="Normal 11 3 2 7 3 3" xfId="16086"/>
    <cellStyle name="Normal 11 3 2 7 3 3 2" xfId="33366"/>
    <cellStyle name="Normal 11 3 2 7 3 4" xfId="21846"/>
    <cellStyle name="Normal 11 3 2 7 4" xfId="7446"/>
    <cellStyle name="Normal 11 3 2 7 4 2" xfId="24726"/>
    <cellStyle name="Normal 11 3 2 7 5" xfId="13206"/>
    <cellStyle name="Normal 11 3 2 7 5 2" xfId="30486"/>
    <cellStyle name="Normal 11 3 2 7 6" xfId="18966"/>
    <cellStyle name="Normal 11 3 2 8" xfId="2406"/>
    <cellStyle name="Normal 11 3 2 8 2" xfId="5286"/>
    <cellStyle name="Normal 11 3 2 8 2 2" xfId="11046"/>
    <cellStyle name="Normal 11 3 2 8 2 2 2" xfId="28326"/>
    <cellStyle name="Normal 11 3 2 8 2 3" xfId="16806"/>
    <cellStyle name="Normal 11 3 2 8 2 3 2" xfId="34086"/>
    <cellStyle name="Normal 11 3 2 8 2 4" xfId="22566"/>
    <cellStyle name="Normal 11 3 2 8 3" xfId="8166"/>
    <cellStyle name="Normal 11 3 2 8 3 2" xfId="25446"/>
    <cellStyle name="Normal 11 3 2 8 4" xfId="13926"/>
    <cellStyle name="Normal 11 3 2 8 4 2" xfId="31206"/>
    <cellStyle name="Normal 11 3 2 8 5" xfId="19686"/>
    <cellStyle name="Normal 11 3 2 9" xfId="3846"/>
    <cellStyle name="Normal 11 3 2 9 2" xfId="9606"/>
    <cellStyle name="Normal 11 3 2 9 2 2" xfId="26886"/>
    <cellStyle name="Normal 11 3 2 9 3" xfId="15366"/>
    <cellStyle name="Normal 11 3 2 9 3 2" xfId="32646"/>
    <cellStyle name="Normal 11 3 2 9 4" xfId="21126"/>
    <cellStyle name="Normal 11 3 3" xfId="1026"/>
    <cellStyle name="Normal 11 3 3 10" xfId="18306"/>
    <cellStyle name="Normal 11 3 3 2" xfId="1146"/>
    <cellStyle name="Normal 11 3 3 2 2" xfId="1386"/>
    <cellStyle name="Normal 11 3 3 2 2 2" xfId="2106"/>
    <cellStyle name="Normal 11 3 3 2 2 2 2" xfId="3546"/>
    <cellStyle name="Normal 11 3 3 2 2 2 2 2" xfId="6426"/>
    <cellStyle name="Normal 11 3 3 2 2 2 2 2 2" xfId="12186"/>
    <cellStyle name="Normal 11 3 3 2 2 2 2 2 2 2" xfId="29466"/>
    <cellStyle name="Normal 11 3 3 2 2 2 2 2 3" xfId="17946"/>
    <cellStyle name="Normal 11 3 3 2 2 2 2 2 3 2" xfId="35226"/>
    <cellStyle name="Normal 11 3 3 2 2 2 2 2 4" xfId="23706"/>
    <cellStyle name="Normal 11 3 3 2 2 2 2 3" xfId="9306"/>
    <cellStyle name="Normal 11 3 3 2 2 2 2 3 2" xfId="26586"/>
    <cellStyle name="Normal 11 3 3 2 2 2 2 4" xfId="15066"/>
    <cellStyle name="Normal 11 3 3 2 2 2 2 4 2" xfId="32346"/>
    <cellStyle name="Normal 11 3 3 2 2 2 2 5" xfId="20826"/>
    <cellStyle name="Normal 11 3 3 2 2 2 3" xfId="4986"/>
    <cellStyle name="Normal 11 3 3 2 2 2 3 2" xfId="10746"/>
    <cellStyle name="Normal 11 3 3 2 2 2 3 2 2" xfId="28026"/>
    <cellStyle name="Normal 11 3 3 2 2 2 3 3" xfId="16506"/>
    <cellStyle name="Normal 11 3 3 2 2 2 3 3 2" xfId="33786"/>
    <cellStyle name="Normal 11 3 3 2 2 2 3 4" xfId="22266"/>
    <cellStyle name="Normal 11 3 3 2 2 2 4" xfId="7866"/>
    <cellStyle name="Normal 11 3 3 2 2 2 4 2" xfId="25146"/>
    <cellStyle name="Normal 11 3 3 2 2 2 5" xfId="13626"/>
    <cellStyle name="Normal 11 3 3 2 2 2 5 2" xfId="30906"/>
    <cellStyle name="Normal 11 3 3 2 2 2 6" xfId="19386"/>
    <cellStyle name="Normal 11 3 3 2 2 3" xfId="2826"/>
    <cellStyle name="Normal 11 3 3 2 2 3 2" xfId="5706"/>
    <cellStyle name="Normal 11 3 3 2 2 3 2 2" xfId="11466"/>
    <cellStyle name="Normal 11 3 3 2 2 3 2 2 2" xfId="28746"/>
    <cellStyle name="Normal 11 3 3 2 2 3 2 3" xfId="17226"/>
    <cellStyle name="Normal 11 3 3 2 2 3 2 3 2" xfId="34506"/>
    <cellStyle name="Normal 11 3 3 2 2 3 2 4" xfId="22986"/>
    <cellStyle name="Normal 11 3 3 2 2 3 3" xfId="8586"/>
    <cellStyle name="Normal 11 3 3 2 2 3 3 2" xfId="25866"/>
    <cellStyle name="Normal 11 3 3 2 2 3 4" xfId="14346"/>
    <cellStyle name="Normal 11 3 3 2 2 3 4 2" xfId="31626"/>
    <cellStyle name="Normal 11 3 3 2 2 3 5" xfId="20106"/>
    <cellStyle name="Normal 11 3 3 2 2 4" xfId="4266"/>
    <cellStyle name="Normal 11 3 3 2 2 4 2" xfId="10026"/>
    <cellStyle name="Normal 11 3 3 2 2 4 2 2" xfId="27306"/>
    <cellStyle name="Normal 11 3 3 2 2 4 3" xfId="15786"/>
    <cellStyle name="Normal 11 3 3 2 2 4 3 2" xfId="33066"/>
    <cellStyle name="Normal 11 3 3 2 2 4 4" xfId="21546"/>
    <cellStyle name="Normal 11 3 3 2 2 5" xfId="7146"/>
    <cellStyle name="Normal 11 3 3 2 2 5 2" xfId="24426"/>
    <cellStyle name="Normal 11 3 3 2 2 6" xfId="12906"/>
    <cellStyle name="Normal 11 3 3 2 2 6 2" xfId="30186"/>
    <cellStyle name="Normal 11 3 3 2 2 7" xfId="18666"/>
    <cellStyle name="Normal 11 3 3 2 3" xfId="1626"/>
    <cellStyle name="Normal 11 3 3 2 3 2" xfId="2346"/>
    <cellStyle name="Normal 11 3 3 2 3 2 2" xfId="3786"/>
    <cellStyle name="Normal 11 3 3 2 3 2 2 2" xfId="6666"/>
    <cellStyle name="Normal 11 3 3 2 3 2 2 2 2" xfId="12426"/>
    <cellStyle name="Normal 11 3 3 2 3 2 2 2 2 2" xfId="29706"/>
    <cellStyle name="Normal 11 3 3 2 3 2 2 2 3" xfId="18186"/>
    <cellStyle name="Normal 11 3 3 2 3 2 2 2 3 2" xfId="35466"/>
    <cellStyle name="Normal 11 3 3 2 3 2 2 2 4" xfId="23946"/>
    <cellStyle name="Normal 11 3 3 2 3 2 2 3" xfId="9546"/>
    <cellStyle name="Normal 11 3 3 2 3 2 2 3 2" xfId="26826"/>
    <cellStyle name="Normal 11 3 3 2 3 2 2 4" xfId="15306"/>
    <cellStyle name="Normal 11 3 3 2 3 2 2 4 2" xfId="32586"/>
    <cellStyle name="Normal 11 3 3 2 3 2 2 5" xfId="21066"/>
    <cellStyle name="Normal 11 3 3 2 3 2 3" xfId="5226"/>
    <cellStyle name="Normal 11 3 3 2 3 2 3 2" xfId="10986"/>
    <cellStyle name="Normal 11 3 3 2 3 2 3 2 2" xfId="28266"/>
    <cellStyle name="Normal 11 3 3 2 3 2 3 3" xfId="16746"/>
    <cellStyle name="Normal 11 3 3 2 3 2 3 3 2" xfId="34026"/>
    <cellStyle name="Normal 11 3 3 2 3 2 3 4" xfId="22506"/>
    <cellStyle name="Normal 11 3 3 2 3 2 4" xfId="8106"/>
    <cellStyle name="Normal 11 3 3 2 3 2 4 2" xfId="25386"/>
    <cellStyle name="Normal 11 3 3 2 3 2 5" xfId="13866"/>
    <cellStyle name="Normal 11 3 3 2 3 2 5 2" xfId="31146"/>
    <cellStyle name="Normal 11 3 3 2 3 2 6" xfId="19626"/>
    <cellStyle name="Normal 11 3 3 2 3 3" xfId="3066"/>
    <cellStyle name="Normal 11 3 3 2 3 3 2" xfId="5946"/>
    <cellStyle name="Normal 11 3 3 2 3 3 2 2" xfId="11706"/>
    <cellStyle name="Normal 11 3 3 2 3 3 2 2 2" xfId="28986"/>
    <cellStyle name="Normal 11 3 3 2 3 3 2 3" xfId="17466"/>
    <cellStyle name="Normal 11 3 3 2 3 3 2 3 2" xfId="34746"/>
    <cellStyle name="Normal 11 3 3 2 3 3 2 4" xfId="23226"/>
    <cellStyle name="Normal 11 3 3 2 3 3 3" xfId="8826"/>
    <cellStyle name="Normal 11 3 3 2 3 3 3 2" xfId="26106"/>
    <cellStyle name="Normal 11 3 3 2 3 3 4" xfId="14586"/>
    <cellStyle name="Normal 11 3 3 2 3 3 4 2" xfId="31866"/>
    <cellStyle name="Normal 11 3 3 2 3 3 5" xfId="20346"/>
    <cellStyle name="Normal 11 3 3 2 3 4" xfId="4506"/>
    <cellStyle name="Normal 11 3 3 2 3 4 2" xfId="10266"/>
    <cellStyle name="Normal 11 3 3 2 3 4 2 2" xfId="27546"/>
    <cellStyle name="Normal 11 3 3 2 3 4 3" xfId="16026"/>
    <cellStyle name="Normal 11 3 3 2 3 4 3 2" xfId="33306"/>
    <cellStyle name="Normal 11 3 3 2 3 4 4" xfId="21786"/>
    <cellStyle name="Normal 11 3 3 2 3 5" xfId="7386"/>
    <cellStyle name="Normal 11 3 3 2 3 5 2" xfId="24666"/>
    <cellStyle name="Normal 11 3 3 2 3 6" xfId="13146"/>
    <cellStyle name="Normal 11 3 3 2 3 6 2" xfId="30426"/>
    <cellStyle name="Normal 11 3 3 2 3 7" xfId="18906"/>
    <cellStyle name="Normal 11 3 3 2 4" xfId="1866"/>
    <cellStyle name="Normal 11 3 3 2 4 2" xfId="3306"/>
    <cellStyle name="Normal 11 3 3 2 4 2 2" xfId="6186"/>
    <cellStyle name="Normal 11 3 3 2 4 2 2 2" xfId="11946"/>
    <cellStyle name="Normal 11 3 3 2 4 2 2 2 2" xfId="29226"/>
    <cellStyle name="Normal 11 3 3 2 4 2 2 3" xfId="17706"/>
    <cellStyle name="Normal 11 3 3 2 4 2 2 3 2" xfId="34986"/>
    <cellStyle name="Normal 11 3 3 2 4 2 2 4" xfId="23466"/>
    <cellStyle name="Normal 11 3 3 2 4 2 3" xfId="9066"/>
    <cellStyle name="Normal 11 3 3 2 4 2 3 2" xfId="26346"/>
    <cellStyle name="Normal 11 3 3 2 4 2 4" xfId="14826"/>
    <cellStyle name="Normal 11 3 3 2 4 2 4 2" xfId="32106"/>
    <cellStyle name="Normal 11 3 3 2 4 2 5" xfId="20586"/>
    <cellStyle name="Normal 11 3 3 2 4 3" xfId="4746"/>
    <cellStyle name="Normal 11 3 3 2 4 3 2" xfId="10506"/>
    <cellStyle name="Normal 11 3 3 2 4 3 2 2" xfId="27786"/>
    <cellStyle name="Normal 11 3 3 2 4 3 3" xfId="16266"/>
    <cellStyle name="Normal 11 3 3 2 4 3 3 2" xfId="33546"/>
    <cellStyle name="Normal 11 3 3 2 4 3 4" xfId="22026"/>
    <cellStyle name="Normal 11 3 3 2 4 4" xfId="7626"/>
    <cellStyle name="Normal 11 3 3 2 4 4 2" xfId="24906"/>
    <cellStyle name="Normal 11 3 3 2 4 5" xfId="13386"/>
    <cellStyle name="Normal 11 3 3 2 4 5 2" xfId="30666"/>
    <cellStyle name="Normal 11 3 3 2 4 6" xfId="19146"/>
    <cellStyle name="Normal 11 3 3 2 5" xfId="2586"/>
    <cellStyle name="Normal 11 3 3 2 5 2" xfId="5466"/>
    <cellStyle name="Normal 11 3 3 2 5 2 2" xfId="11226"/>
    <cellStyle name="Normal 11 3 3 2 5 2 2 2" xfId="28506"/>
    <cellStyle name="Normal 11 3 3 2 5 2 3" xfId="16986"/>
    <cellStyle name="Normal 11 3 3 2 5 2 3 2" xfId="34266"/>
    <cellStyle name="Normal 11 3 3 2 5 2 4" xfId="22746"/>
    <cellStyle name="Normal 11 3 3 2 5 3" xfId="8346"/>
    <cellStyle name="Normal 11 3 3 2 5 3 2" xfId="25626"/>
    <cellStyle name="Normal 11 3 3 2 5 4" xfId="14106"/>
    <cellStyle name="Normal 11 3 3 2 5 4 2" xfId="31386"/>
    <cellStyle name="Normal 11 3 3 2 5 5" xfId="19866"/>
    <cellStyle name="Normal 11 3 3 2 6" xfId="4026"/>
    <cellStyle name="Normal 11 3 3 2 6 2" xfId="9786"/>
    <cellStyle name="Normal 11 3 3 2 6 2 2" xfId="27066"/>
    <cellStyle name="Normal 11 3 3 2 6 3" xfId="15546"/>
    <cellStyle name="Normal 11 3 3 2 6 3 2" xfId="32826"/>
    <cellStyle name="Normal 11 3 3 2 6 4" xfId="21306"/>
    <cellStyle name="Normal 11 3 3 2 7" xfId="6906"/>
    <cellStyle name="Normal 11 3 3 2 7 2" xfId="24186"/>
    <cellStyle name="Normal 11 3 3 2 8" xfId="12666"/>
    <cellStyle name="Normal 11 3 3 2 8 2" xfId="29946"/>
    <cellStyle name="Normal 11 3 3 2 9" xfId="18426"/>
    <cellStyle name="Normal 11 3 3 3" xfId="1266"/>
    <cellStyle name="Normal 11 3 3 3 2" xfId="1986"/>
    <cellStyle name="Normal 11 3 3 3 2 2" xfId="3426"/>
    <cellStyle name="Normal 11 3 3 3 2 2 2" xfId="6306"/>
    <cellStyle name="Normal 11 3 3 3 2 2 2 2" xfId="12066"/>
    <cellStyle name="Normal 11 3 3 3 2 2 2 2 2" xfId="29346"/>
    <cellStyle name="Normal 11 3 3 3 2 2 2 3" xfId="17826"/>
    <cellStyle name="Normal 11 3 3 3 2 2 2 3 2" xfId="35106"/>
    <cellStyle name="Normal 11 3 3 3 2 2 2 4" xfId="23586"/>
    <cellStyle name="Normal 11 3 3 3 2 2 3" xfId="9186"/>
    <cellStyle name="Normal 11 3 3 3 2 2 3 2" xfId="26466"/>
    <cellStyle name="Normal 11 3 3 3 2 2 4" xfId="14946"/>
    <cellStyle name="Normal 11 3 3 3 2 2 4 2" xfId="32226"/>
    <cellStyle name="Normal 11 3 3 3 2 2 5" xfId="20706"/>
    <cellStyle name="Normal 11 3 3 3 2 3" xfId="4866"/>
    <cellStyle name="Normal 11 3 3 3 2 3 2" xfId="10626"/>
    <cellStyle name="Normal 11 3 3 3 2 3 2 2" xfId="27906"/>
    <cellStyle name="Normal 11 3 3 3 2 3 3" xfId="16386"/>
    <cellStyle name="Normal 11 3 3 3 2 3 3 2" xfId="33666"/>
    <cellStyle name="Normal 11 3 3 3 2 3 4" xfId="22146"/>
    <cellStyle name="Normal 11 3 3 3 2 4" xfId="7746"/>
    <cellStyle name="Normal 11 3 3 3 2 4 2" xfId="25026"/>
    <cellStyle name="Normal 11 3 3 3 2 5" xfId="13506"/>
    <cellStyle name="Normal 11 3 3 3 2 5 2" xfId="30786"/>
    <cellStyle name="Normal 11 3 3 3 2 6" xfId="19266"/>
    <cellStyle name="Normal 11 3 3 3 3" xfId="2706"/>
    <cellStyle name="Normal 11 3 3 3 3 2" xfId="5586"/>
    <cellStyle name="Normal 11 3 3 3 3 2 2" xfId="11346"/>
    <cellStyle name="Normal 11 3 3 3 3 2 2 2" xfId="28626"/>
    <cellStyle name="Normal 11 3 3 3 3 2 3" xfId="17106"/>
    <cellStyle name="Normal 11 3 3 3 3 2 3 2" xfId="34386"/>
    <cellStyle name="Normal 11 3 3 3 3 2 4" xfId="22866"/>
    <cellStyle name="Normal 11 3 3 3 3 3" xfId="8466"/>
    <cellStyle name="Normal 11 3 3 3 3 3 2" xfId="25746"/>
    <cellStyle name="Normal 11 3 3 3 3 4" xfId="14226"/>
    <cellStyle name="Normal 11 3 3 3 3 4 2" xfId="31506"/>
    <cellStyle name="Normal 11 3 3 3 3 5" xfId="19986"/>
    <cellStyle name="Normal 11 3 3 3 4" xfId="4146"/>
    <cellStyle name="Normal 11 3 3 3 4 2" xfId="9906"/>
    <cellStyle name="Normal 11 3 3 3 4 2 2" xfId="27186"/>
    <cellStyle name="Normal 11 3 3 3 4 3" xfId="15666"/>
    <cellStyle name="Normal 11 3 3 3 4 3 2" xfId="32946"/>
    <cellStyle name="Normal 11 3 3 3 4 4" xfId="21426"/>
    <cellStyle name="Normal 11 3 3 3 5" xfId="7026"/>
    <cellStyle name="Normal 11 3 3 3 5 2" xfId="24306"/>
    <cellStyle name="Normal 11 3 3 3 6" xfId="12786"/>
    <cellStyle name="Normal 11 3 3 3 6 2" xfId="30066"/>
    <cellStyle name="Normal 11 3 3 3 7" xfId="18546"/>
    <cellStyle name="Normal 11 3 3 4" xfId="1506"/>
    <cellStyle name="Normal 11 3 3 4 2" xfId="2226"/>
    <cellStyle name="Normal 11 3 3 4 2 2" xfId="3666"/>
    <cellStyle name="Normal 11 3 3 4 2 2 2" xfId="6546"/>
    <cellStyle name="Normal 11 3 3 4 2 2 2 2" xfId="12306"/>
    <cellStyle name="Normal 11 3 3 4 2 2 2 2 2" xfId="29586"/>
    <cellStyle name="Normal 11 3 3 4 2 2 2 3" xfId="18066"/>
    <cellStyle name="Normal 11 3 3 4 2 2 2 3 2" xfId="35346"/>
    <cellStyle name="Normal 11 3 3 4 2 2 2 4" xfId="23826"/>
    <cellStyle name="Normal 11 3 3 4 2 2 3" xfId="9426"/>
    <cellStyle name="Normal 11 3 3 4 2 2 3 2" xfId="26706"/>
    <cellStyle name="Normal 11 3 3 4 2 2 4" xfId="15186"/>
    <cellStyle name="Normal 11 3 3 4 2 2 4 2" xfId="32466"/>
    <cellStyle name="Normal 11 3 3 4 2 2 5" xfId="20946"/>
    <cellStyle name="Normal 11 3 3 4 2 3" xfId="5106"/>
    <cellStyle name="Normal 11 3 3 4 2 3 2" xfId="10866"/>
    <cellStyle name="Normal 11 3 3 4 2 3 2 2" xfId="28146"/>
    <cellStyle name="Normal 11 3 3 4 2 3 3" xfId="16626"/>
    <cellStyle name="Normal 11 3 3 4 2 3 3 2" xfId="33906"/>
    <cellStyle name="Normal 11 3 3 4 2 3 4" xfId="22386"/>
    <cellStyle name="Normal 11 3 3 4 2 4" xfId="7986"/>
    <cellStyle name="Normal 11 3 3 4 2 4 2" xfId="25266"/>
    <cellStyle name="Normal 11 3 3 4 2 5" xfId="13746"/>
    <cellStyle name="Normal 11 3 3 4 2 5 2" xfId="31026"/>
    <cellStyle name="Normal 11 3 3 4 2 6" xfId="19506"/>
    <cellStyle name="Normal 11 3 3 4 3" xfId="2946"/>
    <cellStyle name="Normal 11 3 3 4 3 2" xfId="5826"/>
    <cellStyle name="Normal 11 3 3 4 3 2 2" xfId="11586"/>
    <cellStyle name="Normal 11 3 3 4 3 2 2 2" xfId="28866"/>
    <cellStyle name="Normal 11 3 3 4 3 2 3" xfId="17346"/>
    <cellStyle name="Normal 11 3 3 4 3 2 3 2" xfId="34626"/>
    <cellStyle name="Normal 11 3 3 4 3 2 4" xfId="23106"/>
    <cellStyle name="Normal 11 3 3 4 3 3" xfId="8706"/>
    <cellStyle name="Normal 11 3 3 4 3 3 2" xfId="25986"/>
    <cellStyle name="Normal 11 3 3 4 3 4" xfId="14466"/>
    <cellStyle name="Normal 11 3 3 4 3 4 2" xfId="31746"/>
    <cellStyle name="Normal 11 3 3 4 3 5" xfId="20226"/>
    <cellStyle name="Normal 11 3 3 4 4" xfId="4386"/>
    <cellStyle name="Normal 11 3 3 4 4 2" xfId="10146"/>
    <cellStyle name="Normal 11 3 3 4 4 2 2" xfId="27426"/>
    <cellStyle name="Normal 11 3 3 4 4 3" xfId="15906"/>
    <cellStyle name="Normal 11 3 3 4 4 3 2" xfId="33186"/>
    <cellStyle name="Normal 11 3 3 4 4 4" xfId="21666"/>
    <cellStyle name="Normal 11 3 3 4 5" xfId="7266"/>
    <cellStyle name="Normal 11 3 3 4 5 2" xfId="24546"/>
    <cellStyle name="Normal 11 3 3 4 6" xfId="13026"/>
    <cellStyle name="Normal 11 3 3 4 6 2" xfId="30306"/>
    <cellStyle name="Normal 11 3 3 4 7" xfId="18786"/>
    <cellStyle name="Normal 11 3 3 5" xfId="1746"/>
    <cellStyle name="Normal 11 3 3 5 2" xfId="3186"/>
    <cellStyle name="Normal 11 3 3 5 2 2" xfId="6066"/>
    <cellStyle name="Normal 11 3 3 5 2 2 2" xfId="11826"/>
    <cellStyle name="Normal 11 3 3 5 2 2 2 2" xfId="29106"/>
    <cellStyle name="Normal 11 3 3 5 2 2 3" xfId="17586"/>
    <cellStyle name="Normal 11 3 3 5 2 2 3 2" xfId="34866"/>
    <cellStyle name="Normal 11 3 3 5 2 2 4" xfId="23346"/>
    <cellStyle name="Normal 11 3 3 5 2 3" xfId="8946"/>
    <cellStyle name="Normal 11 3 3 5 2 3 2" xfId="26226"/>
    <cellStyle name="Normal 11 3 3 5 2 4" xfId="14706"/>
    <cellStyle name="Normal 11 3 3 5 2 4 2" xfId="31986"/>
    <cellStyle name="Normal 11 3 3 5 2 5" xfId="20466"/>
    <cellStyle name="Normal 11 3 3 5 3" xfId="4626"/>
    <cellStyle name="Normal 11 3 3 5 3 2" xfId="10386"/>
    <cellStyle name="Normal 11 3 3 5 3 2 2" xfId="27666"/>
    <cellStyle name="Normal 11 3 3 5 3 3" xfId="16146"/>
    <cellStyle name="Normal 11 3 3 5 3 3 2" xfId="33426"/>
    <cellStyle name="Normal 11 3 3 5 3 4" xfId="21906"/>
    <cellStyle name="Normal 11 3 3 5 4" xfId="7506"/>
    <cellStyle name="Normal 11 3 3 5 4 2" xfId="24786"/>
    <cellStyle name="Normal 11 3 3 5 5" xfId="13266"/>
    <cellStyle name="Normal 11 3 3 5 5 2" xfId="30546"/>
    <cellStyle name="Normal 11 3 3 5 6" xfId="19026"/>
    <cellStyle name="Normal 11 3 3 6" xfId="2466"/>
    <cellStyle name="Normal 11 3 3 6 2" xfId="5346"/>
    <cellStyle name="Normal 11 3 3 6 2 2" xfId="11106"/>
    <cellStyle name="Normal 11 3 3 6 2 2 2" xfId="28386"/>
    <cellStyle name="Normal 11 3 3 6 2 3" xfId="16866"/>
    <cellStyle name="Normal 11 3 3 6 2 3 2" xfId="34146"/>
    <cellStyle name="Normal 11 3 3 6 2 4" xfId="22626"/>
    <cellStyle name="Normal 11 3 3 6 3" xfId="8226"/>
    <cellStyle name="Normal 11 3 3 6 3 2" xfId="25506"/>
    <cellStyle name="Normal 11 3 3 6 4" xfId="13986"/>
    <cellStyle name="Normal 11 3 3 6 4 2" xfId="31266"/>
    <cellStyle name="Normal 11 3 3 6 5" xfId="19746"/>
    <cellStyle name="Normal 11 3 3 7" xfId="3906"/>
    <cellStyle name="Normal 11 3 3 7 2" xfId="9666"/>
    <cellStyle name="Normal 11 3 3 7 2 2" xfId="26946"/>
    <cellStyle name="Normal 11 3 3 7 3" xfId="15426"/>
    <cellStyle name="Normal 11 3 3 7 3 2" xfId="32706"/>
    <cellStyle name="Normal 11 3 3 7 4" xfId="21186"/>
    <cellStyle name="Normal 11 3 3 8" xfId="6786"/>
    <cellStyle name="Normal 11 3 3 8 2" xfId="24066"/>
    <cellStyle name="Normal 11 3 3 9" xfId="12546"/>
    <cellStyle name="Normal 11 3 3 9 2" xfId="29826"/>
    <cellStyle name="Normal 11 3 4" xfId="986"/>
    <cellStyle name="Normal 11 3 4 10" xfId="18266"/>
    <cellStyle name="Normal 11 3 4 2" xfId="1106"/>
    <cellStyle name="Normal 11 3 4 2 2" xfId="1346"/>
    <cellStyle name="Normal 11 3 4 2 2 2" xfId="2066"/>
    <cellStyle name="Normal 11 3 4 2 2 2 2" xfId="3506"/>
    <cellStyle name="Normal 11 3 4 2 2 2 2 2" xfId="6386"/>
    <cellStyle name="Normal 11 3 4 2 2 2 2 2 2" xfId="12146"/>
    <cellStyle name="Normal 11 3 4 2 2 2 2 2 2 2" xfId="29426"/>
    <cellStyle name="Normal 11 3 4 2 2 2 2 2 3" xfId="17906"/>
    <cellStyle name="Normal 11 3 4 2 2 2 2 2 3 2" xfId="35186"/>
    <cellStyle name="Normal 11 3 4 2 2 2 2 2 4" xfId="23666"/>
    <cellStyle name="Normal 11 3 4 2 2 2 2 3" xfId="9266"/>
    <cellStyle name="Normal 11 3 4 2 2 2 2 3 2" xfId="26546"/>
    <cellStyle name="Normal 11 3 4 2 2 2 2 4" xfId="15026"/>
    <cellStyle name="Normal 11 3 4 2 2 2 2 4 2" xfId="32306"/>
    <cellStyle name="Normal 11 3 4 2 2 2 2 5" xfId="20786"/>
    <cellStyle name="Normal 11 3 4 2 2 2 3" xfId="4946"/>
    <cellStyle name="Normal 11 3 4 2 2 2 3 2" xfId="10706"/>
    <cellStyle name="Normal 11 3 4 2 2 2 3 2 2" xfId="27986"/>
    <cellStyle name="Normal 11 3 4 2 2 2 3 3" xfId="16466"/>
    <cellStyle name="Normal 11 3 4 2 2 2 3 3 2" xfId="33746"/>
    <cellStyle name="Normal 11 3 4 2 2 2 3 4" xfId="22226"/>
    <cellStyle name="Normal 11 3 4 2 2 2 4" xfId="7826"/>
    <cellStyle name="Normal 11 3 4 2 2 2 4 2" xfId="25106"/>
    <cellStyle name="Normal 11 3 4 2 2 2 5" xfId="13586"/>
    <cellStyle name="Normal 11 3 4 2 2 2 5 2" xfId="30866"/>
    <cellStyle name="Normal 11 3 4 2 2 2 6" xfId="19346"/>
    <cellStyle name="Normal 11 3 4 2 2 3" xfId="2786"/>
    <cellStyle name="Normal 11 3 4 2 2 3 2" xfId="5666"/>
    <cellStyle name="Normal 11 3 4 2 2 3 2 2" xfId="11426"/>
    <cellStyle name="Normal 11 3 4 2 2 3 2 2 2" xfId="28706"/>
    <cellStyle name="Normal 11 3 4 2 2 3 2 3" xfId="17186"/>
    <cellStyle name="Normal 11 3 4 2 2 3 2 3 2" xfId="34466"/>
    <cellStyle name="Normal 11 3 4 2 2 3 2 4" xfId="22946"/>
    <cellStyle name="Normal 11 3 4 2 2 3 3" xfId="8546"/>
    <cellStyle name="Normal 11 3 4 2 2 3 3 2" xfId="25826"/>
    <cellStyle name="Normal 11 3 4 2 2 3 4" xfId="14306"/>
    <cellStyle name="Normal 11 3 4 2 2 3 4 2" xfId="31586"/>
    <cellStyle name="Normal 11 3 4 2 2 3 5" xfId="20066"/>
    <cellStyle name="Normal 11 3 4 2 2 4" xfId="4226"/>
    <cellStyle name="Normal 11 3 4 2 2 4 2" xfId="9986"/>
    <cellStyle name="Normal 11 3 4 2 2 4 2 2" xfId="27266"/>
    <cellStyle name="Normal 11 3 4 2 2 4 3" xfId="15746"/>
    <cellStyle name="Normal 11 3 4 2 2 4 3 2" xfId="33026"/>
    <cellStyle name="Normal 11 3 4 2 2 4 4" xfId="21506"/>
    <cellStyle name="Normal 11 3 4 2 2 5" xfId="7106"/>
    <cellStyle name="Normal 11 3 4 2 2 5 2" xfId="24386"/>
    <cellStyle name="Normal 11 3 4 2 2 6" xfId="12866"/>
    <cellStyle name="Normal 11 3 4 2 2 6 2" xfId="30146"/>
    <cellStyle name="Normal 11 3 4 2 2 7" xfId="18626"/>
    <cellStyle name="Normal 11 3 4 2 3" xfId="1586"/>
    <cellStyle name="Normal 11 3 4 2 3 2" xfId="2306"/>
    <cellStyle name="Normal 11 3 4 2 3 2 2" xfId="3746"/>
    <cellStyle name="Normal 11 3 4 2 3 2 2 2" xfId="6626"/>
    <cellStyle name="Normal 11 3 4 2 3 2 2 2 2" xfId="12386"/>
    <cellStyle name="Normal 11 3 4 2 3 2 2 2 2 2" xfId="29666"/>
    <cellStyle name="Normal 11 3 4 2 3 2 2 2 3" xfId="18146"/>
    <cellStyle name="Normal 11 3 4 2 3 2 2 2 3 2" xfId="35426"/>
    <cellStyle name="Normal 11 3 4 2 3 2 2 2 4" xfId="23906"/>
    <cellStyle name="Normal 11 3 4 2 3 2 2 3" xfId="9506"/>
    <cellStyle name="Normal 11 3 4 2 3 2 2 3 2" xfId="26786"/>
    <cellStyle name="Normal 11 3 4 2 3 2 2 4" xfId="15266"/>
    <cellStyle name="Normal 11 3 4 2 3 2 2 4 2" xfId="32546"/>
    <cellStyle name="Normal 11 3 4 2 3 2 2 5" xfId="21026"/>
    <cellStyle name="Normal 11 3 4 2 3 2 3" xfId="5186"/>
    <cellStyle name="Normal 11 3 4 2 3 2 3 2" xfId="10946"/>
    <cellStyle name="Normal 11 3 4 2 3 2 3 2 2" xfId="28226"/>
    <cellStyle name="Normal 11 3 4 2 3 2 3 3" xfId="16706"/>
    <cellStyle name="Normal 11 3 4 2 3 2 3 3 2" xfId="33986"/>
    <cellStyle name="Normal 11 3 4 2 3 2 3 4" xfId="22466"/>
    <cellStyle name="Normal 11 3 4 2 3 2 4" xfId="8066"/>
    <cellStyle name="Normal 11 3 4 2 3 2 4 2" xfId="25346"/>
    <cellStyle name="Normal 11 3 4 2 3 2 5" xfId="13826"/>
    <cellStyle name="Normal 11 3 4 2 3 2 5 2" xfId="31106"/>
    <cellStyle name="Normal 11 3 4 2 3 2 6" xfId="19586"/>
    <cellStyle name="Normal 11 3 4 2 3 3" xfId="3026"/>
    <cellStyle name="Normal 11 3 4 2 3 3 2" xfId="5906"/>
    <cellStyle name="Normal 11 3 4 2 3 3 2 2" xfId="11666"/>
    <cellStyle name="Normal 11 3 4 2 3 3 2 2 2" xfId="28946"/>
    <cellStyle name="Normal 11 3 4 2 3 3 2 3" xfId="17426"/>
    <cellStyle name="Normal 11 3 4 2 3 3 2 3 2" xfId="34706"/>
    <cellStyle name="Normal 11 3 4 2 3 3 2 4" xfId="23186"/>
    <cellStyle name="Normal 11 3 4 2 3 3 3" xfId="8786"/>
    <cellStyle name="Normal 11 3 4 2 3 3 3 2" xfId="26066"/>
    <cellStyle name="Normal 11 3 4 2 3 3 4" xfId="14546"/>
    <cellStyle name="Normal 11 3 4 2 3 3 4 2" xfId="31826"/>
    <cellStyle name="Normal 11 3 4 2 3 3 5" xfId="20306"/>
    <cellStyle name="Normal 11 3 4 2 3 4" xfId="4466"/>
    <cellStyle name="Normal 11 3 4 2 3 4 2" xfId="10226"/>
    <cellStyle name="Normal 11 3 4 2 3 4 2 2" xfId="27506"/>
    <cellStyle name="Normal 11 3 4 2 3 4 3" xfId="15986"/>
    <cellStyle name="Normal 11 3 4 2 3 4 3 2" xfId="33266"/>
    <cellStyle name="Normal 11 3 4 2 3 4 4" xfId="21746"/>
    <cellStyle name="Normal 11 3 4 2 3 5" xfId="7346"/>
    <cellStyle name="Normal 11 3 4 2 3 5 2" xfId="24626"/>
    <cellStyle name="Normal 11 3 4 2 3 6" xfId="13106"/>
    <cellStyle name="Normal 11 3 4 2 3 6 2" xfId="30386"/>
    <cellStyle name="Normal 11 3 4 2 3 7" xfId="18866"/>
    <cellStyle name="Normal 11 3 4 2 4" xfId="1826"/>
    <cellStyle name="Normal 11 3 4 2 4 2" xfId="3266"/>
    <cellStyle name="Normal 11 3 4 2 4 2 2" xfId="6146"/>
    <cellStyle name="Normal 11 3 4 2 4 2 2 2" xfId="11906"/>
    <cellStyle name="Normal 11 3 4 2 4 2 2 2 2" xfId="29186"/>
    <cellStyle name="Normal 11 3 4 2 4 2 2 3" xfId="17666"/>
    <cellStyle name="Normal 11 3 4 2 4 2 2 3 2" xfId="34946"/>
    <cellStyle name="Normal 11 3 4 2 4 2 2 4" xfId="23426"/>
    <cellStyle name="Normal 11 3 4 2 4 2 3" xfId="9026"/>
    <cellStyle name="Normal 11 3 4 2 4 2 3 2" xfId="26306"/>
    <cellStyle name="Normal 11 3 4 2 4 2 4" xfId="14786"/>
    <cellStyle name="Normal 11 3 4 2 4 2 4 2" xfId="32066"/>
    <cellStyle name="Normal 11 3 4 2 4 2 5" xfId="20546"/>
    <cellStyle name="Normal 11 3 4 2 4 3" xfId="4706"/>
    <cellStyle name="Normal 11 3 4 2 4 3 2" xfId="10466"/>
    <cellStyle name="Normal 11 3 4 2 4 3 2 2" xfId="27746"/>
    <cellStyle name="Normal 11 3 4 2 4 3 3" xfId="16226"/>
    <cellStyle name="Normal 11 3 4 2 4 3 3 2" xfId="33506"/>
    <cellStyle name="Normal 11 3 4 2 4 3 4" xfId="21986"/>
    <cellStyle name="Normal 11 3 4 2 4 4" xfId="7586"/>
    <cellStyle name="Normal 11 3 4 2 4 4 2" xfId="24866"/>
    <cellStyle name="Normal 11 3 4 2 4 5" xfId="13346"/>
    <cellStyle name="Normal 11 3 4 2 4 5 2" xfId="30626"/>
    <cellStyle name="Normal 11 3 4 2 4 6" xfId="19106"/>
    <cellStyle name="Normal 11 3 4 2 5" xfId="2546"/>
    <cellStyle name="Normal 11 3 4 2 5 2" xfId="5426"/>
    <cellStyle name="Normal 11 3 4 2 5 2 2" xfId="11186"/>
    <cellStyle name="Normal 11 3 4 2 5 2 2 2" xfId="28466"/>
    <cellStyle name="Normal 11 3 4 2 5 2 3" xfId="16946"/>
    <cellStyle name="Normal 11 3 4 2 5 2 3 2" xfId="34226"/>
    <cellStyle name="Normal 11 3 4 2 5 2 4" xfId="22706"/>
    <cellStyle name="Normal 11 3 4 2 5 3" xfId="8306"/>
    <cellStyle name="Normal 11 3 4 2 5 3 2" xfId="25586"/>
    <cellStyle name="Normal 11 3 4 2 5 4" xfId="14066"/>
    <cellStyle name="Normal 11 3 4 2 5 4 2" xfId="31346"/>
    <cellStyle name="Normal 11 3 4 2 5 5" xfId="19826"/>
    <cellStyle name="Normal 11 3 4 2 6" xfId="3986"/>
    <cellStyle name="Normal 11 3 4 2 6 2" xfId="9746"/>
    <cellStyle name="Normal 11 3 4 2 6 2 2" xfId="27026"/>
    <cellStyle name="Normal 11 3 4 2 6 3" xfId="15506"/>
    <cellStyle name="Normal 11 3 4 2 6 3 2" xfId="32786"/>
    <cellStyle name="Normal 11 3 4 2 6 4" xfId="21266"/>
    <cellStyle name="Normal 11 3 4 2 7" xfId="6866"/>
    <cellStyle name="Normal 11 3 4 2 7 2" xfId="24146"/>
    <cellStyle name="Normal 11 3 4 2 8" xfId="12626"/>
    <cellStyle name="Normal 11 3 4 2 8 2" xfId="29906"/>
    <cellStyle name="Normal 11 3 4 2 9" xfId="18386"/>
    <cellStyle name="Normal 11 3 4 3" xfId="1226"/>
    <cellStyle name="Normal 11 3 4 3 2" xfId="1946"/>
    <cellStyle name="Normal 11 3 4 3 2 2" xfId="3386"/>
    <cellStyle name="Normal 11 3 4 3 2 2 2" xfId="6266"/>
    <cellStyle name="Normal 11 3 4 3 2 2 2 2" xfId="12026"/>
    <cellStyle name="Normal 11 3 4 3 2 2 2 2 2" xfId="29306"/>
    <cellStyle name="Normal 11 3 4 3 2 2 2 3" xfId="17786"/>
    <cellStyle name="Normal 11 3 4 3 2 2 2 3 2" xfId="35066"/>
    <cellStyle name="Normal 11 3 4 3 2 2 2 4" xfId="23546"/>
    <cellStyle name="Normal 11 3 4 3 2 2 3" xfId="9146"/>
    <cellStyle name="Normal 11 3 4 3 2 2 3 2" xfId="26426"/>
    <cellStyle name="Normal 11 3 4 3 2 2 4" xfId="14906"/>
    <cellStyle name="Normal 11 3 4 3 2 2 4 2" xfId="32186"/>
    <cellStyle name="Normal 11 3 4 3 2 2 5" xfId="20666"/>
    <cellStyle name="Normal 11 3 4 3 2 3" xfId="4826"/>
    <cellStyle name="Normal 11 3 4 3 2 3 2" xfId="10586"/>
    <cellStyle name="Normal 11 3 4 3 2 3 2 2" xfId="27866"/>
    <cellStyle name="Normal 11 3 4 3 2 3 3" xfId="16346"/>
    <cellStyle name="Normal 11 3 4 3 2 3 3 2" xfId="33626"/>
    <cellStyle name="Normal 11 3 4 3 2 3 4" xfId="22106"/>
    <cellStyle name="Normal 11 3 4 3 2 4" xfId="7706"/>
    <cellStyle name="Normal 11 3 4 3 2 4 2" xfId="24986"/>
    <cellStyle name="Normal 11 3 4 3 2 5" xfId="13466"/>
    <cellStyle name="Normal 11 3 4 3 2 5 2" xfId="30746"/>
    <cellStyle name="Normal 11 3 4 3 2 6" xfId="19226"/>
    <cellStyle name="Normal 11 3 4 3 3" xfId="2666"/>
    <cellStyle name="Normal 11 3 4 3 3 2" xfId="5546"/>
    <cellStyle name="Normal 11 3 4 3 3 2 2" xfId="11306"/>
    <cellStyle name="Normal 11 3 4 3 3 2 2 2" xfId="28586"/>
    <cellStyle name="Normal 11 3 4 3 3 2 3" xfId="17066"/>
    <cellStyle name="Normal 11 3 4 3 3 2 3 2" xfId="34346"/>
    <cellStyle name="Normal 11 3 4 3 3 2 4" xfId="22826"/>
    <cellStyle name="Normal 11 3 4 3 3 3" xfId="8426"/>
    <cellStyle name="Normal 11 3 4 3 3 3 2" xfId="25706"/>
    <cellStyle name="Normal 11 3 4 3 3 4" xfId="14186"/>
    <cellStyle name="Normal 11 3 4 3 3 4 2" xfId="31466"/>
    <cellStyle name="Normal 11 3 4 3 3 5" xfId="19946"/>
    <cellStyle name="Normal 11 3 4 3 4" xfId="4106"/>
    <cellStyle name="Normal 11 3 4 3 4 2" xfId="9866"/>
    <cellStyle name="Normal 11 3 4 3 4 2 2" xfId="27146"/>
    <cellStyle name="Normal 11 3 4 3 4 3" xfId="15626"/>
    <cellStyle name="Normal 11 3 4 3 4 3 2" xfId="32906"/>
    <cellStyle name="Normal 11 3 4 3 4 4" xfId="21386"/>
    <cellStyle name="Normal 11 3 4 3 5" xfId="6986"/>
    <cellStyle name="Normal 11 3 4 3 5 2" xfId="24266"/>
    <cellStyle name="Normal 11 3 4 3 6" xfId="12746"/>
    <cellStyle name="Normal 11 3 4 3 6 2" xfId="30026"/>
    <cellStyle name="Normal 11 3 4 3 7" xfId="18506"/>
    <cellStyle name="Normal 11 3 4 4" xfId="1466"/>
    <cellStyle name="Normal 11 3 4 4 2" xfId="2186"/>
    <cellStyle name="Normal 11 3 4 4 2 2" xfId="3626"/>
    <cellStyle name="Normal 11 3 4 4 2 2 2" xfId="6506"/>
    <cellStyle name="Normal 11 3 4 4 2 2 2 2" xfId="12266"/>
    <cellStyle name="Normal 11 3 4 4 2 2 2 2 2" xfId="29546"/>
    <cellStyle name="Normal 11 3 4 4 2 2 2 3" xfId="18026"/>
    <cellStyle name="Normal 11 3 4 4 2 2 2 3 2" xfId="35306"/>
    <cellStyle name="Normal 11 3 4 4 2 2 2 4" xfId="23786"/>
    <cellStyle name="Normal 11 3 4 4 2 2 3" xfId="9386"/>
    <cellStyle name="Normal 11 3 4 4 2 2 3 2" xfId="26666"/>
    <cellStyle name="Normal 11 3 4 4 2 2 4" xfId="15146"/>
    <cellStyle name="Normal 11 3 4 4 2 2 4 2" xfId="32426"/>
    <cellStyle name="Normal 11 3 4 4 2 2 5" xfId="20906"/>
    <cellStyle name="Normal 11 3 4 4 2 3" xfId="5066"/>
    <cellStyle name="Normal 11 3 4 4 2 3 2" xfId="10826"/>
    <cellStyle name="Normal 11 3 4 4 2 3 2 2" xfId="28106"/>
    <cellStyle name="Normal 11 3 4 4 2 3 3" xfId="16586"/>
    <cellStyle name="Normal 11 3 4 4 2 3 3 2" xfId="33866"/>
    <cellStyle name="Normal 11 3 4 4 2 3 4" xfId="22346"/>
    <cellStyle name="Normal 11 3 4 4 2 4" xfId="7946"/>
    <cellStyle name="Normal 11 3 4 4 2 4 2" xfId="25226"/>
    <cellStyle name="Normal 11 3 4 4 2 5" xfId="13706"/>
    <cellStyle name="Normal 11 3 4 4 2 5 2" xfId="30986"/>
    <cellStyle name="Normal 11 3 4 4 2 6" xfId="19466"/>
    <cellStyle name="Normal 11 3 4 4 3" xfId="2906"/>
    <cellStyle name="Normal 11 3 4 4 3 2" xfId="5786"/>
    <cellStyle name="Normal 11 3 4 4 3 2 2" xfId="11546"/>
    <cellStyle name="Normal 11 3 4 4 3 2 2 2" xfId="28826"/>
    <cellStyle name="Normal 11 3 4 4 3 2 3" xfId="17306"/>
    <cellStyle name="Normal 11 3 4 4 3 2 3 2" xfId="34586"/>
    <cellStyle name="Normal 11 3 4 4 3 2 4" xfId="23066"/>
    <cellStyle name="Normal 11 3 4 4 3 3" xfId="8666"/>
    <cellStyle name="Normal 11 3 4 4 3 3 2" xfId="25946"/>
    <cellStyle name="Normal 11 3 4 4 3 4" xfId="14426"/>
    <cellStyle name="Normal 11 3 4 4 3 4 2" xfId="31706"/>
    <cellStyle name="Normal 11 3 4 4 3 5" xfId="20186"/>
    <cellStyle name="Normal 11 3 4 4 4" xfId="4346"/>
    <cellStyle name="Normal 11 3 4 4 4 2" xfId="10106"/>
    <cellStyle name="Normal 11 3 4 4 4 2 2" xfId="27386"/>
    <cellStyle name="Normal 11 3 4 4 4 3" xfId="15866"/>
    <cellStyle name="Normal 11 3 4 4 4 3 2" xfId="33146"/>
    <cellStyle name="Normal 11 3 4 4 4 4" xfId="21626"/>
    <cellStyle name="Normal 11 3 4 4 5" xfId="7226"/>
    <cellStyle name="Normal 11 3 4 4 5 2" xfId="24506"/>
    <cellStyle name="Normal 11 3 4 4 6" xfId="12986"/>
    <cellStyle name="Normal 11 3 4 4 6 2" xfId="30266"/>
    <cellStyle name="Normal 11 3 4 4 7" xfId="18746"/>
    <cellStyle name="Normal 11 3 4 5" xfId="1706"/>
    <cellStyle name="Normal 11 3 4 5 2" xfId="3146"/>
    <cellStyle name="Normal 11 3 4 5 2 2" xfId="6026"/>
    <cellStyle name="Normal 11 3 4 5 2 2 2" xfId="11786"/>
    <cellStyle name="Normal 11 3 4 5 2 2 2 2" xfId="29066"/>
    <cellStyle name="Normal 11 3 4 5 2 2 3" xfId="17546"/>
    <cellStyle name="Normal 11 3 4 5 2 2 3 2" xfId="34826"/>
    <cellStyle name="Normal 11 3 4 5 2 2 4" xfId="23306"/>
    <cellStyle name="Normal 11 3 4 5 2 3" xfId="8906"/>
    <cellStyle name="Normal 11 3 4 5 2 3 2" xfId="26186"/>
    <cellStyle name="Normal 11 3 4 5 2 4" xfId="14666"/>
    <cellStyle name="Normal 11 3 4 5 2 4 2" xfId="31946"/>
    <cellStyle name="Normal 11 3 4 5 2 5" xfId="20426"/>
    <cellStyle name="Normal 11 3 4 5 3" xfId="4586"/>
    <cellStyle name="Normal 11 3 4 5 3 2" xfId="10346"/>
    <cellStyle name="Normal 11 3 4 5 3 2 2" xfId="27626"/>
    <cellStyle name="Normal 11 3 4 5 3 3" xfId="16106"/>
    <cellStyle name="Normal 11 3 4 5 3 3 2" xfId="33386"/>
    <cellStyle name="Normal 11 3 4 5 3 4" xfId="21866"/>
    <cellStyle name="Normal 11 3 4 5 4" xfId="7466"/>
    <cellStyle name="Normal 11 3 4 5 4 2" xfId="24746"/>
    <cellStyle name="Normal 11 3 4 5 5" xfId="13226"/>
    <cellStyle name="Normal 11 3 4 5 5 2" xfId="30506"/>
    <cellStyle name="Normal 11 3 4 5 6" xfId="18986"/>
    <cellStyle name="Normal 11 3 4 6" xfId="2426"/>
    <cellStyle name="Normal 11 3 4 6 2" xfId="5306"/>
    <cellStyle name="Normal 11 3 4 6 2 2" xfId="11066"/>
    <cellStyle name="Normal 11 3 4 6 2 2 2" xfId="28346"/>
    <cellStyle name="Normal 11 3 4 6 2 3" xfId="16826"/>
    <cellStyle name="Normal 11 3 4 6 2 3 2" xfId="34106"/>
    <cellStyle name="Normal 11 3 4 6 2 4" xfId="22586"/>
    <cellStyle name="Normal 11 3 4 6 3" xfId="8186"/>
    <cellStyle name="Normal 11 3 4 6 3 2" xfId="25466"/>
    <cellStyle name="Normal 11 3 4 6 4" xfId="13946"/>
    <cellStyle name="Normal 11 3 4 6 4 2" xfId="31226"/>
    <cellStyle name="Normal 11 3 4 6 5" xfId="19706"/>
    <cellStyle name="Normal 11 3 4 7" xfId="3866"/>
    <cellStyle name="Normal 11 3 4 7 2" xfId="9626"/>
    <cellStyle name="Normal 11 3 4 7 2 2" xfId="26906"/>
    <cellStyle name="Normal 11 3 4 7 3" xfId="15386"/>
    <cellStyle name="Normal 11 3 4 7 3 2" xfId="32666"/>
    <cellStyle name="Normal 11 3 4 7 4" xfId="21146"/>
    <cellStyle name="Normal 11 3 4 8" xfId="6746"/>
    <cellStyle name="Normal 11 3 4 8 2" xfId="24026"/>
    <cellStyle name="Normal 11 3 4 9" xfId="12506"/>
    <cellStyle name="Normal 11 3 4 9 2" xfId="29786"/>
    <cellStyle name="Normal 11 3 5" xfId="1066"/>
    <cellStyle name="Normal 11 3 5 2" xfId="1306"/>
    <cellStyle name="Normal 11 3 5 2 2" xfId="2026"/>
    <cellStyle name="Normal 11 3 5 2 2 2" xfId="3466"/>
    <cellStyle name="Normal 11 3 5 2 2 2 2" xfId="6346"/>
    <cellStyle name="Normal 11 3 5 2 2 2 2 2" xfId="12106"/>
    <cellStyle name="Normal 11 3 5 2 2 2 2 2 2" xfId="29386"/>
    <cellStyle name="Normal 11 3 5 2 2 2 2 3" xfId="17866"/>
    <cellStyle name="Normal 11 3 5 2 2 2 2 3 2" xfId="35146"/>
    <cellStyle name="Normal 11 3 5 2 2 2 2 4" xfId="23626"/>
    <cellStyle name="Normal 11 3 5 2 2 2 3" xfId="9226"/>
    <cellStyle name="Normal 11 3 5 2 2 2 3 2" xfId="26506"/>
    <cellStyle name="Normal 11 3 5 2 2 2 4" xfId="14986"/>
    <cellStyle name="Normal 11 3 5 2 2 2 4 2" xfId="32266"/>
    <cellStyle name="Normal 11 3 5 2 2 2 5" xfId="20746"/>
    <cellStyle name="Normal 11 3 5 2 2 3" xfId="4906"/>
    <cellStyle name="Normal 11 3 5 2 2 3 2" xfId="10666"/>
    <cellStyle name="Normal 11 3 5 2 2 3 2 2" xfId="27946"/>
    <cellStyle name="Normal 11 3 5 2 2 3 3" xfId="16426"/>
    <cellStyle name="Normal 11 3 5 2 2 3 3 2" xfId="33706"/>
    <cellStyle name="Normal 11 3 5 2 2 3 4" xfId="22186"/>
    <cellStyle name="Normal 11 3 5 2 2 4" xfId="7786"/>
    <cellStyle name="Normal 11 3 5 2 2 4 2" xfId="25066"/>
    <cellStyle name="Normal 11 3 5 2 2 5" xfId="13546"/>
    <cellStyle name="Normal 11 3 5 2 2 5 2" xfId="30826"/>
    <cellStyle name="Normal 11 3 5 2 2 6" xfId="19306"/>
    <cellStyle name="Normal 11 3 5 2 3" xfId="2746"/>
    <cellStyle name="Normal 11 3 5 2 3 2" xfId="5626"/>
    <cellStyle name="Normal 11 3 5 2 3 2 2" xfId="11386"/>
    <cellStyle name="Normal 11 3 5 2 3 2 2 2" xfId="28666"/>
    <cellStyle name="Normal 11 3 5 2 3 2 3" xfId="17146"/>
    <cellStyle name="Normal 11 3 5 2 3 2 3 2" xfId="34426"/>
    <cellStyle name="Normal 11 3 5 2 3 2 4" xfId="22906"/>
    <cellStyle name="Normal 11 3 5 2 3 3" xfId="8506"/>
    <cellStyle name="Normal 11 3 5 2 3 3 2" xfId="25786"/>
    <cellStyle name="Normal 11 3 5 2 3 4" xfId="14266"/>
    <cellStyle name="Normal 11 3 5 2 3 4 2" xfId="31546"/>
    <cellStyle name="Normal 11 3 5 2 3 5" xfId="20026"/>
    <cellStyle name="Normal 11 3 5 2 4" xfId="4186"/>
    <cellStyle name="Normal 11 3 5 2 4 2" xfId="9946"/>
    <cellStyle name="Normal 11 3 5 2 4 2 2" xfId="27226"/>
    <cellStyle name="Normal 11 3 5 2 4 3" xfId="15706"/>
    <cellStyle name="Normal 11 3 5 2 4 3 2" xfId="32986"/>
    <cellStyle name="Normal 11 3 5 2 4 4" xfId="21466"/>
    <cellStyle name="Normal 11 3 5 2 5" xfId="7066"/>
    <cellStyle name="Normal 11 3 5 2 5 2" xfId="24346"/>
    <cellStyle name="Normal 11 3 5 2 6" xfId="12826"/>
    <cellStyle name="Normal 11 3 5 2 6 2" xfId="30106"/>
    <cellStyle name="Normal 11 3 5 2 7" xfId="18586"/>
    <cellStyle name="Normal 11 3 5 3" xfId="1546"/>
    <cellStyle name="Normal 11 3 5 3 2" xfId="2266"/>
    <cellStyle name="Normal 11 3 5 3 2 2" xfId="3706"/>
    <cellStyle name="Normal 11 3 5 3 2 2 2" xfId="6586"/>
    <cellStyle name="Normal 11 3 5 3 2 2 2 2" xfId="12346"/>
    <cellStyle name="Normal 11 3 5 3 2 2 2 2 2" xfId="29626"/>
    <cellStyle name="Normal 11 3 5 3 2 2 2 3" xfId="18106"/>
    <cellStyle name="Normal 11 3 5 3 2 2 2 3 2" xfId="35386"/>
    <cellStyle name="Normal 11 3 5 3 2 2 2 4" xfId="23866"/>
    <cellStyle name="Normal 11 3 5 3 2 2 3" xfId="9466"/>
    <cellStyle name="Normal 11 3 5 3 2 2 3 2" xfId="26746"/>
    <cellStyle name="Normal 11 3 5 3 2 2 4" xfId="15226"/>
    <cellStyle name="Normal 11 3 5 3 2 2 4 2" xfId="32506"/>
    <cellStyle name="Normal 11 3 5 3 2 2 5" xfId="20986"/>
    <cellStyle name="Normal 11 3 5 3 2 3" xfId="5146"/>
    <cellStyle name="Normal 11 3 5 3 2 3 2" xfId="10906"/>
    <cellStyle name="Normal 11 3 5 3 2 3 2 2" xfId="28186"/>
    <cellStyle name="Normal 11 3 5 3 2 3 3" xfId="16666"/>
    <cellStyle name="Normal 11 3 5 3 2 3 3 2" xfId="33946"/>
    <cellStyle name="Normal 11 3 5 3 2 3 4" xfId="22426"/>
    <cellStyle name="Normal 11 3 5 3 2 4" xfId="8026"/>
    <cellStyle name="Normal 11 3 5 3 2 4 2" xfId="25306"/>
    <cellStyle name="Normal 11 3 5 3 2 5" xfId="13786"/>
    <cellStyle name="Normal 11 3 5 3 2 5 2" xfId="31066"/>
    <cellStyle name="Normal 11 3 5 3 2 6" xfId="19546"/>
    <cellStyle name="Normal 11 3 5 3 3" xfId="2986"/>
    <cellStyle name="Normal 11 3 5 3 3 2" xfId="5866"/>
    <cellStyle name="Normal 11 3 5 3 3 2 2" xfId="11626"/>
    <cellStyle name="Normal 11 3 5 3 3 2 2 2" xfId="28906"/>
    <cellStyle name="Normal 11 3 5 3 3 2 3" xfId="17386"/>
    <cellStyle name="Normal 11 3 5 3 3 2 3 2" xfId="34666"/>
    <cellStyle name="Normal 11 3 5 3 3 2 4" xfId="23146"/>
    <cellStyle name="Normal 11 3 5 3 3 3" xfId="8746"/>
    <cellStyle name="Normal 11 3 5 3 3 3 2" xfId="26026"/>
    <cellStyle name="Normal 11 3 5 3 3 4" xfId="14506"/>
    <cellStyle name="Normal 11 3 5 3 3 4 2" xfId="31786"/>
    <cellStyle name="Normal 11 3 5 3 3 5" xfId="20266"/>
    <cellStyle name="Normal 11 3 5 3 4" xfId="4426"/>
    <cellStyle name="Normal 11 3 5 3 4 2" xfId="10186"/>
    <cellStyle name="Normal 11 3 5 3 4 2 2" xfId="27466"/>
    <cellStyle name="Normal 11 3 5 3 4 3" xfId="15946"/>
    <cellStyle name="Normal 11 3 5 3 4 3 2" xfId="33226"/>
    <cellStyle name="Normal 11 3 5 3 4 4" xfId="21706"/>
    <cellStyle name="Normal 11 3 5 3 5" xfId="7306"/>
    <cellStyle name="Normal 11 3 5 3 5 2" xfId="24586"/>
    <cellStyle name="Normal 11 3 5 3 6" xfId="13066"/>
    <cellStyle name="Normal 11 3 5 3 6 2" xfId="30346"/>
    <cellStyle name="Normal 11 3 5 3 7" xfId="18826"/>
    <cellStyle name="Normal 11 3 5 4" xfId="1786"/>
    <cellStyle name="Normal 11 3 5 4 2" xfId="3226"/>
    <cellStyle name="Normal 11 3 5 4 2 2" xfId="6106"/>
    <cellStyle name="Normal 11 3 5 4 2 2 2" xfId="11866"/>
    <cellStyle name="Normal 11 3 5 4 2 2 2 2" xfId="29146"/>
    <cellStyle name="Normal 11 3 5 4 2 2 3" xfId="17626"/>
    <cellStyle name="Normal 11 3 5 4 2 2 3 2" xfId="34906"/>
    <cellStyle name="Normal 11 3 5 4 2 2 4" xfId="23386"/>
    <cellStyle name="Normal 11 3 5 4 2 3" xfId="8986"/>
    <cellStyle name="Normal 11 3 5 4 2 3 2" xfId="26266"/>
    <cellStyle name="Normal 11 3 5 4 2 4" xfId="14746"/>
    <cellStyle name="Normal 11 3 5 4 2 4 2" xfId="32026"/>
    <cellStyle name="Normal 11 3 5 4 2 5" xfId="20506"/>
    <cellStyle name="Normal 11 3 5 4 3" xfId="4666"/>
    <cellStyle name="Normal 11 3 5 4 3 2" xfId="10426"/>
    <cellStyle name="Normal 11 3 5 4 3 2 2" xfId="27706"/>
    <cellStyle name="Normal 11 3 5 4 3 3" xfId="16186"/>
    <cellStyle name="Normal 11 3 5 4 3 3 2" xfId="33466"/>
    <cellStyle name="Normal 11 3 5 4 3 4" xfId="21946"/>
    <cellStyle name="Normal 11 3 5 4 4" xfId="7546"/>
    <cellStyle name="Normal 11 3 5 4 4 2" xfId="24826"/>
    <cellStyle name="Normal 11 3 5 4 5" xfId="13306"/>
    <cellStyle name="Normal 11 3 5 4 5 2" xfId="30586"/>
    <cellStyle name="Normal 11 3 5 4 6" xfId="19066"/>
    <cellStyle name="Normal 11 3 5 5" xfId="2506"/>
    <cellStyle name="Normal 11 3 5 5 2" xfId="5386"/>
    <cellStyle name="Normal 11 3 5 5 2 2" xfId="11146"/>
    <cellStyle name="Normal 11 3 5 5 2 2 2" xfId="28426"/>
    <cellStyle name="Normal 11 3 5 5 2 3" xfId="16906"/>
    <cellStyle name="Normal 11 3 5 5 2 3 2" xfId="34186"/>
    <cellStyle name="Normal 11 3 5 5 2 4" xfId="22666"/>
    <cellStyle name="Normal 11 3 5 5 3" xfId="8266"/>
    <cellStyle name="Normal 11 3 5 5 3 2" xfId="25546"/>
    <cellStyle name="Normal 11 3 5 5 4" xfId="14026"/>
    <cellStyle name="Normal 11 3 5 5 4 2" xfId="31306"/>
    <cellStyle name="Normal 11 3 5 5 5" xfId="19786"/>
    <cellStyle name="Normal 11 3 5 6" xfId="3946"/>
    <cellStyle name="Normal 11 3 5 6 2" xfId="9706"/>
    <cellStyle name="Normal 11 3 5 6 2 2" xfId="26986"/>
    <cellStyle name="Normal 11 3 5 6 3" xfId="15466"/>
    <cellStyle name="Normal 11 3 5 6 3 2" xfId="32746"/>
    <cellStyle name="Normal 11 3 5 6 4" xfId="21226"/>
    <cellStyle name="Normal 11 3 5 7" xfId="6826"/>
    <cellStyle name="Normal 11 3 5 7 2" xfId="24106"/>
    <cellStyle name="Normal 11 3 5 8" xfId="12586"/>
    <cellStyle name="Normal 11 3 5 8 2" xfId="29866"/>
    <cellStyle name="Normal 11 3 5 9" xfId="18346"/>
    <cellStyle name="Normal 11 3 6" xfId="1186"/>
    <cellStyle name="Normal 11 3 6 2" xfId="1906"/>
    <cellStyle name="Normal 11 3 6 2 2" xfId="3346"/>
    <cellStyle name="Normal 11 3 6 2 2 2" xfId="6226"/>
    <cellStyle name="Normal 11 3 6 2 2 2 2" xfId="11986"/>
    <cellStyle name="Normal 11 3 6 2 2 2 2 2" xfId="29266"/>
    <cellStyle name="Normal 11 3 6 2 2 2 3" xfId="17746"/>
    <cellStyle name="Normal 11 3 6 2 2 2 3 2" xfId="35026"/>
    <cellStyle name="Normal 11 3 6 2 2 2 4" xfId="23506"/>
    <cellStyle name="Normal 11 3 6 2 2 3" xfId="9106"/>
    <cellStyle name="Normal 11 3 6 2 2 3 2" xfId="26386"/>
    <cellStyle name="Normal 11 3 6 2 2 4" xfId="14866"/>
    <cellStyle name="Normal 11 3 6 2 2 4 2" xfId="32146"/>
    <cellStyle name="Normal 11 3 6 2 2 5" xfId="20626"/>
    <cellStyle name="Normal 11 3 6 2 3" xfId="4786"/>
    <cellStyle name="Normal 11 3 6 2 3 2" xfId="10546"/>
    <cellStyle name="Normal 11 3 6 2 3 2 2" xfId="27826"/>
    <cellStyle name="Normal 11 3 6 2 3 3" xfId="16306"/>
    <cellStyle name="Normal 11 3 6 2 3 3 2" xfId="33586"/>
    <cellStyle name="Normal 11 3 6 2 3 4" xfId="22066"/>
    <cellStyle name="Normal 11 3 6 2 4" xfId="7666"/>
    <cellStyle name="Normal 11 3 6 2 4 2" xfId="24946"/>
    <cellStyle name="Normal 11 3 6 2 5" xfId="13426"/>
    <cellStyle name="Normal 11 3 6 2 5 2" xfId="30706"/>
    <cellStyle name="Normal 11 3 6 2 6" xfId="19186"/>
    <cellStyle name="Normal 11 3 6 3" xfId="2626"/>
    <cellStyle name="Normal 11 3 6 3 2" xfId="5506"/>
    <cellStyle name="Normal 11 3 6 3 2 2" xfId="11266"/>
    <cellStyle name="Normal 11 3 6 3 2 2 2" xfId="28546"/>
    <cellStyle name="Normal 11 3 6 3 2 3" xfId="17026"/>
    <cellStyle name="Normal 11 3 6 3 2 3 2" xfId="34306"/>
    <cellStyle name="Normal 11 3 6 3 2 4" xfId="22786"/>
    <cellStyle name="Normal 11 3 6 3 3" xfId="8386"/>
    <cellStyle name="Normal 11 3 6 3 3 2" xfId="25666"/>
    <cellStyle name="Normal 11 3 6 3 4" xfId="14146"/>
    <cellStyle name="Normal 11 3 6 3 4 2" xfId="31426"/>
    <cellStyle name="Normal 11 3 6 3 5" xfId="19906"/>
    <cellStyle name="Normal 11 3 6 4" xfId="4066"/>
    <cellStyle name="Normal 11 3 6 4 2" xfId="9826"/>
    <cellStyle name="Normal 11 3 6 4 2 2" xfId="27106"/>
    <cellStyle name="Normal 11 3 6 4 3" xfId="15586"/>
    <cellStyle name="Normal 11 3 6 4 3 2" xfId="32866"/>
    <cellStyle name="Normal 11 3 6 4 4" xfId="21346"/>
    <cellStyle name="Normal 11 3 6 5" xfId="6946"/>
    <cellStyle name="Normal 11 3 6 5 2" xfId="24226"/>
    <cellStyle name="Normal 11 3 6 6" xfId="12706"/>
    <cellStyle name="Normal 11 3 6 6 2" xfId="29986"/>
    <cellStyle name="Normal 11 3 6 7" xfId="18466"/>
    <cellStyle name="Normal 11 3 7" xfId="1426"/>
    <cellStyle name="Normal 11 3 7 2" xfId="2146"/>
    <cellStyle name="Normal 11 3 7 2 2" xfId="3586"/>
    <cellStyle name="Normal 11 3 7 2 2 2" xfId="6466"/>
    <cellStyle name="Normal 11 3 7 2 2 2 2" xfId="12226"/>
    <cellStyle name="Normal 11 3 7 2 2 2 2 2" xfId="29506"/>
    <cellStyle name="Normal 11 3 7 2 2 2 3" xfId="17986"/>
    <cellStyle name="Normal 11 3 7 2 2 2 3 2" xfId="35266"/>
    <cellStyle name="Normal 11 3 7 2 2 2 4" xfId="23746"/>
    <cellStyle name="Normal 11 3 7 2 2 3" xfId="9346"/>
    <cellStyle name="Normal 11 3 7 2 2 3 2" xfId="26626"/>
    <cellStyle name="Normal 11 3 7 2 2 4" xfId="15106"/>
    <cellStyle name="Normal 11 3 7 2 2 4 2" xfId="32386"/>
    <cellStyle name="Normal 11 3 7 2 2 5" xfId="20866"/>
    <cellStyle name="Normal 11 3 7 2 3" xfId="5026"/>
    <cellStyle name="Normal 11 3 7 2 3 2" xfId="10786"/>
    <cellStyle name="Normal 11 3 7 2 3 2 2" xfId="28066"/>
    <cellStyle name="Normal 11 3 7 2 3 3" xfId="16546"/>
    <cellStyle name="Normal 11 3 7 2 3 3 2" xfId="33826"/>
    <cellStyle name="Normal 11 3 7 2 3 4" xfId="22306"/>
    <cellStyle name="Normal 11 3 7 2 4" xfId="7906"/>
    <cellStyle name="Normal 11 3 7 2 4 2" xfId="25186"/>
    <cellStyle name="Normal 11 3 7 2 5" xfId="13666"/>
    <cellStyle name="Normal 11 3 7 2 5 2" xfId="30946"/>
    <cellStyle name="Normal 11 3 7 2 6" xfId="19426"/>
    <cellStyle name="Normal 11 3 7 3" xfId="2866"/>
    <cellStyle name="Normal 11 3 7 3 2" xfId="5746"/>
    <cellStyle name="Normal 11 3 7 3 2 2" xfId="11506"/>
    <cellStyle name="Normal 11 3 7 3 2 2 2" xfId="28786"/>
    <cellStyle name="Normal 11 3 7 3 2 3" xfId="17266"/>
    <cellStyle name="Normal 11 3 7 3 2 3 2" xfId="34546"/>
    <cellStyle name="Normal 11 3 7 3 2 4" xfId="23026"/>
    <cellStyle name="Normal 11 3 7 3 3" xfId="8626"/>
    <cellStyle name="Normal 11 3 7 3 3 2" xfId="25906"/>
    <cellStyle name="Normal 11 3 7 3 4" xfId="14386"/>
    <cellStyle name="Normal 11 3 7 3 4 2" xfId="31666"/>
    <cellStyle name="Normal 11 3 7 3 5" xfId="20146"/>
    <cellStyle name="Normal 11 3 7 4" xfId="4306"/>
    <cellStyle name="Normal 11 3 7 4 2" xfId="10066"/>
    <cellStyle name="Normal 11 3 7 4 2 2" xfId="27346"/>
    <cellStyle name="Normal 11 3 7 4 3" xfId="15826"/>
    <cellStyle name="Normal 11 3 7 4 3 2" xfId="33106"/>
    <cellStyle name="Normal 11 3 7 4 4" xfId="21586"/>
    <cellStyle name="Normal 11 3 7 5" xfId="7186"/>
    <cellStyle name="Normal 11 3 7 5 2" xfId="24466"/>
    <cellStyle name="Normal 11 3 7 6" xfId="12946"/>
    <cellStyle name="Normal 11 3 7 6 2" xfId="30226"/>
    <cellStyle name="Normal 11 3 7 7" xfId="18706"/>
    <cellStyle name="Normal 11 3 8" xfId="1666"/>
    <cellStyle name="Normal 11 3 8 2" xfId="3106"/>
    <cellStyle name="Normal 11 3 8 2 2" xfId="5986"/>
    <cellStyle name="Normal 11 3 8 2 2 2" xfId="11746"/>
    <cellStyle name="Normal 11 3 8 2 2 2 2" xfId="29026"/>
    <cellStyle name="Normal 11 3 8 2 2 3" xfId="17506"/>
    <cellStyle name="Normal 11 3 8 2 2 3 2" xfId="34786"/>
    <cellStyle name="Normal 11 3 8 2 2 4" xfId="23266"/>
    <cellStyle name="Normal 11 3 8 2 3" xfId="8866"/>
    <cellStyle name="Normal 11 3 8 2 3 2" xfId="26146"/>
    <cellStyle name="Normal 11 3 8 2 4" xfId="14626"/>
    <cellStyle name="Normal 11 3 8 2 4 2" xfId="31906"/>
    <cellStyle name="Normal 11 3 8 2 5" xfId="20386"/>
    <cellStyle name="Normal 11 3 8 3" xfId="4546"/>
    <cellStyle name="Normal 11 3 8 3 2" xfId="10306"/>
    <cellStyle name="Normal 11 3 8 3 2 2" xfId="27586"/>
    <cellStyle name="Normal 11 3 8 3 3" xfId="16066"/>
    <cellStyle name="Normal 11 3 8 3 3 2" xfId="33346"/>
    <cellStyle name="Normal 11 3 8 3 4" xfId="21826"/>
    <cellStyle name="Normal 11 3 8 4" xfId="7426"/>
    <cellStyle name="Normal 11 3 8 4 2" xfId="24706"/>
    <cellStyle name="Normal 11 3 8 5" xfId="13186"/>
    <cellStyle name="Normal 11 3 8 5 2" xfId="30466"/>
    <cellStyle name="Normal 11 3 8 6" xfId="18946"/>
    <cellStyle name="Normal 11 3 9" xfId="2386"/>
    <cellStyle name="Normal 11 3 9 2" xfId="5266"/>
    <cellStyle name="Normal 11 3 9 2 2" xfId="11026"/>
    <cellStyle name="Normal 11 3 9 2 2 2" xfId="28306"/>
    <cellStyle name="Normal 11 3 9 2 3" xfId="16786"/>
    <cellStyle name="Normal 11 3 9 2 3 2" xfId="34066"/>
    <cellStyle name="Normal 11 3 9 2 4" xfId="22546"/>
    <cellStyle name="Normal 11 3 9 3" xfId="8146"/>
    <cellStyle name="Normal 11 3 9 3 2" xfId="25426"/>
    <cellStyle name="Normal 11 3 9 4" xfId="13906"/>
    <cellStyle name="Normal 11 3 9 4 2" xfId="31186"/>
    <cellStyle name="Normal 11 3 9 5" xfId="19666"/>
    <cellStyle name="Normal 11 4" xfId="405"/>
    <cellStyle name="Normal 11 4 10" xfId="6716"/>
    <cellStyle name="Normal 11 4 10 2" xfId="23996"/>
    <cellStyle name="Normal 11 4 11" xfId="12476"/>
    <cellStyle name="Normal 11 4 11 2" xfId="29756"/>
    <cellStyle name="Normal 11 4 12" xfId="18236"/>
    <cellStyle name="Normal 11 4 2" xfId="1036"/>
    <cellStyle name="Normal 11 4 2 10" xfId="18316"/>
    <cellStyle name="Normal 11 4 2 2" xfId="1156"/>
    <cellStyle name="Normal 11 4 2 2 2" xfId="1396"/>
    <cellStyle name="Normal 11 4 2 2 2 2" xfId="2116"/>
    <cellStyle name="Normal 11 4 2 2 2 2 2" xfId="3556"/>
    <cellStyle name="Normal 11 4 2 2 2 2 2 2" xfId="6436"/>
    <cellStyle name="Normal 11 4 2 2 2 2 2 2 2" xfId="12196"/>
    <cellStyle name="Normal 11 4 2 2 2 2 2 2 2 2" xfId="29476"/>
    <cellStyle name="Normal 11 4 2 2 2 2 2 2 3" xfId="17956"/>
    <cellStyle name="Normal 11 4 2 2 2 2 2 2 3 2" xfId="35236"/>
    <cellStyle name="Normal 11 4 2 2 2 2 2 2 4" xfId="23716"/>
    <cellStyle name="Normal 11 4 2 2 2 2 2 3" xfId="9316"/>
    <cellStyle name="Normal 11 4 2 2 2 2 2 3 2" xfId="26596"/>
    <cellStyle name="Normal 11 4 2 2 2 2 2 4" xfId="15076"/>
    <cellStyle name="Normal 11 4 2 2 2 2 2 4 2" xfId="32356"/>
    <cellStyle name="Normal 11 4 2 2 2 2 2 5" xfId="20836"/>
    <cellStyle name="Normal 11 4 2 2 2 2 3" xfId="4996"/>
    <cellStyle name="Normal 11 4 2 2 2 2 3 2" xfId="10756"/>
    <cellStyle name="Normal 11 4 2 2 2 2 3 2 2" xfId="28036"/>
    <cellStyle name="Normal 11 4 2 2 2 2 3 3" xfId="16516"/>
    <cellStyle name="Normal 11 4 2 2 2 2 3 3 2" xfId="33796"/>
    <cellStyle name="Normal 11 4 2 2 2 2 3 4" xfId="22276"/>
    <cellStyle name="Normal 11 4 2 2 2 2 4" xfId="7876"/>
    <cellStyle name="Normal 11 4 2 2 2 2 4 2" xfId="25156"/>
    <cellStyle name="Normal 11 4 2 2 2 2 5" xfId="13636"/>
    <cellStyle name="Normal 11 4 2 2 2 2 5 2" xfId="30916"/>
    <cellStyle name="Normal 11 4 2 2 2 2 6" xfId="19396"/>
    <cellStyle name="Normal 11 4 2 2 2 3" xfId="2836"/>
    <cellStyle name="Normal 11 4 2 2 2 3 2" xfId="5716"/>
    <cellStyle name="Normal 11 4 2 2 2 3 2 2" xfId="11476"/>
    <cellStyle name="Normal 11 4 2 2 2 3 2 2 2" xfId="28756"/>
    <cellStyle name="Normal 11 4 2 2 2 3 2 3" xfId="17236"/>
    <cellStyle name="Normal 11 4 2 2 2 3 2 3 2" xfId="34516"/>
    <cellStyle name="Normal 11 4 2 2 2 3 2 4" xfId="22996"/>
    <cellStyle name="Normal 11 4 2 2 2 3 3" xfId="8596"/>
    <cellStyle name="Normal 11 4 2 2 2 3 3 2" xfId="25876"/>
    <cellStyle name="Normal 11 4 2 2 2 3 4" xfId="14356"/>
    <cellStyle name="Normal 11 4 2 2 2 3 4 2" xfId="31636"/>
    <cellStyle name="Normal 11 4 2 2 2 3 5" xfId="20116"/>
    <cellStyle name="Normal 11 4 2 2 2 4" xfId="4276"/>
    <cellStyle name="Normal 11 4 2 2 2 4 2" xfId="10036"/>
    <cellStyle name="Normal 11 4 2 2 2 4 2 2" xfId="27316"/>
    <cellStyle name="Normal 11 4 2 2 2 4 3" xfId="15796"/>
    <cellStyle name="Normal 11 4 2 2 2 4 3 2" xfId="33076"/>
    <cellStyle name="Normal 11 4 2 2 2 4 4" xfId="21556"/>
    <cellStyle name="Normal 11 4 2 2 2 5" xfId="7156"/>
    <cellStyle name="Normal 11 4 2 2 2 5 2" xfId="24436"/>
    <cellStyle name="Normal 11 4 2 2 2 6" xfId="12916"/>
    <cellStyle name="Normal 11 4 2 2 2 6 2" xfId="30196"/>
    <cellStyle name="Normal 11 4 2 2 2 7" xfId="18676"/>
    <cellStyle name="Normal 11 4 2 2 3" xfId="1636"/>
    <cellStyle name="Normal 11 4 2 2 3 2" xfId="2356"/>
    <cellStyle name="Normal 11 4 2 2 3 2 2" xfId="3796"/>
    <cellStyle name="Normal 11 4 2 2 3 2 2 2" xfId="6676"/>
    <cellStyle name="Normal 11 4 2 2 3 2 2 2 2" xfId="12436"/>
    <cellStyle name="Normal 11 4 2 2 3 2 2 2 2 2" xfId="29716"/>
    <cellStyle name="Normal 11 4 2 2 3 2 2 2 3" xfId="18196"/>
    <cellStyle name="Normal 11 4 2 2 3 2 2 2 3 2" xfId="35476"/>
    <cellStyle name="Normal 11 4 2 2 3 2 2 2 4" xfId="23956"/>
    <cellStyle name="Normal 11 4 2 2 3 2 2 3" xfId="9556"/>
    <cellStyle name="Normal 11 4 2 2 3 2 2 3 2" xfId="26836"/>
    <cellStyle name="Normal 11 4 2 2 3 2 2 4" xfId="15316"/>
    <cellStyle name="Normal 11 4 2 2 3 2 2 4 2" xfId="32596"/>
    <cellStyle name="Normal 11 4 2 2 3 2 2 5" xfId="21076"/>
    <cellStyle name="Normal 11 4 2 2 3 2 3" xfId="5236"/>
    <cellStyle name="Normal 11 4 2 2 3 2 3 2" xfId="10996"/>
    <cellStyle name="Normal 11 4 2 2 3 2 3 2 2" xfId="28276"/>
    <cellStyle name="Normal 11 4 2 2 3 2 3 3" xfId="16756"/>
    <cellStyle name="Normal 11 4 2 2 3 2 3 3 2" xfId="34036"/>
    <cellStyle name="Normal 11 4 2 2 3 2 3 4" xfId="22516"/>
    <cellStyle name="Normal 11 4 2 2 3 2 4" xfId="8116"/>
    <cellStyle name="Normal 11 4 2 2 3 2 4 2" xfId="25396"/>
    <cellStyle name="Normal 11 4 2 2 3 2 5" xfId="13876"/>
    <cellStyle name="Normal 11 4 2 2 3 2 5 2" xfId="31156"/>
    <cellStyle name="Normal 11 4 2 2 3 2 6" xfId="19636"/>
    <cellStyle name="Normal 11 4 2 2 3 3" xfId="3076"/>
    <cellStyle name="Normal 11 4 2 2 3 3 2" xfId="5956"/>
    <cellStyle name="Normal 11 4 2 2 3 3 2 2" xfId="11716"/>
    <cellStyle name="Normal 11 4 2 2 3 3 2 2 2" xfId="28996"/>
    <cellStyle name="Normal 11 4 2 2 3 3 2 3" xfId="17476"/>
    <cellStyle name="Normal 11 4 2 2 3 3 2 3 2" xfId="34756"/>
    <cellStyle name="Normal 11 4 2 2 3 3 2 4" xfId="23236"/>
    <cellStyle name="Normal 11 4 2 2 3 3 3" xfId="8836"/>
    <cellStyle name="Normal 11 4 2 2 3 3 3 2" xfId="26116"/>
    <cellStyle name="Normal 11 4 2 2 3 3 4" xfId="14596"/>
    <cellStyle name="Normal 11 4 2 2 3 3 4 2" xfId="31876"/>
    <cellStyle name="Normal 11 4 2 2 3 3 5" xfId="20356"/>
    <cellStyle name="Normal 11 4 2 2 3 4" xfId="4516"/>
    <cellStyle name="Normal 11 4 2 2 3 4 2" xfId="10276"/>
    <cellStyle name="Normal 11 4 2 2 3 4 2 2" xfId="27556"/>
    <cellStyle name="Normal 11 4 2 2 3 4 3" xfId="16036"/>
    <cellStyle name="Normal 11 4 2 2 3 4 3 2" xfId="33316"/>
    <cellStyle name="Normal 11 4 2 2 3 4 4" xfId="21796"/>
    <cellStyle name="Normal 11 4 2 2 3 5" xfId="7396"/>
    <cellStyle name="Normal 11 4 2 2 3 5 2" xfId="24676"/>
    <cellStyle name="Normal 11 4 2 2 3 6" xfId="13156"/>
    <cellStyle name="Normal 11 4 2 2 3 6 2" xfId="30436"/>
    <cellStyle name="Normal 11 4 2 2 3 7" xfId="18916"/>
    <cellStyle name="Normal 11 4 2 2 4" xfId="1876"/>
    <cellStyle name="Normal 11 4 2 2 4 2" xfId="3316"/>
    <cellStyle name="Normal 11 4 2 2 4 2 2" xfId="6196"/>
    <cellStyle name="Normal 11 4 2 2 4 2 2 2" xfId="11956"/>
    <cellStyle name="Normal 11 4 2 2 4 2 2 2 2" xfId="29236"/>
    <cellStyle name="Normal 11 4 2 2 4 2 2 3" xfId="17716"/>
    <cellStyle name="Normal 11 4 2 2 4 2 2 3 2" xfId="34996"/>
    <cellStyle name="Normal 11 4 2 2 4 2 2 4" xfId="23476"/>
    <cellStyle name="Normal 11 4 2 2 4 2 3" xfId="9076"/>
    <cellStyle name="Normal 11 4 2 2 4 2 3 2" xfId="26356"/>
    <cellStyle name="Normal 11 4 2 2 4 2 4" xfId="14836"/>
    <cellStyle name="Normal 11 4 2 2 4 2 4 2" xfId="32116"/>
    <cellStyle name="Normal 11 4 2 2 4 2 5" xfId="20596"/>
    <cellStyle name="Normal 11 4 2 2 4 3" xfId="4756"/>
    <cellStyle name="Normal 11 4 2 2 4 3 2" xfId="10516"/>
    <cellStyle name="Normal 11 4 2 2 4 3 2 2" xfId="27796"/>
    <cellStyle name="Normal 11 4 2 2 4 3 3" xfId="16276"/>
    <cellStyle name="Normal 11 4 2 2 4 3 3 2" xfId="33556"/>
    <cellStyle name="Normal 11 4 2 2 4 3 4" xfId="22036"/>
    <cellStyle name="Normal 11 4 2 2 4 4" xfId="7636"/>
    <cellStyle name="Normal 11 4 2 2 4 4 2" xfId="24916"/>
    <cellStyle name="Normal 11 4 2 2 4 5" xfId="13396"/>
    <cellStyle name="Normal 11 4 2 2 4 5 2" xfId="30676"/>
    <cellStyle name="Normal 11 4 2 2 4 6" xfId="19156"/>
    <cellStyle name="Normal 11 4 2 2 5" xfId="2596"/>
    <cellStyle name="Normal 11 4 2 2 5 2" xfId="5476"/>
    <cellStyle name="Normal 11 4 2 2 5 2 2" xfId="11236"/>
    <cellStyle name="Normal 11 4 2 2 5 2 2 2" xfId="28516"/>
    <cellStyle name="Normal 11 4 2 2 5 2 3" xfId="16996"/>
    <cellStyle name="Normal 11 4 2 2 5 2 3 2" xfId="34276"/>
    <cellStyle name="Normal 11 4 2 2 5 2 4" xfId="22756"/>
    <cellStyle name="Normal 11 4 2 2 5 3" xfId="8356"/>
    <cellStyle name="Normal 11 4 2 2 5 3 2" xfId="25636"/>
    <cellStyle name="Normal 11 4 2 2 5 4" xfId="14116"/>
    <cellStyle name="Normal 11 4 2 2 5 4 2" xfId="31396"/>
    <cellStyle name="Normal 11 4 2 2 5 5" xfId="19876"/>
    <cellStyle name="Normal 11 4 2 2 6" xfId="4036"/>
    <cellStyle name="Normal 11 4 2 2 6 2" xfId="9796"/>
    <cellStyle name="Normal 11 4 2 2 6 2 2" xfId="27076"/>
    <cellStyle name="Normal 11 4 2 2 6 3" xfId="15556"/>
    <cellStyle name="Normal 11 4 2 2 6 3 2" xfId="32836"/>
    <cellStyle name="Normal 11 4 2 2 6 4" xfId="21316"/>
    <cellStyle name="Normal 11 4 2 2 7" xfId="6916"/>
    <cellStyle name="Normal 11 4 2 2 7 2" xfId="24196"/>
    <cellStyle name="Normal 11 4 2 2 8" xfId="12676"/>
    <cellStyle name="Normal 11 4 2 2 8 2" xfId="29956"/>
    <cellStyle name="Normal 11 4 2 2 9" xfId="18436"/>
    <cellStyle name="Normal 11 4 2 3" xfId="1276"/>
    <cellStyle name="Normal 11 4 2 3 2" xfId="1996"/>
    <cellStyle name="Normal 11 4 2 3 2 2" xfId="3436"/>
    <cellStyle name="Normal 11 4 2 3 2 2 2" xfId="6316"/>
    <cellStyle name="Normal 11 4 2 3 2 2 2 2" xfId="12076"/>
    <cellStyle name="Normal 11 4 2 3 2 2 2 2 2" xfId="29356"/>
    <cellStyle name="Normal 11 4 2 3 2 2 2 3" xfId="17836"/>
    <cellStyle name="Normal 11 4 2 3 2 2 2 3 2" xfId="35116"/>
    <cellStyle name="Normal 11 4 2 3 2 2 2 4" xfId="23596"/>
    <cellStyle name="Normal 11 4 2 3 2 2 3" xfId="9196"/>
    <cellStyle name="Normal 11 4 2 3 2 2 3 2" xfId="26476"/>
    <cellStyle name="Normal 11 4 2 3 2 2 4" xfId="14956"/>
    <cellStyle name="Normal 11 4 2 3 2 2 4 2" xfId="32236"/>
    <cellStyle name="Normal 11 4 2 3 2 2 5" xfId="20716"/>
    <cellStyle name="Normal 11 4 2 3 2 3" xfId="4876"/>
    <cellStyle name="Normal 11 4 2 3 2 3 2" xfId="10636"/>
    <cellStyle name="Normal 11 4 2 3 2 3 2 2" xfId="27916"/>
    <cellStyle name="Normal 11 4 2 3 2 3 3" xfId="16396"/>
    <cellStyle name="Normal 11 4 2 3 2 3 3 2" xfId="33676"/>
    <cellStyle name="Normal 11 4 2 3 2 3 4" xfId="22156"/>
    <cellStyle name="Normal 11 4 2 3 2 4" xfId="7756"/>
    <cellStyle name="Normal 11 4 2 3 2 4 2" xfId="25036"/>
    <cellStyle name="Normal 11 4 2 3 2 5" xfId="13516"/>
    <cellStyle name="Normal 11 4 2 3 2 5 2" xfId="30796"/>
    <cellStyle name="Normal 11 4 2 3 2 6" xfId="19276"/>
    <cellStyle name="Normal 11 4 2 3 3" xfId="2716"/>
    <cellStyle name="Normal 11 4 2 3 3 2" xfId="5596"/>
    <cellStyle name="Normal 11 4 2 3 3 2 2" xfId="11356"/>
    <cellStyle name="Normal 11 4 2 3 3 2 2 2" xfId="28636"/>
    <cellStyle name="Normal 11 4 2 3 3 2 3" xfId="17116"/>
    <cellStyle name="Normal 11 4 2 3 3 2 3 2" xfId="34396"/>
    <cellStyle name="Normal 11 4 2 3 3 2 4" xfId="22876"/>
    <cellStyle name="Normal 11 4 2 3 3 3" xfId="8476"/>
    <cellStyle name="Normal 11 4 2 3 3 3 2" xfId="25756"/>
    <cellStyle name="Normal 11 4 2 3 3 4" xfId="14236"/>
    <cellStyle name="Normal 11 4 2 3 3 4 2" xfId="31516"/>
    <cellStyle name="Normal 11 4 2 3 3 5" xfId="19996"/>
    <cellStyle name="Normal 11 4 2 3 4" xfId="4156"/>
    <cellStyle name="Normal 11 4 2 3 4 2" xfId="9916"/>
    <cellStyle name="Normal 11 4 2 3 4 2 2" xfId="27196"/>
    <cellStyle name="Normal 11 4 2 3 4 3" xfId="15676"/>
    <cellStyle name="Normal 11 4 2 3 4 3 2" xfId="32956"/>
    <cellStyle name="Normal 11 4 2 3 4 4" xfId="21436"/>
    <cellStyle name="Normal 11 4 2 3 5" xfId="7036"/>
    <cellStyle name="Normal 11 4 2 3 5 2" xfId="24316"/>
    <cellStyle name="Normal 11 4 2 3 6" xfId="12796"/>
    <cellStyle name="Normal 11 4 2 3 6 2" xfId="30076"/>
    <cellStyle name="Normal 11 4 2 3 7" xfId="18556"/>
    <cellStyle name="Normal 11 4 2 4" xfId="1516"/>
    <cellStyle name="Normal 11 4 2 4 2" xfId="2236"/>
    <cellStyle name="Normal 11 4 2 4 2 2" xfId="3676"/>
    <cellStyle name="Normal 11 4 2 4 2 2 2" xfId="6556"/>
    <cellStyle name="Normal 11 4 2 4 2 2 2 2" xfId="12316"/>
    <cellStyle name="Normal 11 4 2 4 2 2 2 2 2" xfId="29596"/>
    <cellStyle name="Normal 11 4 2 4 2 2 2 3" xfId="18076"/>
    <cellStyle name="Normal 11 4 2 4 2 2 2 3 2" xfId="35356"/>
    <cellStyle name="Normal 11 4 2 4 2 2 2 4" xfId="23836"/>
    <cellStyle name="Normal 11 4 2 4 2 2 3" xfId="9436"/>
    <cellStyle name="Normal 11 4 2 4 2 2 3 2" xfId="26716"/>
    <cellStyle name="Normal 11 4 2 4 2 2 4" xfId="15196"/>
    <cellStyle name="Normal 11 4 2 4 2 2 4 2" xfId="32476"/>
    <cellStyle name="Normal 11 4 2 4 2 2 5" xfId="20956"/>
    <cellStyle name="Normal 11 4 2 4 2 3" xfId="5116"/>
    <cellStyle name="Normal 11 4 2 4 2 3 2" xfId="10876"/>
    <cellStyle name="Normal 11 4 2 4 2 3 2 2" xfId="28156"/>
    <cellStyle name="Normal 11 4 2 4 2 3 3" xfId="16636"/>
    <cellStyle name="Normal 11 4 2 4 2 3 3 2" xfId="33916"/>
    <cellStyle name="Normal 11 4 2 4 2 3 4" xfId="22396"/>
    <cellStyle name="Normal 11 4 2 4 2 4" xfId="7996"/>
    <cellStyle name="Normal 11 4 2 4 2 4 2" xfId="25276"/>
    <cellStyle name="Normal 11 4 2 4 2 5" xfId="13756"/>
    <cellStyle name="Normal 11 4 2 4 2 5 2" xfId="31036"/>
    <cellStyle name="Normal 11 4 2 4 2 6" xfId="19516"/>
    <cellStyle name="Normal 11 4 2 4 3" xfId="2956"/>
    <cellStyle name="Normal 11 4 2 4 3 2" xfId="5836"/>
    <cellStyle name="Normal 11 4 2 4 3 2 2" xfId="11596"/>
    <cellStyle name="Normal 11 4 2 4 3 2 2 2" xfId="28876"/>
    <cellStyle name="Normal 11 4 2 4 3 2 3" xfId="17356"/>
    <cellStyle name="Normal 11 4 2 4 3 2 3 2" xfId="34636"/>
    <cellStyle name="Normal 11 4 2 4 3 2 4" xfId="23116"/>
    <cellStyle name="Normal 11 4 2 4 3 3" xfId="8716"/>
    <cellStyle name="Normal 11 4 2 4 3 3 2" xfId="25996"/>
    <cellStyle name="Normal 11 4 2 4 3 4" xfId="14476"/>
    <cellStyle name="Normal 11 4 2 4 3 4 2" xfId="31756"/>
    <cellStyle name="Normal 11 4 2 4 3 5" xfId="20236"/>
    <cellStyle name="Normal 11 4 2 4 4" xfId="4396"/>
    <cellStyle name="Normal 11 4 2 4 4 2" xfId="10156"/>
    <cellStyle name="Normal 11 4 2 4 4 2 2" xfId="27436"/>
    <cellStyle name="Normal 11 4 2 4 4 3" xfId="15916"/>
    <cellStyle name="Normal 11 4 2 4 4 3 2" xfId="33196"/>
    <cellStyle name="Normal 11 4 2 4 4 4" xfId="21676"/>
    <cellStyle name="Normal 11 4 2 4 5" xfId="7276"/>
    <cellStyle name="Normal 11 4 2 4 5 2" xfId="24556"/>
    <cellStyle name="Normal 11 4 2 4 6" xfId="13036"/>
    <cellStyle name="Normal 11 4 2 4 6 2" xfId="30316"/>
    <cellStyle name="Normal 11 4 2 4 7" xfId="18796"/>
    <cellStyle name="Normal 11 4 2 5" xfId="1756"/>
    <cellStyle name="Normal 11 4 2 5 2" xfId="3196"/>
    <cellStyle name="Normal 11 4 2 5 2 2" xfId="6076"/>
    <cellStyle name="Normal 11 4 2 5 2 2 2" xfId="11836"/>
    <cellStyle name="Normal 11 4 2 5 2 2 2 2" xfId="29116"/>
    <cellStyle name="Normal 11 4 2 5 2 2 3" xfId="17596"/>
    <cellStyle name="Normal 11 4 2 5 2 2 3 2" xfId="34876"/>
    <cellStyle name="Normal 11 4 2 5 2 2 4" xfId="23356"/>
    <cellStyle name="Normal 11 4 2 5 2 3" xfId="8956"/>
    <cellStyle name="Normal 11 4 2 5 2 3 2" xfId="26236"/>
    <cellStyle name="Normal 11 4 2 5 2 4" xfId="14716"/>
    <cellStyle name="Normal 11 4 2 5 2 4 2" xfId="31996"/>
    <cellStyle name="Normal 11 4 2 5 2 5" xfId="20476"/>
    <cellStyle name="Normal 11 4 2 5 3" xfId="4636"/>
    <cellStyle name="Normal 11 4 2 5 3 2" xfId="10396"/>
    <cellStyle name="Normal 11 4 2 5 3 2 2" xfId="27676"/>
    <cellStyle name="Normal 11 4 2 5 3 3" xfId="16156"/>
    <cellStyle name="Normal 11 4 2 5 3 3 2" xfId="33436"/>
    <cellStyle name="Normal 11 4 2 5 3 4" xfId="21916"/>
    <cellStyle name="Normal 11 4 2 5 4" xfId="7516"/>
    <cellStyle name="Normal 11 4 2 5 4 2" xfId="24796"/>
    <cellStyle name="Normal 11 4 2 5 5" xfId="13276"/>
    <cellStyle name="Normal 11 4 2 5 5 2" xfId="30556"/>
    <cellStyle name="Normal 11 4 2 5 6" xfId="19036"/>
    <cellStyle name="Normal 11 4 2 6" xfId="2476"/>
    <cellStyle name="Normal 11 4 2 6 2" xfId="5356"/>
    <cellStyle name="Normal 11 4 2 6 2 2" xfId="11116"/>
    <cellStyle name="Normal 11 4 2 6 2 2 2" xfId="28396"/>
    <cellStyle name="Normal 11 4 2 6 2 3" xfId="16876"/>
    <cellStyle name="Normal 11 4 2 6 2 3 2" xfId="34156"/>
    <cellStyle name="Normal 11 4 2 6 2 4" xfId="22636"/>
    <cellStyle name="Normal 11 4 2 6 3" xfId="8236"/>
    <cellStyle name="Normal 11 4 2 6 3 2" xfId="25516"/>
    <cellStyle name="Normal 11 4 2 6 4" xfId="13996"/>
    <cellStyle name="Normal 11 4 2 6 4 2" xfId="31276"/>
    <cellStyle name="Normal 11 4 2 6 5" xfId="19756"/>
    <cellStyle name="Normal 11 4 2 7" xfId="3916"/>
    <cellStyle name="Normal 11 4 2 7 2" xfId="9676"/>
    <cellStyle name="Normal 11 4 2 7 2 2" xfId="26956"/>
    <cellStyle name="Normal 11 4 2 7 3" xfId="15436"/>
    <cellStyle name="Normal 11 4 2 7 3 2" xfId="32716"/>
    <cellStyle name="Normal 11 4 2 7 4" xfId="21196"/>
    <cellStyle name="Normal 11 4 2 8" xfId="6796"/>
    <cellStyle name="Normal 11 4 2 8 2" xfId="24076"/>
    <cellStyle name="Normal 11 4 2 9" xfId="12556"/>
    <cellStyle name="Normal 11 4 2 9 2" xfId="29836"/>
    <cellStyle name="Normal 11 4 3" xfId="996"/>
    <cellStyle name="Normal 11 4 3 10" xfId="18276"/>
    <cellStyle name="Normal 11 4 3 2" xfId="1116"/>
    <cellStyle name="Normal 11 4 3 2 2" xfId="1356"/>
    <cellStyle name="Normal 11 4 3 2 2 2" xfId="2076"/>
    <cellStyle name="Normal 11 4 3 2 2 2 2" xfId="3516"/>
    <cellStyle name="Normal 11 4 3 2 2 2 2 2" xfId="6396"/>
    <cellStyle name="Normal 11 4 3 2 2 2 2 2 2" xfId="12156"/>
    <cellStyle name="Normal 11 4 3 2 2 2 2 2 2 2" xfId="29436"/>
    <cellStyle name="Normal 11 4 3 2 2 2 2 2 3" xfId="17916"/>
    <cellStyle name="Normal 11 4 3 2 2 2 2 2 3 2" xfId="35196"/>
    <cellStyle name="Normal 11 4 3 2 2 2 2 2 4" xfId="23676"/>
    <cellStyle name="Normal 11 4 3 2 2 2 2 3" xfId="9276"/>
    <cellStyle name="Normal 11 4 3 2 2 2 2 3 2" xfId="26556"/>
    <cellStyle name="Normal 11 4 3 2 2 2 2 4" xfId="15036"/>
    <cellStyle name="Normal 11 4 3 2 2 2 2 4 2" xfId="32316"/>
    <cellStyle name="Normal 11 4 3 2 2 2 2 5" xfId="20796"/>
    <cellStyle name="Normal 11 4 3 2 2 2 3" xfId="4956"/>
    <cellStyle name="Normal 11 4 3 2 2 2 3 2" xfId="10716"/>
    <cellStyle name="Normal 11 4 3 2 2 2 3 2 2" xfId="27996"/>
    <cellStyle name="Normal 11 4 3 2 2 2 3 3" xfId="16476"/>
    <cellStyle name="Normal 11 4 3 2 2 2 3 3 2" xfId="33756"/>
    <cellStyle name="Normal 11 4 3 2 2 2 3 4" xfId="22236"/>
    <cellStyle name="Normal 11 4 3 2 2 2 4" xfId="7836"/>
    <cellStyle name="Normal 11 4 3 2 2 2 4 2" xfId="25116"/>
    <cellStyle name="Normal 11 4 3 2 2 2 5" xfId="13596"/>
    <cellStyle name="Normal 11 4 3 2 2 2 5 2" xfId="30876"/>
    <cellStyle name="Normal 11 4 3 2 2 2 6" xfId="19356"/>
    <cellStyle name="Normal 11 4 3 2 2 3" xfId="2796"/>
    <cellStyle name="Normal 11 4 3 2 2 3 2" xfId="5676"/>
    <cellStyle name="Normal 11 4 3 2 2 3 2 2" xfId="11436"/>
    <cellStyle name="Normal 11 4 3 2 2 3 2 2 2" xfId="28716"/>
    <cellStyle name="Normal 11 4 3 2 2 3 2 3" xfId="17196"/>
    <cellStyle name="Normal 11 4 3 2 2 3 2 3 2" xfId="34476"/>
    <cellStyle name="Normal 11 4 3 2 2 3 2 4" xfId="22956"/>
    <cellStyle name="Normal 11 4 3 2 2 3 3" xfId="8556"/>
    <cellStyle name="Normal 11 4 3 2 2 3 3 2" xfId="25836"/>
    <cellStyle name="Normal 11 4 3 2 2 3 4" xfId="14316"/>
    <cellStyle name="Normal 11 4 3 2 2 3 4 2" xfId="31596"/>
    <cellStyle name="Normal 11 4 3 2 2 3 5" xfId="20076"/>
    <cellStyle name="Normal 11 4 3 2 2 4" xfId="4236"/>
    <cellStyle name="Normal 11 4 3 2 2 4 2" xfId="9996"/>
    <cellStyle name="Normal 11 4 3 2 2 4 2 2" xfId="27276"/>
    <cellStyle name="Normal 11 4 3 2 2 4 3" xfId="15756"/>
    <cellStyle name="Normal 11 4 3 2 2 4 3 2" xfId="33036"/>
    <cellStyle name="Normal 11 4 3 2 2 4 4" xfId="21516"/>
    <cellStyle name="Normal 11 4 3 2 2 5" xfId="7116"/>
    <cellStyle name="Normal 11 4 3 2 2 5 2" xfId="24396"/>
    <cellStyle name="Normal 11 4 3 2 2 6" xfId="12876"/>
    <cellStyle name="Normal 11 4 3 2 2 6 2" xfId="30156"/>
    <cellStyle name="Normal 11 4 3 2 2 7" xfId="18636"/>
    <cellStyle name="Normal 11 4 3 2 3" xfId="1596"/>
    <cellStyle name="Normal 11 4 3 2 3 2" xfId="2316"/>
    <cellStyle name="Normal 11 4 3 2 3 2 2" xfId="3756"/>
    <cellStyle name="Normal 11 4 3 2 3 2 2 2" xfId="6636"/>
    <cellStyle name="Normal 11 4 3 2 3 2 2 2 2" xfId="12396"/>
    <cellStyle name="Normal 11 4 3 2 3 2 2 2 2 2" xfId="29676"/>
    <cellStyle name="Normal 11 4 3 2 3 2 2 2 3" xfId="18156"/>
    <cellStyle name="Normal 11 4 3 2 3 2 2 2 3 2" xfId="35436"/>
    <cellStyle name="Normal 11 4 3 2 3 2 2 2 4" xfId="23916"/>
    <cellStyle name="Normal 11 4 3 2 3 2 2 3" xfId="9516"/>
    <cellStyle name="Normal 11 4 3 2 3 2 2 3 2" xfId="26796"/>
    <cellStyle name="Normal 11 4 3 2 3 2 2 4" xfId="15276"/>
    <cellStyle name="Normal 11 4 3 2 3 2 2 4 2" xfId="32556"/>
    <cellStyle name="Normal 11 4 3 2 3 2 2 5" xfId="21036"/>
    <cellStyle name="Normal 11 4 3 2 3 2 3" xfId="5196"/>
    <cellStyle name="Normal 11 4 3 2 3 2 3 2" xfId="10956"/>
    <cellStyle name="Normal 11 4 3 2 3 2 3 2 2" xfId="28236"/>
    <cellStyle name="Normal 11 4 3 2 3 2 3 3" xfId="16716"/>
    <cellStyle name="Normal 11 4 3 2 3 2 3 3 2" xfId="33996"/>
    <cellStyle name="Normal 11 4 3 2 3 2 3 4" xfId="22476"/>
    <cellStyle name="Normal 11 4 3 2 3 2 4" xfId="8076"/>
    <cellStyle name="Normal 11 4 3 2 3 2 4 2" xfId="25356"/>
    <cellStyle name="Normal 11 4 3 2 3 2 5" xfId="13836"/>
    <cellStyle name="Normal 11 4 3 2 3 2 5 2" xfId="31116"/>
    <cellStyle name="Normal 11 4 3 2 3 2 6" xfId="19596"/>
    <cellStyle name="Normal 11 4 3 2 3 3" xfId="3036"/>
    <cellStyle name="Normal 11 4 3 2 3 3 2" xfId="5916"/>
    <cellStyle name="Normal 11 4 3 2 3 3 2 2" xfId="11676"/>
    <cellStyle name="Normal 11 4 3 2 3 3 2 2 2" xfId="28956"/>
    <cellStyle name="Normal 11 4 3 2 3 3 2 3" xfId="17436"/>
    <cellStyle name="Normal 11 4 3 2 3 3 2 3 2" xfId="34716"/>
    <cellStyle name="Normal 11 4 3 2 3 3 2 4" xfId="23196"/>
    <cellStyle name="Normal 11 4 3 2 3 3 3" xfId="8796"/>
    <cellStyle name="Normal 11 4 3 2 3 3 3 2" xfId="26076"/>
    <cellStyle name="Normal 11 4 3 2 3 3 4" xfId="14556"/>
    <cellStyle name="Normal 11 4 3 2 3 3 4 2" xfId="31836"/>
    <cellStyle name="Normal 11 4 3 2 3 3 5" xfId="20316"/>
    <cellStyle name="Normal 11 4 3 2 3 4" xfId="4476"/>
    <cellStyle name="Normal 11 4 3 2 3 4 2" xfId="10236"/>
    <cellStyle name="Normal 11 4 3 2 3 4 2 2" xfId="27516"/>
    <cellStyle name="Normal 11 4 3 2 3 4 3" xfId="15996"/>
    <cellStyle name="Normal 11 4 3 2 3 4 3 2" xfId="33276"/>
    <cellStyle name="Normal 11 4 3 2 3 4 4" xfId="21756"/>
    <cellStyle name="Normal 11 4 3 2 3 5" xfId="7356"/>
    <cellStyle name="Normal 11 4 3 2 3 5 2" xfId="24636"/>
    <cellStyle name="Normal 11 4 3 2 3 6" xfId="13116"/>
    <cellStyle name="Normal 11 4 3 2 3 6 2" xfId="30396"/>
    <cellStyle name="Normal 11 4 3 2 3 7" xfId="18876"/>
    <cellStyle name="Normal 11 4 3 2 4" xfId="1836"/>
    <cellStyle name="Normal 11 4 3 2 4 2" xfId="3276"/>
    <cellStyle name="Normal 11 4 3 2 4 2 2" xfId="6156"/>
    <cellStyle name="Normal 11 4 3 2 4 2 2 2" xfId="11916"/>
    <cellStyle name="Normal 11 4 3 2 4 2 2 2 2" xfId="29196"/>
    <cellStyle name="Normal 11 4 3 2 4 2 2 3" xfId="17676"/>
    <cellStyle name="Normal 11 4 3 2 4 2 2 3 2" xfId="34956"/>
    <cellStyle name="Normal 11 4 3 2 4 2 2 4" xfId="23436"/>
    <cellStyle name="Normal 11 4 3 2 4 2 3" xfId="9036"/>
    <cellStyle name="Normal 11 4 3 2 4 2 3 2" xfId="26316"/>
    <cellStyle name="Normal 11 4 3 2 4 2 4" xfId="14796"/>
    <cellStyle name="Normal 11 4 3 2 4 2 4 2" xfId="32076"/>
    <cellStyle name="Normal 11 4 3 2 4 2 5" xfId="20556"/>
    <cellStyle name="Normal 11 4 3 2 4 3" xfId="4716"/>
    <cellStyle name="Normal 11 4 3 2 4 3 2" xfId="10476"/>
    <cellStyle name="Normal 11 4 3 2 4 3 2 2" xfId="27756"/>
    <cellStyle name="Normal 11 4 3 2 4 3 3" xfId="16236"/>
    <cellStyle name="Normal 11 4 3 2 4 3 3 2" xfId="33516"/>
    <cellStyle name="Normal 11 4 3 2 4 3 4" xfId="21996"/>
    <cellStyle name="Normal 11 4 3 2 4 4" xfId="7596"/>
    <cellStyle name="Normal 11 4 3 2 4 4 2" xfId="24876"/>
    <cellStyle name="Normal 11 4 3 2 4 5" xfId="13356"/>
    <cellStyle name="Normal 11 4 3 2 4 5 2" xfId="30636"/>
    <cellStyle name="Normal 11 4 3 2 4 6" xfId="19116"/>
    <cellStyle name="Normal 11 4 3 2 5" xfId="2556"/>
    <cellStyle name="Normal 11 4 3 2 5 2" xfId="5436"/>
    <cellStyle name="Normal 11 4 3 2 5 2 2" xfId="11196"/>
    <cellStyle name="Normal 11 4 3 2 5 2 2 2" xfId="28476"/>
    <cellStyle name="Normal 11 4 3 2 5 2 3" xfId="16956"/>
    <cellStyle name="Normal 11 4 3 2 5 2 3 2" xfId="34236"/>
    <cellStyle name="Normal 11 4 3 2 5 2 4" xfId="22716"/>
    <cellStyle name="Normal 11 4 3 2 5 3" xfId="8316"/>
    <cellStyle name="Normal 11 4 3 2 5 3 2" xfId="25596"/>
    <cellStyle name="Normal 11 4 3 2 5 4" xfId="14076"/>
    <cellStyle name="Normal 11 4 3 2 5 4 2" xfId="31356"/>
    <cellStyle name="Normal 11 4 3 2 5 5" xfId="19836"/>
    <cellStyle name="Normal 11 4 3 2 6" xfId="3996"/>
    <cellStyle name="Normal 11 4 3 2 6 2" xfId="9756"/>
    <cellStyle name="Normal 11 4 3 2 6 2 2" xfId="27036"/>
    <cellStyle name="Normal 11 4 3 2 6 3" xfId="15516"/>
    <cellStyle name="Normal 11 4 3 2 6 3 2" xfId="32796"/>
    <cellStyle name="Normal 11 4 3 2 6 4" xfId="21276"/>
    <cellStyle name="Normal 11 4 3 2 7" xfId="6876"/>
    <cellStyle name="Normal 11 4 3 2 7 2" xfId="24156"/>
    <cellStyle name="Normal 11 4 3 2 8" xfId="12636"/>
    <cellStyle name="Normal 11 4 3 2 8 2" xfId="29916"/>
    <cellStyle name="Normal 11 4 3 2 9" xfId="18396"/>
    <cellStyle name="Normal 11 4 3 3" xfId="1236"/>
    <cellStyle name="Normal 11 4 3 3 2" xfId="1956"/>
    <cellStyle name="Normal 11 4 3 3 2 2" xfId="3396"/>
    <cellStyle name="Normal 11 4 3 3 2 2 2" xfId="6276"/>
    <cellStyle name="Normal 11 4 3 3 2 2 2 2" xfId="12036"/>
    <cellStyle name="Normal 11 4 3 3 2 2 2 2 2" xfId="29316"/>
    <cellStyle name="Normal 11 4 3 3 2 2 2 3" xfId="17796"/>
    <cellStyle name="Normal 11 4 3 3 2 2 2 3 2" xfId="35076"/>
    <cellStyle name="Normal 11 4 3 3 2 2 2 4" xfId="23556"/>
    <cellStyle name="Normal 11 4 3 3 2 2 3" xfId="9156"/>
    <cellStyle name="Normal 11 4 3 3 2 2 3 2" xfId="26436"/>
    <cellStyle name="Normal 11 4 3 3 2 2 4" xfId="14916"/>
    <cellStyle name="Normal 11 4 3 3 2 2 4 2" xfId="32196"/>
    <cellStyle name="Normal 11 4 3 3 2 2 5" xfId="20676"/>
    <cellStyle name="Normal 11 4 3 3 2 3" xfId="4836"/>
    <cellStyle name="Normal 11 4 3 3 2 3 2" xfId="10596"/>
    <cellStyle name="Normal 11 4 3 3 2 3 2 2" xfId="27876"/>
    <cellStyle name="Normal 11 4 3 3 2 3 3" xfId="16356"/>
    <cellStyle name="Normal 11 4 3 3 2 3 3 2" xfId="33636"/>
    <cellStyle name="Normal 11 4 3 3 2 3 4" xfId="22116"/>
    <cellStyle name="Normal 11 4 3 3 2 4" xfId="7716"/>
    <cellStyle name="Normal 11 4 3 3 2 4 2" xfId="24996"/>
    <cellStyle name="Normal 11 4 3 3 2 5" xfId="13476"/>
    <cellStyle name="Normal 11 4 3 3 2 5 2" xfId="30756"/>
    <cellStyle name="Normal 11 4 3 3 2 6" xfId="19236"/>
    <cellStyle name="Normal 11 4 3 3 3" xfId="2676"/>
    <cellStyle name="Normal 11 4 3 3 3 2" xfId="5556"/>
    <cellStyle name="Normal 11 4 3 3 3 2 2" xfId="11316"/>
    <cellStyle name="Normal 11 4 3 3 3 2 2 2" xfId="28596"/>
    <cellStyle name="Normal 11 4 3 3 3 2 3" xfId="17076"/>
    <cellStyle name="Normal 11 4 3 3 3 2 3 2" xfId="34356"/>
    <cellStyle name="Normal 11 4 3 3 3 2 4" xfId="22836"/>
    <cellStyle name="Normal 11 4 3 3 3 3" xfId="8436"/>
    <cellStyle name="Normal 11 4 3 3 3 3 2" xfId="25716"/>
    <cellStyle name="Normal 11 4 3 3 3 4" xfId="14196"/>
    <cellStyle name="Normal 11 4 3 3 3 4 2" xfId="31476"/>
    <cellStyle name="Normal 11 4 3 3 3 5" xfId="19956"/>
    <cellStyle name="Normal 11 4 3 3 4" xfId="4116"/>
    <cellStyle name="Normal 11 4 3 3 4 2" xfId="9876"/>
    <cellStyle name="Normal 11 4 3 3 4 2 2" xfId="27156"/>
    <cellStyle name="Normal 11 4 3 3 4 3" xfId="15636"/>
    <cellStyle name="Normal 11 4 3 3 4 3 2" xfId="32916"/>
    <cellStyle name="Normal 11 4 3 3 4 4" xfId="21396"/>
    <cellStyle name="Normal 11 4 3 3 5" xfId="6996"/>
    <cellStyle name="Normal 11 4 3 3 5 2" xfId="24276"/>
    <cellStyle name="Normal 11 4 3 3 6" xfId="12756"/>
    <cellStyle name="Normal 11 4 3 3 6 2" xfId="30036"/>
    <cellStyle name="Normal 11 4 3 3 7" xfId="18516"/>
    <cellStyle name="Normal 11 4 3 4" xfId="1476"/>
    <cellStyle name="Normal 11 4 3 4 2" xfId="2196"/>
    <cellStyle name="Normal 11 4 3 4 2 2" xfId="3636"/>
    <cellStyle name="Normal 11 4 3 4 2 2 2" xfId="6516"/>
    <cellStyle name="Normal 11 4 3 4 2 2 2 2" xfId="12276"/>
    <cellStyle name="Normal 11 4 3 4 2 2 2 2 2" xfId="29556"/>
    <cellStyle name="Normal 11 4 3 4 2 2 2 3" xfId="18036"/>
    <cellStyle name="Normal 11 4 3 4 2 2 2 3 2" xfId="35316"/>
    <cellStyle name="Normal 11 4 3 4 2 2 2 4" xfId="23796"/>
    <cellStyle name="Normal 11 4 3 4 2 2 3" xfId="9396"/>
    <cellStyle name="Normal 11 4 3 4 2 2 3 2" xfId="26676"/>
    <cellStyle name="Normal 11 4 3 4 2 2 4" xfId="15156"/>
    <cellStyle name="Normal 11 4 3 4 2 2 4 2" xfId="32436"/>
    <cellStyle name="Normal 11 4 3 4 2 2 5" xfId="20916"/>
    <cellStyle name="Normal 11 4 3 4 2 3" xfId="5076"/>
    <cellStyle name="Normal 11 4 3 4 2 3 2" xfId="10836"/>
    <cellStyle name="Normal 11 4 3 4 2 3 2 2" xfId="28116"/>
    <cellStyle name="Normal 11 4 3 4 2 3 3" xfId="16596"/>
    <cellStyle name="Normal 11 4 3 4 2 3 3 2" xfId="33876"/>
    <cellStyle name="Normal 11 4 3 4 2 3 4" xfId="22356"/>
    <cellStyle name="Normal 11 4 3 4 2 4" xfId="7956"/>
    <cellStyle name="Normal 11 4 3 4 2 4 2" xfId="25236"/>
    <cellStyle name="Normal 11 4 3 4 2 5" xfId="13716"/>
    <cellStyle name="Normal 11 4 3 4 2 5 2" xfId="30996"/>
    <cellStyle name="Normal 11 4 3 4 2 6" xfId="19476"/>
    <cellStyle name="Normal 11 4 3 4 3" xfId="2916"/>
    <cellStyle name="Normal 11 4 3 4 3 2" xfId="5796"/>
    <cellStyle name="Normal 11 4 3 4 3 2 2" xfId="11556"/>
    <cellStyle name="Normal 11 4 3 4 3 2 2 2" xfId="28836"/>
    <cellStyle name="Normal 11 4 3 4 3 2 3" xfId="17316"/>
    <cellStyle name="Normal 11 4 3 4 3 2 3 2" xfId="34596"/>
    <cellStyle name="Normal 11 4 3 4 3 2 4" xfId="23076"/>
    <cellStyle name="Normal 11 4 3 4 3 3" xfId="8676"/>
    <cellStyle name="Normal 11 4 3 4 3 3 2" xfId="25956"/>
    <cellStyle name="Normal 11 4 3 4 3 4" xfId="14436"/>
    <cellStyle name="Normal 11 4 3 4 3 4 2" xfId="31716"/>
    <cellStyle name="Normal 11 4 3 4 3 5" xfId="20196"/>
    <cellStyle name="Normal 11 4 3 4 4" xfId="4356"/>
    <cellStyle name="Normal 11 4 3 4 4 2" xfId="10116"/>
    <cellStyle name="Normal 11 4 3 4 4 2 2" xfId="27396"/>
    <cellStyle name="Normal 11 4 3 4 4 3" xfId="15876"/>
    <cellStyle name="Normal 11 4 3 4 4 3 2" xfId="33156"/>
    <cellStyle name="Normal 11 4 3 4 4 4" xfId="21636"/>
    <cellStyle name="Normal 11 4 3 4 5" xfId="7236"/>
    <cellStyle name="Normal 11 4 3 4 5 2" xfId="24516"/>
    <cellStyle name="Normal 11 4 3 4 6" xfId="12996"/>
    <cellStyle name="Normal 11 4 3 4 6 2" xfId="30276"/>
    <cellStyle name="Normal 11 4 3 4 7" xfId="18756"/>
    <cellStyle name="Normal 11 4 3 5" xfId="1716"/>
    <cellStyle name="Normal 11 4 3 5 2" xfId="3156"/>
    <cellStyle name="Normal 11 4 3 5 2 2" xfId="6036"/>
    <cellStyle name="Normal 11 4 3 5 2 2 2" xfId="11796"/>
    <cellStyle name="Normal 11 4 3 5 2 2 2 2" xfId="29076"/>
    <cellStyle name="Normal 11 4 3 5 2 2 3" xfId="17556"/>
    <cellStyle name="Normal 11 4 3 5 2 2 3 2" xfId="34836"/>
    <cellStyle name="Normal 11 4 3 5 2 2 4" xfId="23316"/>
    <cellStyle name="Normal 11 4 3 5 2 3" xfId="8916"/>
    <cellStyle name="Normal 11 4 3 5 2 3 2" xfId="26196"/>
    <cellStyle name="Normal 11 4 3 5 2 4" xfId="14676"/>
    <cellStyle name="Normal 11 4 3 5 2 4 2" xfId="31956"/>
    <cellStyle name="Normal 11 4 3 5 2 5" xfId="20436"/>
    <cellStyle name="Normal 11 4 3 5 3" xfId="4596"/>
    <cellStyle name="Normal 11 4 3 5 3 2" xfId="10356"/>
    <cellStyle name="Normal 11 4 3 5 3 2 2" xfId="27636"/>
    <cellStyle name="Normal 11 4 3 5 3 3" xfId="16116"/>
    <cellStyle name="Normal 11 4 3 5 3 3 2" xfId="33396"/>
    <cellStyle name="Normal 11 4 3 5 3 4" xfId="21876"/>
    <cellStyle name="Normal 11 4 3 5 4" xfId="7476"/>
    <cellStyle name="Normal 11 4 3 5 4 2" xfId="24756"/>
    <cellStyle name="Normal 11 4 3 5 5" xfId="13236"/>
    <cellStyle name="Normal 11 4 3 5 5 2" xfId="30516"/>
    <cellStyle name="Normal 11 4 3 5 6" xfId="18996"/>
    <cellStyle name="Normal 11 4 3 6" xfId="2436"/>
    <cellStyle name="Normal 11 4 3 6 2" xfId="5316"/>
    <cellStyle name="Normal 11 4 3 6 2 2" xfId="11076"/>
    <cellStyle name="Normal 11 4 3 6 2 2 2" xfId="28356"/>
    <cellStyle name="Normal 11 4 3 6 2 3" xfId="16836"/>
    <cellStyle name="Normal 11 4 3 6 2 3 2" xfId="34116"/>
    <cellStyle name="Normal 11 4 3 6 2 4" xfId="22596"/>
    <cellStyle name="Normal 11 4 3 6 3" xfId="8196"/>
    <cellStyle name="Normal 11 4 3 6 3 2" xfId="25476"/>
    <cellStyle name="Normal 11 4 3 6 4" xfId="13956"/>
    <cellStyle name="Normal 11 4 3 6 4 2" xfId="31236"/>
    <cellStyle name="Normal 11 4 3 6 5" xfId="19716"/>
    <cellStyle name="Normal 11 4 3 7" xfId="3876"/>
    <cellStyle name="Normal 11 4 3 7 2" xfId="9636"/>
    <cellStyle name="Normal 11 4 3 7 2 2" xfId="26916"/>
    <cellStyle name="Normal 11 4 3 7 3" xfId="15396"/>
    <cellStyle name="Normal 11 4 3 7 3 2" xfId="32676"/>
    <cellStyle name="Normal 11 4 3 7 4" xfId="21156"/>
    <cellStyle name="Normal 11 4 3 8" xfId="6756"/>
    <cellStyle name="Normal 11 4 3 8 2" xfId="24036"/>
    <cellStyle name="Normal 11 4 3 9" xfId="12516"/>
    <cellStyle name="Normal 11 4 3 9 2" xfId="29796"/>
    <cellStyle name="Normal 11 4 4" xfId="1076"/>
    <cellStyle name="Normal 11 4 4 2" xfId="1316"/>
    <cellStyle name="Normal 11 4 4 2 2" xfId="2036"/>
    <cellStyle name="Normal 11 4 4 2 2 2" xfId="3476"/>
    <cellStyle name="Normal 11 4 4 2 2 2 2" xfId="6356"/>
    <cellStyle name="Normal 11 4 4 2 2 2 2 2" xfId="12116"/>
    <cellStyle name="Normal 11 4 4 2 2 2 2 2 2" xfId="29396"/>
    <cellStyle name="Normal 11 4 4 2 2 2 2 3" xfId="17876"/>
    <cellStyle name="Normal 11 4 4 2 2 2 2 3 2" xfId="35156"/>
    <cellStyle name="Normal 11 4 4 2 2 2 2 4" xfId="23636"/>
    <cellStyle name="Normal 11 4 4 2 2 2 3" xfId="9236"/>
    <cellStyle name="Normal 11 4 4 2 2 2 3 2" xfId="26516"/>
    <cellStyle name="Normal 11 4 4 2 2 2 4" xfId="14996"/>
    <cellStyle name="Normal 11 4 4 2 2 2 4 2" xfId="32276"/>
    <cellStyle name="Normal 11 4 4 2 2 2 5" xfId="20756"/>
    <cellStyle name="Normal 11 4 4 2 2 3" xfId="4916"/>
    <cellStyle name="Normal 11 4 4 2 2 3 2" xfId="10676"/>
    <cellStyle name="Normal 11 4 4 2 2 3 2 2" xfId="27956"/>
    <cellStyle name="Normal 11 4 4 2 2 3 3" xfId="16436"/>
    <cellStyle name="Normal 11 4 4 2 2 3 3 2" xfId="33716"/>
    <cellStyle name="Normal 11 4 4 2 2 3 4" xfId="22196"/>
    <cellStyle name="Normal 11 4 4 2 2 4" xfId="7796"/>
    <cellStyle name="Normal 11 4 4 2 2 4 2" xfId="25076"/>
    <cellStyle name="Normal 11 4 4 2 2 5" xfId="13556"/>
    <cellStyle name="Normal 11 4 4 2 2 5 2" xfId="30836"/>
    <cellStyle name="Normal 11 4 4 2 2 6" xfId="19316"/>
    <cellStyle name="Normal 11 4 4 2 3" xfId="2756"/>
    <cellStyle name="Normal 11 4 4 2 3 2" xfId="5636"/>
    <cellStyle name="Normal 11 4 4 2 3 2 2" xfId="11396"/>
    <cellStyle name="Normal 11 4 4 2 3 2 2 2" xfId="28676"/>
    <cellStyle name="Normal 11 4 4 2 3 2 3" xfId="17156"/>
    <cellStyle name="Normal 11 4 4 2 3 2 3 2" xfId="34436"/>
    <cellStyle name="Normal 11 4 4 2 3 2 4" xfId="22916"/>
    <cellStyle name="Normal 11 4 4 2 3 3" xfId="8516"/>
    <cellStyle name="Normal 11 4 4 2 3 3 2" xfId="25796"/>
    <cellStyle name="Normal 11 4 4 2 3 4" xfId="14276"/>
    <cellStyle name="Normal 11 4 4 2 3 4 2" xfId="31556"/>
    <cellStyle name="Normal 11 4 4 2 3 5" xfId="20036"/>
    <cellStyle name="Normal 11 4 4 2 4" xfId="4196"/>
    <cellStyle name="Normal 11 4 4 2 4 2" xfId="9956"/>
    <cellStyle name="Normal 11 4 4 2 4 2 2" xfId="27236"/>
    <cellStyle name="Normal 11 4 4 2 4 3" xfId="15716"/>
    <cellStyle name="Normal 11 4 4 2 4 3 2" xfId="32996"/>
    <cellStyle name="Normal 11 4 4 2 4 4" xfId="21476"/>
    <cellStyle name="Normal 11 4 4 2 5" xfId="7076"/>
    <cellStyle name="Normal 11 4 4 2 5 2" xfId="24356"/>
    <cellStyle name="Normal 11 4 4 2 6" xfId="12836"/>
    <cellStyle name="Normal 11 4 4 2 6 2" xfId="30116"/>
    <cellStyle name="Normal 11 4 4 2 7" xfId="18596"/>
    <cellStyle name="Normal 11 4 4 3" xfId="1556"/>
    <cellStyle name="Normal 11 4 4 3 2" xfId="2276"/>
    <cellStyle name="Normal 11 4 4 3 2 2" xfId="3716"/>
    <cellStyle name="Normal 11 4 4 3 2 2 2" xfId="6596"/>
    <cellStyle name="Normal 11 4 4 3 2 2 2 2" xfId="12356"/>
    <cellStyle name="Normal 11 4 4 3 2 2 2 2 2" xfId="29636"/>
    <cellStyle name="Normal 11 4 4 3 2 2 2 3" xfId="18116"/>
    <cellStyle name="Normal 11 4 4 3 2 2 2 3 2" xfId="35396"/>
    <cellStyle name="Normal 11 4 4 3 2 2 2 4" xfId="23876"/>
    <cellStyle name="Normal 11 4 4 3 2 2 3" xfId="9476"/>
    <cellStyle name="Normal 11 4 4 3 2 2 3 2" xfId="26756"/>
    <cellStyle name="Normal 11 4 4 3 2 2 4" xfId="15236"/>
    <cellStyle name="Normal 11 4 4 3 2 2 4 2" xfId="32516"/>
    <cellStyle name="Normal 11 4 4 3 2 2 5" xfId="20996"/>
    <cellStyle name="Normal 11 4 4 3 2 3" xfId="5156"/>
    <cellStyle name="Normal 11 4 4 3 2 3 2" xfId="10916"/>
    <cellStyle name="Normal 11 4 4 3 2 3 2 2" xfId="28196"/>
    <cellStyle name="Normal 11 4 4 3 2 3 3" xfId="16676"/>
    <cellStyle name="Normal 11 4 4 3 2 3 3 2" xfId="33956"/>
    <cellStyle name="Normal 11 4 4 3 2 3 4" xfId="22436"/>
    <cellStyle name="Normal 11 4 4 3 2 4" xfId="8036"/>
    <cellStyle name="Normal 11 4 4 3 2 4 2" xfId="25316"/>
    <cellStyle name="Normal 11 4 4 3 2 5" xfId="13796"/>
    <cellStyle name="Normal 11 4 4 3 2 5 2" xfId="31076"/>
    <cellStyle name="Normal 11 4 4 3 2 6" xfId="19556"/>
    <cellStyle name="Normal 11 4 4 3 3" xfId="2996"/>
    <cellStyle name="Normal 11 4 4 3 3 2" xfId="5876"/>
    <cellStyle name="Normal 11 4 4 3 3 2 2" xfId="11636"/>
    <cellStyle name="Normal 11 4 4 3 3 2 2 2" xfId="28916"/>
    <cellStyle name="Normal 11 4 4 3 3 2 3" xfId="17396"/>
    <cellStyle name="Normal 11 4 4 3 3 2 3 2" xfId="34676"/>
    <cellStyle name="Normal 11 4 4 3 3 2 4" xfId="23156"/>
    <cellStyle name="Normal 11 4 4 3 3 3" xfId="8756"/>
    <cellStyle name="Normal 11 4 4 3 3 3 2" xfId="26036"/>
    <cellStyle name="Normal 11 4 4 3 3 4" xfId="14516"/>
    <cellStyle name="Normal 11 4 4 3 3 4 2" xfId="31796"/>
    <cellStyle name="Normal 11 4 4 3 3 5" xfId="20276"/>
    <cellStyle name="Normal 11 4 4 3 4" xfId="4436"/>
    <cellStyle name="Normal 11 4 4 3 4 2" xfId="10196"/>
    <cellStyle name="Normal 11 4 4 3 4 2 2" xfId="27476"/>
    <cellStyle name="Normal 11 4 4 3 4 3" xfId="15956"/>
    <cellStyle name="Normal 11 4 4 3 4 3 2" xfId="33236"/>
    <cellStyle name="Normal 11 4 4 3 4 4" xfId="21716"/>
    <cellStyle name="Normal 11 4 4 3 5" xfId="7316"/>
    <cellStyle name="Normal 11 4 4 3 5 2" xfId="24596"/>
    <cellStyle name="Normal 11 4 4 3 6" xfId="13076"/>
    <cellStyle name="Normal 11 4 4 3 6 2" xfId="30356"/>
    <cellStyle name="Normal 11 4 4 3 7" xfId="18836"/>
    <cellStyle name="Normal 11 4 4 4" xfId="1796"/>
    <cellStyle name="Normal 11 4 4 4 2" xfId="3236"/>
    <cellStyle name="Normal 11 4 4 4 2 2" xfId="6116"/>
    <cellStyle name="Normal 11 4 4 4 2 2 2" xfId="11876"/>
    <cellStyle name="Normal 11 4 4 4 2 2 2 2" xfId="29156"/>
    <cellStyle name="Normal 11 4 4 4 2 2 3" xfId="17636"/>
    <cellStyle name="Normal 11 4 4 4 2 2 3 2" xfId="34916"/>
    <cellStyle name="Normal 11 4 4 4 2 2 4" xfId="23396"/>
    <cellStyle name="Normal 11 4 4 4 2 3" xfId="8996"/>
    <cellStyle name="Normal 11 4 4 4 2 3 2" xfId="26276"/>
    <cellStyle name="Normal 11 4 4 4 2 4" xfId="14756"/>
    <cellStyle name="Normal 11 4 4 4 2 4 2" xfId="32036"/>
    <cellStyle name="Normal 11 4 4 4 2 5" xfId="20516"/>
    <cellStyle name="Normal 11 4 4 4 3" xfId="4676"/>
    <cellStyle name="Normal 11 4 4 4 3 2" xfId="10436"/>
    <cellStyle name="Normal 11 4 4 4 3 2 2" xfId="27716"/>
    <cellStyle name="Normal 11 4 4 4 3 3" xfId="16196"/>
    <cellStyle name="Normal 11 4 4 4 3 3 2" xfId="33476"/>
    <cellStyle name="Normal 11 4 4 4 3 4" xfId="21956"/>
    <cellStyle name="Normal 11 4 4 4 4" xfId="7556"/>
    <cellStyle name="Normal 11 4 4 4 4 2" xfId="24836"/>
    <cellStyle name="Normal 11 4 4 4 5" xfId="13316"/>
    <cellStyle name="Normal 11 4 4 4 5 2" xfId="30596"/>
    <cellStyle name="Normal 11 4 4 4 6" xfId="19076"/>
    <cellStyle name="Normal 11 4 4 5" xfId="2516"/>
    <cellStyle name="Normal 11 4 4 5 2" xfId="5396"/>
    <cellStyle name="Normal 11 4 4 5 2 2" xfId="11156"/>
    <cellStyle name="Normal 11 4 4 5 2 2 2" xfId="28436"/>
    <cellStyle name="Normal 11 4 4 5 2 3" xfId="16916"/>
    <cellStyle name="Normal 11 4 4 5 2 3 2" xfId="34196"/>
    <cellStyle name="Normal 11 4 4 5 2 4" xfId="22676"/>
    <cellStyle name="Normal 11 4 4 5 3" xfId="8276"/>
    <cellStyle name="Normal 11 4 4 5 3 2" xfId="25556"/>
    <cellStyle name="Normal 11 4 4 5 4" xfId="14036"/>
    <cellStyle name="Normal 11 4 4 5 4 2" xfId="31316"/>
    <cellStyle name="Normal 11 4 4 5 5" xfId="19796"/>
    <cellStyle name="Normal 11 4 4 6" xfId="3956"/>
    <cellStyle name="Normal 11 4 4 6 2" xfId="9716"/>
    <cellStyle name="Normal 11 4 4 6 2 2" xfId="26996"/>
    <cellStyle name="Normal 11 4 4 6 3" xfId="15476"/>
    <cellStyle name="Normal 11 4 4 6 3 2" xfId="32756"/>
    <cellStyle name="Normal 11 4 4 6 4" xfId="21236"/>
    <cellStyle name="Normal 11 4 4 7" xfId="6836"/>
    <cellStyle name="Normal 11 4 4 7 2" xfId="24116"/>
    <cellStyle name="Normal 11 4 4 8" xfId="12596"/>
    <cellStyle name="Normal 11 4 4 8 2" xfId="29876"/>
    <cellStyle name="Normal 11 4 4 9" xfId="18356"/>
    <cellStyle name="Normal 11 4 5" xfId="1196"/>
    <cellStyle name="Normal 11 4 5 2" xfId="1916"/>
    <cellStyle name="Normal 11 4 5 2 2" xfId="3356"/>
    <cellStyle name="Normal 11 4 5 2 2 2" xfId="6236"/>
    <cellStyle name="Normal 11 4 5 2 2 2 2" xfId="11996"/>
    <cellStyle name="Normal 11 4 5 2 2 2 2 2" xfId="29276"/>
    <cellStyle name="Normal 11 4 5 2 2 2 3" xfId="17756"/>
    <cellStyle name="Normal 11 4 5 2 2 2 3 2" xfId="35036"/>
    <cellStyle name="Normal 11 4 5 2 2 2 4" xfId="23516"/>
    <cellStyle name="Normal 11 4 5 2 2 3" xfId="9116"/>
    <cellStyle name="Normal 11 4 5 2 2 3 2" xfId="26396"/>
    <cellStyle name="Normal 11 4 5 2 2 4" xfId="14876"/>
    <cellStyle name="Normal 11 4 5 2 2 4 2" xfId="32156"/>
    <cellStyle name="Normal 11 4 5 2 2 5" xfId="20636"/>
    <cellStyle name="Normal 11 4 5 2 3" xfId="4796"/>
    <cellStyle name="Normal 11 4 5 2 3 2" xfId="10556"/>
    <cellStyle name="Normal 11 4 5 2 3 2 2" xfId="27836"/>
    <cellStyle name="Normal 11 4 5 2 3 3" xfId="16316"/>
    <cellStyle name="Normal 11 4 5 2 3 3 2" xfId="33596"/>
    <cellStyle name="Normal 11 4 5 2 3 4" xfId="22076"/>
    <cellStyle name="Normal 11 4 5 2 4" xfId="7676"/>
    <cellStyle name="Normal 11 4 5 2 4 2" xfId="24956"/>
    <cellStyle name="Normal 11 4 5 2 5" xfId="13436"/>
    <cellStyle name="Normal 11 4 5 2 5 2" xfId="30716"/>
    <cellStyle name="Normal 11 4 5 2 6" xfId="19196"/>
    <cellStyle name="Normal 11 4 5 3" xfId="2636"/>
    <cellStyle name="Normal 11 4 5 3 2" xfId="5516"/>
    <cellStyle name="Normal 11 4 5 3 2 2" xfId="11276"/>
    <cellStyle name="Normal 11 4 5 3 2 2 2" xfId="28556"/>
    <cellStyle name="Normal 11 4 5 3 2 3" xfId="17036"/>
    <cellStyle name="Normal 11 4 5 3 2 3 2" xfId="34316"/>
    <cellStyle name="Normal 11 4 5 3 2 4" xfId="22796"/>
    <cellStyle name="Normal 11 4 5 3 3" xfId="8396"/>
    <cellStyle name="Normal 11 4 5 3 3 2" xfId="25676"/>
    <cellStyle name="Normal 11 4 5 3 4" xfId="14156"/>
    <cellStyle name="Normal 11 4 5 3 4 2" xfId="31436"/>
    <cellStyle name="Normal 11 4 5 3 5" xfId="19916"/>
    <cellStyle name="Normal 11 4 5 4" xfId="4076"/>
    <cellStyle name="Normal 11 4 5 4 2" xfId="9836"/>
    <cellStyle name="Normal 11 4 5 4 2 2" xfId="27116"/>
    <cellStyle name="Normal 11 4 5 4 3" xfId="15596"/>
    <cellStyle name="Normal 11 4 5 4 3 2" xfId="32876"/>
    <cellStyle name="Normal 11 4 5 4 4" xfId="21356"/>
    <cellStyle name="Normal 11 4 5 5" xfId="6956"/>
    <cellStyle name="Normal 11 4 5 5 2" xfId="24236"/>
    <cellStyle name="Normal 11 4 5 6" xfId="12716"/>
    <cellStyle name="Normal 11 4 5 6 2" xfId="29996"/>
    <cellStyle name="Normal 11 4 5 7" xfId="18476"/>
    <cellStyle name="Normal 11 4 6" xfId="1436"/>
    <cellStyle name="Normal 11 4 6 2" xfId="2156"/>
    <cellStyle name="Normal 11 4 6 2 2" xfId="3596"/>
    <cellStyle name="Normal 11 4 6 2 2 2" xfId="6476"/>
    <cellStyle name="Normal 11 4 6 2 2 2 2" xfId="12236"/>
    <cellStyle name="Normal 11 4 6 2 2 2 2 2" xfId="29516"/>
    <cellStyle name="Normal 11 4 6 2 2 2 3" xfId="17996"/>
    <cellStyle name="Normal 11 4 6 2 2 2 3 2" xfId="35276"/>
    <cellStyle name="Normal 11 4 6 2 2 2 4" xfId="23756"/>
    <cellStyle name="Normal 11 4 6 2 2 3" xfId="9356"/>
    <cellStyle name="Normal 11 4 6 2 2 3 2" xfId="26636"/>
    <cellStyle name="Normal 11 4 6 2 2 4" xfId="15116"/>
    <cellStyle name="Normal 11 4 6 2 2 4 2" xfId="32396"/>
    <cellStyle name="Normal 11 4 6 2 2 5" xfId="20876"/>
    <cellStyle name="Normal 11 4 6 2 3" xfId="5036"/>
    <cellStyle name="Normal 11 4 6 2 3 2" xfId="10796"/>
    <cellStyle name="Normal 11 4 6 2 3 2 2" xfId="28076"/>
    <cellStyle name="Normal 11 4 6 2 3 3" xfId="16556"/>
    <cellStyle name="Normal 11 4 6 2 3 3 2" xfId="33836"/>
    <cellStyle name="Normal 11 4 6 2 3 4" xfId="22316"/>
    <cellStyle name="Normal 11 4 6 2 4" xfId="7916"/>
    <cellStyle name="Normal 11 4 6 2 4 2" xfId="25196"/>
    <cellStyle name="Normal 11 4 6 2 5" xfId="13676"/>
    <cellStyle name="Normal 11 4 6 2 5 2" xfId="30956"/>
    <cellStyle name="Normal 11 4 6 2 6" xfId="19436"/>
    <cellStyle name="Normal 11 4 6 3" xfId="2876"/>
    <cellStyle name="Normal 11 4 6 3 2" xfId="5756"/>
    <cellStyle name="Normal 11 4 6 3 2 2" xfId="11516"/>
    <cellStyle name="Normal 11 4 6 3 2 2 2" xfId="28796"/>
    <cellStyle name="Normal 11 4 6 3 2 3" xfId="17276"/>
    <cellStyle name="Normal 11 4 6 3 2 3 2" xfId="34556"/>
    <cellStyle name="Normal 11 4 6 3 2 4" xfId="23036"/>
    <cellStyle name="Normal 11 4 6 3 3" xfId="8636"/>
    <cellStyle name="Normal 11 4 6 3 3 2" xfId="25916"/>
    <cellStyle name="Normal 11 4 6 3 4" xfId="14396"/>
    <cellStyle name="Normal 11 4 6 3 4 2" xfId="31676"/>
    <cellStyle name="Normal 11 4 6 3 5" xfId="20156"/>
    <cellStyle name="Normal 11 4 6 4" xfId="4316"/>
    <cellStyle name="Normal 11 4 6 4 2" xfId="10076"/>
    <cellStyle name="Normal 11 4 6 4 2 2" xfId="27356"/>
    <cellStyle name="Normal 11 4 6 4 3" xfId="15836"/>
    <cellStyle name="Normal 11 4 6 4 3 2" xfId="33116"/>
    <cellStyle name="Normal 11 4 6 4 4" xfId="21596"/>
    <cellStyle name="Normal 11 4 6 5" xfId="7196"/>
    <cellStyle name="Normal 11 4 6 5 2" xfId="24476"/>
    <cellStyle name="Normal 11 4 6 6" xfId="12956"/>
    <cellStyle name="Normal 11 4 6 6 2" xfId="30236"/>
    <cellStyle name="Normal 11 4 6 7" xfId="18716"/>
    <cellStyle name="Normal 11 4 7" xfId="1676"/>
    <cellStyle name="Normal 11 4 7 2" xfId="3116"/>
    <cellStyle name="Normal 11 4 7 2 2" xfId="5996"/>
    <cellStyle name="Normal 11 4 7 2 2 2" xfId="11756"/>
    <cellStyle name="Normal 11 4 7 2 2 2 2" xfId="29036"/>
    <cellStyle name="Normal 11 4 7 2 2 3" xfId="17516"/>
    <cellStyle name="Normal 11 4 7 2 2 3 2" xfId="34796"/>
    <cellStyle name="Normal 11 4 7 2 2 4" xfId="23276"/>
    <cellStyle name="Normal 11 4 7 2 3" xfId="8876"/>
    <cellStyle name="Normal 11 4 7 2 3 2" xfId="26156"/>
    <cellStyle name="Normal 11 4 7 2 4" xfId="14636"/>
    <cellStyle name="Normal 11 4 7 2 4 2" xfId="31916"/>
    <cellStyle name="Normal 11 4 7 2 5" xfId="20396"/>
    <cellStyle name="Normal 11 4 7 3" xfId="4556"/>
    <cellStyle name="Normal 11 4 7 3 2" xfId="10316"/>
    <cellStyle name="Normal 11 4 7 3 2 2" xfId="27596"/>
    <cellStyle name="Normal 11 4 7 3 3" xfId="16076"/>
    <cellStyle name="Normal 11 4 7 3 3 2" xfId="33356"/>
    <cellStyle name="Normal 11 4 7 3 4" xfId="21836"/>
    <cellStyle name="Normal 11 4 7 4" xfId="7436"/>
    <cellStyle name="Normal 11 4 7 4 2" xfId="24716"/>
    <cellStyle name="Normal 11 4 7 5" xfId="13196"/>
    <cellStyle name="Normal 11 4 7 5 2" xfId="30476"/>
    <cellStyle name="Normal 11 4 7 6" xfId="18956"/>
    <cellStyle name="Normal 11 4 8" xfId="2396"/>
    <cellStyle name="Normal 11 4 8 2" xfId="5276"/>
    <cellStyle name="Normal 11 4 8 2 2" xfId="11036"/>
    <cellStyle name="Normal 11 4 8 2 2 2" xfId="28316"/>
    <cellStyle name="Normal 11 4 8 2 3" xfId="16796"/>
    <cellStyle name="Normal 11 4 8 2 3 2" xfId="34076"/>
    <cellStyle name="Normal 11 4 8 2 4" xfId="22556"/>
    <cellStyle name="Normal 11 4 8 3" xfId="8156"/>
    <cellStyle name="Normal 11 4 8 3 2" xfId="25436"/>
    <cellStyle name="Normal 11 4 8 4" xfId="13916"/>
    <cellStyle name="Normal 11 4 8 4 2" xfId="31196"/>
    <cellStyle name="Normal 11 4 8 5" xfId="19676"/>
    <cellStyle name="Normal 11 4 9" xfId="3836"/>
    <cellStyle name="Normal 11 4 9 2" xfId="9596"/>
    <cellStyle name="Normal 11 4 9 2 2" xfId="26876"/>
    <cellStyle name="Normal 11 4 9 3" xfId="15356"/>
    <cellStyle name="Normal 11 4 9 3 2" xfId="32636"/>
    <cellStyle name="Normal 11 4 9 4" xfId="21116"/>
    <cellStyle name="Normal 11 5" xfId="1016"/>
    <cellStyle name="Normal 11 5 10" xfId="18296"/>
    <cellStyle name="Normal 11 5 2" xfId="1136"/>
    <cellStyle name="Normal 11 5 2 2" xfId="1376"/>
    <cellStyle name="Normal 11 5 2 2 2" xfId="2096"/>
    <cellStyle name="Normal 11 5 2 2 2 2" xfId="3536"/>
    <cellStyle name="Normal 11 5 2 2 2 2 2" xfId="6416"/>
    <cellStyle name="Normal 11 5 2 2 2 2 2 2" xfId="12176"/>
    <cellStyle name="Normal 11 5 2 2 2 2 2 2 2" xfId="29456"/>
    <cellStyle name="Normal 11 5 2 2 2 2 2 3" xfId="17936"/>
    <cellStyle name="Normal 11 5 2 2 2 2 2 3 2" xfId="35216"/>
    <cellStyle name="Normal 11 5 2 2 2 2 2 4" xfId="23696"/>
    <cellStyle name="Normal 11 5 2 2 2 2 3" xfId="9296"/>
    <cellStyle name="Normal 11 5 2 2 2 2 3 2" xfId="26576"/>
    <cellStyle name="Normal 11 5 2 2 2 2 4" xfId="15056"/>
    <cellStyle name="Normal 11 5 2 2 2 2 4 2" xfId="32336"/>
    <cellStyle name="Normal 11 5 2 2 2 2 5" xfId="20816"/>
    <cellStyle name="Normal 11 5 2 2 2 3" xfId="4976"/>
    <cellStyle name="Normal 11 5 2 2 2 3 2" xfId="10736"/>
    <cellStyle name="Normal 11 5 2 2 2 3 2 2" xfId="28016"/>
    <cellStyle name="Normal 11 5 2 2 2 3 3" xfId="16496"/>
    <cellStyle name="Normal 11 5 2 2 2 3 3 2" xfId="33776"/>
    <cellStyle name="Normal 11 5 2 2 2 3 4" xfId="22256"/>
    <cellStyle name="Normal 11 5 2 2 2 4" xfId="7856"/>
    <cellStyle name="Normal 11 5 2 2 2 4 2" xfId="25136"/>
    <cellStyle name="Normal 11 5 2 2 2 5" xfId="13616"/>
    <cellStyle name="Normal 11 5 2 2 2 5 2" xfId="30896"/>
    <cellStyle name="Normal 11 5 2 2 2 6" xfId="19376"/>
    <cellStyle name="Normal 11 5 2 2 3" xfId="2816"/>
    <cellStyle name="Normal 11 5 2 2 3 2" xfId="5696"/>
    <cellStyle name="Normal 11 5 2 2 3 2 2" xfId="11456"/>
    <cellStyle name="Normal 11 5 2 2 3 2 2 2" xfId="28736"/>
    <cellStyle name="Normal 11 5 2 2 3 2 3" xfId="17216"/>
    <cellStyle name="Normal 11 5 2 2 3 2 3 2" xfId="34496"/>
    <cellStyle name="Normal 11 5 2 2 3 2 4" xfId="22976"/>
    <cellStyle name="Normal 11 5 2 2 3 3" xfId="8576"/>
    <cellStyle name="Normal 11 5 2 2 3 3 2" xfId="25856"/>
    <cellStyle name="Normal 11 5 2 2 3 4" xfId="14336"/>
    <cellStyle name="Normal 11 5 2 2 3 4 2" xfId="31616"/>
    <cellStyle name="Normal 11 5 2 2 3 5" xfId="20096"/>
    <cellStyle name="Normal 11 5 2 2 4" xfId="4256"/>
    <cellStyle name="Normal 11 5 2 2 4 2" xfId="10016"/>
    <cellStyle name="Normal 11 5 2 2 4 2 2" xfId="27296"/>
    <cellStyle name="Normal 11 5 2 2 4 3" xfId="15776"/>
    <cellStyle name="Normal 11 5 2 2 4 3 2" xfId="33056"/>
    <cellStyle name="Normal 11 5 2 2 4 4" xfId="21536"/>
    <cellStyle name="Normal 11 5 2 2 5" xfId="7136"/>
    <cellStyle name="Normal 11 5 2 2 5 2" xfId="24416"/>
    <cellStyle name="Normal 11 5 2 2 6" xfId="12896"/>
    <cellStyle name="Normal 11 5 2 2 6 2" xfId="30176"/>
    <cellStyle name="Normal 11 5 2 2 7" xfId="18656"/>
    <cellStyle name="Normal 11 5 2 3" xfId="1616"/>
    <cellStyle name="Normal 11 5 2 3 2" xfId="2336"/>
    <cellStyle name="Normal 11 5 2 3 2 2" xfId="3776"/>
    <cellStyle name="Normal 11 5 2 3 2 2 2" xfId="6656"/>
    <cellStyle name="Normal 11 5 2 3 2 2 2 2" xfId="12416"/>
    <cellStyle name="Normal 11 5 2 3 2 2 2 2 2" xfId="29696"/>
    <cellStyle name="Normal 11 5 2 3 2 2 2 3" xfId="18176"/>
    <cellStyle name="Normal 11 5 2 3 2 2 2 3 2" xfId="35456"/>
    <cellStyle name="Normal 11 5 2 3 2 2 2 4" xfId="23936"/>
    <cellStyle name="Normal 11 5 2 3 2 2 3" xfId="9536"/>
    <cellStyle name="Normal 11 5 2 3 2 2 3 2" xfId="26816"/>
    <cellStyle name="Normal 11 5 2 3 2 2 4" xfId="15296"/>
    <cellStyle name="Normal 11 5 2 3 2 2 4 2" xfId="32576"/>
    <cellStyle name="Normal 11 5 2 3 2 2 5" xfId="21056"/>
    <cellStyle name="Normal 11 5 2 3 2 3" xfId="5216"/>
    <cellStyle name="Normal 11 5 2 3 2 3 2" xfId="10976"/>
    <cellStyle name="Normal 11 5 2 3 2 3 2 2" xfId="28256"/>
    <cellStyle name="Normal 11 5 2 3 2 3 3" xfId="16736"/>
    <cellStyle name="Normal 11 5 2 3 2 3 3 2" xfId="34016"/>
    <cellStyle name="Normal 11 5 2 3 2 3 4" xfId="22496"/>
    <cellStyle name="Normal 11 5 2 3 2 4" xfId="8096"/>
    <cellStyle name="Normal 11 5 2 3 2 4 2" xfId="25376"/>
    <cellStyle name="Normal 11 5 2 3 2 5" xfId="13856"/>
    <cellStyle name="Normal 11 5 2 3 2 5 2" xfId="31136"/>
    <cellStyle name="Normal 11 5 2 3 2 6" xfId="19616"/>
    <cellStyle name="Normal 11 5 2 3 3" xfId="3056"/>
    <cellStyle name="Normal 11 5 2 3 3 2" xfId="5936"/>
    <cellStyle name="Normal 11 5 2 3 3 2 2" xfId="11696"/>
    <cellStyle name="Normal 11 5 2 3 3 2 2 2" xfId="28976"/>
    <cellStyle name="Normal 11 5 2 3 3 2 3" xfId="17456"/>
    <cellStyle name="Normal 11 5 2 3 3 2 3 2" xfId="34736"/>
    <cellStyle name="Normal 11 5 2 3 3 2 4" xfId="23216"/>
    <cellStyle name="Normal 11 5 2 3 3 3" xfId="8816"/>
    <cellStyle name="Normal 11 5 2 3 3 3 2" xfId="26096"/>
    <cellStyle name="Normal 11 5 2 3 3 4" xfId="14576"/>
    <cellStyle name="Normal 11 5 2 3 3 4 2" xfId="31856"/>
    <cellStyle name="Normal 11 5 2 3 3 5" xfId="20336"/>
    <cellStyle name="Normal 11 5 2 3 4" xfId="4496"/>
    <cellStyle name="Normal 11 5 2 3 4 2" xfId="10256"/>
    <cellStyle name="Normal 11 5 2 3 4 2 2" xfId="27536"/>
    <cellStyle name="Normal 11 5 2 3 4 3" xfId="16016"/>
    <cellStyle name="Normal 11 5 2 3 4 3 2" xfId="33296"/>
    <cellStyle name="Normal 11 5 2 3 4 4" xfId="21776"/>
    <cellStyle name="Normal 11 5 2 3 5" xfId="7376"/>
    <cellStyle name="Normal 11 5 2 3 5 2" xfId="24656"/>
    <cellStyle name="Normal 11 5 2 3 6" xfId="13136"/>
    <cellStyle name="Normal 11 5 2 3 6 2" xfId="30416"/>
    <cellStyle name="Normal 11 5 2 3 7" xfId="18896"/>
    <cellStyle name="Normal 11 5 2 4" xfId="1856"/>
    <cellStyle name="Normal 11 5 2 4 2" xfId="3296"/>
    <cellStyle name="Normal 11 5 2 4 2 2" xfId="6176"/>
    <cellStyle name="Normal 11 5 2 4 2 2 2" xfId="11936"/>
    <cellStyle name="Normal 11 5 2 4 2 2 2 2" xfId="29216"/>
    <cellStyle name="Normal 11 5 2 4 2 2 3" xfId="17696"/>
    <cellStyle name="Normal 11 5 2 4 2 2 3 2" xfId="34976"/>
    <cellStyle name="Normal 11 5 2 4 2 2 4" xfId="23456"/>
    <cellStyle name="Normal 11 5 2 4 2 3" xfId="9056"/>
    <cellStyle name="Normal 11 5 2 4 2 3 2" xfId="26336"/>
    <cellStyle name="Normal 11 5 2 4 2 4" xfId="14816"/>
    <cellStyle name="Normal 11 5 2 4 2 4 2" xfId="32096"/>
    <cellStyle name="Normal 11 5 2 4 2 5" xfId="20576"/>
    <cellStyle name="Normal 11 5 2 4 3" xfId="4736"/>
    <cellStyle name="Normal 11 5 2 4 3 2" xfId="10496"/>
    <cellStyle name="Normal 11 5 2 4 3 2 2" xfId="27776"/>
    <cellStyle name="Normal 11 5 2 4 3 3" xfId="16256"/>
    <cellStyle name="Normal 11 5 2 4 3 3 2" xfId="33536"/>
    <cellStyle name="Normal 11 5 2 4 3 4" xfId="22016"/>
    <cellStyle name="Normal 11 5 2 4 4" xfId="7616"/>
    <cellStyle name="Normal 11 5 2 4 4 2" xfId="24896"/>
    <cellStyle name="Normal 11 5 2 4 5" xfId="13376"/>
    <cellStyle name="Normal 11 5 2 4 5 2" xfId="30656"/>
    <cellStyle name="Normal 11 5 2 4 6" xfId="19136"/>
    <cellStyle name="Normal 11 5 2 5" xfId="2576"/>
    <cellStyle name="Normal 11 5 2 5 2" xfId="5456"/>
    <cellStyle name="Normal 11 5 2 5 2 2" xfId="11216"/>
    <cellStyle name="Normal 11 5 2 5 2 2 2" xfId="28496"/>
    <cellStyle name="Normal 11 5 2 5 2 3" xfId="16976"/>
    <cellStyle name="Normal 11 5 2 5 2 3 2" xfId="34256"/>
    <cellStyle name="Normal 11 5 2 5 2 4" xfId="22736"/>
    <cellStyle name="Normal 11 5 2 5 3" xfId="8336"/>
    <cellStyle name="Normal 11 5 2 5 3 2" xfId="25616"/>
    <cellStyle name="Normal 11 5 2 5 4" xfId="14096"/>
    <cellStyle name="Normal 11 5 2 5 4 2" xfId="31376"/>
    <cellStyle name="Normal 11 5 2 5 5" xfId="19856"/>
    <cellStyle name="Normal 11 5 2 6" xfId="4016"/>
    <cellStyle name="Normal 11 5 2 6 2" xfId="9776"/>
    <cellStyle name="Normal 11 5 2 6 2 2" xfId="27056"/>
    <cellStyle name="Normal 11 5 2 6 3" xfId="15536"/>
    <cellStyle name="Normal 11 5 2 6 3 2" xfId="32816"/>
    <cellStyle name="Normal 11 5 2 6 4" xfId="21296"/>
    <cellStyle name="Normal 11 5 2 7" xfId="6896"/>
    <cellStyle name="Normal 11 5 2 7 2" xfId="24176"/>
    <cellStyle name="Normal 11 5 2 8" xfId="12656"/>
    <cellStyle name="Normal 11 5 2 8 2" xfId="29936"/>
    <cellStyle name="Normal 11 5 2 9" xfId="18416"/>
    <cellStyle name="Normal 11 5 3" xfId="1256"/>
    <cellStyle name="Normal 11 5 3 2" xfId="1976"/>
    <cellStyle name="Normal 11 5 3 2 2" xfId="3416"/>
    <cellStyle name="Normal 11 5 3 2 2 2" xfId="6296"/>
    <cellStyle name="Normal 11 5 3 2 2 2 2" xfId="12056"/>
    <cellStyle name="Normal 11 5 3 2 2 2 2 2" xfId="29336"/>
    <cellStyle name="Normal 11 5 3 2 2 2 3" xfId="17816"/>
    <cellStyle name="Normal 11 5 3 2 2 2 3 2" xfId="35096"/>
    <cellStyle name="Normal 11 5 3 2 2 2 4" xfId="23576"/>
    <cellStyle name="Normal 11 5 3 2 2 3" xfId="9176"/>
    <cellStyle name="Normal 11 5 3 2 2 3 2" xfId="26456"/>
    <cellStyle name="Normal 11 5 3 2 2 4" xfId="14936"/>
    <cellStyle name="Normal 11 5 3 2 2 4 2" xfId="32216"/>
    <cellStyle name="Normal 11 5 3 2 2 5" xfId="20696"/>
    <cellStyle name="Normal 11 5 3 2 3" xfId="4856"/>
    <cellStyle name="Normal 11 5 3 2 3 2" xfId="10616"/>
    <cellStyle name="Normal 11 5 3 2 3 2 2" xfId="27896"/>
    <cellStyle name="Normal 11 5 3 2 3 3" xfId="16376"/>
    <cellStyle name="Normal 11 5 3 2 3 3 2" xfId="33656"/>
    <cellStyle name="Normal 11 5 3 2 3 4" xfId="22136"/>
    <cellStyle name="Normal 11 5 3 2 4" xfId="7736"/>
    <cellStyle name="Normal 11 5 3 2 4 2" xfId="25016"/>
    <cellStyle name="Normal 11 5 3 2 5" xfId="13496"/>
    <cellStyle name="Normal 11 5 3 2 5 2" xfId="30776"/>
    <cellStyle name="Normal 11 5 3 2 6" xfId="19256"/>
    <cellStyle name="Normal 11 5 3 3" xfId="2696"/>
    <cellStyle name="Normal 11 5 3 3 2" xfId="5576"/>
    <cellStyle name="Normal 11 5 3 3 2 2" xfId="11336"/>
    <cellStyle name="Normal 11 5 3 3 2 2 2" xfId="28616"/>
    <cellStyle name="Normal 11 5 3 3 2 3" xfId="17096"/>
    <cellStyle name="Normal 11 5 3 3 2 3 2" xfId="34376"/>
    <cellStyle name="Normal 11 5 3 3 2 4" xfId="22856"/>
    <cellStyle name="Normal 11 5 3 3 3" xfId="8456"/>
    <cellStyle name="Normal 11 5 3 3 3 2" xfId="25736"/>
    <cellStyle name="Normal 11 5 3 3 4" xfId="14216"/>
    <cellStyle name="Normal 11 5 3 3 4 2" xfId="31496"/>
    <cellStyle name="Normal 11 5 3 3 5" xfId="19976"/>
    <cellStyle name="Normal 11 5 3 4" xfId="4136"/>
    <cellStyle name="Normal 11 5 3 4 2" xfId="9896"/>
    <cellStyle name="Normal 11 5 3 4 2 2" xfId="27176"/>
    <cellStyle name="Normal 11 5 3 4 3" xfId="15656"/>
    <cellStyle name="Normal 11 5 3 4 3 2" xfId="32936"/>
    <cellStyle name="Normal 11 5 3 4 4" xfId="21416"/>
    <cellStyle name="Normal 11 5 3 5" xfId="7016"/>
    <cellStyle name="Normal 11 5 3 5 2" xfId="24296"/>
    <cellStyle name="Normal 11 5 3 6" xfId="12776"/>
    <cellStyle name="Normal 11 5 3 6 2" xfId="30056"/>
    <cellStyle name="Normal 11 5 3 7" xfId="18536"/>
    <cellStyle name="Normal 11 5 4" xfId="1496"/>
    <cellStyle name="Normal 11 5 4 2" xfId="2216"/>
    <cellStyle name="Normal 11 5 4 2 2" xfId="3656"/>
    <cellStyle name="Normal 11 5 4 2 2 2" xfId="6536"/>
    <cellStyle name="Normal 11 5 4 2 2 2 2" xfId="12296"/>
    <cellStyle name="Normal 11 5 4 2 2 2 2 2" xfId="29576"/>
    <cellStyle name="Normal 11 5 4 2 2 2 3" xfId="18056"/>
    <cellStyle name="Normal 11 5 4 2 2 2 3 2" xfId="35336"/>
    <cellStyle name="Normal 11 5 4 2 2 2 4" xfId="23816"/>
    <cellStyle name="Normal 11 5 4 2 2 3" xfId="9416"/>
    <cellStyle name="Normal 11 5 4 2 2 3 2" xfId="26696"/>
    <cellStyle name="Normal 11 5 4 2 2 4" xfId="15176"/>
    <cellStyle name="Normal 11 5 4 2 2 4 2" xfId="32456"/>
    <cellStyle name="Normal 11 5 4 2 2 5" xfId="20936"/>
    <cellStyle name="Normal 11 5 4 2 3" xfId="5096"/>
    <cellStyle name="Normal 11 5 4 2 3 2" xfId="10856"/>
    <cellStyle name="Normal 11 5 4 2 3 2 2" xfId="28136"/>
    <cellStyle name="Normal 11 5 4 2 3 3" xfId="16616"/>
    <cellStyle name="Normal 11 5 4 2 3 3 2" xfId="33896"/>
    <cellStyle name="Normal 11 5 4 2 3 4" xfId="22376"/>
    <cellStyle name="Normal 11 5 4 2 4" xfId="7976"/>
    <cellStyle name="Normal 11 5 4 2 4 2" xfId="25256"/>
    <cellStyle name="Normal 11 5 4 2 5" xfId="13736"/>
    <cellStyle name="Normal 11 5 4 2 5 2" xfId="31016"/>
    <cellStyle name="Normal 11 5 4 2 6" xfId="19496"/>
    <cellStyle name="Normal 11 5 4 3" xfId="2936"/>
    <cellStyle name="Normal 11 5 4 3 2" xfId="5816"/>
    <cellStyle name="Normal 11 5 4 3 2 2" xfId="11576"/>
    <cellStyle name="Normal 11 5 4 3 2 2 2" xfId="28856"/>
    <cellStyle name="Normal 11 5 4 3 2 3" xfId="17336"/>
    <cellStyle name="Normal 11 5 4 3 2 3 2" xfId="34616"/>
    <cellStyle name="Normal 11 5 4 3 2 4" xfId="23096"/>
    <cellStyle name="Normal 11 5 4 3 3" xfId="8696"/>
    <cellStyle name="Normal 11 5 4 3 3 2" xfId="25976"/>
    <cellStyle name="Normal 11 5 4 3 4" xfId="14456"/>
    <cellStyle name="Normal 11 5 4 3 4 2" xfId="31736"/>
    <cellStyle name="Normal 11 5 4 3 5" xfId="20216"/>
    <cellStyle name="Normal 11 5 4 4" xfId="4376"/>
    <cellStyle name="Normal 11 5 4 4 2" xfId="10136"/>
    <cellStyle name="Normal 11 5 4 4 2 2" xfId="27416"/>
    <cellStyle name="Normal 11 5 4 4 3" xfId="15896"/>
    <cellStyle name="Normal 11 5 4 4 3 2" xfId="33176"/>
    <cellStyle name="Normal 11 5 4 4 4" xfId="21656"/>
    <cellStyle name="Normal 11 5 4 5" xfId="7256"/>
    <cellStyle name="Normal 11 5 4 5 2" xfId="24536"/>
    <cellStyle name="Normal 11 5 4 6" xfId="13016"/>
    <cellStyle name="Normal 11 5 4 6 2" xfId="30296"/>
    <cellStyle name="Normal 11 5 4 7" xfId="18776"/>
    <cellStyle name="Normal 11 5 5" xfId="1736"/>
    <cellStyle name="Normal 11 5 5 2" xfId="3176"/>
    <cellStyle name="Normal 11 5 5 2 2" xfId="6056"/>
    <cellStyle name="Normal 11 5 5 2 2 2" xfId="11816"/>
    <cellStyle name="Normal 11 5 5 2 2 2 2" xfId="29096"/>
    <cellStyle name="Normal 11 5 5 2 2 3" xfId="17576"/>
    <cellStyle name="Normal 11 5 5 2 2 3 2" xfId="34856"/>
    <cellStyle name="Normal 11 5 5 2 2 4" xfId="23336"/>
    <cellStyle name="Normal 11 5 5 2 3" xfId="8936"/>
    <cellStyle name="Normal 11 5 5 2 3 2" xfId="26216"/>
    <cellStyle name="Normal 11 5 5 2 4" xfId="14696"/>
    <cellStyle name="Normal 11 5 5 2 4 2" xfId="31976"/>
    <cellStyle name="Normal 11 5 5 2 5" xfId="20456"/>
    <cellStyle name="Normal 11 5 5 3" xfId="4616"/>
    <cellStyle name="Normal 11 5 5 3 2" xfId="10376"/>
    <cellStyle name="Normal 11 5 5 3 2 2" xfId="27656"/>
    <cellStyle name="Normal 11 5 5 3 3" xfId="16136"/>
    <cellStyle name="Normal 11 5 5 3 3 2" xfId="33416"/>
    <cellStyle name="Normal 11 5 5 3 4" xfId="21896"/>
    <cellStyle name="Normal 11 5 5 4" xfId="7496"/>
    <cellStyle name="Normal 11 5 5 4 2" xfId="24776"/>
    <cellStyle name="Normal 11 5 5 5" xfId="13256"/>
    <cellStyle name="Normal 11 5 5 5 2" xfId="30536"/>
    <cellStyle name="Normal 11 5 5 6" xfId="19016"/>
    <cellStyle name="Normal 11 5 6" xfId="2456"/>
    <cellStyle name="Normal 11 5 6 2" xfId="5336"/>
    <cellStyle name="Normal 11 5 6 2 2" xfId="11096"/>
    <cellStyle name="Normal 11 5 6 2 2 2" xfId="28376"/>
    <cellStyle name="Normal 11 5 6 2 3" xfId="16856"/>
    <cellStyle name="Normal 11 5 6 2 3 2" xfId="34136"/>
    <cellStyle name="Normal 11 5 6 2 4" xfId="22616"/>
    <cellStyle name="Normal 11 5 6 3" xfId="8216"/>
    <cellStyle name="Normal 11 5 6 3 2" xfId="25496"/>
    <cellStyle name="Normal 11 5 6 4" xfId="13976"/>
    <cellStyle name="Normal 11 5 6 4 2" xfId="31256"/>
    <cellStyle name="Normal 11 5 6 5" xfId="19736"/>
    <cellStyle name="Normal 11 5 7" xfId="3896"/>
    <cellStyle name="Normal 11 5 7 2" xfId="9656"/>
    <cellStyle name="Normal 11 5 7 2 2" xfId="26936"/>
    <cellStyle name="Normal 11 5 7 3" xfId="15416"/>
    <cellStyle name="Normal 11 5 7 3 2" xfId="32696"/>
    <cellStyle name="Normal 11 5 7 4" xfId="21176"/>
    <cellStyle name="Normal 11 5 8" xfId="6776"/>
    <cellStyle name="Normal 11 5 8 2" xfId="24056"/>
    <cellStyle name="Normal 11 5 9" xfId="12536"/>
    <cellStyle name="Normal 11 5 9 2" xfId="29816"/>
    <cellStyle name="Normal 11 6" xfId="976"/>
    <cellStyle name="Normal 11 6 10" xfId="18256"/>
    <cellStyle name="Normal 11 6 2" xfId="1096"/>
    <cellStyle name="Normal 11 6 2 2" xfId="1336"/>
    <cellStyle name="Normal 11 6 2 2 2" xfId="2056"/>
    <cellStyle name="Normal 11 6 2 2 2 2" xfId="3496"/>
    <cellStyle name="Normal 11 6 2 2 2 2 2" xfId="6376"/>
    <cellStyle name="Normal 11 6 2 2 2 2 2 2" xfId="12136"/>
    <cellStyle name="Normal 11 6 2 2 2 2 2 2 2" xfId="29416"/>
    <cellStyle name="Normal 11 6 2 2 2 2 2 3" xfId="17896"/>
    <cellStyle name="Normal 11 6 2 2 2 2 2 3 2" xfId="35176"/>
    <cellStyle name="Normal 11 6 2 2 2 2 2 4" xfId="23656"/>
    <cellStyle name="Normal 11 6 2 2 2 2 3" xfId="9256"/>
    <cellStyle name="Normal 11 6 2 2 2 2 3 2" xfId="26536"/>
    <cellStyle name="Normal 11 6 2 2 2 2 4" xfId="15016"/>
    <cellStyle name="Normal 11 6 2 2 2 2 4 2" xfId="32296"/>
    <cellStyle name="Normal 11 6 2 2 2 2 5" xfId="20776"/>
    <cellStyle name="Normal 11 6 2 2 2 3" xfId="4936"/>
    <cellStyle name="Normal 11 6 2 2 2 3 2" xfId="10696"/>
    <cellStyle name="Normal 11 6 2 2 2 3 2 2" xfId="27976"/>
    <cellStyle name="Normal 11 6 2 2 2 3 3" xfId="16456"/>
    <cellStyle name="Normal 11 6 2 2 2 3 3 2" xfId="33736"/>
    <cellStyle name="Normal 11 6 2 2 2 3 4" xfId="22216"/>
    <cellStyle name="Normal 11 6 2 2 2 4" xfId="7816"/>
    <cellStyle name="Normal 11 6 2 2 2 4 2" xfId="25096"/>
    <cellStyle name="Normal 11 6 2 2 2 5" xfId="13576"/>
    <cellStyle name="Normal 11 6 2 2 2 5 2" xfId="30856"/>
    <cellStyle name="Normal 11 6 2 2 2 6" xfId="19336"/>
    <cellStyle name="Normal 11 6 2 2 3" xfId="2776"/>
    <cellStyle name="Normal 11 6 2 2 3 2" xfId="5656"/>
    <cellStyle name="Normal 11 6 2 2 3 2 2" xfId="11416"/>
    <cellStyle name="Normal 11 6 2 2 3 2 2 2" xfId="28696"/>
    <cellStyle name="Normal 11 6 2 2 3 2 3" xfId="17176"/>
    <cellStyle name="Normal 11 6 2 2 3 2 3 2" xfId="34456"/>
    <cellStyle name="Normal 11 6 2 2 3 2 4" xfId="22936"/>
    <cellStyle name="Normal 11 6 2 2 3 3" xfId="8536"/>
    <cellStyle name="Normal 11 6 2 2 3 3 2" xfId="25816"/>
    <cellStyle name="Normal 11 6 2 2 3 4" xfId="14296"/>
    <cellStyle name="Normal 11 6 2 2 3 4 2" xfId="31576"/>
    <cellStyle name="Normal 11 6 2 2 3 5" xfId="20056"/>
    <cellStyle name="Normal 11 6 2 2 4" xfId="4216"/>
    <cellStyle name="Normal 11 6 2 2 4 2" xfId="9976"/>
    <cellStyle name="Normal 11 6 2 2 4 2 2" xfId="27256"/>
    <cellStyle name="Normal 11 6 2 2 4 3" xfId="15736"/>
    <cellStyle name="Normal 11 6 2 2 4 3 2" xfId="33016"/>
    <cellStyle name="Normal 11 6 2 2 4 4" xfId="21496"/>
    <cellStyle name="Normal 11 6 2 2 5" xfId="7096"/>
    <cellStyle name="Normal 11 6 2 2 5 2" xfId="24376"/>
    <cellStyle name="Normal 11 6 2 2 6" xfId="12856"/>
    <cellStyle name="Normal 11 6 2 2 6 2" xfId="30136"/>
    <cellStyle name="Normal 11 6 2 2 7" xfId="18616"/>
    <cellStyle name="Normal 11 6 2 3" xfId="1576"/>
    <cellStyle name="Normal 11 6 2 3 2" xfId="2296"/>
    <cellStyle name="Normal 11 6 2 3 2 2" xfId="3736"/>
    <cellStyle name="Normal 11 6 2 3 2 2 2" xfId="6616"/>
    <cellStyle name="Normal 11 6 2 3 2 2 2 2" xfId="12376"/>
    <cellStyle name="Normal 11 6 2 3 2 2 2 2 2" xfId="29656"/>
    <cellStyle name="Normal 11 6 2 3 2 2 2 3" xfId="18136"/>
    <cellStyle name="Normal 11 6 2 3 2 2 2 3 2" xfId="35416"/>
    <cellStyle name="Normal 11 6 2 3 2 2 2 4" xfId="23896"/>
    <cellStyle name="Normal 11 6 2 3 2 2 3" xfId="9496"/>
    <cellStyle name="Normal 11 6 2 3 2 2 3 2" xfId="26776"/>
    <cellStyle name="Normal 11 6 2 3 2 2 4" xfId="15256"/>
    <cellStyle name="Normal 11 6 2 3 2 2 4 2" xfId="32536"/>
    <cellStyle name="Normal 11 6 2 3 2 2 5" xfId="21016"/>
    <cellStyle name="Normal 11 6 2 3 2 3" xfId="5176"/>
    <cellStyle name="Normal 11 6 2 3 2 3 2" xfId="10936"/>
    <cellStyle name="Normal 11 6 2 3 2 3 2 2" xfId="28216"/>
    <cellStyle name="Normal 11 6 2 3 2 3 3" xfId="16696"/>
    <cellStyle name="Normal 11 6 2 3 2 3 3 2" xfId="33976"/>
    <cellStyle name="Normal 11 6 2 3 2 3 4" xfId="22456"/>
    <cellStyle name="Normal 11 6 2 3 2 4" xfId="8056"/>
    <cellStyle name="Normal 11 6 2 3 2 4 2" xfId="25336"/>
    <cellStyle name="Normal 11 6 2 3 2 5" xfId="13816"/>
    <cellStyle name="Normal 11 6 2 3 2 5 2" xfId="31096"/>
    <cellStyle name="Normal 11 6 2 3 2 6" xfId="19576"/>
    <cellStyle name="Normal 11 6 2 3 3" xfId="3016"/>
    <cellStyle name="Normal 11 6 2 3 3 2" xfId="5896"/>
    <cellStyle name="Normal 11 6 2 3 3 2 2" xfId="11656"/>
    <cellStyle name="Normal 11 6 2 3 3 2 2 2" xfId="28936"/>
    <cellStyle name="Normal 11 6 2 3 3 2 3" xfId="17416"/>
    <cellStyle name="Normal 11 6 2 3 3 2 3 2" xfId="34696"/>
    <cellStyle name="Normal 11 6 2 3 3 2 4" xfId="23176"/>
    <cellStyle name="Normal 11 6 2 3 3 3" xfId="8776"/>
    <cellStyle name="Normal 11 6 2 3 3 3 2" xfId="26056"/>
    <cellStyle name="Normal 11 6 2 3 3 4" xfId="14536"/>
    <cellStyle name="Normal 11 6 2 3 3 4 2" xfId="31816"/>
    <cellStyle name="Normal 11 6 2 3 3 5" xfId="20296"/>
    <cellStyle name="Normal 11 6 2 3 4" xfId="4456"/>
    <cellStyle name="Normal 11 6 2 3 4 2" xfId="10216"/>
    <cellStyle name="Normal 11 6 2 3 4 2 2" xfId="27496"/>
    <cellStyle name="Normal 11 6 2 3 4 3" xfId="15976"/>
    <cellStyle name="Normal 11 6 2 3 4 3 2" xfId="33256"/>
    <cellStyle name="Normal 11 6 2 3 4 4" xfId="21736"/>
    <cellStyle name="Normal 11 6 2 3 5" xfId="7336"/>
    <cellStyle name="Normal 11 6 2 3 5 2" xfId="24616"/>
    <cellStyle name="Normal 11 6 2 3 6" xfId="13096"/>
    <cellStyle name="Normal 11 6 2 3 6 2" xfId="30376"/>
    <cellStyle name="Normal 11 6 2 3 7" xfId="18856"/>
    <cellStyle name="Normal 11 6 2 4" xfId="1816"/>
    <cellStyle name="Normal 11 6 2 4 2" xfId="3256"/>
    <cellStyle name="Normal 11 6 2 4 2 2" xfId="6136"/>
    <cellStyle name="Normal 11 6 2 4 2 2 2" xfId="11896"/>
    <cellStyle name="Normal 11 6 2 4 2 2 2 2" xfId="29176"/>
    <cellStyle name="Normal 11 6 2 4 2 2 3" xfId="17656"/>
    <cellStyle name="Normal 11 6 2 4 2 2 3 2" xfId="34936"/>
    <cellStyle name="Normal 11 6 2 4 2 2 4" xfId="23416"/>
    <cellStyle name="Normal 11 6 2 4 2 3" xfId="9016"/>
    <cellStyle name="Normal 11 6 2 4 2 3 2" xfId="26296"/>
    <cellStyle name="Normal 11 6 2 4 2 4" xfId="14776"/>
    <cellStyle name="Normal 11 6 2 4 2 4 2" xfId="32056"/>
    <cellStyle name="Normal 11 6 2 4 2 5" xfId="20536"/>
    <cellStyle name="Normal 11 6 2 4 3" xfId="4696"/>
    <cellStyle name="Normal 11 6 2 4 3 2" xfId="10456"/>
    <cellStyle name="Normal 11 6 2 4 3 2 2" xfId="27736"/>
    <cellStyle name="Normal 11 6 2 4 3 3" xfId="16216"/>
    <cellStyle name="Normal 11 6 2 4 3 3 2" xfId="33496"/>
    <cellStyle name="Normal 11 6 2 4 3 4" xfId="21976"/>
    <cellStyle name="Normal 11 6 2 4 4" xfId="7576"/>
    <cellStyle name="Normal 11 6 2 4 4 2" xfId="24856"/>
    <cellStyle name="Normal 11 6 2 4 5" xfId="13336"/>
    <cellStyle name="Normal 11 6 2 4 5 2" xfId="30616"/>
    <cellStyle name="Normal 11 6 2 4 6" xfId="19096"/>
    <cellStyle name="Normal 11 6 2 5" xfId="2536"/>
    <cellStyle name="Normal 11 6 2 5 2" xfId="5416"/>
    <cellStyle name="Normal 11 6 2 5 2 2" xfId="11176"/>
    <cellStyle name="Normal 11 6 2 5 2 2 2" xfId="28456"/>
    <cellStyle name="Normal 11 6 2 5 2 3" xfId="16936"/>
    <cellStyle name="Normal 11 6 2 5 2 3 2" xfId="34216"/>
    <cellStyle name="Normal 11 6 2 5 2 4" xfId="22696"/>
    <cellStyle name="Normal 11 6 2 5 3" xfId="8296"/>
    <cellStyle name="Normal 11 6 2 5 3 2" xfId="25576"/>
    <cellStyle name="Normal 11 6 2 5 4" xfId="14056"/>
    <cellStyle name="Normal 11 6 2 5 4 2" xfId="31336"/>
    <cellStyle name="Normal 11 6 2 5 5" xfId="19816"/>
    <cellStyle name="Normal 11 6 2 6" xfId="3976"/>
    <cellStyle name="Normal 11 6 2 6 2" xfId="9736"/>
    <cellStyle name="Normal 11 6 2 6 2 2" xfId="27016"/>
    <cellStyle name="Normal 11 6 2 6 3" xfId="15496"/>
    <cellStyle name="Normal 11 6 2 6 3 2" xfId="32776"/>
    <cellStyle name="Normal 11 6 2 6 4" xfId="21256"/>
    <cellStyle name="Normal 11 6 2 7" xfId="6856"/>
    <cellStyle name="Normal 11 6 2 7 2" xfId="24136"/>
    <cellStyle name="Normal 11 6 2 8" xfId="12616"/>
    <cellStyle name="Normal 11 6 2 8 2" xfId="29896"/>
    <cellStyle name="Normal 11 6 2 9" xfId="18376"/>
    <cellStyle name="Normal 11 6 3" xfId="1216"/>
    <cellStyle name="Normal 11 6 3 2" xfId="1936"/>
    <cellStyle name="Normal 11 6 3 2 2" xfId="3376"/>
    <cellStyle name="Normal 11 6 3 2 2 2" xfId="6256"/>
    <cellStyle name="Normal 11 6 3 2 2 2 2" xfId="12016"/>
    <cellStyle name="Normal 11 6 3 2 2 2 2 2" xfId="29296"/>
    <cellStyle name="Normal 11 6 3 2 2 2 3" xfId="17776"/>
    <cellStyle name="Normal 11 6 3 2 2 2 3 2" xfId="35056"/>
    <cellStyle name="Normal 11 6 3 2 2 2 4" xfId="23536"/>
    <cellStyle name="Normal 11 6 3 2 2 3" xfId="9136"/>
    <cellStyle name="Normal 11 6 3 2 2 3 2" xfId="26416"/>
    <cellStyle name="Normal 11 6 3 2 2 4" xfId="14896"/>
    <cellStyle name="Normal 11 6 3 2 2 4 2" xfId="32176"/>
    <cellStyle name="Normal 11 6 3 2 2 5" xfId="20656"/>
    <cellStyle name="Normal 11 6 3 2 3" xfId="4816"/>
    <cellStyle name="Normal 11 6 3 2 3 2" xfId="10576"/>
    <cellStyle name="Normal 11 6 3 2 3 2 2" xfId="27856"/>
    <cellStyle name="Normal 11 6 3 2 3 3" xfId="16336"/>
    <cellStyle name="Normal 11 6 3 2 3 3 2" xfId="33616"/>
    <cellStyle name="Normal 11 6 3 2 3 4" xfId="22096"/>
    <cellStyle name="Normal 11 6 3 2 4" xfId="7696"/>
    <cellStyle name="Normal 11 6 3 2 4 2" xfId="24976"/>
    <cellStyle name="Normal 11 6 3 2 5" xfId="13456"/>
    <cellStyle name="Normal 11 6 3 2 5 2" xfId="30736"/>
    <cellStyle name="Normal 11 6 3 2 6" xfId="19216"/>
    <cellStyle name="Normal 11 6 3 3" xfId="2656"/>
    <cellStyle name="Normal 11 6 3 3 2" xfId="5536"/>
    <cellStyle name="Normal 11 6 3 3 2 2" xfId="11296"/>
    <cellStyle name="Normal 11 6 3 3 2 2 2" xfId="28576"/>
    <cellStyle name="Normal 11 6 3 3 2 3" xfId="17056"/>
    <cellStyle name="Normal 11 6 3 3 2 3 2" xfId="34336"/>
    <cellStyle name="Normal 11 6 3 3 2 4" xfId="22816"/>
    <cellStyle name="Normal 11 6 3 3 3" xfId="8416"/>
    <cellStyle name="Normal 11 6 3 3 3 2" xfId="25696"/>
    <cellStyle name="Normal 11 6 3 3 4" xfId="14176"/>
    <cellStyle name="Normal 11 6 3 3 4 2" xfId="31456"/>
    <cellStyle name="Normal 11 6 3 3 5" xfId="19936"/>
    <cellStyle name="Normal 11 6 3 4" xfId="4096"/>
    <cellStyle name="Normal 11 6 3 4 2" xfId="9856"/>
    <cellStyle name="Normal 11 6 3 4 2 2" xfId="27136"/>
    <cellStyle name="Normal 11 6 3 4 3" xfId="15616"/>
    <cellStyle name="Normal 11 6 3 4 3 2" xfId="32896"/>
    <cellStyle name="Normal 11 6 3 4 4" xfId="21376"/>
    <cellStyle name="Normal 11 6 3 5" xfId="6976"/>
    <cellStyle name="Normal 11 6 3 5 2" xfId="24256"/>
    <cellStyle name="Normal 11 6 3 6" xfId="12736"/>
    <cellStyle name="Normal 11 6 3 6 2" xfId="30016"/>
    <cellStyle name="Normal 11 6 3 7" xfId="18496"/>
    <cellStyle name="Normal 11 6 4" xfId="1456"/>
    <cellStyle name="Normal 11 6 4 2" xfId="2176"/>
    <cellStyle name="Normal 11 6 4 2 2" xfId="3616"/>
    <cellStyle name="Normal 11 6 4 2 2 2" xfId="6496"/>
    <cellStyle name="Normal 11 6 4 2 2 2 2" xfId="12256"/>
    <cellStyle name="Normal 11 6 4 2 2 2 2 2" xfId="29536"/>
    <cellStyle name="Normal 11 6 4 2 2 2 3" xfId="18016"/>
    <cellStyle name="Normal 11 6 4 2 2 2 3 2" xfId="35296"/>
    <cellStyle name="Normal 11 6 4 2 2 2 4" xfId="23776"/>
    <cellStyle name="Normal 11 6 4 2 2 3" xfId="9376"/>
    <cellStyle name="Normal 11 6 4 2 2 3 2" xfId="26656"/>
    <cellStyle name="Normal 11 6 4 2 2 4" xfId="15136"/>
    <cellStyle name="Normal 11 6 4 2 2 4 2" xfId="32416"/>
    <cellStyle name="Normal 11 6 4 2 2 5" xfId="20896"/>
    <cellStyle name="Normal 11 6 4 2 3" xfId="5056"/>
    <cellStyle name="Normal 11 6 4 2 3 2" xfId="10816"/>
    <cellStyle name="Normal 11 6 4 2 3 2 2" xfId="28096"/>
    <cellStyle name="Normal 11 6 4 2 3 3" xfId="16576"/>
    <cellStyle name="Normal 11 6 4 2 3 3 2" xfId="33856"/>
    <cellStyle name="Normal 11 6 4 2 3 4" xfId="22336"/>
    <cellStyle name="Normal 11 6 4 2 4" xfId="7936"/>
    <cellStyle name="Normal 11 6 4 2 4 2" xfId="25216"/>
    <cellStyle name="Normal 11 6 4 2 5" xfId="13696"/>
    <cellStyle name="Normal 11 6 4 2 5 2" xfId="30976"/>
    <cellStyle name="Normal 11 6 4 2 6" xfId="19456"/>
    <cellStyle name="Normal 11 6 4 3" xfId="2896"/>
    <cellStyle name="Normal 11 6 4 3 2" xfId="5776"/>
    <cellStyle name="Normal 11 6 4 3 2 2" xfId="11536"/>
    <cellStyle name="Normal 11 6 4 3 2 2 2" xfId="28816"/>
    <cellStyle name="Normal 11 6 4 3 2 3" xfId="17296"/>
    <cellStyle name="Normal 11 6 4 3 2 3 2" xfId="34576"/>
    <cellStyle name="Normal 11 6 4 3 2 4" xfId="23056"/>
    <cellStyle name="Normal 11 6 4 3 3" xfId="8656"/>
    <cellStyle name="Normal 11 6 4 3 3 2" xfId="25936"/>
    <cellStyle name="Normal 11 6 4 3 4" xfId="14416"/>
    <cellStyle name="Normal 11 6 4 3 4 2" xfId="31696"/>
    <cellStyle name="Normal 11 6 4 3 5" xfId="20176"/>
    <cellStyle name="Normal 11 6 4 4" xfId="4336"/>
    <cellStyle name="Normal 11 6 4 4 2" xfId="10096"/>
    <cellStyle name="Normal 11 6 4 4 2 2" xfId="27376"/>
    <cellStyle name="Normal 11 6 4 4 3" xfId="15856"/>
    <cellStyle name="Normal 11 6 4 4 3 2" xfId="33136"/>
    <cellStyle name="Normal 11 6 4 4 4" xfId="21616"/>
    <cellStyle name="Normal 11 6 4 5" xfId="7216"/>
    <cellStyle name="Normal 11 6 4 5 2" xfId="24496"/>
    <cellStyle name="Normal 11 6 4 6" xfId="12976"/>
    <cellStyle name="Normal 11 6 4 6 2" xfId="30256"/>
    <cellStyle name="Normal 11 6 4 7" xfId="18736"/>
    <cellStyle name="Normal 11 6 5" xfId="1696"/>
    <cellStyle name="Normal 11 6 5 2" xfId="3136"/>
    <cellStyle name="Normal 11 6 5 2 2" xfId="6016"/>
    <cellStyle name="Normal 11 6 5 2 2 2" xfId="11776"/>
    <cellStyle name="Normal 11 6 5 2 2 2 2" xfId="29056"/>
    <cellStyle name="Normal 11 6 5 2 2 3" xfId="17536"/>
    <cellStyle name="Normal 11 6 5 2 2 3 2" xfId="34816"/>
    <cellStyle name="Normal 11 6 5 2 2 4" xfId="23296"/>
    <cellStyle name="Normal 11 6 5 2 3" xfId="8896"/>
    <cellStyle name="Normal 11 6 5 2 3 2" xfId="26176"/>
    <cellStyle name="Normal 11 6 5 2 4" xfId="14656"/>
    <cellStyle name="Normal 11 6 5 2 4 2" xfId="31936"/>
    <cellStyle name="Normal 11 6 5 2 5" xfId="20416"/>
    <cellStyle name="Normal 11 6 5 3" xfId="4576"/>
    <cellStyle name="Normal 11 6 5 3 2" xfId="10336"/>
    <cellStyle name="Normal 11 6 5 3 2 2" xfId="27616"/>
    <cellStyle name="Normal 11 6 5 3 3" xfId="16096"/>
    <cellStyle name="Normal 11 6 5 3 3 2" xfId="33376"/>
    <cellStyle name="Normal 11 6 5 3 4" xfId="21856"/>
    <cellStyle name="Normal 11 6 5 4" xfId="7456"/>
    <cellStyle name="Normal 11 6 5 4 2" xfId="24736"/>
    <cellStyle name="Normal 11 6 5 5" xfId="13216"/>
    <cellStyle name="Normal 11 6 5 5 2" xfId="30496"/>
    <cellStyle name="Normal 11 6 5 6" xfId="18976"/>
    <cellStyle name="Normal 11 6 6" xfId="2416"/>
    <cellStyle name="Normal 11 6 6 2" xfId="5296"/>
    <cellStyle name="Normal 11 6 6 2 2" xfId="11056"/>
    <cellStyle name="Normal 11 6 6 2 2 2" xfId="28336"/>
    <cellStyle name="Normal 11 6 6 2 3" xfId="16816"/>
    <cellStyle name="Normal 11 6 6 2 3 2" xfId="34096"/>
    <cellStyle name="Normal 11 6 6 2 4" xfId="22576"/>
    <cellStyle name="Normal 11 6 6 3" xfId="8176"/>
    <cellStyle name="Normal 11 6 6 3 2" xfId="25456"/>
    <cellStyle name="Normal 11 6 6 4" xfId="13936"/>
    <cellStyle name="Normal 11 6 6 4 2" xfId="31216"/>
    <cellStyle name="Normal 11 6 6 5" xfId="19696"/>
    <cellStyle name="Normal 11 6 7" xfId="3856"/>
    <cellStyle name="Normal 11 6 7 2" xfId="9616"/>
    <cellStyle name="Normal 11 6 7 2 2" xfId="26896"/>
    <cellStyle name="Normal 11 6 7 3" xfId="15376"/>
    <cellStyle name="Normal 11 6 7 3 2" xfId="32656"/>
    <cellStyle name="Normal 11 6 7 4" xfId="21136"/>
    <cellStyle name="Normal 11 6 8" xfId="6736"/>
    <cellStyle name="Normal 11 6 8 2" xfId="24016"/>
    <cellStyle name="Normal 11 6 9" xfId="12496"/>
    <cellStyle name="Normal 11 6 9 2" xfId="29776"/>
    <cellStyle name="Normal 11 7" xfId="1056"/>
    <cellStyle name="Normal 11 7 2" xfId="1296"/>
    <cellStyle name="Normal 11 7 2 2" xfId="2016"/>
    <cellStyle name="Normal 11 7 2 2 2" xfId="3456"/>
    <cellStyle name="Normal 11 7 2 2 2 2" xfId="6336"/>
    <cellStyle name="Normal 11 7 2 2 2 2 2" xfId="12096"/>
    <cellStyle name="Normal 11 7 2 2 2 2 2 2" xfId="29376"/>
    <cellStyle name="Normal 11 7 2 2 2 2 3" xfId="17856"/>
    <cellStyle name="Normal 11 7 2 2 2 2 3 2" xfId="35136"/>
    <cellStyle name="Normal 11 7 2 2 2 2 4" xfId="23616"/>
    <cellStyle name="Normal 11 7 2 2 2 3" xfId="9216"/>
    <cellStyle name="Normal 11 7 2 2 2 3 2" xfId="26496"/>
    <cellStyle name="Normal 11 7 2 2 2 4" xfId="14976"/>
    <cellStyle name="Normal 11 7 2 2 2 4 2" xfId="32256"/>
    <cellStyle name="Normal 11 7 2 2 2 5" xfId="20736"/>
    <cellStyle name="Normal 11 7 2 2 3" xfId="4896"/>
    <cellStyle name="Normal 11 7 2 2 3 2" xfId="10656"/>
    <cellStyle name="Normal 11 7 2 2 3 2 2" xfId="27936"/>
    <cellStyle name="Normal 11 7 2 2 3 3" xfId="16416"/>
    <cellStyle name="Normal 11 7 2 2 3 3 2" xfId="33696"/>
    <cellStyle name="Normal 11 7 2 2 3 4" xfId="22176"/>
    <cellStyle name="Normal 11 7 2 2 4" xfId="7776"/>
    <cellStyle name="Normal 11 7 2 2 4 2" xfId="25056"/>
    <cellStyle name="Normal 11 7 2 2 5" xfId="13536"/>
    <cellStyle name="Normal 11 7 2 2 5 2" xfId="30816"/>
    <cellStyle name="Normal 11 7 2 2 6" xfId="19296"/>
    <cellStyle name="Normal 11 7 2 3" xfId="2736"/>
    <cellStyle name="Normal 11 7 2 3 2" xfId="5616"/>
    <cellStyle name="Normal 11 7 2 3 2 2" xfId="11376"/>
    <cellStyle name="Normal 11 7 2 3 2 2 2" xfId="28656"/>
    <cellStyle name="Normal 11 7 2 3 2 3" xfId="17136"/>
    <cellStyle name="Normal 11 7 2 3 2 3 2" xfId="34416"/>
    <cellStyle name="Normal 11 7 2 3 2 4" xfId="22896"/>
    <cellStyle name="Normal 11 7 2 3 3" xfId="8496"/>
    <cellStyle name="Normal 11 7 2 3 3 2" xfId="25776"/>
    <cellStyle name="Normal 11 7 2 3 4" xfId="14256"/>
    <cellStyle name="Normal 11 7 2 3 4 2" xfId="31536"/>
    <cellStyle name="Normal 11 7 2 3 5" xfId="20016"/>
    <cellStyle name="Normal 11 7 2 4" xfId="4176"/>
    <cellStyle name="Normal 11 7 2 4 2" xfId="9936"/>
    <cellStyle name="Normal 11 7 2 4 2 2" xfId="27216"/>
    <cellStyle name="Normal 11 7 2 4 3" xfId="15696"/>
    <cellStyle name="Normal 11 7 2 4 3 2" xfId="32976"/>
    <cellStyle name="Normal 11 7 2 4 4" xfId="21456"/>
    <cellStyle name="Normal 11 7 2 5" xfId="7056"/>
    <cellStyle name="Normal 11 7 2 5 2" xfId="24336"/>
    <cellStyle name="Normal 11 7 2 6" xfId="12816"/>
    <cellStyle name="Normal 11 7 2 6 2" xfId="30096"/>
    <cellStyle name="Normal 11 7 2 7" xfId="18576"/>
    <cellStyle name="Normal 11 7 3" xfId="1536"/>
    <cellStyle name="Normal 11 7 3 2" xfId="2256"/>
    <cellStyle name="Normal 11 7 3 2 2" xfId="3696"/>
    <cellStyle name="Normal 11 7 3 2 2 2" xfId="6576"/>
    <cellStyle name="Normal 11 7 3 2 2 2 2" xfId="12336"/>
    <cellStyle name="Normal 11 7 3 2 2 2 2 2" xfId="29616"/>
    <cellStyle name="Normal 11 7 3 2 2 2 3" xfId="18096"/>
    <cellStyle name="Normal 11 7 3 2 2 2 3 2" xfId="35376"/>
    <cellStyle name="Normal 11 7 3 2 2 2 4" xfId="23856"/>
    <cellStyle name="Normal 11 7 3 2 2 3" xfId="9456"/>
    <cellStyle name="Normal 11 7 3 2 2 3 2" xfId="26736"/>
    <cellStyle name="Normal 11 7 3 2 2 4" xfId="15216"/>
    <cellStyle name="Normal 11 7 3 2 2 4 2" xfId="32496"/>
    <cellStyle name="Normal 11 7 3 2 2 5" xfId="20976"/>
    <cellStyle name="Normal 11 7 3 2 3" xfId="5136"/>
    <cellStyle name="Normal 11 7 3 2 3 2" xfId="10896"/>
    <cellStyle name="Normal 11 7 3 2 3 2 2" xfId="28176"/>
    <cellStyle name="Normal 11 7 3 2 3 3" xfId="16656"/>
    <cellStyle name="Normal 11 7 3 2 3 3 2" xfId="33936"/>
    <cellStyle name="Normal 11 7 3 2 3 4" xfId="22416"/>
    <cellStyle name="Normal 11 7 3 2 4" xfId="8016"/>
    <cellStyle name="Normal 11 7 3 2 4 2" xfId="25296"/>
    <cellStyle name="Normal 11 7 3 2 5" xfId="13776"/>
    <cellStyle name="Normal 11 7 3 2 5 2" xfId="31056"/>
    <cellStyle name="Normal 11 7 3 2 6" xfId="19536"/>
    <cellStyle name="Normal 11 7 3 3" xfId="2976"/>
    <cellStyle name="Normal 11 7 3 3 2" xfId="5856"/>
    <cellStyle name="Normal 11 7 3 3 2 2" xfId="11616"/>
    <cellStyle name="Normal 11 7 3 3 2 2 2" xfId="28896"/>
    <cellStyle name="Normal 11 7 3 3 2 3" xfId="17376"/>
    <cellStyle name="Normal 11 7 3 3 2 3 2" xfId="34656"/>
    <cellStyle name="Normal 11 7 3 3 2 4" xfId="23136"/>
    <cellStyle name="Normal 11 7 3 3 3" xfId="8736"/>
    <cellStyle name="Normal 11 7 3 3 3 2" xfId="26016"/>
    <cellStyle name="Normal 11 7 3 3 4" xfId="14496"/>
    <cellStyle name="Normal 11 7 3 3 4 2" xfId="31776"/>
    <cellStyle name="Normal 11 7 3 3 5" xfId="20256"/>
    <cellStyle name="Normal 11 7 3 4" xfId="4416"/>
    <cellStyle name="Normal 11 7 3 4 2" xfId="10176"/>
    <cellStyle name="Normal 11 7 3 4 2 2" xfId="27456"/>
    <cellStyle name="Normal 11 7 3 4 3" xfId="15936"/>
    <cellStyle name="Normal 11 7 3 4 3 2" xfId="33216"/>
    <cellStyle name="Normal 11 7 3 4 4" xfId="21696"/>
    <cellStyle name="Normal 11 7 3 5" xfId="7296"/>
    <cellStyle name="Normal 11 7 3 5 2" xfId="24576"/>
    <cellStyle name="Normal 11 7 3 6" xfId="13056"/>
    <cellStyle name="Normal 11 7 3 6 2" xfId="30336"/>
    <cellStyle name="Normal 11 7 3 7" xfId="18816"/>
    <cellStyle name="Normal 11 7 4" xfId="1776"/>
    <cellStyle name="Normal 11 7 4 2" xfId="3216"/>
    <cellStyle name="Normal 11 7 4 2 2" xfId="6096"/>
    <cellStyle name="Normal 11 7 4 2 2 2" xfId="11856"/>
    <cellStyle name="Normal 11 7 4 2 2 2 2" xfId="29136"/>
    <cellStyle name="Normal 11 7 4 2 2 3" xfId="17616"/>
    <cellStyle name="Normal 11 7 4 2 2 3 2" xfId="34896"/>
    <cellStyle name="Normal 11 7 4 2 2 4" xfId="23376"/>
    <cellStyle name="Normal 11 7 4 2 3" xfId="8976"/>
    <cellStyle name="Normal 11 7 4 2 3 2" xfId="26256"/>
    <cellStyle name="Normal 11 7 4 2 4" xfId="14736"/>
    <cellStyle name="Normal 11 7 4 2 4 2" xfId="32016"/>
    <cellStyle name="Normal 11 7 4 2 5" xfId="20496"/>
    <cellStyle name="Normal 11 7 4 3" xfId="4656"/>
    <cellStyle name="Normal 11 7 4 3 2" xfId="10416"/>
    <cellStyle name="Normal 11 7 4 3 2 2" xfId="27696"/>
    <cellStyle name="Normal 11 7 4 3 3" xfId="16176"/>
    <cellStyle name="Normal 11 7 4 3 3 2" xfId="33456"/>
    <cellStyle name="Normal 11 7 4 3 4" xfId="21936"/>
    <cellStyle name="Normal 11 7 4 4" xfId="7536"/>
    <cellStyle name="Normal 11 7 4 4 2" xfId="24816"/>
    <cellStyle name="Normal 11 7 4 5" xfId="13296"/>
    <cellStyle name="Normal 11 7 4 5 2" xfId="30576"/>
    <cellStyle name="Normal 11 7 4 6" xfId="19056"/>
    <cellStyle name="Normal 11 7 5" xfId="2496"/>
    <cellStyle name="Normal 11 7 5 2" xfId="5376"/>
    <cellStyle name="Normal 11 7 5 2 2" xfId="11136"/>
    <cellStyle name="Normal 11 7 5 2 2 2" xfId="28416"/>
    <cellStyle name="Normal 11 7 5 2 3" xfId="16896"/>
    <cellStyle name="Normal 11 7 5 2 3 2" xfId="34176"/>
    <cellStyle name="Normal 11 7 5 2 4" xfId="22656"/>
    <cellStyle name="Normal 11 7 5 3" xfId="8256"/>
    <cellStyle name="Normal 11 7 5 3 2" xfId="25536"/>
    <cellStyle name="Normal 11 7 5 4" xfId="14016"/>
    <cellStyle name="Normal 11 7 5 4 2" xfId="31296"/>
    <cellStyle name="Normal 11 7 5 5" xfId="19776"/>
    <cellStyle name="Normal 11 7 6" xfId="3936"/>
    <cellStyle name="Normal 11 7 6 2" xfId="9696"/>
    <cellStyle name="Normal 11 7 6 2 2" xfId="26976"/>
    <cellStyle name="Normal 11 7 6 3" xfId="15456"/>
    <cellStyle name="Normal 11 7 6 3 2" xfId="32736"/>
    <cellStyle name="Normal 11 7 6 4" xfId="21216"/>
    <cellStyle name="Normal 11 7 7" xfId="6816"/>
    <cellStyle name="Normal 11 7 7 2" xfId="24096"/>
    <cellStyle name="Normal 11 7 8" xfId="12576"/>
    <cellStyle name="Normal 11 7 8 2" xfId="29856"/>
    <cellStyle name="Normal 11 7 9" xfId="18336"/>
    <cellStyle name="Normal 11 8" xfId="1176"/>
    <cellStyle name="Normal 11 8 2" xfId="1896"/>
    <cellStyle name="Normal 11 8 2 2" xfId="3336"/>
    <cellStyle name="Normal 11 8 2 2 2" xfId="6216"/>
    <cellStyle name="Normal 11 8 2 2 2 2" xfId="11976"/>
    <cellStyle name="Normal 11 8 2 2 2 2 2" xfId="29256"/>
    <cellStyle name="Normal 11 8 2 2 2 3" xfId="17736"/>
    <cellStyle name="Normal 11 8 2 2 2 3 2" xfId="35016"/>
    <cellStyle name="Normal 11 8 2 2 2 4" xfId="23496"/>
    <cellStyle name="Normal 11 8 2 2 3" xfId="9096"/>
    <cellStyle name="Normal 11 8 2 2 3 2" xfId="26376"/>
    <cellStyle name="Normal 11 8 2 2 4" xfId="14856"/>
    <cellStyle name="Normal 11 8 2 2 4 2" xfId="32136"/>
    <cellStyle name="Normal 11 8 2 2 5" xfId="20616"/>
    <cellStyle name="Normal 11 8 2 3" xfId="4776"/>
    <cellStyle name="Normal 11 8 2 3 2" xfId="10536"/>
    <cellStyle name="Normal 11 8 2 3 2 2" xfId="27816"/>
    <cellStyle name="Normal 11 8 2 3 3" xfId="16296"/>
    <cellStyle name="Normal 11 8 2 3 3 2" xfId="33576"/>
    <cellStyle name="Normal 11 8 2 3 4" xfId="22056"/>
    <cellStyle name="Normal 11 8 2 4" xfId="7656"/>
    <cellStyle name="Normal 11 8 2 4 2" xfId="24936"/>
    <cellStyle name="Normal 11 8 2 5" xfId="13416"/>
    <cellStyle name="Normal 11 8 2 5 2" xfId="30696"/>
    <cellStyle name="Normal 11 8 2 6" xfId="19176"/>
    <cellStyle name="Normal 11 8 3" xfId="2616"/>
    <cellStyle name="Normal 11 8 3 2" xfId="5496"/>
    <cellStyle name="Normal 11 8 3 2 2" xfId="11256"/>
    <cellStyle name="Normal 11 8 3 2 2 2" xfId="28536"/>
    <cellStyle name="Normal 11 8 3 2 3" xfId="17016"/>
    <cellStyle name="Normal 11 8 3 2 3 2" xfId="34296"/>
    <cellStyle name="Normal 11 8 3 2 4" xfId="22776"/>
    <cellStyle name="Normal 11 8 3 3" xfId="8376"/>
    <cellStyle name="Normal 11 8 3 3 2" xfId="25656"/>
    <cellStyle name="Normal 11 8 3 4" xfId="14136"/>
    <cellStyle name="Normal 11 8 3 4 2" xfId="31416"/>
    <cellStyle name="Normal 11 8 3 5" xfId="19896"/>
    <cellStyle name="Normal 11 8 4" xfId="4056"/>
    <cellStyle name="Normal 11 8 4 2" xfId="9816"/>
    <cellStyle name="Normal 11 8 4 2 2" xfId="27096"/>
    <cellStyle name="Normal 11 8 4 3" xfId="15576"/>
    <cellStyle name="Normal 11 8 4 3 2" xfId="32856"/>
    <cellStyle name="Normal 11 8 4 4" xfId="21336"/>
    <cellStyle name="Normal 11 8 5" xfId="6936"/>
    <cellStyle name="Normal 11 8 5 2" xfId="24216"/>
    <cellStyle name="Normal 11 8 6" xfId="12696"/>
    <cellStyle name="Normal 11 8 6 2" xfId="29976"/>
    <cellStyle name="Normal 11 8 7" xfId="18456"/>
    <cellStyle name="Normal 11 9" xfId="1416"/>
    <cellStyle name="Normal 11 9 2" xfId="2136"/>
    <cellStyle name="Normal 11 9 2 2" xfId="3576"/>
    <cellStyle name="Normal 11 9 2 2 2" xfId="6456"/>
    <cellStyle name="Normal 11 9 2 2 2 2" xfId="12216"/>
    <cellStyle name="Normal 11 9 2 2 2 2 2" xfId="29496"/>
    <cellStyle name="Normal 11 9 2 2 2 3" xfId="17976"/>
    <cellStyle name="Normal 11 9 2 2 2 3 2" xfId="35256"/>
    <cellStyle name="Normal 11 9 2 2 2 4" xfId="23736"/>
    <cellStyle name="Normal 11 9 2 2 3" xfId="9336"/>
    <cellStyle name="Normal 11 9 2 2 3 2" xfId="26616"/>
    <cellStyle name="Normal 11 9 2 2 4" xfId="15096"/>
    <cellStyle name="Normal 11 9 2 2 4 2" xfId="32376"/>
    <cellStyle name="Normal 11 9 2 2 5" xfId="20856"/>
    <cellStyle name="Normal 11 9 2 3" xfId="5016"/>
    <cellStyle name="Normal 11 9 2 3 2" xfId="10776"/>
    <cellStyle name="Normal 11 9 2 3 2 2" xfId="28056"/>
    <cellStyle name="Normal 11 9 2 3 3" xfId="16536"/>
    <cellStyle name="Normal 11 9 2 3 3 2" xfId="33816"/>
    <cellStyle name="Normal 11 9 2 3 4" xfId="22296"/>
    <cellStyle name="Normal 11 9 2 4" xfId="7896"/>
    <cellStyle name="Normal 11 9 2 4 2" xfId="25176"/>
    <cellStyle name="Normal 11 9 2 5" xfId="13656"/>
    <cellStyle name="Normal 11 9 2 5 2" xfId="30936"/>
    <cellStyle name="Normal 11 9 2 6" xfId="19416"/>
    <cellStyle name="Normal 11 9 3" xfId="2856"/>
    <cellStyle name="Normal 11 9 3 2" xfId="5736"/>
    <cellStyle name="Normal 11 9 3 2 2" xfId="11496"/>
    <cellStyle name="Normal 11 9 3 2 2 2" xfId="28776"/>
    <cellStyle name="Normal 11 9 3 2 3" xfId="17256"/>
    <cellStyle name="Normal 11 9 3 2 3 2" xfId="34536"/>
    <cellStyle name="Normal 11 9 3 2 4" xfId="23016"/>
    <cellStyle name="Normal 11 9 3 3" xfId="8616"/>
    <cellStyle name="Normal 11 9 3 3 2" xfId="25896"/>
    <cellStyle name="Normal 11 9 3 4" xfId="14376"/>
    <cellStyle name="Normal 11 9 3 4 2" xfId="31656"/>
    <cellStyle name="Normal 11 9 3 5" xfId="20136"/>
    <cellStyle name="Normal 11 9 4" xfId="4296"/>
    <cellStyle name="Normal 11 9 4 2" xfId="10056"/>
    <cellStyle name="Normal 11 9 4 2 2" xfId="27336"/>
    <cellStyle name="Normal 11 9 4 3" xfId="15816"/>
    <cellStyle name="Normal 11 9 4 3 2" xfId="33096"/>
    <cellStyle name="Normal 11 9 4 4" xfId="21576"/>
    <cellStyle name="Normal 11 9 5" xfId="7176"/>
    <cellStyle name="Normal 11 9 5 2" xfId="24456"/>
    <cellStyle name="Normal 11 9 6" xfId="12936"/>
    <cellStyle name="Normal 11 9 6 2" xfId="30216"/>
    <cellStyle name="Normal 11 9 7" xfId="18696"/>
    <cellStyle name="Normal 12" xfId="50"/>
    <cellStyle name="Normal 12 10" xfId="1657"/>
    <cellStyle name="Normal 12 10 2" xfId="3097"/>
    <cellStyle name="Normal 12 10 2 2" xfId="5977"/>
    <cellStyle name="Normal 12 10 2 2 2" xfId="11737"/>
    <cellStyle name="Normal 12 10 2 2 2 2" xfId="29017"/>
    <cellStyle name="Normal 12 10 2 2 3" xfId="17497"/>
    <cellStyle name="Normal 12 10 2 2 3 2" xfId="34777"/>
    <cellStyle name="Normal 12 10 2 2 4" xfId="23257"/>
    <cellStyle name="Normal 12 10 2 3" xfId="8857"/>
    <cellStyle name="Normal 12 10 2 3 2" xfId="26137"/>
    <cellStyle name="Normal 12 10 2 4" xfId="14617"/>
    <cellStyle name="Normal 12 10 2 4 2" xfId="31897"/>
    <cellStyle name="Normal 12 10 2 5" xfId="20377"/>
    <cellStyle name="Normal 12 10 3" xfId="4537"/>
    <cellStyle name="Normal 12 10 3 2" xfId="10297"/>
    <cellStyle name="Normal 12 10 3 2 2" xfId="27577"/>
    <cellStyle name="Normal 12 10 3 3" xfId="16057"/>
    <cellStyle name="Normal 12 10 3 3 2" xfId="33337"/>
    <cellStyle name="Normal 12 10 3 4" xfId="21817"/>
    <cellStyle name="Normal 12 10 4" xfId="7417"/>
    <cellStyle name="Normal 12 10 4 2" xfId="24697"/>
    <cellStyle name="Normal 12 10 5" xfId="13177"/>
    <cellStyle name="Normal 12 10 5 2" xfId="30457"/>
    <cellStyle name="Normal 12 10 6" xfId="18937"/>
    <cellStyle name="Normal 12 11" xfId="2377"/>
    <cellStyle name="Normal 12 11 2" xfId="5257"/>
    <cellStyle name="Normal 12 11 2 2" xfId="11017"/>
    <cellStyle name="Normal 12 11 2 2 2" xfId="28297"/>
    <cellStyle name="Normal 12 11 2 3" xfId="16777"/>
    <cellStyle name="Normal 12 11 2 3 2" xfId="34057"/>
    <cellStyle name="Normal 12 11 2 4" xfId="22537"/>
    <cellStyle name="Normal 12 11 3" xfId="8137"/>
    <cellStyle name="Normal 12 11 3 2" xfId="25417"/>
    <cellStyle name="Normal 12 11 4" xfId="13897"/>
    <cellStyle name="Normal 12 11 4 2" xfId="31177"/>
    <cellStyle name="Normal 12 11 5" xfId="19657"/>
    <cellStyle name="Normal 12 12" xfId="3817"/>
    <cellStyle name="Normal 12 12 2" xfId="9577"/>
    <cellStyle name="Normal 12 12 2 2" xfId="26857"/>
    <cellStyle name="Normal 12 12 3" xfId="15337"/>
    <cellStyle name="Normal 12 12 3 2" xfId="32617"/>
    <cellStyle name="Normal 12 12 4" xfId="21097"/>
    <cellStyle name="Normal 12 13" xfId="6697"/>
    <cellStyle name="Normal 12 13 2" xfId="23977"/>
    <cellStyle name="Normal 12 14" xfId="12457"/>
    <cellStyle name="Normal 12 14 2" xfId="29737"/>
    <cellStyle name="Normal 12 15" xfId="18217"/>
    <cellStyle name="Normal 12 16" xfId="385"/>
    <cellStyle name="Normal 12 2" xfId="66"/>
    <cellStyle name="Normal 12 2 10" xfId="2382"/>
    <cellStyle name="Normal 12 2 10 2" xfId="5262"/>
    <cellStyle name="Normal 12 2 10 2 2" xfId="11022"/>
    <cellStyle name="Normal 12 2 10 2 2 2" xfId="28302"/>
    <cellStyle name="Normal 12 2 10 2 3" xfId="16782"/>
    <cellStyle name="Normal 12 2 10 2 3 2" xfId="34062"/>
    <cellStyle name="Normal 12 2 10 2 4" xfId="22542"/>
    <cellStyle name="Normal 12 2 10 3" xfId="8142"/>
    <cellStyle name="Normal 12 2 10 3 2" xfId="25422"/>
    <cellStyle name="Normal 12 2 10 4" xfId="13902"/>
    <cellStyle name="Normal 12 2 10 4 2" xfId="31182"/>
    <cellStyle name="Normal 12 2 10 5" xfId="19662"/>
    <cellStyle name="Normal 12 2 11" xfId="3822"/>
    <cellStyle name="Normal 12 2 11 2" xfId="9582"/>
    <cellStyle name="Normal 12 2 11 2 2" xfId="26862"/>
    <cellStyle name="Normal 12 2 11 3" xfId="15342"/>
    <cellStyle name="Normal 12 2 11 3 2" xfId="32622"/>
    <cellStyle name="Normal 12 2 11 4" xfId="21102"/>
    <cellStyle name="Normal 12 2 12" xfId="6702"/>
    <cellStyle name="Normal 12 2 12 2" xfId="23982"/>
    <cellStyle name="Normal 12 2 13" xfId="12462"/>
    <cellStyle name="Normal 12 2 13 2" xfId="29742"/>
    <cellStyle name="Normal 12 2 14" xfId="18222"/>
    <cellStyle name="Normal 12 2 15" xfId="390"/>
    <cellStyle name="Normal 12 2 2" xfId="401"/>
    <cellStyle name="Normal 12 2 2 10" xfId="3832"/>
    <cellStyle name="Normal 12 2 2 10 2" xfId="9592"/>
    <cellStyle name="Normal 12 2 2 10 2 2" xfId="26872"/>
    <cellStyle name="Normal 12 2 2 10 3" xfId="15352"/>
    <cellStyle name="Normal 12 2 2 10 3 2" xfId="32632"/>
    <cellStyle name="Normal 12 2 2 10 4" xfId="21112"/>
    <cellStyle name="Normal 12 2 2 11" xfId="6712"/>
    <cellStyle name="Normal 12 2 2 11 2" xfId="23992"/>
    <cellStyle name="Normal 12 2 2 12" xfId="12472"/>
    <cellStyle name="Normal 12 2 2 12 2" xfId="29752"/>
    <cellStyle name="Normal 12 2 2 13" xfId="18232"/>
    <cellStyle name="Normal 12 2 2 2" xfId="421"/>
    <cellStyle name="Normal 12 2 2 2 10" xfId="6732"/>
    <cellStyle name="Normal 12 2 2 2 10 2" xfId="24012"/>
    <cellStyle name="Normal 12 2 2 2 11" xfId="12492"/>
    <cellStyle name="Normal 12 2 2 2 11 2" xfId="29772"/>
    <cellStyle name="Normal 12 2 2 2 12" xfId="18252"/>
    <cellStyle name="Normal 12 2 2 2 2" xfId="1052"/>
    <cellStyle name="Normal 12 2 2 2 2 10" xfId="18332"/>
    <cellStyle name="Normal 12 2 2 2 2 2" xfId="1172"/>
    <cellStyle name="Normal 12 2 2 2 2 2 2" xfId="1412"/>
    <cellStyle name="Normal 12 2 2 2 2 2 2 2" xfId="2132"/>
    <cellStyle name="Normal 12 2 2 2 2 2 2 2 2" xfId="3572"/>
    <cellStyle name="Normal 12 2 2 2 2 2 2 2 2 2" xfId="6452"/>
    <cellStyle name="Normal 12 2 2 2 2 2 2 2 2 2 2" xfId="12212"/>
    <cellStyle name="Normal 12 2 2 2 2 2 2 2 2 2 2 2" xfId="29492"/>
    <cellStyle name="Normal 12 2 2 2 2 2 2 2 2 2 3" xfId="17972"/>
    <cellStyle name="Normal 12 2 2 2 2 2 2 2 2 2 3 2" xfId="35252"/>
    <cellStyle name="Normal 12 2 2 2 2 2 2 2 2 2 4" xfId="23732"/>
    <cellStyle name="Normal 12 2 2 2 2 2 2 2 2 3" xfId="9332"/>
    <cellStyle name="Normal 12 2 2 2 2 2 2 2 2 3 2" xfId="26612"/>
    <cellStyle name="Normal 12 2 2 2 2 2 2 2 2 4" xfId="15092"/>
    <cellStyle name="Normal 12 2 2 2 2 2 2 2 2 4 2" xfId="32372"/>
    <cellStyle name="Normal 12 2 2 2 2 2 2 2 2 5" xfId="20852"/>
    <cellStyle name="Normal 12 2 2 2 2 2 2 2 3" xfId="5012"/>
    <cellStyle name="Normal 12 2 2 2 2 2 2 2 3 2" xfId="10772"/>
    <cellStyle name="Normal 12 2 2 2 2 2 2 2 3 2 2" xfId="28052"/>
    <cellStyle name="Normal 12 2 2 2 2 2 2 2 3 3" xfId="16532"/>
    <cellStyle name="Normal 12 2 2 2 2 2 2 2 3 3 2" xfId="33812"/>
    <cellStyle name="Normal 12 2 2 2 2 2 2 2 3 4" xfId="22292"/>
    <cellStyle name="Normal 12 2 2 2 2 2 2 2 4" xfId="7892"/>
    <cellStyle name="Normal 12 2 2 2 2 2 2 2 4 2" xfId="25172"/>
    <cellStyle name="Normal 12 2 2 2 2 2 2 2 5" xfId="13652"/>
    <cellStyle name="Normal 12 2 2 2 2 2 2 2 5 2" xfId="30932"/>
    <cellStyle name="Normal 12 2 2 2 2 2 2 2 6" xfId="19412"/>
    <cellStyle name="Normal 12 2 2 2 2 2 2 3" xfId="2852"/>
    <cellStyle name="Normal 12 2 2 2 2 2 2 3 2" xfId="5732"/>
    <cellStyle name="Normal 12 2 2 2 2 2 2 3 2 2" xfId="11492"/>
    <cellStyle name="Normal 12 2 2 2 2 2 2 3 2 2 2" xfId="28772"/>
    <cellStyle name="Normal 12 2 2 2 2 2 2 3 2 3" xfId="17252"/>
    <cellStyle name="Normal 12 2 2 2 2 2 2 3 2 3 2" xfId="34532"/>
    <cellStyle name="Normal 12 2 2 2 2 2 2 3 2 4" xfId="23012"/>
    <cellStyle name="Normal 12 2 2 2 2 2 2 3 3" xfId="8612"/>
    <cellStyle name="Normal 12 2 2 2 2 2 2 3 3 2" xfId="25892"/>
    <cellStyle name="Normal 12 2 2 2 2 2 2 3 4" xfId="14372"/>
    <cellStyle name="Normal 12 2 2 2 2 2 2 3 4 2" xfId="31652"/>
    <cellStyle name="Normal 12 2 2 2 2 2 2 3 5" xfId="20132"/>
    <cellStyle name="Normal 12 2 2 2 2 2 2 4" xfId="4292"/>
    <cellStyle name="Normal 12 2 2 2 2 2 2 4 2" xfId="10052"/>
    <cellStyle name="Normal 12 2 2 2 2 2 2 4 2 2" xfId="27332"/>
    <cellStyle name="Normal 12 2 2 2 2 2 2 4 3" xfId="15812"/>
    <cellStyle name="Normal 12 2 2 2 2 2 2 4 3 2" xfId="33092"/>
    <cellStyle name="Normal 12 2 2 2 2 2 2 4 4" xfId="21572"/>
    <cellStyle name="Normal 12 2 2 2 2 2 2 5" xfId="7172"/>
    <cellStyle name="Normal 12 2 2 2 2 2 2 5 2" xfId="24452"/>
    <cellStyle name="Normal 12 2 2 2 2 2 2 6" xfId="12932"/>
    <cellStyle name="Normal 12 2 2 2 2 2 2 6 2" xfId="30212"/>
    <cellStyle name="Normal 12 2 2 2 2 2 2 7" xfId="18692"/>
    <cellStyle name="Normal 12 2 2 2 2 2 3" xfId="1652"/>
    <cellStyle name="Normal 12 2 2 2 2 2 3 2" xfId="2372"/>
    <cellStyle name="Normal 12 2 2 2 2 2 3 2 2" xfId="3812"/>
    <cellStyle name="Normal 12 2 2 2 2 2 3 2 2 2" xfId="6692"/>
    <cellStyle name="Normal 12 2 2 2 2 2 3 2 2 2 2" xfId="12452"/>
    <cellStyle name="Normal 12 2 2 2 2 2 3 2 2 2 2 2" xfId="29732"/>
    <cellStyle name="Normal 12 2 2 2 2 2 3 2 2 2 3" xfId="18212"/>
    <cellStyle name="Normal 12 2 2 2 2 2 3 2 2 2 3 2" xfId="35492"/>
    <cellStyle name="Normal 12 2 2 2 2 2 3 2 2 2 4" xfId="23972"/>
    <cellStyle name="Normal 12 2 2 2 2 2 3 2 2 3" xfId="9572"/>
    <cellStyle name="Normal 12 2 2 2 2 2 3 2 2 3 2" xfId="26852"/>
    <cellStyle name="Normal 12 2 2 2 2 2 3 2 2 4" xfId="15332"/>
    <cellStyle name="Normal 12 2 2 2 2 2 3 2 2 4 2" xfId="32612"/>
    <cellStyle name="Normal 12 2 2 2 2 2 3 2 2 5" xfId="21092"/>
    <cellStyle name="Normal 12 2 2 2 2 2 3 2 3" xfId="5252"/>
    <cellStyle name="Normal 12 2 2 2 2 2 3 2 3 2" xfId="11012"/>
    <cellStyle name="Normal 12 2 2 2 2 2 3 2 3 2 2" xfId="28292"/>
    <cellStyle name="Normal 12 2 2 2 2 2 3 2 3 3" xfId="16772"/>
    <cellStyle name="Normal 12 2 2 2 2 2 3 2 3 3 2" xfId="34052"/>
    <cellStyle name="Normal 12 2 2 2 2 2 3 2 3 4" xfId="22532"/>
    <cellStyle name="Normal 12 2 2 2 2 2 3 2 4" xfId="8132"/>
    <cellStyle name="Normal 12 2 2 2 2 2 3 2 4 2" xfId="25412"/>
    <cellStyle name="Normal 12 2 2 2 2 2 3 2 5" xfId="13892"/>
    <cellStyle name="Normal 12 2 2 2 2 2 3 2 5 2" xfId="31172"/>
    <cellStyle name="Normal 12 2 2 2 2 2 3 2 6" xfId="19652"/>
    <cellStyle name="Normal 12 2 2 2 2 2 3 3" xfId="3092"/>
    <cellStyle name="Normal 12 2 2 2 2 2 3 3 2" xfId="5972"/>
    <cellStyle name="Normal 12 2 2 2 2 2 3 3 2 2" xfId="11732"/>
    <cellStyle name="Normal 12 2 2 2 2 2 3 3 2 2 2" xfId="29012"/>
    <cellStyle name="Normal 12 2 2 2 2 2 3 3 2 3" xfId="17492"/>
    <cellStyle name="Normal 12 2 2 2 2 2 3 3 2 3 2" xfId="34772"/>
    <cellStyle name="Normal 12 2 2 2 2 2 3 3 2 4" xfId="23252"/>
    <cellStyle name="Normal 12 2 2 2 2 2 3 3 3" xfId="8852"/>
    <cellStyle name="Normal 12 2 2 2 2 2 3 3 3 2" xfId="26132"/>
    <cellStyle name="Normal 12 2 2 2 2 2 3 3 4" xfId="14612"/>
    <cellStyle name="Normal 12 2 2 2 2 2 3 3 4 2" xfId="31892"/>
    <cellStyle name="Normal 12 2 2 2 2 2 3 3 5" xfId="20372"/>
    <cellStyle name="Normal 12 2 2 2 2 2 3 4" xfId="4532"/>
    <cellStyle name="Normal 12 2 2 2 2 2 3 4 2" xfId="10292"/>
    <cellStyle name="Normal 12 2 2 2 2 2 3 4 2 2" xfId="27572"/>
    <cellStyle name="Normal 12 2 2 2 2 2 3 4 3" xfId="16052"/>
    <cellStyle name="Normal 12 2 2 2 2 2 3 4 3 2" xfId="33332"/>
    <cellStyle name="Normal 12 2 2 2 2 2 3 4 4" xfId="21812"/>
    <cellStyle name="Normal 12 2 2 2 2 2 3 5" xfId="7412"/>
    <cellStyle name="Normal 12 2 2 2 2 2 3 5 2" xfId="24692"/>
    <cellStyle name="Normal 12 2 2 2 2 2 3 6" xfId="13172"/>
    <cellStyle name="Normal 12 2 2 2 2 2 3 6 2" xfId="30452"/>
    <cellStyle name="Normal 12 2 2 2 2 2 3 7" xfId="18932"/>
    <cellStyle name="Normal 12 2 2 2 2 2 4" xfId="1892"/>
    <cellStyle name="Normal 12 2 2 2 2 2 4 2" xfId="3332"/>
    <cellStyle name="Normal 12 2 2 2 2 2 4 2 2" xfId="6212"/>
    <cellStyle name="Normal 12 2 2 2 2 2 4 2 2 2" xfId="11972"/>
    <cellStyle name="Normal 12 2 2 2 2 2 4 2 2 2 2" xfId="29252"/>
    <cellStyle name="Normal 12 2 2 2 2 2 4 2 2 3" xfId="17732"/>
    <cellStyle name="Normal 12 2 2 2 2 2 4 2 2 3 2" xfId="35012"/>
    <cellStyle name="Normal 12 2 2 2 2 2 4 2 2 4" xfId="23492"/>
    <cellStyle name="Normal 12 2 2 2 2 2 4 2 3" xfId="9092"/>
    <cellStyle name="Normal 12 2 2 2 2 2 4 2 3 2" xfId="26372"/>
    <cellStyle name="Normal 12 2 2 2 2 2 4 2 4" xfId="14852"/>
    <cellStyle name="Normal 12 2 2 2 2 2 4 2 4 2" xfId="32132"/>
    <cellStyle name="Normal 12 2 2 2 2 2 4 2 5" xfId="20612"/>
    <cellStyle name="Normal 12 2 2 2 2 2 4 3" xfId="4772"/>
    <cellStyle name="Normal 12 2 2 2 2 2 4 3 2" xfId="10532"/>
    <cellStyle name="Normal 12 2 2 2 2 2 4 3 2 2" xfId="27812"/>
    <cellStyle name="Normal 12 2 2 2 2 2 4 3 3" xfId="16292"/>
    <cellStyle name="Normal 12 2 2 2 2 2 4 3 3 2" xfId="33572"/>
    <cellStyle name="Normal 12 2 2 2 2 2 4 3 4" xfId="22052"/>
    <cellStyle name="Normal 12 2 2 2 2 2 4 4" xfId="7652"/>
    <cellStyle name="Normal 12 2 2 2 2 2 4 4 2" xfId="24932"/>
    <cellStyle name="Normal 12 2 2 2 2 2 4 5" xfId="13412"/>
    <cellStyle name="Normal 12 2 2 2 2 2 4 5 2" xfId="30692"/>
    <cellStyle name="Normal 12 2 2 2 2 2 4 6" xfId="19172"/>
    <cellStyle name="Normal 12 2 2 2 2 2 5" xfId="2612"/>
    <cellStyle name="Normal 12 2 2 2 2 2 5 2" xfId="5492"/>
    <cellStyle name="Normal 12 2 2 2 2 2 5 2 2" xfId="11252"/>
    <cellStyle name="Normal 12 2 2 2 2 2 5 2 2 2" xfId="28532"/>
    <cellStyle name="Normal 12 2 2 2 2 2 5 2 3" xfId="17012"/>
    <cellStyle name="Normal 12 2 2 2 2 2 5 2 3 2" xfId="34292"/>
    <cellStyle name="Normal 12 2 2 2 2 2 5 2 4" xfId="22772"/>
    <cellStyle name="Normal 12 2 2 2 2 2 5 3" xfId="8372"/>
    <cellStyle name="Normal 12 2 2 2 2 2 5 3 2" xfId="25652"/>
    <cellStyle name="Normal 12 2 2 2 2 2 5 4" xfId="14132"/>
    <cellStyle name="Normal 12 2 2 2 2 2 5 4 2" xfId="31412"/>
    <cellStyle name="Normal 12 2 2 2 2 2 5 5" xfId="19892"/>
    <cellStyle name="Normal 12 2 2 2 2 2 6" xfId="4052"/>
    <cellStyle name="Normal 12 2 2 2 2 2 6 2" xfId="9812"/>
    <cellStyle name="Normal 12 2 2 2 2 2 6 2 2" xfId="27092"/>
    <cellStyle name="Normal 12 2 2 2 2 2 6 3" xfId="15572"/>
    <cellStyle name="Normal 12 2 2 2 2 2 6 3 2" xfId="32852"/>
    <cellStyle name="Normal 12 2 2 2 2 2 6 4" xfId="21332"/>
    <cellStyle name="Normal 12 2 2 2 2 2 7" xfId="6932"/>
    <cellStyle name="Normal 12 2 2 2 2 2 7 2" xfId="24212"/>
    <cellStyle name="Normal 12 2 2 2 2 2 8" xfId="12692"/>
    <cellStyle name="Normal 12 2 2 2 2 2 8 2" xfId="29972"/>
    <cellStyle name="Normal 12 2 2 2 2 2 9" xfId="18452"/>
    <cellStyle name="Normal 12 2 2 2 2 3" xfId="1292"/>
    <cellStyle name="Normal 12 2 2 2 2 3 2" xfId="2012"/>
    <cellStyle name="Normal 12 2 2 2 2 3 2 2" xfId="3452"/>
    <cellStyle name="Normal 12 2 2 2 2 3 2 2 2" xfId="6332"/>
    <cellStyle name="Normal 12 2 2 2 2 3 2 2 2 2" xfId="12092"/>
    <cellStyle name="Normal 12 2 2 2 2 3 2 2 2 2 2" xfId="29372"/>
    <cellStyle name="Normal 12 2 2 2 2 3 2 2 2 3" xfId="17852"/>
    <cellStyle name="Normal 12 2 2 2 2 3 2 2 2 3 2" xfId="35132"/>
    <cellStyle name="Normal 12 2 2 2 2 3 2 2 2 4" xfId="23612"/>
    <cellStyle name="Normal 12 2 2 2 2 3 2 2 3" xfId="9212"/>
    <cellStyle name="Normal 12 2 2 2 2 3 2 2 3 2" xfId="26492"/>
    <cellStyle name="Normal 12 2 2 2 2 3 2 2 4" xfId="14972"/>
    <cellStyle name="Normal 12 2 2 2 2 3 2 2 4 2" xfId="32252"/>
    <cellStyle name="Normal 12 2 2 2 2 3 2 2 5" xfId="20732"/>
    <cellStyle name="Normal 12 2 2 2 2 3 2 3" xfId="4892"/>
    <cellStyle name="Normal 12 2 2 2 2 3 2 3 2" xfId="10652"/>
    <cellStyle name="Normal 12 2 2 2 2 3 2 3 2 2" xfId="27932"/>
    <cellStyle name="Normal 12 2 2 2 2 3 2 3 3" xfId="16412"/>
    <cellStyle name="Normal 12 2 2 2 2 3 2 3 3 2" xfId="33692"/>
    <cellStyle name="Normal 12 2 2 2 2 3 2 3 4" xfId="22172"/>
    <cellStyle name="Normal 12 2 2 2 2 3 2 4" xfId="7772"/>
    <cellStyle name="Normal 12 2 2 2 2 3 2 4 2" xfId="25052"/>
    <cellStyle name="Normal 12 2 2 2 2 3 2 5" xfId="13532"/>
    <cellStyle name="Normal 12 2 2 2 2 3 2 5 2" xfId="30812"/>
    <cellStyle name="Normal 12 2 2 2 2 3 2 6" xfId="19292"/>
    <cellStyle name="Normal 12 2 2 2 2 3 3" xfId="2732"/>
    <cellStyle name="Normal 12 2 2 2 2 3 3 2" xfId="5612"/>
    <cellStyle name="Normal 12 2 2 2 2 3 3 2 2" xfId="11372"/>
    <cellStyle name="Normal 12 2 2 2 2 3 3 2 2 2" xfId="28652"/>
    <cellStyle name="Normal 12 2 2 2 2 3 3 2 3" xfId="17132"/>
    <cellStyle name="Normal 12 2 2 2 2 3 3 2 3 2" xfId="34412"/>
    <cellStyle name="Normal 12 2 2 2 2 3 3 2 4" xfId="22892"/>
    <cellStyle name="Normal 12 2 2 2 2 3 3 3" xfId="8492"/>
    <cellStyle name="Normal 12 2 2 2 2 3 3 3 2" xfId="25772"/>
    <cellStyle name="Normal 12 2 2 2 2 3 3 4" xfId="14252"/>
    <cellStyle name="Normal 12 2 2 2 2 3 3 4 2" xfId="31532"/>
    <cellStyle name="Normal 12 2 2 2 2 3 3 5" xfId="20012"/>
    <cellStyle name="Normal 12 2 2 2 2 3 4" xfId="4172"/>
    <cellStyle name="Normal 12 2 2 2 2 3 4 2" xfId="9932"/>
    <cellStyle name="Normal 12 2 2 2 2 3 4 2 2" xfId="27212"/>
    <cellStyle name="Normal 12 2 2 2 2 3 4 3" xfId="15692"/>
    <cellStyle name="Normal 12 2 2 2 2 3 4 3 2" xfId="32972"/>
    <cellStyle name="Normal 12 2 2 2 2 3 4 4" xfId="21452"/>
    <cellStyle name="Normal 12 2 2 2 2 3 5" xfId="7052"/>
    <cellStyle name="Normal 12 2 2 2 2 3 5 2" xfId="24332"/>
    <cellStyle name="Normal 12 2 2 2 2 3 6" xfId="12812"/>
    <cellStyle name="Normal 12 2 2 2 2 3 6 2" xfId="30092"/>
    <cellStyle name="Normal 12 2 2 2 2 3 7" xfId="18572"/>
    <cellStyle name="Normal 12 2 2 2 2 4" xfId="1532"/>
    <cellStyle name="Normal 12 2 2 2 2 4 2" xfId="2252"/>
    <cellStyle name="Normal 12 2 2 2 2 4 2 2" xfId="3692"/>
    <cellStyle name="Normal 12 2 2 2 2 4 2 2 2" xfId="6572"/>
    <cellStyle name="Normal 12 2 2 2 2 4 2 2 2 2" xfId="12332"/>
    <cellStyle name="Normal 12 2 2 2 2 4 2 2 2 2 2" xfId="29612"/>
    <cellStyle name="Normal 12 2 2 2 2 4 2 2 2 3" xfId="18092"/>
    <cellStyle name="Normal 12 2 2 2 2 4 2 2 2 3 2" xfId="35372"/>
    <cellStyle name="Normal 12 2 2 2 2 4 2 2 2 4" xfId="23852"/>
    <cellStyle name="Normal 12 2 2 2 2 4 2 2 3" xfId="9452"/>
    <cellStyle name="Normal 12 2 2 2 2 4 2 2 3 2" xfId="26732"/>
    <cellStyle name="Normal 12 2 2 2 2 4 2 2 4" xfId="15212"/>
    <cellStyle name="Normal 12 2 2 2 2 4 2 2 4 2" xfId="32492"/>
    <cellStyle name="Normal 12 2 2 2 2 4 2 2 5" xfId="20972"/>
    <cellStyle name="Normal 12 2 2 2 2 4 2 3" xfId="5132"/>
    <cellStyle name="Normal 12 2 2 2 2 4 2 3 2" xfId="10892"/>
    <cellStyle name="Normal 12 2 2 2 2 4 2 3 2 2" xfId="28172"/>
    <cellStyle name="Normal 12 2 2 2 2 4 2 3 3" xfId="16652"/>
    <cellStyle name="Normal 12 2 2 2 2 4 2 3 3 2" xfId="33932"/>
    <cellStyle name="Normal 12 2 2 2 2 4 2 3 4" xfId="22412"/>
    <cellStyle name="Normal 12 2 2 2 2 4 2 4" xfId="8012"/>
    <cellStyle name="Normal 12 2 2 2 2 4 2 4 2" xfId="25292"/>
    <cellStyle name="Normal 12 2 2 2 2 4 2 5" xfId="13772"/>
    <cellStyle name="Normal 12 2 2 2 2 4 2 5 2" xfId="31052"/>
    <cellStyle name="Normal 12 2 2 2 2 4 2 6" xfId="19532"/>
    <cellStyle name="Normal 12 2 2 2 2 4 3" xfId="2972"/>
    <cellStyle name="Normal 12 2 2 2 2 4 3 2" xfId="5852"/>
    <cellStyle name="Normal 12 2 2 2 2 4 3 2 2" xfId="11612"/>
    <cellStyle name="Normal 12 2 2 2 2 4 3 2 2 2" xfId="28892"/>
    <cellStyle name="Normal 12 2 2 2 2 4 3 2 3" xfId="17372"/>
    <cellStyle name="Normal 12 2 2 2 2 4 3 2 3 2" xfId="34652"/>
    <cellStyle name="Normal 12 2 2 2 2 4 3 2 4" xfId="23132"/>
    <cellStyle name="Normal 12 2 2 2 2 4 3 3" xfId="8732"/>
    <cellStyle name="Normal 12 2 2 2 2 4 3 3 2" xfId="26012"/>
    <cellStyle name="Normal 12 2 2 2 2 4 3 4" xfId="14492"/>
    <cellStyle name="Normal 12 2 2 2 2 4 3 4 2" xfId="31772"/>
    <cellStyle name="Normal 12 2 2 2 2 4 3 5" xfId="20252"/>
    <cellStyle name="Normal 12 2 2 2 2 4 4" xfId="4412"/>
    <cellStyle name="Normal 12 2 2 2 2 4 4 2" xfId="10172"/>
    <cellStyle name="Normal 12 2 2 2 2 4 4 2 2" xfId="27452"/>
    <cellStyle name="Normal 12 2 2 2 2 4 4 3" xfId="15932"/>
    <cellStyle name="Normal 12 2 2 2 2 4 4 3 2" xfId="33212"/>
    <cellStyle name="Normal 12 2 2 2 2 4 4 4" xfId="21692"/>
    <cellStyle name="Normal 12 2 2 2 2 4 5" xfId="7292"/>
    <cellStyle name="Normal 12 2 2 2 2 4 5 2" xfId="24572"/>
    <cellStyle name="Normal 12 2 2 2 2 4 6" xfId="13052"/>
    <cellStyle name="Normal 12 2 2 2 2 4 6 2" xfId="30332"/>
    <cellStyle name="Normal 12 2 2 2 2 4 7" xfId="18812"/>
    <cellStyle name="Normal 12 2 2 2 2 5" xfId="1772"/>
    <cellStyle name="Normal 12 2 2 2 2 5 2" xfId="3212"/>
    <cellStyle name="Normal 12 2 2 2 2 5 2 2" xfId="6092"/>
    <cellStyle name="Normal 12 2 2 2 2 5 2 2 2" xfId="11852"/>
    <cellStyle name="Normal 12 2 2 2 2 5 2 2 2 2" xfId="29132"/>
    <cellStyle name="Normal 12 2 2 2 2 5 2 2 3" xfId="17612"/>
    <cellStyle name="Normal 12 2 2 2 2 5 2 2 3 2" xfId="34892"/>
    <cellStyle name="Normal 12 2 2 2 2 5 2 2 4" xfId="23372"/>
    <cellStyle name="Normal 12 2 2 2 2 5 2 3" xfId="8972"/>
    <cellStyle name="Normal 12 2 2 2 2 5 2 3 2" xfId="26252"/>
    <cellStyle name="Normal 12 2 2 2 2 5 2 4" xfId="14732"/>
    <cellStyle name="Normal 12 2 2 2 2 5 2 4 2" xfId="32012"/>
    <cellStyle name="Normal 12 2 2 2 2 5 2 5" xfId="20492"/>
    <cellStyle name="Normal 12 2 2 2 2 5 3" xfId="4652"/>
    <cellStyle name="Normal 12 2 2 2 2 5 3 2" xfId="10412"/>
    <cellStyle name="Normal 12 2 2 2 2 5 3 2 2" xfId="27692"/>
    <cellStyle name="Normal 12 2 2 2 2 5 3 3" xfId="16172"/>
    <cellStyle name="Normal 12 2 2 2 2 5 3 3 2" xfId="33452"/>
    <cellStyle name="Normal 12 2 2 2 2 5 3 4" xfId="21932"/>
    <cellStyle name="Normal 12 2 2 2 2 5 4" xfId="7532"/>
    <cellStyle name="Normal 12 2 2 2 2 5 4 2" xfId="24812"/>
    <cellStyle name="Normal 12 2 2 2 2 5 5" xfId="13292"/>
    <cellStyle name="Normal 12 2 2 2 2 5 5 2" xfId="30572"/>
    <cellStyle name="Normal 12 2 2 2 2 5 6" xfId="19052"/>
    <cellStyle name="Normal 12 2 2 2 2 6" xfId="2492"/>
    <cellStyle name="Normal 12 2 2 2 2 6 2" xfId="5372"/>
    <cellStyle name="Normal 12 2 2 2 2 6 2 2" xfId="11132"/>
    <cellStyle name="Normal 12 2 2 2 2 6 2 2 2" xfId="28412"/>
    <cellStyle name="Normal 12 2 2 2 2 6 2 3" xfId="16892"/>
    <cellStyle name="Normal 12 2 2 2 2 6 2 3 2" xfId="34172"/>
    <cellStyle name="Normal 12 2 2 2 2 6 2 4" xfId="22652"/>
    <cellStyle name="Normal 12 2 2 2 2 6 3" xfId="8252"/>
    <cellStyle name="Normal 12 2 2 2 2 6 3 2" xfId="25532"/>
    <cellStyle name="Normal 12 2 2 2 2 6 4" xfId="14012"/>
    <cellStyle name="Normal 12 2 2 2 2 6 4 2" xfId="31292"/>
    <cellStyle name="Normal 12 2 2 2 2 6 5" xfId="19772"/>
    <cellStyle name="Normal 12 2 2 2 2 7" xfId="3932"/>
    <cellStyle name="Normal 12 2 2 2 2 7 2" xfId="9692"/>
    <cellStyle name="Normal 12 2 2 2 2 7 2 2" xfId="26972"/>
    <cellStyle name="Normal 12 2 2 2 2 7 3" xfId="15452"/>
    <cellStyle name="Normal 12 2 2 2 2 7 3 2" xfId="32732"/>
    <cellStyle name="Normal 12 2 2 2 2 7 4" xfId="21212"/>
    <cellStyle name="Normal 12 2 2 2 2 8" xfId="6812"/>
    <cellStyle name="Normal 12 2 2 2 2 8 2" xfId="24092"/>
    <cellStyle name="Normal 12 2 2 2 2 9" xfId="12572"/>
    <cellStyle name="Normal 12 2 2 2 2 9 2" xfId="29852"/>
    <cellStyle name="Normal 12 2 2 2 3" xfId="1012"/>
    <cellStyle name="Normal 12 2 2 2 3 10" xfId="18292"/>
    <cellStyle name="Normal 12 2 2 2 3 2" xfId="1132"/>
    <cellStyle name="Normal 12 2 2 2 3 2 2" xfId="1372"/>
    <cellStyle name="Normal 12 2 2 2 3 2 2 2" xfId="2092"/>
    <cellStyle name="Normal 12 2 2 2 3 2 2 2 2" xfId="3532"/>
    <cellStyle name="Normal 12 2 2 2 3 2 2 2 2 2" xfId="6412"/>
    <cellStyle name="Normal 12 2 2 2 3 2 2 2 2 2 2" xfId="12172"/>
    <cellStyle name="Normal 12 2 2 2 3 2 2 2 2 2 2 2" xfId="29452"/>
    <cellStyle name="Normal 12 2 2 2 3 2 2 2 2 2 3" xfId="17932"/>
    <cellStyle name="Normal 12 2 2 2 3 2 2 2 2 2 3 2" xfId="35212"/>
    <cellStyle name="Normal 12 2 2 2 3 2 2 2 2 2 4" xfId="23692"/>
    <cellStyle name="Normal 12 2 2 2 3 2 2 2 2 3" xfId="9292"/>
    <cellStyle name="Normal 12 2 2 2 3 2 2 2 2 3 2" xfId="26572"/>
    <cellStyle name="Normal 12 2 2 2 3 2 2 2 2 4" xfId="15052"/>
    <cellStyle name="Normal 12 2 2 2 3 2 2 2 2 4 2" xfId="32332"/>
    <cellStyle name="Normal 12 2 2 2 3 2 2 2 2 5" xfId="20812"/>
    <cellStyle name="Normal 12 2 2 2 3 2 2 2 3" xfId="4972"/>
    <cellStyle name="Normal 12 2 2 2 3 2 2 2 3 2" xfId="10732"/>
    <cellStyle name="Normal 12 2 2 2 3 2 2 2 3 2 2" xfId="28012"/>
    <cellStyle name="Normal 12 2 2 2 3 2 2 2 3 3" xfId="16492"/>
    <cellStyle name="Normal 12 2 2 2 3 2 2 2 3 3 2" xfId="33772"/>
    <cellStyle name="Normal 12 2 2 2 3 2 2 2 3 4" xfId="22252"/>
    <cellStyle name="Normal 12 2 2 2 3 2 2 2 4" xfId="7852"/>
    <cellStyle name="Normal 12 2 2 2 3 2 2 2 4 2" xfId="25132"/>
    <cellStyle name="Normal 12 2 2 2 3 2 2 2 5" xfId="13612"/>
    <cellStyle name="Normal 12 2 2 2 3 2 2 2 5 2" xfId="30892"/>
    <cellStyle name="Normal 12 2 2 2 3 2 2 2 6" xfId="19372"/>
    <cellStyle name="Normal 12 2 2 2 3 2 2 3" xfId="2812"/>
    <cellStyle name="Normal 12 2 2 2 3 2 2 3 2" xfId="5692"/>
    <cellStyle name="Normal 12 2 2 2 3 2 2 3 2 2" xfId="11452"/>
    <cellStyle name="Normal 12 2 2 2 3 2 2 3 2 2 2" xfId="28732"/>
    <cellStyle name="Normal 12 2 2 2 3 2 2 3 2 3" xfId="17212"/>
    <cellStyle name="Normal 12 2 2 2 3 2 2 3 2 3 2" xfId="34492"/>
    <cellStyle name="Normal 12 2 2 2 3 2 2 3 2 4" xfId="22972"/>
    <cellStyle name="Normal 12 2 2 2 3 2 2 3 3" xfId="8572"/>
    <cellStyle name="Normal 12 2 2 2 3 2 2 3 3 2" xfId="25852"/>
    <cellStyle name="Normal 12 2 2 2 3 2 2 3 4" xfId="14332"/>
    <cellStyle name="Normal 12 2 2 2 3 2 2 3 4 2" xfId="31612"/>
    <cellStyle name="Normal 12 2 2 2 3 2 2 3 5" xfId="20092"/>
    <cellStyle name="Normal 12 2 2 2 3 2 2 4" xfId="4252"/>
    <cellStyle name="Normal 12 2 2 2 3 2 2 4 2" xfId="10012"/>
    <cellStyle name="Normal 12 2 2 2 3 2 2 4 2 2" xfId="27292"/>
    <cellStyle name="Normal 12 2 2 2 3 2 2 4 3" xfId="15772"/>
    <cellStyle name="Normal 12 2 2 2 3 2 2 4 3 2" xfId="33052"/>
    <cellStyle name="Normal 12 2 2 2 3 2 2 4 4" xfId="21532"/>
    <cellStyle name="Normal 12 2 2 2 3 2 2 5" xfId="7132"/>
    <cellStyle name="Normal 12 2 2 2 3 2 2 5 2" xfId="24412"/>
    <cellStyle name="Normal 12 2 2 2 3 2 2 6" xfId="12892"/>
    <cellStyle name="Normal 12 2 2 2 3 2 2 6 2" xfId="30172"/>
    <cellStyle name="Normal 12 2 2 2 3 2 2 7" xfId="18652"/>
    <cellStyle name="Normal 12 2 2 2 3 2 3" xfId="1612"/>
    <cellStyle name="Normal 12 2 2 2 3 2 3 2" xfId="2332"/>
    <cellStyle name="Normal 12 2 2 2 3 2 3 2 2" xfId="3772"/>
    <cellStyle name="Normal 12 2 2 2 3 2 3 2 2 2" xfId="6652"/>
    <cellStyle name="Normal 12 2 2 2 3 2 3 2 2 2 2" xfId="12412"/>
    <cellStyle name="Normal 12 2 2 2 3 2 3 2 2 2 2 2" xfId="29692"/>
    <cellStyle name="Normal 12 2 2 2 3 2 3 2 2 2 3" xfId="18172"/>
    <cellStyle name="Normal 12 2 2 2 3 2 3 2 2 2 3 2" xfId="35452"/>
    <cellStyle name="Normal 12 2 2 2 3 2 3 2 2 2 4" xfId="23932"/>
    <cellStyle name="Normal 12 2 2 2 3 2 3 2 2 3" xfId="9532"/>
    <cellStyle name="Normal 12 2 2 2 3 2 3 2 2 3 2" xfId="26812"/>
    <cellStyle name="Normal 12 2 2 2 3 2 3 2 2 4" xfId="15292"/>
    <cellStyle name="Normal 12 2 2 2 3 2 3 2 2 4 2" xfId="32572"/>
    <cellStyle name="Normal 12 2 2 2 3 2 3 2 2 5" xfId="21052"/>
    <cellStyle name="Normal 12 2 2 2 3 2 3 2 3" xfId="5212"/>
    <cellStyle name="Normal 12 2 2 2 3 2 3 2 3 2" xfId="10972"/>
    <cellStyle name="Normal 12 2 2 2 3 2 3 2 3 2 2" xfId="28252"/>
    <cellStyle name="Normal 12 2 2 2 3 2 3 2 3 3" xfId="16732"/>
    <cellStyle name="Normal 12 2 2 2 3 2 3 2 3 3 2" xfId="34012"/>
    <cellStyle name="Normal 12 2 2 2 3 2 3 2 3 4" xfId="22492"/>
    <cellStyle name="Normal 12 2 2 2 3 2 3 2 4" xfId="8092"/>
    <cellStyle name="Normal 12 2 2 2 3 2 3 2 4 2" xfId="25372"/>
    <cellStyle name="Normal 12 2 2 2 3 2 3 2 5" xfId="13852"/>
    <cellStyle name="Normal 12 2 2 2 3 2 3 2 5 2" xfId="31132"/>
    <cellStyle name="Normal 12 2 2 2 3 2 3 2 6" xfId="19612"/>
    <cellStyle name="Normal 12 2 2 2 3 2 3 3" xfId="3052"/>
    <cellStyle name="Normal 12 2 2 2 3 2 3 3 2" xfId="5932"/>
    <cellStyle name="Normal 12 2 2 2 3 2 3 3 2 2" xfId="11692"/>
    <cellStyle name="Normal 12 2 2 2 3 2 3 3 2 2 2" xfId="28972"/>
    <cellStyle name="Normal 12 2 2 2 3 2 3 3 2 3" xfId="17452"/>
    <cellStyle name="Normal 12 2 2 2 3 2 3 3 2 3 2" xfId="34732"/>
    <cellStyle name="Normal 12 2 2 2 3 2 3 3 2 4" xfId="23212"/>
    <cellStyle name="Normal 12 2 2 2 3 2 3 3 3" xfId="8812"/>
    <cellStyle name="Normal 12 2 2 2 3 2 3 3 3 2" xfId="26092"/>
    <cellStyle name="Normal 12 2 2 2 3 2 3 3 4" xfId="14572"/>
    <cellStyle name="Normal 12 2 2 2 3 2 3 3 4 2" xfId="31852"/>
    <cellStyle name="Normal 12 2 2 2 3 2 3 3 5" xfId="20332"/>
    <cellStyle name="Normal 12 2 2 2 3 2 3 4" xfId="4492"/>
    <cellStyle name="Normal 12 2 2 2 3 2 3 4 2" xfId="10252"/>
    <cellStyle name="Normal 12 2 2 2 3 2 3 4 2 2" xfId="27532"/>
    <cellStyle name="Normal 12 2 2 2 3 2 3 4 3" xfId="16012"/>
    <cellStyle name="Normal 12 2 2 2 3 2 3 4 3 2" xfId="33292"/>
    <cellStyle name="Normal 12 2 2 2 3 2 3 4 4" xfId="21772"/>
    <cellStyle name="Normal 12 2 2 2 3 2 3 5" xfId="7372"/>
    <cellStyle name="Normal 12 2 2 2 3 2 3 5 2" xfId="24652"/>
    <cellStyle name="Normal 12 2 2 2 3 2 3 6" xfId="13132"/>
    <cellStyle name="Normal 12 2 2 2 3 2 3 6 2" xfId="30412"/>
    <cellStyle name="Normal 12 2 2 2 3 2 3 7" xfId="18892"/>
    <cellStyle name="Normal 12 2 2 2 3 2 4" xfId="1852"/>
    <cellStyle name="Normal 12 2 2 2 3 2 4 2" xfId="3292"/>
    <cellStyle name="Normal 12 2 2 2 3 2 4 2 2" xfId="6172"/>
    <cellStyle name="Normal 12 2 2 2 3 2 4 2 2 2" xfId="11932"/>
    <cellStyle name="Normal 12 2 2 2 3 2 4 2 2 2 2" xfId="29212"/>
    <cellStyle name="Normal 12 2 2 2 3 2 4 2 2 3" xfId="17692"/>
    <cellStyle name="Normal 12 2 2 2 3 2 4 2 2 3 2" xfId="34972"/>
    <cellStyle name="Normal 12 2 2 2 3 2 4 2 2 4" xfId="23452"/>
    <cellStyle name="Normal 12 2 2 2 3 2 4 2 3" xfId="9052"/>
    <cellStyle name="Normal 12 2 2 2 3 2 4 2 3 2" xfId="26332"/>
    <cellStyle name="Normal 12 2 2 2 3 2 4 2 4" xfId="14812"/>
    <cellStyle name="Normal 12 2 2 2 3 2 4 2 4 2" xfId="32092"/>
    <cellStyle name="Normal 12 2 2 2 3 2 4 2 5" xfId="20572"/>
    <cellStyle name="Normal 12 2 2 2 3 2 4 3" xfId="4732"/>
    <cellStyle name="Normal 12 2 2 2 3 2 4 3 2" xfId="10492"/>
    <cellStyle name="Normal 12 2 2 2 3 2 4 3 2 2" xfId="27772"/>
    <cellStyle name="Normal 12 2 2 2 3 2 4 3 3" xfId="16252"/>
    <cellStyle name="Normal 12 2 2 2 3 2 4 3 3 2" xfId="33532"/>
    <cellStyle name="Normal 12 2 2 2 3 2 4 3 4" xfId="22012"/>
    <cellStyle name="Normal 12 2 2 2 3 2 4 4" xfId="7612"/>
    <cellStyle name="Normal 12 2 2 2 3 2 4 4 2" xfId="24892"/>
    <cellStyle name="Normal 12 2 2 2 3 2 4 5" xfId="13372"/>
    <cellStyle name="Normal 12 2 2 2 3 2 4 5 2" xfId="30652"/>
    <cellStyle name="Normal 12 2 2 2 3 2 4 6" xfId="19132"/>
    <cellStyle name="Normal 12 2 2 2 3 2 5" xfId="2572"/>
    <cellStyle name="Normal 12 2 2 2 3 2 5 2" xfId="5452"/>
    <cellStyle name="Normal 12 2 2 2 3 2 5 2 2" xfId="11212"/>
    <cellStyle name="Normal 12 2 2 2 3 2 5 2 2 2" xfId="28492"/>
    <cellStyle name="Normal 12 2 2 2 3 2 5 2 3" xfId="16972"/>
    <cellStyle name="Normal 12 2 2 2 3 2 5 2 3 2" xfId="34252"/>
    <cellStyle name="Normal 12 2 2 2 3 2 5 2 4" xfId="22732"/>
    <cellStyle name="Normal 12 2 2 2 3 2 5 3" xfId="8332"/>
    <cellStyle name="Normal 12 2 2 2 3 2 5 3 2" xfId="25612"/>
    <cellStyle name="Normal 12 2 2 2 3 2 5 4" xfId="14092"/>
    <cellStyle name="Normal 12 2 2 2 3 2 5 4 2" xfId="31372"/>
    <cellStyle name="Normal 12 2 2 2 3 2 5 5" xfId="19852"/>
    <cellStyle name="Normal 12 2 2 2 3 2 6" xfId="4012"/>
    <cellStyle name="Normal 12 2 2 2 3 2 6 2" xfId="9772"/>
    <cellStyle name="Normal 12 2 2 2 3 2 6 2 2" xfId="27052"/>
    <cellStyle name="Normal 12 2 2 2 3 2 6 3" xfId="15532"/>
    <cellStyle name="Normal 12 2 2 2 3 2 6 3 2" xfId="32812"/>
    <cellStyle name="Normal 12 2 2 2 3 2 6 4" xfId="21292"/>
    <cellStyle name="Normal 12 2 2 2 3 2 7" xfId="6892"/>
    <cellStyle name="Normal 12 2 2 2 3 2 7 2" xfId="24172"/>
    <cellStyle name="Normal 12 2 2 2 3 2 8" xfId="12652"/>
    <cellStyle name="Normal 12 2 2 2 3 2 8 2" xfId="29932"/>
    <cellStyle name="Normal 12 2 2 2 3 2 9" xfId="18412"/>
    <cellStyle name="Normal 12 2 2 2 3 3" xfId="1252"/>
    <cellStyle name="Normal 12 2 2 2 3 3 2" xfId="1972"/>
    <cellStyle name="Normal 12 2 2 2 3 3 2 2" xfId="3412"/>
    <cellStyle name="Normal 12 2 2 2 3 3 2 2 2" xfId="6292"/>
    <cellStyle name="Normal 12 2 2 2 3 3 2 2 2 2" xfId="12052"/>
    <cellStyle name="Normal 12 2 2 2 3 3 2 2 2 2 2" xfId="29332"/>
    <cellStyle name="Normal 12 2 2 2 3 3 2 2 2 3" xfId="17812"/>
    <cellStyle name="Normal 12 2 2 2 3 3 2 2 2 3 2" xfId="35092"/>
    <cellStyle name="Normal 12 2 2 2 3 3 2 2 2 4" xfId="23572"/>
    <cellStyle name="Normal 12 2 2 2 3 3 2 2 3" xfId="9172"/>
    <cellStyle name="Normal 12 2 2 2 3 3 2 2 3 2" xfId="26452"/>
    <cellStyle name="Normal 12 2 2 2 3 3 2 2 4" xfId="14932"/>
    <cellStyle name="Normal 12 2 2 2 3 3 2 2 4 2" xfId="32212"/>
    <cellStyle name="Normal 12 2 2 2 3 3 2 2 5" xfId="20692"/>
    <cellStyle name="Normal 12 2 2 2 3 3 2 3" xfId="4852"/>
    <cellStyle name="Normal 12 2 2 2 3 3 2 3 2" xfId="10612"/>
    <cellStyle name="Normal 12 2 2 2 3 3 2 3 2 2" xfId="27892"/>
    <cellStyle name="Normal 12 2 2 2 3 3 2 3 3" xfId="16372"/>
    <cellStyle name="Normal 12 2 2 2 3 3 2 3 3 2" xfId="33652"/>
    <cellStyle name="Normal 12 2 2 2 3 3 2 3 4" xfId="22132"/>
    <cellStyle name="Normal 12 2 2 2 3 3 2 4" xfId="7732"/>
    <cellStyle name="Normal 12 2 2 2 3 3 2 4 2" xfId="25012"/>
    <cellStyle name="Normal 12 2 2 2 3 3 2 5" xfId="13492"/>
    <cellStyle name="Normal 12 2 2 2 3 3 2 5 2" xfId="30772"/>
    <cellStyle name="Normal 12 2 2 2 3 3 2 6" xfId="19252"/>
    <cellStyle name="Normal 12 2 2 2 3 3 3" xfId="2692"/>
    <cellStyle name="Normal 12 2 2 2 3 3 3 2" xfId="5572"/>
    <cellStyle name="Normal 12 2 2 2 3 3 3 2 2" xfId="11332"/>
    <cellStyle name="Normal 12 2 2 2 3 3 3 2 2 2" xfId="28612"/>
    <cellStyle name="Normal 12 2 2 2 3 3 3 2 3" xfId="17092"/>
    <cellStyle name="Normal 12 2 2 2 3 3 3 2 3 2" xfId="34372"/>
    <cellStyle name="Normal 12 2 2 2 3 3 3 2 4" xfId="22852"/>
    <cellStyle name="Normal 12 2 2 2 3 3 3 3" xfId="8452"/>
    <cellStyle name="Normal 12 2 2 2 3 3 3 3 2" xfId="25732"/>
    <cellStyle name="Normal 12 2 2 2 3 3 3 4" xfId="14212"/>
    <cellStyle name="Normal 12 2 2 2 3 3 3 4 2" xfId="31492"/>
    <cellStyle name="Normal 12 2 2 2 3 3 3 5" xfId="19972"/>
    <cellStyle name="Normal 12 2 2 2 3 3 4" xfId="4132"/>
    <cellStyle name="Normal 12 2 2 2 3 3 4 2" xfId="9892"/>
    <cellStyle name="Normal 12 2 2 2 3 3 4 2 2" xfId="27172"/>
    <cellStyle name="Normal 12 2 2 2 3 3 4 3" xfId="15652"/>
    <cellStyle name="Normal 12 2 2 2 3 3 4 3 2" xfId="32932"/>
    <cellStyle name="Normal 12 2 2 2 3 3 4 4" xfId="21412"/>
    <cellStyle name="Normal 12 2 2 2 3 3 5" xfId="7012"/>
    <cellStyle name="Normal 12 2 2 2 3 3 5 2" xfId="24292"/>
    <cellStyle name="Normal 12 2 2 2 3 3 6" xfId="12772"/>
    <cellStyle name="Normal 12 2 2 2 3 3 6 2" xfId="30052"/>
    <cellStyle name="Normal 12 2 2 2 3 3 7" xfId="18532"/>
    <cellStyle name="Normal 12 2 2 2 3 4" xfId="1492"/>
    <cellStyle name="Normal 12 2 2 2 3 4 2" xfId="2212"/>
    <cellStyle name="Normal 12 2 2 2 3 4 2 2" xfId="3652"/>
    <cellStyle name="Normal 12 2 2 2 3 4 2 2 2" xfId="6532"/>
    <cellStyle name="Normal 12 2 2 2 3 4 2 2 2 2" xfId="12292"/>
    <cellStyle name="Normal 12 2 2 2 3 4 2 2 2 2 2" xfId="29572"/>
    <cellStyle name="Normal 12 2 2 2 3 4 2 2 2 3" xfId="18052"/>
    <cellStyle name="Normal 12 2 2 2 3 4 2 2 2 3 2" xfId="35332"/>
    <cellStyle name="Normal 12 2 2 2 3 4 2 2 2 4" xfId="23812"/>
    <cellStyle name="Normal 12 2 2 2 3 4 2 2 3" xfId="9412"/>
    <cellStyle name="Normal 12 2 2 2 3 4 2 2 3 2" xfId="26692"/>
    <cellStyle name="Normal 12 2 2 2 3 4 2 2 4" xfId="15172"/>
    <cellStyle name="Normal 12 2 2 2 3 4 2 2 4 2" xfId="32452"/>
    <cellStyle name="Normal 12 2 2 2 3 4 2 2 5" xfId="20932"/>
    <cellStyle name="Normal 12 2 2 2 3 4 2 3" xfId="5092"/>
    <cellStyle name="Normal 12 2 2 2 3 4 2 3 2" xfId="10852"/>
    <cellStyle name="Normal 12 2 2 2 3 4 2 3 2 2" xfId="28132"/>
    <cellStyle name="Normal 12 2 2 2 3 4 2 3 3" xfId="16612"/>
    <cellStyle name="Normal 12 2 2 2 3 4 2 3 3 2" xfId="33892"/>
    <cellStyle name="Normal 12 2 2 2 3 4 2 3 4" xfId="22372"/>
    <cellStyle name="Normal 12 2 2 2 3 4 2 4" xfId="7972"/>
    <cellStyle name="Normal 12 2 2 2 3 4 2 4 2" xfId="25252"/>
    <cellStyle name="Normal 12 2 2 2 3 4 2 5" xfId="13732"/>
    <cellStyle name="Normal 12 2 2 2 3 4 2 5 2" xfId="31012"/>
    <cellStyle name="Normal 12 2 2 2 3 4 2 6" xfId="19492"/>
    <cellStyle name="Normal 12 2 2 2 3 4 3" xfId="2932"/>
    <cellStyle name="Normal 12 2 2 2 3 4 3 2" xfId="5812"/>
    <cellStyle name="Normal 12 2 2 2 3 4 3 2 2" xfId="11572"/>
    <cellStyle name="Normal 12 2 2 2 3 4 3 2 2 2" xfId="28852"/>
    <cellStyle name="Normal 12 2 2 2 3 4 3 2 3" xfId="17332"/>
    <cellStyle name="Normal 12 2 2 2 3 4 3 2 3 2" xfId="34612"/>
    <cellStyle name="Normal 12 2 2 2 3 4 3 2 4" xfId="23092"/>
    <cellStyle name="Normal 12 2 2 2 3 4 3 3" xfId="8692"/>
    <cellStyle name="Normal 12 2 2 2 3 4 3 3 2" xfId="25972"/>
    <cellStyle name="Normal 12 2 2 2 3 4 3 4" xfId="14452"/>
    <cellStyle name="Normal 12 2 2 2 3 4 3 4 2" xfId="31732"/>
    <cellStyle name="Normal 12 2 2 2 3 4 3 5" xfId="20212"/>
    <cellStyle name="Normal 12 2 2 2 3 4 4" xfId="4372"/>
    <cellStyle name="Normal 12 2 2 2 3 4 4 2" xfId="10132"/>
    <cellStyle name="Normal 12 2 2 2 3 4 4 2 2" xfId="27412"/>
    <cellStyle name="Normal 12 2 2 2 3 4 4 3" xfId="15892"/>
    <cellStyle name="Normal 12 2 2 2 3 4 4 3 2" xfId="33172"/>
    <cellStyle name="Normal 12 2 2 2 3 4 4 4" xfId="21652"/>
    <cellStyle name="Normal 12 2 2 2 3 4 5" xfId="7252"/>
    <cellStyle name="Normal 12 2 2 2 3 4 5 2" xfId="24532"/>
    <cellStyle name="Normal 12 2 2 2 3 4 6" xfId="13012"/>
    <cellStyle name="Normal 12 2 2 2 3 4 6 2" xfId="30292"/>
    <cellStyle name="Normal 12 2 2 2 3 4 7" xfId="18772"/>
    <cellStyle name="Normal 12 2 2 2 3 5" xfId="1732"/>
    <cellStyle name="Normal 12 2 2 2 3 5 2" xfId="3172"/>
    <cellStyle name="Normal 12 2 2 2 3 5 2 2" xfId="6052"/>
    <cellStyle name="Normal 12 2 2 2 3 5 2 2 2" xfId="11812"/>
    <cellStyle name="Normal 12 2 2 2 3 5 2 2 2 2" xfId="29092"/>
    <cellStyle name="Normal 12 2 2 2 3 5 2 2 3" xfId="17572"/>
    <cellStyle name="Normal 12 2 2 2 3 5 2 2 3 2" xfId="34852"/>
    <cellStyle name="Normal 12 2 2 2 3 5 2 2 4" xfId="23332"/>
    <cellStyle name="Normal 12 2 2 2 3 5 2 3" xfId="8932"/>
    <cellStyle name="Normal 12 2 2 2 3 5 2 3 2" xfId="26212"/>
    <cellStyle name="Normal 12 2 2 2 3 5 2 4" xfId="14692"/>
    <cellStyle name="Normal 12 2 2 2 3 5 2 4 2" xfId="31972"/>
    <cellStyle name="Normal 12 2 2 2 3 5 2 5" xfId="20452"/>
    <cellStyle name="Normal 12 2 2 2 3 5 3" xfId="4612"/>
    <cellStyle name="Normal 12 2 2 2 3 5 3 2" xfId="10372"/>
    <cellStyle name="Normal 12 2 2 2 3 5 3 2 2" xfId="27652"/>
    <cellStyle name="Normal 12 2 2 2 3 5 3 3" xfId="16132"/>
    <cellStyle name="Normal 12 2 2 2 3 5 3 3 2" xfId="33412"/>
    <cellStyle name="Normal 12 2 2 2 3 5 3 4" xfId="21892"/>
    <cellStyle name="Normal 12 2 2 2 3 5 4" xfId="7492"/>
    <cellStyle name="Normal 12 2 2 2 3 5 4 2" xfId="24772"/>
    <cellStyle name="Normal 12 2 2 2 3 5 5" xfId="13252"/>
    <cellStyle name="Normal 12 2 2 2 3 5 5 2" xfId="30532"/>
    <cellStyle name="Normal 12 2 2 2 3 5 6" xfId="19012"/>
    <cellStyle name="Normal 12 2 2 2 3 6" xfId="2452"/>
    <cellStyle name="Normal 12 2 2 2 3 6 2" xfId="5332"/>
    <cellStyle name="Normal 12 2 2 2 3 6 2 2" xfId="11092"/>
    <cellStyle name="Normal 12 2 2 2 3 6 2 2 2" xfId="28372"/>
    <cellStyle name="Normal 12 2 2 2 3 6 2 3" xfId="16852"/>
    <cellStyle name="Normal 12 2 2 2 3 6 2 3 2" xfId="34132"/>
    <cellStyle name="Normal 12 2 2 2 3 6 2 4" xfId="22612"/>
    <cellStyle name="Normal 12 2 2 2 3 6 3" xfId="8212"/>
    <cellStyle name="Normal 12 2 2 2 3 6 3 2" xfId="25492"/>
    <cellStyle name="Normal 12 2 2 2 3 6 4" xfId="13972"/>
    <cellStyle name="Normal 12 2 2 2 3 6 4 2" xfId="31252"/>
    <cellStyle name="Normal 12 2 2 2 3 6 5" xfId="19732"/>
    <cellStyle name="Normal 12 2 2 2 3 7" xfId="3892"/>
    <cellStyle name="Normal 12 2 2 2 3 7 2" xfId="9652"/>
    <cellStyle name="Normal 12 2 2 2 3 7 2 2" xfId="26932"/>
    <cellStyle name="Normal 12 2 2 2 3 7 3" xfId="15412"/>
    <cellStyle name="Normal 12 2 2 2 3 7 3 2" xfId="32692"/>
    <cellStyle name="Normal 12 2 2 2 3 7 4" xfId="21172"/>
    <cellStyle name="Normal 12 2 2 2 3 8" xfId="6772"/>
    <cellStyle name="Normal 12 2 2 2 3 8 2" xfId="24052"/>
    <cellStyle name="Normal 12 2 2 2 3 9" xfId="12532"/>
    <cellStyle name="Normal 12 2 2 2 3 9 2" xfId="29812"/>
    <cellStyle name="Normal 12 2 2 2 4" xfId="1092"/>
    <cellStyle name="Normal 12 2 2 2 4 2" xfId="1332"/>
    <cellStyle name="Normal 12 2 2 2 4 2 2" xfId="2052"/>
    <cellStyle name="Normal 12 2 2 2 4 2 2 2" xfId="3492"/>
    <cellStyle name="Normal 12 2 2 2 4 2 2 2 2" xfId="6372"/>
    <cellStyle name="Normal 12 2 2 2 4 2 2 2 2 2" xfId="12132"/>
    <cellStyle name="Normal 12 2 2 2 4 2 2 2 2 2 2" xfId="29412"/>
    <cellStyle name="Normal 12 2 2 2 4 2 2 2 2 3" xfId="17892"/>
    <cellStyle name="Normal 12 2 2 2 4 2 2 2 2 3 2" xfId="35172"/>
    <cellStyle name="Normal 12 2 2 2 4 2 2 2 2 4" xfId="23652"/>
    <cellStyle name="Normal 12 2 2 2 4 2 2 2 3" xfId="9252"/>
    <cellStyle name="Normal 12 2 2 2 4 2 2 2 3 2" xfId="26532"/>
    <cellStyle name="Normal 12 2 2 2 4 2 2 2 4" xfId="15012"/>
    <cellStyle name="Normal 12 2 2 2 4 2 2 2 4 2" xfId="32292"/>
    <cellStyle name="Normal 12 2 2 2 4 2 2 2 5" xfId="20772"/>
    <cellStyle name="Normal 12 2 2 2 4 2 2 3" xfId="4932"/>
    <cellStyle name="Normal 12 2 2 2 4 2 2 3 2" xfId="10692"/>
    <cellStyle name="Normal 12 2 2 2 4 2 2 3 2 2" xfId="27972"/>
    <cellStyle name="Normal 12 2 2 2 4 2 2 3 3" xfId="16452"/>
    <cellStyle name="Normal 12 2 2 2 4 2 2 3 3 2" xfId="33732"/>
    <cellStyle name="Normal 12 2 2 2 4 2 2 3 4" xfId="22212"/>
    <cellStyle name="Normal 12 2 2 2 4 2 2 4" xfId="7812"/>
    <cellStyle name="Normal 12 2 2 2 4 2 2 4 2" xfId="25092"/>
    <cellStyle name="Normal 12 2 2 2 4 2 2 5" xfId="13572"/>
    <cellStyle name="Normal 12 2 2 2 4 2 2 5 2" xfId="30852"/>
    <cellStyle name="Normal 12 2 2 2 4 2 2 6" xfId="19332"/>
    <cellStyle name="Normal 12 2 2 2 4 2 3" xfId="2772"/>
    <cellStyle name="Normal 12 2 2 2 4 2 3 2" xfId="5652"/>
    <cellStyle name="Normal 12 2 2 2 4 2 3 2 2" xfId="11412"/>
    <cellStyle name="Normal 12 2 2 2 4 2 3 2 2 2" xfId="28692"/>
    <cellStyle name="Normal 12 2 2 2 4 2 3 2 3" xfId="17172"/>
    <cellStyle name="Normal 12 2 2 2 4 2 3 2 3 2" xfId="34452"/>
    <cellStyle name="Normal 12 2 2 2 4 2 3 2 4" xfId="22932"/>
    <cellStyle name="Normal 12 2 2 2 4 2 3 3" xfId="8532"/>
    <cellStyle name="Normal 12 2 2 2 4 2 3 3 2" xfId="25812"/>
    <cellStyle name="Normal 12 2 2 2 4 2 3 4" xfId="14292"/>
    <cellStyle name="Normal 12 2 2 2 4 2 3 4 2" xfId="31572"/>
    <cellStyle name="Normal 12 2 2 2 4 2 3 5" xfId="20052"/>
    <cellStyle name="Normal 12 2 2 2 4 2 4" xfId="4212"/>
    <cellStyle name="Normal 12 2 2 2 4 2 4 2" xfId="9972"/>
    <cellStyle name="Normal 12 2 2 2 4 2 4 2 2" xfId="27252"/>
    <cellStyle name="Normal 12 2 2 2 4 2 4 3" xfId="15732"/>
    <cellStyle name="Normal 12 2 2 2 4 2 4 3 2" xfId="33012"/>
    <cellStyle name="Normal 12 2 2 2 4 2 4 4" xfId="21492"/>
    <cellStyle name="Normal 12 2 2 2 4 2 5" xfId="7092"/>
    <cellStyle name="Normal 12 2 2 2 4 2 5 2" xfId="24372"/>
    <cellStyle name="Normal 12 2 2 2 4 2 6" xfId="12852"/>
    <cellStyle name="Normal 12 2 2 2 4 2 6 2" xfId="30132"/>
    <cellStyle name="Normal 12 2 2 2 4 2 7" xfId="18612"/>
    <cellStyle name="Normal 12 2 2 2 4 3" xfId="1572"/>
    <cellStyle name="Normal 12 2 2 2 4 3 2" xfId="2292"/>
    <cellStyle name="Normal 12 2 2 2 4 3 2 2" xfId="3732"/>
    <cellStyle name="Normal 12 2 2 2 4 3 2 2 2" xfId="6612"/>
    <cellStyle name="Normal 12 2 2 2 4 3 2 2 2 2" xfId="12372"/>
    <cellStyle name="Normal 12 2 2 2 4 3 2 2 2 2 2" xfId="29652"/>
    <cellStyle name="Normal 12 2 2 2 4 3 2 2 2 3" xfId="18132"/>
    <cellStyle name="Normal 12 2 2 2 4 3 2 2 2 3 2" xfId="35412"/>
    <cellStyle name="Normal 12 2 2 2 4 3 2 2 2 4" xfId="23892"/>
    <cellStyle name="Normal 12 2 2 2 4 3 2 2 3" xfId="9492"/>
    <cellStyle name="Normal 12 2 2 2 4 3 2 2 3 2" xfId="26772"/>
    <cellStyle name="Normal 12 2 2 2 4 3 2 2 4" xfId="15252"/>
    <cellStyle name="Normal 12 2 2 2 4 3 2 2 4 2" xfId="32532"/>
    <cellStyle name="Normal 12 2 2 2 4 3 2 2 5" xfId="21012"/>
    <cellStyle name="Normal 12 2 2 2 4 3 2 3" xfId="5172"/>
    <cellStyle name="Normal 12 2 2 2 4 3 2 3 2" xfId="10932"/>
    <cellStyle name="Normal 12 2 2 2 4 3 2 3 2 2" xfId="28212"/>
    <cellStyle name="Normal 12 2 2 2 4 3 2 3 3" xfId="16692"/>
    <cellStyle name="Normal 12 2 2 2 4 3 2 3 3 2" xfId="33972"/>
    <cellStyle name="Normal 12 2 2 2 4 3 2 3 4" xfId="22452"/>
    <cellStyle name="Normal 12 2 2 2 4 3 2 4" xfId="8052"/>
    <cellStyle name="Normal 12 2 2 2 4 3 2 4 2" xfId="25332"/>
    <cellStyle name="Normal 12 2 2 2 4 3 2 5" xfId="13812"/>
    <cellStyle name="Normal 12 2 2 2 4 3 2 5 2" xfId="31092"/>
    <cellStyle name="Normal 12 2 2 2 4 3 2 6" xfId="19572"/>
    <cellStyle name="Normal 12 2 2 2 4 3 3" xfId="3012"/>
    <cellStyle name="Normal 12 2 2 2 4 3 3 2" xfId="5892"/>
    <cellStyle name="Normal 12 2 2 2 4 3 3 2 2" xfId="11652"/>
    <cellStyle name="Normal 12 2 2 2 4 3 3 2 2 2" xfId="28932"/>
    <cellStyle name="Normal 12 2 2 2 4 3 3 2 3" xfId="17412"/>
    <cellStyle name="Normal 12 2 2 2 4 3 3 2 3 2" xfId="34692"/>
    <cellStyle name="Normal 12 2 2 2 4 3 3 2 4" xfId="23172"/>
    <cellStyle name="Normal 12 2 2 2 4 3 3 3" xfId="8772"/>
    <cellStyle name="Normal 12 2 2 2 4 3 3 3 2" xfId="26052"/>
    <cellStyle name="Normal 12 2 2 2 4 3 3 4" xfId="14532"/>
    <cellStyle name="Normal 12 2 2 2 4 3 3 4 2" xfId="31812"/>
    <cellStyle name="Normal 12 2 2 2 4 3 3 5" xfId="20292"/>
    <cellStyle name="Normal 12 2 2 2 4 3 4" xfId="4452"/>
    <cellStyle name="Normal 12 2 2 2 4 3 4 2" xfId="10212"/>
    <cellStyle name="Normal 12 2 2 2 4 3 4 2 2" xfId="27492"/>
    <cellStyle name="Normal 12 2 2 2 4 3 4 3" xfId="15972"/>
    <cellStyle name="Normal 12 2 2 2 4 3 4 3 2" xfId="33252"/>
    <cellStyle name="Normal 12 2 2 2 4 3 4 4" xfId="21732"/>
    <cellStyle name="Normal 12 2 2 2 4 3 5" xfId="7332"/>
    <cellStyle name="Normal 12 2 2 2 4 3 5 2" xfId="24612"/>
    <cellStyle name="Normal 12 2 2 2 4 3 6" xfId="13092"/>
    <cellStyle name="Normal 12 2 2 2 4 3 6 2" xfId="30372"/>
    <cellStyle name="Normal 12 2 2 2 4 3 7" xfId="18852"/>
    <cellStyle name="Normal 12 2 2 2 4 4" xfId="1812"/>
    <cellStyle name="Normal 12 2 2 2 4 4 2" xfId="3252"/>
    <cellStyle name="Normal 12 2 2 2 4 4 2 2" xfId="6132"/>
    <cellStyle name="Normal 12 2 2 2 4 4 2 2 2" xfId="11892"/>
    <cellStyle name="Normal 12 2 2 2 4 4 2 2 2 2" xfId="29172"/>
    <cellStyle name="Normal 12 2 2 2 4 4 2 2 3" xfId="17652"/>
    <cellStyle name="Normal 12 2 2 2 4 4 2 2 3 2" xfId="34932"/>
    <cellStyle name="Normal 12 2 2 2 4 4 2 2 4" xfId="23412"/>
    <cellStyle name="Normal 12 2 2 2 4 4 2 3" xfId="9012"/>
    <cellStyle name="Normal 12 2 2 2 4 4 2 3 2" xfId="26292"/>
    <cellStyle name="Normal 12 2 2 2 4 4 2 4" xfId="14772"/>
    <cellStyle name="Normal 12 2 2 2 4 4 2 4 2" xfId="32052"/>
    <cellStyle name="Normal 12 2 2 2 4 4 2 5" xfId="20532"/>
    <cellStyle name="Normal 12 2 2 2 4 4 3" xfId="4692"/>
    <cellStyle name="Normal 12 2 2 2 4 4 3 2" xfId="10452"/>
    <cellStyle name="Normal 12 2 2 2 4 4 3 2 2" xfId="27732"/>
    <cellStyle name="Normal 12 2 2 2 4 4 3 3" xfId="16212"/>
    <cellStyle name="Normal 12 2 2 2 4 4 3 3 2" xfId="33492"/>
    <cellStyle name="Normal 12 2 2 2 4 4 3 4" xfId="21972"/>
    <cellStyle name="Normal 12 2 2 2 4 4 4" xfId="7572"/>
    <cellStyle name="Normal 12 2 2 2 4 4 4 2" xfId="24852"/>
    <cellStyle name="Normal 12 2 2 2 4 4 5" xfId="13332"/>
    <cellStyle name="Normal 12 2 2 2 4 4 5 2" xfId="30612"/>
    <cellStyle name="Normal 12 2 2 2 4 4 6" xfId="19092"/>
    <cellStyle name="Normal 12 2 2 2 4 5" xfId="2532"/>
    <cellStyle name="Normal 12 2 2 2 4 5 2" xfId="5412"/>
    <cellStyle name="Normal 12 2 2 2 4 5 2 2" xfId="11172"/>
    <cellStyle name="Normal 12 2 2 2 4 5 2 2 2" xfId="28452"/>
    <cellStyle name="Normal 12 2 2 2 4 5 2 3" xfId="16932"/>
    <cellStyle name="Normal 12 2 2 2 4 5 2 3 2" xfId="34212"/>
    <cellStyle name="Normal 12 2 2 2 4 5 2 4" xfId="22692"/>
    <cellStyle name="Normal 12 2 2 2 4 5 3" xfId="8292"/>
    <cellStyle name="Normal 12 2 2 2 4 5 3 2" xfId="25572"/>
    <cellStyle name="Normal 12 2 2 2 4 5 4" xfId="14052"/>
    <cellStyle name="Normal 12 2 2 2 4 5 4 2" xfId="31332"/>
    <cellStyle name="Normal 12 2 2 2 4 5 5" xfId="19812"/>
    <cellStyle name="Normal 12 2 2 2 4 6" xfId="3972"/>
    <cellStyle name="Normal 12 2 2 2 4 6 2" xfId="9732"/>
    <cellStyle name="Normal 12 2 2 2 4 6 2 2" xfId="27012"/>
    <cellStyle name="Normal 12 2 2 2 4 6 3" xfId="15492"/>
    <cellStyle name="Normal 12 2 2 2 4 6 3 2" xfId="32772"/>
    <cellStyle name="Normal 12 2 2 2 4 6 4" xfId="21252"/>
    <cellStyle name="Normal 12 2 2 2 4 7" xfId="6852"/>
    <cellStyle name="Normal 12 2 2 2 4 7 2" xfId="24132"/>
    <cellStyle name="Normal 12 2 2 2 4 8" xfId="12612"/>
    <cellStyle name="Normal 12 2 2 2 4 8 2" xfId="29892"/>
    <cellStyle name="Normal 12 2 2 2 4 9" xfId="18372"/>
    <cellStyle name="Normal 12 2 2 2 5" xfId="1212"/>
    <cellStyle name="Normal 12 2 2 2 5 2" xfId="1932"/>
    <cellStyle name="Normal 12 2 2 2 5 2 2" xfId="3372"/>
    <cellStyle name="Normal 12 2 2 2 5 2 2 2" xfId="6252"/>
    <cellStyle name="Normal 12 2 2 2 5 2 2 2 2" xfId="12012"/>
    <cellStyle name="Normal 12 2 2 2 5 2 2 2 2 2" xfId="29292"/>
    <cellStyle name="Normal 12 2 2 2 5 2 2 2 3" xfId="17772"/>
    <cellStyle name="Normal 12 2 2 2 5 2 2 2 3 2" xfId="35052"/>
    <cellStyle name="Normal 12 2 2 2 5 2 2 2 4" xfId="23532"/>
    <cellStyle name="Normal 12 2 2 2 5 2 2 3" xfId="9132"/>
    <cellStyle name="Normal 12 2 2 2 5 2 2 3 2" xfId="26412"/>
    <cellStyle name="Normal 12 2 2 2 5 2 2 4" xfId="14892"/>
    <cellStyle name="Normal 12 2 2 2 5 2 2 4 2" xfId="32172"/>
    <cellStyle name="Normal 12 2 2 2 5 2 2 5" xfId="20652"/>
    <cellStyle name="Normal 12 2 2 2 5 2 3" xfId="4812"/>
    <cellStyle name="Normal 12 2 2 2 5 2 3 2" xfId="10572"/>
    <cellStyle name="Normal 12 2 2 2 5 2 3 2 2" xfId="27852"/>
    <cellStyle name="Normal 12 2 2 2 5 2 3 3" xfId="16332"/>
    <cellStyle name="Normal 12 2 2 2 5 2 3 3 2" xfId="33612"/>
    <cellStyle name="Normal 12 2 2 2 5 2 3 4" xfId="22092"/>
    <cellStyle name="Normal 12 2 2 2 5 2 4" xfId="7692"/>
    <cellStyle name="Normal 12 2 2 2 5 2 4 2" xfId="24972"/>
    <cellStyle name="Normal 12 2 2 2 5 2 5" xfId="13452"/>
    <cellStyle name="Normal 12 2 2 2 5 2 5 2" xfId="30732"/>
    <cellStyle name="Normal 12 2 2 2 5 2 6" xfId="19212"/>
    <cellStyle name="Normal 12 2 2 2 5 3" xfId="2652"/>
    <cellStyle name="Normal 12 2 2 2 5 3 2" xfId="5532"/>
    <cellStyle name="Normal 12 2 2 2 5 3 2 2" xfId="11292"/>
    <cellStyle name="Normal 12 2 2 2 5 3 2 2 2" xfId="28572"/>
    <cellStyle name="Normal 12 2 2 2 5 3 2 3" xfId="17052"/>
    <cellStyle name="Normal 12 2 2 2 5 3 2 3 2" xfId="34332"/>
    <cellStyle name="Normal 12 2 2 2 5 3 2 4" xfId="22812"/>
    <cellStyle name="Normal 12 2 2 2 5 3 3" xfId="8412"/>
    <cellStyle name="Normal 12 2 2 2 5 3 3 2" xfId="25692"/>
    <cellStyle name="Normal 12 2 2 2 5 3 4" xfId="14172"/>
    <cellStyle name="Normal 12 2 2 2 5 3 4 2" xfId="31452"/>
    <cellStyle name="Normal 12 2 2 2 5 3 5" xfId="19932"/>
    <cellStyle name="Normal 12 2 2 2 5 4" xfId="4092"/>
    <cellStyle name="Normal 12 2 2 2 5 4 2" xfId="9852"/>
    <cellStyle name="Normal 12 2 2 2 5 4 2 2" xfId="27132"/>
    <cellStyle name="Normal 12 2 2 2 5 4 3" xfId="15612"/>
    <cellStyle name="Normal 12 2 2 2 5 4 3 2" xfId="32892"/>
    <cellStyle name="Normal 12 2 2 2 5 4 4" xfId="21372"/>
    <cellStyle name="Normal 12 2 2 2 5 5" xfId="6972"/>
    <cellStyle name="Normal 12 2 2 2 5 5 2" xfId="24252"/>
    <cellStyle name="Normal 12 2 2 2 5 6" xfId="12732"/>
    <cellStyle name="Normal 12 2 2 2 5 6 2" xfId="30012"/>
    <cellStyle name="Normal 12 2 2 2 5 7" xfId="18492"/>
    <cellStyle name="Normal 12 2 2 2 6" xfId="1452"/>
    <cellStyle name="Normal 12 2 2 2 6 2" xfId="2172"/>
    <cellStyle name="Normal 12 2 2 2 6 2 2" xfId="3612"/>
    <cellStyle name="Normal 12 2 2 2 6 2 2 2" xfId="6492"/>
    <cellStyle name="Normal 12 2 2 2 6 2 2 2 2" xfId="12252"/>
    <cellStyle name="Normal 12 2 2 2 6 2 2 2 2 2" xfId="29532"/>
    <cellStyle name="Normal 12 2 2 2 6 2 2 2 3" xfId="18012"/>
    <cellStyle name="Normal 12 2 2 2 6 2 2 2 3 2" xfId="35292"/>
    <cellStyle name="Normal 12 2 2 2 6 2 2 2 4" xfId="23772"/>
    <cellStyle name="Normal 12 2 2 2 6 2 2 3" xfId="9372"/>
    <cellStyle name="Normal 12 2 2 2 6 2 2 3 2" xfId="26652"/>
    <cellStyle name="Normal 12 2 2 2 6 2 2 4" xfId="15132"/>
    <cellStyle name="Normal 12 2 2 2 6 2 2 4 2" xfId="32412"/>
    <cellStyle name="Normal 12 2 2 2 6 2 2 5" xfId="20892"/>
    <cellStyle name="Normal 12 2 2 2 6 2 3" xfId="5052"/>
    <cellStyle name="Normal 12 2 2 2 6 2 3 2" xfId="10812"/>
    <cellStyle name="Normal 12 2 2 2 6 2 3 2 2" xfId="28092"/>
    <cellStyle name="Normal 12 2 2 2 6 2 3 3" xfId="16572"/>
    <cellStyle name="Normal 12 2 2 2 6 2 3 3 2" xfId="33852"/>
    <cellStyle name="Normal 12 2 2 2 6 2 3 4" xfId="22332"/>
    <cellStyle name="Normal 12 2 2 2 6 2 4" xfId="7932"/>
    <cellStyle name="Normal 12 2 2 2 6 2 4 2" xfId="25212"/>
    <cellStyle name="Normal 12 2 2 2 6 2 5" xfId="13692"/>
    <cellStyle name="Normal 12 2 2 2 6 2 5 2" xfId="30972"/>
    <cellStyle name="Normal 12 2 2 2 6 2 6" xfId="19452"/>
    <cellStyle name="Normal 12 2 2 2 6 3" xfId="2892"/>
    <cellStyle name="Normal 12 2 2 2 6 3 2" xfId="5772"/>
    <cellStyle name="Normal 12 2 2 2 6 3 2 2" xfId="11532"/>
    <cellStyle name="Normal 12 2 2 2 6 3 2 2 2" xfId="28812"/>
    <cellStyle name="Normal 12 2 2 2 6 3 2 3" xfId="17292"/>
    <cellStyle name="Normal 12 2 2 2 6 3 2 3 2" xfId="34572"/>
    <cellStyle name="Normal 12 2 2 2 6 3 2 4" xfId="23052"/>
    <cellStyle name="Normal 12 2 2 2 6 3 3" xfId="8652"/>
    <cellStyle name="Normal 12 2 2 2 6 3 3 2" xfId="25932"/>
    <cellStyle name="Normal 12 2 2 2 6 3 4" xfId="14412"/>
    <cellStyle name="Normal 12 2 2 2 6 3 4 2" xfId="31692"/>
    <cellStyle name="Normal 12 2 2 2 6 3 5" xfId="20172"/>
    <cellStyle name="Normal 12 2 2 2 6 4" xfId="4332"/>
    <cellStyle name="Normal 12 2 2 2 6 4 2" xfId="10092"/>
    <cellStyle name="Normal 12 2 2 2 6 4 2 2" xfId="27372"/>
    <cellStyle name="Normal 12 2 2 2 6 4 3" xfId="15852"/>
    <cellStyle name="Normal 12 2 2 2 6 4 3 2" xfId="33132"/>
    <cellStyle name="Normal 12 2 2 2 6 4 4" xfId="21612"/>
    <cellStyle name="Normal 12 2 2 2 6 5" xfId="7212"/>
    <cellStyle name="Normal 12 2 2 2 6 5 2" xfId="24492"/>
    <cellStyle name="Normal 12 2 2 2 6 6" xfId="12972"/>
    <cellStyle name="Normal 12 2 2 2 6 6 2" xfId="30252"/>
    <cellStyle name="Normal 12 2 2 2 6 7" xfId="18732"/>
    <cellStyle name="Normal 12 2 2 2 7" xfId="1692"/>
    <cellStyle name="Normal 12 2 2 2 7 2" xfId="3132"/>
    <cellStyle name="Normal 12 2 2 2 7 2 2" xfId="6012"/>
    <cellStyle name="Normal 12 2 2 2 7 2 2 2" xfId="11772"/>
    <cellStyle name="Normal 12 2 2 2 7 2 2 2 2" xfId="29052"/>
    <cellStyle name="Normal 12 2 2 2 7 2 2 3" xfId="17532"/>
    <cellStyle name="Normal 12 2 2 2 7 2 2 3 2" xfId="34812"/>
    <cellStyle name="Normal 12 2 2 2 7 2 2 4" xfId="23292"/>
    <cellStyle name="Normal 12 2 2 2 7 2 3" xfId="8892"/>
    <cellStyle name="Normal 12 2 2 2 7 2 3 2" xfId="26172"/>
    <cellStyle name="Normal 12 2 2 2 7 2 4" xfId="14652"/>
    <cellStyle name="Normal 12 2 2 2 7 2 4 2" xfId="31932"/>
    <cellStyle name="Normal 12 2 2 2 7 2 5" xfId="20412"/>
    <cellStyle name="Normal 12 2 2 2 7 3" xfId="4572"/>
    <cellStyle name="Normal 12 2 2 2 7 3 2" xfId="10332"/>
    <cellStyle name="Normal 12 2 2 2 7 3 2 2" xfId="27612"/>
    <cellStyle name="Normal 12 2 2 2 7 3 3" xfId="16092"/>
    <cellStyle name="Normal 12 2 2 2 7 3 3 2" xfId="33372"/>
    <cellStyle name="Normal 12 2 2 2 7 3 4" xfId="21852"/>
    <cellStyle name="Normal 12 2 2 2 7 4" xfId="7452"/>
    <cellStyle name="Normal 12 2 2 2 7 4 2" xfId="24732"/>
    <cellStyle name="Normal 12 2 2 2 7 5" xfId="13212"/>
    <cellStyle name="Normal 12 2 2 2 7 5 2" xfId="30492"/>
    <cellStyle name="Normal 12 2 2 2 7 6" xfId="18972"/>
    <cellStyle name="Normal 12 2 2 2 8" xfId="2412"/>
    <cellStyle name="Normal 12 2 2 2 8 2" xfId="5292"/>
    <cellStyle name="Normal 12 2 2 2 8 2 2" xfId="11052"/>
    <cellStyle name="Normal 12 2 2 2 8 2 2 2" xfId="28332"/>
    <cellStyle name="Normal 12 2 2 2 8 2 3" xfId="16812"/>
    <cellStyle name="Normal 12 2 2 2 8 2 3 2" xfId="34092"/>
    <cellStyle name="Normal 12 2 2 2 8 2 4" xfId="22572"/>
    <cellStyle name="Normal 12 2 2 2 8 3" xfId="8172"/>
    <cellStyle name="Normal 12 2 2 2 8 3 2" xfId="25452"/>
    <cellStyle name="Normal 12 2 2 2 8 4" xfId="13932"/>
    <cellStyle name="Normal 12 2 2 2 8 4 2" xfId="31212"/>
    <cellStyle name="Normal 12 2 2 2 8 5" xfId="19692"/>
    <cellStyle name="Normal 12 2 2 2 9" xfId="3852"/>
    <cellStyle name="Normal 12 2 2 2 9 2" xfId="9612"/>
    <cellStyle name="Normal 12 2 2 2 9 2 2" xfId="26892"/>
    <cellStyle name="Normal 12 2 2 2 9 3" xfId="15372"/>
    <cellStyle name="Normal 12 2 2 2 9 3 2" xfId="32652"/>
    <cellStyle name="Normal 12 2 2 2 9 4" xfId="21132"/>
    <cellStyle name="Normal 12 2 2 3" xfId="1032"/>
    <cellStyle name="Normal 12 2 2 3 10" xfId="18312"/>
    <cellStyle name="Normal 12 2 2 3 2" xfId="1152"/>
    <cellStyle name="Normal 12 2 2 3 2 2" xfId="1392"/>
    <cellStyle name="Normal 12 2 2 3 2 2 2" xfId="2112"/>
    <cellStyle name="Normal 12 2 2 3 2 2 2 2" xfId="3552"/>
    <cellStyle name="Normal 12 2 2 3 2 2 2 2 2" xfId="6432"/>
    <cellStyle name="Normal 12 2 2 3 2 2 2 2 2 2" xfId="12192"/>
    <cellStyle name="Normal 12 2 2 3 2 2 2 2 2 2 2" xfId="29472"/>
    <cellStyle name="Normal 12 2 2 3 2 2 2 2 2 3" xfId="17952"/>
    <cellStyle name="Normal 12 2 2 3 2 2 2 2 2 3 2" xfId="35232"/>
    <cellStyle name="Normal 12 2 2 3 2 2 2 2 2 4" xfId="23712"/>
    <cellStyle name="Normal 12 2 2 3 2 2 2 2 3" xfId="9312"/>
    <cellStyle name="Normal 12 2 2 3 2 2 2 2 3 2" xfId="26592"/>
    <cellStyle name="Normal 12 2 2 3 2 2 2 2 4" xfId="15072"/>
    <cellStyle name="Normal 12 2 2 3 2 2 2 2 4 2" xfId="32352"/>
    <cellStyle name="Normal 12 2 2 3 2 2 2 2 5" xfId="20832"/>
    <cellStyle name="Normal 12 2 2 3 2 2 2 3" xfId="4992"/>
    <cellStyle name="Normal 12 2 2 3 2 2 2 3 2" xfId="10752"/>
    <cellStyle name="Normal 12 2 2 3 2 2 2 3 2 2" xfId="28032"/>
    <cellStyle name="Normal 12 2 2 3 2 2 2 3 3" xfId="16512"/>
    <cellStyle name="Normal 12 2 2 3 2 2 2 3 3 2" xfId="33792"/>
    <cellStyle name="Normal 12 2 2 3 2 2 2 3 4" xfId="22272"/>
    <cellStyle name="Normal 12 2 2 3 2 2 2 4" xfId="7872"/>
    <cellStyle name="Normal 12 2 2 3 2 2 2 4 2" xfId="25152"/>
    <cellStyle name="Normal 12 2 2 3 2 2 2 5" xfId="13632"/>
    <cellStyle name="Normal 12 2 2 3 2 2 2 5 2" xfId="30912"/>
    <cellStyle name="Normal 12 2 2 3 2 2 2 6" xfId="19392"/>
    <cellStyle name="Normal 12 2 2 3 2 2 3" xfId="2832"/>
    <cellStyle name="Normal 12 2 2 3 2 2 3 2" xfId="5712"/>
    <cellStyle name="Normal 12 2 2 3 2 2 3 2 2" xfId="11472"/>
    <cellStyle name="Normal 12 2 2 3 2 2 3 2 2 2" xfId="28752"/>
    <cellStyle name="Normal 12 2 2 3 2 2 3 2 3" xfId="17232"/>
    <cellStyle name="Normal 12 2 2 3 2 2 3 2 3 2" xfId="34512"/>
    <cellStyle name="Normal 12 2 2 3 2 2 3 2 4" xfId="22992"/>
    <cellStyle name="Normal 12 2 2 3 2 2 3 3" xfId="8592"/>
    <cellStyle name="Normal 12 2 2 3 2 2 3 3 2" xfId="25872"/>
    <cellStyle name="Normal 12 2 2 3 2 2 3 4" xfId="14352"/>
    <cellStyle name="Normal 12 2 2 3 2 2 3 4 2" xfId="31632"/>
    <cellStyle name="Normal 12 2 2 3 2 2 3 5" xfId="20112"/>
    <cellStyle name="Normal 12 2 2 3 2 2 4" xfId="4272"/>
    <cellStyle name="Normal 12 2 2 3 2 2 4 2" xfId="10032"/>
    <cellStyle name="Normal 12 2 2 3 2 2 4 2 2" xfId="27312"/>
    <cellStyle name="Normal 12 2 2 3 2 2 4 3" xfId="15792"/>
    <cellStyle name="Normal 12 2 2 3 2 2 4 3 2" xfId="33072"/>
    <cellStyle name="Normal 12 2 2 3 2 2 4 4" xfId="21552"/>
    <cellStyle name="Normal 12 2 2 3 2 2 5" xfId="7152"/>
    <cellStyle name="Normal 12 2 2 3 2 2 5 2" xfId="24432"/>
    <cellStyle name="Normal 12 2 2 3 2 2 6" xfId="12912"/>
    <cellStyle name="Normal 12 2 2 3 2 2 6 2" xfId="30192"/>
    <cellStyle name="Normal 12 2 2 3 2 2 7" xfId="18672"/>
    <cellStyle name="Normal 12 2 2 3 2 3" xfId="1632"/>
    <cellStyle name="Normal 12 2 2 3 2 3 2" xfId="2352"/>
    <cellStyle name="Normal 12 2 2 3 2 3 2 2" xfId="3792"/>
    <cellStyle name="Normal 12 2 2 3 2 3 2 2 2" xfId="6672"/>
    <cellStyle name="Normal 12 2 2 3 2 3 2 2 2 2" xfId="12432"/>
    <cellStyle name="Normal 12 2 2 3 2 3 2 2 2 2 2" xfId="29712"/>
    <cellStyle name="Normal 12 2 2 3 2 3 2 2 2 3" xfId="18192"/>
    <cellStyle name="Normal 12 2 2 3 2 3 2 2 2 3 2" xfId="35472"/>
    <cellStyle name="Normal 12 2 2 3 2 3 2 2 2 4" xfId="23952"/>
    <cellStyle name="Normal 12 2 2 3 2 3 2 2 3" xfId="9552"/>
    <cellStyle name="Normal 12 2 2 3 2 3 2 2 3 2" xfId="26832"/>
    <cellStyle name="Normal 12 2 2 3 2 3 2 2 4" xfId="15312"/>
    <cellStyle name="Normal 12 2 2 3 2 3 2 2 4 2" xfId="32592"/>
    <cellStyle name="Normal 12 2 2 3 2 3 2 2 5" xfId="21072"/>
    <cellStyle name="Normal 12 2 2 3 2 3 2 3" xfId="5232"/>
    <cellStyle name="Normal 12 2 2 3 2 3 2 3 2" xfId="10992"/>
    <cellStyle name="Normal 12 2 2 3 2 3 2 3 2 2" xfId="28272"/>
    <cellStyle name="Normal 12 2 2 3 2 3 2 3 3" xfId="16752"/>
    <cellStyle name="Normal 12 2 2 3 2 3 2 3 3 2" xfId="34032"/>
    <cellStyle name="Normal 12 2 2 3 2 3 2 3 4" xfId="22512"/>
    <cellStyle name="Normal 12 2 2 3 2 3 2 4" xfId="8112"/>
    <cellStyle name="Normal 12 2 2 3 2 3 2 4 2" xfId="25392"/>
    <cellStyle name="Normal 12 2 2 3 2 3 2 5" xfId="13872"/>
    <cellStyle name="Normal 12 2 2 3 2 3 2 5 2" xfId="31152"/>
    <cellStyle name="Normal 12 2 2 3 2 3 2 6" xfId="19632"/>
    <cellStyle name="Normal 12 2 2 3 2 3 3" xfId="3072"/>
    <cellStyle name="Normal 12 2 2 3 2 3 3 2" xfId="5952"/>
    <cellStyle name="Normal 12 2 2 3 2 3 3 2 2" xfId="11712"/>
    <cellStyle name="Normal 12 2 2 3 2 3 3 2 2 2" xfId="28992"/>
    <cellStyle name="Normal 12 2 2 3 2 3 3 2 3" xfId="17472"/>
    <cellStyle name="Normal 12 2 2 3 2 3 3 2 3 2" xfId="34752"/>
    <cellStyle name="Normal 12 2 2 3 2 3 3 2 4" xfId="23232"/>
    <cellStyle name="Normal 12 2 2 3 2 3 3 3" xfId="8832"/>
    <cellStyle name="Normal 12 2 2 3 2 3 3 3 2" xfId="26112"/>
    <cellStyle name="Normal 12 2 2 3 2 3 3 4" xfId="14592"/>
    <cellStyle name="Normal 12 2 2 3 2 3 3 4 2" xfId="31872"/>
    <cellStyle name="Normal 12 2 2 3 2 3 3 5" xfId="20352"/>
    <cellStyle name="Normal 12 2 2 3 2 3 4" xfId="4512"/>
    <cellStyle name="Normal 12 2 2 3 2 3 4 2" xfId="10272"/>
    <cellStyle name="Normal 12 2 2 3 2 3 4 2 2" xfId="27552"/>
    <cellStyle name="Normal 12 2 2 3 2 3 4 3" xfId="16032"/>
    <cellStyle name="Normal 12 2 2 3 2 3 4 3 2" xfId="33312"/>
    <cellStyle name="Normal 12 2 2 3 2 3 4 4" xfId="21792"/>
    <cellStyle name="Normal 12 2 2 3 2 3 5" xfId="7392"/>
    <cellStyle name="Normal 12 2 2 3 2 3 5 2" xfId="24672"/>
    <cellStyle name="Normal 12 2 2 3 2 3 6" xfId="13152"/>
    <cellStyle name="Normal 12 2 2 3 2 3 6 2" xfId="30432"/>
    <cellStyle name="Normal 12 2 2 3 2 3 7" xfId="18912"/>
    <cellStyle name="Normal 12 2 2 3 2 4" xfId="1872"/>
    <cellStyle name="Normal 12 2 2 3 2 4 2" xfId="3312"/>
    <cellStyle name="Normal 12 2 2 3 2 4 2 2" xfId="6192"/>
    <cellStyle name="Normal 12 2 2 3 2 4 2 2 2" xfId="11952"/>
    <cellStyle name="Normal 12 2 2 3 2 4 2 2 2 2" xfId="29232"/>
    <cellStyle name="Normal 12 2 2 3 2 4 2 2 3" xfId="17712"/>
    <cellStyle name="Normal 12 2 2 3 2 4 2 2 3 2" xfId="34992"/>
    <cellStyle name="Normal 12 2 2 3 2 4 2 2 4" xfId="23472"/>
    <cellStyle name="Normal 12 2 2 3 2 4 2 3" xfId="9072"/>
    <cellStyle name="Normal 12 2 2 3 2 4 2 3 2" xfId="26352"/>
    <cellStyle name="Normal 12 2 2 3 2 4 2 4" xfId="14832"/>
    <cellStyle name="Normal 12 2 2 3 2 4 2 4 2" xfId="32112"/>
    <cellStyle name="Normal 12 2 2 3 2 4 2 5" xfId="20592"/>
    <cellStyle name="Normal 12 2 2 3 2 4 3" xfId="4752"/>
    <cellStyle name="Normal 12 2 2 3 2 4 3 2" xfId="10512"/>
    <cellStyle name="Normal 12 2 2 3 2 4 3 2 2" xfId="27792"/>
    <cellStyle name="Normal 12 2 2 3 2 4 3 3" xfId="16272"/>
    <cellStyle name="Normal 12 2 2 3 2 4 3 3 2" xfId="33552"/>
    <cellStyle name="Normal 12 2 2 3 2 4 3 4" xfId="22032"/>
    <cellStyle name="Normal 12 2 2 3 2 4 4" xfId="7632"/>
    <cellStyle name="Normal 12 2 2 3 2 4 4 2" xfId="24912"/>
    <cellStyle name="Normal 12 2 2 3 2 4 5" xfId="13392"/>
    <cellStyle name="Normal 12 2 2 3 2 4 5 2" xfId="30672"/>
    <cellStyle name="Normal 12 2 2 3 2 4 6" xfId="19152"/>
    <cellStyle name="Normal 12 2 2 3 2 5" xfId="2592"/>
    <cellStyle name="Normal 12 2 2 3 2 5 2" xfId="5472"/>
    <cellStyle name="Normal 12 2 2 3 2 5 2 2" xfId="11232"/>
    <cellStyle name="Normal 12 2 2 3 2 5 2 2 2" xfId="28512"/>
    <cellStyle name="Normal 12 2 2 3 2 5 2 3" xfId="16992"/>
    <cellStyle name="Normal 12 2 2 3 2 5 2 3 2" xfId="34272"/>
    <cellStyle name="Normal 12 2 2 3 2 5 2 4" xfId="22752"/>
    <cellStyle name="Normal 12 2 2 3 2 5 3" xfId="8352"/>
    <cellStyle name="Normal 12 2 2 3 2 5 3 2" xfId="25632"/>
    <cellStyle name="Normal 12 2 2 3 2 5 4" xfId="14112"/>
    <cellStyle name="Normal 12 2 2 3 2 5 4 2" xfId="31392"/>
    <cellStyle name="Normal 12 2 2 3 2 5 5" xfId="19872"/>
    <cellStyle name="Normal 12 2 2 3 2 6" xfId="4032"/>
    <cellStyle name="Normal 12 2 2 3 2 6 2" xfId="9792"/>
    <cellStyle name="Normal 12 2 2 3 2 6 2 2" xfId="27072"/>
    <cellStyle name="Normal 12 2 2 3 2 6 3" xfId="15552"/>
    <cellStyle name="Normal 12 2 2 3 2 6 3 2" xfId="32832"/>
    <cellStyle name="Normal 12 2 2 3 2 6 4" xfId="21312"/>
    <cellStyle name="Normal 12 2 2 3 2 7" xfId="6912"/>
    <cellStyle name="Normal 12 2 2 3 2 7 2" xfId="24192"/>
    <cellStyle name="Normal 12 2 2 3 2 8" xfId="12672"/>
    <cellStyle name="Normal 12 2 2 3 2 8 2" xfId="29952"/>
    <cellStyle name="Normal 12 2 2 3 2 9" xfId="18432"/>
    <cellStyle name="Normal 12 2 2 3 3" xfId="1272"/>
    <cellStyle name="Normal 12 2 2 3 3 2" xfId="1992"/>
    <cellStyle name="Normal 12 2 2 3 3 2 2" xfId="3432"/>
    <cellStyle name="Normal 12 2 2 3 3 2 2 2" xfId="6312"/>
    <cellStyle name="Normal 12 2 2 3 3 2 2 2 2" xfId="12072"/>
    <cellStyle name="Normal 12 2 2 3 3 2 2 2 2 2" xfId="29352"/>
    <cellStyle name="Normal 12 2 2 3 3 2 2 2 3" xfId="17832"/>
    <cellStyle name="Normal 12 2 2 3 3 2 2 2 3 2" xfId="35112"/>
    <cellStyle name="Normal 12 2 2 3 3 2 2 2 4" xfId="23592"/>
    <cellStyle name="Normal 12 2 2 3 3 2 2 3" xfId="9192"/>
    <cellStyle name="Normal 12 2 2 3 3 2 2 3 2" xfId="26472"/>
    <cellStyle name="Normal 12 2 2 3 3 2 2 4" xfId="14952"/>
    <cellStyle name="Normal 12 2 2 3 3 2 2 4 2" xfId="32232"/>
    <cellStyle name="Normal 12 2 2 3 3 2 2 5" xfId="20712"/>
    <cellStyle name="Normal 12 2 2 3 3 2 3" xfId="4872"/>
    <cellStyle name="Normal 12 2 2 3 3 2 3 2" xfId="10632"/>
    <cellStyle name="Normal 12 2 2 3 3 2 3 2 2" xfId="27912"/>
    <cellStyle name="Normal 12 2 2 3 3 2 3 3" xfId="16392"/>
    <cellStyle name="Normal 12 2 2 3 3 2 3 3 2" xfId="33672"/>
    <cellStyle name="Normal 12 2 2 3 3 2 3 4" xfId="22152"/>
    <cellStyle name="Normal 12 2 2 3 3 2 4" xfId="7752"/>
    <cellStyle name="Normal 12 2 2 3 3 2 4 2" xfId="25032"/>
    <cellStyle name="Normal 12 2 2 3 3 2 5" xfId="13512"/>
    <cellStyle name="Normal 12 2 2 3 3 2 5 2" xfId="30792"/>
    <cellStyle name="Normal 12 2 2 3 3 2 6" xfId="19272"/>
    <cellStyle name="Normal 12 2 2 3 3 3" xfId="2712"/>
    <cellStyle name="Normal 12 2 2 3 3 3 2" xfId="5592"/>
    <cellStyle name="Normal 12 2 2 3 3 3 2 2" xfId="11352"/>
    <cellStyle name="Normal 12 2 2 3 3 3 2 2 2" xfId="28632"/>
    <cellStyle name="Normal 12 2 2 3 3 3 2 3" xfId="17112"/>
    <cellStyle name="Normal 12 2 2 3 3 3 2 3 2" xfId="34392"/>
    <cellStyle name="Normal 12 2 2 3 3 3 2 4" xfId="22872"/>
    <cellStyle name="Normal 12 2 2 3 3 3 3" xfId="8472"/>
    <cellStyle name="Normal 12 2 2 3 3 3 3 2" xfId="25752"/>
    <cellStyle name="Normal 12 2 2 3 3 3 4" xfId="14232"/>
    <cellStyle name="Normal 12 2 2 3 3 3 4 2" xfId="31512"/>
    <cellStyle name="Normal 12 2 2 3 3 3 5" xfId="19992"/>
    <cellStyle name="Normal 12 2 2 3 3 4" xfId="4152"/>
    <cellStyle name="Normal 12 2 2 3 3 4 2" xfId="9912"/>
    <cellStyle name="Normal 12 2 2 3 3 4 2 2" xfId="27192"/>
    <cellStyle name="Normal 12 2 2 3 3 4 3" xfId="15672"/>
    <cellStyle name="Normal 12 2 2 3 3 4 3 2" xfId="32952"/>
    <cellStyle name="Normal 12 2 2 3 3 4 4" xfId="21432"/>
    <cellStyle name="Normal 12 2 2 3 3 5" xfId="7032"/>
    <cellStyle name="Normal 12 2 2 3 3 5 2" xfId="24312"/>
    <cellStyle name="Normal 12 2 2 3 3 6" xfId="12792"/>
    <cellStyle name="Normal 12 2 2 3 3 6 2" xfId="30072"/>
    <cellStyle name="Normal 12 2 2 3 3 7" xfId="18552"/>
    <cellStyle name="Normal 12 2 2 3 4" xfId="1512"/>
    <cellStyle name="Normal 12 2 2 3 4 2" xfId="2232"/>
    <cellStyle name="Normal 12 2 2 3 4 2 2" xfId="3672"/>
    <cellStyle name="Normal 12 2 2 3 4 2 2 2" xfId="6552"/>
    <cellStyle name="Normal 12 2 2 3 4 2 2 2 2" xfId="12312"/>
    <cellStyle name="Normal 12 2 2 3 4 2 2 2 2 2" xfId="29592"/>
    <cellStyle name="Normal 12 2 2 3 4 2 2 2 3" xfId="18072"/>
    <cellStyle name="Normal 12 2 2 3 4 2 2 2 3 2" xfId="35352"/>
    <cellStyle name="Normal 12 2 2 3 4 2 2 2 4" xfId="23832"/>
    <cellStyle name="Normal 12 2 2 3 4 2 2 3" xfId="9432"/>
    <cellStyle name="Normal 12 2 2 3 4 2 2 3 2" xfId="26712"/>
    <cellStyle name="Normal 12 2 2 3 4 2 2 4" xfId="15192"/>
    <cellStyle name="Normal 12 2 2 3 4 2 2 4 2" xfId="32472"/>
    <cellStyle name="Normal 12 2 2 3 4 2 2 5" xfId="20952"/>
    <cellStyle name="Normal 12 2 2 3 4 2 3" xfId="5112"/>
    <cellStyle name="Normal 12 2 2 3 4 2 3 2" xfId="10872"/>
    <cellStyle name="Normal 12 2 2 3 4 2 3 2 2" xfId="28152"/>
    <cellStyle name="Normal 12 2 2 3 4 2 3 3" xfId="16632"/>
    <cellStyle name="Normal 12 2 2 3 4 2 3 3 2" xfId="33912"/>
    <cellStyle name="Normal 12 2 2 3 4 2 3 4" xfId="22392"/>
    <cellStyle name="Normal 12 2 2 3 4 2 4" xfId="7992"/>
    <cellStyle name="Normal 12 2 2 3 4 2 4 2" xfId="25272"/>
    <cellStyle name="Normal 12 2 2 3 4 2 5" xfId="13752"/>
    <cellStyle name="Normal 12 2 2 3 4 2 5 2" xfId="31032"/>
    <cellStyle name="Normal 12 2 2 3 4 2 6" xfId="19512"/>
    <cellStyle name="Normal 12 2 2 3 4 3" xfId="2952"/>
    <cellStyle name="Normal 12 2 2 3 4 3 2" xfId="5832"/>
    <cellStyle name="Normal 12 2 2 3 4 3 2 2" xfId="11592"/>
    <cellStyle name="Normal 12 2 2 3 4 3 2 2 2" xfId="28872"/>
    <cellStyle name="Normal 12 2 2 3 4 3 2 3" xfId="17352"/>
    <cellStyle name="Normal 12 2 2 3 4 3 2 3 2" xfId="34632"/>
    <cellStyle name="Normal 12 2 2 3 4 3 2 4" xfId="23112"/>
    <cellStyle name="Normal 12 2 2 3 4 3 3" xfId="8712"/>
    <cellStyle name="Normal 12 2 2 3 4 3 3 2" xfId="25992"/>
    <cellStyle name="Normal 12 2 2 3 4 3 4" xfId="14472"/>
    <cellStyle name="Normal 12 2 2 3 4 3 4 2" xfId="31752"/>
    <cellStyle name="Normal 12 2 2 3 4 3 5" xfId="20232"/>
    <cellStyle name="Normal 12 2 2 3 4 4" xfId="4392"/>
    <cellStyle name="Normal 12 2 2 3 4 4 2" xfId="10152"/>
    <cellStyle name="Normal 12 2 2 3 4 4 2 2" xfId="27432"/>
    <cellStyle name="Normal 12 2 2 3 4 4 3" xfId="15912"/>
    <cellStyle name="Normal 12 2 2 3 4 4 3 2" xfId="33192"/>
    <cellStyle name="Normal 12 2 2 3 4 4 4" xfId="21672"/>
    <cellStyle name="Normal 12 2 2 3 4 5" xfId="7272"/>
    <cellStyle name="Normal 12 2 2 3 4 5 2" xfId="24552"/>
    <cellStyle name="Normal 12 2 2 3 4 6" xfId="13032"/>
    <cellStyle name="Normal 12 2 2 3 4 6 2" xfId="30312"/>
    <cellStyle name="Normal 12 2 2 3 4 7" xfId="18792"/>
    <cellStyle name="Normal 12 2 2 3 5" xfId="1752"/>
    <cellStyle name="Normal 12 2 2 3 5 2" xfId="3192"/>
    <cellStyle name="Normal 12 2 2 3 5 2 2" xfId="6072"/>
    <cellStyle name="Normal 12 2 2 3 5 2 2 2" xfId="11832"/>
    <cellStyle name="Normal 12 2 2 3 5 2 2 2 2" xfId="29112"/>
    <cellStyle name="Normal 12 2 2 3 5 2 2 3" xfId="17592"/>
    <cellStyle name="Normal 12 2 2 3 5 2 2 3 2" xfId="34872"/>
    <cellStyle name="Normal 12 2 2 3 5 2 2 4" xfId="23352"/>
    <cellStyle name="Normal 12 2 2 3 5 2 3" xfId="8952"/>
    <cellStyle name="Normal 12 2 2 3 5 2 3 2" xfId="26232"/>
    <cellStyle name="Normal 12 2 2 3 5 2 4" xfId="14712"/>
    <cellStyle name="Normal 12 2 2 3 5 2 4 2" xfId="31992"/>
    <cellStyle name="Normal 12 2 2 3 5 2 5" xfId="20472"/>
    <cellStyle name="Normal 12 2 2 3 5 3" xfId="4632"/>
    <cellStyle name="Normal 12 2 2 3 5 3 2" xfId="10392"/>
    <cellStyle name="Normal 12 2 2 3 5 3 2 2" xfId="27672"/>
    <cellStyle name="Normal 12 2 2 3 5 3 3" xfId="16152"/>
    <cellStyle name="Normal 12 2 2 3 5 3 3 2" xfId="33432"/>
    <cellStyle name="Normal 12 2 2 3 5 3 4" xfId="21912"/>
    <cellStyle name="Normal 12 2 2 3 5 4" xfId="7512"/>
    <cellStyle name="Normal 12 2 2 3 5 4 2" xfId="24792"/>
    <cellStyle name="Normal 12 2 2 3 5 5" xfId="13272"/>
    <cellStyle name="Normal 12 2 2 3 5 5 2" xfId="30552"/>
    <cellStyle name="Normal 12 2 2 3 5 6" xfId="19032"/>
    <cellStyle name="Normal 12 2 2 3 6" xfId="2472"/>
    <cellStyle name="Normal 12 2 2 3 6 2" xfId="5352"/>
    <cellStyle name="Normal 12 2 2 3 6 2 2" xfId="11112"/>
    <cellStyle name="Normal 12 2 2 3 6 2 2 2" xfId="28392"/>
    <cellStyle name="Normal 12 2 2 3 6 2 3" xfId="16872"/>
    <cellStyle name="Normal 12 2 2 3 6 2 3 2" xfId="34152"/>
    <cellStyle name="Normal 12 2 2 3 6 2 4" xfId="22632"/>
    <cellStyle name="Normal 12 2 2 3 6 3" xfId="8232"/>
    <cellStyle name="Normal 12 2 2 3 6 3 2" xfId="25512"/>
    <cellStyle name="Normal 12 2 2 3 6 4" xfId="13992"/>
    <cellStyle name="Normal 12 2 2 3 6 4 2" xfId="31272"/>
    <cellStyle name="Normal 12 2 2 3 6 5" xfId="19752"/>
    <cellStyle name="Normal 12 2 2 3 7" xfId="3912"/>
    <cellStyle name="Normal 12 2 2 3 7 2" xfId="9672"/>
    <cellStyle name="Normal 12 2 2 3 7 2 2" xfId="26952"/>
    <cellStyle name="Normal 12 2 2 3 7 3" xfId="15432"/>
    <cellStyle name="Normal 12 2 2 3 7 3 2" xfId="32712"/>
    <cellStyle name="Normal 12 2 2 3 7 4" xfId="21192"/>
    <cellStyle name="Normal 12 2 2 3 8" xfId="6792"/>
    <cellStyle name="Normal 12 2 2 3 8 2" xfId="24072"/>
    <cellStyle name="Normal 12 2 2 3 9" xfId="12552"/>
    <cellStyle name="Normal 12 2 2 3 9 2" xfId="29832"/>
    <cellStyle name="Normal 12 2 2 4" xfId="992"/>
    <cellStyle name="Normal 12 2 2 4 10" xfId="18272"/>
    <cellStyle name="Normal 12 2 2 4 2" xfId="1112"/>
    <cellStyle name="Normal 12 2 2 4 2 2" xfId="1352"/>
    <cellStyle name="Normal 12 2 2 4 2 2 2" xfId="2072"/>
    <cellStyle name="Normal 12 2 2 4 2 2 2 2" xfId="3512"/>
    <cellStyle name="Normal 12 2 2 4 2 2 2 2 2" xfId="6392"/>
    <cellStyle name="Normal 12 2 2 4 2 2 2 2 2 2" xfId="12152"/>
    <cellStyle name="Normal 12 2 2 4 2 2 2 2 2 2 2" xfId="29432"/>
    <cellStyle name="Normal 12 2 2 4 2 2 2 2 2 3" xfId="17912"/>
    <cellStyle name="Normal 12 2 2 4 2 2 2 2 2 3 2" xfId="35192"/>
    <cellStyle name="Normal 12 2 2 4 2 2 2 2 2 4" xfId="23672"/>
    <cellStyle name="Normal 12 2 2 4 2 2 2 2 3" xfId="9272"/>
    <cellStyle name="Normal 12 2 2 4 2 2 2 2 3 2" xfId="26552"/>
    <cellStyle name="Normal 12 2 2 4 2 2 2 2 4" xfId="15032"/>
    <cellStyle name="Normal 12 2 2 4 2 2 2 2 4 2" xfId="32312"/>
    <cellStyle name="Normal 12 2 2 4 2 2 2 2 5" xfId="20792"/>
    <cellStyle name="Normal 12 2 2 4 2 2 2 3" xfId="4952"/>
    <cellStyle name="Normal 12 2 2 4 2 2 2 3 2" xfId="10712"/>
    <cellStyle name="Normal 12 2 2 4 2 2 2 3 2 2" xfId="27992"/>
    <cellStyle name="Normal 12 2 2 4 2 2 2 3 3" xfId="16472"/>
    <cellStyle name="Normal 12 2 2 4 2 2 2 3 3 2" xfId="33752"/>
    <cellStyle name="Normal 12 2 2 4 2 2 2 3 4" xfId="22232"/>
    <cellStyle name="Normal 12 2 2 4 2 2 2 4" xfId="7832"/>
    <cellStyle name="Normal 12 2 2 4 2 2 2 4 2" xfId="25112"/>
    <cellStyle name="Normal 12 2 2 4 2 2 2 5" xfId="13592"/>
    <cellStyle name="Normal 12 2 2 4 2 2 2 5 2" xfId="30872"/>
    <cellStyle name="Normal 12 2 2 4 2 2 2 6" xfId="19352"/>
    <cellStyle name="Normal 12 2 2 4 2 2 3" xfId="2792"/>
    <cellStyle name="Normal 12 2 2 4 2 2 3 2" xfId="5672"/>
    <cellStyle name="Normal 12 2 2 4 2 2 3 2 2" xfId="11432"/>
    <cellStyle name="Normal 12 2 2 4 2 2 3 2 2 2" xfId="28712"/>
    <cellStyle name="Normal 12 2 2 4 2 2 3 2 3" xfId="17192"/>
    <cellStyle name="Normal 12 2 2 4 2 2 3 2 3 2" xfId="34472"/>
    <cellStyle name="Normal 12 2 2 4 2 2 3 2 4" xfId="22952"/>
    <cellStyle name="Normal 12 2 2 4 2 2 3 3" xfId="8552"/>
    <cellStyle name="Normal 12 2 2 4 2 2 3 3 2" xfId="25832"/>
    <cellStyle name="Normal 12 2 2 4 2 2 3 4" xfId="14312"/>
    <cellStyle name="Normal 12 2 2 4 2 2 3 4 2" xfId="31592"/>
    <cellStyle name="Normal 12 2 2 4 2 2 3 5" xfId="20072"/>
    <cellStyle name="Normal 12 2 2 4 2 2 4" xfId="4232"/>
    <cellStyle name="Normal 12 2 2 4 2 2 4 2" xfId="9992"/>
    <cellStyle name="Normal 12 2 2 4 2 2 4 2 2" xfId="27272"/>
    <cellStyle name="Normal 12 2 2 4 2 2 4 3" xfId="15752"/>
    <cellStyle name="Normal 12 2 2 4 2 2 4 3 2" xfId="33032"/>
    <cellStyle name="Normal 12 2 2 4 2 2 4 4" xfId="21512"/>
    <cellStyle name="Normal 12 2 2 4 2 2 5" xfId="7112"/>
    <cellStyle name="Normal 12 2 2 4 2 2 5 2" xfId="24392"/>
    <cellStyle name="Normal 12 2 2 4 2 2 6" xfId="12872"/>
    <cellStyle name="Normal 12 2 2 4 2 2 6 2" xfId="30152"/>
    <cellStyle name="Normal 12 2 2 4 2 2 7" xfId="18632"/>
    <cellStyle name="Normal 12 2 2 4 2 3" xfId="1592"/>
    <cellStyle name="Normal 12 2 2 4 2 3 2" xfId="2312"/>
    <cellStyle name="Normal 12 2 2 4 2 3 2 2" xfId="3752"/>
    <cellStyle name="Normal 12 2 2 4 2 3 2 2 2" xfId="6632"/>
    <cellStyle name="Normal 12 2 2 4 2 3 2 2 2 2" xfId="12392"/>
    <cellStyle name="Normal 12 2 2 4 2 3 2 2 2 2 2" xfId="29672"/>
    <cellStyle name="Normal 12 2 2 4 2 3 2 2 2 3" xfId="18152"/>
    <cellStyle name="Normal 12 2 2 4 2 3 2 2 2 3 2" xfId="35432"/>
    <cellStyle name="Normal 12 2 2 4 2 3 2 2 2 4" xfId="23912"/>
    <cellStyle name="Normal 12 2 2 4 2 3 2 2 3" xfId="9512"/>
    <cellStyle name="Normal 12 2 2 4 2 3 2 2 3 2" xfId="26792"/>
    <cellStyle name="Normal 12 2 2 4 2 3 2 2 4" xfId="15272"/>
    <cellStyle name="Normal 12 2 2 4 2 3 2 2 4 2" xfId="32552"/>
    <cellStyle name="Normal 12 2 2 4 2 3 2 2 5" xfId="21032"/>
    <cellStyle name="Normal 12 2 2 4 2 3 2 3" xfId="5192"/>
    <cellStyle name="Normal 12 2 2 4 2 3 2 3 2" xfId="10952"/>
    <cellStyle name="Normal 12 2 2 4 2 3 2 3 2 2" xfId="28232"/>
    <cellStyle name="Normal 12 2 2 4 2 3 2 3 3" xfId="16712"/>
    <cellStyle name="Normal 12 2 2 4 2 3 2 3 3 2" xfId="33992"/>
    <cellStyle name="Normal 12 2 2 4 2 3 2 3 4" xfId="22472"/>
    <cellStyle name="Normal 12 2 2 4 2 3 2 4" xfId="8072"/>
    <cellStyle name="Normal 12 2 2 4 2 3 2 4 2" xfId="25352"/>
    <cellStyle name="Normal 12 2 2 4 2 3 2 5" xfId="13832"/>
    <cellStyle name="Normal 12 2 2 4 2 3 2 5 2" xfId="31112"/>
    <cellStyle name="Normal 12 2 2 4 2 3 2 6" xfId="19592"/>
    <cellStyle name="Normal 12 2 2 4 2 3 3" xfId="3032"/>
    <cellStyle name="Normal 12 2 2 4 2 3 3 2" xfId="5912"/>
    <cellStyle name="Normal 12 2 2 4 2 3 3 2 2" xfId="11672"/>
    <cellStyle name="Normal 12 2 2 4 2 3 3 2 2 2" xfId="28952"/>
    <cellStyle name="Normal 12 2 2 4 2 3 3 2 3" xfId="17432"/>
    <cellStyle name="Normal 12 2 2 4 2 3 3 2 3 2" xfId="34712"/>
    <cellStyle name="Normal 12 2 2 4 2 3 3 2 4" xfId="23192"/>
    <cellStyle name="Normal 12 2 2 4 2 3 3 3" xfId="8792"/>
    <cellStyle name="Normal 12 2 2 4 2 3 3 3 2" xfId="26072"/>
    <cellStyle name="Normal 12 2 2 4 2 3 3 4" xfId="14552"/>
    <cellStyle name="Normal 12 2 2 4 2 3 3 4 2" xfId="31832"/>
    <cellStyle name="Normal 12 2 2 4 2 3 3 5" xfId="20312"/>
    <cellStyle name="Normal 12 2 2 4 2 3 4" xfId="4472"/>
    <cellStyle name="Normal 12 2 2 4 2 3 4 2" xfId="10232"/>
    <cellStyle name="Normal 12 2 2 4 2 3 4 2 2" xfId="27512"/>
    <cellStyle name="Normal 12 2 2 4 2 3 4 3" xfId="15992"/>
    <cellStyle name="Normal 12 2 2 4 2 3 4 3 2" xfId="33272"/>
    <cellStyle name="Normal 12 2 2 4 2 3 4 4" xfId="21752"/>
    <cellStyle name="Normal 12 2 2 4 2 3 5" xfId="7352"/>
    <cellStyle name="Normal 12 2 2 4 2 3 5 2" xfId="24632"/>
    <cellStyle name="Normal 12 2 2 4 2 3 6" xfId="13112"/>
    <cellStyle name="Normal 12 2 2 4 2 3 6 2" xfId="30392"/>
    <cellStyle name="Normal 12 2 2 4 2 3 7" xfId="18872"/>
    <cellStyle name="Normal 12 2 2 4 2 4" xfId="1832"/>
    <cellStyle name="Normal 12 2 2 4 2 4 2" xfId="3272"/>
    <cellStyle name="Normal 12 2 2 4 2 4 2 2" xfId="6152"/>
    <cellStyle name="Normal 12 2 2 4 2 4 2 2 2" xfId="11912"/>
    <cellStyle name="Normal 12 2 2 4 2 4 2 2 2 2" xfId="29192"/>
    <cellStyle name="Normal 12 2 2 4 2 4 2 2 3" xfId="17672"/>
    <cellStyle name="Normal 12 2 2 4 2 4 2 2 3 2" xfId="34952"/>
    <cellStyle name="Normal 12 2 2 4 2 4 2 2 4" xfId="23432"/>
    <cellStyle name="Normal 12 2 2 4 2 4 2 3" xfId="9032"/>
    <cellStyle name="Normal 12 2 2 4 2 4 2 3 2" xfId="26312"/>
    <cellStyle name="Normal 12 2 2 4 2 4 2 4" xfId="14792"/>
    <cellStyle name="Normal 12 2 2 4 2 4 2 4 2" xfId="32072"/>
    <cellStyle name="Normal 12 2 2 4 2 4 2 5" xfId="20552"/>
    <cellStyle name="Normal 12 2 2 4 2 4 3" xfId="4712"/>
    <cellStyle name="Normal 12 2 2 4 2 4 3 2" xfId="10472"/>
    <cellStyle name="Normal 12 2 2 4 2 4 3 2 2" xfId="27752"/>
    <cellStyle name="Normal 12 2 2 4 2 4 3 3" xfId="16232"/>
    <cellStyle name="Normal 12 2 2 4 2 4 3 3 2" xfId="33512"/>
    <cellStyle name="Normal 12 2 2 4 2 4 3 4" xfId="21992"/>
    <cellStyle name="Normal 12 2 2 4 2 4 4" xfId="7592"/>
    <cellStyle name="Normal 12 2 2 4 2 4 4 2" xfId="24872"/>
    <cellStyle name="Normal 12 2 2 4 2 4 5" xfId="13352"/>
    <cellStyle name="Normal 12 2 2 4 2 4 5 2" xfId="30632"/>
    <cellStyle name="Normal 12 2 2 4 2 4 6" xfId="19112"/>
    <cellStyle name="Normal 12 2 2 4 2 5" xfId="2552"/>
    <cellStyle name="Normal 12 2 2 4 2 5 2" xfId="5432"/>
    <cellStyle name="Normal 12 2 2 4 2 5 2 2" xfId="11192"/>
    <cellStyle name="Normal 12 2 2 4 2 5 2 2 2" xfId="28472"/>
    <cellStyle name="Normal 12 2 2 4 2 5 2 3" xfId="16952"/>
    <cellStyle name="Normal 12 2 2 4 2 5 2 3 2" xfId="34232"/>
    <cellStyle name="Normal 12 2 2 4 2 5 2 4" xfId="22712"/>
    <cellStyle name="Normal 12 2 2 4 2 5 3" xfId="8312"/>
    <cellStyle name="Normal 12 2 2 4 2 5 3 2" xfId="25592"/>
    <cellStyle name="Normal 12 2 2 4 2 5 4" xfId="14072"/>
    <cellStyle name="Normal 12 2 2 4 2 5 4 2" xfId="31352"/>
    <cellStyle name="Normal 12 2 2 4 2 5 5" xfId="19832"/>
    <cellStyle name="Normal 12 2 2 4 2 6" xfId="3992"/>
    <cellStyle name="Normal 12 2 2 4 2 6 2" xfId="9752"/>
    <cellStyle name="Normal 12 2 2 4 2 6 2 2" xfId="27032"/>
    <cellStyle name="Normal 12 2 2 4 2 6 3" xfId="15512"/>
    <cellStyle name="Normal 12 2 2 4 2 6 3 2" xfId="32792"/>
    <cellStyle name="Normal 12 2 2 4 2 6 4" xfId="21272"/>
    <cellStyle name="Normal 12 2 2 4 2 7" xfId="6872"/>
    <cellStyle name="Normal 12 2 2 4 2 7 2" xfId="24152"/>
    <cellStyle name="Normal 12 2 2 4 2 8" xfId="12632"/>
    <cellStyle name="Normal 12 2 2 4 2 8 2" xfId="29912"/>
    <cellStyle name="Normal 12 2 2 4 2 9" xfId="18392"/>
    <cellStyle name="Normal 12 2 2 4 3" xfId="1232"/>
    <cellStyle name="Normal 12 2 2 4 3 2" xfId="1952"/>
    <cellStyle name="Normal 12 2 2 4 3 2 2" xfId="3392"/>
    <cellStyle name="Normal 12 2 2 4 3 2 2 2" xfId="6272"/>
    <cellStyle name="Normal 12 2 2 4 3 2 2 2 2" xfId="12032"/>
    <cellStyle name="Normal 12 2 2 4 3 2 2 2 2 2" xfId="29312"/>
    <cellStyle name="Normal 12 2 2 4 3 2 2 2 3" xfId="17792"/>
    <cellStyle name="Normal 12 2 2 4 3 2 2 2 3 2" xfId="35072"/>
    <cellStyle name="Normal 12 2 2 4 3 2 2 2 4" xfId="23552"/>
    <cellStyle name="Normal 12 2 2 4 3 2 2 3" xfId="9152"/>
    <cellStyle name="Normal 12 2 2 4 3 2 2 3 2" xfId="26432"/>
    <cellStyle name="Normal 12 2 2 4 3 2 2 4" xfId="14912"/>
    <cellStyle name="Normal 12 2 2 4 3 2 2 4 2" xfId="32192"/>
    <cellStyle name="Normal 12 2 2 4 3 2 2 5" xfId="20672"/>
    <cellStyle name="Normal 12 2 2 4 3 2 3" xfId="4832"/>
    <cellStyle name="Normal 12 2 2 4 3 2 3 2" xfId="10592"/>
    <cellStyle name="Normal 12 2 2 4 3 2 3 2 2" xfId="27872"/>
    <cellStyle name="Normal 12 2 2 4 3 2 3 3" xfId="16352"/>
    <cellStyle name="Normal 12 2 2 4 3 2 3 3 2" xfId="33632"/>
    <cellStyle name="Normal 12 2 2 4 3 2 3 4" xfId="22112"/>
    <cellStyle name="Normal 12 2 2 4 3 2 4" xfId="7712"/>
    <cellStyle name="Normal 12 2 2 4 3 2 4 2" xfId="24992"/>
    <cellStyle name="Normal 12 2 2 4 3 2 5" xfId="13472"/>
    <cellStyle name="Normal 12 2 2 4 3 2 5 2" xfId="30752"/>
    <cellStyle name="Normal 12 2 2 4 3 2 6" xfId="19232"/>
    <cellStyle name="Normal 12 2 2 4 3 3" xfId="2672"/>
    <cellStyle name="Normal 12 2 2 4 3 3 2" xfId="5552"/>
    <cellStyle name="Normal 12 2 2 4 3 3 2 2" xfId="11312"/>
    <cellStyle name="Normal 12 2 2 4 3 3 2 2 2" xfId="28592"/>
    <cellStyle name="Normal 12 2 2 4 3 3 2 3" xfId="17072"/>
    <cellStyle name="Normal 12 2 2 4 3 3 2 3 2" xfId="34352"/>
    <cellStyle name="Normal 12 2 2 4 3 3 2 4" xfId="22832"/>
    <cellStyle name="Normal 12 2 2 4 3 3 3" xfId="8432"/>
    <cellStyle name="Normal 12 2 2 4 3 3 3 2" xfId="25712"/>
    <cellStyle name="Normal 12 2 2 4 3 3 4" xfId="14192"/>
    <cellStyle name="Normal 12 2 2 4 3 3 4 2" xfId="31472"/>
    <cellStyle name="Normal 12 2 2 4 3 3 5" xfId="19952"/>
    <cellStyle name="Normal 12 2 2 4 3 4" xfId="4112"/>
    <cellStyle name="Normal 12 2 2 4 3 4 2" xfId="9872"/>
    <cellStyle name="Normal 12 2 2 4 3 4 2 2" xfId="27152"/>
    <cellStyle name="Normal 12 2 2 4 3 4 3" xfId="15632"/>
    <cellStyle name="Normal 12 2 2 4 3 4 3 2" xfId="32912"/>
    <cellStyle name="Normal 12 2 2 4 3 4 4" xfId="21392"/>
    <cellStyle name="Normal 12 2 2 4 3 5" xfId="6992"/>
    <cellStyle name="Normal 12 2 2 4 3 5 2" xfId="24272"/>
    <cellStyle name="Normal 12 2 2 4 3 6" xfId="12752"/>
    <cellStyle name="Normal 12 2 2 4 3 6 2" xfId="30032"/>
    <cellStyle name="Normal 12 2 2 4 3 7" xfId="18512"/>
    <cellStyle name="Normal 12 2 2 4 4" xfId="1472"/>
    <cellStyle name="Normal 12 2 2 4 4 2" xfId="2192"/>
    <cellStyle name="Normal 12 2 2 4 4 2 2" xfId="3632"/>
    <cellStyle name="Normal 12 2 2 4 4 2 2 2" xfId="6512"/>
    <cellStyle name="Normal 12 2 2 4 4 2 2 2 2" xfId="12272"/>
    <cellStyle name="Normal 12 2 2 4 4 2 2 2 2 2" xfId="29552"/>
    <cellStyle name="Normal 12 2 2 4 4 2 2 2 3" xfId="18032"/>
    <cellStyle name="Normal 12 2 2 4 4 2 2 2 3 2" xfId="35312"/>
    <cellStyle name="Normal 12 2 2 4 4 2 2 2 4" xfId="23792"/>
    <cellStyle name="Normal 12 2 2 4 4 2 2 3" xfId="9392"/>
    <cellStyle name="Normal 12 2 2 4 4 2 2 3 2" xfId="26672"/>
    <cellStyle name="Normal 12 2 2 4 4 2 2 4" xfId="15152"/>
    <cellStyle name="Normal 12 2 2 4 4 2 2 4 2" xfId="32432"/>
    <cellStyle name="Normal 12 2 2 4 4 2 2 5" xfId="20912"/>
    <cellStyle name="Normal 12 2 2 4 4 2 3" xfId="5072"/>
    <cellStyle name="Normal 12 2 2 4 4 2 3 2" xfId="10832"/>
    <cellStyle name="Normal 12 2 2 4 4 2 3 2 2" xfId="28112"/>
    <cellStyle name="Normal 12 2 2 4 4 2 3 3" xfId="16592"/>
    <cellStyle name="Normal 12 2 2 4 4 2 3 3 2" xfId="33872"/>
    <cellStyle name="Normal 12 2 2 4 4 2 3 4" xfId="22352"/>
    <cellStyle name="Normal 12 2 2 4 4 2 4" xfId="7952"/>
    <cellStyle name="Normal 12 2 2 4 4 2 4 2" xfId="25232"/>
    <cellStyle name="Normal 12 2 2 4 4 2 5" xfId="13712"/>
    <cellStyle name="Normal 12 2 2 4 4 2 5 2" xfId="30992"/>
    <cellStyle name="Normal 12 2 2 4 4 2 6" xfId="19472"/>
    <cellStyle name="Normal 12 2 2 4 4 3" xfId="2912"/>
    <cellStyle name="Normal 12 2 2 4 4 3 2" xfId="5792"/>
    <cellStyle name="Normal 12 2 2 4 4 3 2 2" xfId="11552"/>
    <cellStyle name="Normal 12 2 2 4 4 3 2 2 2" xfId="28832"/>
    <cellStyle name="Normal 12 2 2 4 4 3 2 3" xfId="17312"/>
    <cellStyle name="Normal 12 2 2 4 4 3 2 3 2" xfId="34592"/>
    <cellStyle name="Normal 12 2 2 4 4 3 2 4" xfId="23072"/>
    <cellStyle name="Normal 12 2 2 4 4 3 3" xfId="8672"/>
    <cellStyle name="Normal 12 2 2 4 4 3 3 2" xfId="25952"/>
    <cellStyle name="Normal 12 2 2 4 4 3 4" xfId="14432"/>
    <cellStyle name="Normal 12 2 2 4 4 3 4 2" xfId="31712"/>
    <cellStyle name="Normal 12 2 2 4 4 3 5" xfId="20192"/>
    <cellStyle name="Normal 12 2 2 4 4 4" xfId="4352"/>
    <cellStyle name="Normal 12 2 2 4 4 4 2" xfId="10112"/>
    <cellStyle name="Normal 12 2 2 4 4 4 2 2" xfId="27392"/>
    <cellStyle name="Normal 12 2 2 4 4 4 3" xfId="15872"/>
    <cellStyle name="Normal 12 2 2 4 4 4 3 2" xfId="33152"/>
    <cellStyle name="Normal 12 2 2 4 4 4 4" xfId="21632"/>
    <cellStyle name="Normal 12 2 2 4 4 5" xfId="7232"/>
    <cellStyle name="Normal 12 2 2 4 4 5 2" xfId="24512"/>
    <cellStyle name="Normal 12 2 2 4 4 6" xfId="12992"/>
    <cellStyle name="Normal 12 2 2 4 4 6 2" xfId="30272"/>
    <cellStyle name="Normal 12 2 2 4 4 7" xfId="18752"/>
    <cellStyle name="Normal 12 2 2 4 5" xfId="1712"/>
    <cellStyle name="Normal 12 2 2 4 5 2" xfId="3152"/>
    <cellStyle name="Normal 12 2 2 4 5 2 2" xfId="6032"/>
    <cellStyle name="Normal 12 2 2 4 5 2 2 2" xfId="11792"/>
    <cellStyle name="Normal 12 2 2 4 5 2 2 2 2" xfId="29072"/>
    <cellStyle name="Normal 12 2 2 4 5 2 2 3" xfId="17552"/>
    <cellStyle name="Normal 12 2 2 4 5 2 2 3 2" xfId="34832"/>
    <cellStyle name="Normal 12 2 2 4 5 2 2 4" xfId="23312"/>
    <cellStyle name="Normal 12 2 2 4 5 2 3" xfId="8912"/>
    <cellStyle name="Normal 12 2 2 4 5 2 3 2" xfId="26192"/>
    <cellStyle name="Normal 12 2 2 4 5 2 4" xfId="14672"/>
    <cellStyle name="Normal 12 2 2 4 5 2 4 2" xfId="31952"/>
    <cellStyle name="Normal 12 2 2 4 5 2 5" xfId="20432"/>
    <cellStyle name="Normal 12 2 2 4 5 3" xfId="4592"/>
    <cellStyle name="Normal 12 2 2 4 5 3 2" xfId="10352"/>
    <cellStyle name="Normal 12 2 2 4 5 3 2 2" xfId="27632"/>
    <cellStyle name="Normal 12 2 2 4 5 3 3" xfId="16112"/>
    <cellStyle name="Normal 12 2 2 4 5 3 3 2" xfId="33392"/>
    <cellStyle name="Normal 12 2 2 4 5 3 4" xfId="21872"/>
    <cellStyle name="Normal 12 2 2 4 5 4" xfId="7472"/>
    <cellStyle name="Normal 12 2 2 4 5 4 2" xfId="24752"/>
    <cellStyle name="Normal 12 2 2 4 5 5" xfId="13232"/>
    <cellStyle name="Normal 12 2 2 4 5 5 2" xfId="30512"/>
    <cellStyle name="Normal 12 2 2 4 5 6" xfId="18992"/>
    <cellStyle name="Normal 12 2 2 4 6" xfId="2432"/>
    <cellStyle name="Normal 12 2 2 4 6 2" xfId="5312"/>
    <cellStyle name="Normal 12 2 2 4 6 2 2" xfId="11072"/>
    <cellStyle name="Normal 12 2 2 4 6 2 2 2" xfId="28352"/>
    <cellStyle name="Normal 12 2 2 4 6 2 3" xfId="16832"/>
    <cellStyle name="Normal 12 2 2 4 6 2 3 2" xfId="34112"/>
    <cellStyle name="Normal 12 2 2 4 6 2 4" xfId="22592"/>
    <cellStyle name="Normal 12 2 2 4 6 3" xfId="8192"/>
    <cellStyle name="Normal 12 2 2 4 6 3 2" xfId="25472"/>
    <cellStyle name="Normal 12 2 2 4 6 4" xfId="13952"/>
    <cellStyle name="Normal 12 2 2 4 6 4 2" xfId="31232"/>
    <cellStyle name="Normal 12 2 2 4 6 5" xfId="19712"/>
    <cellStyle name="Normal 12 2 2 4 7" xfId="3872"/>
    <cellStyle name="Normal 12 2 2 4 7 2" xfId="9632"/>
    <cellStyle name="Normal 12 2 2 4 7 2 2" xfId="26912"/>
    <cellStyle name="Normal 12 2 2 4 7 3" xfId="15392"/>
    <cellStyle name="Normal 12 2 2 4 7 3 2" xfId="32672"/>
    <cellStyle name="Normal 12 2 2 4 7 4" xfId="21152"/>
    <cellStyle name="Normal 12 2 2 4 8" xfId="6752"/>
    <cellStyle name="Normal 12 2 2 4 8 2" xfId="24032"/>
    <cellStyle name="Normal 12 2 2 4 9" xfId="12512"/>
    <cellStyle name="Normal 12 2 2 4 9 2" xfId="29792"/>
    <cellStyle name="Normal 12 2 2 5" xfId="1072"/>
    <cellStyle name="Normal 12 2 2 5 2" xfId="1312"/>
    <cellStyle name="Normal 12 2 2 5 2 2" xfId="2032"/>
    <cellStyle name="Normal 12 2 2 5 2 2 2" xfId="3472"/>
    <cellStyle name="Normal 12 2 2 5 2 2 2 2" xfId="6352"/>
    <cellStyle name="Normal 12 2 2 5 2 2 2 2 2" xfId="12112"/>
    <cellStyle name="Normal 12 2 2 5 2 2 2 2 2 2" xfId="29392"/>
    <cellStyle name="Normal 12 2 2 5 2 2 2 2 3" xfId="17872"/>
    <cellStyle name="Normal 12 2 2 5 2 2 2 2 3 2" xfId="35152"/>
    <cellStyle name="Normal 12 2 2 5 2 2 2 2 4" xfId="23632"/>
    <cellStyle name="Normal 12 2 2 5 2 2 2 3" xfId="9232"/>
    <cellStyle name="Normal 12 2 2 5 2 2 2 3 2" xfId="26512"/>
    <cellStyle name="Normal 12 2 2 5 2 2 2 4" xfId="14992"/>
    <cellStyle name="Normal 12 2 2 5 2 2 2 4 2" xfId="32272"/>
    <cellStyle name="Normal 12 2 2 5 2 2 2 5" xfId="20752"/>
    <cellStyle name="Normal 12 2 2 5 2 2 3" xfId="4912"/>
    <cellStyle name="Normal 12 2 2 5 2 2 3 2" xfId="10672"/>
    <cellStyle name="Normal 12 2 2 5 2 2 3 2 2" xfId="27952"/>
    <cellStyle name="Normal 12 2 2 5 2 2 3 3" xfId="16432"/>
    <cellStyle name="Normal 12 2 2 5 2 2 3 3 2" xfId="33712"/>
    <cellStyle name="Normal 12 2 2 5 2 2 3 4" xfId="22192"/>
    <cellStyle name="Normal 12 2 2 5 2 2 4" xfId="7792"/>
    <cellStyle name="Normal 12 2 2 5 2 2 4 2" xfId="25072"/>
    <cellStyle name="Normal 12 2 2 5 2 2 5" xfId="13552"/>
    <cellStyle name="Normal 12 2 2 5 2 2 5 2" xfId="30832"/>
    <cellStyle name="Normal 12 2 2 5 2 2 6" xfId="19312"/>
    <cellStyle name="Normal 12 2 2 5 2 3" xfId="2752"/>
    <cellStyle name="Normal 12 2 2 5 2 3 2" xfId="5632"/>
    <cellStyle name="Normal 12 2 2 5 2 3 2 2" xfId="11392"/>
    <cellStyle name="Normal 12 2 2 5 2 3 2 2 2" xfId="28672"/>
    <cellStyle name="Normal 12 2 2 5 2 3 2 3" xfId="17152"/>
    <cellStyle name="Normal 12 2 2 5 2 3 2 3 2" xfId="34432"/>
    <cellStyle name="Normal 12 2 2 5 2 3 2 4" xfId="22912"/>
    <cellStyle name="Normal 12 2 2 5 2 3 3" xfId="8512"/>
    <cellStyle name="Normal 12 2 2 5 2 3 3 2" xfId="25792"/>
    <cellStyle name="Normal 12 2 2 5 2 3 4" xfId="14272"/>
    <cellStyle name="Normal 12 2 2 5 2 3 4 2" xfId="31552"/>
    <cellStyle name="Normal 12 2 2 5 2 3 5" xfId="20032"/>
    <cellStyle name="Normal 12 2 2 5 2 4" xfId="4192"/>
    <cellStyle name="Normal 12 2 2 5 2 4 2" xfId="9952"/>
    <cellStyle name="Normal 12 2 2 5 2 4 2 2" xfId="27232"/>
    <cellStyle name="Normal 12 2 2 5 2 4 3" xfId="15712"/>
    <cellStyle name="Normal 12 2 2 5 2 4 3 2" xfId="32992"/>
    <cellStyle name="Normal 12 2 2 5 2 4 4" xfId="21472"/>
    <cellStyle name="Normal 12 2 2 5 2 5" xfId="7072"/>
    <cellStyle name="Normal 12 2 2 5 2 5 2" xfId="24352"/>
    <cellStyle name="Normal 12 2 2 5 2 6" xfId="12832"/>
    <cellStyle name="Normal 12 2 2 5 2 6 2" xfId="30112"/>
    <cellStyle name="Normal 12 2 2 5 2 7" xfId="18592"/>
    <cellStyle name="Normal 12 2 2 5 3" xfId="1552"/>
    <cellStyle name="Normal 12 2 2 5 3 2" xfId="2272"/>
    <cellStyle name="Normal 12 2 2 5 3 2 2" xfId="3712"/>
    <cellStyle name="Normal 12 2 2 5 3 2 2 2" xfId="6592"/>
    <cellStyle name="Normal 12 2 2 5 3 2 2 2 2" xfId="12352"/>
    <cellStyle name="Normal 12 2 2 5 3 2 2 2 2 2" xfId="29632"/>
    <cellStyle name="Normal 12 2 2 5 3 2 2 2 3" xfId="18112"/>
    <cellStyle name="Normal 12 2 2 5 3 2 2 2 3 2" xfId="35392"/>
    <cellStyle name="Normal 12 2 2 5 3 2 2 2 4" xfId="23872"/>
    <cellStyle name="Normal 12 2 2 5 3 2 2 3" xfId="9472"/>
    <cellStyle name="Normal 12 2 2 5 3 2 2 3 2" xfId="26752"/>
    <cellStyle name="Normal 12 2 2 5 3 2 2 4" xfId="15232"/>
    <cellStyle name="Normal 12 2 2 5 3 2 2 4 2" xfId="32512"/>
    <cellStyle name="Normal 12 2 2 5 3 2 2 5" xfId="20992"/>
    <cellStyle name="Normal 12 2 2 5 3 2 3" xfId="5152"/>
    <cellStyle name="Normal 12 2 2 5 3 2 3 2" xfId="10912"/>
    <cellStyle name="Normal 12 2 2 5 3 2 3 2 2" xfId="28192"/>
    <cellStyle name="Normal 12 2 2 5 3 2 3 3" xfId="16672"/>
    <cellStyle name="Normal 12 2 2 5 3 2 3 3 2" xfId="33952"/>
    <cellStyle name="Normal 12 2 2 5 3 2 3 4" xfId="22432"/>
    <cellStyle name="Normal 12 2 2 5 3 2 4" xfId="8032"/>
    <cellStyle name="Normal 12 2 2 5 3 2 4 2" xfId="25312"/>
    <cellStyle name="Normal 12 2 2 5 3 2 5" xfId="13792"/>
    <cellStyle name="Normal 12 2 2 5 3 2 5 2" xfId="31072"/>
    <cellStyle name="Normal 12 2 2 5 3 2 6" xfId="19552"/>
    <cellStyle name="Normal 12 2 2 5 3 3" xfId="2992"/>
    <cellStyle name="Normal 12 2 2 5 3 3 2" xfId="5872"/>
    <cellStyle name="Normal 12 2 2 5 3 3 2 2" xfId="11632"/>
    <cellStyle name="Normal 12 2 2 5 3 3 2 2 2" xfId="28912"/>
    <cellStyle name="Normal 12 2 2 5 3 3 2 3" xfId="17392"/>
    <cellStyle name="Normal 12 2 2 5 3 3 2 3 2" xfId="34672"/>
    <cellStyle name="Normal 12 2 2 5 3 3 2 4" xfId="23152"/>
    <cellStyle name="Normal 12 2 2 5 3 3 3" xfId="8752"/>
    <cellStyle name="Normal 12 2 2 5 3 3 3 2" xfId="26032"/>
    <cellStyle name="Normal 12 2 2 5 3 3 4" xfId="14512"/>
    <cellStyle name="Normal 12 2 2 5 3 3 4 2" xfId="31792"/>
    <cellStyle name="Normal 12 2 2 5 3 3 5" xfId="20272"/>
    <cellStyle name="Normal 12 2 2 5 3 4" xfId="4432"/>
    <cellStyle name="Normal 12 2 2 5 3 4 2" xfId="10192"/>
    <cellStyle name="Normal 12 2 2 5 3 4 2 2" xfId="27472"/>
    <cellStyle name="Normal 12 2 2 5 3 4 3" xfId="15952"/>
    <cellStyle name="Normal 12 2 2 5 3 4 3 2" xfId="33232"/>
    <cellStyle name="Normal 12 2 2 5 3 4 4" xfId="21712"/>
    <cellStyle name="Normal 12 2 2 5 3 5" xfId="7312"/>
    <cellStyle name="Normal 12 2 2 5 3 5 2" xfId="24592"/>
    <cellStyle name="Normal 12 2 2 5 3 6" xfId="13072"/>
    <cellStyle name="Normal 12 2 2 5 3 6 2" xfId="30352"/>
    <cellStyle name="Normal 12 2 2 5 3 7" xfId="18832"/>
    <cellStyle name="Normal 12 2 2 5 4" xfId="1792"/>
    <cellStyle name="Normal 12 2 2 5 4 2" xfId="3232"/>
    <cellStyle name="Normal 12 2 2 5 4 2 2" xfId="6112"/>
    <cellStyle name="Normal 12 2 2 5 4 2 2 2" xfId="11872"/>
    <cellStyle name="Normal 12 2 2 5 4 2 2 2 2" xfId="29152"/>
    <cellStyle name="Normal 12 2 2 5 4 2 2 3" xfId="17632"/>
    <cellStyle name="Normal 12 2 2 5 4 2 2 3 2" xfId="34912"/>
    <cellStyle name="Normal 12 2 2 5 4 2 2 4" xfId="23392"/>
    <cellStyle name="Normal 12 2 2 5 4 2 3" xfId="8992"/>
    <cellStyle name="Normal 12 2 2 5 4 2 3 2" xfId="26272"/>
    <cellStyle name="Normal 12 2 2 5 4 2 4" xfId="14752"/>
    <cellStyle name="Normal 12 2 2 5 4 2 4 2" xfId="32032"/>
    <cellStyle name="Normal 12 2 2 5 4 2 5" xfId="20512"/>
    <cellStyle name="Normal 12 2 2 5 4 3" xfId="4672"/>
    <cellStyle name="Normal 12 2 2 5 4 3 2" xfId="10432"/>
    <cellStyle name="Normal 12 2 2 5 4 3 2 2" xfId="27712"/>
    <cellStyle name="Normal 12 2 2 5 4 3 3" xfId="16192"/>
    <cellStyle name="Normal 12 2 2 5 4 3 3 2" xfId="33472"/>
    <cellStyle name="Normal 12 2 2 5 4 3 4" xfId="21952"/>
    <cellStyle name="Normal 12 2 2 5 4 4" xfId="7552"/>
    <cellStyle name="Normal 12 2 2 5 4 4 2" xfId="24832"/>
    <cellStyle name="Normal 12 2 2 5 4 5" xfId="13312"/>
    <cellStyle name="Normal 12 2 2 5 4 5 2" xfId="30592"/>
    <cellStyle name="Normal 12 2 2 5 4 6" xfId="19072"/>
    <cellStyle name="Normal 12 2 2 5 5" xfId="2512"/>
    <cellStyle name="Normal 12 2 2 5 5 2" xfId="5392"/>
    <cellStyle name="Normal 12 2 2 5 5 2 2" xfId="11152"/>
    <cellStyle name="Normal 12 2 2 5 5 2 2 2" xfId="28432"/>
    <cellStyle name="Normal 12 2 2 5 5 2 3" xfId="16912"/>
    <cellStyle name="Normal 12 2 2 5 5 2 3 2" xfId="34192"/>
    <cellStyle name="Normal 12 2 2 5 5 2 4" xfId="22672"/>
    <cellStyle name="Normal 12 2 2 5 5 3" xfId="8272"/>
    <cellStyle name="Normal 12 2 2 5 5 3 2" xfId="25552"/>
    <cellStyle name="Normal 12 2 2 5 5 4" xfId="14032"/>
    <cellStyle name="Normal 12 2 2 5 5 4 2" xfId="31312"/>
    <cellStyle name="Normal 12 2 2 5 5 5" xfId="19792"/>
    <cellStyle name="Normal 12 2 2 5 6" xfId="3952"/>
    <cellStyle name="Normal 12 2 2 5 6 2" xfId="9712"/>
    <cellStyle name="Normal 12 2 2 5 6 2 2" xfId="26992"/>
    <cellStyle name="Normal 12 2 2 5 6 3" xfId="15472"/>
    <cellStyle name="Normal 12 2 2 5 6 3 2" xfId="32752"/>
    <cellStyle name="Normal 12 2 2 5 6 4" xfId="21232"/>
    <cellStyle name="Normal 12 2 2 5 7" xfId="6832"/>
    <cellStyle name="Normal 12 2 2 5 7 2" xfId="24112"/>
    <cellStyle name="Normal 12 2 2 5 8" xfId="12592"/>
    <cellStyle name="Normal 12 2 2 5 8 2" xfId="29872"/>
    <cellStyle name="Normal 12 2 2 5 9" xfId="18352"/>
    <cellStyle name="Normal 12 2 2 6" xfId="1192"/>
    <cellStyle name="Normal 12 2 2 6 2" xfId="1912"/>
    <cellStyle name="Normal 12 2 2 6 2 2" xfId="3352"/>
    <cellStyle name="Normal 12 2 2 6 2 2 2" xfId="6232"/>
    <cellStyle name="Normal 12 2 2 6 2 2 2 2" xfId="11992"/>
    <cellStyle name="Normal 12 2 2 6 2 2 2 2 2" xfId="29272"/>
    <cellStyle name="Normal 12 2 2 6 2 2 2 3" xfId="17752"/>
    <cellStyle name="Normal 12 2 2 6 2 2 2 3 2" xfId="35032"/>
    <cellStyle name="Normal 12 2 2 6 2 2 2 4" xfId="23512"/>
    <cellStyle name="Normal 12 2 2 6 2 2 3" xfId="9112"/>
    <cellStyle name="Normal 12 2 2 6 2 2 3 2" xfId="26392"/>
    <cellStyle name="Normal 12 2 2 6 2 2 4" xfId="14872"/>
    <cellStyle name="Normal 12 2 2 6 2 2 4 2" xfId="32152"/>
    <cellStyle name="Normal 12 2 2 6 2 2 5" xfId="20632"/>
    <cellStyle name="Normal 12 2 2 6 2 3" xfId="4792"/>
    <cellStyle name="Normal 12 2 2 6 2 3 2" xfId="10552"/>
    <cellStyle name="Normal 12 2 2 6 2 3 2 2" xfId="27832"/>
    <cellStyle name="Normal 12 2 2 6 2 3 3" xfId="16312"/>
    <cellStyle name="Normal 12 2 2 6 2 3 3 2" xfId="33592"/>
    <cellStyle name="Normal 12 2 2 6 2 3 4" xfId="22072"/>
    <cellStyle name="Normal 12 2 2 6 2 4" xfId="7672"/>
    <cellStyle name="Normal 12 2 2 6 2 4 2" xfId="24952"/>
    <cellStyle name="Normal 12 2 2 6 2 5" xfId="13432"/>
    <cellStyle name="Normal 12 2 2 6 2 5 2" xfId="30712"/>
    <cellStyle name="Normal 12 2 2 6 2 6" xfId="19192"/>
    <cellStyle name="Normal 12 2 2 6 3" xfId="2632"/>
    <cellStyle name="Normal 12 2 2 6 3 2" xfId="5512"/>
    <cellStyle name="Normal 12 2 2 6 3 2 2" xfId="11272"/>
    <cellStyle name="Normal 12 2 2 6 3 2 2 2" xfId="28552"/>
    <cellStyle name="Normal 12 2 2 6 3 2 3" xfId="17032"/>
    <cellStyle name="Normal 12 2 2 6 3 2 3 2" xfId="34312"/>
    <cellStyle name="Normal 12 2 2 6 3 2 4" xfId="22792"/>
    <cellStyle name="Normal 12 2 2 6 3 3" xfId="8392"/>
    <cellStyle name="Normal 12 2 2 6 3 3 2" xfId="25672"/>
    <cellStyle name="Normal 12 2 2 6 3 4" xfId="14152"/>
    <cellStyle name="Normal 12 2 2 6 3 4 2" xfId="31432"/>
    <cellStyle name="Normal 12 2 2 6 3 5" xfId="19912"/>
    <cellStyle name="Normal 12 2 2 6 4" xfId="4072"/>
    <cellStyle name="Normal 12 2 2 6 4 2" xfId="9832"/>
    <cellStyle name="Normal 12 2 2 6 4 2 2" xfId="27112"/>
    <cellStyle name="Normal 12 2 2 6 4 3" xfId="15592"/>
    <cellStyle name="Normal 12 2 2 6 4 3 2" xfId="32872"/>
    <cellStyle name="Normal 12 2 2 6 4 4" xfId="21352"/>
    <cellStyle name="Normal 12 2 2 6 5" xfId="6952"/>
    <cellStyle name="Normal 12 2 2 6 5 2" xfId="24232"/>
    <cellStyle name="Normal 12 2 2 6 6" xfId="12712"/>
    <cellStyle name="Normal 12 2 2 6 6 2" xfId="29992"/>
    <cellStyle name="Normal 12 2 2 6 7" xfId="18472"/>
    <cellStyle name="Normal 12 2 2 7" xfId="1432"/>
    <cellStyle name="Normal 12 2 2 7 2" xfId="2152"/>
    <cellStyle name="Normal 12 2 2 7 2 2" xfId="3592"/>
    <cellStyle name="Normal 12 2 2 7 2 2 2" xfId="6472"/>
    <cellStyle name="Normal 12 2 2 7 2 2 2 2" xfId="12232"/>
    <cellStyle name="Normal 12 2 2 7 2 2 2 2 2" xfId="29512"/>
    <cellStyle name="Normal 12 2 2 7 2 2 2 3" xfId="17992"/>
    <cellStyle name="Normal 12 2 2 7 2 2 2 3 2" xfId="35272"/>
    <cellStyle name="Normal 12 2 2 7 2 2 2 4" xfId="23752"/>
    <cellStyle name="Normal 12 2 2 7 2 2 3" xfId="9352"/>
    <cellStyle name="Normal 12 2 2 7 2 2 3 2" xfId="26632"/>
    <cellStyle name="Normal 12 2 2 7 2 2 4" xfId="15112"/>
    <cellStyle name="Normal 12 2 2 7 2 2 4 2" xfId="32392"/>
    <cellStyle name="Normal 12 2 2 7 2 2 5" xfId="20872"/>
    <cellStyle name="Normal 12 2 2 7 2 3" xfId="5032"/>
    <cellStyle name="Normal 12 2 2 7 2 3 2" xfId="10792"/>
    <cellStyle name="Normal 12 2 2 7 2 3 2 2" xfId="28072"/>
    <cellStyle name="Normal 12 2 2 7 2 3 3" xfId="16552"/>
    <cellStyle name="Normal 12 2 2 7 2 3 3 2" xfId="33832"/>
    <cellStyle name="Normal 12 2 2 7 2 3 4" xfId="22312"/>
    <cellStyle name="Normal 12 2 2 7 2 4" xfId="7912"/>
    <cellStyle name="Normal 12 2 2 7 2 4 2" xfId="25192"/>
    <cellStyle name="Normal 12 2 2 7 2 5" xfId="13672"/>
    <cellStyle name="Normal 12 2 2 7 2 5 2" xfId="30952"/>
    <cellStyle name="Normal 12 2 2 7 2 6" xfId="19432"/>
    <cellStyle name="Normal 12 2 2 7 3" xfId="2872"/>
    <cellStyle name="Normal 12 2 2 7 3 2" xfId="5752"/>
    <cellStyle name="Normal 12 2 2 7 3 2 2" xfId="11512"/>
    <cellStyle name="Normal 12 2 2 7 3 2 2 2" xfId="28792"/>
    <cellStyle name="Normal 12 2 2 7 3 2 3" xfId="17272"/>
    <cellStyle name="Normal 12 2 2 7 3 2 3 2" xfId="34552"/>
    <cellStyle name="Normal 12 2 2 7 3 2 4" xfId="23032"/>
    <cellStyle name="Normal 12 2 2 7 3 3" xfId="8632"/>
    <cellStyle name="Normal 12 2 2 7 3 3 2" xfId="25912"/>
    <cellStyle name="Normal 12 2 2 7 3 4" xfId="14392"/>
    <cellStyle name="Normal 12 2 2 7 3 4 2" xfId="31672"/>
    <cellStyle name="Normal 12 2 2 7 3 5" xfId="20152"/>
    <cellStyle name="Normal 12 2 2 7 4" xfId="4312"/>
    <cellStyle name="Normal 12 2 2 7 4 2" xfId="10072"/>
    <cellStyle name="Normal 12 2 2 7 4 2 2" xfId="27352"/>
    <cellStyle name="Normal 12 2 2 7 4 3" xfId="15832"/>
    <cellStyle name="Normal 12 2 2 7 4 3 2" xfId="33112"/>
    <cellStyle name="Normal 12 2 2 7 4 4" xfId="21592"/>
    <cellStyle name="Normal 12 2 2 7 5" xfId="7192"/>
    <cellStyle name="Normal 12 2 2 7 5 2" xfId="24472"/>
    <cellStyle name="Normal 12 2 2 7 6" xfId="12952"/>
    <cellStyle name="Normal 12 2 2 7 6 2" xfId="30232"/>
    <cellStyle name="Normal 12 2 2 7 7" xfId="18712"/>
    <cellStyle name="Normal 12 2 2 8" xfId="1672"/>
    <cellStyle name="Normal 12 2 2 8 2" xfId="3112"/>
    <cellStyle name="Normal 12 2 2 8 2 2" xfId="5992"/>
    <cellStyle name="Normal 12 2 2 8 2 2 2" xfId="11752"/>
    <cellStyle name="Normal 12 2 2 8 2 2 2 2" xfId="29032"/>
    <cellStyle name="Normal 12 2 2 8 2 2 3" xfId="17512"/>
    <cellStyle name="Normal 12 2 2 8 2 2 3 2" xfId="34792"/>
    <cellStyle name="Normal 12 2 2 8 2 2 4" xfId="23272"/>
    <cellStyle name="Normal 12 2 2 8 2 3" xfId="8872"/>
    <cellStyle name="Normal 12 2 2 8 2 3 2" xfId="26152"/>
    <cellStyle name="Normal 12 2 2 8 2 4" xfId="14632"/>
    <cellStyle name="Normal 12 2 2 8 2 4 2" xfId="31912"/>
    <cellStyle name="Normal 12 2 2 8 2 5" xfId="20392"/>
    <cellStyle name="Normal 12 2 2 8 3" xfId="4552"/>
    <cellStyle name="Normal 12 2 2 8 3 2" xfId="10312"/>
    <cellStyle name="Normal 12 2 2 8 3 2 2" xfId="27592"/>
    <cellStyle name="Normal 12 2 2 8 3 3" xfId="16072"/>
    <cellStyle name="Normal 12 2 2 8 3 3 2" xfId="33352"/>
    <cellStyle name="Normal 12 2 2 8 3 4" xfId="21832"/>
    <cellStyle name="Normal 12 2 2 8 4" xfId="7432"/>
    <cellStyle name="Normal 12 2 2 8 4 2" xfId="24712"/>
    <cellStyle name="Normal 12 2 2 8 5" xfId="13192"/>
    <cellStyle name="Normal 12 2 2 8 5 2" xfId="30472"/>
    <cellStyle name="Normal 12 2 2 8 6" xfId="18952"/>
    <cellStyle name="Normal 12 2 2 9" xfId="2392"/>
    <cellStyle name="Normal 12 2 2 9 2" xfId="5272"/>
    <cellStyle name="Normal 12 2 2 9 2 2" xfId="11032"/>
    <cellStyle name="Normal 12 2 2 9 2 2 2" xfId="28312"/>
    <cellStyle name="Normal 12 2 2 9 2 3" xfId="16792"/>
    <cellStyle name="Normal 12 2 2 9 2 3 2" xfId="34072"/>
    <cellStyle name="Normal 12 2 2 9 2 4" xfId="22552"/>
    <cellStyle name="Normal 12 2 2 9 3" xfId="8152"/>
    <cellStyle name="Normal 12 2 2 9 3 2" xfId="25432"/>
    <cellStyle name="Normal 12 2 2 9 4" xfId="13912"/>
    <cellStyle name="Normal 12 2 2 9 4 2" xfId="31192"/>
    <cellStyle name="Normal 12 2 2 9 5" xfId="19672"/>
    <cellStyle name="Normal 12 2 3" xfId="411"/>
    <cellStyle name="Normal 12 2 3 10" xfId="6722"/>
    <cellStyle name="Normal 12 2 3 10 2" xfId="24002"/>
    <cellStyle name="Normal 12 2 3 11" xfId="12482"/>
    <cellStyle name="Normal 12 2 3 11 2" xfId="29762"/>
    <cellStyle name="Normal 12 2 3 12" xfId="18242"/>
    <cellStyle name="Normal 12 2 3 2" xfId="1042"/>
    <cellStyle name="Normal 12 2 3 2 10" xfId="18322"/>
    <cellStyle name="Normal 12 2 3 2 2" xfId="1162"/>
    <cellStyle name="Normal 12 2 3 2 2 2" xfId="1402"/>
    <cellStyle name="Normal 12 2 3 2 2 2 2" xfId="2122"/>
    <cellStyle name="Normal 12 2 3 2 2 2 2 2" xfId="3562"/>
    <cellStyle name="Normal 12 2 3 2 2 2 2 2 2" xfId="6442"/>
    <cellStyle name="Normal 12 2 3 2 2 2 2 2 2 2" xfId="12202"/>
    <cellStyle name="Normal 12 2 3 2 2 2 2 2 2 2 2" xfId="29482"/>
    <cellStyle name="Normal 12 2 3 2 2 2 2 2 2 3" xfId="17962"/>
    <cellStyle name="Normal 12 2 3 2 2 2 2 2 2 3 2" xfId="35242"/>
    <cellStyle name="Normal 12 2 3 2 2 2 2 2 2 4" xfId="23722"/>
    <cellStyle name="Normal 12 2 3 2 2 2 2 2 3" xfId="9322"/>
    <cellStyle name="Normal 12 2 3 2 2 2 2 2 3 2" xfId="26602"/>
    <cellStyle name="Normal 12 2 3 2 2 2 2 2 4" xfId="15082"/>
    <cellStyle name="Normal 12 2 3 2 2 2 2 2 4 2" xfId="32362"/>
    <cellStyle name="Normal 12 2 3 2 2 2 2 2 5" xfId="20842"/>
    <cellStyle name="Normal 12 2 3 2 2 2 2 3" xfId="5002"/>
    <cellStyle name="Normal 12 2 3 2 2 2 2 3 2" xfId="10762"/>
    <cellStyle name="Normal 12 2 3 2 2 2 2 3 2 2" xfId="28042"/>
    <cellStyle name="Normal 12 2 3 2 2 2 2 3 3" xfId="16522"/>
    <cellStyle name="Normal 12 2 3 2 2 2 2 3 3 2" xfId="33802"/>
    <cellStyle name="Normal 12 2 3 2 2 2 2 3 4" xfId="22282"/>
    <cellStyle name="Normal 12 2 3 2 2 2 2 4" xfId="7882"/>
    <cellStyle name="Normal 12 2 3 2 2 2 2 4 2" xfId="25162"/>
    <cellStyle name="Normal 12 2 3 2 2 2 2 5" xfId="13642"/>
    <cellStyle name="Normal 12 2 3 2 2 2 2 5 2" xfId="30922"/>
    <cellStyle name="Normal 12 2 3 2 2 2 2 6" xfId="19402"/>
    <cellStyle name="Normal 12 2 3 2 2 2 3" xfId="2842"/>
    <cellStyle name="Normal 12 2 3 2 2 2 3 2" xfId="5722"/>
    <cellStyle name="Normal 12 2 3 2 2 2 3 2 2" xfId="11482"/>
    <cellStyle name="Normal 12 2 3 2 2 2 3 2 2 2" xfId="28762"/>
    <cellStyle name="Normal 12 2 3 2 2 2 3 2 3" xfId="17242"/>
    <cellStyle name="Normal 12 2 3 2 2 2 3 2 3 2" xfId="34522"/>
    <cellStyle name="Normal 12 2 3 2 2 2 3 2 4" xfId="23002"/>
    <cellStyle name="Normal 12 2 3 2 2 2 3 3" xfId="8602"/>
    <cellStyle name="Normal 12 2 3 2 2 2 3 3 2" xfId="25882"/>
    <cellStyle name="Normal 12 2 3 2 2 2 3 4" xfId="14362"/>
    <cellStyle name="Normal 12 2 3 2 2 2 3 4 2" xfId="31642"/>
    <cellStyle name="Normal 12 2 3 2 2 2 3 5" xfId="20122"/>
    <cellStyle name="Normal 12 2 3 2 2 2 4" xfId="4282"/>
    <cellStyle name="Normal 12 2 3 2 2 2 4 2" xfId="10042"/>
    <cellStyle name="Normal 12 2 3 2 2 2 4 2 2" xfId="27322"/>
    <cellStyle name="Normal 12 2 3 2 2 2 4 3" xfId="15802"/>
    <cellStyle name="Normal 12 2 3 2 2 2 4 3 2" xfId="33082"/>
    <cellStyle name="Normal 12 2 3 2 2 2 4 4" xfId="21562"/>
    <cellStyle name="Normal 12 2 3 2 2 2 5" xfId="7162"/>
    <cellStyle name="Normal 12 2 3 2 2 2 5 2" xfId="24442"/>
    <cellStyle name="Normal 12 2 3 2 2 2 6" xfId="12922"/>
    <cellStyle name="Normal 12 2 3 2 2 2 6 2" xfId="30202"/>
    <cellStyle name="Normal 12 2 3 2 2 2 7" xfId="18682"/>
    <cellStyle name="Normal 12 2 3 2 2 3" xfId="1642"/>
    <cellStyle name="Normal 12 2 3 2 2 3 2" xfId="2362"/>
    <cellStyle name="Normal 12 2 3 2 2 3 2 2" xfId="3802"/>
    <cellStyle name="Normal 12 2 3 2 2 3 2 2 2" xfId="6682"/>
    <cellStyle name="Normal 12 2 3 2 2 3 2 2 2 2" xfId="12442"/>
    <cellStyle name="Normal 12 2 3 2 2 3 2 2 2 2 2" xfId="29722"/>
    <cellStyle name="Normal 12 2 3 2 2 3 2 2 2 3" xfId="18202"/>
    <cellStyle name="Normal 12 2 3 2 2 3 2 2 2 3 2" xfId="35482"/>
    <cellStyle name="Normal 12 2 3 2 2 3 2 2 2 4" xfId="23962"/>
    <cellStyle name="Normal 12 2 3 2 2 3 2 2 3" xfId="9562"/>
    <cellStyle name="Normal 12 2 3 2 2 3 2 2 3 2" xfId="26842"/>
    <cellStyle name="Normal 12 2 3 2 2 3 2 2 4" xfId="15322"/>
    <cellStyle name="Normal 12 2 3 2 2 3 2 2 4 2" xfId="32602"/>
    <cellStyle name="Normal 12 2 3 2 2 3 2 2 5" xfId="21082"/>
    <cellStyle name="Normal 12 2 3 2 2 3 2 3" xfId="5242"/>
    <cellStyle name="Normal 12 2 3 2 2 3 2 3 2" xfId="11002"/>
    <cellStyle name="Normal 12 2 3 2 2 3 2 3 2 2" xfId="28282"/>
    <cellStyle name="Normal 12 2 3 2 2 3 2 3 3" xfId="16762"/>
    <cellStyle name="Normal 12 2 3 2 2 3 2 3 3 2" xfId="34042"/>
    <cellStyle name="Normal 12 2 3 2 2 3 2 3 4" xfId="22522"/>
    <cellStyle name="Normal 12 2 3 2 2 3 2 4" xfId="8122"/>
    <cellStyle name="Normal 12 2 3 2 2 3 2 4 2" xfId="25402"/>
    <cellStyle name="Normal 12 2 3 2 2 3 2 5" xfId="13882"/>
    <cellStyle name="Normal 12 2 3 2 2 3 2 5 2" xfId="31162"/>
    <cellStyle name="Normal 12 2 3 2 2 3 2 6" xfId="19642"/>
    <cellStyle name="Normal 12 2 3 2 2 3 3" xfId="3082"/>
    <cellStyle name="Normal 12 2 3 2 2 3 3 2" xfId="5962"/>
    <cellStyle name="Normal 12 2 3 2 2 3 3 2 2" xfId="11722"/>
    <cellStyle name="Normal 12 2 3 2 2 3 3 2 2 2" xfId="29002"/>
    <cellStyle name="Normal 12 2 3 2 2 3 3 2 3" xfId="17482"/>
    <cellStyle name="Normal 12 2 3 2 2 3 3 2 3 2" xfId="34762"/>
    <cellStyle name="Normal 12 2 3 2 2 3 3 2 4" xfId="23242"/>
    <cellStyle name="Normal 12 2 3 2 2 3 3 3" xfId="8842"/>
    <cellStyle name="Normal 12 2 3 2 2 3 3 3 2" xfId="26122"/>
    <cellStyle name="Normal 12 2 3 2 2 3 3 4" xfId="14602"/>
    <cellStyle name="Normal 12 2 3 2 2 3 3 4 2" xfId="31882"/>
    <cellStyle name="Normal 12 2 3 2 2 3 3 5" xfId="20362"/>
    <cellStyle name="Normal 12 2 3 2 2 3 4" xfId="4522"/>
    <cellStyle name="Normal 12 2 3 2 2 3 4 2" xfId="10282"/>
    <cellStyle name="Normal 12 2 3 2 2 3 4 2 2" xfId="27562"/>
    <cellStyle name="Normal 12 2 3 2 2 3 4 3" xfId="16042"/>
    <cellStyle name="Normal 12 2 3 2 2 3 4 3 2" xfId="33322"/>
    <cellStyle name="Normal 12 2 3 2 2 3 4 4" xfId="21802"/>
    <cellStyle name="Normal 12 2 3 2 2 3 5" xfId="7402"/>
    <cellStyle name="Normal 12 2 3 2 2 3 5 2" xfId="24682"/>
    <cellStyle name="Normal 12 2 3 2 2 3 6" xfId="13162"/>
    <cellStyle name="Normal 12 2 3 2 2 3 6 2" xfId="30442"/>
    <cellStyle name="Normal 12 2 3 2 2 3 7" xfId="18922"/>
    <cellStyle name="Normal 12 2 3 2 2 4" xfId="1882"/>
    <cellStyle name="Normal 12 2 3 2 2 4 2" xfId="3322"/>
    <cellStyle name="Normal 12 2 3 2 2 4 2 2" xfId="6202"/>
    <cellStyle name="Normal 12 2 3 2 2 4 2 2 2" xfId="11962"/>
    <cellStyle name="Normal 12 2 3 2 2 4 2 2 2 2" xfId="29242"/>
    <cellStyle name="Normal 12 2 3 2 2 4 2 2 3" xfId="17722"/>
    <cellStyle name="Normal 12 2 3 2 2 4 2 2 3 2" xfId="35002"/>
    <cellStyle name="Normal 12 2 3 2 2 4 2 2 4" xfId="23482"/>
    <cellStyle name="Normal 12 2 3 2 2 4 2 3" xfId="9082"/>
    <cellStyle name="Normal 12 2 3 2 2 4 2 3 2" xfId="26362"/>
    <cellStyle name="Normal 12 2 3 2 2 4 2 4" xfId="14842"/>
    <cellStyle name="Normal 12 2 3 2 2 4 2 4 2" xfId="32122"/>
    <cellStyle name="Normal 12 2 3 2 2 4 2 5" xfId="20602"/>
    <cellStyle name="Normal 12 2 3 2 2 4 3" xfId="4762"/>
    <cellStyle name="Normal 12 2 3 2 2 4 3 2" xfId="10522"/>
    <cellStyle name="Normal 12 2 3 2 2 4 3 2 2" xfId="27802"/>
    <cellStyle name="Normal 12 2 3 2 2 4 3 3" xfId="16282"/>
    <cellStyle name="Normal 12 2 3 2 2 4 3 3 2" xfId="33562"/>
    <cellStyle name="Normal 12 2 3 2 2 4 3 4" xfId="22042"/>
    <cellStyle name="Normal 12 2 3 2 2 4 4" xfId="7642"/>
    <cellStyle name="Normal 12 2 3 2 2 4 4 2" xfId="24922"/>
    <cellStyle name="Normal 12 2 3 2 2 4 5" xfId="13402"/>
    <cellStyle name="Normal 12 2 3 2 2 4 5 2" xfId="30682"/>
    <cellStyle name="Normal 12 2 3 2 2 4 6" xfId="19162"/>
    <cellStyle name="Normal 12 2 3 2 2 5" xfId="2602"/>
    <cellStyle name="Normal 12 2 3 2 2 5 2" xfId="5482"/>
    <cellStyle name="Normal 12 2 3 2 2 5 2 2" xfId="11242"/>
    <cellStyle name="Normal 12 2 3 2 2 5 2 2 2" xfId="28522"/>
    <cellStyle name="Normal 12 2 3 2 2 5 2 3" xfId="17002"/>
    <cellStyle name="Normal 12 2 3 2 2 5 2 3 2" xfId="34282"/>
    <cellStyle name="Normal 12 2 3 2 2 5 2 4" xfId="22762"/>
    <cellStyle name="Normal 12 2 3 2 2 5 3" xfId="8362"/>
    <cellStyle name="Normal 12 2 3 2 2 5 3 2" xfId="25642"/>
    <cellStyle name="Normal 12 2 3 2 2 5 4" xfId="14122"/>
    <cellStyle name="Normal 12 2 3 2 2 5 4 2" xfId="31402"/>
    <cellStyle name="Normal 12 2 3 2 2 5 5" xfId="19882"/>
    <cellStyle name="Normal 12 2 3 2 2 6" xfId="4042"/>
    <cellStyle name="Normal 12 2 3 2 2 6 2" xfId="9802"/>
    <cellStyle name="Normal 12 2 3 2 2 6 2 2" xfId="27082"/>
    <cellStyle name="Normal 12 2 3 2 2 6 3" xfId="15562"/>
    <cellStyle name="Normal 12 2 3 2 2 6 3 2" xfId="32842"/>
    <cellStyle name="Normal 12 2 3 2 2 6 4" xfId="21322"/>
    <cellStyle name="Normal 12 2 3 2 2 7" xfId="6922"/>
    <cellStyle name="Normal 12 2 3 2 2 7 2" xfId="24202"/>
    <cellStyle name="Normal 12 2 3 2 2 8" xfId="12682"/>
    <cellStyle name="Normal 12 2 3 2 2 8 2" xfId="29962"/>
    <cellStyle name="Normal 12 2 3 2 2 9" xfId="18442"/>
    <cellStyle name="Normal 12 2 3 2 3" xfId="1282"/>
    <cellStyle name="Normal 12 2 3 2 3 2" xfId="2002"/>
    <cellStyle name="Normal 12 2 3 2 3 2 2" xfId="3442"/>
    <cellStyle name="Normal 12 2 3 2 3 2 2 2" xfId="6322"/>
    <cellStyle name="Normal 12 2 3 2 3 2 2 2 2" xfId="12082"/>
    <cellStyle name="Normal 12 2 3 2 3 2 2 2 2 2" xfId="29362"/>
    <cellStyle name="Normal 12 2 3 2 3 2 2 2 3" xfId="17842"/>
    <cellStyle name="Normal 12 2 3 2 3 2 2 2 3 2" xfId="35122"/>
    <cellStyle name="Normal 12 2 3 2 3 2 2 2 4" xfId="23602"/>
    <cellStyle name="Normal 12 2 3 2 3 2 2 3" xfId="9202"/>
    <cellStyle name="Normal 12 2 3 2 3 2 2 3 2" xfId="26482"/>
    <cellStyle name="Normal 12 2 3 2 3 2 2 4" xfId="14962"/>
    <cellStyle name="Normal 12 2 3 2 3 2 2 4 2" xfId="32242"/>
    <cellStyle name="Normal 12 2 3 2 3 2 2 5" xfId="20722"/>
    <cellStyle name="Normal 12 2 3 2 3 2 3" xfId="4882"/>
    <cellStyle name="Normal 12 2 3 2 3 2 3 2" xfId="10642"/>
    <cellStyle name="Normal 12 2 3 2 3 2 3 2 2" xfId="27922"/>
    <cellStyle name="Normal 12 2 3 2 3 2 3 3" xfId="16402"/>
    <cellStyle name="Normal 12 2 3 2 3 2 3 3 2" xfId="33682"/>
    <cellStyle name="Normal 12 2 3 2 3 2 3 4" xfId="22162"/>
    <cellStyle name="Normal 12 2 3 2 3 2 4" xfId="7762"/>
    <cellStyle name="Normal 12 2 3 2 3 2 4 2" xfId="25042"/>
    <cellStyle name="Normal 12 2 3 2 3 2 5" xfId="13522"/>
    <cellStyle name="Normal 12 2 3 2 3 2 5 2" xfId="30802"/>
    <cellStyle name="Normal 12 2 3 2 3 2 6" xfId="19282"/>
    <cellStyle name="Normal 12 2 3 2 3 3" xfId="2722"/>
    <cellStyle name="Normal 12 2 3 2 3 3 2" xfId="5602"/>
    <cellStyle name="Normal 12 2 3 2 3 3 2 2" xfId="11362"/>
    <cellStyle name="Normal 12 2 3 2 3 3 2 2 2" xfId="28642"/>
    <cellStyle name="Normal 12 2 3 2 3 3 2 3" xfId="17122"/>
    <cellStyle name="Normal 12 2 3 2 3 3 2 3 2" xfId="34402"/>
    <cellStyle name="Normal 12 2 3 2 3 3 2 4" xfId="22882"/>
    <cellStyle name="Normal 12 2 3 2 3 3 3" xfId="8482"/>
    <cellStyle name="Normal 12 2 3 2 3 3 3 2" xfId="25762"/>
    <cellStyle name="Normal 12 2 3 2 3 3 4" xfId="14242"/>
    <cellStyle name="Normal 12 2 3 2 3 3 4 2" xfId="31522"/>
    <cellStyle name="Normal 12 2 3 2 3 3 5" xfId="20002"/>
    <cellStyle name="Normal 12 2 3 2 3 4" xfId="4162"/>
    <cellStyle name="Normal 12 2 3 2 3 4 2" xfId="9922"/>
    <cellStyle name="Normal 12 2 3 2 3 4 2 2" xfId="27202"/>
    <cellStyle name="Normal 12 2 3 2 3 4 3" xfId="15682"/>
    <cellStyle name="Normal 12 2 3 2 3 4 3 2" xfId="32962"/>
    <cellStyle name="Normal 12 2 3 2 3 4 4" xfId="21442"/>
    <cellStyle name="Normal 12 2 3 2 3 5" xfId="7042"/>
    <cellStyle name="Normal 12 2 3 2 3 5 2" xfId="24322"/>
    <cellStyle name="Normal 12 2 3 2 3 6" xfId="12802"/>
    <cellStyle name="Normal 12 2 3 2 3 6 2" xfId="30082"/>
    <cellStyle name="Normal 12 2 3 2 3 7" xfId="18562"/>
    <cellStyle name="Normal 12 2 3 2 4" xfId="1522"/>
    <cellStyle name="Normal 12 2 3 2 4 2" xfId="2242"/>
    <cellStyle name="Normal 12 2 3 2 4 2 2" xfId="3682"/>
    <cellStyle name="Normal 12 2 3 2 4 2 2 2" xfId="6562"/>
    <cellStyle name="Normal 12 2 3 2 4 2 2 2 2" xfId="12322"/>
    <cellStyle name="Normal 12 2 3 2 4 2 2 2 2 2" xfId="29602"/>
    <cellStyle name="Normal 12 2 3 2 4 2 2 2 3" xfId="18082"/>
    <cellStyle name="Normal 12 2 3 2 4 2 2 2 3 2" xfId="35362"/>
    <cellStyle name="Normal 12 2 3 2 4 2 2 2 4" xfId="23842"/>
    <cellStyle name="Normal 12 2 3 2 4 2 2 3" xfId="9442"/>
    <cellStyle name="Normal 12 2 3 2 4 2 2 3 2" xfId="26722"/>
    <cellStyle name="Normal 12 2 3 2 4 2 2 4" xfId="15202"/>
    <cellStyle name="Normal 12 2 3 2 4 2 2 4 2" xfId="32482"/>
    <cellStyle name="Normal 12 2 3 2 4 2 2 5" xfId="20962"/>
    <cellStyle name="Normal 12 2 3 2 4 2 3" xfId="5122"/>
    <cellStyle name="Normal 12 2 3 2 4 2 3 2" xfId="10882"/>
    <cellStyle name="Normal 12 2 3 2 4 2 3 2 2" xfId="28162"/>
    <cellStyle name="Normal 12 2 3 2 4 2 3 3" xfId="16642"/>
    <cellStyle name="Normal 12 2 3 2 4 2 3 3 2" xfId="33922"/>
    <cellStyle name="Normal 12 2 3 2 4 2 3 4" xfId="22402"/>
    <cellStyle name="Normal 12 2 3 2 4 2 4" xfId="8002"/>
    <cellStyle name="Normal 12 2 3 2 4 2 4 2" xfId="25282"/>
    <cellStyle name="Normal 12 2 3 2 4 2 5" xfId="13762"/>
    <cellStyle name="Normal 12 2 3 2 4 2 5 2" xfId="31042"/>
    <cellStyle name="Normal 12 2 3 2 4 2 6" xfId="19522"/>
    <cellStyle name="Normal 12 2 3 2 4 3" xfId="2962"/>
    <cellStyle name="Normal 12 2 3 2 4 3 2" xfId="5842"/>
    <cellStyle name="Normal 12 2 3 2 4 3 2 2" xfId="11602"/>
    <cellStyle name="Normal 12 2 3 2 4 3 2 2 2" xfId="28882"/>
    <cellStyle name="Normal 12 2 3 2 4 3 2 3" xfId="17362"/>
    <cellStyle name="Normal 12 2 3 2 4 3 2 3 2" xfId="34642"/>
    <cellStyle name="Normal 12 2 3 2 4 3 2 4" xfId="23122"/>
    <cellStyle name="Normal 12 2 3 2 4 3 3" xfId="8722"/>
    <cellStyle name="Normal 12 2 3 2 4 3 3 2" xfId="26002"/>
    <cellStyle name="Normal 12 2 3 2 4 3 4" xfId="14482"/>
    <cellStyle name="Normal 12 2 3 2 4 3 4 2" xfId="31762"/>
    <cellStyle name="Normal 12 2 3 2 4 3 5" xfId="20242"/>
    <cellStyle name="Normal 12 2 3 2 4 4" xfId="4402"/>
    <cellStyle name="Normal 12 2 3 2 4 4 2" xfId="10162"/>
    <cellStyle name="Normal 12 2 3 2 4 4 2 2" xfId="27442"/>
    <cellStyle name="Normal 12 2 3 2 4 4 3" xfId="15922"/>
    <cellStyle name="Normal 12 2 3 2 4 4 3 2" xfId="33202"/>
    <cellStyle name="Normal 12 2 3 2 4 4 4" xfId="21682"/>
    <cellStyle name="Normal 12 2 3 2 4 5" xfId="7282"/>
    <cellStyle name="Normal 12 2 3 2 4 5 2" xfId="24562"/>
    <cellStyle name="Normal 12 2 3 2 4 6" xfId="13042"/>
    <cellStyle name="Normal 12 2 3 2 4 6 2" xfId="30322"/>
    <cellStyle name="Normal 12 2 3 2 4 7" xfId="18802"/>
    <cellStyle name="Normal 12 2 3 2 5" xfId="1762"/>
    <cellStyle name="Normal 12 2 3 2 5 2" xfId="3202"/>
    <cellStyle name="Normal 12 2 3 2 5 2 2" xfId="6082"/>
    <cellStyle name="Normal 12 2 3 2 5 2 2 2" xfId="11842"/>
    <cellStyle name="Normal 12 2 3 2 5 2 2 2 2" xfId="29122"/>
    <cellStyle name="Normal 12 2 3 2 5 2 2 3" xfId="17602"/>
    <cellStyle name="Normal 12 2 3 2 5 2 2 3 2" xfId="34882"/>
    <cellStyle name="Normal 12 2 3 2 5 2 2 4" xfId="23362"/>
    <cellStyle name="Normal 12 2 3 2 5 2 3" xfId="8962"/>
    <cellStyle name="Normal 12 2 3 2 5 2 3 2" xfId="26242"/>
    <cellStyle name="Normal 12 2 3 2 5 2 4" xfId="14722"/>
    <cellStyle name="Normal 12 2 3 2 5 2 4 2" xfId="32002"/>
    <cellStyle name="Normal 12 2 3 2 5 2 5" xfId="20482"/>
    <cellStyle name="Normal 12 2 3 2 5 3" xfId="4642"/>
    <cellStyle name="Normal 12 2 3 2 5 3 2" xfId="10402"/>
    <cellStyle name="Normal 12 2 3 2 5 3 2 2" xfId="27682"/>
    <cellStyle name="Normal 12 2 3 2 5 3 3" xfId="16162"/>
    <cellStyle name="Normal 12 2 3 2 5 3 3 2" xfId="33442"/>
    <cellStyle name="Normal 12 2 3 2 5 3 4" xfId="21922"/>
    <cellStyle name="Normal 12 2 3 2 5 4" xfId="7522"/>
    <cellStyle name="Normal 12 2 3 2 5 4 2" xfId="24802"/>
    <cellStyle name="Normal 12 2 3 2 5 5" xfId="13282"/>
    <cellStyle name="Normal 12 2 3 2 5 5 2" xfId="30562"/>
    <cellStyle name="Normal 12 2 3 2 5 6" xfId="19042"/>
    <cellStyle name="Normal 12 2 3 2 6" xfId="2482"/>
    <cellStyle name="Normal 12 2 3 2 6 2" xfId="5362"/>
    <cellStyle name="Normal 12 2 3 2 6 2 2" xfId="11122"/>
    <cellStyle name="Normal 12 2 3 2 6 2 2 2" xfId="28402"/>
    <cellStyle name="Normal 12 2 3 2 6 2 3" xfId="16882"/>
    <cellStyle name="Normal 12 2 3 2 6 2 3 2" xfId="34162"/>
    <cellStyle name="Normal 12 2 3 2 6 2 4" xfId="22642"/>
    <cellStyle name="Normal 12 2 3 2 6 3" xfId="8242"/>
    <cellStyle name="Normal 12 2 3 2 6 3 2" xfId="25522"/>
    <cellStyle name="Normal 12 2 3 2 6 4" xfId="14002"/>
    <cellStyle name="Normal 12 2 3 2 6 4 2" xfId="31282"/>
    <cellStyle name="Normal 12 2 3 2 6 5" xfId="19762"/>
    <cellStyle name="Normal 12 2 3 2 7" xfId="3922"/>
    <cellStyle name="Normal 12 2 3 2 7 2" xfId="9682"/>
    <cellStyle name="Normal 12 2 3 2 7 2 2" xfId="26962"/>
    <cellStyle name="Normal 12 2 3 2 7 3" xfId="15442"/>
    <cellStyle name="Normal 12 2 3 2 7 3 2" xfId="32722"/>
    <cellStyle name="Normal 12 2 3 2 7 4" xfId="21202"/>
    <cellStyle name="Normal 12 2 3 2 8" xfId="6802"/>
    <cellStyle name="Normal 12 2 3 2 8 2" xfId="24082"/>
    <cellStyle name="Normal 12 2 3 2 9" xfId="12562"/>
    <cellStyle name="Normal 12 2 3 2 9 2" xfId="29842"/>
    <cellStyle name="Normal 12 2 3 3" xfId="1002"/>
    <cellStyle name="Normal 12 2 3 3 10" xfId="18282"/>
    <cellStyle name="Normal 12 2 3 3 2" xfId="1122"/>
    <cellStyle name="Normal 12 2 3 3 2 2" xfId="1362"/>
    <cellStyle name="Normal 12 2 3 3 2 2 2" xfId="2082"/>
    <cellStyle name="Normal 12 2 3 3 2 2 2 2" xfId="3522"/>
    <cellStyle name="Normal 12 2 3 3 2 2 2 2 2" xfId="6402"/>
    <cellStyle name="Normal 12 2 3 3 2 2 2 2 2 2" xfId="12162"/>
    <cellStyle name="Normal 12 2 3 3 2 2 2 2 2 2 2" xfId="29442"/>
    <cellStyle name="Normal 12 2 3 3 2 2 2 2 2 3" xfId="17922"/>
    <cellStyle name="Normal 12 2 3 3 2 2 2 2 2 3 2" xfId="35202"/>
    <cellStyle name="Normal 12 2 3 3 2 2 2 2 2 4" xfId="23682"/>
    <cellStyle name="Normal 12 2 3 3 2 2 2 2 3" xfId="9282"/>
    <cellStyle name="Normal 12 2 3 3 2 2 2 2 3 2" xfId="26562"/>
    <cellStyle name="Normal 12 2 3 3 2 2 2 2 4" xfId="15042"/>
    <cellStyle name="Normal 12 2 3 3 2 2 2 2 4 2" xfId="32322"/>
    <cellStyle name="Normal 12 2 3 3 2 2 2 2 5" xfId="20802"/>
    <cellStyle name="Normal 12 2 3 3 2 2 2 3" xfId="4962"/>
    <cellStyle name="Normal 12 2 3 3 2 2 2 3 2" xfId="10722"/>
    <cellStyle name="Normal 12 2 3 3 2 2 2 3 2 2" xfId="28002"/>
    <cellStyle name="Normal 12 2 3 3 2 2 2 3 3" xfId="16482"/>
    <cellStyle name="Normal 12 2 3 3 2 2 2 3 3 2" xfId="33762"/>
    <cellStyle name="Normal 12 2 3 3 2 2 2 3 4" xfId="22242"/>
    <cellStyle name="Normal 12 2 3 3 2 2 2 4" xfId="7842"/>
    <cellStyle name="Normal 12 2 3 3 2 2 2 4 2" xfId="25122"/>
    <cellStyle name="Normal 12 2 3 3 2 2 2 5" xfId="13602"/>
    <cellStyle name="Normal 12 2 3 3 2 2 2 5 2" xfId="30882"/>
    <cellStyle name="Normal 12 2 3 3 2 2 2 6" xfId="19362"/>
    <cellStyle name="Normal 12 2 3 3 2 2 3" xfId="2802"/>
    <cellStyle name="Normal 12 2 3 3 2 2 3 2" xfId="5682"/>
    <cellStyle name="Normal 12 2 3 3 2 2 3 2 2" xfId="11442"/>
    <cellStyle name="Normal 12 2 3 3 2 2 3 2 2 2" xfId="28722"/>
    <cellStyle name="Normal 12 2 3 3 2 2 3 2 3" xfId="17202"/>
    <cellStyle name="Normal 12 2 3 3 2 2 3 2 3 2" xfId="34482"/>
    <cellStyle name="Normal 12 2 3 3 2 2 3 2 4" xfId="22962"/>
    <cellStyle name="Normal 12 2 3 3 2 2 3 3" xfId="8562"/>
    <cellStyle name="Normal 12 2 3 3 2 2 3 3 2" xfId="25842"/>
    <cellStyle name="Normal 12 2 3 3 2 2 3 4" xfId="14322"/>
    <cellStyle name="Normal 12 2 3 3 2 2 3 4 2" xfId="31602"/>
    <cellStyle name="Normal 12 2 3 3 2 2 3 5" xfId="20082"/>
    <cellStyle name="Normal 12 2 3 3 2 2 4" xfId="4242"/>
    <cellStyle name="Normal 12 2 3 3 2 2 4 2" xfId="10002"/>
    <cellStyle name="Normal 12 2 3 3 2 2 4 2 2" xfId="27282"/>
    <cellStyle name="Normal 12 2 3 3 2 2 4 3" xfId="15762"/>
    <cellStyle name="Normal 12 2 3 3 2 2 4 3 2" xfId="33042"/>
    <cellStyle name="Normal 12 2 3 3 2 2 4 4" xfId="21522"/>
    <cellStyle name="Normal 12 2 3 3 2 2 5" xfId="7122"/>
    <cellStyle name="Normal 12 2 3 3 2 2 5 2" xfId="24402"/>
    <cellStyle name="Normal 12 2 3 3 2 2 6" xfId="12882"/>
    <cellStyle name="Normal 12 2 3 3 2 2 6 2" xfId="30162"/>
    <cellStyle name="Normal 12 2 3 3 2 2 7" xfId="18642"/>
    <cellStyle name="Normal 12 2 3 3 2 3" xfId="1602"/>
    <cellStyle name="Normal 12 2 3 3 2 3 2" xfId="2322"/>
    <cellStyle name="Normal 12 2 3 3 2 3 2 2" xfId="3762"/>
    <cellStyle name="Normal 12 2 3 3 2 3 2 2 2" xfId="6642"/>
    <cellStyle name="Normal 12 2 3 3 2 3 2 2 2 2" xfId="12402"/>
    <cellStyle name="Normal 12 2 3 3 2 3 2 2 2 2 2" xfId="29682"/>
    <cellStyle name="Normal 12 2 3 3 2 3 2 2 2 3" xfId="18162"/>
    <cellStyle name="Normal 12 2 3 3 2 3 2 2 2 3 2" xfId="35442"/>
    <cellStyle name="Normal 12 2 3 3 2 3 2 2 2 4" xfId="23922"/>
    <cellStyle name="Normal 12 2 3 3 2 3 2 2 3" xfId="9522"/>
    <cellStyle name="Normal 12 2 3 3 2 3 2 2 3 2" xfId="26802"/>
    <cellStyle name="Normal 12 2 3 3 2 3 2 2 4" xfId="15282"/>
    <cellStyle name="Normal 12 2 3 3 2 3 2 2 4 2" xfId="32562"/>
    <cellStyle name="Normal 12 2 3 3 2 3 2 2 5" xfId="21042"/>
    <cellStyle name="Normal 12 2 3 3 2 3 2 3" xfId="5202"/>
    <cellStyle name="Normal 12 2 3 3 2 3 2 3 2" xfId="10962"/>
    <cellStyle name="Normal 12 2 3 3 2 3 2 3 2 2" xfId="28242"/>
    <cellStyle name="Normal 12 2 3 3 2 3 2 3 3" xfId="16722"/>
    <cellStyle name="Normal 12 2 3 3 2 3 2 3 3 2" xfId="34002"/>
    <cellStyle name="Normal 12 2 3 3 2 3 2 3 4" xfId="22482"/>
    <cellStyle name="Normal 12 2 3 3 2 3 2 4" xfId="8082"/>
    <cellStyle name="Normal 12 2 3 3 2 3 2 4 2" xfId="25362"/>
    <cellStyle name="Normal 12 2 3 3 2 3 2 5" xfId="13842"/>
    <cellStyle name="Normal 12 2 3 3 2 3 2 5 2" xfId="31122"/>
    <cellStyle name="Normal 12 2 3 3 2 3 2 6" xfId="19602"/>
    <cellStyle name="Normal 12 2 3 3 2 3 3" xfId="3042"/>
    <cellStyle name="Normal 12 2 3 3 2 3 3 2" xfId="5922"/>
    <cellStyle name="Normal 12 2 3 3 2 3 3 2 2" xfId="11682"/>
    <cellStyle name="Normal 12 2 3 3 2 3 3 2 2 2" xfId="28962"/>
    <cellStyle name="Normal 12 2 3 3 2 3 3 2 3" xfId="17442"/>
    <cellStyle name="Normal 12 2 3 3 2 3 3 2 3 2" xfId="34722"/>
    <cellStyle name="Normal 12 2 3 3 2 3 3 2 4" xfId="23202"/>
    <cellStyle name="Normal 12 2 3 3 2 3 3 3" xfId="8802"/>
    <cellStyle name="Normal 12 2 3 3 2 3 3 3 2" xfId="26082"/>
    <cellStyle name="Normal 12 2 3 3 2 3 3 4" xfId="14562"/>
    <cellStyle name="Normal 12 2 3 3 2 3 3 4 2" xfId="31842"/>
    <cellStyle name="Normal 12 2 3 3 2 3 3 5" xfId="20322"/>
    <cellStyle name="Normal 12 2 3 3 2 3 4" xfId="4482"/>
    <cellStyle name="Normal 12 2 3 3 2 3 4 2" xfId="10242"/>
    <cellStyle name="Normal 12 2 3 3 2 3 4 2 2" xfId="27522"/>
    <cellStyle name="Normal 12 2 3 3 2 3 4 3" xfId="16002"/>
    <cellStyle name="Normal 12 2 3 3 2 3 4 3 2" xfId="33282"/>
    <cellStyle name="Normal 12 2 3 3 2 3 4 4" xfId="21762"/>
    <cellStyle name="Normal 12 2 3 3 2 3 5" xfId="7362"/>
    <cellStyle name="Normal 12 2 3 3 2 3 5 2" xfId="24642"/>
    <cellStyle name="Normal 12 2 3 3 2 3 6" xfId="13122"/>
    <cellStyle name="Normal 12 2 3 3 2 3 6 2" xfId="30402"/>
    <cellStyle name="Normal 12 2 3 3 2 3 7" xfId="18882"/>
    <cellStyle name="Normal 12 2 3 3 2 4" xfId="1842"/>
    <cellStyle name="Normal 12 2 3 3 2 4 2" xfId="3282"/>
    <cellStyle name="Normal 12 2 3 3 2 4 2 2" xfId="6162"/>
    <cellStyle name="Normal 12 2 3 3 2 4 2 2 2" xfId="11922"/>
    <cellStyle name="Normal 12 2 3 3 2 4 2 2 2 2" xfId="29202"/>
    <cellStyle name="Normal 12 2 3 3 2 4 2 2 3" xfId="17682"/>
    <cellStyle name="Normal 12 2 3 3 2 4 2 2 3 2" xfId="34962"/>
    <cellStyle name="Normal 12 2 3 3 2 4 2 2 4" xfId="23442"/>
    <cellStyle name="Normal 12 2 3 3 2 4 2 3" xfId="9042"/>
    <cellStyle name="Normal 12 2 3 3 2 4 2 3 2" xfId="26322"/>
    <cellStyle name="Normal 12 2 3 3 2 4 2 4" xfId="14802"/>
    <cellStyle name="Normal 12 2 3 3 2 4 2 4 2" xfId="32082"/>
    <cellStyle name="Normal 12 2 3 3 2 4 2 5" xfId="20562"/>
    <cellStyle name="Normal 12 2 3 3 2 4 3" xfId="4722"/>
    <cellStyle name="Normal 12 2 3 3 2 4 3 2" xfId="10482"/>
    <cellStyle name="Normal 12 2 3 3 2 4 3 2 2" xfId="27762"/>
    <cellStyle name="Normal 12 2 3 3 2 4 3 3" xfId="16242"/>
    <cellStyle name="Normal 12 2 3 3 2 4 3 3 2" xfId="33522"/>
    <cellStyle name="Normal 12 2 3 3 2 4 3 4" xfId="22002"/>
    <cellStyle name="Normal 12 2 3 3 2 4 4" xfId="7602"/>
    <cellStyle name="Normal 12 2 3 3 2 4 4 2" xfId="24882"/>
    <cellStyle name="Normal 12 2 3 3 2 4 5" xfId="13362"/>
    <cellStyle name="Normal 12 2 3 3 2 4 5 2" xfId="30642"/>
    <cellStyle name="Normal 12 2 3 3 2 4 6" xfId="19122"/>
    <cellStyle name="Normal 12 2 3 3 2 5" xfId="2562"/>
    <cellStyle name="Normal 12 2 3 3 2 5 2" xfId="5442"/>
    <cellStyle name="Normal 12 2 3 3 2 5 2 2" xfId="11202"/>
    <cellStyle name="Normal 12 2 3 3 2 5 2 2 2" xfId="28482"/>
    <cellStyle name="Normal 12 2 3 3 2 5 2 3" xfId="16962"/>
    <cellStyle name="Normal 12 2 3 3 2 5 2 3 2" xfId="34242"/>
    <cellStyle name="Normal 12 2 3 3 2 5 2 4" xfId="22722"/>
    <cellStyle name="Normal 12 2 3 3 2 5 3" xfId="8322"/>
    <cellStyle name="Normal 12 2 3 3 2 5 3 2" xfId="25602"/>
    <cellStyle name="Normal 12 2 3 3 2 5 4" xfId="14082"/>
    <cellStyle name="Normal 12 2 3 3 2 5 4 2" xfId="31362"/>
    <cellStyle name="Normal 12 2 3 3 2 5 5" xfId="19842"/>
    <cellStyle name="Normal 12 2 3 3 2 6" xfId="4002"/>
    <cellStyle name="Normal 12 2 3 3 2 6 2" xfId="9762"/>
    <cellStyle name="Normal 12 2 3 3 2 6 2 2" xfId="27042"/>
    <cellStyle name="Normal 12 2 3 3 2 6 3" xfId="15522"/>
    <cellStyle name="Normal 12 2 3 3 2 6 3 2" xfId="32802"/>
    <cellStyle name="Normal 12 2 3 3 2 6 4" xfId="21282"/>
    <cellStyle name="Normal 12 2 3 3 2 7" xfId="6882"/>
    <cellStyle name="Normal 12 2 3 3 2 7 2" xfId="24162"/>
    <cellStyle name="Normal 12 2 3 3 2 8" xfId="12642"/>
    <cellStyle name="Normal 12 2 3 3 2 8 2" xfId="29922"/>
    <cellStyle name="Normal 12 2 3 3 2 9" xfId="18402"/>
    <cellStyle name="Normal 12 2 3 3 3" xfId="1242"/>
    <cellStyle name="Normal 12 2 3 3 3 2" xfId="1962"/>
    <cellStyle name="Normal 12 2 3 3 3 2 2" xfId="3402"/>
    <cellStyle name="Normal 12 2 3 3 3 2 2 2" xfId="6282"/>
    <cellStyle name="Normal 12 2 3 3 3 2 2 2 2" xfId="12042"/>
    <cellStyle name="Normal 12 2 3 3 3 2 2 2 2 2" xfId="29322"/>
    <cellStyle name="Normal 12 2 3 3 3 2 2 2 3" xfId="17802"/>
    <cellStyle name="Normal 12 2 3 3 3 2 2 2 3 2" xfId="35082"/>
    <cellStyle name="Normal 12 2 3 3 3 2 2 2 4" xfId="23562"/>
    <cellStyle name="Normal 12 2 3 3 3 2 2 3" xfId="9162"/>
    <cellStyle name="Normal 12 2 3 3 3 2 2 3 2" xfId="26442"/>
    <cellStyle name="Normal 12 2 3 3 3 2 2 4" xfId="14922"/>
    <cellStyle name="Normal 12 2 3 3 3 2 2 4 2" xfId="32202"/>
    <cellStyle name="Normal 12 2 3 3 3 2 2 5" xfId="20682"/>
    <cellStyle name="Normal 12 2 3 3 3 2 3" xfId="4842"/>
    <cellStyle name="Normal 12 2 3 3 3 2 3 2" xfId="10602"/>
    <cellStyle name="Normal 12 2 3 3 3 2 3 2 2" xfId="27882"/>
    <cellStyle name="Normal 12 2 3 3 3 2 3 3" xfId="16362"/>
    <cellStyle name="Normal 12 2 3 3 3 2 3 3 2" xfId="33642"/>
    <cellStyle name="Normal 12 2 3 3 3 2 3 4" xfId="22122"/>
    <cellStyle name="Normal 12 2 3 3 3 2 4" xfId="7722"/>
    <cellStyle name="Normal 12 2 3 3 3 2 4 2" xfId="25002"/>
    <cellStyle name="Normal 12 2 3 3 3 2 5" xfId="13482"/>
    <cellStyle name="Normal 12 2 3 3 3 2 5 2" xfId="30762"/>
    <cellStyle name="Normal 12 2 3 3 3 2 6" xfId="19242"/>
    <cellStyle name="Normal 12 2 3 3 3 3" xfId="2682"/>
    <cellStyle name="Normal 12 2 3 3 3 3 2" xfId="5562"/>
    <cellStyle name="Normal 12 2 3 3 3 3 2 2" xfId="11322"/>
    <cellStyle name="Normal 12 2 3 3 3 3 2 2 2" xfId="28602"/>
    <cellStyle name="Normal 12 2 3 3 3 3 2 3" xfId="17082"/>
    <cellStyle name="Normal 12 2 3 3 3 3 2 3 2" xfId="34362"/>
    <cellStyle name="Normal 12 2 3 3 3 3 2 4" xfId="22842"/>
    <cellStyle name="Normal 12 2 3 3 3 3 3" xfId="8442"/>
    <cellStyle name="Normal 12 2 3 3 3 3 3 2" xfId="25722"/>
    <cellStyle name="Normal 12 2 3 3 3 3 4" xfId="14202"/>
    <cellStyle name="Normal 12 2 3 3 3 3 4 2" xfId="31482"/>
    <cellStyle name="Normal 12 2 3 3 3 3 5" xfId="19962"/>
    <cellStyle name="Normal 12 2 3 3 3 4" xfId="4122"/>
    <cellStyle name="Normal 12 2 3 3 3 4 2" xfId="9882"/>
    <cellStyle name="Normal 12 2 3 3 3 4 2 2" xfId="27162"/>
    <cellStyle name="Normal 12 2 3 3 3 4 3" xfId="15642"/>
    <cellStyle name="Normal 12 2 3 3 3 4 3 2" xfId="32922"/>
    <cellStyle name="Normal 12 2 3 3 3 4 4" xfId="21402"/>
    <cellStyle name="Normal 12 2 3 3 3 5" xfId="7002"/>
    <cellStyle name="Normal 12 2 3 3 3 5 2" xfId="24282"/>
    <cellStyle name="Normal 12 2 3 3 3 6" xfId="12762"/>
    <cellStyle name="Normal 12 2 3 3 3 6 2" xfId="30042"/>
    <cellStyle name="Normal 12 2 3 3 3 7" xfId="18522"/>
    <cellStyle name="Normal 12 2 3 3 4" xfId="1482"/>
    <cellStyle name="Normal 12 2 3 3 4 2" xfId="2202"/>
    <cellStyle name="Normal 12 2 3 3 4 2 2" xfId="3642"/>
    <cellStyle name="Normal 12 2 3 3 4 2 2 2" xfId="6522"/>
    <cellStyle name="Normal 12 2 3 3 4 2 2 2 2" xfId="12282"/>
    <cellStyle name="Normal 12 2 3 3 4 2 2 2 2 2" xfId="29562"/>
    <cellStyle name="Normal 12 2 3 3 4 2 2 2 3" xfId="18042"/>
    <cellStyle name="Normal 12 2 3 3 4 2 2 2 3 2" xfId="35322"/>
    <cellStyle name="Normal 12 2 3 3 4 2 2 2 4" xfId="23802"/>
    <cellStyle name="Normal 12 2 3 3 4 2 2 3" xfId="9402"/>
    <cellStyle name="Normal 12 2 3 3 4 2 2 3 2" xfId="26682"/>
    <cellStyle name="Normal 12 2 3 3 4 2 2 4" xfId="15162"/>
    <cellStyle name="Normal 12 2 3 3 4 2 2 4 2" xfId="32442"/>
    <cellStyle name="Normal 12 2 3 3 4 2 2 5" xfId="20922"/>
    <cellStyle name="Normal 12 2 3 3 4 2 3" xfId="5082"/>
    <cellStyle name="Normal 12 2 3 3 4 2 3 2" xfId="10842"/>
    <cellStyle name="Normal 12 2 3 3 4 2 3 2 2" xfId="28122"/>
    <cellStyle name="Normal 12 2 3 3 4 2 3 3" xfId="16602"/>
    <cellStyle name="Normal 12 2 3 3 4 2 3 3 2" xfId="33882"/>
    <cellStyle name="Normal 12 2 3 3 4 2 3 4" xfId="22362"/>
    <cellStyle name="Normal 12 2 3 3 4 2 4" xfId="7962"/>
    <cellStyle name="Normal 12 2 3 3 4 2 4 2" xfId="25242"/>
    <cellStyle name="Normal 12 2 3 3 4 2 5" xfId="13722"/>
    <cellStyle name="Normal 12 2 3 3 4 2 5 2" xfId="31002"/>
    <cellStyle name="Normal 12 2 3 3 4 2 6" xfId="19482"/>
    <cellStyle name="Normal 12 2 3 3 4 3" xfId="2922"/>
    <cellStyle name="Normal 12 2 3 3 4 3 2" xfId="5802"/>
    <cellStyle name="Normal 12 2 3 3 4 3 2 2" xfId="11562"/>
    <cellStyle name="Normal 12 2 3 3 4 3 2 2 2" xfId="28842"/>
    <cellStyle name="Normal 12 2 3 3 4 3 2 3" xfId="17322"/>
    <cellStyle name="Normal 12 2 3 3 4 3 2 3 2" xfId="34602"/>
    <cellStyle name="Normal 12 2 3 3 4 3 2 4" xfId="23082"/>
    <cellStyle name="Normal 12 2 3 3 4 3 3" xfId="8682"/>
    <cellStyle name="Normal 12 2 3 3 4 3 3 2" xfId="25962"/>
    <cellStyle name="Normal 12 2 3 3 4 3 4" xfId="14442"/>
    <cellStyle name="Normal 12 2 3 3 4 3 4 2" xfId="31722"/>
    <cellStyle name="Normal 12 2 3 3 4 3 5" xfId="20202"/>
    <cellStyle name="Normal 12 2 3 3 4 4" xfId="4362"/>
    <cellStyle name="Normal 12 2 3 3 4 4 2" xfId="10122"/>
    <cellStyle name="Normal 12 2 3 3 4 4 2 2" xfId="27402"/>
    <cellStyle name="Normal 12 2 3 3 4 4 3" xfId="15882"/>
    <cellStyle name="Normal 12 2 3 3 4 4 3 2" xfId="33162"/>
    <cellStyle name="Normal 12 2 3 3 4 4 4" xfId="21642"/>
    <cellStyle name="Normal 12 2 3 3 4 5" xfId="7242"/>
    <cellStyle name="Normal 12 2 3 3 4 5 2" xfId="24522"/>
    <cellStyle name="Normal 12 2 3 3 4 6" xfId="13002"/>
    <cellStyle name="Normal 12 2 3 3 4 6 2" xfId="30282"/>
    <cellStyle name="Normal 12 2 3 3 4 7" xfId="18762"/>
    <cellStyle name="Normal 12 2 3 3 5" xfId="1722"/>
    <cellStyle name="Normal 12 2 3 3 5 2" xfId="3162"/>
    <cellStyle name="Normal 12 2 3 3 5 2 2" xfId="6042"/>
    <cellStyle name="Normal 12 2 3 3 5 2 2 2" xfId="11802"/>
    <cellStyle name="Normal 12 2 3 3 5 2 2 2 2" xfId="29082"/>
    <cellStyle name="Normal 12 2 3 3 5 2 2 3" xfId="17562"/>
    <cellStyle name="Normal 12 2 3 3 5 2 2 3 2" xfId="34842"/>
    <cellStyle name="Normal 12 2 3 3 5 2 2 4" xfId="23322"/>
    <cellStyle name="Normal 12 2 3 3 5 2 3" xfId="8922"/>
    <cellStyle name="Normal 12 2 3 3 5 2 3 2" xfId="26202"/>
    <cellStyle name="Normal 12 2 3 3 5 2 4" xfId="14682"/>
    <cellStyle name="Normal 12 2 3 3 5 2 4 2" xfId="31962"/>
    <cellStyle name="Normal 12 2 3 3 5 2 5" xfId="20442"/>
    <cellStyle name="Normal 12 2 3 3 5 3" xfId="4602"/>
    <cellStyle name="Normal 12 2 3 3 5 3 2" xfId="10362"/>
    <cellStyle name="Normal 12 2 3 3 5 3 2 2" xfId="27642"/>
    <cellStyle name="Normal 12 2 3 3 5 3 3" xfId="16122"/>
    <cellStyle name="Normal 12 2 3 3 5 3 3 2" xfId="33402"/>
    <cellStyle name="Normal 12 2 3 3 5 3 4" xfId="21882"/>
    <cellStyle name="Normal 12 2 3 3 5 4" xfId="7482"/>
    <cellStyle name="Normal 12 2 3 3 5 4 2" xfId="24762"/>
    <cellStyle name="Normal 12 2 3 3 5 5" xfId="13242"/>
    <cellStyle name="Normal 12 2 3 3 5 5 2" xfId="30522"/>
    <cellStyle name="Normal 12 2 3 3 5 6" xfId="19002"/>
    <cellStyle name="Normal 12 2 3 3 6" xfId="2442"/>
    <cellStyle name="Normal 12 2 3 3 6 2" xfId="5322"/>
    <cellStyle name="Normal 12 2 3 3 6 2 2" xfId="11082"/>
    <cellStyle name="Normal 12 2 3 3 6 2 2 2" xfId="28362"/>
    <cellStyle name="Normal 12 2 3 3 6 2 3" xfId="16842"/>
    <cellStyle name="Normal 12 2 3 3 6 2 3 2" xfId="34122"/>
    <cellStyle name="Normal 12 2 3 3 6 2 4" xfId="22602"/>
    <cellStyle name="Normal 12 2 3 3 6 3" xfId="8202"/>
    <cellStyle name="Normal 12 2 3 3 6 3 2" xfId="25482"/>
    <cellStyle name="Normal 12 2 3 3 6 4" xfId="13962"/>
    <cellStyle name="Normal 12 2 3 3 6 4 2" xfId="31242"/>
    <cellStyle name="Normal 12 2 3 3 6 5" xfId="19722"/>
    <cellStyle name="Normal 12 2 3 3 7" xfId="3882"/>
    <cellStyle name="Normal 12 2 3 3 7 2" xfId="9642"/>
    <cellStyle name="Normal 12 2 3 3 7 2 2" xfId="26922"/>
    <cellStyle name="Normal 12 2 3 3 7 3" xfId="15402"/>
    <cellStyle name="Normal 12 2 3 3 7 3 2" xfId="32682"/>
    <cellStyle name="Normal 12 2 3 3 7 4" xfId="21162"/>
    <cellStyle name="Normal 12 2 3 3 8" xfId="6762"/>
    <cellStyle name="Normal 12 2 3 3 8 2" xfId="24042"/>
    <cellStyle name="Normal 12 2 3 3 9" xfId="12522"/>
    <cellStyle name="Normal 12 2 3 3 9 2" xfId="29802"/>
    <cellStyle name="Normal 12 2 3 4" xfId="1082"/>
    <cellStyle name="Normal 12 2 3 4 2" xfId="1322"/>
    <cellStyle name="Normal 12 2 3 4 2 2" xfId="2042"/>
    <cellStyle name="Normal 12 2 3 4 2 2 2" xfId="3482"/>
    <cellStyle name="Normal 12 2 3 4 2 2 2 2" xfId="6362"/>
    <cellStyle name="Normal 12 2 3 4 2 2 2 2 2" xfId="12122"/>
    <cellStyle name="Normal 12 2 3 4 2 2 2 2 2 2" xfId="29402"/>
    <cellStyle name="Normal 12 2 3 4 2 2 2 2 3" xfId="17882"/>
    <cellStyle name="Normal 12 2 3 4 2 2 2 2 3 2" xfId="35162"/>
    <cellStyle name="Normal 12 2 3 4 2 2 2 2 4" xfId="23642"/>
    <cellStyle name="Normal 12 2 3 4 2 2 2 3" xfId="9242"/>
    <cellStyle name="Normal 12 2 3 4 2 2 2 3 2" xfId="26522"/>
    <cellStyle name="Normal 12 2 3 4 2 2 2 4" xfId="15002"/>
    <cellStyle name="Normal 12 2 3 4 2 2 2 4 2" xfId="32282"/>
    <cellStyle name="Normal 12 2 3 4 2 2 2 5" xfId="20762"/>
    <cellStyle name="Normal 12 2 3 4 2 2 3" xfId="4922"/>
    <cellStyle name="Normal 12 2 3 4 2 2 3 2" xfId="10682"/>
    <cellStyle name="Normal 12 2 3 4 2 2 3 2 2" xfId="27962"/>
    <cellStyle name="Normal 12 2 3 4 2 2 3 3" xfId="16442"/>
    <cellStyle name="Normal 12 2 3 4 2 2 3 3 2" xfId="33722"/>
    <cellStyle name="Normal 12 2 3 4 2 2 3 4" xfId="22202"/>
    <cellStyle name="Normal 12 2 3 4 2 2 4" xfId="7802"/>
    <cellStyle name="Normal 12 2 3 4 2 2 4 2" xfId="25082"/>
    <cellStyle name="Normal 12 2 3 4 2 2 5" xfId="13562"/>
    <cellStyle name="Normal 12 2 3 4 2 2 5 2" xfId="30842"/>
    <cellStyle name="Normal 12 2 3 4 2 2 6" xfId="19322"/>
    <cellStyle name="Normal 12 2 3 4 2 3" xfId="2762"/>
    <cellStyle name="Normal 12 2 3 4 2 3 2" xfId="5642"/>
    <cellStyle name="Normal 12 2 3 4 2 3 2 2" xfId="11402"/>
    <cellStyle name="Normal 12 2 3 4 2 3 2 2 2" xfId="28682"/>
    <cellStyle name="Normal 12 2 3 4 2 3 2 3" xfId="17162"/>
    <cellStyle name="Normal 12 2 3 4 2 3 2 3 2" xfId="34442"/>
    <cellStyle name="Normal 12 2 3 4 2 3 2 4" xfId="22922"/>
    <cellStyle name="Normal 12 2 3 4 2 3 3" xfId="8522"/>
    <cellStyle name="Normal 12 2 3 4 2 3 3 2" xfId="25802"/>
    <cellStyle name="Normal 12 2 3 4 2 3 4" xfId="14282"/>
    <cellStyle name="Normal 12 2 3 4 2 3 4 2" xfId="31562"/>
    <cellStyle name="Normal 12 2 3 4 2 3 5" xfId="20042"/>
    <cellStyle name="Normal 12 2 3 4 2 4" xfId="4202"/>
    <cellStyle name="Normal 12 2 3 4 2 4 2" xfId="9962"/>
    <cellStyle name="Normal 12 2 3 4 2 4 2 2" xfId="27242"/>
    <cellStyle name="Normal 12 2 3 4 2 4 3" xfId="15722"/>
    <cellStyle name="Normal 12 2 3 4 2 4 3 2" xfId="33002"/>
    <cellStyle name="Normal 12 2 3 4 2 4 4" xfId="21482"/>
    <cellStyle name="Normal 12 2 3 4 2 5" xfId="7082"/>
    <cellStyle name="Normal 12 2 3 4 2 5 2" xfId="24362"/>
    <cellStyle name="Normal 12 2 3 4 2 6" xfId="12842"/>
    <cellStyle name="Normal 12 2 3 4 2 6 2" xfId="30122"/>
    <cellStyle name="Normal 12 2 3 4 2 7" xfId="18602"/>
    <cellStyle name="Normal 12 2 3 4 3" xfId="1562"/>
    <cellStyle name="Normal 12 2 3 4 3 2" xfId="2282"/>
    <cellStyle name="Normal 12 2 3 4 3 2 2" xfId="3722"/>
    <cellStyle name="Normal 12 2 3 4 3 2 2 2" xfId="6602"/>
    <cellStyle name="Normal 12 2 3 4 3 2 2 2 2" xfId="12362"/>
    <cellStyle name="Normal 12 2 3 4 3 2 2 2 2 2" xfId="29642"/>
    <cellStyle name="Normal 12 2 3 4 3 2 2 2 3" xfId="18122"/>
    <cellStyle name="Normal 12 2 3 4 3 2 2 2 3 2" xfId="35402"/>
    <cellStyle name="Normal 12 2 3 4 3 2 2 2 4" xfId="23882"/>
    <cellStyle name="Normal 12 2 3 4 3 2 2 3" xfId="9482"/>
    <cellStyle name="Normal 12 2 3 4 3 2 2 3 2" xfId="26762"/>
    <cellStyle name="Normal 12 2 3 4 3 2 2 4" xfId="15242"/>
    <cellStyle name="Normal 12 2 3 4 3 2 2 4 2" xfId="32522"/>
    <cellStyle name="Normal 12 2 3 4 3 2 2 5" xfId="21002"/>
    <cellStyle name="Normal 12 2 3 4 3 2 3" xfId="5162"/>
    <cellStyle name="Normal 12 2 3 4 3 2 3 2" xfId="10922"/>
    <cellStyle name="Normal 12 2 3 4 3 2 3 2 2" xfId="28202"/>
    <cellStyle name="Normal 12 2 3 4 3 2 3 3" xfId="16682"/>
    <cellStyle name="Normal 12 2 3 4 3 2 3 3 2" xfId="33962"/>
    <cellStyle name="Normal 12 2 3 4 3 2 3 4" xfId="22442"/>
    <cellStyle name="Normal 12 2 3 4 3 2 4" xfId="8042"/>
    <cellStyle name="Normal 12 2 3 4 3 2 4 2" xfId="25322"/>
    <cellStyle name="Normal 12 2 3 4 3 2 5" xfId="13802"/>
    <cellStyle name="Normal 12 2 3 4 3 2 5 2" xfId="31082"/>
    <cellStyle name="Normal 12 2 3 4 3 2 6" xfId="19562"/>
    <cellStyle name="Normal 12 2 3 4 3 3" xfId="3002"/>
    <cellStyle name="Normal 12 2 3 4 3 3 2" xfId="5882"/>
    <cellStyle name="Normal 12 2 3 4 3 3 2 2" xfId="11642"/>
    <cellStyle name="Normal 12 2 3 4 3 3 2 2 2" xfId="28922"/>
    <cellStyle name="Normal 12 2 3 4 3 3 2 3" xfId="17402"/>
    <cellStyle name="Normal 12 2 3 4 3 3 2 3 2" xfId="34682"/>
    <cellStyle name="Normal 12 2 3 4 3 3 2 4" xfId="23162"/>
    <cellStyle name="Normal 12 2 3 4 3 3 3" xfId="8762"/>
    <cellStyle name="Normal 12 2 3 4 3 3 3 2" xfId="26042"/>
    <cellStyle name="Normal 12 2 3 4 3 3 4" xfId="14522"/>
    <cellStyle name="Normal 12 2 3 4 3 3 4 2" xfId="31802"/>
    <cellStyle name="Normal 12 2 3 4 3 3 5" xfId="20282"/>
    <cellStyle name="Normal 12 2 3 4 3 4" xfId="4442"/>
    <cellStyle name="Normal 12 2 3 4 3 4 2" xfId="10202"/>
    <cellStyle name="Normal 12 2 3 4 3 4 2 2" xfId="27482"/>
    <cellStyle name="Normal 12 2 3 4 3 4 3" xfId="15962"/>
    <cellStyle name="Normal 12 2 3 4 3 4 3 2" xfId="33242"/>
    <cellStyle name="Normal 12 2 3 4 3 4 4" xfId="21722"/>
    <cellStyle name="Normal 12 2 3 4 3 5" xfId="7322"/>
    <cellStyle name="Normal 12 2 3 4 3 5 2" xfId="24602"/>
    <cellStyle name="Normal 12 2 3 4 3 6" xfId="13082"/>
    <cellStyle name="Normal 12 2 3 4 3 6 2" xfId="30362"/>
    <cellStyle name="Normal 12 2 3 4 3 7" xfId="18842"/>
    <cellStyle name="Normal 12 2 3 4 4" xfId="1802"/>
    <cellStyle name="Normal 12 2 3 4 4 2" xfId="3242"/>
    <cellStyle name="Normal 12 2 3 4 4 2 2" xfId="6122"/>
    <cellStyle name="Normal 12 2 3 4 4 2 2 2" xfId="11882"/>
    <cellStyle name="Normal 12 2 3 4 4 2 2 2 2" xfId="29162"/>
    <cellStyle name="Normal 12 2 3 4 4 2 2 3" xfId="17642"/>
    <cellStyle name="Normal 12 2 3 4 4 2 2 3 2" xfId="34922"/>
    <cellStyle name="Normal 12 2 3 4 4 2 2 4" xfId="23402"/>
    <cellStyle name="Normal 12 2 3 4 4 2 3" xfId="9002"/>
    <cellStyle name="Normal 12 2 3 4 4 2 3 2" xfId="26282"/>
    <cellStyle name="Normal 12 2 3 4 4 2 4" xfId="14762"/>
    <cellStyle name="Normal 12 2 3 4 4 2 4 2" xfId="32042"/>
    <cellStyle name="Normal 12 2 3 4 4 2 5" xfId="20522"/>
    <cellStyle name="Normal 12 2 3 4 4 3" xfId="4682"/>
    <cellStyle name="Normal 12 2 3 4 4 3 2" xfId="10442"/>
    <cellStyle name="Normal 12 2 3 4 4 3 2 2" xfId="27722"/>
    <cellStyle name="Normal 12 2 3 4 4 3 3" xfId="16202"/>
    <cellStyle name="Normal 12 2 3 4 4 3 3 2" xfId="33482"/>
    <cellStyle name="Normal 12 2 3 4 4 3 4" xfId="21962"/>
    <cellStyle name="Normal 12 2 3 4 4 4" xfId="7562"/>
    <cellStyle name="Normal 12 2 3 4 4 4 2" xfId="24842"/>
    <cellStyle name="Normal 12 2 3 4 4 5" xfId="13322"/>
    <cellStyle name="Normal 12 2 3 4 4 5 2" xfId="30602"/>
    <cellStyle name="Normal 12 2 3 4 4 6" xfId="19082"/>
    <cellStyle name="Normal 12 2 3 4 5" xfId="2522"/>
    <cellStyle name="Normal 12 2 3 4 5 2" xfId="5402"/>
    <cellStyle name="Normal 12 2 3 4 5 2 2" xfId="11162"/>
    <cellStyle name="Normal 12 2 3 4 5 2 2 2" xfId="28442"/>
    <cellStyle name="Normal 12 2 3 4 5 2 3" xfId="16922"/>
    <cellStyle name="Normal 12 2 3 4 5 2 3 2" xfId="34202"/>
    <cellStyle name="Normal 12 2 3 4 5 2 4" xfId="22682"/>
    <cellStyle name="Normal 12 2 3 4 5 3" xfId="8282"/>
    <cellStyle name="Normal 12 2 3 4 5 3 2" xfId="25562"/>
    <cellStyle name="Normal 12 2 3 4 5 4" xfId="14042"/>
    <cellStyle name="Normal 12 2 3 4 5 4 2" xfId="31322"/>
    <cellStyle name="Normal 12 2 3 4 5 5" xfId="19802"/>
    <cellStyle name="Normal 12 2 3 4 6" xfId="3962"/>
    <cellStyle name="Normal 12 2 3 4 6 2" xfId="9722"/>
    <cellStyle name="Normal 12 2 3 4 6 2 2" xfId="27002"/>
    <cellStyle name="Normal 12 2 3 4 6 3" xfId="15482"/>
    <cellStyle name="Normal 12 2 3 4 6 3 2" xfId="32762"/>
    <cellStyle name="Normal 12 2 3 4 6 4" xfId="21242"/>
    <cellStyle name="Normal 12 2 3 4 7" xfId="6842"/>
    <cellStyle name="Normal 12 2 3 4 7 2" xfId="24122"/>
    <cellStyle name="Normal 12 2 3 4 8" xfId="12602"/>
    <cellStyle name="Normal 12 2 3 4 8 2" xfId="29882"/>
    <cellStyle name="Normal 12 2 3 4 9" xfId="18362"/>
    <cellStyle name="Normal 12 2 3 5" xfId="1202"/>
    <cellStyle name="Normal 12 2 3 5 2" xfId="1922"/>
    <cellStyle name="Normal 12 2 3 5 2 2" xfId="3362"/>
    <cellStyle name="Normal 12 2 3 5 2 2 2" xfId="6242"/>
    <cellStyle name="Normal 12 2 3 5 2 2 2 2" xfId="12002"/>
    <cellStyle name="Normal 12 2 3 5 2 2 2 2 2" xfId="29282"/>
    <cellStyle name="Normal 12 2 3 5 2 2 2 3" xfId="17762"/>
    <cellStyle name="Normal 12 2 3 5 2 2 2 3 2" xfId="35042"/>
    <cellStyle name="Normal 12 2 3 5 2 2 2 4" xfId="23522"/>
    <cellStyle name="Normal 12 2 3 5 2 2 3" xfId="9122"/>
    <cellStyle name="Normal 12 2 3 5 2 2 3 2" xfId="26402"/>
    <cellStyle name="Normal 12 2 3 5 2 2 4" xfId="14882"/>
    <cellStyle name="Normal 12 2 3 5 2 2 4 2" xfId="32162"/>
    <cellStyle name="Normal 12 2 3 5 2 2 5" xfId="20642"/>
    <cellStyle name="Normal 12 2 3 5 2 3" xfId="4802"/>
    <cellStyle name="Normal 12 2 3 5 2 3 2" xfId="10562"/>
    <cellStyle name="Normal 12 2 3 5 2 3 2 2" xfId="27842"/>
    <cellStyle name="Normal 12 2 3 5 2 3 3" xfId="16322"/>
    <cellStyle name="Normal 12 2 3 5 2 3 3 2" xfId="33602"/>
    <cellStyle name="Normal 12 2 3 5 2 3 4" xfId="22082"/>
    <cellStyle name="Normal 12 2 3 5 2 4" xfId="7682"/>
    <cellStyle name="Normal 12 2 3 5 2 4 2" xfId="24962"/>
    <cellStyle name="Normal 12 2 3 5 2 5" xfId="13442"/>
    <cellStyle name="Normal 12 2 3 5 2 5 2" xfId="30722"/>
    <cellStyle name="Normal 12 2 3 5 2 6" xfId="19202"/>
    <cellStyle name="Normal 12 2 3 5 3" xfId="2642"/>
    <cellStyle name="Normal 12 2 3 5 3 2" xfId="5522"/>
    <cellStyle name="Normal 12 2 3 5 3 2 2" xfId="11282"/>
    <cellStyle name="Normal 12 2 3 5 3 2 2 2" xfId="28562"/>
    <cellStyle name="Normal 12 2 3 5 3 2 3" xfId="17042"/>
    <cellStyle name="Normal 12 2 3 5 3 2 3 2" xfId="34322"/>
    <cellStyle name="Normal 12 2 3 5 3 2 4" xfId="22802"/>
    <cellStyle name="Normal 12 2 3 5 3 3" xfId="8402"/>
    <cellStyle name="Normal 12 2 3 5 3 3 2" xfId="25682"/>
    <cellStyle name="Normal 12 2 3 5 3 4" xfId="14162"/>
    <cellStyle name="Normal 12 2 3 5 3 4 2" xfId="31442"/>
    <cellStyle name="Normal 12 2 3 5 3 5" xfId="19922"/>
    <cellStyle name="Normal 12 2 3 5 4" xfId="4082"/>
    <cellStyle name="Normal 12 2 3 5 4 2" xfId="9842"/>
    <cellStyle name="Normal 12 2 3 5 4 2 2" xfId="27122"/>
    <cellStyle name="Normal 12 2 3 5 4 3" xfId="15602"/>
    <cellStyle name="Normal 12 2 3 5 4 3 2" xfId="32882"/>
    <cellStyle name="Normal 12 2 3 5 4 4" xfId="21362"/>
    <cellStyle name="Normal 12 2 3 5 5" xfId="6962"/>
    <cellStyle name="Normal 12 2 3 5 5 2" xfId="24242"/>
    <cellStyle name="Normal 12 2 3 5 6" xfId="12722"/>
    <cellStyle name="Normal 12 2 3 5 6 2" xfId="30002"/>
    <cellStyle name="Normal 12 2 3 5 7" xfId="18482"/>
    <cellStyle name="Normal 12 2 3 6" xfId="1442"/>
    <cellStyle name="Normal 12 2 3 6 2" xfId="2162"/>
    <cellStyle name="Normal 12 2 3 6 2 2" xfId="3602"/>
    <cellStyle name="Normal 12 2 3 6 2 2 2" xfId="6482"/>
    <cellStyle name="Normal 12 2 3 6 2 2 2 2" xfId="12242"/>
    <cellStyle name="Normal 12 2 3 6 2 2 2 2 2" xfId="29522"/>
    <cellStyle name="Normal 12 2 3 6 2 2 2 3" xfId="18002"/>
    <cellStyle name="Normal 12 2 3 6 2 2 2 3 2" xfId="35282"/>
    <cellStyle name="Normal 12 2 3 6 2 2 2 4" xfId="23762"/>
    <cellStyle name="Normal 12 2 3 6 2 2 3" xfId="9362"/>
    <cellStyle name="Normal 12 2 3 6 2 2 3 2" xfId="26642"/>
    <cellStyle name="Normal 12 2 3 6 2 2 4" xfId="15122"/>
    <cellStyle name="Normal 12 2 3 6 2 2 4 2" xfId="32402"/>
    <cellStyle name="Normal 12 2 3 6 2 2 5" xfId="20882"/>
    <cellStyle name="Normal 12 2 3 6 2 3" xfId="5042"/>
    <cellStyle name="Normal 12 2 3 6 2 3 2" xfId="10802"/>
    <cellStyle name="Normal 12 2 3 6 2 3 2 2" xfId="28082"/>
    <cellStyle name="Normal 12 2 3 6 2 3 3" xfId="16562"/>
    <cellStyle name="Normal 12 2 3 6 2 3 3 2" xfId="33842"/>
    <cellStyle name="Normal 12 2 3 6 2 3 4" xfId="22322"/>
    <cellStyle name="Normal 12 2 3 6 2 4" xfId="7922"/>
    <cellStyle name="Normal 12 2 3 6 2 4 2" xfId="25202"/>
    <cellStyle name="Normal 12 2 3 6 2 5" xfId="13682"/>
    <cellStyle name="Normal 12 2 3 6 2 5 2" xfId="30962"/>
    <cellStyle name="Normal 12 2 3 6 2 6" xfId="19442"/>
    <cellStyle name="Normal 12 2 3 6 3" xfId="2882"/>
    <cellStyle name="Normal 12 2 3 6 3 2" xfId="5762"/>
    <cellStyle name="Normal 12 2 3 6 3 2 2" xfId="11522"/>
    <cellStyle name="Normal 12 2 3 6 3 2 2 2" xfId="28802"/>
    <cellStyle name="Normal 12 2 3 6 3 2 3" xfId="17282"/>
    <cellStyle name="Normal 12 2 3 6 3 2 3 2" xfId="34562"/>
    <cellStyle name="Normal 12 2 3 6 3 2 4" xfId="23042"/>
    <cellStyle name="Normal 12 2 3 6 3 3" xfId="8642"/>
    <cellStyle name="Normal 12 2 3 6 3 3 2" xfId="25922"/>
    <cellStyle name="Normal 12 2 3 6 3 4" xfId="14402"/>
    <cellStyle name="Normal 12 2 3 6 3 4 2" xfId="31682"/>
    <cellStyle name="Normal 12 2 3 6 3 5" xfId="20162"/>
    <cellStyle name="Normal 12 2 3 6 4" xfId="4322"/>
    <cellStyle name="Normal 12 2 3 6 4 2" xfId="10082"/>
    <cellStyle name="Normal 12 2 3 6 4 2 2" xfId="27362"/>
    <cellStyle name="Normal 12 2 3 6 4 3" xfId="15842"/>
    <cellStyle name="Normal 12 2 3 6 4 3 2" xfId="33122"/>
    <cellStyle name="Normal 12 2 3 6 4 4" xfId="21602"/>
    <cellStyle name="Normal 12 2 3 6 5" xfId="7202"/>
    <cellStyle name="Normal 12 2 3 6 5 2" xfId="24482"/>
    <cellStyle name="Normal 12 2 3 6 6" xfId="12962"/>
    <cellStyle name="Normal 12 2 3 6 6 2" xfId="30242"/>
    <cellStyle name="Normal 12 2 3 6 7" xfId="18722"/>
    <cellStyle name="Normal 12 2 3 7" xfId="1682"/>
    <cellStyle name="Normal 12 2 3 7 2" xfId="3122"/>
    <cellStyle name="Normal 12 2 3 7 2 2" xfId="6002"/>
    <cellStyle name="Normal 12 2 3 7 2 2 2" xfId="11762"/>
    <cellStyle name="Normal 12 2 3 7 2 2 2 2" xfId="29042"/>
    <cellStyle name="Normal 12 2 3 7 2 2 3" xfId="17522"/>
    <cellStyle name="Normal 12 2 3 7 2 2 3 2" xfId="34802"/>
    <cellStyle name="Normal 12 2 3 7 2 2 4" xfId="23282"/>
    <cellStyle name="Normal 12 2 3 7 2 3" xfId="8882"/>
    <cellStyle name="Normal 12 2 3 7 2 3 2" xfId="26162"/>
    <cellStyle name="Normal 12 2 3 7 2 4" xfId="14642"/>
    <cellStyle name="Normal 12 2 3 7 2 4 2" xfId="31922"/>
    <cellStyle name="Normal 12 2 3 7 2 5" xfId="20402"/>
    <cellStyle name="Normal 12 2 3 7 3" xfId="4562"/>
    <cellStyle name="Normal 12 2 3 7 3 2" xfId="10322"/>
    <cellStyle name="Normal 12 2 3 7 3 2 2" xfId="27602"/>
    <cellStyle name="Normal 12 2 3 7 3 3" xfId="16082"/>
    <cellStyle name="Normal 12 2 3 7 3 3 2" xfId="33362"/>
    <cellStyle name="Normal 12 2 3 7 3 4" xfId="21842"/>
    <cellStyle name="Normal 12 2 3 7 4" xfId="7442"/>
    <cellStyle name="Normal 12 2 3 7 4 2" xfId="24722"/>
    <cellStyle name="Normal 12 2 3 7 5" xfId="13202"/>
    <cellStyle name="Normal 12 2 3 7 5 2" xfId="30482"/>
    <cellStyle name="Normal 12 2 3 7 6" xfId="18962"/>
    <cellStyle name="Normal 12 2 3 8" xfId="2402"/>
    <cellStyle name="Normal 12 2 3 8 2" xfId="5282"/>
    <cellStyle name="Normal 12 2 3 8 2 2" xfId="11042"/>
    <cellStyle name="Normal 12 2 3 8 2 2 2" xfId="28322"/>
    <cellStyle name="Normal 12 2 3 8 2 3" xfId="16802"/>
    <cellStyle name="Normal 12 2 3 8 2 3 2" xfId="34082"/>
    <cellStyle name="Normal 12 2 3 8 2 4" xfId="22562"/>
    <cellStyle name="Normal 12 2 3 8 3" xfId="8162"/>
    <cellStyle name="Normal 12 2 3 8 3 2" xfId="25442"/>
    <cellStyle name="Normal 12 2 3 8 4" xfId="13922"/>
    <cellStyle name="Normal 12 2 3 8 4 2" xfId="31202"/>
    <cellStyle name="Normal 12 2 3 8 5" xfId="19682"/>
    <cellStyle name="Normal 12 2 3 9" xfId="3842"/>
    <cellStyle name="Normal 12 2 3 9 2" xfId="9602"/>
    <cellStyle name="Normal 12 2 3 9 2 2" xfId="26882"/>
    <cellStyle name="Normal 12 2 3 9 3" xfId="15362"/>
    <cellStyle name="Normal 12 2 3 9 3 2" xfId="32642"/>
    <cellStyle name="Normal 12 2 3 9 4" xfId="21122"/>
    <cellStyle name="Normal 12 2 4" xfId="1022"/>
    <cellStyle name="Normal 12 2 4 10" xfId="18302"/>
    <cellStyle name="Normal 12 2 4 2" xfId="1142"/>
    <cellStyle name="Normal 12 2 4 2 2" xfId="1382"/>
    <cellStyle name="Normal 12 2 4 2 2 2" xfId="2102"/>
    <cellStyle name="Normal 12 2 4 2 2 2 2" xfId="3542"/>
    <cellStyle name="Normal 12 2 4 2 2 2 2 2" xfId="6422"/>
    <cellStyle name="Normal 12 2 4 2 2 2 2 2 2" xfId="12182"/>
    <cellStyle name="Normal 12 2 4 2 2 2 2 2 2 2" xfId="29462"/>
    <cellStyle name="Normal 12 2 4 2 2 2 2 2 3" xfId="17942"/>
    <cellStyle name="Normal 12 2 4 2 2 2 2 2 3 2" xfId="35222"/>
    <cellStyle name="Normal 12 2 4 2 2 2 2 2 4" xfId="23702"/>
    <cellStyle name="Normal 12 2 4 2 2 2 2 3" xfId="9302"/>
    <cellStyle name="Normal 12 2 4 2 2 2 2 3 2" xfId="26582"/>
    <cellStyle name="Normal 12 2 4 2 2 2 2 4" xfId="15062"/>
    <cellStyle name="Normal 12 2 4 2 2 2 2 4 2" xfId="32342"/>
    <cellStyle name="Normal 12 2 4 2 2 2 2 5" xfId="20822"/>
    <cellStyle name="Normal 12 2 4 2 2 2 3" xfId="4982"/>
    <cellStyle name="Normal 12 2 4 2 2 2 3 2" xfId="10742"/>
    <cellStyle name="Normal 12 2 4 2 2 2 3 2 2" xfId="28022"/>
    <cellStyle name="Normal 12 2 4 2 2 2 3 3" xfId="16502"/>
    <cellStyle name="Normal 12 2 4 2 2 2 3 3 2" xfId="33782"/>
    <cellStyle name="Normal 12 2 4 2 2 2 3 4" xfId="22262"/>
    <cellStyle name="Normal 12 2 4 2 2 2 4" xfId="7862"/>
    <cellStyle name="Normal 12 2 4 2 2 2 4 2" xfId="25142"/>
    <cellStyle name="Normal 12 2 4 2 2 2 5" xfId="13622"/>
    <cellStyle name="Normal 12 2 4 2 2 2 5 2" xfId="30902"/>
    <cellStyle name="Normal 12 2 4 2 2 2 6" xfId="19382"/>
    <cellStyle name="Normal 12 2 4 2 2 3" xfId="2822"/>
    <cellStyle name="Normal 12 2 4 2 2 3 2" xfId="5702"/>
    <cellStyle name="Normal 12 2 4 2 2 3 2 2" xfId="11462"/>
    <cellStyle name="Normal 12 2 4 2 2 3 2 2 2" xfId="28742"/>
    <cellStyle name="Normal 12 2 4 2 2 3 2 3" xfId="17222"/>
    <cellStyle name="Normal 12 2 4 2 2 3 2 3 2" xfId="34502"/>
    <cellStyle name="Normal 12 2 4 2 2 3 2 4" xfId="22982"/>
    <cellStyle name="Normal 12 2 4 2 2 3 3" xfId="8582"/>
    <cellStyle name="Normal 12 2 4 2 2 3 3 2" xfId="25862"/>
    <cellStyle name="Normal 12 2 4 2 2 3 4" xfId="14342"/>
    <cellStyle name="Normal 12 2 4 2 2 3 4 2" xfId="31622"/>
    <cellStyle name="Normal 12 2 4 2 2 3 5" xfId="20102"/>
    <cellStyle name="Normal 12 2 4 2 2 4" xfId="4262"/>
    <cellStyle name="Normal 12 2 4 2 2 4 2" xfId="10022"/>
    <cellStyle name="Normal 12 2 4 2 2 4 2 2" xfId="27302"/>
    <cellStyle name="Normal 12 2 4 2 2 4 3" xfId="15782"/>
    <cellStyle name="Normal 12 2 4 2 2 4 3 2" xfId="33062"/>
    <cellStyle name="Normal 12 2 4 2 2 4 4" xfId="21542"/>
    <cellStyle name="Normal 12 2 4 2 2 5" xfId="7142"/>
    <cellStyle name="Normal 12 2 4 2 2 5 2" xfId="24422"/>
    <cellStyle name="Normal 12 2 4 2 2 6" xfId="12902"/>
    <cellStyle name="Normal 12 2 4 2 2 6 2" xfId="30182"/>
    <cellStyle name="Normal 12 2 4 2 2 7" xfId="18662"/>
    <cellStyle name="Normal 12 2 4 2 3" xfId="1622"/>
    <cellStyle name="Normal 12 2 4 2 3 2" xfId="2342"/>
    <cellStyle name="Normal 12 2 4 2 3 2 2" xfId="3782"/>
    <cellStyle name="Normal 12 2 4 2 3 2 2 2" xfId="6662"/>
    <cellStyle name="Normal 12 2 4 2 3 2 2 2 2" xfId="12422"/>
    <cellStyle name="Normal 12 2 4 2 3 2 2 2 2 2" xfId="29702"/>
    <cellStyle name="Normal 12 2 4 2 3 2 2 2 3" xfId="18182"/>
    <cellStyle name="Normal 12 2 4 2 3 2 2 2 3 2" xfId="35462"/>
    <cellStyle name="Normal 12 2 4 2 3 2 2 2 4" xfId="23942"/>
    <cellStyle name="Normal 12 2 4 2 3 2 2 3" xfId="9542"/>
    <cellStyle name="Normal 12 2 4 2 3 2 2 3 2" xfId="26822"/>
    <cellStyle name="Normal 12 2 4 2 3 2 2 4" xfId="15302"/>
    <cellStyle name="Normal 12 2 4 2 3 2 2 4 2" xfId="32582"/>
    <cellStyle name="Normal 12 2 4 2 3 2 2 5" xfId="21062"/>
    <cellStyle name="Normal 12 2 4 2 3 2 3" xfId="5222"/>
    <cellStyle name="Normal 12 2 4 2 3 2 3 2" xfId="10982"/>
    <cellStyle name="Normal 12 2 4 2 3 2 3 2 2" xfId="28262"/>
    <cellStyle name="Normal 12 2 4 2 3 2 3 3" xfId="16742"/>
    <cellStyle name="Normal 12 2 4 2 3 2 3 3 2" xfId="34022"/>
    <cellStyle name="Normal 12 2 4 2 3 2 3 4" xfId="22502"/>
    <cellStyle name="Normal 12 2 4 2 3 2 4" xfId="8102"/>
    <cellStyle name="Normal 12 2 4 2 3 2 4 2" xfId="25382"/>
    <cellStyle name="Normal 12 2 4 2 3 2 5" xfId="13862"/>
    <cellStyle name="Normal 12 2 4 2 3 2 5 2" xfId="31142"/>
    <cellStyle name="Normal 12 2 4 2 3 2 6" xfId="19622"/>
    <cellStyle name="Normal 12 2 4 2 3 3" xfId="3062"/>
    <cellStyle name="Normal 12 2 4 2 3 3 2" xfId="5942"/>
    <cellStyle name="Normal 12 2 4 2 3 3 2 2" xfId="11702"/>
    <cellStyle name="Normal 12 2 4 2 3 3 2 2 2" xfId="28982"/>
    <cellStyle name="Normal 12 2 4 2 3 3 2 3" xfId="17462"/>
    <cellStyle name="Normal 12 2 4 2 3 3 2 3 2" xfId="34742"/>
    <cellStyle name="Normal 12 2 4 2 3 3 2 4" xfId="23222"/>
    <cellStyle name="Normal 12 2 4 2 3 3 3" xfId="8822"/>
    <cellStyle name="Normal 12 2 4 2 3 3 3 2" xfId="26102"/>
    <cellStyle name="Normal 12 2 4 2 3 3 4" xfId="14582"/>
    <cellStyle name="Normal 12 2 4 2 3 3 4 2" xfId="31862"/>
    <cellStyle name="Normal 12 2 4 2 3 3 5" xfId="20342"/>
    <cellStyle name="Normal 12 2 4 2 3 4" xfId="4502"/>
    <cellStyle name="Normal 12 2 4 2 3 4 2" xfId="10262"/>
    <cellStyle name="Normal 12 2 4 2 3 4 2 2" xfId="27542"/>
    <cellStyle name="Normal 12 2 4 2 3 4 3" xfId="16022"/>
    <cellStyle name="Normal 12 2 4 2 3 4 3 2" xfId="33302"/>
    <cellStyle name="Normal 12 2 4 2 3 4 4" xfId="21782"/>
    <cellStyle name="Normal 12 2 4 2 3 5" xfId="7382"/>
    <cellStyle name="Normal 12 2 4 2 3 5 2" xfId="24662"/>
    <cellStyle name="Normal 12 2 4 2 3 6" xfId="13142"/>
    <cellStyle name="Normal 12 2 4 2 3 6 2" xfId="30422"/>
    <cellStyle name="Normal 12 2 4 2 3 7" xfId="18902"/>
    <cellStyle name="Normal 12 2 4 2 4" xfId="1862"/>
    <cellStyle name="Normal 12 2 4 2 4 2" xfId="3302"/>
    <cellStyle name="Normal 12 2 4 2 4 2 2" xfId="6182"/>
    <cellStyle name="Normal 12 2 4 2 4 2 2 2" xfId="11942"/>
    <cellStyle name="Normal 12 2 4 2 4 2 2 2 2" xfId="29222"/>
    <cellStyle name="Normal 12 2 4 2 4 2 2 3" xfId="17702"/>
    <cellStyle name="Normal 12 2 4 2 4 2 2 3 2" xfId="34982"/>
    <cellStyle name="Normal 12 2 4 2 4 2 2 4" xfId="23462"/>
    <cellStyle name="Normal 12 2 4 2 4 2 3" xfId="9062"/>
    <cellStyle name="Normal 12 2 4 2 4 2 3 2" xfId="26342"/>
    <cellStyle name="Normal 12 2 4 2 4 2 4" xfId="14822"/>
    <cellStyle name="Normal 12 2 4 2 4 2 4 2" xfId="32102"/>
    <cellStyle name="Normal 12 2 4 2 4 2 5" xfId="20582"/>
    <cellStyle name="Normal 12 2 4 2 4 3" xfId="4742"/>
    <cellStyle name="Normal 12 2 4 2 4 3 2" xfId="10502"/>
    <cellStyle name="Normal 12 2 4 2 4 3 2 2" xfId="27782"/>
    <cellStyle name="Normal 12 2 4 2 4 3 3" xfId="16262"/>
    <cellStyle name="Normal 12 2 4 2 4 3 3 2" xfId="33542"/>
    <cellStyle name="Normal 12 2 4 2 4 3 4" xfId="22022"/>
    <cellStyle name="Normal 12 2 4 2 4 4" xfId="7622"/>
    <cellStyle name="Normal 12 2 4 2 4 4 2" xfId="24902"/>
    <cellStyle name="Normal 12 2 4 2 4 5" xfId="13382"/>
    <cellStyle name="Normal 12 2 4 2 4 5 2" xfId="30662"/>
    <cellStyle name="Normal 12 2 4 2 4 6" xfId="19142"/>
    <cellStyle name="Normal 12 2 4 2 5" xfId="2582"/>
    <cellStyle name="Normal 12 2 4 2 5 2" xfId="5462"/>
    <cellStyle name="Normal 12 2 4 2 5 2 2" xfId="11222"/>
    <cellStyle name="Normal 12 2 4 2 5 2 2 2" xfId="28502"/>
    <cellStyle name="Normal 12 2 4 2 5 2 3" xfId="16982"/>
    <cellStyle name="Normal 12 2 4 2 5 2 3 2" xfId="34262"/>
    <cellStyle name="Normal 12 2 4 2 5 2 4" xfId="22742"/>
    <cellStyle name="Normal 12 2 4 2 5 3" xfId="8342"/>
    <cellStyle name="Normal 12 2 4 2 5 3 2" xfId="25622"/>
    <cellStyle name="Normal 12 2 4 2 5 4" xfId="14102"/>
    <cellStyle name="Normal 12 2 4 2 5 4 2" xfId="31382"/>
    <cellStyle name="Normal 12 2 4 2 5 5" xfId="19862"/>
    <cellStyle name="Normal 12 2 4 2 6" xfId="4022"/>
    <cellStyle name="Normal 12 2 4 2 6 2" xfId="9782"/>
    <cellStyle name="Normal 12 2 4 2 6 2 2" xfId="27062"/>
    <cellStyle name="Normal 12 2 4 2 6 3" xfId="15542"/>
    <cellStyle name="Normal 12 2 4 2 6 3 2" xfId="32822"/>
    <cellStyle name="Normal 12 2 4 2 6 4" xfId="21302"/>
    <cellStyle name="Normal 12 2 4 2 7" xfId="6902"/>
    <cellStyle name="Normal 12 2 4 2 7 2" xfId="24182"/>
    <cellStyle name="Normal 12 2 4 2 8" xfId="12662"/>
    <cellStyle name="Normal 12 2 4 2 8 2" xfId="29942"/>
    <cellStyle name="Normal 12 2 4 2 9" xfId="18422"/>
    <cellStyle name="Normal 12 2 4 3" xfId="1262"/>
    <cellStyle name="Normal 12 2 4 3 2" xfId="1982"/>
    <cellStyle name="Normal 12 2 4 3 2 2" xfId="3422"/>
    <cellStyle name="Normal 12 2 4 3 2 2 2" xfId="6302"/>
    <cellStyle name="Normal 12 2 4 3 2 2 2 2" xfId="12062"/>
    <cellStyle name="Normal 12 2 4 3 2 2 2 2 2" xfId="29342"/>
    <cellStyle name="Normal 12 2 4 3 2 2 2 3" xfId="17822"/>
    <cellStyle name="Normal 12 2 4 3 2 2 2 3 2" xfId="35102"/>
    <cellStyle name="Normal 12 2 4 3 2 2 2 4" xfId="23582"/>
    <cellStyle name="Normal 12 2 4 3 2 2 3" xfId="9182"/>
    <cellStyle name="Normal 12 2 4 3 2 2 3 2" xfId="26462"/>
    <cellStyle name="Normal 12 2 4 3 2 2 4" xfId="14942"/>
    <cellStyle name="Normal 12 2 4 3 2 2 4 2" xfId="32222"/>
    <cellStyle name="Normal 12 2 4 3 2 2 5" xfId="20702"/>
    <cellStyle name="Normal 12 2 4 3 2 3" xfId="4862"/>
    <cellStyle name="Normal 12 2 4 3 2 3 2" xfId="10622"/>
    <cellStyle name="Normal 12 2 4 3 2 3 2 2" xfId="27902"/>
    <cellStyle name="Normal 12 2 4 3 2 3 3" xfId="16382"/>
    <cellStyle name="Normal 12 2 4 3 2 3 3 2" xfId="33662"/>
    <cellStyle name="Normal 12 2 4 3 2 3 4" xfId="22142"/>
    <cellStyle name="Normal 12 2 4 3 2 4" xfId="7742"/>
    <cellStyle name="Normal 12 2 4 3 2 4 2" xfId="25022"/>
    <cellStyle name="Normal 12 2 4 3 2 5" xfId="13502"/>
    <cellStyle name="Normal 12 2 4 3 2 5 2" xfId="30782"/>
    <cellStyle name="Normal 12 2 4 3 2 6" xfId="19262"/>
    <cellStyle name="Normal 12 2 4 3 3" xfId="2702"/>
    <cellStyle name="Normal 12 2 4 3 3 2" xfId="5582"/>
    <cellStyle name="Normal 12 2 4 3 3 2 2" xfId="11342"/>
    <cellStyle name="Normal 12 2 4 3 3 2 2 2" xfId="28622"/>
    <cellStyle name="Normal 12 2 4 3 3 2 3" xfId="17102"/>
    <cellStyle name="Normal 12 2 4 3 3 2 3 2" xfId="34382"/>
    <cellStyle name="Normal 12 2 4 3 3 2 4" xfId="22862"/>
    <cellStyle name="Normal 12 2 4 3 3 3" xfId="8462"/>
    <cellStyle name="Normal 12 2 4 3 3 3 2" xfId="25742"/>
    <cellStyle name="Normal 12 2 4 3 3 4" xfId="14222"/>
    <cellStyle name="Normal 12 2 4 3 3 4 2" xfId="31502"/>
    <cellStyle name="Normal 12 2 4 3 3 5" xfId="19982"/>
    <cellStyle name="Normal 12 2 4 3 4" xfId="4142"/>
    <cellStyle name="Normal 12 2 4 3 4 2" xfId="9902"/>
    <cellStyle name="Normal 12 2 4 3 4 2 2" xfId="27182"/>
    <cellStyle name="Normal 12 2 4 3 4 3" xfId="15662"/>
    <cellStyle name="Normal 12 2 4 3 4 3 2" xfId="32942"/>
    <cellStyle name="Normal 12 2 4 3 4 4" xfId="21422"/>
    <cellStyle name="Normal 12 2 4 3 5" xfId="7022"/>
    <cellStyle name="Normal 12 2 4 3 5 2" xfId="24302"/>
    <cellStyle name="Normal 12 2 4 3 6" xfId="12782"/>
    <cellStyle name="Normal 12 2 4 3 6 2" xfId="30062"/>
    <cellStyle name="Normal 12 2 4 3 7" xfId="18542"/>
    <cellStyle name="Normal 12 2 4 4" xfId="1502"/>
    <cellStyle name="Normal 12 2 4 4 2" xfId="2222"/>
    <cellStyle name="Normal 12 2 4 4 2 2" xfId="3662"/>
    <cellStyle name="Normal 12 2 4 4 2 2 2" xfId="6542"/>
    <cellStyle name="Normal 12 2 4 4 2 2 2 2" xfId="12302"/>
    <cellStyle name="Normal 12 2 4 4 2 2 2 2 2" xfId="29582"/>
    <cellStyle name="Normal 12 2 4 4 2 2 2 3" xfId="18062"/>
    <cellStyle name="Normal 12 2 4 4 2 2 2 3 2" xfId="35342"/>
    <cellStyle name="Normal 12 2 4 4 2 2 2 4" xfId="23822"/>
    <cellStyle name="Normal 12 2 4 4 2 2 3" xfId="9422"/>
    <cellStyle name="Normal 12 2 4 4 2 2 3 2" xfId="26702"/>
    <cellStyle name="Normal 12 2 4 4 2 2 4" xfId="15182"/>
    <cellStyle name="Normal 12 2 4 4 2 2 4 2" xfId="32462"/>
    <cellStyle name="Normal 12 2 4 4 2 2 5" xfId="20942"/>
    <cellStyle name="Normal 12 2 4 4 2 3" xfId="5102"/>
    <cellStyle name="Normal 12 2 4 4 2 3 2" xfId="10862"/>
    <cellStyle name="Normal 12 2 4 4 2 3 2 2" xfId="28142"/>
    <cellStyle name="Normal 12 2 4 4 2 3 3" xfId="16622"/>
    <cellStyle name="Normal 12 2 4 4 2 3 3 2" xfId="33902"/>
    <cellStyle name="Normal 12 2 4 4 2 3 4" xfId="22382"/>
    <cellStyle name="Normal 12 2 4 4 2 4" xfId="7982"/>
    <cellStyle name="Normal 12 2 4 4 2 4 2" xfId="25262"/>
    <cellStyle name="Normal 12 2 4 4 2 5" xfId="13742"/>
    <cellStyle name="Normal 12 2 4 4 2 5 2" xfId="31022"/>
    <cellStyle name="Normal 12 2 4 4 2 6" xfId="19502"/>
    <cellStyle name="Normal 12 2 4 4 3" xfId="2942"/>
    <cellStyle name="Normal 12 2 4 4 3 2" xfId="5822"/>
    <cellStyle name="Normal 12 2 4 4 3 2 2" xfId="11582"/>
    <cellStyle name="Normal 12 2 4 4 3 2 2 2" xfId="28862"/>
    <cellStyle name="Normal 12 2 4 4 3 2 3" xfId="17342"/>
    <cellStyle name="Normal 12 2 4 4 3 2 3 2" xfId="34622"/>
    <cellStyle name="Normal 12 2 4 4 3 2 4" xfId="23102"/>
    <cellStyle name="Normal 12 2 4 4 3 3" xfId="8702"/>
    <cellStyle name="Normal 12 2 4 4 3 3 2" xfId="25982"/>
    <cellStyle name="Normal 12 2 4 4 3 4" xfId="14462"/>
    <cellStyle name="Normal 12 2 4 4 3 4 2" xfId="31742"/>
    <cellStyle name="Normal 12 2 4 4 3 5" xfId="20222"/>
    <cellStyle name="Normal 12 2 4 4 4" xfId="4382"/>
    <cellStyle name="Normal 12 2 4 4 4 2" xfId="10142"/>
    <cellStyle name="Normal 12 2 4 4 4 2 2" xfId="27422"/>
    <cellStyle name="Normal 12 2 4 4 4 3" xfId="15902"/>
    <cellStyle name="Normal 12 2 4 4 4 3 2" xfId="33182"/>
    <cellStyle name="Normal 12 2 4 4 4 4" xfId="21662"/>
    <cellStyle name="Normal 12 2 4 4 5" xfId="7262"/>
    <cellStyle name="Normal 12 2 4 4 5 2" xfId="24542"/>
    <cellStyle name="Normal 12 2 4 4 6" xfId="13022"/>
    <cellStyle name="Normal 12 2 4 4 6 2" xfId="30302"/>
    <cellStyle name="Normal 12 2 4 4 7" xfId="18782"/>
    <cellStyle name="Normal 12 2 4 5" xfId="1742"/>
    <cellStyle name="Normal 12 2 4 5 2" xfId="3182"/>
    <cellStyle name="Normal 12 2 4 5 2 2" xfId="6062"/>
    <cellStyle name="Normal 12 2 4 5 2 2 2" xfId="11822"/>
    <cellStyle name="Normal 12 2 4 5 2 2 2 2" xfId="29102"/>
    <cellStyle name="Normal 12 2 4 5 2 2 3" xfId="17582"/>
    <cellStyle name="Normal 12 2 4 5 2 2 3 2" xfId="34862"/>
    <cellStyle name="Normal 12 2 4 5 2 2 4" xfId="23342"/>
    <cellStyle name="Normal 12 2 4 5 2 3" xfId="8942"/>
    <cellStyle name="Normal 12 2 4 5 2 3 2" xfId="26222"/>
    <cellStyle name="Normal 12 2 4 5 2 4" xfId="14702"/>
    <cellStyle name="Normal 12 2 4 5 2 4 2" xfId="31982"/>
    <cellStyle name="Normal 12 2 4 5 2 5" xfId="20462"/>
    <cellStyle name="Normal 12 2 4 5 3" xfId="4622"/>
    <cellStyle name="Normal 12 2 4 5 3 2" xfId="10382"/>
    <cellStyle name="Normal 12 2 4 5 3 2 2" xfId="27662"/>
    <cellStyle name="Normal 12 2 4 5 3 3" xfId="16142"/>
    <cellStyle name="Normal 12 2 4 5 3 3 2" xfId="33422"/>
    <cellStyle name="Normal 12 2 4 5 3 4" xfId="21902"/>
    <cellStyle name="Normal 12 2 4 5 4" xfId="7502"/>
    <cellStyle name="Normal 12 2 4 5 4 2" xfId="24782"/>
    <cellStyle name="Normal 12 2 4 5 5" xfId="13262"/>
    <cellStyle name="Normal 12 2 4 5 5 2" xfId="30542"/>
    <cellStyle name="Normal 12 2 4 5 6" xfId="19022"/>
    <cellStyle name="Normal 12 2 4 6" xfId="2462"/>
    <cellStyle name="Normal 12 2 4 6 2" xfId="5342"/>
    <cellStyle name="Normal 12 2 4 6 2 2" xfId="11102"/>
    <cellStyle name="Normal 12 2 4 6 2 2 2" xfId="28382"/>
    <cellStyle name="Normal 12 2 4 6 2 3" xfId="16862"/>
    <cellStyle name="Normal 12 2 4 6 2 3 2" xfId="34142"/>
    <cellStyle name="Normal 12 2 4 6 2 4" xfId="22622"/>
    <cellStyle name="Normal 12 2 4 6 3" xfId="8222"/>
    <cellStyle name="Normal 12 2 4 6 3 2" xfId="25502"/>
    <cellStyle name="Normal 12 2 4 6 4" xfId="13982"/>
    <cellStyle name="Normal 12 2 4 6 4 2" xfId="31262"/>
    <cellStyle name="Normal 12 2 4 6 5" xfId="19742"/>
    <cellStyle name="Normal 12 2 4 7" xfId="3902"/>
    <cellStyle name="Normal 12 2 4 7 2" xfId="9662"/>
    <cellStyle name="Normal 12 2 4 7 2 2" xfId="26942"/>
    <cellStyle name="Normal 12 2 4 7 3" xfId="15422"/>
    <cellStyle name="Normal 12 2 4 7 3 2" xfId="32702"/>
    <cellStyle name="Normal 12 2 4 7 4" xfId="21182"/>
    <cellStyle name="Normal 12 2 4 8" xfId="6782"/>
    <cellStyle name="Normal 12 2 4 8 2" xfId="24062"/>
    <cellStyle name="Normal 12 2 4 9" xfId="12542"/>
    <cellStyle name="Normal 12 2 4 9 2" xfId="29822"/>
    <cellStyle name="Normal 12 2 5" xfId="982"/>
    <cellStyle name="Normal 12 2 5 10" xfId="18262"/>
    <cellStyle name="Normal 12 2 5 2" xfId="1102"/>
    <cellStyle name="Normal 12 2 5 2 2" xfId="1342"/>
    <cellStyle name="Normal 12 2 5 2 2 2" xfId="2062"/>
    <cellStyle name="Normal 12 2 5 2 2 2 2" xfId="3502"/>
    <cellStyle name="Normal 12 2 5 2 2 2 2 2" xfId="6382"/>
    <cellStyle name="Normal 12 2 5 2 2 2 2 2 2" xfId="12142"/>
    <cellStyle name="Normal 12 2 5 2 2 2 2 2 2 2" xfId="29422"/>
    <cellStyle name="Normal 12 2 5 2 2 2 2 2 3" xfId="17902"/>
    <cellStyle name="Normal 12 2 5 2 2 2 2 2 3 2" xfId="35182"/>
    <cellStyle name="Normal 12 2 5 2 2 2 2 2 4" xfId="23662"/>
    <cellStyle name="Normal 12 2 5 2 2 2 2 3" xfId="9262"/>
    <cellStyle name="Normal 12 2 5 2 2 2 2 3 2" xfId="26542"/>
    <cellStyle name="Normal 12 2 5 2 2 2 2 4" xfId="15022"/>
    <cellStyle name="Normal 12 2 5 2 2 2 2 4 2" xfId="32302"/>
    <cellStyle name="Normal 12 2 5 2 2 2 2 5" xfId="20782"/>
    <cellStyle name="Normal 12 2 5 2 2 2 3" xfId="4942"/>
    <cellStyle name="Normal 12 2 5 2 2 2 3 2" xfId="10702"/>
    <cellStyle name="Normal 12 2 5 2 2 2 3 2 2" xfId="27982"/>
    <cellStyle name="Normal 12 2 5 2 2 2 3 3" xfId="16462"/>
    <cellStyle name="Normal 12 2 5 2 2 2 3 3 2" xfId="33742"/>
    <cellStyle name="Normal 12 2 5 2 2 2 3 4" xfId="22222"/>
    <cellStyle name="Normal 12 2 5 2 2 2 4" xfId="7822"/>
    <cellStyle name="Normal 12 2 5 2 2 2 4 2" xfId="25102"/>
    <cellStyle name="Normal 12 2 5 2 2 2 5" xfId="13582"/>
    <cellStyle name="Normal 12 2 5 2 2 2 5 2" xfId="30862"/>
    <cellStyle name="Normal 12 2 5 2 2 2 6" xfId="19342"/>
    <cellStyle name="Normal 12 2 5 2 2 3" xfId="2782"/>
    <cellStyle name="Normal 12 2 5 2 2 3 2" xfId="5662"/>
    <cellStyle name="Normal 12 2 5 2 2 3 2 2" xfId="11422"/>
    <cellStyle name="Normal 12 2 5 2 2 3 2 2 2" xfId="28702"/>
    <cellStyle name="Normal 12 2 5 2 2 3 2 3" xfId="17182"/>
    <cellStyle name="Normal 12 2 5 2 2 3 2 3 2" xfId="34462"/>
    <cellStyle name="Normal 12 2 5 2 2 3 2 4" xfId="22942"/>
    <cellStyle name="Normal 12 2 5 2 2 3 3" xfId="8542"/>
    <cellStyle name="Normal 12 2 5 2 2 3 3 2" xfId="25822"/>
    <cellStyle name="Normal 12 2 5 2 2 3 4" xfId="14302"/>
    <cellStyle name="Normal 12 2 5 2 2 3 4 2" xfId="31582"/>
    <cellStyle name="Normal 12 2 5 2 2 3 5" xfId="20062"/>
    <cellStyle name="Normal 12 2 5 2 2 4" xfId="4222"/>
    <cellStyle name="Normal 12 2 5 2 2 4 2" xfId="9982"/>
    <cellStyle name="Normal 12 2 5 2 2 4 2 2" xfId="27262"/>
    <cellStyle name="Normal 12 2 5 2 2 4 3" xfId="15742"/>
    <cellStyle name="Normal 12 2 5 2 2 4 3 2" xfId="33022"/>
    <cellStyle name="Normal 12 2 5 2 2 4 4" xfId="21502"/>
    <cellStyle name="Normal 12 2 5 2 2 5" xfId="7102"/>
    <cellStyle name="Normal 12 2 5 2 2 5 2" xfId="24382"/>
    <cellStyle name="Normal 12 2 5 2 2 6" xfId="12862"/>
    <cellStyle name="Normal 12 2 5 2 2 6 2" xfId="30142"/>
    <cellStyle name="Normal 12 2 5 2 2 7" xfId="18622"/>
    <cellStyle name="Normal 12 2 5 2 3" xfId="1582"/>
    <cellStyle name="Normal 12 2 5 2 3 2" xfId="2302"/>
    <cellStyle name="Normal 12 2 5 2 3 2 2" xfId="3742"/>
    <cellStyle name="Normal 12 2 5 2 3 2 2 2" xfId="6622"/>
    <cellStyle name="Normal 12 2 5 2 3 2 2 2 2" xfId="12382"/>
    <cellStyle name="Normal 12 2 5 2 3 2 2 2 2 2" xfId="29662"/>
    <cellStyle name="Normal 12 2 5 2 3 2 2 2 3" xfId="18142"/>
    <cellStyle name="Normal 12 2 5 2 3 2 2 2 3 2" xfId="35422"/>
    <cellStyle name="Normal 12 2 5 2 3 2 2 2 4" xfId="23902"/>
    <cellStyle name="Normal 12 2 5 2 3 2 2 3" xfId="9502"/>
    <cellStyle name="Normal 12 2 5 2 3 2 2 3 2" xfId="26782"/>
    <cellStyle name="Normal 12 2 5 2 3 2 2 4" xfId="15262"/>
    <cellStyle name="Normal 12 2 5 2 3 2 2 4 2" xfId="32542"/>
    <cellStyle name="Normal 12 2 5 2 3 2 2 5" xfId="21022"/>
    <cellStyle name="Normal 12 2 5 2 3 2 3" xfId="5182"/>
    <cellStyle name="Normal 12 2 5 2 3 2 3 2" xfId="10942"/>
    <cellStyle name="Normal 12 2 5 2 3 2 3 2 2" xfId="28222"/>
    <cellStyle name="Normal 12 2 5 2 3 2 3 3" xfId="16702"/>
    <cellStyle name="Normal 12 2 5 2 3 2 3 3 2" xfId="33982"/>
    <cellStyle name="Normal 12 2 5 2 3 2 3 4" xfId="22462"/>
    <cellStyle name="Normal 12 2 5 2 3 2 4" xfId="8062"/>
    <cellStyle name="Normal 12 2 5 2 3 2 4 2" xfId="25342"/>
    <cellStyle name="Normal 12 2 5 2 3 2 5" xfId="13822"/>
    <cellStyle name="Normal 12 2 5 2 3 2 5 2" xfId="31102"/>
    <cellStyle name="Normal 12 2 5 2 3 2 6" xfId="19582"/>
    <cellStyle name="Normal 12 2 5 2 3 3" xfId="3022"/>
    <cellStyle name="Normal 12 2 5 2 3 3 2" xfId="5902"/>
    <cellStyle name="Normal 12 2 5 2 3 3 2 2" xfId="11662"/>
    <cellStyle name="Normal 12 2 5 2 3 3 2 2 2" xfId="28942"/>
    <cellStyle name="Normal 12 2 5 2 3 3 2 3" xfId="17422"/>
    <cellStyle name="Normal 12 2 5 2 3 3 2 3 2" xfId="34702"/>
    <cellStyle name="Normal 12 2 5 2 3 3 2 4" xfId="23182"/>
    <cellStyle name="Normal 12 2 5 2 3 3 3" xfId="8782"/>
    <cellStyle name="Normal 12 2 5 2 3 3 3 2" xfId="26062"/>
    <cellStyle name="Normal 12 2 5 2 3 3 4" xfId="14542"/>
    <cellStyle name="Normal 12 2 5 2 3 3 4 2" xfId="31822"/>
    <cellStyle name="Normal 12 2 5 2 3 3 5" xfId="20302"/>
    <cellStyle name="Normal 12 2 5 2 3 4" xfId="4462"/>
    <cellStyle name="Normal 12 2 5 2 3 4 2" xfId="10222"/>
    <cellStyle name="Normal 12 2 5 2 3 4 2 2" xfId="27502"/>
    <cellStyle name="Normal 12 2 5 2 3 4 3" xfId="15982"/>
    <cellStyle name="Normal 12 2 5 2 3 4 3 2" xfId="33262"/>
    <cellStyle name="Normal 12 2 5 2 3 4 4" xfId="21742"/>
    <cellStyle name="Normal 12 2 5 2 3 5" xfId="7342"/>
    <cellStyle name="Normal 12 2 5 2 3 5 2" xfId="24622"/>
    <cellStyle name="Normal 12 2 5 2 3 6" xfId="13102"/>
    <cellStyle name="Normal 12 2 5 2 3 6 2" xfId="30382"/>
    <cellStyle name="Normal 12 2 5 2 3 7" xfId="18862"/>
    <cellStyle name="Normal 12 2 5 2 4" xfId="1822"/>
    <cellStyle name="Normal 12 2 5 2 4 2" xfId="3262"/>
    <cellStyle name="Normal 12 2 5 2 4 2 2" xfId="6142"/>
    <cellStyle name="Normal 12 2 5 2 4 2 2 2" xfId="11902"/>
    <cellStyle name="Normal 12 2 5 2 4 2 2 2 2" xfId="29182"/>
    <cellStyle name="Normal 12 2 5 2 4 2 2 3" xfId="17662"/>
    <cellStyle name="Normal 12 2 5 2 4 2 2 3 2" xfId="34942"/>
    <cellStyle name="Normal 12 2 5 2 4 2 2 4" xfId="23422"/>
    <cellStyle name="Normal 12 2 5 2 4 2 3" xfId="9022"/>
    <cellStyle name="Normal 12 2 5 2 4 2 3 2" xfId="26302"/>
    <cellStyle name="Normal 12 2 5 2 4 2 4" xfId="14782"/>
    <cellStyle name="Normal 12 2 5 2 4 2 4 2" xfId="32062"/>
    <cellStyle name="Normal 12 2 5 2 4 2 5" xfId="20542"/>
    <cellStyle name="Normal 12 2 5 2 4 3" xfId="4702"/>
    <cellStyle name="Normal 12 2 5 2 4 3 2" xfId="10462"/>
    <cellStyle name="Normal 12 2 5 2 4 3 2 2" xfId="27742"/>
    <cellStyle name="Normal 12 2 5 2 4 3 3" xfId="16222"/>
    <cellStyle name="Normal 12 2 5 2 4 3 3 2" xfId="33502"/>
    <cellStyle name="Normal 12 2 5 2 4 3 4" xfId="21982"/>
    <cellStyle name="Normal 12 2 5 2 4 4" xfId="7582"/>
    <cellStyle name="Normal 12 2 5 2 4 4 2" xfId="24862"/>
    <cellStyle name="Normal 12 2 5 2 4 5" xfId="13342"/>
    <cellStyle name="Normal 12 2 5 2 4 5 2" xfId="30622"/>
    <cellStyle name="Normal 12 2 5 2 4 6" xfId="19102"/>
    <cellStyle name="Normal 12 2 5 2 5" xfId="2542"/>
    <cellStyle name="Normal 12 2 5 2 5 2" xfId="5422"/>
    <cellStyle name="Normal 12 2 5 2 5 2 2" xfId="11182"/>
    <cellStyle name="Normal 12 2 5 2 5 2 2 2" xfId="28462"/>
    <cellStyle name="Normal 12 2 5 2 5 2 3" xfId="16942"/>
    <cellStyle name="Normal 12 2 5 2 5 2 3 2" xfId="34222"/>
    <cellStyle name="Normal 12 2 5 2 5 2 4" xfId="22702"/>
    <cellStyle name="Normal 12 2 5 2 5 3" xfId="8302"/>
    <cellStyle name="Normal 12 2 5 2 5 3 2" xfId="25582"/>
    <cellStyle name="Normal 12 2 5 2 5 4" xfId="14062"/>
    <cellStyle name="Normal 12 2 5 2 5 4 2" xfId="31342"/>
    <cellStyle name="Normal 12 2 5 2 5 5" xfId="19822"/>
    <cellStyle name="Normal 12 2 5 2 6" xfId="3982"/>
    <cellStyle name="Normal 12 2 5 2 6 2" xfId="9742"/>
    <cellStyle name="Normal 12 2 5 2 6 2 2" xfId="27022"/>
    <cellStyle name="Normal 12 2 5 2 6 3" xfId="15502"/>
    <cellStyle name="Normal 12 2 5 2 6 3 2" xfId="32782"/>
    <cellStyle name="Normal 12 2 5 2 6 4" xfId="21262"/>
    <cellStyle name="Normal 12 2 5 2 7" xfId="6862"/>
    <cellStyle name="Normal 12 2 5 2 7 2" xfId="24142"/>
    <cellStyle name="Normal 12 2 5 2 8" xfId="12622"/>
    <cellStyle name="Normal 12 2 5 2 8 2" xfId="29902"/>
    <cellStyle name="Normal 12 2 5 2 9" xfId="18382"/>
    <cellStyle name="Normal 12 2 5 3" xfId="1222"/>
    <cellStyle name="Normal 12 2 5 3 2" xfId="1942"/>
    <cellStyle name="Normal 12 2 5 3 2 2" xfId="3382"/>
    <cellStyle name="Normal 12 2 5 3 2 2 2" xfId="6262"/>
    <cellStyle name="Normal 12 2 5 3 2 2 2 2" xfId="12022"/>
    <cellStyle name="Normal 12 2 5 3 2 2 2 2 2" xfId="29302"/>
    <cellStyle name="Normal 12 2 5 3 2 2 2 3" xfId="17782"/>
    <cellStyle name="Normal 12 2 5 3 2 2 2 3 2" xfId="35062"/>
    <cellStyle name="Normal 12 2 5 3 2 2 2 4" xfId="23542"/>
    <cellStyle name="Normal 12 2 5 3 2 2 3" xfId="9142"/>
    <cellStyle name="Normal 12 2 5 3 2 2 3 2" xfId="26422"/>
    <cellStyle name="Normal 12 2 5 3 2 2 4" xfId="14902"/>
    <cellStyle name="Normal 12 2 5 3 2 2 4 2" xfId="32182"/>
    <cellStyle name="Normal 12 2 5 3 2 2 5" xfId="20662"/>
    <cellStyle name="Normal 12 2 5 3 2 3" xfId="4822"/>
    <cellStyle name="Normal 12 2 5 3 2 3 2" xfId="10582"/>
    <cellStyle name="Normal 12 2 5 3 2 3 2 2" xfId="27862"/>
    <cellStyle name="Normal 12 2 5 3 2 3 3" xfId="16342"/>
    <cellStyle name="Normal 12 2 5 3 2 3 3 2" xfId="33622"/>
    <cellStyle name="Normal 12 2 5 3 2 3 4" xfId="22102"/>
    <cellStyle name="Normal 12 2 5 3 2 4" xfId="7702"/>
    <cellStyle name="Normal 12 2 5 3 2 4 2" xfId="24982"/>
    <cellStyle name="Normal 12 2 5 3 2 5" xfId="13462"/>
    <cellStyle name="Normal 12 2 5 3 2 5 2" xfId="30742"/>
    <cellStyle name="Normal 12 2 5 3 2 6" xfId="19222"/>
    <cellStyle name="Normal 12 2 5 3 3" xfId="2662"/>
    <cellStyle name="Normal 12 2 5 3 3 2" xfId="5542"/>
    <cellStyle name="Normal 12 2 5 3 3 2 2" xfId="11302"/>
    <cellStyle name="Normal 12 2 5 3 3 2 2 2" xfId="28582"/>
    <cellStyle name="Normal 12 2 5 3 3 2 3" xfId="17062"/>
    <cellStyle name="Normal 12 2 5 3 3 2 3 2" xfId="34342"/>
    <cellStyle name="Normal 12 2 5 3 3 2 4" xfId="22822"/>
    <cellStyle name="Normal 12 2 5 3 3 3" xfId="8422"/>
    <cellStyle name="Normal 12 2 5 3 3 3 2" xfId="25702"/>
    <cellStyle name="Normal 12 2 5 3 3 4" xfId="14182"/>
    <cellStyle name="Normal 12 2 5 3 3 4 2" xfId="31462"/>
    <cellStyle name="Normal 12 2 5 3 3 5" xfId="19942"/>
    <cellStyle name="Normal 12 2 5 3 4" xfId="4102"/>
    <cellStyle name="Normal 12 2 5 3 4 2" xfId="9862"/>
    <cellStyle name="Normal 12 2 5 3 4 2 2" xfId="27142"/>
    <cellStyle name="Normal 12 2 5 3 4 3" xfId="15622"/>
    <cellStyle name="Normal 12 2 5 3 4 3 2" xfId="32902"/>
    <cellStyle name="Normal 12 2 5 3 4 4" xfId="21382"/>
    <cellStyle name="Normal 12 2 5 3 5" xfId="6982"/>
    <cellStyle name="Normal 12 2 5 3 5 2" xfId="24262"/>
    <cellStyle name="Normal 12 2 5 3 6" xfId="12742"/>
    <cellStyle name="Normal 12 2 5 3 6 2" xfId="30022"/>
    <cellStyle name="Normal 12 2 5 3 7" xfId="18502"/>
    <cellStyle name="Normal 12 2 5 4" xfId="1462"/>
    <cellStyle name="Normal 12 2 5 4 2" xfId="2182"/>
    <cellStyle name="Normal 12 2 5 4 2 2" xfId="3622"/>
    <cellStyle name="Normal 12 2 5 4 2 2 2" xfId="6502"/>
    <cellStyle name="Normal 12 2 5 4 2 2 2 2" xfId="12262"/>
    <cellStyle name="Normal 12 2 5 4 2 2 2 2 2" xfId="29542"/>
    <cellStyle name="Normal 12 2 5 4 2 2 2 3" xfId="18022"/>
    <cellStyle name="Normal 12 2 5 4 2 2 2 3 2" xfId="35302"/>
    <cellStyle name="Normal 12 2 5 4 2 2 2 4" xfId="23782"/>
    <cellStyle name="Normal 12 2 5 4 2 2 3" xfId="9382"/>
    <cellStyle name="Normal 12 2 5 4 2 2 3 2" xfId="26662"/>
    <cellStyle name="Normal 12 2 5 4 2 2 4" xfId="15142"/>
    <cellStyle name="Normal 12 2 5 4 2 2 4 2" xfId="32422"/>
    <cellStyle name="Normal 12 2 5 4 2 2 5" xfId="20902"/>
    <cellStyle name="Normal 12 2 5 4 2 3" xfId="5062"/>
    <cellStyle name="Normal 12 2 5 4 2 3 2" xfId="10822"/>
    <cellStyle name="Normal 12 2 5 4 2 3 2 2" xfId="28102"/>
    <cellStyle name="Normal 12 2 5 4 2 3 3" xfId="16582"/>
    <cellStyle name="Normal 12 2 5 4 2 3 3 2" xfId="33862"/>
    <cellStyle name="Normal 12 2 5 4 2 3 4" xfId="22342"/>
    <cellStyle name="Normal 12 2 5 4 2 4" xfId="7942"/>
    <cellStyle name="Normal 12 2 5 4 2 4 2" xfId="25222"/>
    <cellStyle name="Normal 12 2 5 4 2 5" xfId="13702"/>
    <cellStyle name="Normal 12 2 5 4 2 5 2" xfId="30982"/>
    <cellStyle name="Normal 12 2 5 4 2 6" xfId="19462"/>
    <cellStyle name="Normal 12 2 5 4 3" xfId="2902"/>
    <cellStyle name="Normal 12 2 5 4 3 2" xfId="5782"/>
    <cellStyle name="Normal 12 2 5 4 3 2 2" xfId="11542"/>
    <cellStyle name="Normal 12 2 5 4 3 2 2 2" xfId="28822"/>
    <cellStyle name="Normal 12 2 5 4 3 2 3" xfId="17302"/>
    <cellStyle name="Normal 12 2 5 4 3 2 3 2" xfId="34582"/>
    <cellStyle name="Normal 12 2 5 4 3 2 4" xfId="23062"/>
    <cellStyle name="Normal 12 2 5 4 3 3" xfId="8662"/>
    <cellStyle name="Normal 12 2 5 4 3 3 2" xfId="25942"/>
    <cellStyle name="Normal 12 2 5 4 3 4" xfId="14422"/>
    <cellStyle name="Normal 12 2 5 4 3 4 2" xfId="31702"/>
    <cellStyle name="Normal 12 2 5 4 3 5" xfId="20182"/>
    <cellStyle name="Normal 12 2 5 4 4" xfId="4342"/>
    <cellStyle name="Normal 12 2 5 4 4 2" xfId="10102"/>
    <cellStyle name="Normal 12 2 5 4 4 2 2" xfId="27382"/>
    <cellStyle name="Normal 12 2 5 4 4 3" xfId="15862"/>
    <cellStyle name="Normal 12 2 5 4 4 3 2" xfId="33142"/>
    <cellStyle name="Normal 12 2 5 4 4 4" xfId="21622"/>
    <cellStyle name="Normal 12 2 5 4 5" xfId="7222"/>
    <cellStyle name="Normal 12 2 5 4 5 2" xfId="24502"/>
    <cellStyle name="Normal 12 2 5 4 6" xfId="12982"/>
    <cellStyle name="Normal 12 2 5 4 6 2" xfId="30262"/>
    <cellStyle name="Normal 12 2 5 4 7" xfId="18742"/>
    <cellStyle name="Normal 12 2 5 5" xfId="1702"/>
    <cellStyle name="Normal 12 2 5 5 2" xfId="3142"/>
    <cellStyle name="Normal 12 2 5 5 2 2" xfId="6022"/>
    <cellStyle name="Normal 12 2 5 5 2 2 2" xfId="11782"/>
    <cellStyle name="Normal 12 2 5 5 2 2 2 2" xfId="29062"/>
    <cellStyle name="Normal 12 2 5 5 2 2 3" xfId="17542"/>
    <cellStyle name="Normal 12 2 5 5 2 2 3 2" xfId="34822"/>
    <cellStyle name="Normal 12 2 5 5 2 2 4" xfId="23302"/>
    <cellStyle name="Normal 12 2 5 5 2 3" xfId="8902"/>
    <cellStyle name="Normal 12 2 5 5 2 3 2" xfId="26182"/>
    <cellStyle name="Normal 12 2 5 5 2 4" xfId="14662"/>
    <cellStyle name="Normal 12 2 5 5 2 4 2" xfId="31942"/>
    <cellStyle name="Normal 12 2 5 5 2 5" xfId="20422"/>
    <cellStyle name="Normal 12 2 5 5 3" xfId="4582"/>
    <cellStyle name="Normal 12 2 5 5 3 2" xfId="10342"/>
    <cellStyle name="Normal 12 2 5 5 3 2 2" xfId="27622"/>
    <cellStyle name="Normal 12 2 5 5 3 3" xfId="16102"/>
    <cellStyle name="Normal 12 2 5 5 3 3 2" xfId="33382"/>
    <cellStyle name="Normal 12 2 5 5 3 4" xfId="21862"/>
    <cellStyle name="Normal 12 2 5 5 4" xfId="7462"/>
    <cellStyle name="Normal 12 2 5 5 4 2" xfId="24742"/>
    <cellStyle name="Normal 12 2 5 5 5" xfId="13222"/>
    <cellStyle name="Normal 12 2 5 5 5 2" xfId="30502"/>
    <cellStyle name="Normal 12 2 5 5 6" xfId="18982"/>
    <cellStyle name="Normal 12 2 5 6" xfId="2422"/>
    <cellStyle name="Normal 12 2 5 6 2" xfId="5302"/>
    <cellStyle name="Normal 12 2 5 6 2 2" xfId="11062"/>
    <cellStyle name="Normal 12 2 5 6 2 2 2" xfId="28342"/>
    <cellStyle name="Normal 12 2 5 6 2 3" xfId="16822"/>
    <cellStyle name="Normal 12 2 5 6 2 3 2" xfId="34102"/>
    <cellStyle name="Normal 12 2 5 6 2 4" xfId="22582"/>
    <cellStyle name="Normal 12 2 5 6 3" xfId="8182"/>
    <cellStyle name="Normal 12 2 5 6 3 2" xfId="25462"/>
    <cellStyle name="Normal 12 2 5 6 4" xfId="13942"/>
    <cellStyle name="Normal 12 2 5 6 4 2" xfId="31222"/>
    <cellStyle name="Normal 12 2 5 6 5" xfId="19702"/>
    <cellStyle name="Normal 12 2 5 7" xfId="3862"/>
    <cellStyle name="Normal 12 2 5 7 2" xfId="9622"/>
    <cellStyle name="Normal 12 2 5 7 2 2" xfId="26902"/>
    <cellStyle name="Normal 12 2 5 7 3" xfId="15382"/>
    <cellStyle name="Normal 12 2 5 7 3 2" xfId="32662"/>
    <cellStyle name="Normal 12 2 5 7 4" xfId="21142"/>
    <cellStyle name="Normal 12 2 5 8" xfId="6742"/>
    <cellStyle name="Normal 12 2 5 8 2" xfId="24022"/>
    <cellStyle name="Normal 12 2 5 9" xfId="12502"/>
    <cellStyle name="Normal 12 2 5 9 2" xfId="29782"/>
    <cellStyle name="Normal 12 2 6" xfId="1062"/>
    <cellStyle name="Normal 12 2 6 2" xfId="1302"/>
    <cellStyle name="Normal 12 2 6 2 2" xfId="2022"/>
    <cellStyle name="Normal 12 2 6 2 2 2" xfId="3462"/>
    <cellStyle name="Normal 12 2 6 2 2 2 2" xfId="6342"/>
    <cellStyle name="Normal 12 2 6 2 2 2 2 2" xfId="12102"/>
    <cellStyle name="Normal 12 2 6 2 2 2 2 2 2" xfId="29382"/>
    <cellStyle name="Normal 12 2 6 2 2 2 2 3" xfId="17862"/>
    <cellStyle name="Normal 12 2 6 2 2 2 2 3 2" xfId="35142"/>
    <cellStyle name="Normal 12 2 6 2 2 2 2 4" xfId="23622"/>
    <cellStyle name="Normal 12 2 6 2 2 2 3" xfId="9222"/>
    <cellStyle name="Normal 12 2 6 2 2 2 3 2" xfId="26502"/>
    <cellStyle name="Normal 12 2 6 2 2 2 4" xfId="14982"/>
    <cellStyle name="Normal 12 2 6 2 2 2 4 2" xfId="32262"/>
    <cellStyle name="Normal 12 2 6 2 2 2 5" xfId="20742"/>
    <cellStyle name="Normal 12 2 6 2 2 3" xfId="4902"/>
    <cellStyle name="Normal 12 2 6 2 2 3 2" xfId="10662"/>
    <cellStyle name="Normal 12 2 6 2 2 3 2 2" xfId="27942"/>
    <cellStyle name="Normal 12 2 6 2 2 3 3" xfId="16422"/>
    <cellStyle name="Normal 12 2 6 2 2 3 3 2" xfId="33702"/>
    <cellStyle name="Normal 12 2 6 2 2 3 4" xfId="22182"/>
    <cellStyle name="Normal 12 2 6 2 2 4" xfId="7782"/>
    <cellStyle name="Normal 12 2 6 2 2 4 2" xfId="25062"/>
    <cellStyle name="Normal 12 2 6 2 2 5" xfId="13542"/>
    <cellStyle name="Normal 12 2 6 2 2 5 2" xfId="30822"/>
    <cellStyle name="Normal 12 2 6 2 2 6" xfId="19302"/>
    <cellStyle name="Normal 12 2 6 2 3" xfId="2742"/>
    <cellStyle name="Normal 12 2 6 2 3 2" xfId="5622"/>
    <cellStyle name="Normal 12 2 6 2 3 2 2" xfId="11382"/>
    <cellStyle name="Normal 12 2 6 2 3 2 2 2" xfId="28662"/>
    <cellStyle name="Normal 12 2 6 2 3 2 3" xfId="17142"/>
    <cellStyle name="Normal 12 2 6 2 3 2 3 2" xfId="34422"/>
    <cellStyle name="Normal 12 2 6 2 3 2 4" xfId="22902"/>
    <cellStyle name="Normal 12 2 6 2 3 3" xfId="8502"/>
    <cellStyle name="Normal 12 2 6 2 3 3 2" xfId="25782"/>
    <cellStyle name="Normal 12 2 6 2 3 4" xfId="14262"/>
    <cellStyle name="Normal 12 2 6 2 3 4 2" xfId="31542"/>
    <cellStyle name="Normal 12 2 6 2 3 5" xfId="20022"/>
    <cellStyle name="Normal 12 2 6 2 4" xfId="4182"/>
    <cellStyle name="Normal 12 2 6 2 4 2" xfId="9942"/>
    <cellStyle name="Normal 12 2 6 2 4 2 2" xfId="27222"/>
    <cellStyle name="Normal 12 2 6 2 4 3" xfId="15702"/>
    <cellStyle name="Normal 12 2 6 2 4 3 2" xfId="32982"/>
    <cellStyle name="Normal 12 2 6 2 4 4" xfId="21462"/>
    <cellStyle name="Normal 12 2 6 2 5" xfId="7062"/>
    <cellStyle name="Normal 12 2 6 2 5 2" xfId="24342"/>
    <cellStyle name="Normal 12 2 6 2 6" xfId="12822"/>
    <cellStyle name="Normal 12 2 6 2 6 2" xfId="30102"/>
    <cellStyle name="Normal 12 2 6 2 7" xfId="18582"/>
    <cellStyle name="Normal 12 2 6 3" xfId="1542"/>
    <cellStyle name="Normal 12 2 6 3 2" xfId="2262"/>
    <cellStyle name="Normal 12 2 6 3 2 2" xfId="3702"/>
    <cellStyle name="Normal 12 2 6 3 2 2 2" xfId="6582"/>
    <cellStyle name="Normal 12 2 6 3 2 2 2 2" xfId="12342"/>
    <cellStyle name="Normal 12 2 6 3 2 2 2 2 2" xfId="29622"/>
    <cellStyle name="Normal 12 2 6 3 2 2 2 3" xfId="18102"/>
    <cellStyle name="Normal 12 2 6 3 2 2 2 3 2" xfId="35382"/>
    <cellStyle name="Normal 12 2 6 3 2 2 2 4" xfId="23862"/>
    <cellStyle name="Normal 12 2 6 3 2 2 3" xfId="9462"/>
    <cellStyle name="Normal 12 2 6 3 2 2 3 2" xfId="26742"/>
    <cellStyle name="Normal 12 2 6 3 2 2 4" xfId="15222"/>
    <cellStyle name="Normal 12 2 6 3 2 2 4 2" xfId="32502"/>
    <cellStyle name="Normal 12 2 6 3 2 2 5" xfId="20982"/>
    <cellStyle name="Normal 12 2 6 3 2 3" xfId="5142"/>
    <cellStyle name="Normal 12 2 6 3 2 3 2" xfId="10902"/>
    <cellStyle name="Normal 12 2 6 3 2 3 2 2" xfId="28182"/>
    <cellStyle name="Normal 12 2 6 3 2 3 3" xfId="16662"/>
    <cellStyle name="Normal 12 2 6 3 2 3 3 2" xfId="33942"/>
    <cellStyle name="Normal 12 2 6 3 2 3 4" xfId="22422"/>
    <cellStyle name="Normal 12 2 6 3 2 4" xfId="8022"/>
    <cellStyle name="Normal 12 2 6 3 2 4 2" xfId="25302"/>
    <cellStyle name="Normal 12 2 6 3 2 5" xfId="13782"/>
    <cellStyle name="Normal 12 2 6 3 2 5 2" xfId="31062"/>
    <cellStyle name="Normal 12 2 6 3 2 6" xfId="19542"/>
    <cellStyle name="Normal 12 2 6 3 3" xfId="2982"/>
    <cellStyle name="Normal 12 2 6 3 3 2" xfId="5862"/>
    <cellStyle name="Normal 12 2 6 3 3 2 2" xfId="11622"/>
    <cellStyle name="Normal 12 2 6 3 3 2 2 2" xfId="28902"/>
    <cellStyle name="Normal 12 2 6 3 3 2 3" xfId="17382"/>
    <cellStyle name="Normal 12 2 6 3 3 2 3 2" xfId="34662"/>
    <cellStyle name="Normal 12 2 6 3 3 2 4" xfId="23142"/>
    <cellStyle name="Normal 12 2 6 3 3 3" xfId="8742"/>
    <cellStyle name="Normal 12 2 6 3 3 3 2" xfId="26022"/>
    <cellStyle name="Normal 12 2 6 3 3 4" xfId="14502"/>
    <cellStyle name="Normal 12 2 6 3 3 4 2" xfId="31782"/>
    <cellStyle name="Normal 12 2 6 3 3 5" xfId="20262"/>
    <cellStyle name="Normal 12 2 6 3 4" xfId="4422"/>
    <cellStyle name="Normal 12 2 6 3 4 2" xfId="10182"/>
    <cellStyle name="Normal 12 2 6 3 4 2 2" xfId="27462"/>
    <cellStyle name="Normal 12 2 6 3 4 3" xfId="15942"/>
    <cellStyle name="Normal 12 2 6 3 4 3 2" xfId="33222"/>
    <cellStyle name="Normal 12 2 6 3 4 4" xfId="21702"/>
    <cellStyle name="Normal 12 2 6 3 5" xfId="7302"/>
    <cellStyle name="Normal 12 2 6 3 5 2" xfId="24582"/>
    <cellStyle name="Normal 12 2 6 3 6" xfId="13062"/>
    <cellStyle name="Normal 12 2 6 3 6 2" xfId="30342"/>
    <cellStyle name="Normal 12 2 6 3 7" xfId="18822"/>
    <cellStyle name="Normal 12 2 6 4" xfId="1782"/>
    <cellStyle name="Normal 12 2 6 4 2" xfId="3222"/>
    <cellStyle name="Normal 12 2 6 4 2 2" xfId="6102"/>
    <cellStyle name="Normal 12 2 6 4 2 2 2" xfId="11862"/>
    <cellStyle name="Normal 12 2 6 4 2 2 2 2" xfId="29142"/>
    <cellStyle name="Normal 12 2 6 4 2 2 3" xfId="17622"/>
    <cellStyle name="Normal 12 2 6 4 2 2 3 2" xfId="34902"/>
    <cellStyle name="Normal 12 2 6 4 2 2 4" xfId="23382"/>
    <cellStyle name="Normal 12 2 6 4 2 3" xfId="8982"/>
    <cellStyle name="Normal 12 2 6 4 2 3 2" xfId="26262"/>
    <cellStyle name="Normal 12 2 6 4 2 4" xfId="14742"/>
    <cellStyle name="Normal 12 2 6 4 2 4 2" xfId="32022"/>
    <cellStyle name="Normal 12 2 6 4 2 5" xfId="20502"/>
    <cellStyle name="Normal 12 2 6 4 3" xfId="4662"/>
    <cellStyle name="Normal 12 2 6 4 3 2" xfId="10422"/>
    <cellStyle name="Normal 12 2 6 4 3 2 2" xfId="27702"/>
    <cellStyle name="Normal 12 2 6 4 3 3" xfId="16182"/>
    <cellStyle name="Normal 12 2 6 4 3 3 2" xfId="33462"/>
    <cellStyle name="Normal 12 2 6 4 3 4" xfId="21942"/>
    <cellStyle name="Normal 12 2 6 4 4" xfId="7542"/>
    <cellStyle name="Normal 12 2 6 4 4 2" xfId="24822"/>
    <cellStyle name="Normal 12 2 6 4 5" xfId="13302"/>
    <cellStyle name="Normal 12 2 6 4 5 2" xfId="30582"/>
    <cellStyle name="Normal 12 2 6 4 6" xfId="19062"/>
    <cellStyle name="Normal 12 2 6 5" xfId="2502"/>
    <cellStyle name="Normal 12 2 6 5 2" xfId="5382"/>
    <cellStyle name="Normal 12 2 6 5 2 2" xfId="11142"/>
    <cellStyle name="Normal 12 2 6 5 2 2 2" xfId="28422"/>
    <cellStyle name="Normal 12 2 6 5 2 3" xfId="16902"/>
    <cellStyle name="Normal 12 2 6 5 2 3 2" xfId="34182"/>
    <cellStyle name="Normal 12 2 6 5 2 4" xfId="22662"/>
    <cellStyle name="Normal 12 2 6 5 3" xfId="8262"/>
    <cellStyle name="Normal 12 2 6 5 3 2" xfId="25542"/>
    <cellStyle name="Normal 12 2 6 5 4" xfId="14022"/>
    <cellStyle name="Normal 12 2 6 5 4 2" xfId="31302"/>
    <cellStyle name="Normal 12 2 6 5 5" xfId="19782"/>
    <cellStyle name="Normal 12 2 6 6" xfId="3942"/>
    <cellStyle name="Normal 12 2 6 6 2" xfId="9702"/>
    <cellStyle name="Normal 12 2 6 6 2 2" xfId="26982"/>
    <cellStyle name="Normal 12 2 6 6 3" xfId="15462"/>
    <cellStyle name="Normal 12 2 6 6 3 2" xfId="32742"/>
    <cellStyle name="Normal 12 2 6 6 4" xfId="21222"/>
    <cellStyle name="Normal 12 2 6 7" xfId="6822"/>
    <cellStyle name="Normal 12 2 6 7 2" xfId="24102"/>
    <cellStyle name="Normal 12 2 6 8" xfId="12582"/>
    <cellStyle name="Normal 12 2 6 8 2" xfId="29862"/>
    <cellStyle name="Normal 12 2 6 9" xfId="18342"/>
    <cellStyle name="Normal 12 2 7" xfId="1182"/>
    <cellStyle name="Normal 12 2 7 2" xfId="1902"/>
    <cellStyle name="Normal 12 2 7 2 2" xfId="3342"/>
    <cellStyle name="Normal 12 2 7 2 2 2" xfId="6222"/>
    <cellStyle name="Normal 12 2 7 2 2 2 2" xfId="11982"/>
    <cellStyle name="Normal 12 2 7 2 2 2 2 2" xfId="29262"/>
    <cellStyle name="Normal 12 2 7 2 2 2 3" xfId="17742"/>
    <cellStyle name="Normal 12 2 7 2 2 2 3 2" xfId="35022"/>
    <cellStyle name="Normal 12 2 7 2 2 2 4" xfId="23502"/>
    <cellStyle name="Normal 12 2 7 2 2 3" xfId="9102"/>
    <cellStyle name="Normal 12 2 7 2 2 3 2" xfId="26382"/>
    <cellStyle name="Normal 12 2 7 2 2 4" xfId="14862"/>
    <cellStyle name="Normal 12 2 7 2 2 4 2" xfId="32142"/>
    <cellStyle name="Normal 12 2 7 2 2 5" xfId="20622"/>
    <cellStyle name="Normal 12 2 7 2 3" xfId="4782"/>
    <cellStyle name="Normal 12 2 7 2 3 2" xfId="10542"/>
    <cellStyle name="Normal 12 2 7 2 3 2 2" xfId="27822"/>
    <cellStyle name="Normal 12 2 7 2 3 3" xfId="16302"/>
    <cellStyle name="Normal 12 2 7 2 3 3 2" xfId="33582"/>
    <cellStyle name="Normal 12 2 7 2 3 4" xfId="22062"/>
    <cellStyle name="Normal 12 2 7 2 4" xfId="7662"/>
    <cellStyle name="Normal 12 2 7 2 4 2" xfId="24942"/>
    <cellStyle name="Normal 12 2 7 2 5" xfId="13422"/>
    <cellStyle name="Normal 12 2 7 2 5 2" xfId="30702"/>
    <cellStyle name="Normal 12 2 7 2 6" xfId="19182"/>
    <cellStyle name="Normal 12 2 7 3" xfId="2622"/>
    <cellStyle name="Normal 12 2 7 3 2" xfId="5502"/>
    <cellStyle name="Normal 12 2 7 3 2 2" xfId="11262"/>
    <cellStyle name="Normal 12 2 7 3 2 2 2" xfId="28542"/>
    <cellStyle name="Normal 12 2 7 3 2 3" xfId="17022"/>
    <cellStyle name="Normal 12 2 7 3 2 3 2" xfId="34302"/>
    <cellStyle name="Normal 12 2 7 3 2 4" xfId="22782"/>
    <cellStyle name="Normal 12 2 7 3 3" xfId="8382"/>
    <cellStyle name="Normal 12 2 7 3 3 2" xfId="25662"/>
    <cellStyle name="Normal 12 2 7 3 4" xfId="14142"/>
    <cellStyle name="Normal 12 2 7 3 4 2" xfId="31422"/>
    <cellStyle name="Normal 12 2 7 3 5" xfId="19902"/>
    <cellStyle name="Normal 12 2 7 4" xfId="4062"/>
    <cellStyle name="Normal 12 2 7 4 2" xfId="9822"/>
    <cellStyle name="Normal 12 2 7 4 2 2" xfId="27102"/>
    <cellStyle name="Normal 12 2 7 4 3" xfId="15582"/>
    <cellStyle name="Normal 12 2 7 4 3 2" xfId="32862"/>
    <cellStyle name="Normal 12 2 7 4 4" xfId="21342"/>
    <cellStyle name="Normal 12 2 7 5" xfId="6942"/>
    <cellStyle name="Normal 12 2 7 5 2" xfId="24222"/>
    <cellStyle name="Normal 12 2 7 6" xfId="12702"/>
    <cellStyle name="Normal 12 2 7 6 2" xfId="29982"/>
    <cellStyle name="Normal 12 2 7 7" xfId="18462"/>
    <cellStyle name="Normal 12 2 8" xfId="1422"/>
    <cellStyle name="Normal 12 2 8 2" xfId="2142"/>
    <cellStyle name="Normal 12 2 8 2 2" xfId="3582"/>
    <cellStyle name="Normal 12 2 8 2 2 2" xfId="6462"/>
    <cellStyle name="Normal 12 2 8 2 2 2 2" xfId="12222"/>
    <cellStyle name="Normal 12 2 8 2 2 2 2 2" xfId="29502"/>
    <cellStyle name="Normal 12 2 8 2 2 2 3" xfId="17982"/>
    <cellStyle name="Normal 12 2 8 2 2 2 3 2" xfId="35262"/>
    <cellStyle name="Normal 12 2 8 2 2 2 4" xfId="23742"/>
    <cellStyle name="Normal 12 2 8 2 2 3" xfId="9342"/>
    <cellStyle name="Normal 12 2 8 2 2 3 2" xfId="26622"/>
    <cellStyle name="Normal 12 2 8 2 2 4" xfId="15102"/>
    <cellStyle name="Normal 12 2 8 2 2 4 2" xfId="32382"/>
    <cellStyle name="Normal 12 2 8 2 2 5" xfId="20862"/>
    <cellStyle name="Normal 12 2 8 2 3" xfId="5022"/>
    <cellStyle name="Normal 12 2 8 2 3 2" xfId="10782"/>
    <cellStyle name="Normal 12 2 8 2 3 2 2" xfId="28062"/>
    <cellStyle name="Normal 12 2 8 2 3 3" xfId="16542"/>
    <cellStyle name="Normal 12 2 8 2 3 3 2" xfId="33822"/>
    <cellStyle name="Normal 12 2 8 2 3 4" xfId="22302"/>
    <cellStyle name="Normal 12 2 8 2 4" xfId="7902"/>
    <cellStyle name="Normal 12 2 8 2 4 2" xfId="25182"/>
    <cellStyle name="Normal 12 2 8 2 5" xfId="13662"/>
    <cellStyle name="Normal 12 2 8 2 5 2" xfId="30942"/>
    <cellStyle name="Normal 12 2 8 2 6" xfId="19422"/>
    <cellStyle name="Normal 12 2 8 3" xfId="2862"/>
    <cellStyle name="Normal 12 2 8 3 2" xfId="5742"/>
    <cellStyle name="Normal 12 2 8 3 2 2" xfId="11502"/>
    <cellStyle name="Normal 12 2 8 3 2 2 2" xfId="28782"/>
    <cellStyle name="Normal 12 2 8 3 2 3" xfId="17262"/>
    <cellStyle name="Normal 12 2 8 3 2 3 2" xfId="34542"/>
    <cellStyle name="Normal 12 2 8 3 2 4" xfId="23022"/>
    <cellStyle name="Normal 12 2 8 3 3" xfId="8622"/>
    <cellStyle name="Normal 12 2 8 3 3 2" xfId="25902"/>
    <cellStyle name="Normal 12 2 8 3 4" xfId="14382"/>
    <cellStyle name="Normal 12 2 8 3 4 2" xfId="31662"/>
    <cellStyle name="Normal 12 2 8 3 5" xfId="20142"/>
    <cellStyle name="Normal 12 2 8 4" xfId="4302"/>
    <cellStyle name="Normal 12 2 8 4 2" xfId="10062"/>
    <cellStyle name="Normal 12 2 8 4 2 2" xfId="27342"/>
    <cellStyle name="Normal 12 2 8 4 3" xfId="15822"/>
    <cellStyle name="Normal 12 2 8 4 3 2" xfId="33102"/>
    <cellStyle name="Normal 12 2 8 4 4" xfId="21582"/>
    <cellStyle name="Normal 12 2 8 5" xfId="7182"/>
    <cellStyle name="Normal 12 2 8 5 2" xfId="24462"/>
    <cellStyle name="Normal 12 2 8 6" xfId="12942"/>
    <cellStyle name="Normal 12 2 8 6 2" xfId="30222"/>
    <cellStyle name="Normal 12 2 8 7" xfId="18702"/>
    <cellStyle name="Normal 12 2 9" xfId="1662"/>
    <cellStyle name="Normal 12 2 9 2" xfId="3102"/>
    <cellStyle name="Normal 12 2 9 2 2" xfId="5982"/>
    <cellStyle name="Normal 12 2 9 2 2 2" xfId="11742"/>
    <cellStyle name="Normal 12 2 9 2 2 2 2" xfId="29022"/>
    <cellStyle name="Normal 12 2 9 2 2 3" xfId="17502"/>
    <cellStyle name="Normal 12 2 9 2 2 3 2" xfId="34782"/>
    <cellStyle name="Normal 12 2 9 2 2 4" xfId="23262"/>
    <cellStyle name="Normal 12 2 9 2 3" xfId="8862"/>
    <cellStyle name="Normal 12 2 9 2 3 2" xfId="26142"/>
    <cellStyle name="Normal 12 2 9 2 4" xfId="14622"/>
    <cellStyle name="Normal 12 2 9 2 4 2" xfId="31902"/>
    <cellStyle name="Normal 12 2 9 2 5" xfId="20382"/>
    <cellStyle name="Normal 12 2 9 3" xfId="4542"/>
    <cellStyle name="Normal 12 2 9 3 2" xfId="10302"/>
    <cellStyle name="Normal 12 2 9 3 2 2" xfId="27582"/>
    <cellStyle name="Normal 12 2 9 3 3" xfId="16062"/>
    <cellStyle name="Normal 12 2 9 3 3 2" xfId="33342"/>
    <cellStyle name="Normal 12 2 9 3 4" xfId="21822"/>
    <cellStyle name="Normal 12 2 9 4" xfId="7422"/>
    <cellStyle name="Normal 12 2 9 4 2" xfId="24702"/>
    <cellStyle name="Normal 12 2 9 5" xfId="13182"/>
    <cellStyle name="Normal 12 2 9 5 2" xfId="30462"/>
    <cellStyle name="Normal 12 2 9 6" xfId="18942"/>
    <cellStyle name="Normal 12 3" xfId="65"/>
    <cellStyle name="Normal 12 3 10" xfId="3827"/>
    <cellStyle name="Normal 12 3 10 2" xfId="9587"/>
    <cellStyle name="Normal 12 3 10 2 2" xfId="26867"/>
    <cellStyle name="Normal 12 3 10 3" xfId="15347"/>
    <cellStyle name="Normal 12 3 10 3 2" xfId="32627"/>
    <cellStyle name="Normal 12 3 10 4" xfId="21107"/>
    <cellStyle name="Normal 12 3 11" xfId="6707"/>
    <cellStyle name="Normal 12 3 11 2" xfId="23987"/>
    <cellStyle name="Normal 12 3 12" xfId="12467"/>
    <cellStyle name="Normal 12 3 12 2" xfId="29747"/>
    <cellStyle name="Normal 12 3 13" xfId="18227"/>
    <cellStyle name="Normal 12 3 14" xfId="396"/>
    <cellStyle name="Normal 12 3 15" xfId="35508"/>
    <cellStyle name="Normal 12 3 2" xfId="416"/>
    <cellStyle name="Normal 12 3 2 10" xfId="6727"/>
    <cellStyle name="Normal 12 3 2 10 2" xfId="24007"/>
    <cellStyle name="Normal 12 3 2 11" xfId="12487"/>
    <cellStyle name="Normal 12 3 2 11 2" xfId="29767"/>
    <cellStyle name="Normal 12 3 2 12" xfId="18247"/>
    <cellStyle name="Normal 12 3 2 2" xfId="1047"/>
    <cellStyle name="Normal 12 3 2 2 10" xfId="18327"/>
    <cellStyle name="Normal 12 3 2 2 2" xfId="1167"/>
    <cellStyle name="Normal 12 3 2 2 2 2" xfId="1407"/>
    <cellStyle name="Normal 12 3 2 2 2 2 2" xfId="2127"/>
    <cellStyle name="Normal 12 3 2 2 2 2 2 2" xfId="3567"/>
    <cellStyle name="Normal 12 3 2 2 2 2 2 2 2" xfId="6447"/>
    <cellStyle name="Normal 12 3 2 2 2 2 2 2 2 2" xfId="12207"/>
    <cellStyle name="Normal 12 3 2 2 2 2 2 2 2 2 2" xfId="29487"/>
    <cellStyle name="Normal 12 3 2 2 2 2 2 2 2 3" xfId="17967"/>
    <cellStyle name="Normal 12 3 2 2 2 2 2 2 2 3 2" xfId="35247"/>
    <cellStyle name="Normal 12 3 2 2 2 2 2 2 2 4" xfId="23727"/>
    <cellStyle name="Normal 12 3 2 2 2 2 2 2 3" xfId="9327"/>
    <cellStyle name="Normal 12 3 2 2 2 2 2 2 3 2" xfId="26607"/>
    <cellStyle name="Normal 12 3 2 2 2 2 2 2 4" xfId="15087"/>
    <cellStyle name="Normal 12 3 2 2 2 2 2 2 4 2" xfId="32367"/>
    <cellStyle name="Normal 12 3 2 2 2 2 2 2 5" xfId="20847"/>
    <cellStyle name="Normal 12 3 2 2 2 2 2 3" xfId="5007"/>
    <cellStyle name="Normal 12 3 2 2 2 2 2 3 2" xfId="10767"/>
    <cellStyle name="Normal 12 3 2 2 2 2 2 3 2 2" xfId="28047"/>
    <cellStyle name="Normal 12 3 2 2 2 2 2 3 3" xfId="16527"/>
    <cellStyle name="Normal 12 3 2 2 2 2 2 3 3 2" xfId="33807"/>
    <cellStyle name="Normal 12 3 2 2 2 2 2 3 4" xfId="22287"/>
    <cellStyle name="Normal 12 3 2 2 2 2 2 4" xfId="7887"/>
    <cellStyle name="Normal 12 3 2 2 2 2 2 4 2" xfId="25167"/>
    <cellStyle name="Normal 12 3 2 2 2 2 2 5" xfId="13647"/>
    <cellStyle name="Normal 12 3 2 2 2 2 2 5 2" xfId="30927"/>
    <cellStyle name="Normal 12 3 2 2 2 2 2 6" xfId="19407"/>
    <cellStyle name="Normal 12 3 2 2 2 2 3" xfId="2847"/>
    <cellStyle name="Normal 12 3 2 2 2 2 3 2" xfId="5727"/>
    <cellStyle name="Normal 12 3 2 2 2 2 3 2 2" xfId="11487"/>
    <cellStyle name="Normal 12 3 2 2 2 2 3 2 2 2" xfId="28767"/>
    <cellStyle name="Normal 12 3 2 2 2 2 3 2 3" xfId="17247"/>
    <cellStyle name="Normal 12 3 2 2 2 2 3 2 3 2" xfId="34527"/>
    <cellStyle name="Normal 12 3 2 2 2 2 3 2 4" xfId="23007"/>
    <cellStyle name="Normal 12 3 2 2 2 2 3 3" xfId="8607"/>
    <cellStyle name="Normal 12 3 2 2 2 2 3 3 2" xfId="25887"/>
    <cellStyle name="Normal 12 3 2 2 2 2 3 4" xfId="14367"/>
    <cellStyle name="Normal 12 3 2 2 2 2 3 4 2" xfId="31647"/>
    <cellStyle name="Normal 12 3 2 2 2 2 3 5" xfId="20127"/>
    <cellStyle name="Normal 12 3 2 2 2 2 4" xfId="4287"/>
    <cellStyle name="Normal 12 3 2 2 2 2 4 2" xfId="10047"/>
    <cellStyle name="Normal 12 3 2 2 2 2 4 2 2" xfId="27327"/>
    <cellStyle name="Normal 12 3 2 2 2 2 4 3" xfId="15807"/>
    <cellStyle name="Normal 12 3 2 2 2 2 4 3 2" xfId="33087"/>
    <cellStyle name="Normal 12 3 2 2 2 2 4 4" xfId="21567"/>
    <cellStyle name="Normal 12 3 2 2 2 2 5" xfId="7167"/>
    <cellStyle name="Normal 12 3 2 2 2 2 5 2" xfId="24447"/>
    <cellStyle name="Normal 12 3 2 2 2 2 6" xfId="12927"/>
    <cellStyle name="Normal 12 3 2 2 2 2 6 2" xfId="30207"/>
    <cellStyle name="Normal 12 3 2 2 2 2 7" xfId="18687"/>
    <cellStyle name="Normal 12 3 2 2 2 3" xfId="1647"/>
    <cellStyle name="Normal 12 3 2 2 2 3 2" xfId="2367"/>
    <cellStyle name="Normal 12 3 2 2 2 3 2 2" xfId="3807"/>
    <cellStyle name="Normal 12 3 2 2 2 3 2 2 2" xfId="6687"/>
    <cellStyle name="Normal 12 3 2 2 2 3 2 2 2 2" xfId="12447"/>
    <cellStyle name="Normal 12 3 2 2 2 3 2 2 2 2 2" xfId="29727"/>
    <cellStyle name="Normal 12 3 2 2 2 3 2 2 2 3" xfId="18207"/>
    <cellStyle name="Normal 12 3 2 2 2 3 2 2 2 3 2" xfId="35487"/>
    <cellStyle name="Normal 12 3 2 2 2 3 2 2 2 4" xfId="23967"/>
    <cellStyle name="Normal 12 3 2 2 2 3 2 2 3" xfId="9567"/>
    <cellStyle name="Normal 12 3 2 2 2 3 2 2 3 2" xfId="26847"/>
    <cellStyle name="Normal 12 3 2 2 2 3 2 2 4" xfId="15327"/>
    <cellStyle name="Normal 12 3 2 2 2 3 2 2 4 2" xfId="32607"/>
    <cellStyle name="Normal 12 3 2 2 2 3 2 2 5" xfId="21087"/>
    <cellStyle name="Normal 12 3 2 2 2 3 2 3" xfId="5247"/>
    <cellStyle name="Normal 12 3 2 2 2 3 2 3 2" xfId="11007"/>
    <cellStyle name="Normal 12 3 2 2 2 3 2 3 2 2" xfId="28287"/>
    <cellStyle name="Normal 12 3 2 2 2 3 2 3 3" xfId="16767"/>
    <cellStyle name="Normal 12 3 2 2 2 3 2 3 3 2" xfId="34047"/>
    <cellStyle name="Normal 12 3 2 2 2 3 2 3 4" xfId="22527"/>
    <cellStyle name="Normal 12 3 2 2 2 3 2 4" xfId="8127"/>
    <cellStyle name="Normal 12 3 2 2 2 3 2 4 2" xfId="25407"/>
    <cellStyle name="Normal 12 3 2 2 2 3 2 5" xfId="13887"/>
    <cellStyle name="Normal 12 3 2 2 2 3 2 5 2" xfId="31167"/>
    <cellStyle name="Normal 12 3 2 2 2 3 2 6" xfId="19647"/>
    <cellStyle name="Normal 12 3 2 2 2 3 3" xfId="3087"/>
    <cellStyle name="Normal 12 3 2 2 2 3 3 2" xfId="5967"/>
    <cellStyle name="Normal 12 3 2 2 2 3 3 2 2" xfId="11727"/>
    <cellStyle name="Normal 12 3 2 2 2 3 3 2 2 2" xfId="29007"/>
    <cellStyle name="Normal 12 3 2 2 2 3 3 2 3" xfId="17487"/>
    <cellStyle name="Normal 12 3 2 2 2 3 3 2 3 2" xfId="34767"/>
    <cellStyle name="Normal 12 3 2 2 2 3 3 2 4" xfId="23247"/>
    <cellStyle name="Normal 12 3 2 2 2 3 3 3" xfId="8847"/>
    <cellStyle name="Normal 12 3 2 2 2 3 3 3 2" xfId="26127"/>
    <cellStyle name="Normal 12 3 2 2 2 3 3 4" xfId="14607"/>
    <cellStyle name="Normal 12 3 2 2 2 3 3 4 2" xfId="31887"/>
    <cellStyle name="Normal 12 3 2 2 2 3 3 5" xfId="20367"/>
    <cellStyle name="Normal 12 3 2 2 2 3 4" xfId="4527"/>
    <cellStyle name="Normal 12 3 2 2 2 3 4 2" xfId="10287"/>
    <cellStyle name="Normal 12 3 2 2 2 3 4 2 2" xfId="27567"/>
    <cellStyle name="Normal 12 3 2 2 2 3 4 3" xfId="16047"/>
    <cellStyle name="Normal 12 3 2 2 2 3 4 3 2" xfId="33327"/>
    <cellStyle name="Normal 12 3 2 2 2 3 4 4" xfId="21807"/>
    <cellStyle name="Normal 12 3 2 2 2 3 5" xfId="7407"/>
    <cellStyle name="Normal 12 3 2 2 2 3 5 2" xfId="24687"/>
    <cellStyle name="Normal 12 3 2 2 2 3 6" xfId="13167"/>
    <cellStyle name="Normal 12 3 2 2 2 3 6 2" xfId="30447"/>
    <cellStyle name="Normal 12 3 2 2 2 3 7" xfId="18927"/>
    <cellStyle name="Normal 12 3 2 2 2 4" xfId="1887"/>
    <cellStyle name="Normal 12 3 2 2 2 4 2" xfId="3327"/>
    <cellStyle name="Normal 12 3 2 2 2 4 2 2" xfId="6207"/>
    <cellStyle name="Normal 12 3 2 2 2 4 2 2 2" xfId="11967"/>
    <cellStyle name="Normal 12 3 2 2 2 4 2 2 2 2" xfId="29247"/>
    <cellStyle name="Normal 12 3 2 2 2 4 2 2 3" xfId="17727"/>
    <cellStyle name="Normal 12 3 2 2 2 4 2 2 3 2" xfId="35007"/>
    <cellStyle name="Normal 12 3 2 2 2 4 2 2 4" xfId="23487"/>
    <cellStyle name="Normal 12 3 2 2 2 4 2 3" xfId="9087"/>
    <cellStyle name="Normal 12 3 2 2 2 4 2 3 2" xfId="26367"/>
    <cellStyle name="Normal 12 3 2 2 2 4 2 4" xfId="14847"/>
    <cellStyle name="Normal 12 3 2 2 2 4 2 4 2" xfId="32127"/>
    <cellStyle name="Normal 12 3 2 2 2 4 2 5" xfId="20607"/>
    <cellStyle name="Normal 12 3 2 2 2 4 3" xfId="4767"/>
    <cellStyle name="Normal 12 3 2 2 2 4 3 2" xfId="10527"/>
    <cellStyle name="Normal 12 3 2 2 2 4 3 2 2" xfId="27807"/>
    <cellStyle name="Normal 12 3 2 2 2 4 3 3" xfId="16287"/>
    <cellStyle name="Normal 12 3 2 2 2 4 3 3 2" xfId="33567"/>
    <cellStyle name="Normal 12 3 2 2 2 4 3 4" xfId="22047"/>
    <cellStyle name="Normal 12 3 2 2 2 4 4" xfId="7647"/>
    <cellStyle name="Normal 12 3 2 2 2 4 4 2" xfId="24927"/>
    <cellStyle name="Normal 12 3 2 2 2 4 5" xfId="13407"/>
    <cellStyle name="Normal 12 3 2 2 2 4 5 2" xfId="30687"/>
    <cellStyle name="Normal 12 3 2 2 2 4 6" xfId="19167"/>
    <cellStyle name="Normal 12 3 2 2 2 5" xfId="2607"/>
    <cellStyle name="Normal 12 3 2 2 2 5 2" xfId="5487"/>
    <cellStyle name="Normal 12 3 2 2 2 5 2 2" xfId="11247"/>
    <cellStyle name="Normal 12 3 2 2 2 5 2 2 2" xfId="28527"/>
    <cellStyle name="Normal 12 3 2 2 2 5 2 3" xfId="17007"/>
    <cellStyle name="Normal 12 3 2 2 2 5 2 3 2" xfId="34287"/>
    <cellStyle name="Normal 12 3 2 2 2 5 2 4" xfId="22767"/>
    <cellStyle name="Normal 12 3 2 2 2 5 3" xfId="8367"/>
    <cellStyle name="Normal 12 3 2 2 2 5 3 2" xfId="25647"/>
    <cellStyle name="Normal 12 3 2 2 2 5 4" xfId="14127"/>
    <cellStyle name="Normal 12 3 2 2 2 5 4 2" xfId="31407"/>
    <cellStyle name="Normal 12 3 2 2 2 5 5" xfId="19887"/>
    <cellStyle name="Normal 12 3 2 2 2 6" xfId="4047"/>
    <cellStyle name="Normal 12 3 2 2 2 6 2" xfId="9807"/>
    <cellStyle name="Normal 12 3 2 2 2 6 2 2" xfId="27087"/>
    <cellStyle name="Normal 12 3 2 2 2 6 3" xfId="15567"/>
    <cellStyle name="Normal 12 3 2 2 2 6 3 2" xfId="32847"/>
    <cellStyle name="Normal 12 3 2 2 2 6 4" xfId="21327"/>
    <cellStyle name="Normal 12 3 2 2 2 7" xfId="6927"/>
    <cellStyle name="Normal 12 3 2 2 2 7 2" xfId="24207"/>
    <cellStyle name="Normal 12 3 2 2 2 8" xfId="12687"/>
    <cellStyle name="Normal 12 3 2 2 2 8 2" xfId="29967"/>
    <cellStyle name="Normal 12 3 2 2 2 9" xfId="18447"/>
    <cellStyle name="Normal 12 3 2 2 3" xfId="1287"/>
    <cellStyle name="Normal 12 3 2 2 3 2" xfId="2007"/>
    <cellStyle name="Normal 12 3 2 2 3 2 2" xfId="3447"/>
    <cellStyle name="Normal 12 3 2 2 3 2 2 2" xfId="6327"/>
    <cellStyle name="Normal 12 3 2 2 3 2 2 2 2" xfId="12087"/>
    <cellStyle name="Normal 12 3 2 2 3 2 2 2 2 2" xfId="29367"/>
    <cellStyle name="Normal 12 3 2 2 3 2 2 2 3" xfId="17847"/>
    <cellStyle name="Normal 12 3 2 2 3 2 2 2 3 2" xfId="35127"/>
    <cellStyle name="Normal 12 3 2 2 3 2 2 2 4" xfId="23607"/>
    <cellStyle name="Normal 12 3 2 2 3 2 2 3" xfId="9207"/>
    <cellStyle name="Normal 12 3 2 2 3 2 2 3 2" xfId="26487"/>
    <cellStyle name="Normal 12 3 2 2 3 2 2 4" xfId="14967"/>
    <cellStyle name="Normal 12 3 2 2 3 2 2 4 2" xfId="32247"/>
    <cellStyle name="Normal 12 3 2 2 3 2 2 5" xfId="20727"/>
    <cellStyle name="Normal 12 3 2 2 3 2 3" xfId="4887"/>
    <cellStyle name="Normal 12 3 2 2 3 2 3 2" xfId="10647"/>
    <cellStyle name="Normal 12 3 2 2 3 2 3 2 2" xfId="27927"/>
    <cellStyle name="Normal 12 3 2 2 3 2 3 3" xfId="16407"/>
    <cellStyle name="Normal 12 3 2 2 3 2 3 3 2" xfId="33687"/>
    <cellStyle name="Normal 12 3 2 2 3 2 3 4" xfId="22167"/>
    <cellStyle name="Normal 12 3 2 2 3 2 4" xfId="7767"/>
    <cellStyle name="Normal 12 3 2 2 3 2 4 2" xfId="25047"/>
    <cellStyle name="Normal 12 3 2 2 3 2 5" xfId="13527"/>
    <cellStyle name="Normal 12 3 2 2 3 2 5 2" xfId="30807"/>
    <cellStyle name="Normal 12 3 2 2 3 2 6" xfId="19287"/>
    <cellStyle name="Normal 12 3 2 2 3 3" xfId="2727"/>
    <cellStyle name="Normal 12 3 2 2 3 3 2" xfId="5607"/>
    <cellStyle name="Normal 12 3 2 2 3 3 2 2" xfId="11367"/>
    <cellStyle name="Normal 12 3 2 2 3 3 2 2 2" xfId="28647"/>
    <cellStyle name="Normal 12 3 2 2 3 3 2 3" xfId="17127"/>
    <cellStyle name="Normal 12 3 2 2 3 3 2 3 2" xfId="34407"/>
    <cellStyle name="Normal 12 3 2 2 3 3 2 4" xfId="22887"/>
    <cellStyle name="Normal 12 3 2 2 3 3 3" xfId="8487"/>
    <cellStyle name="Normal 12 3 2 2 3 3 3 2" xfId="25767"/>
    <cellStyle name="Normal 12 3 2 2 3 3 4" xfId="14247"/>
    <cellStyle name="Normal 12 3 2 2 3 3 4 2" xfId="31527"/>
    <cellStyle name="Normal 12 3 2 2 3 3 5" xfId="20007"/>
    <cellStyle name="Normal 12 3 2 2 3 4" xfId="4167"/>
    <cellStyle name="Normal 12 3 2 2 3 4 2" xfId="9927"/>
    <cellStyle name="Normal 12 3 2 2 3 4 2 2" xfId="27207"/>
    <cellStyle name="Normal 12 3 2 2 3 4 3" xfId="15687"/>
    <cellStyle name="Normal 12 3 2 2 3 4 3 2" xfId="32967"/>
    <cellStyle name="Normal 12 3 2 2 3 4 4" xfId="21447"/>
    <cellStyle name="Normal 12 3 2 2 3 5" xfId="7047"/>
    <cellStyle name="Normal 12 3 2 2 3 5 2" xfId="24327"/>
    <cellStyle name="Normal 12 3 2 2 3 6" xfId="12807"/>
    <cellStyle name="Normal 12 3 2 2 3 6 2" xfId="30087"/>
    <cellStyle name="Normal 12 3 2 2 3 7" xfId="18567"/>
    <cellStyle name="Normal 12 3 2 2 4" xfId="1527"/>
    <cellStyle name="Normal 12 3 2 2 4 2" xfId="2247"/>
    <cellStyle name="Normal 12 3 2 2 4 2 2" xfId="3687"/>
    <cellStyle name="Normal 12 3 2 2 4 2 2 2" xfId="6567"/>
    <cellStyle name="Normal 12 3 2 2 4 2 2 2 2" xfId="12327"/>
    <cellStyle name="Normal 12 3 2 2 4 2 2 2 2 2" xfId="29607"/>
    <cellStyle name="Normal 12 3 2 2 4 2 2 2 3" xfId="18087"/>
    <cellStyle name="Normal 12 3 2 2 4 2 2 2 3 2" xfId="35367"/>
    <cellStyle name="Normal 12 3 2 2 4 2 2 2 4" xfId="23847"/>
    <cellStyle name="Normal 12 3 2 2 4 2 2 3" xfId="9447"/>
    <cellStyle name="Normal 12 3 2 2 4 2 2 3 2" xfId="26727"/>
    <cellStyle name="Normal 12 3 2 2 4 2 2 4" xfId="15207"/>
    <cellStyle name="Normal 12 3 2 2 4 2 2 4 2" xfId="32487"/>
    <cellStyle name="Normal 12 3 2 2 4 2 2 5" xfId="20967"/>
    <cellStyle name="Normal 12 3 2 2 4 2 3" xfId="5127"/>
    <cellStyle name="Normal 12 3 2 2 4 2 3 2" xfId="10887"/>
    <cellStyle name="Normal 12 3 2 2 4 2 3 2 2" xfId="28167"/>
    <cellStyle name="Normal 12 3 2 2 4 2 3 3" xfId="16647"/>
    <cellStyle name="Normal 12 3 2 2 4 2 3 3 2" xfId="33927"/>
    <cellStyle name="Normal 12 3 2 2 4 2 3 4" xfId="22407"/>
    <cellStyle name="Normal 12 3 2 2 4 2 4" xfId="8007"/>
    <cellStyle name="Normal 12 3 2 2 4 2 4 2" xfId="25287"/>
    <cellStyle name="Normal 12 3 2 2 4 2 5" xfId="13767"/>
    <cellStyle name="Normal 12 3 2 2 4 2 5 2" xfId="31047"/>
    <cellStyle name="Normal 12 3 2 2 4 2 6" xfId="19527"/>
    <cellStyle name="Normal 12 3 2 2 4 3" xfId="2967"/>
    <cellStyle name="Normal 12 3 2 2 4 3 2" xfId="5847"/>
    <cellStyle name="Normal 12 3 2 2 4 3 2 2" xfId="11607"/>
    <cellStyle name="Normal 12 3 2 2 4 3 2 2 2" xfId="28887"/>
    <cellStyle name="Normal 12 3 2 2 4 3 2 3" xfId="17367"/>
    <cellStyle name="Normal 12 3 2 2 4 3 2 3 2" xfId="34647"/>
    <cellStyle name="Normal 12 3 2 2 4 3 2 4" xfId="23127"/>
    <cellStyle name="Normal 12 3 2 2 4 3 3" xfId="8727"/>
    <cellStyle name="Normal 12 3 2 2 4 3 3 2" xfId="26007"/>
    <cellStyle name="Normal 12 3 2 2 4 3 4" xfId="14487"/>
    <cellStyle name="Normal 12 3 2 2 4 3 4 2" xfId="31767"/>
    <cellStyle name="Normal 12 3 2 2 4 3 5" xfId="20247"/>
    <cellStyle name="Normal 12 3 2 2 4 4" xfId="4407"/>
    <cellStyle name="Normal 12 3 2 2 4 4 2" xfId="10167"/>
    <cellStyle name="Normal 12 3 2 2 4 4 2 2" xfId="27447"/>
    <cellStyle name="Normal 12 3 2 2 4 4 3" xfId="15927"/>
    <cellStyle name="Normal 12 3 2 2 4 4 3 2" xfId="33207"/>
    <cellStyle name="Normal 12 3 2 2 4 4 4" xfId="21687"/>
    <cellStyle name="Normal 12 3 2 2 4 5" xfId="7287"/>
    <cellStyle name="Normal 12 3 2 2 4 5 2" xfId="24567"/>
    <cellStyle name="Normal 12 3 2 2 4 6" xfId="13047"/>
    <cellStyle name="Normal 12 3 2 2 4 6 2" xfId="30327"/>
    <cellStyle name="Normal 12 3 2 2 4 7" xfId="18807"/>
    <cellStyle name="Normal 12 3 2 2 5" xfId="1767"/>
    <cellStyle name="Normal 12 3 2 2 5 2" xfId="3207"/>
    <cellStyle name="Normal 12 3 2 2 5 2 2" xfId="6087"/>
    <cellStyle name="Normal 12 3 2 2 5 2 2 2" xfId="11847"/>
    <cellStyle name="Normal 12 3 2 2 5 2 2 2 2" xfId="29127"/>
    <cellStyle name="Normal 12 3 2 2 5 2 2 3" xfId="17607"/>
    <cellStyle name="Normal 12 3 2 2 5 2 2 3 2" xfId="34887"/>
    <cellStyle name="Normal 12 3 2 2 5 2 2 4" xfId="23367"/>
    <cellStyle name="Normal 12 3 2 2 5 2 3" xfId="8967"/>
    <cellStyle name="Normal 12 3 2 2 5 2 3 2" xfId="26247"/>
    <cellStyle name="Normal 12 3 2 2 5 2 4" xfId="14727"/>
    <cellStyle name="Normal 12 3 2 2 5 2 4 2" xfId="32007"/>
    <cellStyle name="Normal 12 3 2 2 5 2 5" xfId="20487"/>
    <cellStyle name="Normal 12 3 2 2 5 3" xfId="4647"/>
    <cellStyle name="Normal 12 3 2 2 5 3 2" xfId="10407"/>
    <cellStyle name="Normal 12 3 2 2 5 3 2 2" xfId="27687"/>
    <cellStyle name="Normal 12 3 2 2 5 3 3" xfId="16167"/>
    <cellStyle name="Normal 12 3 2 2 5 3 3 2" xfId="33447"/>
    <cellStyle name="Normal 12 3 2 2 5 3 4" xfId="21927"/>
    <cellStyle name="Normal 12 3 2 2 5 4" xfId="7527"/>
    <cellStyle name="Normal 12 3 2 2 5 4 2" xfId="24807"/>
    <cellStyle name="Normal 12 3 2 2 5 5" xfId="13287"/>
    <cellStyle name="Normal 12 3 2 2 5 5 2" xfId="30567"/>
    <cellStyle name="Normal 12 3 2 2 5 6" xfId="19047"/>
    <cellStyle name="Normal 12 3 2 2 6" xfId="2487"/>
    <cellStyle name="Normal 12 3 2 2 6 2" xfId="5367"/>
    <cellStyle name="Normal 12 3 2 2 6 2 2" xfId="11127"/>
    <cellStyle name="Normal 12 3 2 2 6 2 2 2" xfId="28407"/>
    <cellStyle name="Normal 12 3 2 2 6 2 3" xfId="16887"/>
    <cellStyle name="Normal 12 3 2 2 6 2 3 2" xfId="34167"/>
    <cellStyle name="Normal 12 3 2 2 6 2 4" xfId="22647"/>
    <cellStyle name="Normal 12 3 2 2 6 3" xfId="8247"/>
    <cellStyle name="Normal 12 3 2 2 6 3 2" xfId="25527"/>
    <cellStyle name="Normal 12 3 2 2 6 4" xfId="14007"/>
    <cellStyle name="Normal 12 3 2 2 6 4 2" xfId="31287"/>
    <cellStyle name="Normal 12 3 2 2 6 5" xfId="19767"/>
    <cellStyle name="Normal 12 3 2 2 7" xfId="3927"/>
    <cellStyle name="Normal 12 3 2 2 7 2" xfId="9687"/>
    <cellStyle name="Normal 12 3 2 2 7 2 2" xfId="26967"/>
    <cellStyle name="Normal 12 3 2 2 7 3" xfId="15447"/>
    <cellStyle name="Normal 12 3 2 2 7 3 2" xfId="32727"/>
    <cellStyle name="Normal 12 3 2 2 7 4" xfId="21207"/>
    <cellStyle name="Normal 12 3 2 2 8" xfId="6807"/>
    <cellStyle name="Normal 12 3 2 2 8 2" xfId="24087"/>
    <cellStyle name="Normal 12 3 2 2 9" xfId="12567"/>
    <cellStyle name="Normal 12 3 2 2 9 2" xfId="29847"/>
    <cellStyle name="Normal 12 3 2 3" xfId="1007"/>
    <cellStyle name="Normal 12 3 2 3 10" xfId="18287"/>
    <cellStyle name="Normal 12 3 2 3 2" xfId="1127"/>
    <cellStyle name="Normal 12 3 2 3 2 2" xfId="1367"/>
    <cellStyle name="Normal 12 3 2 3 2 2 2" xfId="2087"/>
    <cellStyle name="Normal 12 3 2 3 2 2 2 2" xfId="3527"/>
    <cellStyle name="Normal 12 3 2 3 2 2 2 2 2" xfId="6407"/>
    <cellStyle name="Normal 12 3 2 3 2 2 2 2 2 2" xfId="12167"/>
    <cellStyle name="Normal 12 3 2 3 2 2 2 2 2 2 2" xfId="29447"/>
    <cellStyle name="Normal 12 3 2 3 2 2 2 2 2 3" xfId="17927"/>
    <cellStyle name="Normal 12 3 2 3 2 2 2 2 2 3 2" xfId="35207"/>
    <cellStyle name="Normal 12 3 2 3 2 2 2 2 2 4" xfId="23687"/>
    <cellStyle name="Normal 12 3 2 3 2 2 2 2 3" xfId="9287"/>
    <cellStyle name="Normal 12 3 2 3 2 2 2 2 3 2" xfId="26567"/>
    <cellStyle name="Normal 12 3 2 3 2 2 2 2 4" xfId="15047"/>
    <cellStyle name="Normal 12 3 2 3 2 2 2 2 4 2" xfId="32327"/>
    <cellStyle name="Normal 12 3 2 3 2 2 2 2 5" xfId="20807"/>
    <cellStyle name="Normal 12 3 2 3 2 2 2 3" xfId="4967"/>
    <cellStyle name="Normal 12 3 2 3 2 2 2 3 2" xfId="10727"/>
    <cellStyle name="Normal 12 3 2 3 2 2 2 3 2 2" xfId="28007"/>
    <cellStyle name="Normal 12 3 2 3 2 2 2 3 3" xfId="16487"/>
    <cellStyle name="Normal 12 3 2 3 2 2 2 3 3 2" xfId="33767"/>
    <cellStyle name="Normal 12 3 2 3 2 2 2 3 4" xfId="22247"/>
    <cellStyle name="Normal 12 3 2 3 2 2 2 4" xfId="7847"/>
    <cellStyle name="Normal 12 3 2 3 2 2 2 4 2" xfId="25127"/>
    <cellStyle name="Normal 12 3 2 3 2 2 2 5" xfId="13607"/>
    <cellStyle name="Normal 12 3 2 3 2 2 2 5 2" xfId="30887"/>
    <cellStyle name="Normal 12 3 2 3 2 2 2 6" xfId="19367"/>
    <cellStyle name="Normal 12 3 2 3 2 2 3" xfId="2807"/>
    <cellStyle name="Normal 12 3 2 3 2 2 3 2" xfId="5687"/>
    <cellStyle name="Normal 12 3 2 3 2 2 3 2 2" xfId="11447"/>
    <cellStyle name="Normal 12 3 2 3 2 2 3 2 2 2" xfId="28727"/>
    <cellStyle name="Normal 12 3 2 3 2 2 3 2 3" xfId="17207"/>
    <cellStyle name="Normal 12 3 2 3 2 2 3 2 3 2" xfId="34487"/>
    <cellStyle name="Normal 12 3 2 3 2 2 3 2 4" xfId="22967"/>
    <cellStyle name="Normal 12 3 2 3 2 2 3 3" xfId="8567"/>
    <cellStyle name="Normal 12 3 2 3 2 2 3 3 2" xfId="25847"/>
    <cellStyle name="Normal 12 3 2 3 2 2 3 4" xfId="14327"/>
    <cellStyle name="Normal 12 3 2 3 2 2 3 4 2" xfId="31607"/>
    <cellStyle name="Normal 12 3 2 3 2 2 3 5" xfId="20087"/>
    <cellStyle name="Normal 12 3 2 3 2 2 4" xfId="4247"/>
    <cellStyle name="Normal 12 3 2 3 2 2 4 2" xfId="10007"/>
    <cellStyle name="Normal 12 3 2 3 2 2 4 2 2" xfId="27287"/>
    <cellStyle name="Normal 12 3 2 3 2 2 4 3" xfId="15767"/>
    <cellStyle name="Normal 12 3 2 3 2 2 4 3 2" xfId="33047"/>
    <cellStyle name="Normal 12 3 2 3 2 2 4 4" xfId="21527"/>
    <cellStyle name="Normal 12 3 2 3 2 2 5" xfId="7127"/>
    <cellStyle name="Normal 12 3 2 3 2 2 5 2" xfId="24407"/>
    <cellStyle name="Normal 12 3 2 3 2 2 6" xfId="12887"/>
    <cellStyle name="Normal 12 3 2 3 2 2 6 2" xfId="30167"/>
    <cellStyle name="Normal 12 3 2 3 2 2 7" xfId="18647"/>
    <cellStyle name="Normal 12 3 2 3 2 3" xfId="1607"/>
    <cellStyle name="Normal 12 3 2 3 2 3 2" xfId="2327"/>
    <cellStyle name="Normal 12 3 2 3 2 3 2 2" xfId="3767"/>
    <cellStyle name="Normal 12 3 2 3 2 3 2 2 2" xfId="6647"/>
    <cellStyle name="Normal 12 3 2 3 2 3 2 2 2 2" xfId="12407"/>
    <cellStyle name="Normal 12 3 2 3 2 3 2 2 2 2 2" xfId="29687"/>
    <cellStyle name="Normal 12 3 2 3 2 3 2 2 2 3" xfId="18167"/>
    <cellStyle name="Normal 12 3 2 3 2 3 2 2 2 3 2" xfId="35447"/>
    <cellStyle name="Normal 12 3 2 3 2 3 2 2 2 4" xfId="23927"/>
    <cellStyle name="Normal 12 3 2 3 2 3 2 2 3" xfId="9527"/>
    <cellStyle name="Normal 12 3 2 3 2 3 2 2 3 2" xfId="26807"/>
    <cellStyle name="Normal 12 3 2 3 2 3 2 2 4" xfId="15287"/>
    <cellStyle name="Normal 12 3 2 3 2 3 2 2 4 2" xfId="32567"/>
    <cellStyle name="Normal 12 3 2 3 2 3 2 2 5" xfId="21047"/>
    <cellStyle name="Normal 12 3 2 3 2 3 2 3" xfId="5207"/>
    <cellStyle name="Normal 12 3 2 3 2 3 2 3 2" xfId="10967"/>
    <cellStyle name="Normal 12 3 2 3 2 3 2 3 2 2" xfId="28247"/>
    <cellStyle name="Normal 12 3 2 3 2 3 2 3 3" xfId="16727"/>
    <cellStyle name="Normal 12 3 2 3 2 3 2 3 3 2" xfId="34007"/>
    <cellStyle name="Normal 12 3 2 3 2 3 2 3 4" xfId="22487"/>
    <cellStyle name="Normal 12 3 2 3 2 3 2 4" xfId="8087"/>
    <cellStyle name="Normal 12 3 2 3 2 3 2 4 2" xfId="25367"/>
    <cellStyle name="Normal 12 3 2 3 2 3 2 5" xfId="13847"/>
    <cellStyle name="Normal 12 3 2 3 2 3 2 5 2" xfId="31127"/>
    <cellStyle name="Normal 12 3 2 3 2 3 2 6" xfId="19607"/>
    <cellStyle name="Normal 12 3 2 3 2 3 3" xfId="3047"/>
    <cellStyle name="Normal 12 3 2 3 2 3 3 2" xfId="5927"/>
    <cellStyle name="Normal 12 3 2 3 2 3 3 2 2" xfId="11687"/>
    <cellStyle name="Normal 12 3 2 3 2 3 3 2 2 2" xfId="28967"/>
    <cellStyle name="Normal 12 3 2 3 2 3 3 2 3" xfId="17447"/>
    <cellStyle name="Normal 12 3 2 3 2 3 3 2 3 2" xfId="34727"/>
    <cellStyle name="Normal 12 3 2 3 2 3 3 2 4" xfId="23207"/>
    <cellStyle name="Normal 12 3 2 3 2 3 3 3" xfId="8807"/>
    <cellStyle name="Normal 12 3 2 3 2 3 3 3 2" xfId="26087"/>
    <cellStyle name="Normal 12 3 2 3 2 3 3 4" xfId="14567"/>
    <cellStyle name="Normal 12 3 2 3 2 3 3 4 2" xfId="31847"/>
    <cellStyle name="Normal 12 3 2 3 2 3 3 5" xfId="20327"/>
    <cellStyle name="Normal 12 3 2 3 2 3 4" xfId="4487"/>
    <cellStyle name="Normal 12 3 2 3 2 3 4 2" xfId="10247"/>
    <cellStyle name="Normal 12 3 2 3 2 3 4 2 2" xfId="27527"/>
    <cellStyle name="Normal 12 3 2 3 2 3 4 3" xfId="16007"/>
    <cellStyle name="Normal 12 3 2 3 2 3 4 3 2" xfId="33287"/>
    <cellStyle name="Normal 12 3 2 3 2 3 4 4" xfId="21767"/>
    <cellStyle name="Normal 12 3 2 3 2 3 5" xfId="7367"/>
    <cellStyle name="Normal 12 3 2 3 2 3 5 2" xfId="24647"/>
    <cellStyle name="Normal 12 3 2 3 2 3 6" xfId="13127"/>
    <cellStyle name="Normal 12 3 2 3 2 3 6 2" xfId="30407"/>
    <cellStyle name="Normal 12 3 2 3 2 3 7" xfId="18887"/>
    <cellStyle name="Normal 12 3 2 3 2 4" xfId="1847"/>
    <cellStyle name="Normal 12 3 2 3 2 4 2" xfId="3287"/>
    <cellStyle name="Normal 12 3 2 3 2 4 2 2" xfId="6167"/>
    <cellStyle name="Normal 12 3 2 3 2 4 2 2 2" xfId="11927"/>
    <cellStyle name="Normal 12 3 2 3 2 4 2 2 2 2" xfId="29207"/>
    <cellStyle name="Normal 12 3 2 3 2 4 2 2 3" xfId="17687"/>
    <cellStyle name="Normal 12 3 2 3 2 4 2 2 3 2" xfId="34967"/>
    <cellStyle name="Normal 12 3 2 3 2 4 2 2 4" xfId="23447"/>
    <cellStyle name="Normal 12 3 2 3 2 4 2 3" xfId="9047"/>
    <cellStyle name="Normal 12 3 2 3 2 4 2 3 2" xfId="26327"/>
    <cellStyle name="Normal 12 3 2 3 2 4 2 4" xfId="14807"/>
    <cellStyle name="Normal 12 3 2 3 2 4 2 4 2" xfId="32087"/>
    <cellStyle name="Normal 12 3 2 3 2 4 2 5" xfId="20567"/>
    <cellStyle name="Normal 12 3 2 3 2 4 3" xfId="4727"/>
    <cellStyle name="Normal 12 3 2 3 2 4 3 2" xfId="10487"/>
    <cellStyle name="Normal 12 3 2 3 2 4 3 2 2" xfId="27767"/>
    <cellStyle name="Normal 12 3 2 3 2 4 3 3" xfId="16247"/>
    <cellStyle name="Normal 12 3 2 3 2 4 3 3 2" xfId="33527"/>
    <cellStyle name="Normal 12 3 2 3 2 4 3 4" xfId="22007"/>
    <cellStyle name="Normal 12 3 2 3 2 4 4" xfId="7607"/>
    <cellStyle name="Normal 12 3 2 3 2 4 4 2" xfId="24887"/>
    <cellStyle name="Normal 12 3 2 3 2 4 5" xfId="13367"/>
    <cellStyle name="Normal 12 3 2 3 2 4 5 2" xfId="30647"/>
    <cellStyle name="Normal 12 3 2 3 2 4 6" xfId="19127"/>
    <cellStyle name="Normal 12 3 2 3 2 5" xfId="2567"/>
    <cellStyle name="Normal 12 3 2 3 2 5 2" xfId="5447"/>
    <cellStyle name="Normal 12 3 2 3 2 5 2 2" xfId="11207"/>
    <cellStyle name="Normal 12 3 2 3 2 5 2 2 2" xfId="28487"/>
    <cellStyle name="Normal 12 3 2 3 2 5 2 3" xfId="16967"/>
    <cellStyle name="Normal 12 3 2 3 2 5 2 3 2" xfId="34247"/>
    <cellStyle name="Normal 12 3 2 3 2 5 2 4" xfId="22727"/>
    <cellStyle name="Normal 12 3 2 3 2 5 3" xfId="8327"/>
    <cellStyle name="Normal 12 3 2 3 2 5 3 2" xfId="25607"/>
    <cellStyle name="Normal 12 3 2 3 2 5 4" xfId="14087"/>
    <cellStyle name="Normal 12 3 2 3 2 5 4 2" xfId="31367"/>
    <cellStyle name="Normal 12 3 2 3 2 5 5" xfId="19847"/>
    <cellStyle name="Normal 12 3 2 3 2 6" xfId="4007"/>
    <cellStyle name="Normal 12 3 2 3 2 6 2" xfId="9767"/>
    <cellStyle name="Normal 12 3 2 3 2 6 2 2" xfId="27047"/>
    <cellStyle name="Normal 12 3 2 3 2 6 3" xfId="15527"/>
    <cellStyle name="Normal 12 3 2 3 2 6 3 2" xfId="32807"/>
    <cellStyle name="Normal 12 3 2 3 2 6 4" xfId="21287"/>
    <cellStyle name="Normal 12 3 2 3 2 7" xfId="6887"/>
    <cellStyle name="Normal 12 3 2 3 2 7 2" xfId="24167"/>
    <cellStyle name="Normal 12 3 2 3 2 8" xfId="12647"/>
    <cellStyle name="Normal 12 3 2 3 2 8 2" xfId="29927"/>
    <cellStyle name="Normal 12 3 2 3 2 9" xfId="18407"/>
    <cellStyle name="Normal 12 3 2 3 3" xfId="1247"/>
    <cellStyle name="Normal 12 3 2 3 3 2" xfId="1967"/>
    <cellStyle name="Normal 12 3 2 3 3 2 2" xfId="3407"/>
    <cellStyle name="Normal 12 3 2 3 3 2 2 2" xfId="6287"/>
    <cellStyle name="Normal 12 3 2 3 3 2 2 2 2" xfId="12047"/>
    <cellStyle name="Normal 12 3 2 3 3 2 2 2 2 2" xfId="29327"/>
    <cellStyle name="Normal 12 3 2 3 3 2 2 2 3" xfId="17807"/>
    <cellStyle name="Normal 12 3 2 3 3 2 2 2 3 2" xfId="35087"/>
    <cellStyle name="Normal 12 3 2 3 3 2 2 2 4" xfId="23567"/>
    <cellStyle name="Normal 12 3 2 3 3 2 2 3" xfId="9167"/>
    <cellStyle name="Normal 12 3 2 3 3 2 2 3 2" xfId="26447"/>
    <cellStyle name="Normal 12 3 2 3 3 2 2 4" xfId="14927"/>
    <cellStyle name="Normal 12 3 2 3 3 2 2 4 2" xfId="32207"/>
    <cellStyle name="Normal 12 3 2 3 3 2 2 5" xfId="20687"/>
    <cellStyle name="Normal 12 3 2 3 3 2 3" xfId="4847"/>
    <cellStyle name="Normal 12 3 2 3 3 2 3 2" xfId="10607"/>
    <cellStyle name="Normal 12 3 2 3 3 2 3 2 2" xfId="27887"/>
    <cellStyle name="Normal 12 3 2 3 3 2 3 3" xfId="16367"/>
    <cellStyle name="Normal 12 3 2 3 3 2 3 3 2" xfId="33647"/>
    <cellStyle name="Normal 12 3 2 3 3 2 3 4" xfId="22127"/>
    <cellStyle name="Normal 12 3 2 3 3 2 4" xfId="7727"/>
    <cellStyle name="Normal 12 3 2 3 3 2 4 2" xfId="25007"/>
    <cellStyle name="Normal 12 3 2 3 3 2 5" xfId="13487"/>
    <cellStyle name="Normal 12 3 2 3 3 2 5 2" xfId="30767"/>
    <cellStyle name="Normal 12 3 2 3 3 2 6" xfId="19247"/>
    <cellStyle name="Normal 12 3 2 3 3 3" xfId="2687"/>
    <cellStyle name="Normal 12 3 2 3 3 3 2" xfId="5567"/>
    <cellStyle name="Normal 12 3 2 3 3 3 2 2" xfId="11327"/>
    <cellStyle name="Normal 12 3 2 3 3 3 2 2 2" xfId="28607"/>
    <cellStyle name="Normal 12 3 2 3 3 3 2 3" xfId="17087"/>
    <cellStyle name="Normal 12 3 2 3 3 3 2 3 2" xfId="34367"/>
    <cellStyle name="Normal 12 3 2 3 3 3 2 4" xfId="22847"/>
    <cellStyle name="Normal 12 3 2 3 3 3 3" xfId="8447"/>
    <cellStyle name="Normal 12 3 2 3 3 3 3 2" xfId="25727"/>
    <cellStyle name="Normal 12 3 2 3 3 3 4" xfId="14207"/>
    <cellStyle name="Normal 12 3 2 3 3 3 4 2" xfId="31487"/>
    <cellStyle name="Normal 12 3 2 3 3 3 5" xfId="19967"/>
    <cellStyle name="Normal 12 3 2 3 3 4" xfId="4127"/>
    <cellStyle name="Normal 12 3 2 3 3 4 2" xfId="9887"/>
    <cellStyle name="Normal 12 3 2 3 3 4 2 2" xfId="27167"/>
    <cellStyle name="Normal 12 3 2 3 3 4 3" xfId="15647"/>
    <cellStyle name="Normal 12 3 2 3 3 4 3 2" xfId="32927"/>
    <cellStyle name="Normal 12 3 2 3 3 4 4" xfId="21407"/>
    <cellStyle name="Normal 12 3 2 3 3 5" xfId="7007"/>
    <cellStyle name="Normal 12 3 2 3 3 5 2" xfId="24287"/>
    <cellStyle name="Normal 12 3 2 3 3 6" xfId="12767"/>
    <cellStyle name="Normal 12 3 2 3 3 6 2" xfId="30047"/>
    <cellStyle name="Normal 12 3 2 3 3 7" xfId="18527"/>
    <cellStyle name="Normal 12 3 2 3 4" xfId="1487"/>
    <cellStyle name="Normal 12 3 2 3 4 2" xfId="2207"/>
    <cellStyle name="Normal 12 3 2 3 4 2 2" xfId="3647"/>
    <cellStyle name="Normal 12 3 2 3 4 2 2 2" xfId="6527"/>
    <cellStyle name="Normal 12 3 2 3 4 2 2 2 2" xfId="12287"/>
    <cellStyle name="Normal 12 3 2 3 4 2 2 2 2 2" xfId="29567"/>
    <cellStyle name="Normal 12 3 2 3 4 2 2 2 3" xfId="18047"/>
    <cellStyle name="Normal 12 3 2 3 4 2 2 2 3 2" xfId="35327"/>
    <cellStyle name="Normal 12 3 2 3 4 2 2 2 4" xfId="23807"/>
    <cellStyle name="Normal 12 3 2 3 4 2 2 3" xfId="9407"/>
    <cellStyle name="Normal 12 3 2 3 4 2 2 3 2" xfId="26687"/>
    <cellStyle name="Normal 12 3 2 3 4 2 2 4" xfId="15167"/>
    <cellStyle name="Normal 12 3 2 3 4 2 2 4 2" xfId="32447"/>
    <cellStyle name="Normal 12 3 2 3 4 2 2 5" xfId="20927"/>
    <cellStyle name="Normal 12 3 2 3 4 2 3" xfId="5087"/>
    <cellStyle name="Normal 12 3 2 3 4 2 3 2" xfId="10847"/>
    <cellStyle name="Normal 12 3 2 3 4 2 3 2 2" xfId="28127"/>
    <cellStyle name="Normal 12 3 2 3 4 2 3 3" xfId="16607"/>
    <cellStyle name="Normal 12 3 2 3 4 2 3 3 2" xfId="33887"/>
    <cellStyle name="Normal 12 3 2 3 4 2 3 4" xfId="22367"/>
    <cellStyle name="Normal 12 3 2 3 4 2 4" xfId="7967"/>
    <cellStyle name="Normal 12 3 2 3 4 2 4 2" xfId="25247"/>
    <cellStyle name="Normal 12 3 2 3 4 2 5" xfId="13727"/>
    <cellStyle name="Normal 12 3 2 3 4 2 5 2" xfId="31007"/>
    <cellStyle name="Normal 12 3 2 3 4 2 6" xfId="19487"/>
    <cellStyle name="Normal 12 3 2 3 4 3" xfId="2927"/>
    <cellStyle name="Normal 12 3 2 3 4 3 2" xfId="5807"/>
    <cellStyle name="Normal 12 3 2 3 4 3 2 2" xfId="11567"/>
    <cellStyle name="Normal 12 3 2 3 4 3 2 2 2" xfId="28847"/>
    <cellStyle name="Normal 12 3 2 3 4 3 2 3" xfId="17327"/>
    <cellStyle name="Normal 12 3 2 3 4 3 2 3 2" xfId="34607"/>
    <cellStyle name="Normal 12 3 2 3 4 3 2 4" xfId="23087"/>
    <cellStyle name="Normal 12 3 2 3 4 3 3" xfId="8687"/>
    <cellStyle name="Normal 12 3 2 3 4 3 3 2" xfId="25967"/>
    <cellStyle name="Normal 12 3 2 3 4 3 4" xfId="14447"/>
    <cellStyle name="Normal 12 3 2 3 4 3 4 2" xfId="31727"/>
    <cellStyle name="Normal 12 3 2 3 4 3 5" xfId="20207"/>
    <cellStyle name="Normal 12 3 2 3 4 4" xfId="4367"/>
    <cellStyle name="Normal 12 3 2 3 4 4 2" xfId="10127"/>
    <cellStyle name="Normal 12 3 2 3 4 4 2 2" xfId="27407"/>
    <cellStyle name="Normal 12 3 2 3 4 4 3" xfId="15887"/>
    <cellStyle name="Normal 12 3 2 3 4 4 3 2" xfId="33167"/>
    <cellStyle name="Normal 12 3 2 3 4 4 4" xfId="21647"/>
    <cellStyle name="Normal 12 3 2 3 4 5" xfId="7247"/>
    <cellStyle name="Normal 12 3 2 3 4 5 2" xfId="24527"/>
    <cellStyle name="Normal 12 3 2 3 4 6" xfId="13007"/>
    <cellStyle name="Normal 12 3 2 3 4 6 2" xfId="30287"/>
    <cellStyle name="Normal 12 3 2 3 4 7" xfId="18767"/>
    <cellStyle name="Normal 12 3 2 3 5" xfId="1727"/>
    <cellStyle name="Normal 12 3 2 3 5 2" xfId="3167"/>
    <cellStyle name="Normal 12 3 2 3 5 2 2" xfId="6047"/>
    <cellStyle name="Normal 12 3 2 3 5 2 2 2" xfId="11807"/>
    <cellStyle name="Normal 12 3 2 3 5 2 2 2 2" xfId="29087"/>
    <cellStyle name="Normal 12 3 2 3 5 2 2 3" xfId="17567"/>
    <cellStyle name="Normal 12 3 2 3 5 2 2 3 2" xfId="34847"/>
    <cellStyle name="Normal 12 3 2 3 5 2 2 4" xfId="23327"/>
    <cellStyle name="Normal 12 3 2 3 5 2 3" xfId="8927"/>
    <cellStyle name="Normal 12 3 2 3 5 2 3 2" xfId="26207"/>
    <cellStyle name="Normal 12 3 2 3 5 2 4" xfId="14687"/>
    <cellStyle name="Normal 12 3 2 3 5 2 4 2" xfId="31967"/>
    <cellStyle name="Normal 12 3 2 3 5 2 5" xfId="20447"/>
    <cellStyle name="Normal 12 3 2 3 5 3" xfId="4607"/>
    <cellStyle name="Normal 12 3 2 3 5 3 2" xfId="10367"/>
    <cellStyle name="Normal 12 3 2 3 5 3 2 2" xfId="27647"/>
    <cellStyle name="Normal 12 3 2 3 5 3 3" xfId="16127"/>
    <cellStyle name="Normal 12 3 2 3 5 3 3 2" xfId="33407"/>
    <cellStyle name="Normal 12 3 2 3 5 3 4" xfId="21887"/>
    <cellStyle name="Normal 12 3 2 3 5 4" xfId="7487"/>
    <cellStyle name="Normal 12 3 2 3 5 4 2" xfId="24767"/>
    <cellStyle name="Normal 12 3 2 3 5 5" xfId="13247"/>
    <cellStyle name="Normal 12 3 2 3 5 5 2" xfId="30527"/>
    <cellStyle name="Normal 12 3 2 3 5 6" xfId="19007"/>
    <cellStyle name="Normal 12 3 2 3 6" xfId="2447"/>
    <cellStyle name="Normal 12 3 2 3 6 2" xfId="5327"/>
    <cellStyle name="Normal 12 3 2 3 6 2 2" xfId="11087"/>
    <cellStyle name="Normal 12 3 2 3 6 2 2 2" xfId="28367"/>
    <cellStyle name="Normal 12 3 2 3 6 2 3" xfId="16847"/>
    <cellStyle name="Normal 12 3 2 3 6 2 3 2" xfId="34127"/>
    <cellStyle name="Normal 12 3 2 3 6 2 4" xfId="22607"/>
    <cellStyle name="Normal 12 3 2 3 6 3" xfId="8207"/>
    <cellStyle name="Normal 12 3 2 3 6 3 2" xfId="25487"/>
    <cellStyle name="Normal 12 3 2 3 6 4" xfId="13967"/>
    <cellStyle name="Normal 12 3 2 3 6 4 2" xfId="31247"/>
    <cellStyle name="Normal 12 3 2 3 6 5" xfId="19727"/>
    <cellStyle name="Normal 12 3 2 3 7" xfId="3887"/>
    <cellStyle name="Normal 12 3 2 3 7 2" xfId="9647"/>
    <cellStyle name="Normal 12 3 2 3 7 2 2" xfId="26927"/>
    <cellStyle name="Normal 12 3 2 3 7 3" xfId="15407"/>
    <cellStyle name="Normal 12 3 2 3 7 3 2" xfId="32687"/>
    <cellStyle name="Normal 12 3 2 3 7 4" xfId="21167"/>
    <cellStyle name="Normal 12 3 2 3 8" xfId="6767"/>
    <cellStyle name="Normal 12 3 2 3 8 2" xfId="24047"/>
    <cellStyle name="Normal 12 3 2 3 9" xfId="12527"/>
    <cellStyle name="Normal 12 3 2 3 9 2" xfId="29807"/>
    <cellStyle name="Normal 12 3 2 4" xfId="1087"/>
    <cellStyle name="Normal 12 3 2 4 2" xfId="1327"/>
    <cellStyle name="Normal 12 3 2 4 2 2" xfId="2047"/>
    <cellStyle name="Normal 12 3 2 4 2 2 2" xfId="3487"/>
    <cellStyle name="Normal 12 3 2 4 2 2 2 2" xfId="6367"/>
    <cellStyle name="Normal 12 3 2 4 2 2 2 2 2" xfId="12127"/>
    <cellStyle name="Normal 12 3 2 4 2 2 2 2 2 2" xfId="29407"/>
    <cellStyle name="Normal 12 3 2 4 2 2 2 2 3" xfId="17887"/>
    <cellStyle name="Normal 12 3 2 4 2 2 2 2 3 2" xfId="35167"/>
    <cellStyle name="Normal 12 3 2 4 2 2 2 2 4" xfId="23647"/>
    <cellStyle name="Normal 12 3 2 4 2 2 2 3" xfId="9247"/>
    <cellStyle name="Normal 12 3 2 4 2 2 2 3 2" xfId="26527"/>
    <cellStyle name="Normal 12 3 2 4 2 2 2 4" xfId="15007"/>
    <cellStyle name="Normal 12 3 2 4 2 2 2 4 2" xfId="32287"/>
    <cellStyle name="Normal 12 3 2 4 2 2 2 5" xfId="20767"/>
    <cellStyle name="Normal 12 3 2 4 2 2 3" xfId="4927"/>
    <cellStyle name="Normal 12 3 2 4 2 2 3 2" xfId="10687"/>
    <cellStyle name="Normal 12 3 2 4 2 2 3 2 2" xfId="27967"/>
    <cellStyle name="Normal 12 3 2 4 2 2 3 3" xfId="16447"/>
    <cellStyle name="Normal 12 3 2 4 2 2 3 3 2" xfId="33727"/>
    <cellStyle name="Normal 12 3 2 4 2 2 3 4" xfId="22207"/>
    <cellStyle name="Normal 12 3 2 4 2 2 4" xfId="7807"/>
    <cellStyle name="Normal 12 3 2 4 2 2 4 2" xfId="25087"/>
    <cellStyle name="Normal 12 3 2 4 2 2 5" xfId="13567"/>
    <cellStyle name="Normal 12 3 2 4 2 2 5 2" xfId="30847"/>
    <cellStyle name="Normal 12 3 2 4 2 2 6" xfId="19327"/>
    <cellStyle name="Normal 12 3 2 4 2 3" xfId="2767"/>
    <cellStyle name="Normal 12 3 2 4 2 3 2" xfId="5647"/>
    <cellStyle name="Normal 12 3 2 4 2 3 2 2" xfId="11407"/>
    <cellStyle name="Normal 12 3 2 4 2 3 2 2 2" xfId="28687"/>
    <cellStyle name="Normal 12 3 2 4 2 3 2 3" xfId="17167"/>
    <cellStyle name="Normal 12 3 2 4 2 3 2 3 2" xfId="34447"/>
    <cellStyle name="Normal 12 3 2 4 2 3 2 4" xfId="22927"/>
    <cellStyle name="Normal 12 3 2 4 2 3 3" xfId="8527"/>
    <cellStyle name="Normal 12 3 2 4 2 3 3 2" xfId="25807"/>
    <cellStyle name="Normal 12 3 2 4 2 3 4" xfId="14287"/>
    <cellStyle name="Normal 12 3 2 4 2 3 4 2" xfId="31567"/>
    <cellStyle name="Normal 12 3 2 4 2 3 5" xfId="20047"/>
    <cellStyle name="Normal 12 3 2 4 2 4" xfId="4207"/>
    <cellStyle name="Normal 12 3 2 4 2 4 2" xfId="9967"/>
    <cellStyle name="Normal 12 3 2 4 2 4 2 2" xfId="27247"/>
    <cellStyle name="Normal 12 3 2 4 2 4 3" xfId="15727"/>
    <cellStyle name="Normal 12 3 2 4 2 4 3 2" xfId="33007"/>
    <cellStyle name="Normal 12 3 2 4 2 4 4" xfId="21487"/>
    <cellStyle name="Normal 12 3 2 4 2 5" xfId="7087"/>
    <cellStyle name="Normal 12 3 2 4 2 5 2" xfId="24367"/>
    <cellStyle name="Normal 12 3 2 4 2 6" xfId="12847"/>
    <cellStyle name="Normal 12 3 2 4 2 6 2" xfId="30127"/>
    <cellStyle name="Normal 12 3 2 4 2 7" xfId="18607"/>
    <cellStyle name="Normal 12 3 2 4 3" xfId="1567"/>
    <cellStyle name="Normal 12 3 2 4 3 2" xfId="2287"/>
    <cellStyle name="Normal 12 3 2 4 3 2 2" xfId="3727"/>
    <cellStyle name="Normal 12 3 2 4 3 2 2 2" xfId="6607"/>
    <cellStyle name="Normal 12 3 2 4 3 2 2 2 2" xfId="12367"/>
    <cellStyle name="Normal 12 3 2 4 3 2 2 2 2 2" xfId="29647"/>
    <cellStyle name="Normal 12 3 2 4 3 2 2 2 3" xfId="18127"/>
    <cellStyle name="Normal 12 3 2 4 3 2 2 2 3 2" xfId="35407"/>
    <cellStyle name="Normal 12 3 2 4 3 2 2 2 4" xfId="23887"/>
    <cellStyle name="Normal 12 3 2 4 3 2 2 3" xfId="9487"/>
    <cellStyle name="Normal 12 3 2 4 3 2 2 3 2" xfId="26767"/>
    <cellStyle name="Normal 12 3 2 4 3 2 2 4" xfId="15247"/>
    <cellStyle name="Normal 12 3 2 4 3 2 2 4 2" xfId="32527"/>
    <cellStyle name="Normal 12 3 2 4 3 2 2 5" xfId="21007"/>
    <cellStyle name="Normal 12 3 2 4 3 2 3" xfId="5167"/>
    <cellStyle name="Normal 12 3 2 4 3 2 3 2" xfId="10927"/>
    <cellStyle name="Normal 12 3 2 4 3 2 3 2 2" xfId="28207"/>
    <cellStyle name="Normal 12 3 2 4 3 2 3 3" xfId="16687"/>
    <cellStyle name="Normal 12 3 2 4 3 2 3 3 2" xfId="33967"/>
    <cellStyle name="Normal 12 3 2 4 3 2 3 4" xfId="22447"/>
    <cellStyle name="Normal 12 3 2 4 3 2 4" xfId="8047"/>
    <cellStyle name="Normal 12 3 2 4 3 2 4 2" xfId="25327"/>
    <cellStyle name="Normal 12 3 2 4 3 2 5" xfId="13807"/>
    <cellStyle name="Normal 12 3 2 4 3 2 5 2" xfId="31087"/>
    <cellStyle name="Normal 12 3 2 4 3 2 6" xfId="19567"/>
    <cellStyle name="Normal 12 3 2 4 3 3" xfId="3007"/>
    <cellStyle name="Normal 12 3 2 4 3 3 2" xfId="5887"/>
    <cellStyle name="Normal 12 3 2 4 3 3 2 2" xfId="11647"/>
    <cellStyle name="Normal 12 3 2 4 3 3 2 2 2" xfId="28927"/>
    <cellStyle name="Normal 12 3 2 4 3 3 2 3" xfId="17407"/>
    <cellStyle name="Normal 12 3 2 4 3 3 2 3 2" xfId="34687"/>
    <cellStyle name="Normal 12 3 2 4 3 3 2 4" xfId="23167"/>
    <cellStyle name="Normal 12 3 2 4 3 3 3" xfId="8767"/>
    <cellStyle name="Normal 12 3 2 4 3 3 3 2" xfId="26047"/>
    <cellStyle name="Normal 12 3 2 4 3 3 4" xfId="14527"/>
    <cellStyle name="Normal 12 3 2 4 3 3 4 2" xfId="31807"/>
    <cellStyle name="Normal 12 3 2 4 3 3 5" xfId="20287"/>
    <cellStyle name="Normal 12 3 2 4 3 4" xfId="4447"/>
    <cellStyle name="Normal 12 3 2 4 3 4 2" xfId="10207"/>
    <cellStyle name="Normal 12 3 2 4 3 4 2 2" xfId="27487"/>
    <cellStyle name="Normal 12 3 2 4 3 4 3" xfId="15967"/>
    <cellStyle name="Normal 12 3 2 4 3 4 3 2" xfId="33247"/>
    <cellStyle name="Normal 12 3 2 4 3 4 4" xfId="21727"/>
    <cellStyle name="Normal 12 3 2 4 3 5" xfId="7327"/>
    <cellStyle name="Normal 12 3 2 4 3 5 2" xfId="24607"/>
    <cellStyle name="Normal 12 3 2 4 3 6" xfId="13087"/>
    <cellStyle name="Normal 12 3 2 4 3 6 2" xfId="30367"/>
    <cellStyle name="Normal 12 3 2 4 3 7" xfId="18847"/>
    <cellStyle name="Normal 12 3 2 4 4" xfId="1807"/>
    <cellStyle name="Normal 12 3 2 4 4 2" xfId="3247"/>
    <cellStyle name="Normal 12 3 2 4 4 2 2" xfId="6127"/>
    <cellStyle name="Normal 12 3 2 4 4 2 2 2" xfId="11887"/>
    <cellStyle name="Normal 12 3 2 4 4 2 2 2 2" xfId="29167"/>
    <cellStyle name="Normal 12 3 2 4 4 2 2 3" xfId="17647"/>
    <cellStyle name="Normal 12 3 2 4 4 2 2 3 2" xfId="34927"/>
    <cellStyle name="Normal 12 3 2 4 4 2 2 4" xfId="23407"/>
    <cellStyle name="Normal 12 3 2 4 4 2 3" xfId="9007"/>
    <cellStyle name="Normal 12 3 2 4 4 2 3 2" xfId="26287"/>
    <cellStyle name="Normal 12 3 2 4 4 2 4" xfId="14767"/>
    <cellStyle name="Normal 12 3 2 4 4 2 4 2" xfId="32047"/>
    <cellStyle name="Normal 12 3 2 4 4 2 5" xfId="20527"/>
    <cellStyle name="Normal 12 3 2 4 4 3" xfId="4687"/>
    <cellStyle name="Normal 12 3 2 4 4 3 2" xfId="10447"/>
    <cellStyle name="Normal 12 3 2 4 4 3 2 2" xfId="27727"/>
    <cellStyle name="Normal 12 3 2 4 4 3 3" xfId="16207"/>
    <cellStyle name="Normal 12 3 2 4 4 3 3 2" xfId="33487"/>
    <cellStyle name="Normal 12 3 2 4 4 3 4" xfId="21967"/>
    <cellStyle name="Normal 12 3 2 4 4 4" xfId="7567"/>
    <cellStyle name="Normal 12 3 2 4 4 4 2" xfId="24847"/>
    <cellStyle name="Normal 12 3 2 4 4 5" xfId="13327"/>
    <cellStyle name="Normal 12 3 2 4 4 5 2" xfId="30607"/>
    <cellStyle name="Normal 12 3 2 4 4 6" xfId="19087"/>
    <cellStyle name="Normal 12 3 2 4 5" xfId="2527"/>
    <cellStyle name="Normal 12 3 2 4 5 2" xfId="5407"/>
    <cellStyle name="Normal 12 3 2 4 5 2 2" xfId="11167"/>
    <cellStyle name="Normal 12 3 2 4 5 2 2 2" xfId="28447"/>
    <cellStyle name="Normal 12 3 2 4 5 2 3" xfId="16927"/>
    <cellStyle name="Normal 12 3 2 4 5 2 3 2" xfId="34207"/>
    <cellStyle name="Normal 12 3 2 4 5 2 4" xfId="22687"/>
    <cellStyle name="Normal 12 3 2 4 5 3" xfId="8287"/>
    <cellStyle name="Normal 12 3 2 4 5 3 2" xfId="25567"/>
    <cellStyle name="Normal 12 3 2 4 5 4" xfId="14047"/>
    <cellStyle name="Normal 12 3 2 4 5 4 2" xfId="31327"/>
    <cellStyle name="Normal 12 3 2 4 5 5" xfId="19807"/>
    <cellStyle name="Normal 12 3 2 4 6" xfId="3967"/>
    <cellStyle name="Normal 12 3 2 4 6 2" xfId="9727"/>
    <cellStyle name="Normal 12 3 2 4 6 2 2" xfId="27007"/>
    <cellStyle name="Normal 12 3 2 4 6 3" xfId="15487"/>
    <cellStyle name="Normal 12 3 2 4 6 3 2" xfId="32767"/>
    <cellStyle name="Normal 12 3 2 4 6 4" xfId="21247"/>
    <cellStyle name="Normal 12 3 2 4 7" xfId="6847"/>
    <cellStyle name="Normal 12 3 2 4 7 2" xfId="24127"/>
    <cellStyle name="Normal 12 3 2 4 8" xfId="12607"/>
    <cellStyle name="Normal 12 3 2 4 8 2" xfId="29887"/>
    <cellStyle name="Normal 12 3 2 4 9" xfId="18367"/>
    <cellStyle name="Normal 12 3 2 5" xfId="1207"/>
    <cellStyle name="Normal 12 3 2 5 2" xfId="1927"/>
    <cellStyle name="Normal 12 3 2 5 2 2" xfId="3367"/>
    <cellStyle name="Normal 12 3 2 5 2 2 2" xfId="6247"/>
    <cellStyle name="Normal 12 3 2 5 2 2 2 2" xfId="12007"/>
    <cellStyle name="Normal 12 3 2 5 2 2 2 2 2" xfId="29287"/>
    <cellStyle name="Normal 12 3 2 5 2 2 2 3" xfId="17767"/>
    <cellStyle name="Normal 12 3 2 5 2 2 2 3 2" xfId="35047"/>
    <cellStyle name="Normal 12 3 2 5 2 2 2 4" xfId="23527"/>
    <cellStyle name="Normal 12 3 2 5 2 2 3" xfId="9127"/>
    <cellStyle name="Normal 12 3 2 5 2 2 3 2" xfId="26407"/>
    <cellStyle name="Normal 12 3 2 5 2 2 4" xfId="14887"/>
    <cellStyle name="Normal 12 3 2 5 2 2 4 2" xfId="32167"/>
    <cellStyle name="Normal 12 3 2 5 2 2 5" xfId="20647"/>
    <cellStyle name="Normal 12 3 2 5 2 3" xfId="4807"/>
    <cellStyle name="Normal 12 3 2 5 2 3 2" xfId="10567"/>
    <cellStyle name="Normal 12 3 2 5 2 3 2 2" xfId="27847"/>
    <cellStyle name="Normal 12 3 2 5 2 3 3" xfId="16327"/>
    <cellStyle name="Normal 12 3 2 5 2 3 3 2" xfId="33607"/>
    <cellStyle name="Normal 12 3 2 5 2 3 4" xfId="22087"/>
    <cellStyle name="Normal 12 3 2 5 2 4" xfId="7687"/>
    <cellStyle name="Normal 12 3 2 5 2 4 2" xfId="24967"/>
    <cellStyle name="Normal 12 3 2 5 2 5" xfId="13447"/>
    <cellStyle name="Normal 12 3 2 5 2 5 2" xfId="30727"/>
    <cellStyle name="Normal 12 3 2 5 2 6" xfId="19207"/>
    <cellStyle name="Normal 12 3 2 5 3" xfId="2647"/>
    <cellStyle name="Normal 12 3 2 5 3 2" xfId="5527"/>
    <cellStyle name="Normal 12 3 2 5 3 2 2" xfId="11287"/>
    <cellStyle name="Normal 12 3 2 5 3 2 2 2" xfId="28567"/>
    <cellStyle name="Normal 12 3 2 5 3 2 3" xfId="17047"/>
    <cellStyle name="Normal 12 3 2 5 3 2 3 2" xfId="34327"/>
    <cellStyle name="Normal 12 3 2 5 3 2 4" xfId="22807"/>
    <cellStyle name="Normal 12 3 2 5 3 3" xfId="8407"/>
    <cellStyle name="Normal 12 3 2 5 3 3 2" xfId="25687"/>
    <cellStyle name="Normal 12 3 2 5 3 4" xfId="14167"/>
    <cellStyle name="Normal 12 3 2 5 3 4 2" xfId="31447"/>
    <cellStyle name="Normal 12 3 2 5 3 5" xfId="19927"/>
    <cellStyle name="Normal 12 3 2 5 4" xfId="4087"/>
    <cellStyle name="Normal 12 3 2 5 4 2" xfId="9847"/>
    <cellStyle name="Normal 12 3 2 5 4 2 2" xfId="27127"/>
    <cellStyle name="Normal 12 3 2 5 4 3" xfId="15607"/>
    <cellStyle name="Normal 12 3 2 5 4 3 2" xfId="32887"/>
    <cellStyle name="Normal 12 3 2 5 4 4" xfId="21367"/>
    <cellStyle name="Normal 12 3 2 5 5" xfId="6967"/>
    <cellStyle name="Normal 12 3 2 5 5 2" xfId="24247"/>
    <cellStyle name="Normal 12 3 2 5 6" xfId="12727"/>
    <cellStyle name="Normal 12 3 2 5 6 2" xfId="30007"/>
    <cellStyle name="Normal 12 3 2 5 7" xfId="18487"/>
    <cellStyle name="Normal 12 3 2 6" xfId="1447"/>
    <cellStyle name="Normal 12 3 2 6 2" xfId="2167"/>
    <cellStyle name="Normal 12 3 2 6 2 2" xfId="3607"/>
    <cellStyle name="Normal 12 3 2 6 2 2 2" xfId="6487"/>
    <cellStyle name="Normal 12 3 2 6 2 2 2 2" xfId="12247"/>
    <cellStyle name="Normal 12 3 2 6 2 2 2 2 2" xfId="29527"/>
    <cellStyle name="Normal 12 3 2 6 2 2 2 3" xfId="18007"/>
    <cellStyle name="Normal 12 3 2 6 2 2 2 3 2" xfId="35287"/>
    <cellStyle name="Normal 12 3 2 6 2 2 2 4" xfId="23767"/>
    <cellStyle name="Normal 12 3 2 6 2 2 3" xfId="9367"/>
    <cellStyle name="Normal 12 3 2 6 2 2 3 2" xfId="26647"/>
    <cellStyle name="Normal 12 3 2 6 2 2 4" xfId="15127"/>
    <cellStyle name="Normal 12 3 2 6 2 2 4 2" xfId="32407"/>
    <cellStyle name="Normal 12 3 2 6 2 2 5" xfId="20887"/>
    <cellStyle name="Normal 12 3 2 6 2 3" xfId="5047"/>
    <cellStyle name="Normal 12 3 2 6 2 3 2" xfId="10807"/>
    <cellStyle name="Normal 12 3 2 6 2 3 2 2" xfId="28087"/>
    <cellStyle name="Normal 12 3 2 6 2 3 3" xfId="16567"/>
    <cellStyle name="Normal 12 3 2 6 2 3 3 2" xfId="33847"/>
    <cellStyle name="Normal 12 3 2 6 2 3 4" xfId="22327"/>
    <cellStyle name="Normal 12 3 2 6 2 4" xfId="7927"/>
    <cellStyle name="Normal 12 3 2 6 2 4 2" xfId="25207"/>
    <cellStyle name="Normal 12 3 2 6 2 5" xfId="13687"/>
    <cellStyle name="Normal 12 3 2 6 2 5 2" xfId="30967"/>
    <cellStyle name="Normal 12 3 2 6 2 6" xfId="19447"/>
    <cellStyle name="Normal 12 3 2 6 3" xfId="2887"/>
    <cellStyle name="Normal 12 3 2 6 3 2" xfId="5767"/>
    <cellStyle name="Normal 12 3 2 6 3 2 2" xfId="11527"/>
    <cellStyle name="Normal 12 3 2 6 3 2 2 2" xfId="28807"/>
    <cellStyle name="Normal 12 3 2 6 3 2 3" xfId="17287"/>
    <cellStyle name="Normal 12 3 2 6 3 2 3 2" xfId="34567"/>
    <cellStyle name="Normal 12 3 2 6 3 2 4" xfId="23047"/>
    <cellStyle name="Normal 12 3 2 6 3 3" xfId="8647"/>
    <cellStyle name="Normal 12 3 2 6 3 3 2" xfId="25927"/>
    <cellStyle name="Normal 12 3 2 6 3 4" xfId="14407"/>
    <cellStyle name="Normal 12 3 2 6 3 4 2" xfId="31687"/>
    <cellStyle name="Normal 12 3 2 6 3 5" xfId="20167"/>
    <cellStyle name="Normal 12 3 2 6 4" xfId="4327"/>
    <cellStyle name="Normal 12 3 2 6 4 2" xfId="10087"/>
    <cellStyle name="Normal 12 3 2 6 4 2 2" xfId="27367"/>
    <cellStyle name="Normal 12 3 2 6 4 3" xfId="15847"/>
    <cellStyle name="Normal 12 3 2 6 4 3 2" xfId="33127"/>
    <cellStyle name="Normal 12 3 2 6 4 4" xfId="21607"/>
    <cellStyle name="Normal 12 3 2 6 5" xfId="7207"/>
    <cellStyle name="Normal 12 3 2 6 5 2" xfId="24487"/>
    <cellStyle name="Normal 12 3 2 6 6" xfId="12967"/>
    <cellStyle name="Normal 12 3 2 6 6 2" xfId="30247"/>
    <cellStyle name="Normal 12 3 2 6 7" xfId="18727"/>
    <cellStyle name="Normal 12 3 2 7" xfId="1687"/>
    <cellStyle name="Normal 12 3 2 7 2" xfId="3127"/>
    <cellStyle name="Normal 12 3 2 7 2 2" xfId="6007"/>
    <cellStyle name="Normal 12 3 2 7 2 2 2" xfId="11767"/>
    <cellStyle name="Normal 12 3 2 7 2 2 2 2" xfId="29047"/>
    <cellStyle name="Normal 12 3 2 7 2 2 3" xfId="17527"/>
    <cellStyle name="Normal 12 3 2 7 2 2 3 2" xfId="34807"/>
    <cellStyle name="Normal 12 3 2 7 2 2 4" xfId="23287"/>
    <cellStyle name="Normal 12 3 2 7 2 3" xfId="8887"/>
    <cellStyle name="Normal 12 3 2 7 2 3 2" xfId="26167"/>
    <cellStyle name="Normal 12 3 2 7 2 4" xfId="14647"/>
    <cellStyle name="Normal 12 3 2 7 2 4 2" xfId="31927"/>
    <cellStyle name="Normal 12 3 2 7 2 5" xfId="20407"/>
    <cellStyle name="Normal 12 3 2 7 3" xfId="4567"/>
    <cellStyle name="Normal 12 3 2 7 3 2" xfId="10327"/>
    <cellStyle name="Normal 12 3 2 7 3 2 2" xfId="27607"/>
    <cellStyle name="Normal 12 3 2 7 3 3" xfId="16087"/>
    <cellStyle name="Normal 12 3 2 7 3 3 2" xfId="33367"/>
    <cellStyle name="Normal 12 3 2 7 3 4" xfId="21847"/>
    <cellStyle name="Normal 12 3 2 7 4" xfId="7447"/>
    <cellStyle name="Normal 12 3 2 7 4 2" xfId="24727"/>
    <cellStyle name="Normal 12 3 2 7 5" xfId="13207"/>
    <cellStyle name="Normal 12 3 2 7 5 2" xfId="30487"/>
    <cellStyle name="Normal 12 3 2 7 6" xfId="18967"/>
    <cellStyle name="Normal 12 3 2 8" xfId="2407"/>
    <cellStyle name="Normal 12 3 2 8 2" xfId="5287"/>
    <cellStyle name="Normal 12 3 2 8 2 2" xfId="11047"/>
    <cellStyle name="Normal 12 3 2 8 2 2 2" xfId="28327"/>
    <cellStyle name="Normal 12 3 2 8 2 3" xfId="16807"/>
    <cellStyle name="Normal 12 3 2 8 2 3 2" xfId="34087"/>
    <cellStyle name="Normal 12 3 2 8 2 4" xfId="22567"/>
    <cellStyle name="Normal 12 3 2 8 3" xfId="8167"/>
    <cellStyle name="Normal 12 3 2 8 3 2" xfId="25447"/>
    <cellStyle name="Normal 12 3 2 8 4" xfId="13927"/>
    <cellStyle name="Normal 12 3 2 8 4 2" xfId="31207"/>
    <cellStyle name="Normal 12 3 2 8 5" xfId="19687"/>
    <cellStyle name="Normal 12 3 2 9" xfId="3847"/>
    <cellStyle name="Normal 12 3 2 9 2" xfId="9607"/>
    <cellStyle name="Normal 12 3 2 9 2 2" xfId="26887"/>
    <cellStyle name="Normal 12 3 2 9 3" xfId="15367"/>
    <cellStyle name="Normal 12 3 2 9 3 2" xfId="32647"/>
    <cellStyle name="Normal 12 3 2 9 4" xfId="21127"/>
    <cellStyle name="Normal 12 3 3" xfId="1027"/>
    <cellStyle name="Normal 12 3 3 10" xfId="18307"/>
    <cellStyle name="Normal 12 3 3 2" xfId="1147"/>
    <cellStyle name="Normal 12 3 3 2 2" xfId="1387"/>
    <cellStyle name="Normal 12 3 3 2 2 2" xfId="2107"/>
    <cellStyle name="Normal 12 3 3 2 2 2 2" xfId="3547"/>
    <cellStyle name="Normal 12 3 3 2 2 2 2 2" xfId="6427"/>
    <cellStyle name="Normal 12 3 3 2 2 2 2 2 2" xfId="12187"/>
    <cellStyle name="Normal 12 3 3 2 2 2 2 2 2 2" xfId="29467"/>
    <cellStyle name="Normal 12 3 3 2 2 2 2 2 3" xfId="17947"/>
    <cellStyle name="Normal 12 3 3 2 2 2 2 2 3 2" xfId="35227"/>
    <cellStyle name="Normal 12 3 3 2 2 2 2 2 4" xfId="23707"/>
    <cellStyle name="Normal 12 3 3 2 2 2 2 3" xfId="9307"/>
    <cellStyle name="Normal 12 3 3 2 2 2 2 3 2" xfId="26587"/>
    <cellStyle name="Normal 12 3 3 2 2 2 2 4" xfId="15067"/>
    <cellStyle name="Normal 12 3 3 2 2 2 2 4 2" xfId="32347"/>
    <cellStyle name="Normal 12 3 3 2 2 2 2 5" xfId="20827"/>
    <cellStyle name="Normal 12 3 3 2 2 2 3" xfId="4987"/>
    <cellStyle name="Normal 12 3 3 2 2 2 3 2" xfId="10747"/>
    <cellStyle name="Normal 12 3 3 2 2 2 3 2 2" xfId="28027"/>
    <cellStyle name="Normal 12 3 3 2 2 2 3 3" xfId="16507"/>
    <cellStyle name="Normal 12 3 3 2 2 2 3 3 2" xfId="33787"/>
    <cellStyle name="Normal 12 3 3 2 2 2 3 4" xfId="22267"/>
    <cellStyle name="Normal 12 3 3 2 2 2 4" xfId="7867"/>
    <cellStyle name="Normal 12 3 3 2 2 2 4 2" xfId="25147"/>
    <cellStyle name="Normal 12 3 3 2 2 2 5" xfId="13627"/>
    <cellStyle name="Normal 12 3 3 2 2 2 5 2" xfId="30907"/>
    <cellStyle name="Normal 12 3 3 2 2 2 6" xfId="19387"/>
    <cellStyle name="Normal 12 3 3 2 2 3" xfId="2827"/>
    <cellStyle name="Normal 12 3 3 2 2 3 2" xfId="5707"/>
    <cellStyle name="Normal 12 3 3 2 2 3 2 2" xfId="11467"/>
    <cellStyle name="Normal 12 3 3 2 2 3 2 2 2" xfId="28747"/>
    <cellStyle name="Normal 12 3 3 2 2 3 2 3" xfId="17227"/>
    <cellStyle name="Normal 12 3 3 2 2 3 2 3 2" xfId="34507"/>
    <cellStyle name="Normal 12 3 3 2 2 3 2 4" xfId="22987"/>
    <cellStyle name="Normal 12 3 3 2 2 3 3" xfId="8587"/>
    <cellStyle name="Normal 12 3 3 2 2 3 3 2" xfId="25867"/>
    <cellStyle name="Normal 12 3 3 2 2 3 4" xfId="14347"/>
    <cellStyle name="Normal 12 3 3 2 2 3 4 2" xfId="31627"/>
    <cellStyle name="Normal 12 3 3 2 2 3 5" xfId="20107"/>
    <cellStyle name="Normal 12 3 3 2 2 4" xfId="4267"/>
    <cellStyle name="Normal 12 3 3 2 2 4 2" xfId="10027"/>
    <cellStyle name="Normal 12 3 3 2 2 4 2 2" xfId="27307"/>
    <cellStyle name="Normal 12 3 3 2 2 4 3" xfId="15787"/>
    <cellStyle name="Normal 12 3 3 2 2 4 3 2" xfId="33067"/>
    <cellStyle name="Normal 12 3 3 2 2 4 4" xfId="21547"/>
    <cellStyle name="Normal 12 3 3 2 2 5" xfId="7147"/>
    <cellStyle name="Normal 12 3 3 2 2 5 2" xfId="24427"/>
    <cellStyle name="Normal 12 3 3 2 2 6" xfId="12907"/>
    <cellStyle name="Normal 12 3 3 2 2 6 2" xfId="30187"/>
    <cellStyle name="Normal 12 3 3 2 2 7" xfId="18667"/>
    <cellStyle name="Normal 12 3 3 2 3" xfId="1627"/>
    <cellStyle name="Normal 12 3 3 2 3 2" xfId="2347"/>
    <cellStyle name="Normal 12 3 3 2 3 2 2" xfId="3787"/>
    <cellStyle name="Normal 12 3 3 2 3 2 2 2" xfId="6667"/>
    <cellStyle name="Normal 12 3 3 2 3 2 2 2 2" xfId="12427"/>
    <cellStyle name="Normal 12 3 3 2 3 2 2 2 2 2" xfId="29707"/>
    <cellStyle name="Normal 12 3 3 2 3 2 2 2 3" xfId="18187"/>
    <cellStyle name="Normal 12 3 3 2 3 2 2 2 3 2" xfId="35467"/>
    <cellStyle name="Normal 12 3 3 2 3 2 2 2 4" xfId="23947"/>
    <cellStyle name="Normal 12 3 3 2 3 2 2 3" xfId="9547"/>
    <cellStyle name="Normal 12 3 3 2 3 2 2 3 2" xfId="26827"/>
    <cellStyle name="Normal 12 3 3 2 3 2 2 4" xfId="15307"/>
    <cellStyle name="Normal 12 3 3 2 3 2 2 4 2" xfId="32587"/>
    <cellStyle name="Normal 12 3 3 2 3 2 2 5" xfId="21067"/>
    <cellStyle name="Normal 12 3 3 2 3 2 3" xfId="5227"/>
    <cellStyle name="Normal 12 3 3 2 3 2 3 2" xfId="10987"/>
    <cellStyle name="Normal 12 3 3 2 3 2 3 2 2" xfId="28267"/>
    <cellStyle name="Normal 12 3 3 2 3 2 3 3" xfId="16747"/>
    <cellStyle name="Normal 12 3 3 2 3 2 3 3 2" xfId="34027"/>
    <cellStyle name="Normal 12 3 3 2 3 2 3 4" xfId="22507"/>
    <cellStyle name="Normal 12 3 3 2 3 2 4" xfId="8107"/>
    <cellStyle name="Normal 12 3 3 2 3 2 4 2" xfId="25387"/>
    <cellStyle name="Normal 12 3 3 2 3 2 5" xfId="13867"/>
    <cellStyle name="Normal 12 3 3 2 3 2 5 2" xfId="31147"/>
    <cellStyle name="Normal 12 3 3 2 3 2 6" xfId="19627"/>
    <cellStyle name="Normal 12 3 3 2 3 3" xfId="3067"/>
    <cellStyle name="Normal 12 3 3 2 3 3 2" xfId="5947"/>
    <cellStyle name="Normal 12 3 3 2 3 3 2 2" xfId="11707"/>
    <cellStyle name="Normal 12 3 3 2 3 3 2 2 2" xfId="28987"/>
    <cellStyle name="Normal 12 3 3 2 3 3 2 3" xfId="17467"/>
    <cellStyle name="Normal 12 3 3 2 3 3 2 3 2" xfId="34747"/>
    <cellStyle name="Normal 12 3 3 2 3 3 2 4" xfId="23227"/>
    <cellStyle name="Normal 12 3 3 2 3 3 3" xfId="8827"/>
    <cellStyle name="Normal 12 3 3 2 3 3 3 2" xfId="26107"/>
    <cellStyle name="Normal 12 3 3 2 3 3 4" xfId="14587"/>
    <cellStyle name="Normal 12 3 3 2 3 3 4 2" xfId="31867"/>
    <cellStyle name="Normal 12 3 3 2 3 3 5" xfId="20347"/>
    <cellStyle name="Normal 12 3 3 2 3 4" xfId="4507"/>
    <cellStyle name="Normal 12 3 3 2 3 4 2" xfId="10267"/>
    <cellStyle name="Normal 12 3 3 2 3 4 2 2" xfId="27547"/>
    <cellStyle name="Normal 12 3 3 2 3 4 3" xfId="16027"/>
    <cellStyle name="Normal 12 3 3 2 3 4 3 2" xfId="33307"/>
    <cellStyle name="Normal 12 3 3 2 3 4 4" xfId="21787"/>
    <cellStyle name="Normal 12 3 3 2 3 5" xfId="7387"/>
    <cellStyle name="Normal 12 3 3 2 3 5 2" xfId="24667"/>
    <cellStyle name="Normal 12 3 3 2 3 6" xfId="13147"/>
    <cellStyle name="Normal 12 3 3 2 3 6 2" xfId="30427"/>
    <cellStyle name="Normal 12 3 3 2 3 7" xfId="18907"/>
    <cellStyle name="Normal 12 3 3 2 4" xfId="1867"/>
    <cellStyle name="Normal 12 3 3 2 4 2" xfId="3307"/>
    <cellStyle name="Normal 12 3 3 2 4 2 2" xfId="6187"/>
    <cellStyle name="Normal 12 3 3 2 4 2 2 2" xfId="11947"/>
    <cellStyle name="Normal 12 3 3 2 4 2 2 2 2" xfId="29227"/>
    <cellStyle name="Normal 12 3 3 2 4 2 2 3" xfId="17707"/>
    <cellStyle name="Normal 12 3 3 2 4 2 2 3 2" xfId="34987"/>
    <cellStyle name="Normal 12 3 3 2 4 2 2 4" xfId="23467"/>
    <cellStyle name="Normal 12 3 3 2 4 2 3" xfId="9067"/>
    <cellStyle name="Normal 12 3 3 2 4 2 3 2" xfId="26347"/>
    <cellStyle name="Normal 12 3 3 2 4 2 4" xfId="14827"/>
    <cellStyle name="Normal 12 3 3 2 4 2 4 2" xfId="32107"/>
    <cellStyle name="Normal 12 3 3 2 4 2 5" xfId="20587"/>
    <cellStyle name="Normal 12 3 3 2 4 3" xfId="4747"/>
    <cellStyle name="Normal 12 3 3 2 4 3 2" xfId="10507"/>
    <cellStyle name="Normal 12 3 3 2 4 3 2 2" xfId="27787"/>
    <cellStyle name="Normal 12 3 3 2 4 3 3" xfId="16267"/>
    <cellStyle name="Normal 12 3 3 2 4 3 3 2" xfId="33547"/>
    <cellStyle name="Normal 12 3 3 2 4 3 4" xfId="22027"/>
    <cellStyle name="Normal 12 3 3 2 4 4" xfId="7627"/>
    <cellStyle name="Normal 12 3 3 2 4 4 2" xfId="24907"/>
    <cellStyle name="Normal 12 3 3 2 4 5" xfId="13387"/>
    <cellStyle name="Normal 12 3 3 2 4 5 2" xfId="30667"/>
    <cellStyle name="Normal 12 3 3 2 4 6" xfId="19147"/>
    <cellStyle name="Normal 12 3 3 2 5" xfId="2587"/>
    <cellStyle name="Normal 12 3 3 2 5 2" xfId="5467"/>
    <cellStyle name="Normal 12 3 3 2 5 2 2" xfId="11227"/>
    <cellStyle name="Normal 12 3 3 2 5 2 2 2" xfId="28507"/>
    <cellStyle name="Normal 12 3 3 2 5 2 3" xfId="16987"/>
    <cellStyle name="Normal 12 3 3 2 5 2 3 2" xfId="34267"/>
    <cellStyle name="Normal 12 3 3 2 5 2 4" xfId="22747"/>
    <cellStyle name="Normal 12 3 3 2 5 3" xfId="8347"/>
    <cellStyle name="Normal 12 3 3 2 5 3 2" xfId="25627"/>
    <cellStyle name="Normal 12 3 3 2 5 4" xfId="14107"/>
    <cellStyle name="Normal 12 3 3 2 5 4 2" xfId="31387"/>
    <cellStyle name="Normal 12 3 3 2 5 5" xfId="19867"/>
    <cellStyle name="Normal 12 3 3 2 6" xfId="4027"/>
    <cellStyle name="Normal 12 3 3 2 6 2" xfId="9787"/>
    <cellStyle name="Normal 12 3 3 2 6 2 2" xfId="27067"/>
    <cellStyle name="Normal 12 3 3 2 6 3" xfId="15547"/>
    <cellStyle name="Normal 12 3 3 2 6 3 2" xfId="32827"/>
    <cellStyle name="Normal 12 3 3 2 6 4" xfId="21307"/>
    <cellStyle name="Normal 12 3 3 2 7" xfId="6907"/>
    <cellStyle name="Normal 12 3 3 2 7 2" xfId="24187"/>
    <cellStyle name="Normal 12 3 3 2 8" xfId="12667"/>
    <cellStyle name="Normal 12 3 3 2 8 2" xfId="29947"/>
    <cellStyle name="Normal 12 3 3 2 9" xfId="18427"/>
    <cellStyle name="Normal 12 3 3 3" xfId="1267"/>
    <cellStyle name="Normal 12 3 3 3 2" xfId="1987"/>
    <cellStyle name="Normal 12 3 3 3 2 2" xfId="3427"/>
    <cellStyle name="Normal 12 3 3 3 2 2 2" xfId="6307"/>
    <cellStyle name="Normal 12 3 3 3 2 2 2 2" xfId="12067"/>
    <cellStyle name="Normal 12 3 3 3 2 2 2 2 2" xfId="29347"/>
    <cellStyle name="Normal 12 3 3 3 2 2 2 3" xfId="17827"/>
    <cellStyle name="Normal 12 3 3 3 2 2 2 3 2" xfId="35107"/>
    <cellStyle name="Normal 12 3 3 3 2 2 2 4" xfId="23587"/>
    <cellStyle name="Normal 12 3 3 3 2 2 3" xfId="9187"/>
    <cellStyle name="Normal 12 3 3 3 2 2 3 2" xfId="26467"/>
    <cellStyle name="Normal 12 3 3 3 2 2 4" xfId="14947"/>
    <cellStyle name="Normal 12 3 3 3 2 2 4 2" xfId="32227"/>
    <cellStyle name="Normal 12 3 3 3 2 2 5" xfId="20707"/>
    <cellStyle name="Normal 12 3 3 3 2 3" xfId="4867"/>
    <cellStyle name="Normal 12 3 3 3 2 3 2" xfId="10627"/>
    <cellStyle name="Normal 12 3 3 3 2 3 2 2" xfId="27907"/>
    <cellStyle name="Normal 12 3 3 3 2 3 3" xfId="16387"/>
    <cellStyle name="Normal 12 3 3 3 2 3 3 2" xfId="33667"/>
    <cellStyle name="Normal 12 3 3 3 2 3 4" xfId="22147"/>
    <cellStyle name="Normal 12 3 3 3 2 4" xfId="7747"/>
    <cellStyle name="Normal 12 3 3 3 2 4 2" xfId="25027"/>
    <cellStyle name="Normal 12 3 3 3 2 5" xfId="13507"/>
    <cellStyle name="Normal 12 3 3 3 2 5 2" xfId="30787"/>
    <cellStyle name="Normal 12 3 3 3 2 6" xfId="19267"/>
    <cellStyle name="Normal 12 3 3 3 3" xfId="2707"/>
    <cellStyle name="Normal 12 3 3 3 3 2" xfId="5587"/>
    <cellStyle name="Normal 12 3 3 3 3 2 2" xfId="11347"/>
    <cellStyle name="Normal 12 3 3 3 3 2 2 2" xfId="28627"/>
    <cellStyle name="Normal 12 3 3 3 3 2 3" xfId="17107"/>
    <cellStyle name="Normal 12 3 3 3 3 2 3 2" xfId="34387"/>
    <cellStyle name="Normal 12 3 3 3 3 2 4" xfId="22867"/>
    <cellStyle name="Normal 12 3 3 3 3 3" xfId="8467"/>
    <cellStyle name="Normal 12 3 3 3 3 3 2" xfId="25747"/>
    <cellStyle name="Normal 12 3 3 3 3 4" xfId="14227"/>
    <cellStyle name="Normal 12 3 3 3 3 4 2" xfId="31507"/>
    <cellStyle name="Normal 12 3 3 3 3 5" xfId="19987"/>
    <cellStyle name="Normal 12 3 3 3 4" xfId="4147"/>
    <cellStyle name="Normal 12 3 3 3 4 2" xfId="9907"/>
    <cellStyle name="Normal 12 3 3 3 4 2 2" xfId="27187"/>
    <cellStyle name="Normal 12 3 3 3 4 3" xfId="15667"/>
    <cellStyle name="Normal 12 3 3 3 4 3 2" xfId="32947"/>
    <cellStyle name="Normal 12 3 3 3 4 4" xfId="21427"/>
    <cellStyle name="Normal 12 3 3 3 5" xfId="7027"/>
    <cellStyle name="Normal 12 3 3 3 5 2" xfId="24307"/>
    <cellStyle name="Normal 12 3 3 3 6" xfId="12787"/>
    <cellStyle name="Normal 12 3 3 3 6 2" xfId="30067"/>
    <cellStyle name="Normal 12 3 3 3 7" xfId="18547"/>
    <cellStyle name="Normal 12 3 3 4" xfId="1507"/>
    <cellStyle name="Normal 12 3 3 4 2" xfId="2227"/>
    <cellStyle name="Normal 12 3 3 4 2 2" xfId="3667"/>
    <cellStyle name="Normal 12 3 3 4 2 2 2" xfId="6547"/>
    <cellStyle name="Normal 12 3 3 4 2 2 2 2" xfId="12307"/>
    <cellStyle name="Normal 12 3 3 4 2 2 2 2 2" xfId="29587"/>
    <cellStyle name="Normal 12 3 3 4 2 2 2 3" xfId="18067"/>
    <cellStyle name="Normal 12 3 3 4 2 2 2 3 2" xfId="35347"/>
    <cellStyle name="Normal 12 3 3 4 2 2 2 4" xfId="23827"/>
    <cellStyle name="Normal 12 3 3 4 2 2 3" xfId="9427"/>
    <cellStyle name="Normal 12 3 3 4 2 2 3 2" xfId="26707"/>
    <cellStyle name="Normal 12 3 3 4 2 2 4" xfId="15187"/>
    <cellStyle name="Normal 12 3 3 4 2 2 4 2" xfId="32467"/>
    <cellStyle name="Normal 12 3 3 4 2 2 5" xfId="20947"/>
    <cellStyle name="Normal 12 3 3 4 2 3" xfId="5107"/>
    <cellStyle name="Normal 12 3 3 4 2 3 2" xfId="10867"/>
    <cellStyle name="Normal 12 3 3 4 2 3 2 2" xfId="28147"/>
    <cellStyle name="Normal 12 3 3 4 2 3 3" xfId="16627"/>
    <cellStyle name="Normal 12 3 3 4 2 3 3 2" xfId="33907"/>
    <cellStyle name="Normal 12 3 3 4 2 3 4" xfId="22387"/>
    <cellStyle name="Normal 12 3 3 4 2 4" xfId="7987"/>
    <cellStyle name="Normal 12 3 3 4 2 4 2" xfId="25267"/>
    <cellStyle name="Normal 12 3 3 4 2 5" xfId="13747"/>
    <cellStyle name="Normal 12 3 3 4 2 5 2" xfId="31027"/>
    <cellStyle name="Normal 12 3 3 4 2 6" xfId="19507"/>
    <cellStyle name="Normal 12 3 3 4 3" xfId="2947"/>
    <cellStyle name="Normal 12 3 3 4 3 2" xfId="5827"/>
    <cellStyle name="Normal 12 3 3 4 3 2 2" xfId="11587"/>
    <cellStyle name="Normal 12 3 3 4 3 2 2 2" xfId="28867"/>
    <cellStyle name="Normal 12 3 3 4 3 2 3" xfId="17347"/>
    <cellStyle name="Normal 12 3 3 4 3 2 3 2" xfId="34627"/>
    <cellStyle name="Normal 12 3 3 4 3 2 4" xfId="23107"/>
    <cellStyle name="Normal 12 3 3 4 3 3" xfId="8707"/>
    <cellStyle name="Normal 12 3 3 4 3 3 2" xfId="25987"/>
    <cellStyle name="Normal 12 3 3 4 3 4" xfId="14467"/>
    <cellStyle name="Normal 12 3 3 4 3 4 2" xfId="31747"/>
    <cellStyle name="Normal 12 3 3 4 3 5" xfId="20227"/>
    <cellStyle name="Normal 12 3 3 4 4" xfId="4387"/>
    <cellStyle name="Normal 12 3 3 4 4 2" xfId="10147"/>
    <cellStyle name="Normal 12 3 3 4 4 2 2" xfId="27427"/>
    <cellStyle name="Normal 12 3 3 4 4 3" xfId="15907"/>
    <cellStyle name="Normal 12 3 3 4 4 3 2" xfId="33187"/>
    <cellStyle name="Normal 12 3 3 4 4 4" xfId="21667"/>
    <cellStyle name="Normal 12 3 3 4 5" xfId="7267"/>
    <cellStyle name="Normal 12 3 3 4 5 2" xfId="24547"/>
    <cellStyle name="Normal 12 3 3 4 6" xfId="13027"/>
    <cellStyle name="Normal 12 3 3 4 6 2" xfId="30307"/>
    <cellStyle name="Normal 12 3 3 4 7" xfId="18787"/>
    <cellStyle name="Normal 12 3 3 5" xfId="1747"/>
    <cellStyle name="Normal 12 3 3 5 2" xfId="3187"/>
    <cellStyle name="Normal 12 3 3 5 2 2" xfId="6067"/>
    <cellStyle name="Normal 12 3 3 5 2 2 2" xfId="11827"/>
    <cellStyle name="Normal 12 3 3 5 2 2 2 2" xfId="29107"/>
    <cellStyle name="Normal 12 3 3 5 2 2 3" xfId="17587"/>
    <cellStyle name="Normal 12 3 3 5 2 2 3 2" xfId="34867"/>
    <cellStyle name="Normal 12 3 3 5 2 2 4" xfId="23347"/>
    <cellStyle name="Normal 12 3 3 5 2 3" xfId="8947"/>
    <cellStyle name="Normal 12 3 3 5 2 3 2" xfId="26227"/>
    <cellStyle name="Normal 12 3 3 5 2 4" xfId="14707"/>
    <cellStyle name="Normal 12 3 3 5 2 4 2" xfId="31987"/>
    <cellStyle name="Normal 12 3 3 5 2 5" xfId="20467"/>
    <cellStyle name="Normal 12 3 3 5 3" xfId="4627"/>
    <cellStyle name="Normal 12 3 3 5 3 2" xfId="10387"/>
    <cellStyle name="Normal 12 3 3 5 3 2 2" xfId="27667"/>
    <cellStyle name="Normal 12 3 3 5 3 3" xfId="16147"/>
    <cellStyle name="Normal 12 3 3 5 3 3 2" xfId="33427"/>
    <cellStyle name="Normal 12 3 3 5 3 4" xfId="21907"/>
    <cellStyle name="Normal 12 3 3 5 4" xfId="7507"/>
    <cellStyle name="Normal 12 3 3 5 4 2" xfId="24787"/>
    <cellStyle name="Normal 12 3 3 5 5" xfId="13267"/>
    <cellStyle name="Normal 12 3 3 5 5 2" xfId="30547"/>
    <cellStyle name="Normal 12 3 3 5 6" xfId="19027"/>
    <cellStyle name="Normal 12 3 3 6" xfId="2467"/>
    <cellStyle name="Normal 12 3 3 6 2" xfId="5347"/>
    <cellStyle name="Normal 12 3 3 6 2 2" xfId="11107"/>
    <cellStyle name="Normal 12 3 3 6 2 2 2" xfId="28387"/>
    <cellStyle name="Normal 12 3 3 6 2 3" xfId="16867"/>
    <cellStyle name="Normal 12 3 3 6 2 3 2" xfId="34147"/>
    <cellStyle name="Normal 12 3 3 6 2 4" xfId="22627"/>
    <cellStyle name="Normal 12 3 3 6 3" xfId="8227"/>
    <cellStyle name="Normal 12 3 3 6 3 2" xfId="25507"/>
    <cellStyle name="Normal 12 3 3 6 4" xfId="13987"/>
    <cellStyle name="Normal 12 3 3 6 4 2" xfId="31267"/>
    <cellStyle name="Normal 12 3 3 6 5" xfId="19747"/>
    <cellStyle name="Normal 12 3 3 7" xfId="3907"/>
    <cellStyle name="Normal 12 3 3 7 2" xfId="9667"/>
    <cellStyle name="Normal 12 3 3 7 2 2" xfId="26947"/>
    <cellStyle name="Normal 12 3 3 7 3" xfId="15427"/>
    <cellStyle name="Normal 12 3 3 7 3 2" xfId="32707"/>
    <cellStyle name="Normal 12 3 3 7 4" xfId="21187"/>
    <cellStyle name="Normal 12 3 3 8" xfId="6787"/>
    <cellStyle name="Normal 12 3 3 8 2" xfId="24067"/>
    <cellStyle name="Normal 12 3 3 9" xfId="12547"/>
    <cellStyle name="Normal 12 3 3 9 2" xfId="29827"/>
    <cellStyle name="Normal 12 3 4" xfId="987"/>
    <cellStyle name="Normal 12 3 4 10" xfId="18267"/>
    <cellStyle name="Normal 12 3 4 2" xfId="1107"/>
    <cellStyle name="Normal 12 3 4 2 2" xfId="1347"/>
    <cellStyle name="Normal 12 3 4 2 2 2" xfId="2067"/>
    <cellStyle name="Normal 12 3 4 2 2 2 2" xfId="3507"/>
    <cellStyle name="Normal 12 3 4 2 2 2 2 2" xfId="6387"/>
    <cellStyle name="Normal 12 3 4 2 2 2 2 2 2" xfId="12147"/>
    <cellStyle name="Normal 12 3 4 2 2 2 2 2 2 2" xfId="29427"/>
    <cellStyle name="Normal 12 3 4 2 2 2 2 2 3" xfId="17907"/>
    <cellStyle name="Normal 12 3 4 2 2 2 2 2 3 2" xfId="35187"/>
    <cellStyle name="Normal 12 3 4 2 2 2 2 2 4" xfId="23667"/>
    <cellStyle name="Normal 12 3 4 2 2 2 2 3" xfId="9267"/>
    <cellStyle name="Normal 12 3 4 2 2 2 2 3 2" xfId="26547"/>
    <cellStyle name="Normal 12 3 4 2 2 2 2 4" xfId="15027"/>
    <cellStyle name="Normal 12 3 4 2 2 2 2 4 2" xfId="32307"/>
    <cellStyle name="Normal 12 3 4 2 2 2 2 5" xfId="20787"/>
    <cellStyle name="Normal 12 3 4 2 2 2 3" xfId="4947"/>
    <cellStyle name="Normal 12 3 4 2 2 2 3 2" xfId="10707"/>
    <cellStyle name="Normal 12 3 4 2 2 2 3 2 2" xfId="27987"/>
    <cellStyle name="Normal 12 3 4 2 2 2 3 3" xfId="16467"/>
    <cellStyle name="Normal 12 3 4 2 2 2 3 3 2" xfId="33747"/>
    <cellStyle name="Normal 12 3 4 2 2 2 3 4" xfId="22227"/>
    <cellStyle name="Normal 12 3 4 2 2 2 4" xfId="7827"/>
    <cellStyle name="Normal 12 3 4 2 2 2 4 2" xfId="25107"/>
    <cellStyle name="Normal 12 3 4 2 2 2 5" xfId="13587"/>
    <cellStyle name="Normal 12 3 4 2 2 2 5 2" xfId="30867"/>
    <cellStyle name="Normal 12 3 4 2 2 2 6" xfId="19347"/>
    <cellStyle name="Normal 12 3 4 2 2 3" xfId="2787"/>
    <cellStyle name="Normal 12 3 4 2 2 3 2" xfId="5667"/>
    <cellStyle name="Normal 12 3 4 2 2 3 2 2" xfId="11427"/>
    <cellStyle name="Normal 12 3 4 2 2 3 2 2 2" xfId="28707"/>
    <cellStyle name="Normal 12 3 4 2 2 3 2 3" xfId="17187"/>
    <cellStyle name="Normal 12 3 4 2 2 3 2 3 2" xfId="34467"/>
    <cellStyle name="Normal 12 3 4 2 2 3 2 4" xfId="22947"/>
    <cellStyle name="Normal 12 3 4 2 2 3 3" xfId="8547"/>
    <cellStyle name="Normal 12 3 4 2 2 3 3 2" xfId="25827"/>
    <cellStyle name="Normal 12 3 4 2 2 3 4" xfId="14307"/>
    <cellStyle name="Normal 12 3 4 2 2 3 4 2" xfId="31587"/>
    <cellStyle name="Normal 12 3 4 2 2 3 5" xfId="20067"/>
    <cellStyle name="Normal 12 3 4 2 2 4" xfId="4227"/>
    <cellStyle name="Normal 12 3 4 2 2 4 2" xfId="9987"/>
    <cellStyle name="Normal 12 3 4 2 2 4 2 2" xfId="27267"/>
    <cellStyle name="Normal 12 3 4 2 2 4 3" xfId="15747"/>
    <cellStyle name="Normal 12 3 4 2 2 4 3 2" xfId="33027"/>
    <cellStyle name="Normal 12 3 4 2 2 4 4" xfId="21507"/>
    <cellStyle name="Normal 12 3 4 2 2 5" xfId="7107"/>
    <cellStyle name="Normal 12 3 4 2 2 5 2" xfId="24387"/>
    <cellStyle name="Normal 12 3 4 2 2 6" xfId="12867"/>
    <cellStyle name="Normal 12 3 4 2 2 6 2" xfId="30147"/>
    <cellStyle name="Normal 12 3 4 2 2 7" xfId="18627"/>
    <cellStyle name="Normal 12 3 4 2 3" xfId="1587"/>
    <cellStyle name="Normal 12 3 4 2 3 2" xfId="2307"/>
    <cellStyle name="Normal 12 3 4 2 3 2 2" xfId="3747"/>
    <cellStyle name="Normal 12 3 4 2 3 2 2 2" xfId="6627"/>
    <cellStyle name="Normal 12 3 4 2 3 2 2 2 2" xfId="12387"/>
    <cellStyle name="Normal 12 3 4 2 3 2 2 2 2 2" xfId="29667"/>
    <cellStyle name="Normal 12 3 4 2 3 2 2 2 3" xfId="18147"/>
    <cellStyle name="Normal 12 3 4 2 3 2 2 2 3 2" xfId="35427"/>
    <cellStyle name="Normal 12 3 4 2 3 2 2 2 4" xfId="23907"/>
    <cellStyle name="Normal 12 3 4 2 3 2 2 3" xfId="9507"/>
    <cellStyle name="Normal 12 3 4 2 3 2 2 3 2" xfId="26787"/>
    <cellStyle name="Normal 12 3 4 2 3 2 2 4" xfId="15267"/>
    <cellStyle name="Normal 12 3 4 2 3 2 2 4 2" xfId="32547"/>
    <cellStyle name="Normal 12 3 4 2 3 2 2 5" xfId="21027"/>
    <cellStyle name="Normal 12 3 4 2 3 2 3" xfId="5187"/>
    <cellStyle name="Normal 12 3 4 2 3 2 3 2" xfId="10947"/>
    <cellStyle name="Normal 12 3 4 2 3 2 3 2 2" xfId="28227"/>
    <cellStyle name="Normal 12 3 4 2 3 2 3 3" xfId="16707"/>
    <cellStyle name="Normal 12 3 4 2 3 2 3 3 2" xfId="33987"/>
    <cellStyle name="Normal 12 3 4 2 3 2 3 4" xfId="22467"/>
    <cellStyle name="Normal 12 3 4 2 3 2 4" xfId="8067"/>
    <cellStyle name="Normal 12 3 4 2 3 2 4 2" xfId="25347"/>
    <cellStyle name="Normal 12 3 4 2 3 2 5" xfId="13827"/>
    <cellStyle name="Normal 12 3 4 2 3 2 5 2" xfId="31107"/>
    <cellStyle name="Normal 12 3 4 2 3 2 6" xfId="19587"/>
    <cellStyle name="Normal 12 3 4 2 3 3" xfId="3027"/>
    <cellStyle name="Normal 12 3 4 2 3 3 2" xfId="5907"/>
    <cellStyle name="Normal 12 3 4 2 3 3 2 2" xfId="11667"/>
    <cellStyle name="Normal 12 3 4 2 3 3 2 2 2" xfId="28947"/>
    <cellStyle name="Normal 12 3 4 2 3 3 2 3" xfId="17427"/>
    <cellStyle name="Normal 12 3 4 2 3 3 2 3 2" xfId="34707"/>
    <cellStyle name="Normal 12 3 4 2 3 3 2 4" xfId="23187"/>
    <cellStyle name="Normal 12 3 4 2 3 3 3" xfId="8787"/>
    <cellStyle name="Normal 12 3 4 2 3 3 3 2" xfId="26067"/>
    <cellStyle name="Normal 12 3 4 2 3 3 4" xfId="14547"/>
    <cellStyle name="Normal 12 3 4 2 3 3 4 2" xfId="31827"/>
    <cellStyle name="Normal 12 3 4 2 3 3 5" xfId="20307"/>
    <cellStyle name="Normal 12 3 4 2 3 4" xfId="4467"/>
    <cellStyle name="Normal 12 3 4 2 3 4 2" xfId="10227"/>
    <cellStyle name="Normal 12 3 4 2 3 4 2 2" xfId="27507"/>
    <cellStyle name="Normal 12 3 4 2 3 4 3" xfId="15987"/>
    <cellStyle name="Normal 12 3 4 2 3 4 3 2" xfId="33267"/>
    <cellStyle name="Normal 12 3 4 2 3 4 4" xfId="21747"/>
    <cellStyle name="Normal 12 3 4 2 3 5" xfId="7347"/>
    <cellStyle name="Normal 12 3 4 2 3 5 2" xfId="24627"/>
    <cellStyle name="Normal 12 3 4 2 3 6" xfId="13107"/>
    <cellStyle name="Normal 12 3 4 2 3 6 2" xfId="30387"/>
    <cellStyle name="Normal 12 3 4 2 3 7" xfId="18867"/>
    <cellStyle name="Normal 12 3 4 2 4" xfId="1827"/>
    <cellStyle name="Normal 12 3 4 2 4 2" xfId="3267"/>
    <cellStyle name="Normal 12 3 4 2 4 2 2" xfId="6147"/>
    <cellStyle name="Normal 12 3 4 2 4 2 2 2" xfId="11907"/>
    <cellStyle name="Normal 12 3 4 2 4 2 2 2 2" xfId="29187"/>
    <cellStyle name="Normal 12 3 4 2 4 2 2 3" xfId="17667"/>
    <cellStyle name="Normal 12 3 4 2 4 2 2 3 2" xfId="34947"/>
    <cellStyle name="Normal 12 3 4 2 4 2 2 4" xfId="23427"/>
    <cellStyle name="Normal 12 3 4 2 4 2 3" xfId="9027"/>
    <cellStyle name="Normal 12 3 4 2 4 2 3 2" xfId="26307"/>
    <cellStyle name="Normal 12 3 4 2 4 2 4" xfId="14787"/>
    <cellStyle name="Normal 12 3 4 2 4 2 4 2" xfId="32067"/>
    <cellStyle name="Normal 12 3 4 2 4 2 5" xfId="20547"/>
    <cellStyle name="Normal 12 3 4 2 4 3" xfId="4707"/>
    <cellStyle name="Normal 12 3 4 2 4 3 2" xfId="10467"/>
    <cellStyle name="Normal 12 3 4 2 4 3 2 2" xfId="27747"/>
    <cellStyle name="Normal 12 3 4 2 4 3 3" xfId="16227"/>
    <cellStyle name="Normal 12 3 4 2 4 3 3 2" xfId="33507"/>
    <cellStyle name="Normal 12 3 4 2 4 3 4" xfId="21987"/>
    <cellStyle name="Normal 12 3 4 2 4 4" xfId="7587"/>
    <cellStyle name="Normal 12 3 4 2 4 4 2" xfId="24867"/>
    <cellStyle name="Normal 12 3 4 2 4 5" xfId="13347"/>
    <cellStyle name="Normal 12 3 4 2 4 5 2" xfId="30627"/>
    <cellStyle name="Normal 12 3 4 2 4 6" xfId="19107"/>
    <cellStyle name="Normal 12 3 4 2 5" xfId="2547"/>
    <cellStyle name="Normal 12 3 4 2 5 2" xfId="5427"/>
    <cellStyle name="Normal 12 3 4 2 5 2 2" xfId="11187"/>
    <cellStyle name="Normal 12 3 4 2 5 2 2 2" xfId="28467"/>
    <cellStyle name="Normal 12 3 4 2 5 2 3" xfId="16947"/>
    <cellStyle name="Normal 12 3 4 2 5 2 3 2" xfId="34227"/>
    <cellStyle name="Normal 12 3 4 2 5 2 4" xfId="22707"/>
    <cellStyle name="Normal 12 3 4 2 5 3" xfId="8307"/>
    <cellStyle name="Normal 12 3 4 2 5 3 2" xfId="25587"/>
    <cellStyle name="Normal 12 3 4 2 5 4" xfId="14067"/>
    <cellStyle name="Normal 12 3 4 2 5 4 2" xfId="31347"/>
    <cellStyle name="Normal 12 3 4 2 5 5" xfId="19827"/>
    <cellStyle name="Normal 12 3 4 2 6" xfId="3987"/>
    <cellStyle name="Normal 12 3 4 2 6 2" xfId="9747"/>
    <cellStyle name="Normal 12 3 4 2 6 2 2" xfId="27027"/>
    <cellStyle name="Normal 12 3 4 2 6 3" xfId="15507"/>
    <cellStyle name="Normal 12 3 4 2 6 3 2" xfId="32787"/>
    <cellStyle name="Normal 12 3 4 2 6 4" xfId="21267"/>
    <cellStyle name="Normal 12 3 4 2 7" xfId="6867"/>
    <cellStyle name="Normal 12 3 4 2 7 2" xfId="24147"/>
    <cellStyle name="Normal 12 3 4 2 8" xfId="12627"/>
    <cellStyle name="Normal 12 3 4 2 8 2" xfId="29907"/>
    <cellStyle name="Normal 12 3 4 2 9" xfId="18387"/>
    <cellStyle name="Normal 12 3 4 3" xfId="1227"/>
    <cellStyle name="Normal 12 3 4 3 2" xfId="1947"/>
    <cellStyle name="Normal 12 3 4 3 2 2" xfId="3387"/>
    <cellStyle name="Normal 12 3 4 3 2 2 2" xfId="6267"/>
    <cellStyle name="Normal 12 3 4 3 2 2 2 2" xfId="12027"/>
    <cellStyle name="Normal 12 3 4 3 2 2 2 2 2" xfId="29307"/>
    <cellStyle name="Normal 12 3 4 3 2 2 2 3" xfId="17787"/>
    <cellStyle name="Normal 12 3 4 3 2 2 2 3 2" xfId="35067"/>
    <cellStyle name="Normal 12 3 4 3 2 2 2 4" xfId="23547"/>
    <cellStyle name="Normal 12 3 4 3 2 2 3" xfId="9147"/>
    <cellStyle name="Normal 12 3 4 3 2 2 3 2" xfId="26427"/>
    <cellStyle name="Normal 12 3 4 3 2 2 4" xfId="14907"/>
    <cellStyle name="Normal 12 3 4 3 2 2 4 2" xfId="32187"/>
    <cellStyle name="Normal 12 3 4 3 2 2 5" xfId="20667"/>
    <cellStyle name="Normal 12 3 4 3 2 3" xfId="4827"/>
    <cellStyle name="Normal 12 3 4 3 2 3 2" xfId="10587"/>
    <cellStyle name="Normal 12 3 4 3 2 3 2 2" xfId="27867"/>
    <cellStyle name="Normal 12 3 4 3 2 3 3" xfId="16347"/>
    <cellStyle name="Normal 12 3 4 3 2 3 3 2" xfId="33627"/>
    <cellStyle name="Normal 12 3 4 3 2 3 4" xfId="22107"/>
    <cellStyle name="Normal 12 3 4 3 2 4" xfId="7707"/>
    <cellStyle name="Normal 12 3 4 3 2 4 2" xfId="24987"/>
    <cellStyle name="Normal 12 3 4 3 2 5" xfId="13467"/>
    <cellStyle name="Normal 12 3 4 3 2 5 2" xfId="30747"/>
    <cellStyle name="Normal 12 3 4 3 2 6" xfId="19227"/>
    <cellStyle name="Normal 12 3 4 3 3" xfId="2667"/>
    <cellStyle name="Normal 12 3 4 3 3 2" xfId="5547"/>
    <cellStyle name="Normal 12 3 4 3 3 2 2" xfId="11307"/>
    <cellStyle name="Normal 12 3 4 3 3 2 2 2" xfId="28587"/>
    <cellStyle name="Normal 12 3 4 3 3 2 3" xfId="17067"/>
    <cellStyle name="Normal 12 3 4 3 3 2 3 2" xfId="34347"/>
    <cellStyle name="Normal 12 3 4 3 3 2 4" xfId="22827"/>
    <cellStyle name="Normal 12 3 4 3 3 3" xfId="8427"/>
    <cellStyle name="Normal 12 3 4 3 3 3 2" xfId="25707"/>
    <cellStyle name="Normal 12 3 4 3 3 4" xfId="14187"/>
    <cellStyle name="Normal 12 3 4 3 3 4 2" xfId="31467"/>
    <cellStyle name="Normal 12 3 4 3 3 5" xfId="19947"/>
    <cellStyle name="Normal 12 3 4 3 4" xfId="4107"/>
    <cellStyle name="Normal 12 3 4 3 4 2" xfId="9867"/>
    <cellStyle name="Normal 12 3 4 3 4 2 2" xfId="27147"/>
    <cellStyle name="Normal 12 3 4 3 4 3" xfId="15627"/>
    <cellStyle name="Normal 12 3 4 3 4 3 2" xfId="32907"/>
    <cellStyle name="Normal 12 3 4 3 4 4" xfId="21387"/>
    <cellStyle name="Normal 12 3 4 3 5" xfId="6987"/>
    <cellStyle name="Normal 12 3 4 3 5 2" xfId="24267"/>
    <cellStyle name="Normal 12 3 4 3 6" xfId="12747"/>
    <cellStyle name="Normal 12 3 4 3 6 2" xfId="30027"/>
    <cellStyle name="Normal 12 3 4 3 7" xfId="18507"/>
    <cellStyle name="Normal 12 3 4 4" xfId="1467"/>
    <cellStyle name="Normal 12 3 4 4 2" xfId="2187"/>
    <cellStyle name="Normal 12 3 4 4 2 2" xfId="3627"/>
    <cellStyle name="Normal 12 3 4 4 2 2 2" xfId="6507"/>
    <cellStyle name="Normal 12 3 4 4 2 2 2 2" xfId="12267"/>
    <cellStyle name="Normal 12 3 4 4 2 2 2 2 2" xfId="29547"/>
    <cellStyle name="Normal 12 3 4 4 2 2 2 3" xfId="18027"/>
    <cellStyle name="Normal 12 3 4 4 2 2 2 3 2" xfId="35307"/>
    <cellStyle name="Normal 12 3 4 4 2 2 2 4" xfId="23787"/>
    <cellStyle name="Normal 12 3 4 4 2 2 3" xfId="9387"/>
    <cellStyle name="Normal 12 3 4 4 2 2 3 2" xfId="26667"/>
    <cellStyle name="Normal 12 3 4 4 2 2 4" xfId="15147"/>
    <cellStyle name="Normal 12 3 4 4 2 2 4 2" xfId="32427"/>
    <cellStyle name="Normal 12 3 4 4 2 2 5" xfId="20907"/>
    <cellStyle name="Normal 12 3 4 4 2 3" xfId="5067"/>
    <cellStyle name="Normal 12 3 4 4 2 3 2" xfId="10827"/>
    <cellStyle name="Normal 12 3 4 4 2 3 2 2" xfId="28107"/>
    <cellStyle name="Normal 12 3 4 4 2 3 3" xfId="16587"/>
    <cellStyle name="Normal 12 3 4 4 2 3 3 2" xfId="33867"/>
    <cellStyle name="Normal 12 3 4 4 2 3 4" xfId="22347"/>
    <cellStyle name="Normal 12 3 4 4 2 4" xfId="7947"/>
    <cellStyle name="Normal 12 3 4 4 2 4 2" xfId="25227"/>
    <cellStyle name="Normal 12 3 4 4 2 5" xfId="13707"/>
    <cellStyle name="Normal 12 3 4 4 2 5 2" xfId="30987"/>
    <cellStyle name="Normal 12 3 4 4 2 6" xfId="19467"/>
    <cellStyle name="Normal 12 3 4 4 3" xfId="2907"/>
    <cellStyle name="Normal 12 3 4 4 3 2" xfId="5787"/>
    <cellStyle name="Normal 12 3 4 4 3 2 2" xfId="11547"/>
    <cellStyle name="Normal 12 3 4 4 3 2 2 2" xfId="28827"/>
    <cellStyle name="Normal 12 3 4 4 3 2 3" xfId="17307"/>
    <cellStyle name="Normal 12 3 4 4 3 2 3 2" xfId="34587"/>
    <cellStyle name="Normal 12 3 4 4 3 2 4" xfId="23067"/>
    <cellStyle name="Normal 12 3 4 4 3 3" xfId="8667"/>
    <cellStyle name="Normal 12 3 4 4 3 3 2" xfId="25947"/>
    <cellStyle name="Normal 12 3 4 4 3 4" xfId="14427"/>
    <cellStyle name="Normal 12 3 4 4 3 4 2" xfId="31707"/>
    <cellStyle name="Normal 12 3 4 4 3 5" xfId="20187"/>
    <cellStyle name="Normal 12 3 4 4 4" xfId="4347"/>
    <cellStyle name="Normal 12 3 4 4 4 2" xfId="10107"/>
    <cellStyle name="Normal 12 3 4 4 4 2 2" xfId="27387"/>
    <cellStyle name="Normal 12 3 4 4 4 3" xfId="15867"/>
    <cellStyle name="Normal 12 3 4 4 4 3 2" xfId="33147"/>
    <cellStyle name="Normal 12 3 4 4 4 4" xfId="21627"/>
    <cellStyle name="Normal 12 3 4 4 5" xfId="7227"/>
    <cellStyle name="Normal 12 3 4 4 5 2" xfId="24507"/>
    <cellStyle name="Normal 12 3 4 4 6" xfId="12987"/>
    <cellStyle name="Normal 12 3 4 4 6 2" xfId="30267"/>
    <cellStyle name="Normal 12 3 4 4 7" xfId="18747"/>
    <cellStyle name="Normal 12 3 4 5" xfId="1707"/>
    <cellStyle name="Normal 12 3 4 5 2" xfId="3147"/>
    <cellStyle name="Normal 12 3 4 5 2 2" xfId="6027"/>
    <cellStyle name="Normal 12 3 4 5 2 2 2" xfId="11787"/>
    <cellStyle name="Normal 12 3 4 5 2 2 2 2" xfId="29067"/>
    <cellStyle name="Normal 12 3 4 5 2 2 3" xfId="17547"/>
    <cellStyle name="Normal 12 3 4 5 2 2 3 2" xfId="34827"/>
    <cellStyle name="Normal 12 3 4 5 2 2 4" xfId="23307"/>
    <cellStyle name="Normal 12 3 4 5 2 3" xfId="8907"/>
    <cellStyle name="Normal 12 3 4 5 2 3 2" xfId="26187"/>
    <cellStyle name="Normal 12 3 4 5 2 4" xfId="14667"/>
    <cellStyle name="Normal 12 3 4 5 2 4 2" xfId="31947"/>
    <cellStyle name="Normal 12 3 4 5 2 5" xfId="20427"/>
    <cellStyle name="Normal 12 3 4 5 3" xfId="4587"/>
    <cellStyle name="Normal 12 3 4 5 3 2" xfId="10347"/>
    <cellStyle name="Normal 12 3 4 5 3 2 2" xfId="27627"/>
    <cellStyle name="Normal 12 3 4 5 3 3" xfId="16107"/>
    <cellStyle name="Normal 12 3 4 5 3 3 2" xfId="33387"/>
    <cellStyle name="Normal 12 3 4 5 3 4" xfId="21867"/>
    <cellStyle name="Normal 12 3 4 5 4" xfId="7467"/>
    <cellStyle name="Normal 12 3 4 5 4 2" xfId="24747"/>
    <cellStyle name="Normal 12 3 4 5 5" xfId="13227"/>
    <cellStyle name="Normal 12 3 4 5 5 2" xfId="30507"/>
    <cellStyle name="Normal 12 3 4 5 6" xfId="18987"/>
    <cellStyle name="Normal 12 3 4 6" xfId="2427"/>
    <cellStyle name="Normal 12 3 4 6 2" xfId="5307"/>
    <cellStyle name="Normal 12 3 4 6 2 2" xfId="11067"/>
    <cellStyle name="Normal 12 3 4 6 2 2 2" xfId="28347"/>
    <cellStyle name="Normal 12 3 4 6 2 3" xfId="16827"/>
    <cellStyle name="Normal 12 3 4 6 2 3 2" xfId="34107"/>
    <cellStyle name="Normal 12 3 4 6 2 4" xfId="22587"/>
    <cellStyle name="Normal 12 3 4 6 3" xfId="8187"/>
    <cellStyle name="Normal 12 3 4 6 3 2" xfId="25467"/>
    <cellStyle name="Normal 12 3 4 6 4" xfId="13947"/>
    <cellStyle name="Normal 12 3 4 6 4 2" xfId="31227"/>
    <cellStyle name="Normal 12 3 4 6 5" xfId="19707"/>
    <cellStyle name="Normal 12 3 4 7" xfId="3867"/>
    <cellStyle name="Normal 12 3 4 7 2" xfId="9627"/>
    <cellStyle name="Normal 12 3 4 7 2 2" xfId="26907"/>
    <cellStyle name="Normal 12 3 4 7 3" xfId="15387"/>
    <cellStyle name="Normal 12 3 4 7 3 2" xfId="32667"/>
    <cellStyle name="Normal 12 3 4 7 4" xfId="21147"/>
    <cellStyle name="Normal 12 3 4 8" xfId="6747"/>
    <cellStyle name="Normal 12 3 4 8 2" xfId="24027"/>
    <cellStyle name="Normal 12 3 4 9" xfId="12507"/>
    <cellStyle name="Normal 12 3 4 9 2" xfId="29787"/>
    <cellStyle name="Normal 12 3 5" xfId="1067"/>
    <cellStyle name="Normal 12 3 5 2" xfId="1307"/>
    <cellStyle name="Normal 12 3 5 2 2" xfId="2027"/>
    <cellStyle name="Normal 12 3 5 2 2 2" xfId="3467"/>
    <cellStyle name="Normal 12 3 5 2 2 2 2" xfId="6347"/>
    <cellStyle name="Normal 12 3 5 2 2 2 2 2" xfId="12107"/>
    <cellStyle name="Normal 12 3 5 2 2 2 2 2 2" xfId="29387"/>
    <cellStyle name="Normal 12 3 5 2 2 2 2 3" xfId="17867"/>
    <cellStyle name="Normal 12 3 5 2 2 2 2 3 2" xfId="35147"/>
    <cellStyle name="Normal 12 3 5 2 2 2 2 4" xfId="23627"/>
    <cellStyle name="Normal 12 3 5 2 2 2 3" xfId="9227"/>
    <cellStyle name="Normal 12 3 5 2 2 2 3 2" xfId="26507"/>
    <cellStyle name="Normal 12 3 5 2 2 2 4" xfId="14987"/>
    <cellStyle name="Normal 12 3 5 2 2 2 4 2" xfId="32267"/>
    <cellStyle name="Normal 12 3 5 2 2 2 5" xfId="20747"/>
    <cellStyle name="Normal 12 3 5 2 2 3" xfId="4907"/>
    <cellStyle name="Normal 12 3 5 2 2 3 2" xfId="10667"/>
    <cellStyle name="Normal 12 3 5 2 2 3 2 2" xfId="27947"/>
    <cellStyle name="Normal 12 3 5 2 2 3 3" xfId="16427"/>
    <cellStyle name="Normal 12 3 5 2 2 3 3 2" xfId="33707"/>
    <cellStyle name="Normal 12 3 5 2 2 3 4" xfId="22187"/>
    <cellStyle name="Normal 12 3 5 2 2 4" xfId="7787"/>
    <cellStyle name="Normal 12 3 5 2 2 4 2" xfId="25067"/>
    <cellStyle name="Normal 12 3 5 2 2 5" xfId="13547"/>
    <cellStyle name="Normal 12 3 5 2 2 5 2" xfId="30827"/>
    <cellStyle name="Normal 12 3 5 2 2 6" xfId="19307"/>
    <cellStyle name="Normal 12 3 5 2 3" xfId="2747"/>
    <cellStyle name="Normal 12 3 5 2 3 2" xfId="5627"/>
    <cellStyle name="Normal 12 3 5 2 3 2 2" xfId="11387"/>
    <cellStyle name="Normal 12 3 5 2 3 2 2 2" xfId="28667"/>
    <cellStyle name="Normal 12 3 5 2 3 2 3" xfId="17147"/>
    <cellStyle name="Normal 12 3 5 2 3 2 3 2" xfId="34427"/>
    <cellStyle name="Normal 12 3 5 2 3 2 4" xfId="22907"/>
    <cellStyle name="Normal 12 3 5 2 3 3" xfId="8507"/>
    <cellStyle name="Normal 12 3 5 2 3 3 2" xfId="25787"/>
    <cellStyle name="Normal 12 3 5 2 3 4" xfId="14267"/>
    <cellStyle name="Normal 12 3 5 2 3 4 2" xfId="31547"/>
    <cellStyle name="Normal 12 3 5 2 3 5" xfId="20027"/>
    <cellStyle name="Normal 12 3 5 2 4" xfId="4187"/>
    <cellStyle name="Normal 12 3 5 2 4 2" xfId="9947"/>
    <cellStyle name="Normal 12 3 5 2 4 2 2" xfId="27227"/>
    <cellStyle name="Normal 12 3 5 2 4 3" xfId="15707"/>
    <cellStyle name="Normal 12 3 5 2 4 3 2" xfId="32987"/>
    <cellStyle name="Normal 12 3 5 2 4 4" xfId="21467"/>
    <cellStyle name="Normal 12 3 5 2 5" xfId="7067"/>
    <cellStyle name="Normal 12 3 5 2 5 2" xfId="24347"/>
    <cellStyle name="Normal 12 3 5 2 6" xfId="12827"/>
    <cellStyle name="Normal 12 3 5 2 6 2" xfId="30107"/>
    <cellStyle name="Normal 12 3 5 2 7" xfId="18587"/>
    <cellStyle name="Normal 12 3 5 3" xfId="1547"/>
    <cellStyle name="Normal 12 3 5 3 2" xfId="2267"/>
    <cellStyle name="Normal 12 3 5 3 2 2" xfId="3707"/>
    <cellStyle name="Normal 12 3 5 3 2 2 2" xfId="6587"/>
    <cellStyle name="Normal 12 3 5 3 2 2 2 2" xfId="12347"/>
    <cellStyle name="Normal 12 3 5 3 2 2 2 2 2" xfId="29627"/>
    <cellStyle name="Normal 12 3 5 3 2 2 2 3" xfId="18107"/>
    <cellStyle name="Normal 12 3 5 3 2 2 2 3 2" xfId="35387"/>
    <cellStyle name="Normal 12 3 5 3 2 2 2 4" xfId="23867"/>
    <cellStyle name="Normal 12 3 5 3 2 2 3" xfId="9467"/>
    <cellStyle name="Normal 12 3 5 3 2 2 3 2" xfId="26747"/>
    <cellStyle name="Normal 12 3 5 3 2 2 4" xfId="15227"/>
    <cellStyle name="Normal 12 3 5 3 2 2 4 2" xfId="32507"/>
    <cellStyle name="Normal 12 3 5 3 2 2 5" xfId="20987"/>
    <cellStyle name="Normal 12 3 5 3 2 3" xfId="5147"/>
    <cellStyle name="Normal 12 3 5 3 2 3 2" xfId="10907"/>
    <cellStyle name="Normal 12 3 5 3 2 3 2 2" xfId="28187"/>
    <cellStyle name="Normal 12 3 5 3 2 3 3" xfId="16667"/>
    <cellStyle name="Normal 12 3 5 3 2 3 3 2" xfId="33947"/>
    <cellStyle name="Normal 12 3 5 3 2 3 4" xfId="22427"/>
    <cellStyle name="Normal 12 3 5 3 2 4" xfId="8027"/>
    <cellStyle name="Normal 12 3 5 3 2 4 2" xfId="25307"/>
    <cellStyle name="Normal 12 3 5 3 2 5" xfId="13787"/>
    <cellStyle name="Normal 12 3 5 3 2 5 2" xfId="31067"/>
    <cellStyle name="Normal 12 3 5 3 2 6" xfId="19547"/>
    <cellStyle name="Normal 12 3 5 3 3" xfId="2987"/>
    <cellStyle name="Normal 12 3 5 3 3 2" xfId="5867"/>
    <cellStyle name="Normal 12 3 5 3 3 2 2" xfId="11627"/>
    <cellStyle name="Normal 12 3 5 3 3 2 2 2" xfId="28907"/>
    <cellStyle name="Normal 12 3 5 3 3 2 3" xfId="17387"/>
    <cellStyle name="Normal 12 3 5 3 3 2 3 2" xfId="34667"/>
    <cellStyle name="Normal 12 3 5 3 3 2 4" xfId="23147"/>
    <cellStyle name="Normal 12 3 5 3 3 3" xfId="8747"/>
    <cellStyle name="Normal 12 3 5 3 3 3 2" xfId="26027"/>
    <cellStyle name="Normal 12 3 5 3 3 4" xfId="14507"/>
    <cellStyle name="Normal 12 3 5 3 3 4 2" xfId="31787"/>
    <cellStyle name="Normal 12 3 5 3 3 5" xfId="20267"/>
    <cellStyle name="Normal 12 3 5 3 4" xfId="4427"/>
    <cellStyle name="Normal 12 3 5 3 4 2" xfId="10187"/>
    <cellStyle name="Normal 12 3 5 3 4 2 2" xfId="27467"/>
    <cellStyle name="Normal 12 3 5 3 4 3" xfId="15947"/>
    <cellStyle name="Normal 12 3 5 3 4 3 2" xfId="33227"/>
    <cellStyle name="Normal 12 3 5 3 4 4" xfId="21707"/>
    <cellStyle name="Normal 12 3 5 3 5" xfId="7307"/>
    <cellStyle name="Normal 12 3 5 3 5 2" xfId="24587"/>
    <cellStyle name="Normal 12 3 5 3 6" xfId="13067"/>
    <cellStyle name="Normal 12 3 5 3 6 2" xfId="30347"/>
    <cellStyle name="Normal 12 3 5 3 7" xfId="18827"/>
    <cellStyle name="Normal 12 3 5 4" xfId="1787"/>
    <cellStyle name="Normal 12 3 5 4 2" xfId="3227"/>
    <cellStyle name="Normal 12 3 5 4 2 2" xfId="6107"/>
    <cellStyle name="Normal 12 3 5 4 2 2 2" xfId="11867"/>
    <cellStyle name="Normal 12 3 5 4 2 2 2 2" xfId="29147"/>
    <cellStyle name="Normal 12 3 5 4 2 2 3" xfId="17627"/>
    <cellStyle name="Normal 12 3 5 4 2 2 3 2" xfId="34907"/>
    <cellStyle name="Normal 12 3 5 4 2 2 4" xfId="23387"/>
    <cellStyle name="Normal 12 3 5 4 2 3" xfId="8987"/>
    <cellStyle name="Normal 12 3 5 4 2 3 2" xfId="26267"/>
    <cellStyle name="Normal 12 3 5 4 2 4" xfId="14747"/>
    <cellStyle name="Normal 12 3 5 4 2 4 2" xfId="32027"/>
    <cellStyle name="Normal 12 3 5 4 2 5" xfId="20507"/>
    <cellStyle name="Normal 12 3 5 4 3" xfId="4667"/>
    <cellStyle name="Normal 12 3 5 4 3 2" xfId="10427"/>
    <cellStyle name="Normal 12 3 5 4 3 2 2" xfId="27707"/>
    <cellStyle name="Normal 12 3 5 4 3 3" xfId="16187"/>
    <cellStyle name="Normal 12 3 5 4 3 3 2" xfId="33467"/>
    <cellStyle name="Normal 12 3 5 4 3 4" xfId="21947"/>
    <cellStyle name="Normal 12 3 5 4 4" xfId="7547"/>
    <cellStyle name="Normal 12 3 5 4 4 2" xfId="24827"/>
    <cellStyle name="Normal 12 3 5 4 5" xfId="13307"/>
    <cellStyle name="Normal 12 3 5 4 5 2" xfId="30587"/>
    <cellStyle name="Normal 12 3 5 4 6" xfId="19067"/>
    <cellStyle name="Normal 12 3 5 5" xfId="2507"/>
    <cellStyle name="Normal 12 3 5 5 2" xfId="5387"/>
    <cellStyle name="Normal 12 3 5 5 2 2" xfId="11147"/>
    <cellStyle name="Normal 12 3 5 5 2 2 2" xfId="28427"/>
    <cellStyle name="Normal 12 3 5 5 2 3" xfId="16907"/>
    <cellStyle name="Normal 12 3 5 5 2 3 2" xfId="34187"/>
    <cellStyle name="Normal 12 3 5 5 2 4" xfId="22667"/>
    <cellStyle name="Normal 12 3 5 5 3" xfId="8267"/>
    <cellStyle name="Normal 12 3 5 5 3 2" xfId="25547"/>
    <cellStyle name="Normal 12 3 5 5 4" xfId="14027"/>
    <cellStyle name="Normal 12 3 5 5 4 2" xfId="31307"/>
    <cellStyle name="Normal 12 3 5 5 5" xfId="19787"/>
    <cellStyle name="Normal 12 3 5 6" xfId="3947"/>
    <cellStyle name="Normal 12 3 5 6 2" xfId="9707"/>
    <cellStyle name="Normal 12 3 5 6 2 2" xfId="26987"/>
    <cellStyle name="Normal 12 3 5 6 3" xfId="15467"/>
    <cellStyle name="Normal 12 3 5 6 3 2" xfId="32747"/>
    <cellStyle name="Normal 12 3 5 6 4" xfId="21227"/>
    <cellStyle name="Normal 12 3 5 7" xfId="6827"/>
    <cellStyle name="Normal 12 3 5 7 2" xfId="24107"/>
    <cellStyle name="Normal 12 3 5 8" xfId="12587"/>
    <cellStyle name="Normal 12 3 5 8 2" xfId="29867"/>
    <cellStyle name="Normal 12 3 5 9" xfId="18347"/>
    <cellStyle name="Normal 12 3 6" xfId="1187"/>
    <cellStyle name="Normal 12 3 6 2" xfId="1907"/>
    <cellStyle name="Normal 12 3 6 2 2" xfId="3347"/>
    <cellStyle name="Normal 12 3 6 2 2 2" xfId="6227"/>
    <cellStyle name="Normal 12 3 6 2 2 2 2" xfId="11987"/>
    <cellStyle name="Normal 12 3 6 2 2 2 2 2" xfId="29267"/>
    <cellStyle name="Normal 12 3 6 2 2 2 3" xfId="17747"/>
    <cellStyle name="Normal 12 3 6 2 2 2 3 2" xfId="35027"/>
    <cellStyle name="Normal 12 3 6 2 2 2 4" xfId="23507"/>
    <cellStyle name="Normal 12 3 6 2 2 3" xfId="9107"/>
    <cellStyle name="Normal 12 3 6 2 2 3 2" xfId="26387"/>
    <cellStyle name="Normal 12 3 6 2 2 4" xfId="14867"/>
    <cellStyle name="Normal 12 3 6 2 2 4 2" xfId="32147"/>
    <cellStyle name="Normal 12 3 6 2 2 5" xfId="20627"/>
    <cellStyle name="Normal 12 3 6 2 3" xfId="4787"/>
    <cellStyle name="Normal 12 3 6 2 3 2" xfId="10547"/>
    <cellStyle name="Normal 12 3 6 2 3 2 2" xfId="27827"/>
    <cellStyle name="Normal 12 3 6 2 3 3" xfId="16307"/>
    <cellStyle name="Normal 12 3 6 2 3 3 2" xfId="33587"/>
    <cellStyle name="Normal 12 3 6 2 3 4" xfId="22067"/>
    <cellStyle name="Normal 12 3 6 2 4" xfId="7667"/>
    <cellStyle name="Normal 12 3 6 2 4 2" xfId="24947"/>
    <cellStyle name="Normal 12 3 6 2 5" xfId="13427"/>
    <cellStyle name="Normal 12 3 6 2 5 2" xfId="30707"/>
    <cellStyle name="Normal 12 3 6 2 6" xfId="19187"/>
    <cellStyle name="Normal 12 3 6 3" xfId="2627"/>
    <cellStyle name="Normal 12 3 6 3 2" xfId="5507"/>
    <cellStyle name="Normal 12 3 6 3 2 2" xfId="11267"/>
    <cellStyle name="Normal 12 3 6 3 2 2 2" xfId="28547"/>
    <cellStyle name="Normal 12 3 6 3 2 3" xfId="17027"/>
    <cellStyle name="Normal 12 3 6 3 2 3 2" xfId="34307"/>
    <cellStyle name="Normal 12 3 6 3 2 4" xfId="22787"/>
    <cellStyle name="Normal 12 3 6 3 3" xfId="8387"/>
    <cellStyle name="Normal 12 3 6 3 3 2" xfId="25667"/>
    <cellStyle name="Normal 12 3 6 3 4" xfId="14147"/>
    <cellStyle name="Normal 12 3 6 3 4 2" xfId="31427"/>
    <cellStyle name="Normal 12 3 6 3 5" xfId="19907"/>
    <cellStyle name="Normal 12 3 6 4" xfId="4067"/>
    <cellStyle name="Normal 12 3 6 4 2" xfId="9827"/>
    <cellStyle name="Normal 12 3 6 4 2 2" xfId="27107"/>
    <cellStyle name="Normal 12 3 6 4 3" xfId="15587"/>
    <cellStyle name="Normal 12 3 6 4 3 2" xfId="32867"/>
    <cellStyle name="Normal 12 3 6 4 4" xfId="21347"/>
    <cellStyle name="Normal 12 3 6 5" xfId="6947"/>
    <cellStyle name="Normal 12 3 6 5 2" xfId="24227"/>
    <cellStyle name="Normal 12 3 6 6" xfId="12707"/>
    <cellStyle name="Normal 12 3 6 6 2" xfId="29987"/>
    <cellStyle name="Normal 12 3 6 7" xfId="18467"/>
    <cellStyle name="Normal 12 3 7" xfId="1427"/>
    <cellStyle name="Normal 12 3 7 2" xfId="2147"/>
    <cellStyle name="Normal 12 3 7 2 2" xfId="3587"/>
    <cellStyle name="Normal 12 3 7 2 2 2" xfId="6467"/>
    <cellStyle name="Normal 12 3 7 2 2 2 2" xfId="12227"/>
    <cellStyle name="Normal 12 3 7 2 2 2 2 2" xfId="29507"/>
    <cellStyle name="Normal 12 3 7 2 2 2 3" xfId="17987"/>
    <cellStyle name="Normal 12 3 7 2 2 2 3 2" xfId="35267"/>
    <cellStyle name="Normal 12 3 7 2 2 2 4" xfId="23747"/>
    <cellStyle name="Normal 12 3 7 2 2 3" xfId="9347"/>
    <cellStyle name="Normal 12 3 7 2 2 3 2" xfId="26627"/>
    <cellStyle name="Normal 12 3 7 2 2 4" xfId="15107"/>
    <cellStyle name="Normal 12 3 7 2 2 4 2" xfId="32387"/>
    <cellStyle name="Normal 12 3 7 2 2 5" xfId="20867"/>
    <cellStyle name="Normal 12 3 7 2 3" xfId="5027"/>
    <cellStyle name="Normal 12 3 7 2 3 2" xfId="10787"/>
    <cellStyle name="Normal 12 3 7 2 3 2 2" xfId="28067"/>
    <cellStyle name="Normal 12 3 7 2 3 3" xfId="16547"/>
    <cellStyle name="Normal 12 3 7 2 3 3 2" xfId="33827"/>
    <cellStyle name="Normal 12 3 7 2 3 4" xfId="22307"/>
    <cellStyle name="Normal 12 3 7 2 4" xfId="7907"/>
    <cellStyle name="Normal 12 3 7 2 4 2" xfId="25187"/>
    <cellStyle name="Normal 12 3 7 2 5" xfId="13667"/>
    <cellStyle name="Normal 12 3 7 2 5 2" xfId="30947"/>
    <cellStyle name="Normal 12 3 7 2 6" xfId="19427"/>
    <cellStyle name="Normal 12 3 7 3" xfId="2867"/>
    <cellStyle name="Normal 12 3 7 3 2" xfId="5747"/>
    <cellStyle name="Normal 12 3 7 3 2 2" xfId="11507"/>
    <cellStyle name="Normal 12 3 7 3 2 2 2" xfId="28787"/>
    <cellStyle name="Normal 12 3 7 3 2 3" xfId="17267"/>
    <cellStyle name="Normal 12 3 7 3 2 3 2" xfId="34547"/>
    <cellStyle name="Normal 12 3 7 3 2 4" xfId="23027"/>
    <cellStyle name="Normal 12 3 7 3 3" xfId="8627"/>
    <cellStyle name="Normal 12 3 7 3 3 2" xfId="25907"/>
    <cellStyle name="Normal 12 3 7 3 4" xfId="14387"/>
    <cellStyle name="Normal 12 3 7 3 4 2" xfId="31667"/>
    <cellStyle name="Normal 12 3 7 3 5" xfId="20147"/>
    <cellStyle name="Normal 12 3 7 4" xfId="4307"/>
    <cellStyle name="Normal 12 3 7 4 2" xfId="10067"/>
    <cellStyle name="Normal 12 3 7 4 2 2" xfId="27347"/>
    <cellStyle name="Normal 12 3 7 4 3" xfId="15827"/>
    <cellStyle name="Normal 12 3 7 4 3 2" xfId="33107"/>
    <cellStyle name="Normal 12 3 7 4 4" xfId="21587"/>
    <cellStyle name="Normal 12 3 7 5" xfId="7187"/>
    <cellStyle name="Normal 12 3 7 5 2" xfId="24467"/>
    <cellStyle name="Normal 12 3 7 6" xfId="12947"/>
    <cellStyle name="Normal 12 3 7 6 2" xfId="30227"/>
    <cellStyle name="Normal 12 3 7 7" xfId="18707"/>
    <cellStyle name="Normal 12 3 8" xfId="1667"/>
    <cellStyle name="Normal 12 3 8 2" xfId="3107"/>
    <cellStyle name="Normal 12 3 8 2 2" xfId="5987"/>
    <cellStyle name="Normal 12 3 8 2 2 2" xfId="11747"/>
    <cellStyle name="Normal 12 3 8 2 2 2 2" xfId="29027"/>
    <cellStyle name="Normal 12 3 8 2 2 3" xfId="17507"/>
    <cellStyle name="Normal 12 3 8 2 2 3 2" xfId="34787"/>
    <cellStyle name="Normal 12 3 8 2 2 4" xfId="23267"/>
    <cellStyle name="Normal 12 3 8 2 3" xfId="8867"/>
    <cellStyle name="Normal 12 3 8 2 3 2" xfId="26147"/>
    <cellStyle name="Normal 12 3 8 2 4" xfId="14627"/>
    <cellStyle name="Normal 12 3 8 2 4 2" xfId="31907"/>
    <cellStyle name="Normal 12 3 8 2 5" xfId="20387"/>
    <cellStyle name="Normal 12 3 8 3" xfId="4547"/>
    <cellStyle name="Normal 12 3 8 3 2" xfId="10307"/>
    <cellStyle name="Normal 12 3 8 3 2 2" xfId="27587"/>
    <cellStyle name="Normal 12 3 8 3 3" xfId="16067"/>
    <cellStyle name="Normal 12 3 8 3 3 2" xfId="33347"/>
    <cellStyle name="Normal 12 3 8 3 4" xfId="21827"/>
    <cellStyle name="Normal 12 3 8 4" xfId="7427"/>
    <cellStyle name="Normal 12 3 8 4 2" xfId="24707"/>
    <cellStyle name="Normal 12 3 8 5" xfId="13187"/>
    <cellStyle name="Normal 12 3 8 5 2" xfId="30467"/>
    <cellStyle name="Normal 12 3 8 6" xfId="18947"/>
    <cellStyle name="Normal 12 3 9" xfId="2387"/>
    <cellStyle name="Normal 12 3 9 2" xfId="5267"/>
    <cellStyle name="Normal 12 3 9 2 2" xfId="11027"/>
    <cellStyle name="Normal 12 3 9 2 2 2" xfId="28307"/>
    <cellStyle name="Normal 12 3 9 2 3" xfId="16787"/>
    <cellStyle name="Normal 12 3 9 2 3 2" xfId="34067"/>
    <cellStyle name="Normal 12 3 9 2 4" xfId="22547"/>
    <cellStyle name="Normal 12 3 9 3" xfId="8147"/>
    <cellStyle name="Normal 12 3 9 3 2" xfId="25427"/>
    <cellStyle name="Normal 12 3 9 4" xfId="13907"/>
    <cellStyle name="Normal 12 3 9 4 2" xfId="31187"/>
    <cellStyle name="Normal 12 3 9 5" xfId="19667"/>
    <cellStyle name="Normal 12 4" xfId="406"/>
    <cellStyle name="Normal 12 4 10" xfId="6717"/>
    <cellStyle name="Normal 12 4 10 2" xfId="23997"/>
    <cellStyle name="Normal 12 4 11" xfId="12477"/>
    <cellStyle name="Normal 12 4 11 2" xfId="29757"/>
    <cellStyle name="Normal 12 4 12" xfId="18237"/>
    <cellStyle name="Normal 12 4 2" xfId="1037"/>
    <cellStyle name="Normal 12 4 2 10" xfId="18317"/>
    <cellStyle name="Normal 12 4 2 2" xfId="1157"/>
    <cellStyle name="Normal 12 4 2 2 2" xfId="1397"/>
    <cellStyle name="Normal 12 4 2 2 2 2" xfId="2117"/>
    <cellStyle name="Normal 12 4 2 2 2 2 2" xfId="3557"/>
    <cellStyle name="Normal 12 4 2 2 2 2 2 2" xfId="6437"/>
    <cellStyle name="Normal 12 4 2 2 2 2 2 2 2" xfId="12197"/>
    <cellStyle name="Normal 12 4 2 2 2 2 2 2 2 2" xfId="29477"/>
    <cellStyle name="Normal 12 4 2 2 2 2 2 2 3" xfId="17957"/>
    <cellStyle name="Normal 12 4 2 2 2 2 2 2 3 2" xfId="35237"/>
    <cellStyle name="Normal 12 4 2 2 2 2 2 2 4" xfId="23717"/>
    <cellStyle name="Normal 12 4 2 2 2 2 2 3" xfId="9317"/>
    <cellStyle name="Normal 12 4 2 2 2 2 2 3 2" xfId="26597"/>
    <cellStyle name="Normal 12 4 2 2 2 2 2 4" xfId="15077"/>
    <cellStyle name="Normal 12 4 2 2 2 2 2 4 2" xfId="32357"/>
    <cellStyle name="Normal 12 4 2 2 2 2 2 5" xfId="20837"/>
    <cellStyle name="Normal 12 4 2 2 2 2 3" xfId="4997"/>
    <cellStyle name="Normal 12 4 2 2 2 2 3 2" xfId="10757"/>
    <cellStyle name="Normal 12 4 2 2 2 2 3 2 2" xfId="28037"/>
    <cellStyle name="Normal 12 4 2 2 2 2 3 3" xfId="16517"/>
    <cellStyle name="Normal 12 4 2 2 2 2 3 3 2" xfId="33797"/>
    <cellStyle name="Normal 12 4 2 2 2 2 3 4" xfId="22277"/>
    <cellStyle name="Normal 12 4 2 2 2 2 4" xfId="7877"/>
    <cellStyle name="Normal 12 4 2 2 2 2 4 2" xfId="25157"/>
    <cellStyle name="Normal 12 4 2 2 2 2 5" xfId="13637"/>
    <cellStyle name="Normal 12 4 2 2 2 2 5 2" xfId="30917"/>
    <cellStyle name="Normal 12 4 2 2 2 2 6" xfId="19397"/>
    <cellStyle name="Normal 12 4 2 2 2 3" xfId="2837"/>
    <cellStyle name="Normal 12 4 2 2 2 3 2" xfId="5717"/>
    <cellStyle name="Normal 12 4 2 2 2 3 2 2" xfId="11477"/>
    <cellStyle name="Normal 12 4 2 2 2 3 2 2 2" xfId="28757"/>
    <cellStyle name="Normal 12 4 2 2 2 3 2 3" xfId="17237"/>
    <cellStyle name="Normal 12 4 2 2 2 3 2 3 2" xfId="34517"/>
    <cellStyle name="Normal 12 4 2 2 2 3 2 4" xfId="22997"/>
    <cellStyle name="Normal 12 4 2 2 2 3 3" xfId="8597"/>
    <cellStyle name="Normal 12 4 2 2 2 3 3 2" xfId="25877"/>
    <cellStyle name="Normal 12 4 2 2 2 3 4" xfId="14357"/>
    <cellStyle name="Normal 12 4 2 2 2 3 4 2" xfId="31637"/>
    <cellStyle name="Normal 12 4 2 2 2 3 5" xfId="20117"/>
    <cellStyle name="Normal 12 4 2 2 2 4" xfId="4277"/>
    <cellStyle name="Normal 12 4 2 2 2 4 2" xfId="10037"/>
    <cellStyle name="Normal 12 4 2 2 2 4 2 2" xfId="27317"/>
    <cellStyle name="Normal 12 4 2 2 2 4 3" xfId="15797"/>
    <cellStyle name="Normal 12 4 2 2 2 4 3 2" xfId="33077"/>
    <cellStyle name="Normal 12 4 2 2 2 4 4" xfId="21557"/>
    <cellStyle name="Normal 12 4 2 2 2 5" xfId="7157"/>
    <cellStyle name="Normal 12 4 2 2 2 5 2" xfId="24437"/>
    <cellStyle name="Normal 12 4 2 2 2 6" xfId="12917"/>
    <cellStyle name="Normal 12 4 2 2 2 6 2" xfId="30197"/>
    <cellStyle name="Normal 12 4 2 2 2 7" xfId="18677"/>
    <cellStyle name="Normal 12 4 2 2 3" xfId="1637"/>
    <cellStyle name="Normal 12 4 2 2 3 2" xfId="2357"/>
    <cellStyle name="Normal 12 4 2 2 3 2 2" xfId="3797"/>
    <cellStyle name="Normal 12 4 2 2 3 2 2 2" xfId="6677"/>
    <cellStyle name="Normal 12 4 2 2 3 2 2 2 2" xfId="12437"/>
    <cellStyle name="Normal 12 4 2 2 3 2 2 2 2 2" xfId="29717"/>
    <cellStyle name="Normal 12 4 2 2 3 2 2 2 3" xfId="18197"/>
    <cellStyle name="Normal 12 4 2 2 3 2 2 2 3 2" xfId="35477"/>
    <cellStyle name="Normal 12 4 2 2 3 2 2 2 4" xfId="23957"/>
    <cellStyle name="Normal 12 4 2 2 3 2 2 3" xfId="9557"/>
    <cellStyle name="Normal 12 4 2 2 3 2 2 3 2" xfId="26837"/>
    <cellStyle name="Normal 12 4 2 2 3 2 2 4" xfId="15317"/>
    <cellStyle name="Normal 12 4 2 2 3 2 2 4 2" xfId="32597"/>
    <cellStyle name="Normal 12 4 2 2 3 2 2 5" xfId="21077"/>
    <cellStyle name="Normal 12 4 2 2 3 2 3" xfId="5237"/>
    <cellStyle name="Normal 12 4 2 2 3 2 3 2" xfId="10997"/>
    <cellStyle name="Normal 12 4 2 2 3 2 3 2 2" xfId="28277"/>
    <cellStyle name="Normal 12 4 2 2 3 2 3 3" xfId="16757"/>
    <cellStyle name="Normal 12 4 2 2 3 2 3 3 2" xfId="34037"/>
    <cellStyle name="Normal 12 4 2 2 3 2 3 4" xfId="22517"/>
    <cellStyle name="Normal 12 4 2 2 3 2 4" xfId="8117"/>
    <cellStyle name="Normal 12 4 2 2 3 2 4 2" xfId="25397"/>
    <cellStyle name="Normal 12 4 2 2 3 2 5" xfId="13877"/>
    <cellStyle name="Normal 12 4 2 2 3 2 5 2" xfId="31157"/>
    <cellStyle name="Normal 12 4 2 2 3 2 6" xfId="19637"/>
    <cellStyle name="Normal 12 4 2 2 3 3" xfId="3077"/>
    <cellStyle name="Normal 12 4 2 2 3 3 2" xfId="5957"/>
    <cellStyle name="Normal 12 4 2 2 3 3 2 2" xfId="11717"/>
    <cellStyle name="Normal 12 4 2 2 3 3 2 2 2" xfId="28997"/>
    <cellStyle name="Normal 12 4 2 2 3 3 2 3" xfId="17477"/>
    <cellStyle name="Normal 12 4 2 2 3 3 2 3 2" xfId="34757"/>
    <cellStyle name="Normal 12 4 2 2 3 3 2 4" xfId="23237"/>
    <cellStyle name="Normal 12 4 2 2 3 3 3" xfId="8837"/>
    <cellStyle name="Normal 12 4 2 2 3 3 3 2" xfId="26117"/>
    <cellStyle name="Normal 12 4 2 2 3 3 4" xfId="14597"/>
    <cellStyle name="Normal 12 4 2 2 3 3 4 2" xfId="31877"/>
    <cellStyle name="Normal 12 4 2 2 3 3 5" xfId="20357"/>
    <cellStyle name="Normal 12 4 2 2 3 4" xfId="4517"/>
    <cellStyle name="Normal 12 4 2 2 3 4 2" xfId="10277"/>
    <cellStyle name="Normal 12 4 2 2 3 4 2 2" xfId="27557"/>
    <cellStyle name="Normal 12 4 2 2 3 4 3" xfId="16037"/>
    <cellStyle name="Normal 12 4 2 2 3 4 3 2" xfId="33317"/>
    <cellStyle name="Normal 12 4 2 2 3 4 4" xfId="21797"/>
    <cellStyle name="Normal 12 4 2 2 3 5" xfId="7397"/>
    <cellStyle name="Normal 12 4 2 2 3 5 2" xfId="24677"/>
    <cellStyle name="Normal 12 4 2 2 3 6" xfId="13157"/>
    <cellStyle name="Normal 12 4 2 2 3 6 2" xfId="30437"/>
    <cellStyle name="Normal 12 4 2 2 3 7" xfId="18917"/>
    <cellStyle name="Normal 12 4 2 2 4" xfId="1877"/>
    <cellStyle name="Normal 12 4 2 2 4 2" xfId="3317"/>
    <cellStyle name="Normal 12 4 2 2 4 2 2" xfId="6197"/>
    <cellStyle name="Normal 12 4 2 2 4 2 2 2" xfId="11957"/>
    <cellStyle name="Normal 12 4 2 2 4 2 2 2 2" xfId="29237"/>
    <cellStyle name="Normal 12 4 2 2 4 2 2 3" xfId="17717"/>
    <cellStyle name="Normal 12 4 2 2 4 2 2 3 2" xfId="34997"/>
    <cellStyle name="Normal 12 4 2 2 4 2 2 4" xfId="23477"/>
    <cellStyle name="Normal 12 4 2 2 4 2 3" xfId="9077"/>
    <cellStyle name="Normal 12 4 2 2 4 2 3 2" xfId="26357"/>
    <cellStyle name="Normal 12 4 2 2 4 2 4" xfId="14837"/>
    <cellStyle name="Normal 12 4 2 2 4 2 4 2" xfId="32117"/>
    <cellStyle name="Normal 12 4 2 2 4 2 5" xfId="20597"/>
    <cellStyle name="Normal 12 4 2 2 4 3" xfId="4757"/>
    <cellStyle name="Normal 12 4 2 2 4 3 2" xfId="10517"/>
    <cellStyle name="Normal 12 4 2 2 4 3 2 2" xfId="27797"/>
    <cellStyle name="Normal 12 4 2 2 4 3 3" xfId="16277"/>
    <cellStyle name="Normal 12 4 2 2 4 3 3 2" xfId="33557"/>
    <cellStyle name="Normal 12 4 2 2 4 3 4" xfId="22037"/>
    <cellStyle name="Normal 12 4 2 2 4 4" xfId="7637"/>
    <cellStyle name="Normal 12 4 2 2 4 4 2" xfId="24917"/>
    <cellStyle name="Normal 12 4 2 2 4 5" xfId="13397"/>
    <cellStyle name="Normal 12 4 2 2 4 5 2" xfId="30677"/>
    <cellStyle name="Normal 12 4 2 2 4 6" xfId="19157"/>
    <cellStyle name="Normal 12 4 2 2 5" xfId="2597"/>
    <cellStyle name="Normal 12 4 2 2 5 2" xfId="5477"/>
    <cellStyle name="Normal 12 4 2 2 5 2 2" xfId="11237"/>
    <cellStyle name="Normal 12 4 2 2 5 2 2 2" xfId="28517"/>
    <cellStyle name="Normal 12 4 2 2 5 2 3" xfId="16997"/>
    <cellStyle name="Normal 12 4 2 2 5 2 3 2" xfId="34277"/>
    <cellStyle name="Normal 12 4 2 2 5 2 4" xfId="22757"/>
    <cellStyle name="Normal 12 4 2 2 5 3" xfId="8357"/>
    <cellStyle name="Normal 12 4 2 2 5 3 2" xfId="25637"/>
    <cellStyle name="Normal 12 4 2 2 5 4" xfId="14117"/>
    <cellStyle name="Normal 12 4 2 2 5 4 2" xfId="31397"/>
    <cellStyle name="Normal 12 4 2 2 5 5" xfId="19877"/>
    <cellStyle name="Normal 12 4 2 2 6" xfId="4037"/>
    <cellStyle name="Normal 12 4 2 2 6 2" xfId="9797"/>
    <cellStyle name="Normal 12 4 2 2 6 2 2" xfId="27077"/>
    <cellStyle name="Normal 12 4 2 2 6 3" xfId="15557"/>
    <cellStyle name="Normal 12 4 2 2 6 3 2" xfId="32837"/>
    <cellStyle name="Normal 12 4 2 2 6 4" xfId="21317"/>
    <cellStyle name="Normal 12 4 2 2 7" xfId="6917"/>
    <cellStyle name="Normal 12 4 2 2 7 2" xfId="24197"/>
    <cellStyle name="Normal 12 4 2 2 8" xfId="12677"/>
    <cellStyle name="Normal 12 4 2 2 8 2" xfId="29957"/>
    <cellStyle name="Normal 12 4 2 2 9" xfId="18437"/>
    <cellStyle name="Normal 12 4 2 3" xfId="1277"/>
    <cellStyle name="Normal 12 4 2 3 2" xfId="1997"/>
    <cellStyle name="Normal 12 4 2 3 2 2" xfId="3437"/>
    <cellStyle name="Normal 12 4 2 3 2 2 2" xfId="6317"/>
    <cellStyle name="Normal 12 4 2 3 2 2 2 2" xfId="12077"/>
    <cellStyle name="Normal 12 4 2 3 2 2 2 2 2" xfId="29357"/>
    <cellStyle name="Normal 12 4 2 3 2 2 2 3" xfId="17837"/>
    <cellStyle name="Normal 12 4 2 3 2 2 2 3 2" xfId="35117"/>
    <cellStyle name="Normal 12 4 2 3 2 2 2 4" xfId="23597"/>
    <cellStyle name="Normal 12 4 2 3 2 2 3" xfId="9197"/>
    <cellStyle name="Normal 12 4 2 3 2 2 3 2" xfId="26477"/>
    <cellStyle name="Normal 12 4 2 3 2 2 4" xfId="14957"/>
    <cellStyle name="Normal 12 4 2 3 2 2 4 2" xfId="32237"/>
    <cellStyle name="Normal 12 4 2 3 2 2 5" xfId="20717"/>
    <cellStyle name="Normal 12 4 2 3 2 3" xfId="4877"/>
    <cellStyle name="Normal 12 4 2 3 2 3 2" xfId="10637"/>
    <cellStyle name="Normal 12 4 2 3 2 3 2 2" xfId="27917"/>
    <cellStyle name="Normal 12 4 2 3 2 3 3" xfId="16397"/>
    <cellStyle name="Normal 12 4 2 3 2 3 3 2" xfId="33677"/>
    <cellStyle name="Normal 12 4 2 3 2 3 4" xfId="22157"/>
    <cellStyle name="Normal 12 4 2 3 2 4" xfId="7757"/>
    <cellStyle name="Normal 12 4 2 3 2 4 2" xfId="25037"/>
    <cellStyle name="Normal 12 4 2 3 2 5" xfId="13517"/>
    <cellStyle name="Normal 12 4 2 3 2 5 2" xfId="30797"/>
    <cellStyle name="Normal 12 4 2 3 2 6" xfId="19277"/>
    <cellStyle name="Normal 12 4 2 3 3" xfId="2717"/>
    <cellStyle name="Normal 12 4 2 3 3 2" xfId="5597"/>
    <cellStyle name="Normal 12 4 2 3 3 2 2" xfId="11357"/>
    <cellStyle name="Normal 12 4 2 3 3 2 2 2" xfId="28637"/>
    <cellStyle name="Normal 12 4 2 3 3 2 3" xfId="17117"/>
    <cellStyle name="Normal 12 4 2 3 3 2 3 2" xfId="34397"/>
    <cellStyle name="Normal 12 4 2 3 3 2 4" xfId="22877"/>
    <cellStyle name="Normal 12 4 2 3 3 3" xfId="8477"/>
    <cellStyle name="Normal 12 4 2 3 3 3 2" xfId="25757"/>
    <cellStyle name="Normal 12 4 2 3 3 4" xfId="14237"/>
    <cellStyle name="Normal 12 4 2 3 3 4 2" xfId="31517"/>
    <cellStyle name="Normal 12 4 2 3 3 5" xfId="19997"/>
    <cellStyle name="Normal 12 4 2 3 4" xfId="4157"/>
    <cellStyle name="Normal 12 4 2 3 4 2" xfId="9917"/>
    <cellStyle name="Normal 12 4 2 3 4 2 2" xfId="27197"/>
    <cellStyle name="Normal 12 4 2 3 4 3" xfId="15677"/>
    <cellStyle name="Normal 12 4 2 3 4 3 2" xfId="32957"/>
    <cellStyle name="Normal 12 4 2 3 4 4" xfId="21437"/>
    <cellStyle name="Normal 12 4 2 3 5" xfId="7037"/>
    <cellStyle name="Normal 12 4 2 3 5 2" xfId="24317"/>
    <cellStyle name="Normal 12 4 2 3 6" xfId="12797"/>
    <cellStyle name="Normal 12 4 2 3 6 2" xfId="30077"/>
    <cellStyle name="Normal 12 4 2 3 7" xfId="18557"/>
    <cellStyle name="Normal 12 4 2 4" xfId="1517"/>
    <cellStyle name="Normal 12 4 2 4 2" xfId="2237"/>
    <cellStyle name="Normal 12 4 2 4 2 2" xfId="3677"/>
    <cellStyle name="Normal 12 4 2 4 2 2 2" xfId="6557"/>
    <cellStyle name="Normal 12 4 2 4 2 2 2 2" xfId="12317"/>
    <cellStyle name="Normal 12 4 2 4 2 2 2 2 2" xfId="29597"/>
    <cellStyle name="Normal 12 4 2 4 2 2 2 3" xfId="18077"/>
    <cellStyle name="Normal 12 4 2 4 2 2 2 3 2" xfId="35357"/>
    <cellStyle name="Normal 12 4 2 4 2 2 2 4" xfId="23837"/>
    <cellStyle name="Normal 12 4 2 4 2 2 3" xfId="9437"/>
    <cellStyle name="Normal 12 4 2 4 2 2 3 2" xfId="26717"/>
    <cellStyle name="Normal 12 4 2 4 2 2 4" xfId="15197"/>
    <cellStyle name="Normal 12 4 2 4 2 2 4 2" xfId="32477"/>
    <cellStyle name="Normal 12 4 2 4 2 2 5" xfId="20957"/>
    <cellStyle name="Normal 12 4 2 4 2 3" xfId="5117"/>
    <cellStyle name="Normal 12 4 2 4 2 3 2" xfId="10877"/>
    <cellStyle name="Normal 12 4 2 4 2 3 2 2" xfId="28157"/>
    <cellStyle name="Normal 12 4 2 4 2 3 3" xfId="16637"/>
    <cellStyle name="Normal 12 4 2 4 2 3 3 2" xfId="33917"/>
    <cellStyle name="Normal 12 4 2 4 2 3 4" xfId="22397"/>
    <cellStyle name="Normal 12 4 2 4 2 4" xfId="7997"/>
    <cellStyle name="Normal 12 4 2 4 2 4 2" xfId="25277"/>
    <cellStyle name="Normal 12 4 2 4 2 5" xfId="13757"/>
    <cellStyle name="Normal 12 4 2 4 2 5 2" xfId="31037"/>
    <cellStyle name="Normal 12 4 2 4 2 6" xfId="19517"/>
    <cellStyle name="Normal 12 4 2 4 3" xfId="2957"/>
    <cellStyle name="Normal 12 4 2 4 3 2" xfId="5837"/>
    <cellStyle name="Normal 12 4 2 4 3 2 2" xfId="11597"/>
    <cellStyle name="Normal 12 4 2 4 3 2 2 2" xfId="28877"/>
    <cellStyle name="Normal 12 4 2 4 3 2 3" xfId="17357"/>
    <cellStyle name="Normal 12 4 2 4 3 2 3 2" xfId="34637"/>
    <cellStyle name="Normal 12 4 2 4 3 2 4" xfId="23117"/>
    <cellStyle name="Normal 12 4 2 4 3 3" xfId="8717"/>
    <cellStyle name="Normal 12 4 2 4 3 3 2" xfId="25997"/>
    <cellStyle name="Normal 12 4 2 4 3 4" xfId="14477"/>
    <cellStyle name="Normal 12 4 2 4 3 4 2" xfId="31757"/>
    <cellStyle name="Normal 12 4 2 4 3 5" xfId="20237"/>
    <cellStyle name="Normal 12 4 2 4 4" xfId="4397"/>
    <cellStyle name="Normal 12 4 2 4 4 2" xfId="10157"/>
    <cellStyle name="Normal 12 4 2 4 4 2 2" xfId="27437"/>
    <cellStyle name="Normal 12 4 2 4 4 3" xfId="15917"/>
    <cellStyle name="Normal 12 4 2 4 4 3 2" xfId="33197"/>
    <cellStyle name="Normal 12 4 2 4 4 4" xfId="21677"/>
    <cellStyle name="Normal 12 4 2 4 5" xfId="7277"/>
    <cellStyle name="Normal 12 4 2 4 5 2" xfId="24557"/>
    <cellStyle name="Normal 12 4 2 4 6" xfId="13037"/>
    <cellStyle name="Normal 12 4 2 4 6 2" xfId="30317"/>
    <cellStyle name="Normal 12 4 2 4 7" xfId="18797"/>
    <cellStyle name="Normal 12 4 2 5" xfId="1757"/>
    <cellStyle name="Normal 12 4 2 5 2" xfId="3197"/>
    <cellStyle name="Normal 12 4 2 5 2 2" xfId="6077"/>
    <cellStyle name="Normal 12 4 2 5 2 2 2" xfId="11837"/>
    <cellStyle name="Normal 12 4 2 5 2 2 2 2" xfId="29117"/>
    <cellStyle name="Normal 12 4 2 5 2 2 3" xfId="17597"/>
    <cellStyle name="Normal 12 4 2 5 2 2 3 2" xfId="34877"/>
    <cellStyle name="Normal 12 4 2 5 2 2 4" xfId="23357"/>
    <cellStyle name="Normal 12 4 2 5 2 3" xfId="8957"/>
    <cellStyle name="Normal 12 4 2 5 2 3 2" xfId="26237"/>
    <cellStyle name="Normal 12 4 2 5 2 4" xfId="14717"/>
    <cellStyle name="Normal 12 4 2 5 2 4 2" xfId="31997"/>
    <cellStyle name="Normal 12 4 2 5 2 5" xfId="20477"/>
    <cellStyle name="Normal 12 4 2 5 3" xfId="4637"/>
    <cellStyle name="Normal 12 4 2 5 3 2" xfId="10397"/>
    <cellStyle name="Normal 12 4 2 5 3 2 2" xfId="27677"/>
    <cellStyle name="Normal 12 4 2 5 3 3" xfId="16157"/>
    <cellStyle name="Normal 12 4 2 5 3 3 2" xfId="33437"/>
    <cellStyle name="Normal 12 4 2 5 3 4" xfId="21917"/>
    <cellStyle name="Normal 12 4 2 5 4" xfId="7517"/>
    <cellStyle name="Normal 12 4 2 5 4 2" xfId="24797"/>
    <cellStyle name="Normal 12 4 2 5 5" xfId="13277"/>
    <cellStyle name="Normal 12 4 2 5 5 2" xfId="30557"/>
    <cellStyle name="Normal 12 4 2 5 6" xfId="19037"/>
    <cellStyle name="Normal 12 4 2 6" xfId="2477"/>
    <cellStyle name="Normal 12 4 2 6 2" xfId="5357"/>
    <cellStyle name="Normal 12 4 2 6 2 2" xfId="11117"/>
    <cellStyle name="Normal 12 4 2 6 2 2 2" xfId="28397"/>
    <cellStyle name="Normal 12 4 2 6 2 3" xfId="16877"/>
    <cellStyle name="Normal 12 4 2 6 2 3 2" xfId="34157"/>
    <cellStyle name="Normal 12 4 2 6 2 4" xfId="22637"/>
    <cellStyle name="Normal 12 4 2 6 3" xfId="8237"/>
    <cellStyle name="Normal 12 4 2 6 3 2" xfId="25517"/>
    <cellStyle name="Normal 12 4 2 6 4" xfId="13997"/>
    <cellStyle name="Normal 12 4 2 6 4 2" xfId="31277"/>
    <cellStyle name="Normal 12 4 2 6 5" xfId="19757"/>
    <cellStyle name="Normal 12 4 2 7" xfId="3917"/>
    <cellStyle name="Normal 12 4 2 7 2" xfId="9677"/>
    <cellStyle name="Normal 12 4 2 7 2 2" xfId="26957"/>
    <cellStyle name="Normal 12 4 2 7 3" xfId="15437"/>
    <cellStyle name="Normal 12 4 2 7 3 2" xfId="32717"/>
    <cellStyle name="Normal 12 4 2 7 4" xfId="21197"/>
    <cellStyle name="Normal 12 4 2 8" xfId="6797"/>
    <cellStyle name="Normal 12 4 2 8 2" xfId="24077"/>
    <cellStyle name="Normal 12 4 2 9" xfId="12557"/>
    <cellStyle name="Normal 12 4 2 9 2" xfId="29837"/>
    <cellStyle name="Normal 12 4 3" xfId="997"/>
    <cellStyle name="Normal 12 4 3 10" xfId="18277"/>
    <cellStyle name="Normal 12 4 3 2" xfId="1117"/>
    <cellStyle name="Normal 12 4 3 2 2" xfId="1357"/>
    <cellStyle name="Normal 12 4 3 2 2 2" xfId="2077"/>
    <cellStyle name="Normal 12 4 3 2 2 2 2" xfId="3517"/>
    <cellStyle name="Normal 12 4 3 2 2 2 2 2" xfId="6397"/>
    <cellStyle name="Normal 12 4 3 2 2 2 2 2 2" xfId="12157"/>
    <cellStyle name="Normal 12 4 3 2 2 2 2 2 2 2" xfId="29437"/>
    <cellStyle name="Normal 12 4 3 2 2 2 2 2 3" xfId="17917"/>
    <cellStyle name="Normal 12 4 3 2 2 2 2 2 3 2" xfId="35197"/>
    <cellStyle name="Normal 12 4 3 2 2 2 2 2 4" xfId="23677"/>
    <cellStyle name="Normal 12 4 3 2 2 2 2 3" xfId="9277"/>
    <cellStyle name="Normal 12 4 3 2 2 2 2 3 2" xfId="26557"/>
    <cellStyle name="Normal 12 4 3 2 2 2 2 4" xfId="15037"/>
    <cellStyle name="Normal 12 4 3 2 2 2 2 4 2" xfId="32317"/>
    <cellStyle name="Normal 12 4 3 2 2 2 2 5" xfId="20797"/>
    <cellStyle name="Normal 12 4 3 2 2 2 3" xfId="4957"/>
    <cellStyle name="Normal 12 4 3 2 2 2 3 2" xfId="10717"/>
    <cellStyle name="Normal 12 4 3 2 2 2 3 2 2" xfId="27997"/>
    <cellStyle name="Normal 12 4 3 2 2 2 3 3" xfId="16477"/>
    <cellStyle name="Normal 12 4 3 2 2 2 3 3 2" xfId="33757"/>
    <cellStyle name="Normal 12 4 3 2 2 2 3 4" xfId="22237"/>
    <cellStyle name="Normal 12 4 3 2 2 2 4" xfId="7837"/>
    <cellStyle name="Normal 12 4 3 2 2 2 4 2" xfId="25117"/>
    <cellStyle name="Normal 12 4 3 2 2 2 5" xfId="13597"/>
    <cellStyle name="Normal 12 4 3 2 2 2 5 2" xfId="30877"/>
    <cellStyle name="Normal 12 4 3 2 2 2 6" xfId="19357"/>
    <cellStyle name="Normal 12 4 3 2 2 3" xfId="2797"/>
    <cellStyle name="Normal 12 4 3 2 2 3 2" xfId="5677"/>
    <cellStyle name="Normal 12 4 3 2 2 3 2 2" xfId="11437"/>
    <cellStyle name="Normal 12 4 3 2 2 3 2 2 2" xfId="28717"/>
    <cellStyle name="Normal 12 4 3 2 2 3 2 3" xfId="17197"/>
    <cellStyle name="Normal 12 4 3 2 2 3 2 3 2" xfId="34477"/>
    <cellStyle name="Normal 12 4 3 2 2 3 2 4" xfId="22957"/>
    <cellStyle name="Normal 12 4 3 2 2 3 3" xfId="8557"/>
    <cellStyle name="Normal 12 4 3 2 2 3 3 2" xfId="25837"/>
    <cellStyle name="Normal 12 4 3 2 2 3 4" xfId="14317"/>
    <cellStyle name="Normal 12 4 3 2 2 3 4 2" xfId="31597"/>
    <cellStyle name="Normal 12 4 3 2 2 3 5" xfId="20077"/>
    <cellStyle name="Normal 12 4 3 2 2 4" xfId="4237"/>
    <cellStyle name="Normal 12 4 3 2 2 4 2" xfId="9997"/>
    <cellStyle name="Normal 12 4 3 2 2 4 2 2" xfId="27277"/>
    <cellStyle name="Normal 12 4 3 2 2 4 3" xfId="15757"/>
    <cellStyle name="Normal 12 4 3 2 2 4 3 2" xfId="33037"/>
    <cellStyle name="Normal 12 4 3 2 2 4 4" xfId="21517"/>
    <cellStyle name="Normal 12 4 3 2 2 5" xfId="7117"/>
    <cellStyle name="Normal 12 4 3 2 2 5 2" xfId="24397"/>
    <cellStyle name="Normal 12 4 3 2 2 6" xfId="12877"/>
    <cellStyle name="Normal 12 4 3 2 2 6 2" xfId="30157"/>
    <cellStyle name="Normal 12 4 3 2 2 7" xfId="18637"/>
    <cellStyle name="Normal 12 4 3 2 3" xfId="1597"/>
    <cellStyle name="Normal 12 4 3 2 3 2" xfId="2317"/>
    <cellStyle name="Normal 12 4 3 2 3 2 2" xfId="3757"/>
    <cellStyle name="Normal 12 4 3 2 3 2 2 2" xfId="6637"/>
    <cellStyle name="Normal 12 4 3 2 3 2 2 2 2" xfId="12397"/>
    <cellStyle name="Normal 12 4 3 2 3 2 2 2 2 2" xfId="29677"/>
    <cellStyle name="Normal 12 4 3 2 3 2 2 2 3" xfId="18157"/>
    <cellStyle name="Normal 12 4 3 2 3 2 2 2 3 2" xfId="35437"/>
    <cellStyle name="Normal 12 4 3 2 3 2 2 2 4" xfId="23917"/>
    <cellStyle name="Normal 12 4 3 2 3 2 2 3" xfId="9517"/>
    <cellStyle name="Normal 12 4 3 2 3 2 2 3 2" xfId="26797"/>
    <cellStyle name="Normal 12 4 3 2 3 2 2 4" xfId="15277"/>
    <cellStyle name="Normal 12 4 3 2 3 2 2 4 2" xfId="32557"/>
    <cellStyle name="Normal 12 4 3 2 3 2 2 5" xfId="21037"/>
    <cellStyle name="Normal 12 4 3 2 3 2 3" xfId="5197"/>
    <cellStyle name="Normal 12 4 3 2 3 2 3 2" xfId="10957"/>
    <cellStyle name="Normal 12 4 3 2 3 2 3 2 2" xfId="28237"/>
    <cellStyle name="Normal 12 4 3 2 3 2 3 3" xfId="16717"/>
    <cellStyle name="Normal 12 4 3 2 3 2 3 3 2" xfId="33997"/>
    <cellStyle name="Normal 12 4 3 2 3 2 3 4" xfId="22477"/>
    <cellStyle name="Normal 12 4 3 2 3 2 4" xfId="8077"/>
    <cellStyle name="Normal 12 4 3 2 3 2 4 2" xfId="25357"/>
    <cellStyle name="Normal 12 4 3 2 3 2 5" xfId="13837"/>
    <cellStyle name="Normal 12 4 3 2 3 2 5 2" xfId="31117"/>
    <cellStyle name="Normal 12 4 3 2 3 2 6" xfId="19597"/>
    <cellStyle name="Normal 12 4 3 2 3 3" xfId="3037"/>
    <cellStyle name="Normal 12 4 3 2 3 3 2" xfId="5917"/>
    <cellStyle name="Normal 12 4 3 2 3 3 2 2" xfId="11677"/>
    <cellStyle name="Normal 12 4 3 2 3 3 2 2 2" xfId="28957"/>
    <cellStyle name="Normal 12 4 3 2 3 3 2 3" xfId="17437"/>
    <cellStyle name="Normal 12 4 3 2 3 3 2 3 2" xfId="34717"/>
    <cellStyle name="Normal 12 4 3 2 3 3 2 4" xfId="23197"/>
    <cellStyle name="Normal 12 4 3 2 3 3 3" xfId="8797"/>
    <cellStyle name="Normal 12 4 3 2 3 3 3 2" xfId="26077"/>
    <cellStyle name="Normal 12 4 3 2 3 3 4" xfId="14557"/>
    <cellStyle name="Normal 12 4 3 2 3 3 4 2" xfId="31837"/>
    <cellStyle name="Normal 12 4 3 2 3 3 5" xfId="20317"/>
    <cellStyle name="Normal 12 4 3 2 3 4" xfId="4477"/>
    <cellStyle name="Normal 12 4 3 2 3 4 2" xfId="10237"/>
    <cellStyle name="Normal 12 4 3 2 3 4 2 2" xfId="27517"/>
    <cellStyle name="Normal 12 4 3 2 3 4 3" xfId="15997"/>
    <cellStyle name="Normal 12 4 3 2 3 4 3 2" xfId="33277"/>
    <cellStyle name="Normal 12 4 3 2 3 4 4" xfId="21757"/>
    <cellStyle name="Normal 12 4 3 2 3 5" xfId="7357"/>
    <cellStyle name="Normal 12 4 3 2 3 5 2" xfId="24637"/>
    <cellStyle name="Normal 12 4 3 2 3 6" xfId="13117"/>
    <cellStyle name="Normal 12 4 3 2 3 6 2" xfId="30397"/>
    <cellStyle name="Normal 12 4 3 2 3 7" xfId="18877"/>
    <cellStyle name="Normal 12 4 3 2 4" xfId="1837"/>
    <cellStyle name="Normal 12 4 3 2 4 2" xfId="3277"/>
    <cellStyle name="Normal 12 4 3 2 4 2 2" xfId="6157"/>
    <cellStyle name="Normal 12 4 3 2 4 2 2 2" xfId="11917"/>
    <cellStyle name="Normal 12 4 3 2 4 2 2 2 2" xfId="29197"/>
    <cellStyle name="Normal 12 4 3 2 4 2 2 3" xfId="17677"/>
    <cellStyle name="Normal 12 4 3 2 4 2 2 3 2" xfId="34957"/>
    <cellStyle name="Normal 12 4 3 2 4 2 2 4" xfId="23437"/>
    <cellStyle name="Normal 12 4 3 2 4 2 3" xfId="9037"/>
    <cellStyle name="Normal 12 4 3 2 4 2 3 2" xfId="26317"/>
    <cellStyle name="Normal 12 4 3 2 4 2 4" xfId="14797"/>
    <cellStyle name="Normal 12 4 3 2 4 2 4 2" xfId="32077"/>
    <cellStyle name="Normal 12 4 3 2 4 2 5" xfId="20557"/>
    <cellStyle name="Normal 12 4 3 2 4 3" xfId="4717"/>
    <cellStyle name="Normal 12 4 3 2 4 3 2" xfId="10477"/>
    <cellStyle name="Normal 12 4 3 2 4 3 2 2" xfId="27757"/>
    <cellStyle name="Normal 12 4 3 2 4 3 3" xfId="16237"/>
    <cellStyle name="Normal 12 4 3 2 4 3 3 2" xfId="33517"/>
    <cellStyle name="Normal 12 4 3 2 4 3 4" xfId="21997"/>
    <cellStyle name="Normal 12 4 3 2 4 4" xfId="7597"/>
    <cellStyle name="Normal 12 4 3 2 4 4 2" xfId="24877"/>
    <cellStyle name="Normal 12 4 3 2 4 5" xfId="13357"/>
    <cellStyle name="Normal 12 4 3 2 4 5 2" xfId="30637"/>
    <cellStyle name="Normal 12 4 3 2 4 6" xfId="19117"/>
    <cellStyle name="Normal 12 4 3 2 5" xfId="2557"/>
    <cellStyle name="Normal 12 4 3 2 5 2" xfId="5437"/>
    <cellStyle name="Normal 12 4 3 2 5 2 2" xfId="11197"/>
    <cellStyle name="Normal 12 4 3 2 5 2 2 2" xfId="28477"/>
    <cellStyle name="Normal 12 4 3 2 5 2 3" xfId="16957"/>
    <cellStyle name="Normal 12 4 3 2 5 2 3 2" xfId="34237"/>
    <cellStyle name="Normal 12 4 3 2 5 2 4" xfId="22717"/>
    <cellStyle name="Normal 12 4 3 2 5 3" xfId="8317"/>
    <cellStyle name="Normal 12 4 3 2 5 3 2" xfId="25597"/>
    <cellStyle name="Normal 12 4 3 2 5 4" xfId="14077"/>
    <cellStyle name="Normal 12 4 3 2 5 4 2" xfId="31357"/>
    <cellStyle name="Normal 12 4 3 2 5 5" xfId="19837"/>
    <cellStyle name="Normal 12 4 3 2 6" xfId="3997"/>
    <cellStyle name="Normal 12 4 3 2 6 2" xfId="9757"/>
    <cellStyle name="Normal 12 4 3 2 6 2 2" xfId="27037"/>
    <cellStyle name="Normal 12 4 3 2 6 3" xfId="15517"/>
    <cellStyle name="Normal 12 4 3 2 6 3 2" xfId="32797"/>
    <cellStyle name="Normal 12 4 3 2 6 4" xfId="21277"/>
    <cellStyle name="Normal 12 4 3 2 7" xfId="6877"/>
    <cellStyle name="Normal 12 4 3 2 7 2" xfId="24157"/>
    <cellStyle name="Normal 12 4 3 2 8" xfId="12637"/>
    <cellStyle name="Normal 12 4 3 2 8 2" xfId="29917"/>
    <cellStyle name="Normal 12 4 3 2 9" xfId="18397"/>
    <cellStyle name="Normal 12 4 3 3" xfId="1237"/>
    <cellStyle name="Normal 12 4 3 3 2" xfId="1957"/>
    <cellStyle name="Normal 12 4 3 3 2 2" xfId="3397"/>
    <cellStyle name="Normal 12 4 3 3 2 2 2" xfId="6277"/>
    <cellStyle name="Normal 12 4 3 3 2 2 2 2" xfId="12037"/>
    <cellStyle name="Normal 12 4 3 3 2 2 2 2 2" xfId="29317"/>
    <cellStyle name="Normal 12 4 3 3 2 2 2 3" xfId="17797"/>
    <cellStyle name="Normal 12 4 3 3 2 2 2 3 2" xfId="35077"/>
    <cellStyle name="Normal 12 4 3 3 2 2 2 4" xfId="23557"/>
    <cellStyle name="Normal 12 4 3 3 2 2 3" xfId="9157"/>
    <cellStyle name="Normal 12 4 3 3 2 2 3 2" xfId="26437"/>
    <cellStyle name="Normal 12 4 3 3 2 2 4" xfId="14917"/>
    <cellStyle name="Normal 12 4 3 3 2 2 4 2" xfId="32197"/>
    <cellStyle name="Normal 12 4 3 3 2 2 5" xfId="20677"/>
    <cellStyle name="Normal 12 4 3 3 2 3" xfId="4837"/>
    <cellStyle name="Normal 12 4 3 3 2 3 2" xfId="10597"/>
    <cellStyle name="Normal 12 4 3 3 2 3 2 2" xfId="27877"/>
    <cellStyle name="Normal 12 4 3 3 2 3 3" xfId="16357"/>
    <cellStyle name="Normal 12 4 3 3 2 3 3 2" xfId="33637"/>
    <cellStyle name="Normal 12 4 3 3 2 3 4" xfId="22117"/>
    <cellStyle name="Normal 12 4 3 3 2 4" xfId="7717"/>
    <cellStyle name="Normal 12 4 3 3 2 4 2" xfId="24997"/>
    <cellStyle name="Normal 12 4 3 3 2 5" xfId="13477"/>
    <cellStyle name="Normal 12 4 3 3 2 5 2" xfId="30757"/>
    <cellStyle name="Normal 12 4 3 3 2 6" xfId="19237"/>
    <cellStyle name="Normal 12 4 3 3 3" xfId="2677"/>
    <cellStyle name="Normal 12 4 3 3 3 2" xfId="5557"/>
    <cellStyle name="Normal 12 4 3 3 3 2 2" xfId="11317"/>
    <cellStyle name="Normal 12 4 3 3 3 2 2 2" xfId="28597"/>
    <cellStyle name="Normal 12 4 3 3 3 2 3" xfId="17077"/>
    <cellStyle name="Normal 12 4 3 3 3 2 3 2" xfId="34357"/>
    <cellStyle name="Normal 12 4 3 3 3 2 4" xfId="22837"/>
    <cellStyle name="Normal 12 4 3 3 3 3" xfId="8437"/>
    <cellStyle name="Normal 12 4 3 3 3 3 2" xfId="25717"/>
    <cellStyle name="Normal 12 4 3 3 3 4" xfId="14197"/>
    <cellStyle name="Normal 12 4 3 3 3 4 2" xfId="31477"/>
    <cellStyle name="Normal 12 4 3 3 3 5" xfId="19957"/>
    <cellStyle name="Normal 12 4 3 3 4" xfId="4117"/>
    <cellStyle name="Normal 12 4 3 3 4 2" xfId="9877"/>
    <cellStyle name="Normal 12 4 3 3 4 2 2" xfId="27157"/>
    <cellStyle name="Normal 12 4 3 3 4 3" xfId="15637"/>
    <cellStyle name="Normal 12 4 3 3 4 3 2" xfId="32917"/>
    <cellStyle name="Normal 12 4 3 3 4 4" xfId="21397"/>
    <cellStyle name="Normal 12 4 3 3 5" xfId="6997"/>
    <cellStyle name="Normal 12 4 3 3 5 2" xfId="24277"/>
    <cellStyle name="Normal 12 4 3 3 6" xfId="12757"/>
    <cellStyle name="Normal 12 4 3 3 6 2" xfId="30037"/>
    <cellStyle name="Normal 12 4 3 3 7" xfId="18517"/>
    <cellStyle name="Normal 12 4 3 4" xfId="1477"/>
    <cellStyle name="Normal 12 4 3 4 2" xfId="2197"/>
    <cellStyle name="Normal 12 4 3 4 2 2" xfId="3637"/>
    <cellStyle name="Normal 12 4 3 4 2 2 2" xfId="6517"/>
    <cellStyle name="Normal 12 4 3 4 2 2 2 2" xfId="12277"/>
    <cellStyle name="Normal 12 4 3 4 2 2 2 2 2" xfId="29557"/>
    <cellStyle name="Normal 12 4 3 4 2 2 2 3" xfId="18037"/>
    <cellStyle name="Normal 12 4 3 4 2 2 2 3 2" xfId="35317"/>
    <cellStyle name="Normal 12 4 3 4 2 2 2 4" xfId="23797"/>
    <cellStyle name="Normal 12 4 3 4 2 2 3" xfId="9397"/>
    <cellStyle name="Normal 12 4 3 4 2 2 3 2" xfId="26677"/>
    <cellStyle name="Normal 12 4 3 4 2 2 4" xfId="15157"/>
    <cellStyle name="Normal 12 4 3 4 2 2 4 2" xfId="32437"/>
    <cellStyle name="Normal 12 4 3 4 2 2 5" xfId="20917"/>
    <cellStyle name="Normal 12 4 3 4 2 3" xfId="5077"/>
    <cellStyle name="Normal 12 4 3 4 2 3 2" xfId="10837"/>
    <cellStyle name="Normal 12 4 3 4 2 3 2 2" xfId="28117"/>
    <cellStyle name="Normal 12 4 3 4 2 3 3" xfId="16597"/>
    <cellStyle name="Normal 12 4 3 4 2 3 3 2" xfId="33877"/>
    <cellStyle name="Normal 12 4 3 4 2 3 4" xfId="22357"/>
    <cellStyle name="Normal 12 4 3 4 2 4" xfId="7957"/>
    <cellStyle name="Normal 12 4 3 4 2 4 2" xfId="25237"/>
    <cellStyle name="Normal 12 4 3 4 2 5" xfId="13717"/>
    <cellStyle name="Normal 12 4 3 4 2 5 2" xfId="30997"/>
    <cellStyle name="Normal 12 4 3 4 2 6" xfId="19477"/>
    <cellStyle name="Normal 12 4 3 4 3" xfId="2917"/>
    <cellStyle name="Normal 12 4 3 4 3 2" xfId="5797"/>
    <cellStyle name="Normal 12 4 3 4 3 2 2" xfId="11557"/>
    <cellStyle name="Normal 12 4 3 4 3 2 2 2" xfId="28837"/>
    <cellStyle name="Normal 12 4 3 4 3 2 3" xfId="17317"/>
    <cellStyle name="Normal 12 4 3 4 3 2 3 2" xfId="34597"/>
    <cellStyle name="Normal 12 4 3 4 3 2 4" xfId="23077"/>
    <cellStyle name="Normal 12 4 3 4 3 3" xfId="8677"/>
    <cellStyle name="Normal 12 4 3 4 3 3 2" xfId="25957"/>
    <cellStyle name="Normal 12 4 3 4 3 4" xfId="14437"/>
    <cellStyle name="Normal 12 4 3 4 3 4 2" xfId="31717"/>
    <cellStyle name="Normal 12 4 3 4 3 5" xfId="20197"/>
    <cellStyle name="Normal 12 4 3 4 4" xfId="4357"/>
    <cellStyle name="Normal 12 4 3 4 4 2" xfId="10117"/>
    <cellStyle name="Normal 12 4 3 4 4 2 2" xfId="27397"/>
    <cellStyle name="Normal 12 4 3 4 4 3" xfId="15877"/>
    <cellStyle name="Normal 12 4 3 4 4 3 2" xfId="33157"/>
    <cellStyle name="Normal 12 4 3 4 4 4" xfId="21637"/>
    <cellStyle name="Normal 12 4 3 4 5" xfId="7237"/>
    <cellStyle name="Normal 12 4 3 4 5 2" xfId="24517"/>
    <cellStyle name="Normal 12 4 3 4 6" xfId="12997"/>
    <cellStyle name="Normal 12 4 3 4 6 2" xfId="30277"/>
    <cellStyle name="Normal 12 4 3 4 7" xfId="18757"/>
    <cellStyle name="Normal 12 4 3 5" xfId="1717"/>
    <cellStyle name="Normal 12 4 3 5 2" xfId="3157"/>
    <cellStyle name="Normal 12 4 3 5 2 2" xfId="6037"/>
    <cellStyle name="Normal 12 4 3 5 2 2 2" xfId="11797"/>
    <cellStyle name="Normal 12 4 3 5 2 2 2 2" xfId="29077"/>
    <cellStyle name="Normal 12 4 3 5 2 2 3" xfId="17557"/>
    <cellStyle name="Normal 12 4 3 5 2 2 3 2" xfId="34837"/>
    <cellStyle name="Normal 12 4 3 5 2 2 4" xfId="23317"/>
    <cellStyle name="Normal 12 4 3 5 2 3" xfId="8917"/>
    <cellStyle name="Normal 12 4 3 5 2 3 2" xfId="26197"/>
    <cellStyle name="Normal 12 4 3 5 2 4" xfId="14677"/>
    <cellStyle name="Normal 12 4 3 5 2 4 2" xfId="31957"/>
    <cellStyle name="Normal 12 4 3 5 2 5" xfId="20437"/>
    <cellStyle name="Normal 12 4 3 5 3" xfId="4597"/>
    <cellStyle name="Normal 12 4 3 5 3 2" xfId="10357"/>
    <cellStyle name="Normal 12 4 3 5 3 2 2" xfId="27637"/>
    <cellStyle name="Normal 12 4 3 5 3 3" xfId="16117"/>
    <cellStyle name="Normal 12 4 3 5 3 3 2" xfId="33397"/>
    <cellStyle name="Normal 12 4 3 5 3 4" xfId="21877"/>
    <cellStyle name="Normal 12 4 3 5 4" xfId="7477"/>
    <cellStyle name="Normal 12 4 3 5 4 2" xfId="24757"/>
    <cellStyle name="Normal 12 4 3 5 5" xfId="13237"/>
    <cellStyle name="Normal 12 4 3 5 5 2" xfId="30517"/>
    <cellStyle name="Normal 12 4 3 5 6" xfId="18997"/>
    <cellStyle name="Normal 12 4 3 6" xfId="2437"/>
    <cellStyle name="Normal 12 4 3 6 2" xfId="5317"/>
    <cellStyle name="Normal 12 4 3 6 2 2" xfId="11077"/>
    <cellStyle name="Normal 12 4 3 6 2 2 2" xfId="28357"/>
    <cellStyle name="Normal 12 4 3 6 2 3" xfId="16837"/>
    <cellStyle name="Normal 12 4 3 6 2 3 2" xfId="34117"/>
    <cellStyle name="Normal 12 4 3 6 2 4" xfId="22597"/>
    <cellStyle name="Normal 12 4 3 6 3" xfId="8197"/>
    <cellStyle name="Normal 12 4 3 6 3 2" xfId="25477"/>
    <cellStyle name="Normal 12 4 3 6 4" xfId="13957"/>
    <cellStyle name="Normal 12 4 3 6 4 2" xfId="31237"/>
    <cellStyle name="Normal 12 4 3 6 5" xfId="19717"/>
    <cellStyle name="Normal 12 4 3 7" xfId="3877"/>
    <cellStyle name="Normal 12 4 3 7 2" xfId="9637"/>
    <cellStyle name="Normal 12 4 3 7 2 2" xfId="26917"/>
    <cellStyle name="Normal 12 4 3 7 3" xfId="15397"/>
    <cellStyle name="Normal 12 4 3 7 3 2" xfId="32677"/>
    <cellStyle name="Normal 12 4 3 7 4" xfId="21157"/>
    <cellStyle name="Normal 12 4 3 8" xfId="6757"/>
    <cellStyle name="Normal 12 4 3 8 2" xfId="24037"/>
    <cellStyle name="Normal 12 4 3 9" xfId="12517"/>
    <cellStyle name="Normal 12 4 3 9 2" xfId="29797"/>
    <cellStyle name="Normal 12 4 4" xfId="1077"/>
    <cellStyle name="Normal 12 4 4 2" xfId="1317"/>
    <cellStyle name="Normal 12 4 4 2 2" xfId="2037"/>
    <cellStyle name="Normal 12 4 4 2 2 2" xfId="3477"/>
    <cellStyle name="Normal 12 4 4 2 2 2 2" xfId="6357"/>
    <cellStyle name="Normal 12 4 4 2 2 2 2 2" xfId="12117"/>
    <cellStyle name="Normal 12 4 4 2 2 2 2 2 2" xfId="29397"/>
    <cellStyle name="Normal 12 4 4 2 2 2 2 3" xfId="17877"/>
    <cellStyle name="Normal 12 4 4 2 2 2 2 3 2" xfId="35157"/>
    <cellStyle name="Normal 12 4 4 2 2 2 2 4" xfId="23637"/>
    <cellStyle name="Normal 12 4 4 2 2 2 3" xfId="9237"/>
    <cellStyle name="Normal 12 4 4 2 2 2 3 2" xfId="26517"/>
    <cellStyle name="Normal 12 4 4 2 2 2 4" xfId="14997"/>
    <cellStyle name="Normal 12 4 4 2 2 2 4 2" xfId="32277"/>
    <cellStyle name="Normal 12 4 4 2 2 2 5" xfId="20757"/>
    <cellStyle name="Normal 12 4 4 2 2 3" xfId="4917"/>
    <cellStyle name="Normal 12 4 4 2 2 3 2" xfId="10677"/>
    <cellStyle name="Normal 12 4 4 2 2 3 2 2" xfId="27957"/>
    <cellStyle name="Normal 12 4 4 2 2 3 3" xfId="16437"/>
    <cellStyle name="Normal 12 4 4 2 2 3 3 2" xfId="33717"/>
    <cellStyle name="Normal 12 4 4 2 2 3 4" xfId="22197"/>
    <cellStyle name="Normal 12 4 4 2 2 4" xfId="7797"/>
    <cellStyle name="Normal 12 4 4 2 2 4 2" xfId="25077"/>
    <cellStyle name="Normal 12 4 4 2 2 5" xfId="13557"/>
    <cellStyle name="Normal 12 4 4 2 2 5 2" xfId="30837"/>
    <cellStyle name="Normal 12 4 4 2 2 6" xfId="19317"/>
    <cellStyle name="Normal 12 4 4 2 3" xfId="2757"/>
    <cellStyle name="Normal 12 4 4 2 3 2" xfId="5637"/>
    <cellStyle name="Normal 12 4 4 2 3 2 2" xfId="11397"/>
    <cellStyle name="Normal 12 4 4 2 3 2 2 2" xfId="28677"/>
    <cellStyle name="Normal 12 4 4 2 3 2 3" xfId="17157"/>
    <cellStyle name="Normal 12 4 4 2 3 2 3 2" xfId="34437"/>
    <cellStyle name="Normal 12 4 4 2 3 2 4" xfId="22917"/>
    <cellStyle name="Normal 12 4 4 2 3 3" xfId="8517"/>
    <cellStyle name="Normal 12 4 4 2 3 3 2" xfId="25797"/>
    <cellStyle name="Normal 12 4 4 2 3 4" xfId="14277"/>
    <cellStyle name="Normal 12 4 4 2 3 4 2" xfId="31557"/>
    <cellStyle name="Normal 12 4 4 2 3 5" xfId="20037"/>
    <cellStyle name="Normal 12 4 4 2 4" xfId="4197"/>
    <cellStyle name="Normal 12 4 4 2 4 2" xfId="9957"/>
    <cellStyle name="Normal 12 4 4 2 4 2 2" xfId="27237"/>
    <cellStyle name="Normal 12 4 4 2 4 3" xfId="15717"/>
    <cellStyle name="Normal 12 4 4 2 4 3 2" xfId="32997"/>
    <cellStyle name="Normal 12 4 4 2 4 4" xfId="21477"/>
    <cellStyle name="Normal 12 4 4 2 5" xfId="7077"/>
    <cellStyle name="Normal 12 4 4 2 5 2" xfId="24357"/>
    <cellStyle name="Normal 12 4 4 2 6" xfId="12837"/>
    <cellStyle name="Normal 12 4 4 2 6 2" xfId="30117"/>
    <cellStyle name="Normal 12 4 4 2 7" xfId="18597"/>
    <cellStyle name="Normal 12 4 4 3" xfId="1557"/>
    <cellStyle name="Normal 12 4 4 3 2" xfId="2277"/>
    <cellStyle name="Normal 12 4 4 3 2 2" xfId="3717"/>
    <cellStyle name="Normal 12 4 4 3 2 2 2" xfId="6597"/>
    <cellStyle name="Normal 12 4 4 3 2 2 2 2" xfId="12357"/>
    <cellStyle name="Normal 12 4 4 3 2 2 2 2 2" xfId="29637"/>
    <cellStyle name="Normal 12 4 4 3 2 2 2 3" xfId="18117"/>
    <cellStyle name="Normal 12 4 4 3 2 2 2 3 2" xfId="35397"/>
    <cellStyle name="Normal 12 4 4 3 2 2 2 4" xfId="23877"/>
    <cellStyle name="Normal 12 4 4 3 2 2 3" xfId="9477"/>
    <cellStyle name="Normal 12 4 4 3 2 2 3 2" xfId="26757"/>
    <cellStyle name="Normal 12 4 4 3 2 2 4" xfId="15237"/>
    <cellStyle name="Normal 12 4 4 3 2 2 4 2" xfId="32517"/>
    <cellStyle name="Normal 12 4 4 3 2 2 5" xfId="20997"/>
    <cellStyle name="Normal 12 4 4 3 2 3" xfId="5157"/>
    <cellStyle name="Normal 12 4 4 3 2 3 2" xfId="10917"/>
    <cellStyle name="Normal 12 4 4 3 2 3 2 2" xfId="28197"/>
    <cellStyle name="Normal 12 4 4 3 2 3 3" xfId="16677"/>
    <cellStyle name="Normal 12 4 4 3 2 3 3 2" xfId="33957"/>
    <cellStyle name="Normal 12 4 4 3 2 3 4" xfId="22437"/>
    <cellStyle name="Normal 12 4 4 3 2 4" xfId="8037"/>
    <cellStyle name="Normal 12 4 4 3 2 4 2" xfId="25317"/>
    <cellStyle name="Normal 12 4 4 3 2 5" xfId="13797"/>
    <cellStyle name="Normal 12 4 4 3 2 5 2" xfId="31077"/>
    <cellStyle name="Normal 12 4 4 3 2 6" xfId="19557"/>
    <cellStyle name="Normal 12 4 4 3 3" xfId="2997"/>
    <cellStyle name="Normal 12 4 4 3 3 2" xfId="5877"/>
    <cellStyle name="Normal 12 4 4 3 3 2 2" xfId="11637"/>
    <cellStyle name="Normal 12 4 4 3 3 2 2 2" xfId="28917"/>
    <cellStyle name="Normal 12 4 4 3 3 2 3" xfId="17397"/>
    <cellStyle name="Normal 12 4 4 3 3 2 3 2" xfId="34677"/>
    <cellStyle name="Normal 12 4 4 3 3 2 4" xfId="23157"/>
    <cellStyle name="Normal 12 4 4 3 3 3" xfId="8757"/>
    <cellStyle name="Normal 12 4 4 3 3 3 2" xfId="26037"/>
    <cellStyle name="Normal 12 4 4 3 3 4" xfId="14517"/>
    <cellStyle name="Normal 12 4 4 3 3 4 2" xfId="31797"/>
    <cellStyle name="Normal 12 4 4 3 3 5" xfId="20277"/>
    <cellStyle name="Normal 12 4 4 3 4" xfId="4437"/>
    <cellStyle name="Normal 12 4 4 3 4 2" xfId="10197"/>
    <cellStyle name="Normal 12 4 4 3 4 2 2" xfId="27477"/>
    <cellStyle name="Normal 12 4 4 3 4 3" xfId="15957"/>
    <cellStyle name="Normal 12 4 4 3 4 3 2" xfId="33237"/>
    <cellStyle name="Normal 12 4 4 3 4 4" xfId="21717"/>
    <cellStyle name="Normal 12 4 4 3 5" xfId="7317"/>
    <cellStyle name="Normal 12 4 4 3 5 2" xfId="24597"/>
    <cellStyle name="Normal 12 4 4 3 6" xfId="13077"/>
    <cellStyle name="Normal 12 4 4 3 6 2" xfId="30357"/>
    <cellStyle name="Normal 12 4 4 3 7" xfId="18837"/>
    <cellStyle name="Normal 12 4 4 4" xfId="1797"/>
    <cellStyle name="Normal 12 4 4 4 2" xfId="3237"/>
    <cellStyle name="Normal 12 4 4 4 2 2" xfId="6117"/>
    <cellStyle name="Normal 12 4 4 4 2 2 2" xfId="11877"/>
    <cellStyle name="Normal 12 4 4 4 2 2 2 2" xfId="29157"/>
    <cellStyle name="Normal 12 4 4 4 2 2 3" xfId="17637"/>
    <cellStyle name="Normal 12 4 4 4 2 2 3 2" xfId="34917"/>
    <cellStyle name="Normal 12 4 4 4 2 2 4" xfId="23397"/>
    <cellStyle name="Normal 12 4 4 4 2 3" xfId="8997"/>
    <cellStyle name="Normal 12 4 4 4 2 3 2" xfId="26277"/>
    <cellStyle name="Normal 12 4 4 4 2 4" xfId="14757"/>
    <cellStyle name="Normal 12 4 4 4 2 4 2" xfId="32037"/>
    <cellStyle name="Normal 12 4 4 4 2 5" xfId="20517"/>
    <cellStyle name="Normal 12 4 4 4 3" xfId="4677"/>
    <cellStyle name="Normal 12 4 4 4 3 2" xfId="10437"/>
    <cellStyle name="Normal 12 4 4 4 3 2 2" xfId="27717"/>
    <cellStyle name="Normal 12 4 4 4 3 3" xfId="16197"/>
    <cellStyle name="Normal 12 4 4 4 3 3 2" xfId="33477"/>
    <cellStyle name="Normal 12 4 4 4 3 4" xfId="21957"/>
    <cellStyle name="Normal 12 4 4 4 4" xfId="7557"/>
    <cellStyle name="Normal 12 4 4 4 4 2" xfId="24837"/>
    <cellStyle name="Normal 12 4 4 4 5" xfId="13317"/>
    <cellStyle name="Normal 12 4 4 4 5 2" xfId="30597"/>
    <cellStyle name="Normal 12 4 4 4 6" xfId="19077"/>
    <cellStyle name="Normal 12 4 4 5" xfId="2517"/>
    <cellStyle name="Normal 12 4 4 5 2" xfId="5397"/>
    <cellStyle name="Normal 12 4 4 5 2 2" xfId="11157"/>
    <cellStyle name="Normal 12 4 4 5 2 2 2" xfId="28437"/>
    <cellStyle name="Normal 12 4 4 5 2 3" xfId="16917"/>
    <cellStyle name="Normal 12 4 4 5 2 3 2" xfId="34197"/>
    <cellStyle name="Normal 12 4 4 5 2 4" xfId="22677"/>
    <cellStyle name="Normal 12 4 4 5 3" xfId="8277"/>
    <cellStyle name="Normal 12 4 4 5 3 2" xfId="25557"/>
    <cellStyle name="Normal 12 4 4 5 4" xfId="14037"/>
    <cellStyle name="Normal 12 4 4 5 4 2" xfId="31317"/>
    <cellStyle name="Normal 12 4 4 5 5" xfId="19797"/>
    <cellStyle name="Normal 12 4 4 6" xfId="3957"/>
    <cellStyle name="Normal 12 4 4 6 2" xfId="9717"/>
    <cellStyle name="Normal 12 4 4 6 2 2" xfId="26997"/>
    <cellStyle name="Normal 12 4 4 6 3" xfId="15477"/>
    <cellStyle name="Normal 12 4 4 6 3 2" xfId="32757"/>
    <cellStyle name="Normal 12 4 4 6 4" xfId="21237"/>
    <cellStyle name="Normal 12 4 4 7" xfId="6837"/>
    <cellStyle name="Normal 12 4 4 7 2" xfId="24117"/>
    <cellStyle name="Normal 12 4 4 8" xfId="12597"/>
    <cellStyle name="Normal 12 4 4 8 2" xfId="29877"/>
    <cellStyle name="Normal 12 4 4 9" xfId="18357"/>
    <cellStyle name="Normal 12 4 5" xfId="1197"/>
    <cellStyle name="Normal 12 4 5 2" xfId="1917"/>
    <cellStyle name="Normal 12 4 5 2 2" xfId="3357"/>
    <cellStyle name="Normal 12 4 5 2 2 2" xfId="6237"/>
    <cellStyle name="Normal 12 4 5 2 2 2 2" xfId="11997"/>
    <cellStyle name="Normal 12 4 5 2 2 2 2 2" xfId="29277"/>
    <cellStyle name="Normal 12 4 5 2 2 2 3" xfId="17757"/>
    <cellStyle name="Normal 12 4 5 2 2 2 3 2" xfId="35037"/>
    <cellStyle name="Normal 12 4 5 2 2 2 4" xfId="23517"/>
    <cellStyle name="Normal 12 4 5 2 2 3" xfId="9117"/>
    <cellStyle name="Normal 12 4 5 2 2 3 2" xfId="26397"/>
    <cellStyle name="Normal 12 4 5 2 2 4" xfId="14877"/>
    <cellStyle name="Normal 12 4 5 2 2 4 2" xfId="32157"/>
    <cellStyle name="Normal 12 4 5 2 2 5" xfId="20637"/>
    <cellStyle name="Normal 12 4 5 2 3" xfId="4797"/>
    <cellStyle name="Normal 12 4 5 2 3 2" xfId="10557"/>
    <cellStyle name="Normal 12 4 5 2 3 2 2" xfId="27837"/>
    <cellStyle name="Normal 12 4 5 2 3 3" xfId="16317"/>
    <cellStyle name="Normal 12 4 5 2 3 3 2" xfId="33597"/>
    <cellStyle name="Normal 12 4 5 2 3 4" xfId="22077"/>
    <cellStyle name="Normal 12 4 5 2 4" xfId="7677"/>
    <cellStyle name="Normal 12 4 5 2 4 2" xfId="24957"/>
    <cellStyle name="Normal 12 4 5 2 5" xfId="13437"/>
    <cellStyle name="Normal 12 4 5 2 5 2" xfId="30717"/>
    <cellStyle name="Normal 12 4 5 2 6" xfId="19197"/>
    <cellStyle name="Normal 12 4 5 3" xfId="2637"/>
    <cellStyle name="Normal 12 4 5 3 2" xfId="5517"/>
    <cellStyle name="Normal 12 4 5 3 2 2" xfId="11277"/>
    <cellStyle name="Normal 12 4 5 3 2 2 2" xfId="28557"/>
    <cellStyle name="Normal 12 4 5 3 2 3" xfId="17037"/>
    <cellStyle name="Normal 12 4 5 3 2 3 2" xfId="34317"/>
    <cellStyle name="Normal 12 4 5 3 2 4" xfId="22797"/>
    <cellStyle name="Normal 12 4 5 3 3" xfId="8397"/>
    <cellStyle name="Normal 12 4 5 3 3 2" xfId="25677"/>
    <cellStyle name="Normal 12 4 5 3 4" xfId="14157"/>
    <cellStyle name="Normal 12 4 5 3 4 2" xfId="31437"/>
    <cellStyle name="Normal 12 4 5 3 5" xfId="19917"/>
    <cellStyle name="Normal 12 4 5 4" xfId="4077"/>
    <cellStyle name="Normal 12 4 5 4 2" xfId="9837"/>
    <cellStyle name="Normal 12 4 5 4 2 2" xfId="27117"/>
    <cellStyle name="Normal 12 4 5 4 3" xfId="15597"/>
    <cellStyle name="Normal 12 4 5 4 3 2" xfId="32877"/>
    <cellStyle name="Normal 12 4 5 4 4" xfId="21357"/>
    <cellStyle name="Normal 12 4 5 5" xfId="6957"/>
    <cellStyle name="Normal 12 4 5 5 2" xfId="24237"/>
    <cellStyle name="Normal 12 4 5 6" xfId="12717"/>
    <cellStyle name="Normal 12 4 5 6 2" xfId="29997"/>
    <cellStyle name="Normal 12 4 5 7" xfId="18477"/>
    <cellStyle name="Normal 12 4 6" xfId="1437"/>
    <cellStyle name="Normal 12 4 6 2" xfId="2157"/>
    <cellStyle name="Normal 12 4 6 2 2" xfId="3597"/>
    <cellStyle name="Normal 12 4 6 2 2 2" xfId="6477"/>
    <cellStyle name="Normal 12 4 6 2 2 2 2" xfId="12237"/>
    <cellStyle name="Normal 12 4 6 2 2 2 2 2" xfId="29517"/>
    <cellStyle name="Normal 12 4 6 2 2 2 3" xfId="17997"/>
    <cellStyle name="Normal 12 4 6 2 2 2 3 2" xfId="35277"/>
    <cellStyle name="Normal 12 4 6 2 2 2 4" xfId="23757"/>
    <cellStyle name="Normal 12 4 6 2 2 3" xfId="9357"/>
    <cellStyle name="Normal 12 4 6 2 2 3 2" xfId="26637"/>
    <cellStyle name="Normal 12 4 6 2 2 4" xfId="15117"/>
    <cellStyle name="Normal 12 4 6 2 2 4 2" xfId="32397"/>
    <cellStyle name="Normal 12 4 6 2 2 5" xfId="20877"/>
    <cellStyle name="Normal 12 4 6 2 3" xfId="5037"/>
    <cellStyle name="Normal 12 4 6 2 3 2" xfId="10797"/>
    <cellStyle name="Normal 12 4 6 2 3 2 2" xfId="28077"/>
    <cellStyle name="Normal 12 4 6 2 3 3" xfId="16557"/>
    <cellStyle name="Normal 12 4 6 2 3 3 2" xfId="33837"/>
    <cellStyle name="Normal 12 4 6 2 3 4" xfId="22317"/>
    <cellStyle name="Normal 12 4 6 2 4" xfId="7917"/>
    <cellStyle name="Normal 12 4 6 2 4 2" xfId="25197"/>
    <cellStyle name="Normal 12 4 6 2 5" xfId="13677"/>
    <cellStyle name="Normal 12 4 6 2 5 2" xfId="30957"/>
    <cellStyle name="Normal 12 4 6 2 6" xfId="19437"/>
    <cellStyle name="Normal 12 4 6 3" xfId="2877"/>
    <cellStyle name="Normal 12 4 6 3 2" xfId="5757"/>
    <cellStyle name="Normal 12 4 6 3 2 2" xfId="11517"/>
    <cellStyle name="Normal 12 4 6 3 2 2 2" xfId="28797"/>
    <cellStyle name="Normal 12 4 6 3 2 3" xfId="17277"/>
    <cellStyle name="Normal 12 4 6 3 2 3 2" xfId="34557"/>
    <cellStyle name="Normal 12 4 6 3 2 4" xfId="23037"/>
    <cellStyle name="Normal 12 4 6 3 3" xfId="8637"/>
    <cellStyle name="Normal 12 4 6 3 3 2" xfId="25917"/>
    <cellStyle name="Normal 12 4 6 3 4" xfId="14397"/>
    <cellStyle name="Normal 12 4 6 3 4 2" xfId="31677"/>
    <cellStyle name="Normal 12 4 6 3 5" xfId="20157"/>
    <cellStyle name="Normal 12 4 6 4" xfId="4317"/>
    <cellStyle name="Normal 12 4 6 4 2" xfId="10077"/>
    <cellStyle name="Normal 12 4 6 4 2 2" xfId="27357"/>
    <cellStyle name="Normal 12 4 6 4 3" xfId="15837"/>
    <cellStyle name="Normal 12 4 6 4 3 2" xfId="33117"/>
    <cellStyle name="Normal 12 4 6 4 4" xfId="21597"/>
    <cellStyle name="Normal 12 4 6 5" xfId="7197"/>
    <cellStyle name="Normal 12 4 6 5 2" xfId="24477"/>
    <cellStyle name="Normal 12 4 6 6" xfId="12957"/>
    <cellStyle name="Normal 12 4 6 6 2" xfId="30237"/>
    <cellStyle name="Normal 12 4 6 7" xfId="18717"/>
    <cellStyle name="Normal 12 4 7" xfId="1677"/>
    <cellStyle name="Normal 12 4 7 2" xfId="3117"/>
    <cellStyle name="Normal 12 4 7 2 2" xfId="5997"/>
    <cellStyle name="Normal 12 4 7 2 2 2" xfId="11757"/>
    <cellStyle name="Normal 12 4 7 2 2 2 2" xfId="29037"/>
    <cellStyle name="Normal 12 4 7 2 2 3" xfId="17517"/>
    <cellStyle name="Normal 12 4 7 2 2 3 2" xfId="34797"/>
    <cellStyle name="Normal 12 4 7 2 2 4" xfId="23277"/>
    <cellStyle name="Normal 12 4 7 2 3" xfId="8877"/>
    <cellStyle name="Normal 12 4 7 2 3 2" xfId="26157"/>
    <cellStyle name="Normal 12 4 7 2 4" xfId="14637"/>
    <cellStyle name="Normal 12 4 7 2 4 2" xfId="31917"/>
    <cellStyle name="Normal 12 4 7 2 5" xfId="20397"/>
    <cellStyle name="Normal 12 4 7 3" xfId="4557"/>
    <cellStyle name="Normal 12 4 7 3 2" xfId="10317"/>
    <cellStyle name="Normal 12 4 7 3 2 2" xfId="27597"/>
    <cellStyle name="Normal 12 4 7 3 3" xfId="16077"/>
    <cellStyle name="Normal 12 4 7 3 3 2" xfId="33357"/>
    <cellStyle name="Normal 12 4 7 3 4" xfId="21837"/>
    <cellStyle name="Normal 12 4 7 4" xfId="7437"/>
    <cellStyle name="Normal 12 4 7 4 2" xfId="24717"/>
    <cellStyle name="Normal 12 4 7 5" xfId="13197"/>
    <cellStyle name="Normal 12 4 7 5 2" xfId="30477"/>
    <cellStyle name="Normal 12 4 7 6" xfId="18957"/>
    <cellStyle name="Normal 12 4 8" xfId="2397"/>
    <cellStyle name="Normal 12 4 8 2" xfId="5277"/>
    <cellStyle name="Normal 12 4 8 2 2" xfId="11037"/>
    <cellStyle name="Normal 12 4 8 2 2 2" xfId="28317"/>
    <cellStyle name="Normal 12 4 8 2 3" xfId="16797"/>
    <cellStyle name="Normal 12 4 8 2 3 2" xfId="34077"/>
    <cellStyle name="Normal 12 4 8 2 4" xfId="22557"/>
    <cellStyle name="Normal 12 4 8 3" xfId="8157"/>
    <cellStyle name="Normal 12 4 8 3 2" xfId="25437"/>
    <cellStyle name="Normal 12 4 8 4" xfId="13917"/>
    <cellStyle name="Normal 12 4 8 4 2" xfId="31197"/>
    <cellStyle name="Normal 12 4 8 5" xfId="19677"/>
    <cellStyle name="Normal 12 4 9" xfId="3837"/>
    <cellStyle name="Normal 12 4 9 2" xfId="9597"/>
    <cellStyle name="Normal 12 4 9 2 2" xfId="26877"/>
    <cellStyle name="Normal 12 4 9 3" xfId="15357"/>
    <cellStyle name="Normal 12 4 9 3 2" xfId="32637"/>
    <cellStyle name="Normal 12 4 9 4" xfId="21117"/>
    <cellStyle name="Normal 12 5" xfId="1017"/>
    <cellStyle name="Normal 12 5 10" xfId="18297"/>
    <cellStyle name="Normal 12 5 2" xfId="1137"/>
    <cellStyle name="Normal 12 5 2 2" xfId="1377"/>
    <cellStyle name="Normal 12 5 2 2 2" xfId="2097"/>
    <cellStyle name="Normal 12 5 2 2 2 2" xfId="3537"/>
    <cellStyle name="Normal 12 5 2 2 2 2 2" xfId="6417"/>
    <cellStyle name="Normal 12 5 2 2 2 2 2 2" xfId="12177"/>
    <cellStyle name="Normal 12 5 2 2 2 2 2 2 2" xfId="29457"/>
    <cellStyle name="Normal 12 5 2 2 2 2 2 3" xfId="17937"/>
    <cellStyle name="Normal 12 5 2 2 2 2 2 3 2" xfId="35217"/>
    <cellStyle name="Normal 12 5 2 2 2 2 2 4" xfId="23697"/>
    <cellStyle name="Normal 12 5 2 2 2 2 3" xfId="9297"/>
    <cellStyle name="Normal 12 5 2 2 2 2 3 2" xfId="26577"/>
    <cellStyle name="Normal 12 5 2 2 2 2 4" xfId="15057"/>
    <cellStyle name="Normal 12 5 2 2 2 2 4 2" xfId="32337"/>
    <cellStyle name="Normal 12 5 2 2 2 2 5" xfId="20817"/>
    <cellStyle name="Normal 12 5 2 2 2 3" xfId="4977"/>
    <cellStyle name="Normal 12 5 2 2 2 3 2" xfId="10737"/>
    <cellStyle name="Normal 12 5 2 2 2 3 2 2" xfId="28017"/>
    <cellStyle name="Normal 12 5 2 2 2 3 3" xfId="16497"/>
    <cellStyle name="Normal 12 5 2 2 2 3 3 2" xfId="33777"/>
    <cellStyle name="Normal 12 5 2 2 2 3 4" xfId="22257"/>
    <cellStyle name="Normal 12 5 2 2 2 4" xfId="7857"/>
    <cellStyle name="Normal 12 5 2 2 2 4 2" xfId="25137"/>
    <cellStyle name="Normal 12 5 2 2 2 5" xfId="13617"/>
    <cellStyle name="Normal 12 5 2 2 2 5 2" xfId="30897"/>
    <cellStyle name="Normal 12 5 2 2 2 6" xfId="19377"/>
    <cellStyle name="Normal 12 5 2 2 3" xfId="2817"/>
    <cellStyle name="Normal 12 5 2 2 3 2" xfId="5697"/>
    <cellStyle name="Normal 12 5 2 2 3 2 2" xfId="11457"/>
    <cellStyle name="Normal 12 5 2 2 3 2 2 2" xfId="28737"/>
    <cellStyle name="Normal 12 5 2 2 3 2 3" xfId="17217"/>
    <cellStyle name="Normal 12 5 2 2 3 2 3 2" xfId="34497"/>
    <cellStyle name="Normal 12 5 2 2 3 2 4" xfId="22977"/>
    <cellStyle name="Normal 12 5 2 2 3 3" xfId="8577"/>
    <cellStyle name="Normal 12 5 2 2 3 3 2" xfId="25857"/>
    <cellStyle name="Normal 12 5 2 2 3 4" xfId="14337"/>
    <cellStyle name="Normal 12 5 2 2 3 4 2" xfId="31617"/>
    <cellStyle name="Normal 12 5 2 2 3 5" xfId="20097"/>
    <cellStyle name="Normal 12 5 2 2 4" xfId="4257"/>
    <cellStyle name="Normal 12 5 2 2 4 2" xfId="10017"/>
    <cellStyle name="Normal 12 5 2 2 4 2 2" xfId="27297"/>
    <cellStyle name="Normal 12 5 2 2 4 3" xfId="15777"/>
    <cellStyle name="Normal 12 5 2 2 4 3 2" xfId="33057"/>
    <cellStyle name="Normal 12 5 2 2 4 4" xfId="21537"/>
    <cellStyle name="Normal 12 5 2 2 5" xfId="7137"/>
    <cellStyle name="Normal 12 5 2 2 5 2" xfId="24417"/>
    <cellStyle name="Normal 12 5 2 2 6" xfId="12897"/>
    <cellStyle name="Normal 12 5 2 2 6 2" xfId="30177"/>
    <cellStyle name="Normal 12 5 2 2 7" xfId="18657"/>
    <cellStyle name="Normal 12 5 2 3" xfId="1617"/>
    <cellStyle name="Normal 12 5 2 3 2" xfId="2337"/>
    <cellStyle name="Normal 12 5 2 3 2 2" xfId="3777"/>
    <cellStyle name="Normal 12 5 2 3 2 2 2" xfId="6657"/>
    <cellStyle name="Normal 12 5 2 3 2 2 2 2" xfId="12417"/>
    <cellStyle name="Normal 12 5 2 3 2 2 2 2 2" xfId="29697"/>
    <cellStyle name="Normal 12 5 2 3 2 2 2 3" xfId="18177"/>
    <cellStyle name="Normal 12 5 2 3 2 2 2 3 2" xfId="35457"/>
    <cellStyle name="Normal 12 5 2 3 2 2 2 4" xfId="23937"/>
    <cellStyle name="Normal 12 5 2 3 2 2 3" xfId="9537"/>
    <cellStyle name="Normal 12 5 2 3 2 2 3 2" xfId="26817"/>
    <cellStyle name="Normal 12 5 2 3 2 2 4" xfId="15297"/>
    <cellStyle name="Normal 12 5 2 3 2 2 4 2" xfId="32577"/>
    <cellStyle name="Normal 12 5 2 3 2 2 5" xfId="21057"/>
    <cellStyle name="Normal 12 5 2 3 2 3" xfId="5217"/>
    <cellStyle name="Normal 12 5 2 3 2 3 2" xfId="10977"/>
    <cellStyle name="Normal 12 5 2 3 2 3 2 2" xfId="28257"/>
    <cellStyle name="Normal 12 5 2 3 2 3 3" xfId="16737"/>
    <cellStyle name="Normal 12 5 2 3 2 3 3 2" xfId="34017"/>
    <cellStyle name="Normal 12 5 2 3 2 3 4" xfId="22497"/>
    <cellStyle name="Normal 12 5 2 3 2 4" xfId="8097"/>
    <cellStyle name="Normal 12 5 2 3 2 4 2" xfId="25377"/>
    <cellStyle name="Normal 12 5 2 3 2 5" xfId="13857"/>
    <cellStyle name="Normal 12 5 2 3 2 5 2" xfId="31137"/>
    <cellStyle name="Normal 12 5 2 3 2 6" xfId="19617"/>
    <cellStyle name="Normal 12 5 2 3 3" xfId="3057"/>
    <cellStyle name="Normal 12 5 2 3 3 2" xfId="5937"/>
    <cellStyle name="Normal 12 5 2 3 3 2 2" xfId="11697"/>
    <cellStyle name="Normal 12 5 2 3 3 2 2 2" xfId="28977"/>
    <cellStyle name="Normal 12 5 2 3 3 2 3" xfId="17457"/>
    <cellStyle name="Normal 12 5 2 3 3 2 3 2" xfId="34737"/>
    <cellStyle name="Normal 12 5 2 3 3 2 4" xfId="23217"/>
    <cellStyle name="Normal 12 5 2 3 3 3" xfId="8817"/>
    <cellStyle name="Normal 12 5 2 3 3 3 2" xfId="26097"/>
    <cellStyle name="Normal 12 5 2 3 3 4" xfId="14577"/>
    <cellStyle name="Normal 12 5 2 3 3 4 2" xfId="31857"/>
    <cellStyle name="Normal 12 5 2 3 3 5" xfId="20337"/>
    <cellStyle name="Normal 12 5 2 3 4" xfId="4497"/>
    <cellStyle name="Normal 12 5 2 3 4 2" xfId="10257"/>
    <cellStyle name="Normal 12 5 2 3 4 2 2" xfId="27537"/>
    <cellStyle name="Normal 12 5 2 3 4 3" xfId="16017"/>
    <cellStyle name="Normal 12 5 2 3 4 3 2" xfId="33297"/>
    <cellStyle name="Normal 12 5 2 3 4 4" xfId="21777"/>
    <cellStyle name="Normal 12 5 2 3 5" xfId="7377"/>
    <cellStyle name="Normal 12 5 2 3 5 2" xfId="24657"/>
    <cellStyle name="Normal 12 5 2 3 6" xfId="13137"/>
    <cellStyle name="Normal 12 5 2 3 6 2" xfId="30417"/>
    <cellStyle name="Normal 12 5 2 3 7" xfId="18897"/>
    <cellStyle name="Normal 12 5 2 4" xfId="1857"/>
    <cellStyle name="Normal 12 5 2 4 2" xfId="3297"/>
    <cellStyle name="Normal 12 5 2 4 2 2" xfId="6177"/>
    <cellStyle name="Normal 12 5 2 4 2 2 2" xfId="11937"/>
    <cellStyle name="Normal 12 5 2 4 2 2 2 2" xfId="29217"/>
    <cellStyle name="Normal 12 5 2 4 2 2 3" xfId="17697"/>
    <cellStyle name="Normal 12 5 2 4 2 2 3 2" xfId="34977"/>
    <cellStyle name="Normal 12 5 2 4 2 2 4" xfId="23457"/>
    <cellStyle name="Normal 12 5 2 4 2 3" xfId="9057"/>
    <cellStyle name="Normal 12 5 2 4 2 3 2" xfId="26337"/>
    <cellStyle name="Normal 12 5 2 4 2 4" xfId="14817"/>
    <cellStyle name="Normal 12 5 2 4 2 4 2" xfId="32097"/>
    <cellStyle name="Normal 12 5 2 4 2 5" xfId="20577"/>
    <cellStyle name="Normal 12 5 2 4 3" xfId="4737"/>
    <cellStyle name="Normal 12 5 2 4 3 2" xfId="10497"/>
    <cellStyle name="Normal 12 5 2 4 3 2 2" xfId="27777"/>
    <cellStyle name="Normal 12 5 2 4 3 3" xfId="16257"/>
    <cellStyle name="Normal 12 5 2 4 3 3 2" xfId="33537"/>
    <cellStyle name="Normal 12 5 2 4 3 4" xfId="22017"/>
    <cellStyle name="Normal 12 5 2 4 4" xfId="7617"/>
    <cellStyle name="Normal 12 5 2 4 4 2" xfId="24897"/>
    <cellStyle name="Normal 12 5 2 4 5" xfId="13377"/>
    <cellStyle name="Normal 12 5 2 4 5 2" xfId="30657"/>
    <cellStyle name="Normal 12 5 2 4 6" xfId="19137"/>
    <cellStyle name="Normal 12 5 2 5" xfId="2577"/>
    <cellStyle name="Normal 12 5 2 5 2" xfId="5457"/>
    <cellStyle name="Normal 12 5 2 5 2 2" xfId="11217"/>
    <cellStyle name="Normal 12 5 2 5 2 2 2" xfId="28497"/>
    <cellStyle name="Normal 12 5 2 5 2 3" xfId="16977"/>
    <cellStyle name="Normal 12 5 2 5 2 3 2" xfId="34257"/>
    <cellStyle name="Normal 12 5 2 5 2 4" xfId="22737"/>
    <cellStyle name="Normal 12 5 2 5 3" xfId="8337"/>
    <cellStyle name="Normal 12 5 2 5 3 2" xfId="25617"/>
    <cellStyle name="Normal 12 5 2 5 4" xfId="14097"/>
    <cellStyle name="Normal 12 5 2 5 4 2" xfId="31377"/>
    <cellStyle name="Normal 12 5 2 5 5" xfId="19857"/>
    <cellStyle name="Normal 12 5 2 6" xfId="4017"/>
    <cellStyle name="Normal 12 5 2 6 2" xfId="9777"/>
    <cellStyle name="Normal 12 5 2 6 2 2" xfId="27057"/>
    <cellStyle name="Normal 12 5 2 6 3" xfId="15537"/>
    <cellStyle name="Normal 12 5 2 6 3 2" xfId="32817"/>
    <cellStyle name="Normal 12 5 2 6 4" xfId="21297"/>
    <cellStyle name="Normal 12 5 2 7" xfId="6897"/>
    <cellStyle name="Normal 12 5 2 7 2" xfId="24177"/>
    <cellStyle name="Normal 12 5 2 8" xfId="12657"/>
    <cellStyle name="Normal 12 5 2 8 2" xfId="29937"/>
    <cellStyle name="Normal 12 5 2 9" xfId="18417"/>
    <cellStyle name="Normal 12 5 3" xfId="1257"/>
    <cellStyle name="Normal 12 5 3 2" xfId="1977"/>
    <cellStyle name="Normal 12 5 3 2 2" xfId="3417"/>
    <cellStyle name="Normal 12 5 3 2 2 2" xfId="6297"/>
    <cellStyle name="Normal 12 5 3 2 2 2 2" xfId="12057"/>
    <cellStyle name="Normal 12 5 3 2 2 2 2 2" xfId="29337"/>
    <cellStyle name="Normal 12 5 3 2 2 2 3" xfId="17817"/>
    <cellStyle name="Normal 12 5 3 2 2 2 3 2" xfId="35097"/>
    <cellStyle name="Normal 12 5 3 2 2 2 4" xfId="23577"/>
    <cellStyle name="Normal 12 5 3 2 2 3" xfId="9177"/>
    <cellStyle name="Normal 12 5 3 2 2 3 2" xfId="26457"/>
    <cellStyle name="Normal 12 5 3 2 2 4" xfId="14937"/>
    <cellStyle name="Normal 12 5 3 2 2 4 2" xfId="32217"/>
    <cellStyle name="Normal 12 5 3 2 2 5" xfId="20697"/>
    <cellStyle name="Normal 12 5 3 2 3" xfId="4857"/>
    <cellStyle name="Normal 12 5 3 2 3 2" xfId="10617"/>
    <cellStyle name="Normal 12 5 3 2 3 2 2" xfId="27897"/>
    <cellStyle name="Normal 12 5 3 2 3 3" xfId="16377"/>
    <cellStyle name="Normal 12 5 3 2 3 3 2" xfId="33657"/>
    <cellStyle name="Normal 12 5 3 2 3 4" xfId="22137"/>
    <cellStyle name="Normal 12 5 3 2 4" xfId="7737"/>
    <cellStyle name="Normal 12 5 3 2 4 2" xfId="25017"/>
    <cellStyle name="Normal 12 5 3 2 5" xfId="13497"/>
    <cellStyle name="Normal 12 5 3 2 5 2" xfId="30777"/>
    <cellStyle name="Normal 12 5 3 2 6" xfId="19257"/>
    <cellStyle name="Normal 12 5 3 3" xfId="2697"/>
    <cellStyle name="Normal 12 5 3 3 2" xfId="5577"/>
    <cellStyle name="Normal 12 5 3 3 2 2" xfId="11337"/>
    <cellStyle name="Normal 12 5 3 3 2 2 2" xfId="28617"/>
    <cellStyle name="Normal 12 5 3 3 2 3" xfId="17097"/>
    <cellStyle name="Normal 12 5 3 3 2 3 2" xfId="34377"/>
    <cellStyle name="Normal 12 5 3 3 2 4" xfId="22857"/>
    <cellStyle name="Normal 12 5 3 3 3" xfId="8457"/>
    <cellStyle name="Normal 12 5 3 3 3 2" xfId="25737"/>
    <cellStyle name="Normal 12 5 3 3 4" xfId="14217"/>
    <cellStyle name="Normal 12 5 3 3 4 2" xfId="31497"/>
    <cellStyle name="Normal 12 5 3 3 5" xfId="19977"/>
    <cellStyle name="Normal 12 5 3 4" xfId="4137"/>
    <cellStyle name="Normal 12 5 3 4 2" xfId="9897"/>
    <cellStyle name="Normal 12 5 3 4 2 2" xfId="27177"/>
    <cellStyle name="Normal 12 5 3 4 3" xfId="15657"/>
    <cellStyle name="Normal 12 5 3 4 3 2" xfId="32937"/>
    <cellStyle name="Normal 12 5 3 4 4" xfId="21417"/>
    <cellStyle name="Normal 12 5 3 5" xfId="7017"/>
    <cellStyle name="Normal 12 5 3 5 2" xfId="24297"/>
    <cellStyle name="Normal 12 5 3 6" xfId="12777"/>
    <cellStyle name="Normal 12 5 3 6 2" xfId="30057"/>
    <cellStyle name="Normal 12 5 3 7" xfId="18537"/>
    <cellStyle name="Normal 12 5 4" xfId="1497"/>
    <cellStyle name="Normal 12 5 4 2" xfId="2217"/>
    <cellStyle name="Normal 12 5 4 2 2" xfId="3657"/>
    <cellStyle name="Normal 12 5 4 2 2 2" xfId="6537"/>
    <cellStyle name="Normal 12 5 4 2 2 2 2" xfId="12297"/>
    <cellStyle name="Normal 12 5 4 2 2 2 2 2" xfId="29577"/>
    <cellStyle name="Normal 12 5 4 2 2 2 3" xfId="18057"/>
    <cellStyle name="Normal 12 5 4 2 2 2 3 2" xfId="35337"/>
    <cellStyle name="Normal 12 5 4 2 2 2 4" xfId="23817"/>
    <cellStyle name="Normal 12 5 4 2 2 3" xfId="9417"/>
    <cellStyle name="Normal 12 5 4 2 2 3 2" xfId="26697"/>
    <cellStyle name="Normal 12 5 4 2 2 4" xfId="15177"/>
    <cellStyle name="Normal 12 5 4 2 2 4 2" xfId="32457"/>
    <cellStyle name="Normal 12 5 4 2 2 5" xfId="20937"/>
    <cellStyle name="Normal 12 5 4 2 3" xfId="5097"/>
    <cellStyle name="Normal 12 5 4 2 3 2" xfId="10857"/>
    <cellStyle name="Normal 12 5 4 2 3 2 2" xfId="28137"/>
    <cellStyle name="Normal 12 5 4 2 3 3" xfId="16617"/>
    <cellStyle name="Normal 12 5 4 2 3 3 2" xfId="33897"/>
    <cellStyle name="Normal 12 5 4 2 3 4" xfId="22377"/>
    <cellStyle name="Normal 12 5 4 2 4" xfId="7977"/>
    <cellStyle name="Normal 12 5 4 2 4 2" xfId="25257"/>
    <cellStyle name="Normal 12 5 4 2 5" xfId="13737"/>
    <cellStyle name="Normal 12 5 4 2 5 2" xfId="31017"/>
    <cellStyle name="Normal 12 5 4 2 6" xfId="19497"/>
    <cellStyle name="Normal 12 5 4 3" xfId="2937"/>
    <cellStyle name="Normal 12 5 4 3 2" xfId="5817"/>
    <cellStyle name="Normal 12 5 4 3 2 2" xfId="11577"/>
    <cellStyle name="Normal 12 5 4 3 2 2 2" xfId="28857"/>
    <cellStyle name="Normal 12 5 4 3 2 3" xfId="17337"/>
    <cellStyle name="Normal 12 5 4 3 2 3 2" xfId="34617"/>
    <cellStyle name="Normal 12 5 4 3 2 4" xfId="23097"/>
    <cellStyle name="Normal 12 5 4 3 3" xfId="8697"/>
    <cellStyle name="Normal 12 5 4 3 3 2" xfId="25977"/>
    <cellStyle name="Normal 12 5 4 3 4" xfId="14457"/>
    <cellStyle name="Normal 12 5 4 3 4 2" xfId="31737"/>
    <cellStyle name="Normal 12 5 4 3 5" xfId="20217"/>
    <cellStyle name="Normal 12 5 4 4" xfId="4377"/>
    <cellStyle name="Normal 12 5 4 4 2" xfId="10137"/>
    <cellStyle name="Normal 12 5 4 4 2 2" xfId="27417"/>
    <cellStyle name="Normal 12 5 4 4 3" xfId="15897"/>
    <cellStyle name="Normal 12 5 4 4 3 2" xfId="33177"/>
    <cellStyle name="Normal 12 5 4 4 4" xfId="21657"/>
    <cellStyle name="Normal 12 5 4 5" xfId="7257"/>
    <cellStyle name="Normal 12 5 4 5 2" xfId="24537"/>
    <cellStyle name="Normal 12 5 4 6" xfId="13017"/>
    <cellStyle name="Normal 12 5 4 6 2" xfId="30297"/>
    <cellStyle name="Normal 12 5 4 7" xfId="18777"/>
    <cellStyle name="Normal 12 5 5" xfId="1737"/>
    <cellStyle name="Normal 12 5 5 2" xfId="3177"/>
    <cellStyle name="Normal 12 5 5 2 2" xfId="6057"/>
    <cellStyle name="Normal 12 5 5 2 2 2" xfId="11817"/>
    <cellStyle name="Normal 12 5 5 2 2 2 2" xfId="29097"/>
    <cellStyle name="Normal 12 5 5 2 2 3" xfId="17577"/>
    <cellStyle name="Normal 12 5 5 2 2 3 2" xfId="34857"/>
    <cellStyle name="Normal 12 5 5 2 2 4" xfId="23337"/>
    <cellStyle name="Normal 12 5 5 2 3" xfId="8937"/>
    <cellStyle name="Normal 12 5 5 2 3 2" xfId="26217"/>
    <cellStyle name="Normal 12 5 5 2 4" xfId="14697"/>
    <cellStyle name="Normal 12 5 5 2 4 2" xfId="31977"/>
    <cellStyle name="Normal 12 5 5 2 5" xfId="20457"/>
    <cellStyle name="Normal 12 5 5 3" xfId="4617"/>
    <cellStyle name="Normal 12 5 5 3 2" xfId="10377"/>
    <cellStyle name="Normal 12 5 5 3 2 2" xfId="27657"/>
    <cellStyle name="Normal 12 5 5 3 3" xfId="16137"/>
    <cellStyle name="Normal 12 5 5 3 3 2" xfId="33417"/>
    <cellStyle name="Normal 12 5 5 3 4" xfId="21897"/>
    <cellStyle name="Normal 12 5 5 4" xfId="7497"/>
    <cellStyle name="Normal 12 5 5 4 2" xfId="24777"/>
    <cellStyle name="Normal 12 5 5 5" xfId="13257"/>
    <cellStyle name="Normal 12 5 5 5 2" xfId="30537"/>
    <cellStyle name="Normal 12 5 5 6" xfId="19017"/>
    <cellStyle name="Normal 12 5 6" xfId="2457"/>
    <cellStyle name="Normal 12 5 6 2" xfId="5337"/>
    <cellStyle name="Normal 12 5 6 2 2" xfId="11097"/>
    <cellStyle name="Normal 12 5 6 2 2 2" xfId="28377"/>
    <cellStyle name="Normal 12 5 6 2 3" xfId="16857"/>
    <cellStyle name="Normal 12 5 6 2 3 2" xfId="34137"/>
    <cellStyle name="Normal 12 5 6 2 4" xfId="22617"/>
    <cellStyle name="Normal 12 5 6 3" xfId="8217"/>
    <cellStyle name="Normal 12 5 6 3 2" xfId="25497"/>
    <cellStyle name="Normal 12 5 6 4" xfId="13977"/>
    <cellStyle name="Normal 12 5 6 4 2" xfId="31257"/>
    <cellStyle name="Normal 12 5 6 5" xfId="19737"/>
    <cellStyle name="Normal 12 5 7" xfId="3897"/>
    <cellStyle name="Normal 12 5 7 2" xfId="9657"/>
    <cellStyle name="Normal 12 5 7 2 2" xfId="26937"/>
    <cellStyle name="Normal 12 5 7 3" xfId="15417"/>
    <cellStyle name="Normal 12 5 7 3 2" xfId="32697"/>
    <cellStyle name="Normal 12 5 7 4" xfId="21177"/>
    <cellStyle name="Normal 12 5 8" xfId="6777"/>
    <cellStyle name="Normal 12 5 8 2" xfId="24057"/>
    <cellStyle name="Normal 12 5 9" xfId="12537"/>
    <cellStyle name="Normal 12 5 9 2" xfId="29817"/>
    <cellStyle name="Normal 12 6" xfId="977"/>
    <cellStyle name="Normal 12 6 10" xfId="18257"/>
    <cellStyle name="Normal 12 6 2" xfId="1097"/>
    <cellStyle name="Normal 12 6 2 2" xfId="1337"/>
    <cellStyle name="Normal 12 6 2 2 2" xfId="2057"/>
    <cellStyle name="Normal 12 6 2 2 2 2" xfId="3497"/>
    <cellStyle name="Normal 12 6 2 2 2 2 2" xfId="6377"/>
    <cellStyle name="Normal 12 6 2 2 2 2 2 2" xfId="12137"/>
    <cellStyle name="Normal 12 6 2 2 2 2 2 2 2" xfId="29417"/>
    <cellStyle name="Normal 12 6 2 2 2 2 2 3" xfId="17897"/>
    <cellStyle name="Normal 12 6 2 2 2 2 2 3 2" xfId="35177"/>
    <cellStyle name="Normal 12 6 2 2 2 2 2 4" xfId="23657"/>
    <cellStyle name="Normal 12 6 2 2 2 2 3" xfId="9257"/>
    <cellStyle name="Normal 12 6 2 2 2 2 3 2" xfId="26537"/>
    <cellStyle name="Normal 12 6 2 2 2 2 4" xfId="15017"/>
    <cellStyle name="Normal 12 6 2 2 2 2 4 2" xfId="32297"/>
    <cellStyle name="Normal 12 6 2 2 2 2 5" xfId="20777"/>
    <cellStyle name="Normal 12 6 2 2 2 3" xfId="4937"/>
    <cellStyle name="Normal 12 6 2 2 2 3 2" xfId="10697"/>
    <cellStyle name="Normal 12 6 2 2 2 3 2 2" xfId="27977"/>
    <cellStyle name="Normal 12 6 2 2 2 3 3" xfId="16457"/>
    <cellStyle name="Normal 12 6 2 2 2 3 3 2" xfId="33737"/>
    <cellStyle name="Normal 12 6 2 2 2 3 4" xfId="22217"/>
    <cellStyle name="Normal 12 6 2 2 2 4" xfId="7817"/>
    <cellStyle name="Normal 12 6 2 2 2 4 2" xfId="25097"/>
    <cellStyle name="Normal 12 6 2 2 2 5" xfId="13577"/>
    <cellStyle name="Normal 12 6 2 2 2 5 2" xfId="30857"/>
    <cellStyle name="Normal 12 6 2 2 2 6" xfId="19337"/>
    <cellStyle name="Normal 12 6 2 2 3" xfId="2777"/>
    <cellStyle name="Normal 12 6 2 2 3 2" xfId="5657"/>
    <cellStyle name="Normal 12 6 2 2 3 2 2" xfId="11417"/>
    <cellStyle name="Normal 12 6 2 2 3 2 2 2" xfId="28697"/>
    <cellStyle name="Normal 12 6 2 2 3 2 3" xfId="17177"/>
    <cellStyle name="Normal 12 6 2 2 3 2 3 2" xfId="34457"/>
    <cellStyle name="Normal 12 6 2 2 3 2 4" xfId="22937"/>
    <cellStyle name="Normal 12 6 2 2 3 3" xfId="8537"/>
    <cellStyle name="Normal 12 6 2 2 3 3 2" xfId="25817"/>
    <cellStyle name="Normal 12 6 2 2 3 4" xfId="14297"/>
    <cellStyle name="Normal 12 6 2 2 3 4 2" xfId="31577"/>
    <cellStyle name="Normal 12 6 2 2 3 5" xfId="20057"/>
    <cellStyle name="Normal 12 6 2 2 4" xfId="4217"/>
    <cellStyle name="Normal 12 6 2 2 4 2" xfId="9977"/>
    <cellStyle name="Normal 12 6 2 2 4 2 2" xfId="27257"/>
    <cellStyle name="Normal 12 6 2 2 4 3" xfId="15737"/>
    <cellStyle name="Normal 12 6 2 2 4 3 2" xfId="33017"/>
    <cellStyle name="Normal 12 6 2 2 4 4" xfId="21497"/>
    <cellStyle name="Normal 12 6 2 2 5" xfId="7097"/>
    <cellStyle name="Normal 12 6 2 2 5 2" xfId="24377"/>
    <cellStyle name="Normal 12 6 2 2 6" xfId="12857"/>
    <cellStyle name="Normal 12 6 2 2 6 2" xfId="30137"/>
    <cellStyle name="Normal 12 6 2 2 7" xfId="18617"/>
    <cellStyle name="Normal 12 6 2 3" xfId="1577"/>
    <cellStyle name="Normal 12 6 2 3 2" xfId="2297"/>
    <cellStyle name="Normal 12 6 2 3 2 2" xfId="3737"/>
    <cellStyle name="Normal 12 6 2 3 2 2 2" xfId="6617"/>
    <cellStyle name="Normal 12 6 2 3 2 2 2 2" xfId="12377"/>
    <cellStyle name="Normal 12 6 2 3 2 2 2 2 2" xfId="29657"/>
    <cellStyle name="Normal 12 6 2 3 2 2 2 3" xfId="18137"/>
    <cellStyle name="Normal 12 6 2 3 2 2 2 3 2" xfId="35417"/>
    <cellStyle name="Normal 12 6 2 3 2 2 2 4" xfId="23897"/>
    <cellStyle name="Normal 12 6 2 3 2 2 3" xfId="9497"/>
    <cellStyle name="Normal 12 6 2 3 2 2 3 2" xfId="26777"/>
    <cellStyle name="Normal 12 6 2 3 2 2 4" xfId="15257"/>
    <cellStyle name="Normal 12 6 2 3 2 2 4 2" xfId="32537"/>
    <cellStyle name="Normal 12 6 2 3 2 2 5" xfId="21017"/>
    <cellStyle name="Normal 12 6 2 3 2 3" xfId="5177"/>
    <cellStyle name="Normal 12 6 2 3 2 3 2" xfId="10937"/>
    <cellStyle name="Normal 12 6 2 3 2 3 2 2" xfId="28217"/>
    <cellStyle name="Normal 12 6 2 3 2 3 3" xfId="16697"/>
    <cellStyle name="Normal 12 6 2 3 2 3 3 2" xfId="33977"/>
    <cellStyle name="Normal 12 6 2 3 2 3 4" xfId="22457"/>
    <cellStyle name="Normal 12 6 2 3 2 4" xfId="8057"/>
    <cellStyle name="Normal 12 6 2 3 2 4 2" xfId="25337"/>
    <cellStyle name="Normal 12 6 2 3 2 5" xfId="13817"/>
    <cellStyle name="Normal 12 6 2 3 2 5 2" xfId="31097"/>
    <cellStyle name="Normal 12 6 2 3 2 6" xfId="19577"/>
    <cellStyle name="Normal 12 6 2 3 3" xfId="3017"/>
    <cellStyle name="Normal 12 6 2 3 3 2" xfId="5897"/>
    <cellStyle name="Normal 12 6 2 3 3 2 2" xfId="11657"/>
    <cellStyle name="Normal 12 6 2 3 3 2 2 2" xfId="28937"/>
    <cellStyle name="Normal 12 6 2 3 3 2 3" xfId="17417"/>
    <cellStyle name="Normal 12 6 2 3 3 2 3 2" xfId="34697"/>
    <cellStyle name="Normal 12 6 2 3 3 2 4" xfId="23177"/>
    <cellStyle name="Normal 12 6 2 3 3 3" xfId="8777"/>
    <cellStyle name="Normal 12 6 2 3 3 3 2" xfId="26057"/>
    <cellStyle name="Normal 12 6 2 3 3 4" xfId="14537"/>
    <cellStyle name="Normal 12 6 2 3 3 4 2" xfId="31817"/>
    <cellStyle name="Normal 12 6 2 3 3 5" xfId="20297"/>
    <cellStyle name="Normal 12 6 2 3 4" xfId="4457"/>
    <cellStyle name="Normal 12 6 2 3 4 2" xfId="10217"/>
    <cellStyle name="Normal 12 6 2 3 4 2 2" xfId="27497"/>
    <cellStyle name="Normal 12 6 2 3 4 3" xfId="15977"/>
    <cellStyle name="Normal 12 6 2 3 4 3 2" xfId="33257"/>
    <cellStyle name="Normal 12 6 2 3 4 4" xfId="21737"/>
    <cellStyle name="Normal 12 6 2 3 5" xfId="7337"/>
    <cellStyle name="Normal 12 6 2 3 5 2" xfId="24617"/>
    <cellStyle name="Normal 12 6 2 3 6" xfId="13097"/>
    <cellStyle name="Normal 12 6 2 3 6 2" xfId="30377"/>
    <cellStyle name="Normal 12 6 2 3 7" xfId="18857"/>
    <cellStyle name="Normal 12 6 2 4" xfId="1817"/>
    <cellStyle name="Normal 12 6 2 4 2" xfId="3257"/>
    <cellStyle name="Normal 12 6 2 4 2 2" xfId="6137"/>
    <cellStyle name="Normal 12 6 2 4 2 2 2" xfId="11897"/>
    <cellStyle name="Normal 12 6 2 4 2 2 2 2" xfId="29177"/>
    <cellStyle name="Normal 12 6 2 4 2 2 3" xfId="17657"/>
    <cellStyle name="Normal 12 6 2 4 2 2 3 2" xfId="34937"/>
    <cellStyle name="Normal 12 6 2 4 2 2 4" xfId="23417"/>
    <cellStyle name="Normal 12 6 2 4 2 3" xfId="9017"/>
    <cellStyle name="Normal 12 6 2 4 2 3 2" xfId="26297"/>
    <cellStyle name="Normal 12 6 2 4 2 4" xfId="14777"/>
    <cellStyle name="Normal 12 6 2 4 2 4 2" xfId="32057"/>
    <cellStyle name="Normal 12 6 2 4 2 5" xfId="20537"/>
    <cellStyle name="Normal 12 6 2 4 3" xfId="4697"/>
    <cellStyle name="Normal 12 6 2 4 3 2" xfId="10457"/>
    <cellStyle name="Normal 12 6 2 4 3 2 2" xfId="27737"/>
    <cellStyle name="Normal 12 6 2 4 3 3" xfId="16217"/>
    <cellStyle name="Normal 12 6 2 4 3 3 2" xfId="33497"/>
    <cellStyle name="Normal 12 6 2 4 3 4" xfId="21977"/>
    <cellStyle name="Normal 12 6 2 4 4" xfId="7577"/>
    <cellStyle name="Normal 12 6 2 4 4 2" xfId="24857"/>
    <cellStyle name="Normal 12 6 2 4 5" xfId="13337"/>
    <cellStyle name="Normal 12 6 2 4 5 2" xfId="30617"/>
    <cellStyle name="Normal 12 6 2 4 6" xfId="19097"/>
    <cellStyle name="Normal 12 6 2 5" xfId="2537"/>
    <cellStyle name="Normal 12 6 2 5 2" xfId="5417"/>
    <cellStyle name="Normal 12 6 2 5 2 2" xfId="11177"/>
    <cellStyle name="Normal 12 6 2 5 2 2 2" xfId="28457"/>
    <cellStyle name="Normal 12 6 2 5 2 3" xfId="16937"/>
    <cellStyle name="Normal 12 6 2 5 2 3 2" xfId="34217"/>
    <cellStyle name="Normal 12 6 2 5 2 4" xfId="22697"/>
    <cellStyle name="Normal 12 6 2 5 3" xfId="8297"/>
    <cellStyle name="Normal 12 6 2 5 3 2" xfId="25577"/>
    <cellStyle name="Normal 12 6 2 5 4" xfId="14057"/>
    <cellStyle name="Normal 12 6 2 5 4 2" xfId="31337"/>
    <cellStyle name="Normal 12 6 2 5 5" xfId="19817"/>
    <cellStyle name="Normal 12 6 2 6" xfId="3977"/>
    <cellStyle name="Normal 12 6 2 6 2" xfId="9737"/>
    <cellStyle name="Normal 12 6 2 6 2 2" xfId="27017"/>
    <cellStyle name="Normal 12 6 2 6 3" xfId="15497"/>
    <cellStyle name="Normal 12 6 2 6 3 2" xfId="32777"/>
    <cellStyle name="Normal 12 6 2 6 4" xfId="21257"/>
    <cellStyle name="Normal 12 6 2 7" xfId="6857"/>
    <cellStyle name="Normal 12 6 2 7 2" xfId="24137"/>
    <cellStyle name="Normal 12 6 2 8" xfId="12617"/>
    <cellStyle name="Normal 12 6 2 8 2" xfId="29897"/>
    <cellStyle name="Normal 12 6 2 9" xfId="18377"/>
    <cellStyle name="Normal 12 6 3" xfId="1217"/>
    <cellStyle name="Normal 12 6 3 2" xfId="1937"/>
    <cellStyle name="Normal 12 6 3 2 2" xfId="3377"/>
    <cellStyle name="Normal 12 6 3 2 2 2" xfId="6257"/>
    <cellStyle name="Normal 12 6 3 2 2 2 2" xfId="12017"/>
    <cellStyle name="Normal 12 6 3 2 2 2 2 2" xfId="29297"/>
    <cellStyle name="Normal 12 6 3 2 2 2 3" xfId="17777"/>
    <cellStyle name="Normal 12 6 3 2 2 2 3 2" xfId="35057"/>
    <cellStyle name="Normal 12 6 3 2 2 2 4" xfId="23537"/>
    <cellStyle name="Normal 12 6 3 2 2 3" xfId="9137"/>
    <cellStyle name="Normal 12 6 3 2 2 3 2" xfId="26417"/>
    <cellStyle name="Normal 12 6 3 2 2 4" xfId="14897"/>
    <cellStyle name="Normal 12 6 3 2 2 4 2" xfId="32177"/>
    <cellStyle name="Normal 12 6 3 2 2 5" xfId="20657"/>
    <cellStyle name="Normal 12 6 3 2 3" xfId="4817"/>
    <cellStyle name="Normal 12 6 3 2 3 2" xfId="10577"/>
    <cellStyle name="Normal 12 6 3 2 3 2 2" xfId="27857"/>
    <cellStyle name="Normal 12 6 3 2 3 3" xfId="16337"/>
    <cellStyle name="Normal 12 6 3 2 3 3 2" xfId="33617"/>
    <cellStyle name="Normal 12 6 3 2 3 4" xfId="22097"/>
    <cellStyle name="Normal 12 6 3 2 4" xfId="7697"/>
    <cellStyle name="Normal 12 6 3 2 4 2" xfId="24977"/>
    <cellStyle name="Normal 12 6 3 2 5" xfId="13457"/>
    <cellStyle name="Normal 12 6 3 2 5 2" xfId="30737"/>
    <cellStyle name="Normal 12 6 3 2 6" xfId="19217"/>
    <cellStyle name="Normal 12 6 3 3" xfId="2657"/>
    <cellStyle name="Normal 12 6 3 3 2" xfId="5537"/>
    <cellStyle name="Normal 12 6 3 3 2 2" xfId="11297"/>
    <cellStyle name="Normal 12 6 3 3 2 2 2" xfId="28577"/>
    <cellStyle name="Normal 12 6 3 3 2 3" xfId="17057"/>
    <cellStyle name="Normal 12 6 3 3 2 3 2" xfId="34337"/>
    <cellStyle name="Normal 12 6 3 3 2 4" xfId="22817"/>
    <cellStyle name="Normal 12 6 3 3 3" xfId="8417"/>
    <cellStyle name="Normal 12 6 3 3 3 2" xfId="25697"/>
    <cellStyle name="Normal 12 6 3 3 4" xfId="14177"/>
    <cellStyle name="Normal 12 6 3 3 4 2" xfId="31457"/>
    <cellStyle name="Normal 12 6 3 3 5" xfId="19937"/>
    <cellStyle name="Normal 12 6 3 4" xfId="4097"/>
    <cellStyle name="Normal 12 6 3 4 2" xfId="9857"/>
    <cellStyle name="Normal 12 6 3 4 2 2" xfId="27137"/>
    <cellStyle name="Normal 12 6 3 4 3" xfId="15617"/>
    <cellStyle name="Normal 12 6 3 4 3 2" xfId="32897"/>
    <cellStyle name="Normal 12 6 3 4 4" xfId="21377"/>
    <cellStyle name="Normal 12 6 3 5" xfId="6977"/>
    <cellStyle name="Normal 12 6 3 5 2" xfId="24257"/>
    <cellStyle name="Normal 12 6 3 6" xfId="12737"/>
    <cellStyle name="Normal 12 6 3 6 2" xfId="30017"/>
    <cellStyle name="Normal 12 6 3 7" xfId="18497"/>
    <cellStyle name="Normal 12 6 4" xfId="1457"/>
    <cellStyle name="Normal 12 6 4 2" xfId="2177"/>
    <cellStyle name="Normal 12 6 4 2 2" xfId="3617"/>
    <cellStyle name="Normal 12 6 4 2 2 2" xfId="6497"/>
    <cellStyle name="Normal 12 6 4 2 2 2 2" xfId="12257"/>
    <cellStyle name="Normal 12 6 4 2 2 2 2 2" xfId="29537"/>
    <cellStyle name="Normal 12 6 4 2 2 2 3" xfId="18017"/>
    <cellStyle name="Normal 12 6 4 2 2 2 3 2" xfId="35297"/>
    <cellStyle name="Normal 12 6 4 2 2 2 4" xfId="23777"/>
    <cellStyle name="Normal 12 6 4 2 2 3" xfId="9377"/>
    <cellStyle name="Normal 12 6 4 2 2 3 2" xfId="26657"/>
    <cellStyle name="Normal 12 6 4 2 2 4" xfId="15137"/>
    <cellStyle name="Normal 12 6 4 2 2 4 2" xfId="32417"/>
    <cellStyle name="Normal 12 6 4 2 2 5" xfId="20897"/>
    <cellStyle name="Normal 12 6 4 2 3" xfId="5057"/>
    <cellStyle name="Normal 12 6 4 2 3 2" xfId="10817"/>
    <cellStyle name="Normal 12 6 4 2 3 2 2" xfId="28097"/>
    <cellStyle name="Normal 12 6 4 2 3 3" xfId="16577"/>
    <cellStyle name="Normal 12 6 4 2 3 3 2" xfId="33857"/>
    <cellStyle name="Normal 12 6 4 2 3 4" xfId="22337"/>
    <cellStyle name="Normal 12 6 4 2 4" xfId="7937"/>
    <cellStyle name="Normal 12 6 4 2 4 2" xfId="25217"/>
    <cellStyle name="Normal 12 6 4 2 5" xfId="13697"/>
    <cellStyle name="Normal 12 6 4 2 5 2" xfId="30977"/>
    <cellStyle name="Normal 12 6 4 2 6" xfId="19457"/>
    <cellStyle name="Normal 12 6 4 3" xfId="2897"/>
    <cellStyle name="Normal 12 6 4 3 2" xfId="5777"/>
    <cellStyle name="Normal 12 6 4 3 2 2" xfId="11537"/>
    <cellStyle name="Normal 12 6 4 3 2 2 2" xfId="28817"/>
    <cellStyle name="Normal 12 6 4 3 2 3" xfId="17297"/>
    <cellStyle name="Normal 12 6 4 3 2 3 2" xfId="34577"/>
    <cellStyle name="Normal 12 6 4 3 2 4" xfId="23057"/>
    <cellStyle name="Normal 12 6 4 3 3" xfId="8657"/>
    <cellStyle name="Normal 12 6 4 3 3 2" xfId="25937"/>
    <cellStyle name="Normal 12 6 4 3 4" xfId="14417"/>
    <cellStyle name="Normal 12 6 4 3 4 2" xfId="31697"/>
    <cellStyle name="Normal 12 6 4 3 5" xfId="20177"/>
    <cellStyle name="Normal 12 6 4 4" xfId="4337"/>
    <cellStyle name="Normal 12 6 4 4 2" xfId="10097"/>
    <cellStyle name="Normal 12 6 4 4 2 2" xfId="27377"/>
    <cellStyle name="Normal 12 6 4 4 3" xfId="15857"/>
    <cellStyle name="Normal 12 6 4 4 3 2" xfId="33137"/>
    <cellStyle name="Normal 12 6 4 4 4" xfId="21617"/>
    <cellStyle name="Normal 12 6 4 5" xfId="7217"/>
    <cellStyle name="Normal 12 6 4 5 2" xfId="24497"/>
    <cellStyle name="Normal 12 6 4 6" xfId="12977"/>
    <cellStyle name="Normal 12 6 4 6 2" xfId="30257"/>
    <cellStyle name="Normal 12 6 4 7" xfId="18737"/>
    <cellStyle name="Normal 12 6 5" xfId="1697"/>
    <cellStyle name="Normal 12 6 5 2" xfId="3137"/>
    <cellStyle name="Normal 12 6 5 2 2" xfId="6017"/>
    <cellStyle name="Normal 12 6 5 2 2 2" xfId="11777"/>
    <cellStyle name="Normal 12 6 5 2 2 2 2" xfId="29057"/>
    <cellStyle name="Normal 12 6 5 2 2 3" xfId="17537"/>
    <cellStyle name="Normal 12 6 5 2 2 3 2" xfId="34817"/>
    <cellStyle name="Normal 12 6 5 2 2 4" xfId="23297"/>
    <cellStyle name="Normal 12 6 5 2 3" xfId="8897"/>
    <cellStyle name="Normal 12 6 5 2 3 2" xfId="26177"/>
    <cellStyle name="Normal 12 6 5 2 4" xfId="14657"/>
    <cellStyle name="Normal 12 6 5 2 4 2" xfId="31937"/>
    <cellStyle name="Normal 12 6 5 2 5" xfId="20417"/>
    <cellStyle name="Normal 12 6 5 3" xfId="4577"/>
    <cellStyle name="Normal 12 6 5 3 2" xfId="10337"/>
    <cellStyle name="Normal 12 6 5 3 2 2" xfId="27617"/>
    <cellStyle name="Normal 12 6 5 3 3" xfId="16097"/>
    <cellStyle name="Normal 12 6 5 3 3 2" xfId="33377"/>
    <cellStyle name="Normal 12 6 5 3 4" xfId="21857"/>
    <cellStyle name="Normal 12 6 5 4" xfId="7457"/>
    <cellStyle name="Normal 12 6 5 4 2" xfId="24737"/>
    <cellStyle name="Normal 12 6 5 5" xfId="13217"/>
    <cellStyle name="Normal 12 6 5 5 2" xfId="30497"/>
    <cellStyle name="Normal 12 6 5 6" xfId="18977"/>
    <cellStyle name="Normal 12 6 6" xfId="2417"/>
    <cellStyle name="Normal 12 6 6 2" xfId="5297"/>
    <cellStyle name="Normal 12 6 6 2 2" xfId="11057"/>
    <cellStyle name="Normal 12 6 6 2 2 2" xfId="28337"/>
    <cellStyle name="Normal 12 6 6 2 3" xfId="16817"/>
    <cellStyle name="Normal 12 6 6 2 3 2" xfId="34097"/>
    <cellStyle name="Normal 12 6 6 2 4" xfId="22577"/>
    <cellStyle name="Normal 12 6 6 3" xfId="8177"/>
    <cellStyle name="Normal 12 6 6 3 2" xfId="25457"/>
    <cellStyle name="Normal 12 6 6 4" xfId="13937"/>
    <cellStyle name="Normal 12 6 6 4 2" xfId="31217"/>
    <cellStyle name="Normal 12 6 6 5" xfId="19697"/>
    <cellStyle name="Normal 12 6 7" xfId="3857"/>
    <cellStyle name="Normal 12 6 7 2" xfId="9617"/>
    <cellStyle name="Normal 12 6 7 2 2" xfId="26897"/>
    <cellStyle name="Normal 12 6 7 3" xfId="15377"/>
    <cellStyle name="Normal 12 6 7 3 2" xfId="32657"/>
    <cellStyle name="Normal 12 6 7 4" xfId="21137"/>
    <cellStyle name="Normal 12 6 8" xfId="6737"/>
    <cellStyle name="Normal 12 6 8 2" xfId="24017"/>
    <cellStyle name="Normal 12 6 9" xfId="12497"/>
    <cellStyle name="Normal 12 6 9 2" xfId="29777"/>
    <cellStyle name="Normal 12 7" xfId="1057"/>
    <cellStyle name="Normal 12 7 2" xfId="1297"/>
    <cellStyle name="Normal 12 7 2 2" xfId="2017"/>
    <cellStyle name="Normal 12 7 2 2 2" xfId="3457"/>
    <cellStyle name="Normal 12 7 2 2 2 2" xfId="6337"/>
    <cellStyle name="Normal 12 7 2 2 2 2 2" xfId="12097"/>
    <cellStyle name="Normal 12 7 2 2 2 2 2 2" xfId="29377"/>
    <cellStyle name="Normal 12 7 2 2 2 2 3" xfId="17857"/>
    <cellStyle name="Normal 12 7 2 2 2 2 3 2" xfId="35137"/>
    <cellStyle name="Normal 12 7 2 2 2 2 4" xfId="23617"/>
    <cellStyle name="Normal 12 7 2 2 2 3" xfId="9217"/>
    <cellStyle name="Normal 12 7 2 2 2 3 2" xfId="26497"/>
    <cellStyle name="Normal 12 7 2 2 2 4" xfId="14977"/>
    <cellStyle name="Normal 12 7 2 2 2 4 2" xfId="32257"/>
    <cellStyle name="Normal 12 7 2 2 2 5" xfId="20737"/>
    <cellStyle name="Normal 12 7 2 2 3" xfId="4897"/>
    <cellStyle name="Normal 12 7 2 2 3 2" xfId="10657"/>
    <cellStyle name="Normal 12 7 2 2 3 2 2" xfId="27937"/>
    <cellStyle name="Normal 12 7 2 2 3 3" xfId="16417"/>
    <cellStyle name="Normal 12 7 2 2 3 3 2" xfId="33697"/>
    <cellStyle name="Normal 12 7 2 2 3 4" xfId="22177"/>
    <cellStyle name="Normal 12 7 2 2 4" xfId="7777"/>
    <cellStyle name="Normal 12 7 2 2 4 2" xfId="25057"/>
    <cellStyle name="Normal 12 7 2 2 5" xfId="13537"/>
    <cellStyle name="Normal 12 7 2 2 5 2" xfId="30817"/>
    <cellStyle name="Normal 12 7 2 2 6" xfId="19297"/>
    <cellStyle name="Normal 12 7 2 3" xfId="2737"/>
    <cellStyle name="Normal 12 7 2 3 2" xfId="5617"/>
    <cellStyle name="Normal 12 7 2 3 2 2" xfId="11377"/>
    <cellStyle name="Normal 12 7 2 3 2 2 2" xfId="28657"/>
    <cellStyle name="Normal 12 7 2 3 2 3" xfId="17137"/>
    <cellStyle name="Normal 12 7 2 3 2 3 2" xfId="34417"/>
    <cellStyle name="Normal 12 7 2 3 2 4" xfId="22897"/>
    <cellStyle name="Normal 12 7 2 3 3" xfId="8497"/>
    <cellStyle name="Normal 12 7 2 3 3 2" xfId="25777"/>
    <cellStyle name="Normal 12 7 2 3 4" xfId="14257"/>
    <cellStyle name="Normal 12 7 2 3 4 2" xfId="31537"/>
    <cellStyle name="Normal 12 7 2 3 5" xfId="20017"/>
    <cellStyle name="Normal 12 7 2 4" xfId="4177"/>
    <cellStyle name="Normal 12 7 2 4 2" xfId="9937"/>
    <cellStyle name="Normal 12 7 2 4 2 2" xfId="27217"/>
    <cellStyle name="Normal 12 7 2 4 3" xfId="15697"/>
    <cellStyle name="Normal 12 7 2 4 3 2" xfId="32977"/>
    <cellStyle name="Normal 12 7 2 4 4" xfId="21457"/>
    <cellStyle name="Normal 12 7 2 5" xfId="7057"/>
    <cellStyle name="Normal 12 7 2 5 2" xfId="24337"/>
    <cellStyle name="Normal 12 7 2 6" xfId="12817"/>
    <cellStyle name="Normal 12 7 2 6 2" xfId="30097"/>
    <cellStyle name="Normal 12 7 2 7" xfId="18577"/>
    <cellStyle name="Normal 12 7 3" xfId="1537"/>
    <cellStyle name="Normal 12 7 3 2" xfId="2257"/>
    <cellStyle name="Normal 12 7 3 2 2" xfId="3697"/>
    <cellStyle name="Normal 12 7 3 2 2 2" xfId="6577"/>
    <cellStyle name="Normal 12 7 3 2 2 2 2" xfId="12337"/>
    <cellStyle name="Normal 12 7 3 2 2 2 2 2" xfId="29617"/>
    <cellStyle name="Normal 12 7 3 2 2 2 3" xfId="18097"/>
    <cellStyle name="Normal 12 7 3 2 2 2 3 2" xfId="35377"/>
    <cellStyle name="Normal 12 7 3 2 2 2 4" xfId="23857"/>
    <cellStyle name="Normal 12 7 3 2 2 3" xfId="9457"/>
    <cellStyle name="Normal 12 7 3 2 2 3 2" xfId="26737"/>
    <cellStyle name="Normal 12 7 3 2 2 4" xfId="15217"/>
    <cellStyle name="Normal 12 7 3 2 2 4 2" xfId="32497"/>
    <cellStyle name="Normal 12 7 3 2 2 5" xfId="20977"/>
    <cellStyle name="Normal 12 7 3 2 3" xfId="5137"/>
    <cellStyle name="Normal 12 7 3 2 3 2" xfId="10897"/>
    <cellStyle name="Normal 12 7 3 2 3 2 2" xfId="28177"/>
    <cellStyle name="Normal 12 7 3 2 3 3" xfId="16657"/>
    <cellStyle name="Normal 12 7 3 2 3 3 2" xfId="33937"/>
    <cellStyle name="Normal 12 7 3 2 3 4" xfId="22417"/>
    <cellStyle name="Normal 12 7 3 2 4" xfId="8017"/>
    <cellStyle name="Normal 12 7 3 2 4 2" xfId="25297"/>
    <cellStyle name="Normal 12 7 3 2 5" xfId="13777"/>
    <cellStyle name="Normal 12 7 3 2 5 2" xfId="31057"/>
    <cellStyle name="Normal 12 7 3 2 6" xfId="19537"/>
    <cellStyle name="Normal 12 7 3 3" xfId="2977"/>
    <cellStyle name="Normal 12 7 3 3 2" xfId="5857"/>
    <cellStyle name="Normal 12 7 3 3 2 2" xfId="11617"/>
    <cellStyle name="Normal 12 7 3 3 2 2 2" xfId="28897"/>
    <cellStyle name="Normal 12 7 3 3 2 3" xfId="17377"/>
    <cellStyle name="Normal 12 7 3 3 2 3 2" xfId="34657"/>
    <cellStyle name="Normal 12 7 3 3 2 4" xfId="23137"/>
    <cellStyle name="Normal 12 7 3 3 3" xfId="8737"/>
    <cellStyle name="Normal 12 7 3 3 3 2" xfId="26017"/>
    <cellStyle name="Normal 12 7 3 3 4" xfId="14497"/>
    <cellStyle name="Normal 12 7 3 3 4 2" xfId="31777"/>
    <cellStyle name="Normal 12 7 3 3 5" xfId="20257"/>
    <cellStyle name="Normal 12 7 3 4" xfId="4417"/>
    <cellStyle name="Normal 12 7 3 4 2" xfId="10177"/>
    <cellStyle name="Normal 12 7 3 4 2 2" xfId="27457"/>
    <cellStyle name="Normal 12 7 3 4 3" xfId="15937"/>
    <cellStyle name="Normal 12 7 3 4 3 2" xfId="33217"/>
    <cellStyle name="Normal 12 7 3 4 4" xfId="21697"/>
    <cellStyle name="Normal 12 7 3 5" xfId="7297"/>
    <cellStyle name="Normal 12 7 3 5 2" xfId="24577"/>
    <cellStyle name="Normal 12 7 3 6" xfId="13057"/>
    <cellStyle name="Normal 12 7 3 6 2" xfId="30337"/>
    <cellStyle name="Normal 12 7 3 7" xfId="18817"/>
    <cellStyle name="Normal 12 7 4" xfId="1777"/>
    <cellStyle name="Normal 12 7 4 2" xfId="3217"/>
    <cellStyle name="Normal 12 7 4 2 2" xfId="6097"/>
    <cellStyle name="Normal 12 7 4 2 2 2" xfId="11857"/>
    <cellStyle name="Normal 12 7 4 2 2 2 2" xfId="29137"/>
    <cellStyle name="Normal 12 7 4 2 2 3" xfId="17617"/>
    <cellStyle name="Normal 12 7 4 2 2 3 2" xfId="34897"/>
    <cellStyle name="Normal 12 7 4 2 2 4" xfId="23377"/>
    <cellStyle name="Normal 12 7 4 2 3" xfId="8977"/>
    <cellStyle name="Normal 12 7 4 2 3 2" xfId="26257"/>
    <cellStyle name="Normal 12 7 4 2 4" xfId="14737"/>
    <cellStyle name="Normal 12 7 4 2 4 2" xfId="32017"/>
    <cellStyle name="Normal 12 7 4 2 5" xfId="20497"/>
    <cellStyle name="Normal 12 7 4 3" xfId="4657"/>
    <cellStyle name="Normal 12 7 4 3 2" xfId="10417"/>
    <cellStyle name="Normal 12 7 4 3 2 2" xfId="27697"/>
    <cellStyle name="Normal 12 7 4 3 3" xfId="16177"/>
    <cellStyle name="Normal 12 7 4 3 3 2" xfId="33457"/>
    <cellStyle name="Normal 12 7 4 3 4" xfId="21937"/>
    <cellStyle name="Normal 12 7 4 4" xfId="7537"/>
    <cellStyle name="Normal 12 7 4 4 2" xfId="24817"/>
    <cellStyle name="Normal 12 7 4 5" xfId="13297"/>
    <cellStyle name="Normal 12 7 4 5 2" xfId="30577"/>
    <cellStyle name="Normal 12 7 4 6" xfId="19057"/>
    <cellStyle name="Normal 12 7 5" xfId="2497"/>
    <cellStyle name="Normal 12 7 5 2" xfId="5377"/>
    <cellStyle name="Normal 12 7 5 2 2" xfId="11137"/>
    <cellStyle name="Normal 12 7 5 2 2 2" xfId="28417"/>
    <cellStyle name="Normal 12 7 5 2 3" xfId="16897"/>
    <cellStyle name="Normal 12 7 5 2 3 2" xfId="34177"/>
    <cellStyle name="Normal 12 7 5 2 4" xfId="22657"/>
    <cellStyle name="Normal 12 7 5 3" xfId="8257"/>
    <cellStyle name="Normal 12 7 5 3 2" xfId="25537"/>
    <cellStyle name="Normal 12 7 5 4" xfId="14017"/>
    <cellStyle name="Normal 12 7 5 4 2" xfId="31297"/>
    <cellStyle name="Normal 12 7 5 5" xfId="19777"/>
    <cellStyle name="Normal 12 7 6" xfId="3937"/>
    <cellStyle name="Normal 12 7 6 2" xfId="9697"/>
    <cellStyle name="Normal 12 7 6 2 2" xfId="26977"/>
    <cellStyle name="Normal 12 7 6 3" xfId="15457"/>
    <cellStyle name="Normal 12 7 6 3 2" xfId="32737"/>
    <cellStyle name="Normal 12 7 6 4" xfId="21217"/>
    <cellStyle name="Normal 12 7 7" xfId="6817"/>
    <cellStyle name="Normal 12 7 7 2" xfId="24097"/>
    <cellStyle name="Normal 12 7 8" xfId="12577"/>
    <cellStyle name="Normal 12 7 8 2" xfId="29857"/>
    <cellStyle name="Normal 12 7 9" xfId="18337"/>
    <cellStyle name="Normal 12 8" xfId="1177"/>
    <cellStyle name="Normal 12 8 2" xfId="1897"/>
    <cellStyle name="Normal 12 8 2 2" xfId="3337"/>
    <cellStyle name="Normal 12 8 2 2 2" xfId="6217"/>
    <cellStyle name="Normal 12 8 2 2 2 2" xfId="11977"/>
    <cellStyle name="Normal 12 8 2 2 2 2 2" xfId="29257"/>
    <cellStyle name="Normal 12 8 2 2 2 3" xfId="17737"/>
    <cellStyle name="Normal 12 8 2 2 2 3 2" xfId="35017"/>
    <cellStyle name="Normal 12 8 2 2 2 4" xfId="23497"/>
    <cellStyle name="Normal 12 8 2 2 3" xfId="9097"/>
    <cellStyle name="Normal 12 8 2 2 3 2" xfId="26377"/>
    <cellStyle name="Normal 12 8 2 2 4" xfId="14857"/>
    <cellStyle name="Normal 12 8 2 2 4 2" xfId="32137"/>
    <cellStyle name="Normal 12 8 2 2 5" xfId="20617"/>
    <cellStyle name="Normal 12 8 2 3" xfId="4777"/>
    <cellStyle name="Normal 12 8 2 3 2" xfId="10537"/>
    <cellStyle name="Normal 12 8 2 3 2 2" xfId="27817"/>
    <cellStyle name="Normal 12 8 2 3 3" xfId="16297"/>
    <cellStyle name="Normal 12 8 2 3 3 2" xfId="33577"/>
    <cellStyle name="Normal 12 8 2 3 4" xfId="22057"/>
    <cellStyle name="Normal 12 8 2 4" xfId="7657"/>
    <cellStyle name="Normal 12 8 2 4 2" xfId="24937"/>
    <cellStyle name="Normal 12 8 2 5" xfId="13417"/>
    <cellStyle name="Normal 12 8 2 5 2" xfId="30697"/>
    <cellStyle name="Normal 12 8 2 6" xfId="19177"/>
    <cellStyle name="Normal 12 8 3" xfId="2617"/>
    <cellStyle name="Normal 12 8 3 2" xfId="5497"/>
    <cellStyle name="Normal 12 8 3 2 2" xfId="11257"/>
    <cellStyle name="Normal 12 8 3 2 2 2" xfId="28537"/>
    <cellStyle name="Normal 12 8 3 2 3" xfId="17017"/>
    <cellStyle name="Normal 12 8 3 2 3 2" xfId="34297"/>
    <cellStyle name="Normal 12 8 3 2 4" xfId="22777"/>
    <cellStyle name="Normal 12 8 3 3" xfId="8377"/>
    <cellStyle name="Normal 12 8 3 3 2" xfId="25657"/>
    <cellStyle name="Normal 12 8 3 4" xfId="14137"/>
    <cellStyle name="Normal 12 8 3 4 2" xfId="31417"/>
    <cellStyle name="Normal 12 8 3 5" xfId="19897"/>
    <cellStyle name="Normal 12 8 4" xfId="4057"/>
    <cellStyle name="Normal 12 8 4 2" xfId="9817"/>
    <cellStyle name="Normal 12 8 4 2 2" xfId="27097"/>
    <cellStyle name="Normal 12 8 4 3" xfId="15577"/>
    <cellStyle name="Normal 12 8 4 3 2" xfId="32857"/>
    <cellStyle name="Normal 12 8 4 4" xfId="21337"/>
    <cellStyle name="Normal 12 8 5" xfId="6937"/>
    <cellStyle name="Normal 12 8 5 2" xfId="24217"/>
    <cellStyle name="Normal 12 8 6" xfId="12697"/>
    <cellStyle name="Normal 12 8 6 2" xfId="29977"/>
    <cellStyle name="Normal 12 8 7" xfId="18457"/>
    <cellStyle name="Normal 12 9" xfId="1417"/>
    <cellStyle name="Normal 12 9 2" xfId="2137"/>
    <cellStyle name="Normal 12 9 2 2" xfId="3577"/>
    <cellStyle name="Normal 12 9 2 2 2" xfId="6457"/>
    <cellStyle name="Normal 12 9 2 2 2 2" xfId="12217"/>
    <cellStyle name="Normal 12 9 2 2 2 2 2" xfId="29497"/>
    <cellStyle name="Normal 12 9 2 2 2 3" xfId="17977"/>
    <cellStyle name="Normal 12 9 2 2 2 3 2" xfId="35257"/>
    <cellStyle name="Normal 12 9 2 2 2 4" xfId="23737"/>
    <cellStyle name="Normal 12 9 2 2 3" xfId="9337"/>
    <cellStyle name="Normal 12 9 2 2 3 2" xfId="26617"/>
    <cellStyle name="Normal 12 9 2 2 4" xfId="15097"/>
    <cellStyle name="Normal 12 9 2 2 4 2" xfId="32377"/>
    <cellStyle name="Normal 12 9 2 2 5" xfId="20857"/>
    <cellStyle name="Normal 12 9 2 3" xfId="5017"/>
    <cellStyle name="Normal 12 9 2 3 2" xfId="10777"/>
    <cellStyle name="Normal 12 9 2 3 2 2" xfId="28057"/>
    <cellStyle name="Normal 12 9 2 3 3" xfId="16537"/>
    <cellStyle name="Normal 12 9 2 3 3 2" xfId="33817"/>
    <cellStyle name="Normal 12 9 2 3 4" xfId="22297"/>
    <cellStyle name="Normal 12 9 2 4" xfId="7897"/>
    <cellStyle name="Normal 12 9 2 4 2" xfId="25177"/>
    <cellStyle name="Normal 12 9 2 5" xfId="13657"/>
    <cellStyle name="Normal 12 9 2 5 2" xfId="30937"/>
    <cellStyle name="Normal 12 9 2 6" xfId="19417"/>
    <cellStyle name="Normal 12 9 3" xfId="2857"/>
    <cellStyle name="Normal 12 9 3 2" xfId="5737"/>
    <cellStyle name="Normal 12 9 3 2 2" xfId="11497"/>
    <cellStyle name="Normal 12 9 3 2 2 2" xfId="28777"/>
    <cellStyle name="Normal 12 9 3 2 3" xfId="17257"/>
    <cellStyle name="Normal 12 9 3 2 3 2" xfId="34537"/>
    <cellStyle name="Normal 12 9 3 2 4" xfId="23017"/>
    <cellStyle name="Normal 12 9 3 3" xfId="8617"/>
    <cellStyle name="Normal 12 9 3 3 2" xfId="25897"/>
    <cellStyle name="Normal 12 9 3 4" xfId="14377"/>
    <cellStyle name="Normal 12 9 3 4 2" xfId="31657"/>
    <cellStyle name="Normal 12 9 3 5" xfId="20137"/>
    <cellStyle name="Normal 12 9 4" xfId="4297"/>
    <cellStyle name="Normal 12 9 4 2" xfId="10057"/>
    <cellStyle name="Normal 12 9 4 2 2" xfId="27337"/>
    <cellStyle name="Normal 12 9 4 3" xfId="15817"/>
    <cellStyle name="Normal 12 9 4 3 2" xfId="33097"/>
    <cellStyle name="Normal 12 9 4 4" xfId="21577"/>
    <cellStyle name="Normal 12 9 5" xfId="7177"/>
    <cellStyle name="Normal 12 9 5 2" xfId="24457"/>
    <cellStyle name="Normal 12 9 6" xfId="12937"/>
    <cellStyle name="Normal 12 9 6 2" xfId="30217"/>
    <cellStyle name="Normal 12 9 7" xfId="18697"/>
    <cellStyle name="Normal 13" xfId="67"/>
    <cellStyle name="Normal 13 10" xfId="1658"/>
    <cellStyle name="Normal 13 10 2" xfId="3098"/>
    <cellStyle name="Normal 13 10 2 2" xfId="5978"/>
    <cellStyle name="Normal 13 10 2 2 2" xfId="11738"/>
    <cellStyle name="Normal 13 10 2 2 2 2" xfId="29018"/>
    <cellStyle name="Normal 13 10 2 2 3" xfId="17498"/>
    <cellStyle name="Normal 13 10 2 2 3 2" xfId="34778"/>
    <cellStyle name="Normal 13 10 2 2 4" xfId="23258"/>
    <cellStyle name="Normal 13 10 2 3" xfId="8858"/>
    <cellStyle name="Normal 13 10 2 3 2" xfId="26138"/>
    <cellStyle name="Normal 13 10 2 4" xfId="14618"/>
    <cellStyle name="Normal 13 10 2 4 2" xfId="31898"/>
    <cellStyle name="Normal 13 10 2 5" xfId="20378"/>
    <cellStyle name="Normal 13 10 3" xfId="4538"/>
    <cellStyle name="Normal 13 10 3 2" xfId="10298"/>
    <cellStyle name="Normal 13 10 3 2 2" xfId="27578"/>
    <cellStyle name="Normal 13 10 3 3" xfId="16058"/>
    <cellStyle name="Normal 13 10 3 3 2" xfId="33338"/>
    <cellStyle name="Normal 13 10 3 4" xfId="21818"/>
    <cellStyle name="Normal 13 10 4" xfId="7418"/>
    <cellStyle name="Normal 13 10 4 2" xfId="24698"/>
    <cellStyle name="Normal 13 10 5" xfId="13178"/>
    <cellStyle name="Normal 13 10 5 2" xfId="30458"/>
    <cellStyle name="Normal 13 10 6" xfId="18938"/>
    <cellStyle name="Normal 13 11" xfId="2378"/>
    <cellStyle name="Normal 13 11 2" xfId="5258"/>
    <cellStyle name="Normal 13 11 2 2" xfId="11018"/>
    <cellStyle name="Normal 13 11 2 2 2" xfId="28298"/>
    <cellStyle name="Normal 13 11 2 3" xfId="16778"/>
    <cellStyle name="Normal 13 11 2 3 2" xfId="34058"/>
    <cellStyle name="Normal 13 11 2 4" xfId="22538"/>
    <cellStyle name="Normal 13 11 3" xfId="8138"/>
    <cellStyle name="Normal 13 11 3 2" xfId="25418"/>
    <cellStyle name="Normal 13 11 4" xfId="13898"/>
    <cellStyle name="Normal 13 11 4 2" xfId="31178"/>
    <cellStyle name="Normal 13 11 5" xfId="19658"/>
    <cellStyle name="Normal 13 12" xfId="3818"/>
    <cellStyle name="Normal 13 12 2" xfId="9578"/>
    <cellStyle name="Normal 13 12 2 2" xfId="26858"/>
    <cellStyle name="Normal 13 12 3" xfId="15338"/>
    <cellStyle name="Normal 13 12 3 2" xfId="32618"/>
    <cellStyle name="Normal 13 12 4" xfId="21098"/>
    <cellStyle name="Normal 13 13" xfId="6698"/>
    <cellStyle name="Normal 13 13 2" xfId="23978"/>
    <cellStyle name="Normal 13 14" xfId="12458"/>
    <cellStyle name="Normal 13 14 2" xfId="29738"/>
    <cellStyle name="Normal 13 15" xfId="18218"/>
    <cellStyle name="Normal 13 16" xfId="386"/>
    <cellStyle name="Normal 13 17" xfId="35509"/>
    <cellStyle name="Normal 13 2" xfId="391"/>
    <cellStyle name="Normal 13 2 10" xfId="2383"/>
    <cellStyle name="Normal 13 2 10 2" xfId="5263"/>
    <cellStyle name="Normal 13 2 10 2 2" xfId="11023"/>
    <cellStyle name="Normal 13 2 10 2 2 2" xfId="28303"/>
    <cellStyle name="Normal 13 2 10 2 3" xfId="16783"/>
    <cellStyle name="Normal 13 2 10 2 3 2" xfId="34063"/>
    <cellStyle name="Normal 13 2 10 2 4" xfId="22543"/>
    <cellStyle name="Normal 13 2 10 3" xfId="8143"/>
    <cellStyle name="Normal 13 2 10 3 2" xfId="25423"/>
    <cellStyle name="Normal 13 2 10 4" xfId="13903"/>
    <cellStyle name="Normal 13 2 10 4 2" xfId="31183"/>
    <cellStyle name="Normal 13 2 10 5" xfId="19663"/>
    <cellStyle name="Normal 13 2 11" xfId="3823"/>
    <cellStyle name="Normal 13 2 11 2" xfId="9583"/>
    <cellStyle name="Normal 13 2 11 2 2" xfId="26863"/>
    <cellStyle name="Normal 13 2 11 3" xfId="15343"/>
    <cellStyle name="Normal 13 2 11 3 2" xfId="32623"/>
    <cellStyle name="Normal 13 2 11 4" xfId="21103"/>
    <cellStyle name="Normal 13 2 12" xfId="6703"/>
    <cellStyle name="Normal 13 2 12 2" xfId="23983"/>
    <cellStyle name="Normal 13 2 13" xfId="12463"/>
    <cellStyle name="Normal 13 2 13 2" xfId="29743"/>
    <cellStyle name="Normal 13 2 14" xfId="18223"/>
    <cellStyle name="Normal 13 2 2" xfId="402"/>
    <cellStyle name="Normal 13 2 2 10" xfId="3833"/>
    <cellStyle name="Normal 13 2 2 10 2" xfId="9593"/>
    <cellStyle name="Normal 13 2 2 10 2 2" xfId="26873"/>
    <cellStyle name="Normal 13 2 2 10 3" xfId="15353"/>
    <cellStyle name="Normal 13 2 2 10 3 2" xfId="32633"/>
    <cellStyle name="Normal 13 2 2 10 4" xfId="21113"/>
    <cellStyle name="Normal 13 2 2 11" xfId="6713"/>
    <cellStyle name="Normal 13 2 2 11 2" xfId="23993"/>
    <cellStyle name="Normal 13 2 2 12" xfId="12473"/>
    <cellStyle name="Normal 13 2 2 12 2" xfId="29753"/>
    <cellStyle name="Normal 13 2 2 13" xfId="18233"/>
    <cellStyle name="Normal 13 2 2 2" xfId="422"/>
    <cellStyle name="Normal 13 2 2 2 10" xfId="6733"/>
    <cellStyle name="Normal 13 2 2 2 10 2" xfId="24013"/>
    <cellStyle name="Normal 13 2 2 2 11" xfId="12493"/>
    <cellStyle name="Normal 13 2 2 2 11 2" xfId="29773"/>
    <cellStyle name="Normal 13 2 2 2 12" xfId="18253"/>
    <cellStyle name="Normal 13 2 2 2 2" xfId="1053"/>
    <cellStyle name="Normal 13 2 2 2 2 10" xfId="18333"/>
    <cellStyle name="Normal 13 2 2 2 2 2" xfId="1173"/>
    <cellStyle name="Normal 13 2 2 2 2 2 2" xfId="1413"/>
    <cellStyle name="Normal 13 2 2 2 2 2 2 2" xfId="2133"/>
    <cellStyle name="Normal 13 2 2 2 2 2 2 2 2" xfId="3573"/>
    <cellStyle name="Normal 13 2 2 2 2 2 2 2 2 2" xfId="6453"/>
    <cellStyle name="Normal 13 2 2 2 2 2 2 2 2 2 2" xfId="12213"/>
    <cellStyle name="Normal 13 2 2 2 2 2 2 2 2 2 2 2" xfId="29493"/>
    <cellStyle name="Normal 13 2 2 2 2 2 2 2 2 2 3" xfId="17973"/>
    <cellStyle name="Normal 13 2 2 2 2 2 2 2 2 2 3 2" xfId="35253"/>
    <cellStyle name="Normal 13 2 2 2 2 2 2 2 2 2 4" xfId="23733"/>
    <cellStyle name="Normal 13 2 2 2 2 2 2 2 2 3" xfId="9333"/>
    <cellStyle name="Normal 13 2 2 2 2 2 2 2 2 3 2" xfId="26613"/>
    <cellStyle name="Normal 13 2 2 2 2 2 2 2 2 4" xfId="15093"/>
    <cellStyle name="Normal 13 2 2 2 2 2 2 2 2 4 2" xfId="32373"/>
    <cellStyle name="Normal 13 2 2 2 2 2 2 2 2 5" xfId="20853"/>
    <cellStyle name="Normal 13 2 2 2 2 2 2 2 3" xfId="5013"/>
    <cellStyle name="Normal 13 2 2 2 2 2 2 2 3 2" xfId="10773"/>
    <cellStyle name="Normal 13 2 2 2 2 2 2 2 3 2 2" xfId="28053"/>
    <cellStyle name="Normal 13 2 2 2 2 2 2 2 3 3" xfId="16533"/>
    <cellStyle name="Normal 13 2 2 2 2 2 2 2 3 3 2" xfId="33813"/>
    <cellStyle name="Normal 13 2 2 2 2 2 2 2 3 4" xfId="22293"/>
    <cellStyle name="Normal 13 2 2 2 2 2 2 2 4" xfId="7893"/>
    <cellStyle name="Normal 13 2 2 2 2 2 2 2 4 2" xfId="25173"/>
    <cellStyle name="Normal 13 2 2 2 2 2 2 2 5" xfId="13653"/>
    <cellStyle name="Normal 13 2 2 2 2 2 2 2 5 2" xfId="30933"/>
    <cellStyle name="Normal 13 2 2 2 2 2 2 2 6" xfId="19413"/>
    <cellStyle name="Normal 13 2 2 2 2 2 2 3" xfId="2853"/>
    <cellStyle name="Normal 13 2 2 2 2 2 2 3 2" xfId="5733"/>
    <cellStyle name="Normal 13 2 2 2 2 2 2 3 2 2" xfId="11493"/>
    <cellStyle name="Normal 13 2 2 2 2 2 2 3 2 2 2" xfId="28773"/>
    <cellStyle name="Normal 13 2 2 2 2 2 2 3 2 3" xfId="17253"/>
    <cellStyle name="Normal 13 2 2 2 2 2 2 3 2 3 2" xfId="34533"/>
    <cellStyle name="Normal 13 2 2 2 2 2 2 3 2 4" xfId="23013"/>
    <cellStyle name="Normal 13 2 2 2 2 2 2 3 3" xfId="8613"/>
    <cellStyle name="Normal 13 2 2 2 2 2 2 3 3 2" xfId="25893"/>
    <cellStyle name="Normal 13 2 2 2 2 2 2 3 4" xfId="14373"/>
    <cellStyle name="Normal 13 2 2 2 2 2 2 3 4 2" xfId="31653"/>
    <cellStyle name="Normal 13 2 2 2 2 2 2 3 5" xfId="20133"/>
    <cellStyle name="Normal 13 2 2 2 2 2 2 4" xfId="4293"/>
    <cellStyle name="Normal 13 2 2 2 2 2 2 4 2" xfId="10053"/>
    <cellStyle name="Normal 13 2 2 2 2 2 2 4 2 2" xfId="27333"/>
    <cellStyle name="Normal 13 2 2 2 2 2 2 4 3" xfId="15813"/>
    <cellStyle name="Normal 13 2 2 2 2 2 2 4 3 2" xfId="33093"/>
    <cellStyle name="Normal 13 2 2 2 2 2 2 4 4" xfId="21573"/>
    <cellStyle name="Normal 13 2 2 2 2 2 2 5" xfId="7173"/>
    <cellStyle name="Normal 13 2 2 2 2 2 2 5 2" xfId="24453"/>
    <cellStyle name="Normal 13 2 2 2 2 2 2 6" xfId="12933"/>
    <cellStyle name="Normal 13 2 2 2 2 2 2 6 2" xfId="30213"/>
    <cellStyle name="Normal 13 2 2 2 2 2 2 7" xfId="18693"/>
    <cellStyle name="Normal 13 2 2 2 2 2 3" xfId="1653"/>
    <cellStyle name="Normal 13 2 2 2 2 2 3 2" xfId="2373"/>
    <cellStyle name="Normal 13 2 2 2 2 2 3 2 2" xfId="3813"/>
    <cellStyle name="Normal 13 2 2 2 2 2 3 2 2 2" xfId="6693"/>
    <cellStyle name="Normal 13 2 2 2 2 2 3 2 2 2 2" xfId="12453"/>
    <cellStyle name="Normal 13 2 2 2 2 2 3 2 2 2 2 2" xfId="29733"/>
    <cellStyle name="Normal 13 2 2 2 2 2 3 2 2 2 3" xfId="18213"/>
    <cellStyle name="Normal 13 2 2 2 2 2 3 2 2 2 3 2" xfId="35493"/>
    <cellStyle name="Normal 13 2 2 2 2 2 3 2 2 2 4" xfId="23973"/>
    <cellStyle name="Normal 13 2 2 2 2 2 3 2 2 3" xfId="9573"/>
    <cellStyle name="Normal 13 2 2 2 2 2 3 2 2 3 2" xfId="26853"/>
    <cellStyle name="Normal 13 2 2 2 2 2 3 2 2 4" xfId="15333"/>
    <cellStyle name="Normal 13 2 2 2 2 2 3 2 2 4 2" xfId="32613"/>
    <cellStyle name="Normal 13 2 2 2 2 2 3 2 2 5" xfId="21093"/>
    <cellStyle name="Normal 13 2 2 2 2 2 3 2 3" xfId="5253"/>
    <cellStyle name="Normal 13 2 2 2 2 2 3 2 3 2" xfId="11013"/>
    <cellStyle name="Normal 13 2 2 2 2 2 3 2 3 2 2" xfId="28293"/>
    <cellStyle name="Normal 13 2 2 2 2 2 3 2 3 3" xfId="16773"/>
    <cellStyle name="Normal 13 2 2 2 2 2 3 2 3 3 2" xfId="34053"/>
    <cellStyle name="Normal 13 2 2 2 2 2 3 2 3 4" xfId="22533"/>
    <cellStyle name="Normal 13 2 2 2 2 2 3 2 4" xfId="8133"/>
    <cellStyle name="Normal 13 2 2 2 2 2 3 2 4 2" xfId="25413"/>
    <cellStyle name="Normal 13 2 2 2 2 2 3 2 5" xfId="13893"/>
    <cellStyle name="Normal 13 2 2 2 2 2 3 2 5 2" xfId="31173"/>
    <cellStyle name="Normal 13 2 2 2 2 2 3 2 6" xfId="19653"/>
    <cellStyle name="Normal 13 2 2 2 2 2 3 3" xfId="3093"/>
    <cellStyle name="Normal 13 2 2 2 2 2 3 3 2" xfId="5973"/>
    <cellStyle name="Normal 13 2 2 2 2 2 3 3 2 2" xfId="11733"/>
    <cellStyle name="Normal 13 2 2 2 2 2 3 3 2 2 2" xfId="29013"/>
    <cellStyle name="Normal 13 2 2 2 2 2 3 3 2 3" xfId="17493"/>
    <cellStyle name="Normal 13 2 2 2 2 2 3 3 2 3 2" xfId="34773"/>
    <cellStyle name="Normal 13 2 2 2 2 2 3 3 2 4" xfId="23253"/>
    <cellStyle name="Normal 13 2 2 2 2 2 3 3 3" xfId="8853"/>
    <cellStyle name="Normal 13 2 2 2 2 2 3 3 3 2" xfId="26133"/>
    <cellStyle name="Normal 13 2 2 2 2 2 3 3 4" xfId="14613"/>
    <cellStyle name="Normal 13 2 2 2 2 2 3 3 4 2" xfId="31893"/>
    <cellStyle name="Normal 13 2 2 2 2 2 3 3 5" xfId="20373"/>
    <cellStyle name="Normal 13 2 2 2 2 2 3 4" xfId="4533"/>
    <cellStyle name="Normal 13 2 2 2 2 2 3 4 2" xfId="10293"/>
    <cellStyle name="Normal 13 2 2 2 2 2 3 4 2 2" xfId="27573"/>
    <cellStyle name="Normal 13 2 2 2 2 2 3 4 3" xfId="16053"/>
    <cellStyle name="Normal 13 2 2 2 2 2 3 4 3 2" xfId="33333"/>
    <cellStyle name="Normal 13 2 2 2 2 2 3 4 4" xfId="21813"/>
    <cellStyle name="Normal 13 2 2 2 2 2 3 5" xfId="7413"/>
    <cellStyle name="Normal 13 2 2 2 2 2 3 5 2" xfId="24693"/>
    <cellStyle name="Normal 13 2 2 2 2 2 3 6" xfId="13173"/>
    <cellStyle name="Normal 13 2 2 2 2 2 3 6 2" xfId="30453"/>
    <cellStyle name="Normal 13 2 2 2 2 2 3 7" xfId="18933"/>
    <cellStyle name="Normal 13 2 2 2 2 2 4" xfId="1893"/>
    <cellStyle name="Normal 13 2 2 2 2 2 4 2" xfId="3333"/>
    <cellStyle name="Normal 13 2 2 2 2 2 4 2 2" xfId="6213"/>
    <cellStyle name="Normal 13 2 2 2 2 2 4 2 2 2" xfId="11973"/>
    <cellStyle name="Normal 13 2 2 2 2 2 4 2 2 2 2" xfId="29253"/>
    <cellStyle name="Normal 13 2 2 2 2 2 4 2 2 3" xfId="17733"/>
    <cellStyle name="Normal 13 2 2 2 2 2 4 2 2 3 2" xfId="35013"/>
    <cellStyle name="Normal 13 2 2 2 2 2 4 2 2 4" xfId="23493"/>
    <cellStyle name="Normal 13 2 2 2 2 2 4 2 3" xfId="9093"/>
    <cellStyle name="Normal 13 2 2 2 2 2 4 2 3 2" xfId="26373"/>
    <cellStyle name="Normal 13 2 2 2 2 2 4 2 4" xfId="14853"/>
    <cellStyle name="Normal 13 2 2 2 2 2 4 2 4 2" xfId="32133"/>
    <cellStyle name="Normal 13 2 2 2 2 2 4 2 5" xfId="20613"/>
    <cellStyle name="Normal 13 2 2 2 2 2 4 3" xfId="4773"/>
    <cellStyle name="Normal 13 2 2 2 2 2 4 3 2" xfId="10533"/>
    <cellStyle name="Normal 13 2 2 2 2 2 4 3 2 2" xfId="27813"/>
    <cellStyle name="Normal 13 2 2 2 2 2 4 3 3" xfId="16293"/>
    <cellStyle name="Normal 13 2 2 2 2 2 4 3 3 2" xfId="33573"/>
    <cellStyle name="Normal 13 2 2 2 2 2 4 3 4" xfId="22053"/>
    <cellStyle name="Normal 13 2 2 2 2 2 4 4" xfId="7653"/>
    <cellStyle name="Normal 13 2 2 2 2 2 4 4 2" xfId="24933"/>
    <cellStyle name="Normal 13 2 2 2 2 2 4 5" xfId="13413"/>
    <cellStyle name="Normal 13 2 2 2 2 2 4 5 2" xfId="30693"/>
    <cellStyle name="Normal 13 2 2 2 2 2 4 6" xfId="19173"/>
    <cellStyle name="Normal 13 2 2 2 2 2 5" xfId="2613"/>
    <cellStyle name="Normal 13 2 2 2 2 2 5 2" xfId="5493"/>
    <cellStyle name="Normal 13 2 2 2 2 2 5 2 2" xfId="11253"/>
    <cellStyle name="Normal 13 2 2 2 2 2 5 2 2 2" xfId="28533"/>
    <cellStyle name="Normal 13 2 2 2 2 2 5 2 3" xfId="17013"/>
    <cellStyle name="Normal 13 2 2 2 2 2 5 2 3 2" xfId="34293"/>
    <cellStyle name="Normal 13 2 2 2 2 2 5 2 4" xfId="22773"/>
    <cellStyle name="Normal 13 2 2 2 2 2 5 3" xfId="8373"/>
    <cellStyle name="Normal 13 2 2 2 2 2 5 3 2" xfId="25653"/>
    <cellStyle name="Normal 13 2 2 2 2 2 5 4" xfId="14133"/>
    <cellStyle name="Normal 13 2 2 2 2 2 5 4 2" xfId="31413"/>
    <cellStyle name="Normal 13 2 2 2 2 2 5 5" xfId="19893"/>
    <cellStyle name="Normal 13 2 2 2 2 2 6" xfId="4053"/>
    <cellStyle name="Normal 13 2 2 2 2 2 6 2" xfId="9813"/>
    <cellStyle name="Normal 13 2 2 2 2 2 6 2 2" xfId="27093"/>
    <cellStyle name="Normal 13 2 2 2 2 2 6 3" xfId="15573"/>
    <cellStyle name="Normal 13 2 2 2 2 2 6 3 2" xfId="32853"/>
    <cellStyle name="Normal 13 2 2 2 2 2 6 4" xfId="21333"/>
    <cellStyle name="Normal 13 2 2 2 2 2 7" xfId="6933"/>
    <cellStyle name="Normal 13 2 2 2 2 2 7 2" xfId="24213"/>
    <cellStyle name="Normal 13 2 2 2 2 2 8" xfId="12693"/>
    <cellStyle name="Normal 13 2 2 2 2 2 8 2" xfId="29973"/>
    <cellStyle name="Normal 13 2 2 2 2 2 9" xfId="18453"/>
    <cellStyle name="Normal 13 2 2 2 2 3" xfId="1293"/>
    <cellStyle name="Normal 13 2 2 2 2 3 2" xfId="2013"/>
    <cellStyle name="Normal 13 2 2 2 2 3 2 2" xfId="3453"/>
    <cellStyle name="Normal 13 2 2 2 2 3 2 2 2" xfId="6333"/>
    <cellStyle name="Normal 13 2 2 2 2 3 2 2 2 2" xfId="12093"/>
    <cellStyle name="Normal 13 2 2 2 2 3 2 2 2 2 2" xfId="29373"/>
    <cellStyle name="Normal 13 2 2 2 2 3 2 2 2 3" xfId="17853"/>
    <cellStyle name="Normal 13 2 2 2 2 3 2 2 2 3 2" xfId="35133"/>
    <cellStyle name="Normal 13 2 2 2 2 3 2 2 2 4" xfId="23613"/>
    <cellStyle name="Normal 13 2 2 2 2 3 2 2 3" xfId="9213"/>
    <cellStyle name="Normal 13 2 2 2 2 3 2 2 3 2" xfId="26493"/>
    <cellStyle name="Normal 13 2 2 2 2 3 2 2 4" xfId="14973"/>
    <cellStyle name="Normal 13 2 2 2 2 3 2 2 4 2" xfId="32253"/>
    <cellStyle name="Normal 13 2 2 2 2 3 2 2 5" xfId="20733"/>
    <cellStyle name="Normal 13 2 2 2 2 3 2 3" xfId="4893"/>
    <cellStyle name="Normal 13 2 2 2 2 3 2 3 2" xfId="10653"/>
    <cellStyle name="Normal 13 2 2 2 2 3 2 3 2 2" xfId="27933"/>
    <cellStyle name="Normal 13 2 2 2 2 3 2 3 3" xfId="16413"/>
    <cellStyle name="Normal 13 2 2 2 2 3 2 3 3 2" xfId="33693"/>
    <cellStyle name="Normal 13 2 2 2 2 3 2 3 4" xfId="22173"/>
    <cellStyle name="Normal 13 2 2 2 2 3 2 4" xfId="7773"/>
    <cellStyle name="Normal 13 2 2 2 2 3 2 4 2" xfId="25053"/>
    <cellStyle name="Normal 13 2 2 2 2 3 2 5" xfId="13533"/>
    <cellStyle name="Normal 13 2 2 2 2 3 2 5 2" xfId="30813"/>
    <cellStyle name="Normal 13 2 2 2 2 3 2 6" xfId="19293"/>
    <cellStyle name="Normal 13 2 2 2 2 3 3" xfId="2733"/>
    <cellStyle name="Normal 13 2 2 2 2 3 3 2" xfId="5613"/>
    <cellStyle name="Normal 13 2 2 2 2 3 3 2 2" xfId="11373"/>
    <cellStyle name="Normal 13 2 2 2 2 3 3 2 2 2" xfId="28653"/>
    <cellStyle name="Normal 13 2 2 2 2 3 3 2 3" xfId="17133"/>
    <cellStyle name="Normal 13 2 2 2 2 3 3 2 3 2" xfId="34413"/>
    <cellStyle name="Normal 13 2 2 2 2 3 3 2 4" xfId="22893"/>
    <cellStyle name="Normal 13 2 2 2 2 3 3 3" xfId="8493"/>
    <cellStyle name="Normal 13 2 2 2 2 3 3 3 2" xfId="25773"/>
    <cellStyle name="Normal 13 2 2 2 2 3 3 4" xfId="14253"/>
    <cellStyle name="Normal 13 2 2 2 2 3 3 4 2" xfId="31533"/>
    <cellStyle name="Normal 13 2 2 2 2 3 3 5" xfId="20013"/>
    <cellStyle name="Normal 13 2 2 2 2 3 4" xfId="4173"/>
    <cellStyle name="Normal 13 2 2 2 2 3 4 2" xfId="9933"/>
    <cellStyle name="Normal 13 2 2 2 2 3 4 2 2" xfId="27213"/>
    <cellStyle name="Normal 13 2 2 2 2 3 4 3" xfId="15693"/>
    <cellStyle name="Normal 13 2 2 2 2 3 4 3 2" xfId="32973"/>
    <cellStyle name="Normal 13 2 2 2 2 3 4 4" xfId="21453"/>
    <cellStyle name="Normal 13 2 2 2 2 3 5" xfId="7053"/>
    <cellStyle name="Normal 13 2 2 2 2 3 5 2" xfId="24333"/>
    <cellStyle name="Normal 13 2 2 2 2 3 6" xfId="12813"/>
    <cellStyle name="Normal 13 2 2 2 2 3 6 2" xfId="30093"/>
    <cellStyle name="Normal 13 2 2 2 2 3 7" xfId="18573"/>
    <cellStyle name="Normal 13 2 2 2 2 4" xfId="1533"/>
    <cellStyle name="Normal 13 2 2 2 2 4 2" xfId="2253"/>
    <cellStyle name="Normal 13 2 2 2 2 4 2 2" xfId="3693"/>
    <cellStyle name="Normal 13 2 2 2 2 4 2 2 2" xfId="6573"/>
    <cellStyle name="Normal 13 2 2 2 2 4 2 2 2 2" xfId="12333"/>
    <cellStyle name="Normal 13 2 2 2 2 4 2 2 2 2 2" xfId="29613"/>
    <cellStyle name="Normal 13 2 2 2 2 4 2 2 2 3" xfId="18093"/>
    <cellStyle name="Normal 13 2 2 2 2 4 2 2 2 3 2" xfId="35373"/>
    <cellStyle name="Normal 13 2 2 2 2 4 2 2 2 4" xfId="23853"/>
    <cellStyle name="Normal 13 2 2 2 2 4 2 2 3" xfId="9453"/>
    <cellStyle name="Normal 13 2 2 2 2 4 2 2 3 2" xfId="26733"/>
    <cellStyle name="Normal 13 2 2 2 2 4 2 2 4" xfId="15213"/>
    <cellStyle name="Normal 13 2 2 2 2 4 2 2 4 2" xfId="32493"/>
    <cellStyle name="Normal 13 2 2 2 2 4 2 2 5" xfId="20973"/>
    <cellStyle name="Normal 13 2 2 2 2 4 2 3" xfId="5133"/>
    <cellStyle name="Normal 13 2 2 2 2 4 2 3 2" xfId="10893"/>
    <cellStyle name="Normal 13 2 2 2 2 4 2 3 2 2" xfId="28173"/>
    <cellStyle name="Normal 13 2 2 2 2 4 2 3 3" xfId="16653"/>
    <cellStyle name="Normal 13 2 2 2 2 4 2 3 3 2" xfId="33933"/>
    <cellStyle name="Normal 13 2 2 2 2 4 2 3 4" xfId="22413"/>
    <cellStyle name="Normal 13 2 2 2 2 4 2 4" xfId="8013"/>
    <cellStyle name="Normal 13 2 2 2 2 4 2 4 2" xfId="25293"/>
    <cellStyle name="Normal 13 2 2 2 2 4 2 5" xfId="13773"/>
    <cellStyle name="Normal 13 2 2 2 2 4 2 5 2" xfId="31053"/>
    <cellStyle name="Normal 13 2 2 2 2 4 2 6" xfId="19533"/>
    <cellStyle name="Normal 13 2 2 2 2 4 3" xfId="2973"/>
    <cellStyle name="Normal 13 2 2 2 2 4 3 2" xfId="5853"/>
    <cellStyle name="Normal 13 2 2 2 2 4 3 2 2" xfId="11613"/>
    <cellStyle name="Normal 13 2 2 2 2 4 3 2 2 2" xfId="28893"/>
    <cellStyle name="Normal 13 2 2 2 2 4 3 2 3" xfId="17373"/>
    <cellStyle name="Normal 13 2 2 2 2 4 3 2 3 2" xfId="34653"/>
    <cellStyle name="Normal 13 2 2 2 2 4 3 2 4" xfId="23133"/>
    <cellStyle name="Normal 13 2 2 2 2 4 3 3" xfId="8733"/>
    <cellStyle name="Normal 13 2 2 2 2 4 3 3 2" xfId="26013"/>
    <cellStyle name="Normal 13 2 2 2 2 4 3 4" xfId="14493"/>
    <cellStyle name="Normal 13 2 2 2 2 4 3 4 2" xfId="31773"/>
    <cellStyle name="Normal 13 2 2 2 2 4 3 5" xfId="20253"/>
    <cellStyle name="Normal 13 2 2 2 2 4 4" xfId="4413"/>
    <cellStyle name="Normal 13 2 2 2 2 4 4 2" xfId="10173"/>
    <cellStyle name="Normal 13 2 2 2 2 4 4 2 2" xfId="27453"/>
    <cellStyle name="Normal 13 2 2 2 2 4 4 3" xfId="15933"/>
    <cellStyle name="Normal 13 2 2 2 2 4 4 3 2" xfId="33213"/>
    <cellStyle name="Normal 13 2 2 2 2 4 4 4" xfId="21693"/>
    <cellStyle name="Normal 13 2 2 2 2 4 5" xfId="7293"/>
    <cellStyle name="Normal 13 2 2 2 2 4 5 2" xfId="24573"/>
    <cellStyle name="Normal 13 2 2 2 2 4 6" xfId="13053"/>
    <cellStyle name="Normal 13 2 2 2 2 4 6 2" xfId="30333"/>
    <cellStyle name="Normal 13 2 2 2 2 4 7" xfId="18813"/>
    <cellStyle name="Normal 13 2 2 2 2 5" xfId="1773"/>
    <cellStyle name="Normal 13 2 2 2 2 5 2" xfId="3213"/>
    <cellStyle name="Normal 13 2 2 2 2 5 2 2" xfId="6093"/>
    <cellStyle name="Normal 13 2 2 2 2 5 2 2 2" xfId="11853"/>
    <cellStyle name="Normal 13 2 2 2 2 5 2 2 2 2" xfId="29133"/>
    <cellStyle name="Normal 13 2 2 2 2 5 2 2 3" xfId="17613"/>
    <cellStyle name="Normal 13 2 2 2 2 5 2 2 3 2" xfId="34893"/>
    <cellStyle name="Normal 13 2 2 2 2 5 2 2 4" xfId="23373"/>
    <cellStyle name="Normal 13 2 2 2 2 5 2 3" xfId="8973"/>
    <cellStyle name="Normal 13 2 2 2 2 5 2 3 2" xfId="26253"/>
    <cellStyle name="Normal 13 2 2 2 2 5 2 4" xfId="14733"/>
    <cellStyle name="Normal 13 2 2 2 2 5 2 4 2" xfId="32013"/>
    <cellStyle name="Normal 13 2 2 2 2 5 2 5" xfId="20493"/>
    <cellStyle name="Normal 13 2 2 2 2 5 3" xfId="4653"/>
    <cellStyle name="Normal 13 2 2 2 2 5 3 2" xfId="10413"/>
    <cellStyle name="Normal 13 2 2 2 2 5 3 2 2" xfId="27693"/>
    <cellStyle name="Normal 13 2 2 2 2 5 3 3" xfId="16173"/>
    <cellStyle name="Normal 13 2 2 2 2 5 3 3 2" xfId="33453"/>
    <cellStyle name="Normal 13 2 2 2 2 5 3 4" xfId="21933"/>
    <cellStyle name="Normal 13 2 2 2 2 5 4" xfId="7533"/>
    <cellStyle name="Normal 13 2 2 2 2 5 4 2" xfId="24813"/>
    <cellStyle name="Normal 13 2 2 2 2 5 5" xfId="13293"/>
    <cellStyle name="Normal 13 2 2 2 2 5 5 2" xfId="30573"/>
    <cellStyle name="Normal 13 2 2 2 2 5 6" xfId="19053"/>
    <cellStyle name="Normal 13 2 2 2 2 6" xfId="2493"/>
    <cellStyle name="Normal 13 2 2 2 2 6 2" xfId="5373"/>
    <cellStyle name="Normal 13 2 2 2 2 6 2 2" xfId="11133"/>
    <cellStyle name="Normal 13 2 2 2 2 6 2 2 2" xfId="28413"/>
    <cellStyle name="Normal 13 2 2 2 2 6 2 3" xfId="16893"/>
    <cellStyle name="Normal 13 2 2 2 2 6 2 3 2" xfId="34173"/>
    <cellStyle name="Normal 13 2 2 2 2 6 2 4" xfId="22653"/>
    <cellStyle name="Normal 13 2 2 2 2 6 3" xfId="8253"/>
    <cellStyle name="Normal 13 2 2 2 2 6 3 2" xfId="25533"/>
    <cellStyle name="Normal 13 2 2 2 2 6 4" xfId="14013"/>
    <cellStyle name="Normal 13 2 2 2 2 6 4 2" xfId="31293"/>
    <cellStyle name="Normal 13 2 2 2 2 6 5" xfId="19773"/>
    <cellStyle name="Normal 13 2 2 2 2 7" xfId="3933"/>
    <cellStyle name="Normal 13 2 2 2 2 7 2" xfId="9693"/>
    <cellStyle name="Normal 13 2 2 2 2 7 2 2" xfId="26973"/>
    <cellStyle name="Normal 13 2 2 2 2 7 3" xfId="15453"/>
    <cellStyle name="Normal 13 2 2 2 2 7 3 2" xfId="32733"/>
    <cellStyle name="Normal 13 2 2 2 2 7 4" xfId="21213"/>
    <cellStyle name="Normal 13 2 2 2 2 8" xfId="6813"/>
    <cellStyle name="Normal 13 2 2 2 2 8 2" xfId="24093"/>
    <cellStyle name="Normal 13 2 2 2 2 9" xfId="12573"/>
    <cellStyle name="Normal 13 2 2 2 2 9 2" xfId="29853"/>
    <cellStyle name="Normal 13 2 2 2 3" xfId="1013"/>
    <cellStyle name="Normal 13 2 2 2 3 10" xfId="18293"/>
    <cellStyle name="Normal 13 2 2 2 3 2" xfId="1133"/>
    <cellStyle name="Normal 13 2 2 2 3 2 2" xfId="1373"/>
    <cellStyle name="Normal 13 2 2 2 3 2 2 2" xfId="2093"/>
    <cellStyle name="Normal 13 2 2 2 3 2 2 2 2" xfId="3533"/>
    <cellStyle name="Normal 13 2 2 2 3 2 2 2 2 2" xfId="6413"/>
    <cellStyle name="Normal 13 2 2 2 3 2 2 2 2 2 2" xfId="12173"/>
    <cellStyle name="Normal 13 2 2 2 3 2 2 2 2 2 2 2" xfId="29453"/>
    <cellStyle name="Normal 13 2 2 2 3 2 2 2 2 2 3" xfId="17933"/>
    <cellStyle name="Normal 13 2 2 2 3 2 2 2 2 2 3 2" xfId="35213"/>
    <cellStyle name="Normal 13 2 2 2 3 2 2 2 2 2 4" xfId="23693"/>
    <cellStyle name="Normal 13 2 2 2 3 2 2 2 2 3" xfId="9293"/>
    <cellStyle name="Normal 13 2 2 2 3 2 2 2 2 3 2" xfId="26573"/>
    <cellStyle name="Normal 13 2 2 2 3 2 2 2 2 4" xfId="15053"/>
    <cellStyle name="Normal 13 2 2 2 3 2 2 2 2 4 2" xfId="32333"/>
    <cellStyle name="Normal 13 2 2 2 3 2 2 2 2 5" xfId="20813"/>
    <cellStyle name="Normal 13 2 2 2 3 2 2 2 3" xfId="4973"/>
    <cellStyle name="Normal 13 2 2 2 3 2 2 2 3 2" xfId="10733"/>
    <cellStyle name="Normal 13 2 2 2 3 2 2 2 3 2 2" xfId="28013"/>
    <cellStyle name="Normal 13 2 2 2 3 2 2 2 3 3" xfId="16493"/>
    <cellStyle name="Normal 13 2 2 2 3 2 2 2 3 3 2" xfId="33773"/>
    <cellStyle name="Normal 13 2 2 2 3 2 2 2 3 4" xfId="22253"/>
    <cellStyle name="Normal 13 2 2 2 3 2 2 2 4" xfId="7853"/>
    <cellStyle name="Normal 13 2 2 2 3 2 2 2 4 2" xfId="25133"/>
    <cellStyle name="Normal 13 2 2 2 3 2 2 2 5" xfId="13613"/>
    <cellStyle name="Normal 13 2 2 2 3 2 2 2 5 2" xfId="30893"/>
    <cellStyle name="Normal 13 2 2 2 3 2 2 2 6" xfId="19373"/>
    <cellStyle name="Normal 13 2 2 2 3 2 2 3" xfId="2813"/>
    <cellStyle name="Normal 13 2 2 2 3 2 2 3 2" xfId="5693"/>
    <cellStyle name="Normal 13 2 2 2 3 2 2 3 2 2" xfId="11453"/>
    <cellStyle name="Normal 13 2 2 2 3 2 2 3 2 2 2" xfId="28733"/>
    <cellStyle name="Normal 13 2 2 2 3 2 2 3 2 3" xfId="17213"/>
    <cellStyle name="Normal 13 2 2 2 3 2 2 3 2 3 2" xfId="34493"/>
    <cellStyle name="Normal 13 2 2 2 3 2 2 3 2 4" xfId="22973"/>
    <cellStyle name="Normal 13 2 2 2 3 2 2 3 3" xfId="8573"/>
    <cellStyle name="Normal 13 2 2 2 3 2 2 3 3 2" xfId="25853"/>
    <cellStyle name="Normal 13 2 2 2 3 2 2 3 4" xfId="14333"/>
    <cellStyle name="Normal 13 2 2 2 3 2 2 3 4 2" xfId="31613"/>
    <cellStyle name="Normal 13 2 2 2 3 2 2 3 5" xfId="20093"/>
    <cellStyle name="Normal 13 2 2 2 3 2 2 4" xfId="4253"/>
    <cellStyle name="Normal 13 2 2 2 3 2 2 4 2" xfId="10013"/>
    <cellStyle name="Normal 13 2 2 2 3 2 2 4 2 2" xfId="27293"/>
    <cellStyle name="Normal 13 2 2 2 3 2 2 4 3" xfId="15773"/>
    <cellStyle name="Normal 13 2 2 2 3 2 2 4 3 2" xfId="33053"/>
    <cellStyle name="Normal 13 2 2 2 3 2 2 4 4" xfId="21533"/>
    <cellStyle name="Normal 13 2 2 2 3 2 2 5" xfId="7133"/>
    <cellStyle name="Normal 13 2 2 2 3 2 2 5 2" xfId="24413"/>
    <cellStyle name="Normal 13 2 2 2 3 2 2 6" xfId="12893"/>
    <cellStyle name="Normal 13 2 2 2 3 2 2 6 2" xfId="30173"/>
    <cellStyle name="Normal 13 2 2 2 3 2 2 7" xfId="18653"/>
    <cellStyle name="Normal 13 2 2 2 3 2 3" xfId="1613"/>
    <cellStyle name="Normal 13 2 2 2 3 2 3 2" xfId="2333"/>
    <cellStyle name="Normal 13 2 2 2 3 2 3 2 2" xfId="3773"/>
    <cellStyle name="Normal 13 2 2 2 3 2 3 2 2 2" xfId="6653"/>
    <cellStyle name="Normal 13 2 2 2 3 2 3 2 2 2 2" xfId="12413"/>
    <cellStyle name="Normal 13 2 2 2 3 2 3 2 2 2 2 2" xfId="29693"/>
    <cellStyle name="Normal 13 2 2 2 3 2 3 2 2 2 3" xfId="18173"/>
    <cellStyle name="Normal 13 2 2 2 3 2 3 2 2 2 3 2" xfId="35453"/>
    <cellStyle name="Normal 13 2 2 2 3 2 3 2 2 2 4" xfId="23933"/>
    <cellStyle name="Normal 13 2 2 2 3 2 3 2 2 3" xfId="9533"/>
    <cellStyle name="Normal 13 2 2 2 3 2 3 2 2 3 2" xfId="26813"/>
    <cellStyle name="Normal 13 2 2 2 3 2 3 2 2 4" xfId="15293"/>
    <cellStyle name="Normal 13 2 2 2 3 2 3 2 2 4 2" xfId="32573"/>
    <cellStyle name="Normal 13 2 2 2 3 2 3 2 2 5" xfId="21053"/>
    <cellStyle name="Normal 13 2 2 2 3 2 3 2 3" xfId="5213"/>
    <cellStyle name="Normal 13 2 2 2 3 2 3 2 3 2" xfId="10973"/>
    <cellStyle name="Normal 13 2 2 2 3 2 3 2 3 2 2" xfId="28253"/>
    <cellStyle name="Normal 13 2 2 2 3 2 3 2 3 3" xfId="16733"/>
    <cellStyle name="Normal 13 2 2 2 3 2 3 2 3 3 2" xfId="34013"/>
    <cellStyle name="Normal 13 2 2 2 3 2 3 2 3 4" xfId="22493"/>
    <cellStyle name="Normal 13 2 2 2 3 2 3 2 4" xfId="8093"/>
    <cellStyle name="Normal 13 2 2 2 3 2 3 2 4 2" xfId="25373"/>
    <cellStyle name="Normal 13 2 2 2 3 2 3 2 5" xfId="13853"/>
    <cellStyle name="Normal 13 2 2 2 3 2 3 2 5 2" xfId="31133"/>
    <cellStyle name="Normal 13 2 2 2 3 2 3 2 6" xfId="19613"/>
    <cellStyle name="Normal 13 2 2 2 3 2 3 3" xfId="3053"/>
    <cellStyle name="Normal 13 2 2 2 3 2 3 3 2" xfId="5933"/>
    <cellStyle name="Normal 13 2 2 2 3 2 3 3 2 2" xfId="11693"/>
    <cellStyle name="Normal 13 2 2 2 3 2 3 3 2 2 2" xfId="28973"/>
    <cellStyle name="Normal 13 2 2 2 3 2 3 3 2 3" xfId="17453"/>
    <cellStyle name="Normal 13 2 2 2 3 2 3 3 2 3 2" xfId="34733"/>
    <cellStyle name="Normal 13 2 2 2 3 2 3 3 2 4" xfId="23213"/>
    <cellStyle name="Normal 13 2 2 2 3 2 3 3 3" xfId="8813"/>
    <cellStyle name="Normal 13 2 2 2 3 2 3 3 3 2" xfId="26093"/>
    <cellStyle name="Normal 13 2 2 2 3 2 3 3 4" xfId="14573"/>
    <cellStyle name="Normal 13 2 2 2 3 2 3 3 4 2" xfId="31853"/>
    <cellStyle name="Normal 13 2 2 2 3 2 3 3 5" xfId="20333"/>
    <cellStyle name="Normal 13 2 2 2 3 2 3 4" xfId="4493"/>
    <cellStyle name="Normal 13 2 2 2 3 2 3 4 2" xfId="10253"/>
    <cellStyle name="Normal 13 2 2 2 3 2 3 4 2 2" xfId="27533"/>
    <cellStyle name="Normal 13 2 2 2 3 2 3 4 3" xfId="16013"/>
    <cellStyle name="Normal 13 2 2 2 3 2 3 4 3 2" xfId="33293"/>
    <cellStyle name="Normal 13 2 2 2 3 2 3 4 4" xfId="21773"/>
    <cellStyle name="Normal 13 2 2 2 3 2 3 5" xfId="7373"/>
    <cellStyle name="Normal 13 2 2 2 3 2 3 5 2" xfId="24653"/>
    <cellStyle name="Normal 13 2 2 2 3 2 3 6" xfId="13133"/>
    <cellStyle name="Normal 13 2 2 2 3 2 3 6 2" xfId="30413"/>
    <cellStyle name="Normal 13 2 2 2 3 2 3 7" xfId="18893"/>
    <cellStyle name="Normal 13 2 2 2 3 2 4" xfId="1853"/>
    <cellStyle name="Normal 13 2 2 2 3 2 4 2" xfId="3293"/>
    <cellStyle name="Normal 13 2 2 2 3 2 4 2 2" xfId="6173"/>
    <cellStyle name="Normal 13 2 2 2 3 2 4 2 2 2" xfId="11933"/>
    <cellStyle name="Normal 13 2 2 2 3 2 4 2 2 2 2" xfId="29213"/>
    <cellStyle name="Normal 13 2 2 2 3 2 4 2 2 3" xfId="17693"/>
    <cellStyle name="Normal 13 2 2 2 3 2 4 2 2 3 2" xfId="34973"/>
    <cellStyle name="Normal 13 2 2 2 3 2 4 2 2 4" xfId="23453"/>
    <cellStyle name="Normal 13 2 2 2 3 2 4 2 3" xfId="9053"/>
    <cellStyle name="Normal 13 2 2 2 3 2 4 2 3 2" xfId="26333"/>
    <cellStyle name="Normal 13 2 2 2 3 2 4 2 4" xfId="14813"/>
    <cellStyle name="Normal 13 2 2 2 3 2 4 2 4 2" xfId="32093"/>
    <cellStyle name="Normal 13 2 2 2 3 2 4 2 5" xfId="20573"/>
    <cellStyle name="Normal 13 2 2 2 3 2 4 3" xfId="4733"/>
    <cellStyle name="Normal 13 2 2 2 3 2 4 3 2" xfId="10493"/>
    <cellStyle name="Normal 13 2 2 2 3 2 4 3 2 2" xfId="27773"/>
    <cellStyle name="Normal 13 2 2 2 3 2 4 3 3" xfId="16253"/>
    <cellStyle name="Normal 13 2 2 2 3 2 4 3 3 2" xfId="33533"/>
    <cellStyle name="Normal 13 2 2 2 3 2 4 3 4" xfId="22013"/>
    <cellStyle name="Normal 13 2 2 2 3 2 4 4" xfId="7613"/>
    <cellStyle name="Normal 13 2 2 2 3 2 4 4 2" xfId="24893"/>
    <cellStyle name="Normal 13 2 2 2 3 2 4 5" xfId="13373"/>
    <cellStyle name="Normal 13 2 2 2 3 2 4 5 2" xfId="30653"/>
    <cellStyle name="Normal 13 2 2 2 3 2 4 6" xfId="19133"/>
    <cellStyle name="Normal 13 2 2 2 3 2 5" xfId="2573"/>
    <cellStyle name="Normal 13 2 2 2 3 2 5 2" xfId="5453"/>
    <cellStyle name="Normal 13 2 2 2 3 2 5 2 2" xfId="11213"/>
    <cellStyle name="Normal 13 2 2 2 3 2 5 2 2 2" xfId="28493"/>
    <cellStyle name="Normal 13 2 2 2 3 2 5 2 3" xfId="16973"/>
    <cellStyle name="Normal 13 2 2 2 3 2 5 2 3 2" xfId="34253"/>
    <cellStyle name="Normal 13 2 2 2 3 2 5 2 4" xfId="22733"/>
    <cellStyle name="Normal 13 2 2 2 3 2 5 3" xfId="8333"/>
    <cellStyle name="Normal 13 2 2 2 3 2 5 3 2" xfId="25613"/>
    <cellStyle name="Normal 13 2 2 2 3 2 5 4" xfId="14093"/>
    <cellStyle name="Normal 13 2 2 2 3 2 5 4 2" xfId="31373"/>
    <cellStyle name="Normal 13 2 2 2 3 2 5 5" xfId="19853"/>
    <cellStyle name="Normal 13 2 2 2 3 2 6" xfId="4013"/>
    <cellStyle name="Normal 13 2 2 2 3 2 6 2" xfId="9773"/>
    <cellStyle name="Normal 13 2 2 2 3 2 6 2 2" xfId="27053"/>
    <cellStyle name="Normal 13 2 2 2 3 2 6 3" xfId="15533"/>
    <cellStyle name="Normal 13 2 2 2 3 2 6 3 2" xfId="32813"/>
    <cellStyle name="Normal 13 2 2 2 3 2 6 4" xfId="21293"/>
    <cellStyle name="Normal 13 2 2 2 3 2 7" xfId="6893"/>
    <cellStyle name="Normal 13 2 2 2 3 2 7 2" xfId="24173"/>
    <cellStyle name="Normal 13 2 2 2 3 2 8" xfId="12653"/>
    <cellStyle name="Normal 13 2 2 2 3 2 8 2" xfId="29933"/>
    <cellStyle name="Normal 13 2 2 2 3 2 9" xfId="18413"/>
    <cellStyle name="Normal 13 2 2 2 3 3" xfId="1253"/>
    <cellStyle name="Normal 13 2 2 2 3 3 2" xfId="1973"/>
    <cellStyle name="Normal 13 2 2 2 3 3 2 2" xfId="3413"/>
    <cellStyle name="Normal 13 2 2 2 3 3 2 2 2" xfId="6293"/>
    <cellStyle name="Normal 13 2 2 2 3 3 2 2 2 2" xfId="12053"/>
    <cellStyle name="Normal 13 2 2 2 3 3 2 2 2 2 2" xfId="29333"/>
    <cellStyle name="Normal 13 2 2 2 3 3 2 2 2 3" xfId="17813"/>
    <cellStyle name="Normal 13 2 2 2 3 3 2 2 2 3 2" xfId="35093"/>
    <cellStyle name="Normal 13 2 2 2 3 3 2 2 2 4" xfId="23573"/>
    <cellStyle name="Normal 13 2 2 2 3 3 2 2 3" xfId="9173"/>
    <cellStyle name="Normal 13 2 2 2 3 3 2 2 3 2" xfId="26453"/>
    <cellStyle name="Normal 13 2 2 2 3 3 2 2 4" xfId="14933"/>
    <cellStyle name="Normal 13 2 2 2 3 3 2 2 4 2" xfId="32213"/>
    <cellStyle name="Normal 13 2 2 2 3 3 2 2 5" xfId="20693"/>
    <cellStyle name="Normal 13 2 2 2 3 3 2 3" xfId="4853"/>
    <cellStyle name="Normal 13 2 2 2 3 3 2 3 2" xfId="10613"/>
    <cellStyle name="Normal 13 2 2 2 3 3 2 3 2 2" xfId="27893"/>
    <cellStyle name="Normal 13 2 2 2 3 3 2 3 3" xfId="16373"/>
    <cellStyle name="Normal 13 2 2 2 3 3 2 3 3 2" xfId="33653"/>
    <cellStyle name="Normal 13 2 2 2 3 3 2 3 4" xfId="22133"/>
    <cellStyle name="Normal 13 2 2 2 3 3 2 4" xfId="7733"/>
    <cellStyle name="Normal 13 2 2 2 3 3 2 4 2" xfId="25013"/>
    <cellStyle name="Normal 13 2 2 2 3 3 2 5" xfId="13493"/>
    <cellStyle name="Normal 13 2 2 2 3 3 2 5 2" xfId="30773"/>
    <cellStyle name="Normal 13 2 2 2 3 3 2 6" xfId="19253"/>
    <cellStyle name="Normal 13 2 2 2 3 3 3" xfId="2693"/>
    <cellStyle name="Normal 13 2 2 2 3 3 3 2" xfId="5573"/>
    <cellStyle name="Normal 13 2 2 2 3 3 3 2 2" xfId="11333"/>
    <cellStyle name="Normal 13 2 2 2 3 3 3 2 2 2" xfId="28613"/>
    <cellStyle name="Normal 13 2 2 2 3 3 3 2 3" xfId="17093"/>
    <cellStyle name="Normal 13 2 2 2 3 3 3 2 3 2" xfId="34373"/>
    <cellStyle name="Normal 13 2 2 2 3 3 3 2 4" xfId="22853"/>
    <cellStyle name="Normal 13 2 2 2 3 3 3 3" xfId="8453"/>
    <cellStyle name="Normal 13 2 2 2 3 3 3 3 2" xfId="25733"/>
    <cellStyle name="Normal 13 2 2 2 3 3 3 4" xfId="14213"/>
    <cellStyle name="Normal 13 2 2 2 3 3 3 4 2" xfId="31493"/>
    <cellStyle name="Normal 13 2 2 2 3 3 3 5" xfId="19973"/>
    <cellStyle name="Normal 13 2 2 2 3 3 4" xfId="4133"/>
    <cellStyle name="Normal 13 2 2 2 3 3 4 2" xfId="9893"/>
    <cellStyle name="Normal 13 2 2 2 3 3 4 2 2" xfId="27173"/>
    <cellStyle name="Normal 13 2 2 2 3 3 4 3" xfId="15653"/>
    <cellStyle name="Normal 13 2 2 2 3 3 4 3 2" xfId="32933"/>
    <cellStyle name="Normal 13 2 2 2 3 3 4 4" xfId="21413"/>
    <cellStyle name="Normal 13 2 2 2 3 3 5" xfId="7013"/>
    <cellStyle name="Normal 13 2 2 2 3 3 5 2" xfId="24293"/>
    <cellStyle name="Normal 13 2 2 2 3 3 6" xfId="12773"/>
    <cellStyle name="Normal 13 2 2 2 3 3 6 2" xfId="30053"/>
    <cellStyle name="Normal 13 2 2 2 3 3 7" xfId="18533"/>
    <cellStyle name="Normal 13 2 2 2 3 4" xfId="1493"/>
    <cellStyle name="Normal 13 2 2 2 3 4 2" xfId="2213"/>
    <cellStyle name="Normal 13 2 2 2 3 4 2 2" xfId="3653"/>
    <cellStyle name="Normal 13 2 2 2 3 4 2 2 2" xfId="6533"/>
    <cellStyle name="Normal 13 2 2 2 3 4 2 2 2 2" xfId="12293"/>
    <cellStyle name="Normal 13 2 2 2 3 4 2 2 2 2 2" xfId="29573"/>
    <cellStyle name="Normal 13 2 2 2 3 4 2 2 2 3" xfId="18053"/>
    <cellStyle name="Normal 13 2 2 2 3 4 2 2 2 3 2" xfId="35333"/>
    <cellStyle name="Normal 13 2 2 2 3 4 2 2 2 4" xfId="23813"/>
    <cellStyle name="Normal 13 2 2 2 3 4 2 2 3" xfId="9413"/>
    <cellStyle name="Normal 13 2 2 2 3 4 2 2 3 2" xfId="26693"/>
    <cellStyle name="Normal 13 2 2 2 3 4 2 2 4" xfId="15173"/>
    <cellStyle name="Normal 13 2 2 2 3 4 2 2 4 2" xfId="32453"/>
    <cellStyle name="Normal 13 2 2 2 3 4 2 2 5" xfId="20933"/>
    <cellStyle name="Normal 13 2 2 2 3 4 2 3" xfId="5093"/>
    <cellStyle name="Normal 13 2 2 2 3 4 2 3 2" xfId="10853"/>
    <cellStyle name="Normal 13 2 2 2 3 4 2 3 2 2" xfId="28133"/>
    <cellStyle name="Normal 13 2 2 2 3 4 2 3 3" xfId="16613"/>
    <cellStyle name="Normal 13 2 2 2 3 4 2 3 3 2" xfId="33893"/>
    <cellStyle name="Normal 13 2 2 2 3 4 2 3 4" xfId="22373"/>
    <cellStyle name="Normal 13 2 2 2 3 4 2 4" xfId="7973"/>
    <cellStyle name="Normal 13 2 2 2 3 4 2 4 2" xfId="25253"/>
    <cellStyle name="Normal 13 2 2 2 3 4 2 5" xfId="13733"/>
    <cellStyle name="Normal 13 2 2 2 3 4 2 5 2" xfId="31013"/>
    <cellStyle name="Normal 13 2 2 2 3 4 2 6" xfId="19493"/>
    <cellStyle name="Normal 13 2 2 2 3 4 3" xfId="2933"/>
    <cellStyle name="Normal 13 2 2 2 3 4 3 2" xfId="5813"/>
    <cellStyle name="Normal 13 2 2 2 3 4 3 2 2" xfId="11573"/>
    <cellStyle name="Normal 13 2 2 2 3 4 3 2 2 2" xfId="28853"/>
    <cellStyle name="Normal 13 2 2 2 3 4 3 2 3" xfId="17333"/>
    <cellStyle name="Normal 13 2 2 2 3 4 3 2 3 2" xfId="34613"/>
    <cellStyle name="Normal 13 2 2 2 3 4 3 2 4" xfId="23093"/>
    <cellStyle name="Normal 13 2 2 2 3 4 3 3" xfId="8693"/>
    <cellStyle name="Normal 13 2 2 2 3 4 3 3 2" xfId="25973"/>
    <cellStyle name="Normal 13 2 2 2 3 4 3 4" xfId="14453"/>
    <cellStyle name="Normal 13 2 2 2 3 4 3 4 2" xfId="31733"/>
    <cellStyle name="Normal 13 2 2 2 3 4 3 5" xfId="20213"/>
    <cellStyle name="Normal 13 2 2 2 3 4 4" xfId="4373"/>
    <cellStyle name="Normal 13 2 2 2 3 4 4 2" xfId="10133"/>
    <cellStyle name="Normal 13 2 2 2 3 4 4 2 2" xfId="27413"/>
    <cellStyle name="Normal 13 2 2 2 3 4 4 3" xfId="15893"/>
    <cellStyle name="Normal 13 2 2 2 3 4 4 3 2" xfId="33173"/>
    <cellStyle name="Normal 13 2 2 2 3 4 4 4" xfId="21653"/>
    <cellStyle name="Normal 13 2 2 2 3 4 5" xfId="7253"/>
    <cellStyle name="Normal 13 2 2 2 3 4 5 2" xfId="24533"/>
    <cellStyle name="Normal 13 2 2 2 3 4 6" xfId="13013"/>
    <cellStyle name="Normal 13 2 2 2 3 4 6 2" xfId="30293"/>
    <cellStyle name="Normal 13 2 2 2 3 4 7" xfId="18773"/>
    <cellStyle name="Normal 13 2 2 2 3 5" xfId="1733"/>
    <cellStyle name="Normal 13 2 2 2 3 5 2" xfId="3173"/>
    <cellStyle name="Normal 13 2 2 2 3 5 2 2" xfId="6053"/>
    <cellStyle name="Normal 13 2 2 2 3 5 2 2 2" xfId="11813"/>
    <cellStyle name="Normal 13 2 2 2 3 5 2 2 2 2" xfId="29093"/>
    <cellStyle name="Normal 13 2 2 2 3 5 2 2 3" xfId="17573"/>
    <cellStyle name="Normal 13 2 2 2 3 5 2 2 3 2" xfId="34853"/>
    <cellStyle name="Normal 13 2 2 2 3 5 2 2 4" xfId="23333"/>
    <cellStyle name="Normal 13 2 2 2 3 5 2 3" xfId="8933"/>
    <cellStyle name="Normal 13 2 2 2 3 5 2 3 2" xfId="26213"/>
    <cellStyle name="Normal 13 2 2 2 3 5 2 4" xfId="14693"/>
    <cellStyle name="Normal 13 2 2 2 3 5 2 4 2" xfId="31973"/>
    <cellStyle name="Normal 13 2 2 2 3 5 2 5" xfId="20453"/>
    <cellStyle name="Normal 13 2 2 2 3 5 3" xfId="4613"/>
    <cellStyle name="Normal 13 2 2 2 3 5 3 2" xfId="10373"/>
    <cellStyle name="Normal 13 2 2 2 3 5 3 2 2" xfId="27653"/>
    <cellStyle name="Normal 13 2 2 2 3 5 3 3" xfId="16133"/>
    <cellStyle name="Normal 13 2 2 2 3 5 3 3 2" xfId="33413"/>
    <cellStyle name="Normal 13 2 2 2 3 5 3 4" xfId="21893"/>
    <cellStyle name="Normal 13 2 2 2 3 5 4" xfId="7493"/>
    <cellStyle name="Normal 13 2 2 2 3 5 4 2" xfId="24773"/>
    <cellStyle name="Normal 13 2 2 2 3 5 5" xfId="13253"/>
    <cellStyle name="Normal 13 2 2 2 3 5 5 2" xfId="30533"/>
    <cellStyle name="Normal 13 2 2 2 3 5 6" xfId="19013"/>
    <cellStyle name="Normal 13 2 2 2 3 6" xfId="2453"/>
    <cellStyle name="Normal 13 2 2 2 3 6 2" xfId="5333"/>
    <cellStyle name="Normal 13 2 2 2 3 6 2 2" xfId="11093"/>
    <cellStyle name="Normal 13 2 2 2 3 6 2 2 2" xfId="28373"/>
    <cellStyle name="Normal 13 2 2 2 3 6 2 3" xfId="16853"/>
    <cellStyle name="Normal 13 2 2 2 3 6 2 3 2" xfId="34133"/>
    <cellStyle name="Normal 13 2 2 2 3 6 2 4" xfId="22613"/>
    <cellStyle name="Normal 13 2 2 2 3 6 3" xfId="8213"/>
    <cellStyle name="Normal 13 2 2 2 3 6 3 2" xfId="25493"/>
    <cellStyle name="Normal 13 2 2 2 3 6 4" xfId="13973"/>
    <cellStyle name="Normal 13 2 2 2 3 6 4 2" xfId="31253"/>
    <cellStyle name="Normal 13 2 2 2 3 6 5" xfId="19733"/>
    <cellStyle name="Normal 13 2 2 2 3 7" xfId="3893"/>
    <cellStyle name="Normal 13 2 2 2 3 7 2" xfId="9653"/>
    <cellStyle name="Normal 13 2 2 2 3 7 2 2" xfId="26933"/>
    <cellStyle name="Normal 13 2 2 2 3 7 3" xfId="15413"/>
    <cellStyle name="Normal 13 2 2 2 3 7 3 2" xfId="32693"/>
    <cellStyle name="Normal 13 2 2 2 3 7 4" xfId="21173"/>
    <cellStyle name="Normal 13 2 2 2 3 8" xfId="6773"/>
    <cellStyle name="Normal 13 2 2 2 3 8 2" xfId="24053"/>
    <cellStyle name="Normal 13 2 2 2 3 9" xfId="12533"/>
    <cellStyle name="Normal 13 2 2 2 3 9 2" xfId="29813"/>
    <cellStyle name="Normal 13 2 2 2 4" xfId="1093"/>
    <cellStyle name="Normal 13 2 2 2 4 2" xfId="1333"/>
    <cellStyle name="Normal 13 2 2 2 4 2 2" xfId="2053"/>
    <cellStyle name="Normal 13 2 2 2 4 2 2 2" xfId="3493"/>
    <cellStyle name="Normal 13 2 2 2 4 2 2 2 2" xfId="6373"/>
    <cellStyle name="Normal 13 2 2 2 4 2 2 2 2 2" xfId="12133"/>
    <cellStyle name="Normal 13 2 2 2 4 2 2 2 2 2 2" xfId="29413"/>
    <cellStyle name="Normal 13 2 2 2 4 2 2 2 2 3" xfId="17893"/>
    <cellStyle name="Normal 13 2 2 2 4 2 2 2 2 3 2" xfId="35173"/>
    <cellStyle name="Normal 13 2 2 2 4 2 2 2 2 4" xfId="23653"/>
    <cellStyle name="Normal 13 2 2 2 4 2 2 2 3" xfId="9253"/>
    <cellStyle name="Normal 13 2 2 2 4 2 2 2 3 2" xfId="26533"/>
    <cellStyle name="Normal 13 2 2 2 4 2 2 2 4" xfId="15013"/>
    <cellStyle name="Normal 13 2 2 2 4 2 2 2 4 2" xfId="32293"/>
    <cellStyle name="Normal 13 2 2 2 4 2 2 2 5" xfId="20773"/>
    <cellStyle name="Normal 13 2 2 2 4 2 2 3" xfId="4933"/>
    <cellStyle name="Normal 13 2 2 2 4 2 2 3 2" xfId="10693"/>
    <cellStyle name="Normal 13 2 2 2 4 2 2 3 2 2" xfId="27973"/>
    <cellStyle name="Normal 13 2 2 2 4 2 2 3 3" xfId="16453"/>
    <cellStyle name="Normal 13 2 2 2 4 2 2 3 3 2" xfId="33733"/>
    <cellStyle name="Normal 13 2 2 2 4 2 2 3 4" xfId="22213"/>
    <cellStyle name="Normal 13 2 2 2 4 2 2 4" xfId="7813"/>
    <cellStyle name="Normal 13 2 2 2 4 2 2 4 2" xfId="25093"/>
    <cellStyle name="Normal 13 2 2 2 4 2 2 5" xfId="13573"/>
    <cellStyle name="Normal 13 2 2 2 4 2 2 5 2" xfId="30853"/>
    <cellStyle name="Normal 13 2 2 2 4 2 2 6" xfId="19333"/>
    <cellStyle name="Normal 13 2 2 2 4 2 3" xfId="2773"/>
    <cellStyle name="Normal 13 2 2 2 4 2 3 2" xfId="5653"/>
    <cellStyle name="Normal 13 2 2 2 4 2 3 2 2" xfId="11413"/>
    <cellStyle name="Normal 13 2 2 2 4 2 3 2 2 2" xfId="28693"/>
    <cellStyle name="Normal 13 2 2 2 4 2 3 2 3" xfId="17173"/>
    <cellStyle name="Normal 13 2 2 2 4 2 3 2 3 2" xfId="34453"/>
    <cellStyle name="Normal 13 2 2 2 4 2 3 2 4" xfId="22933"/>
    <cellStyle name="Normal 13 2 2 2 4 2 3 3" xfId="8533"/>
    <cellStyle name="Normal 13 2 2 2 4 2 3 3 2" xfId="25813"/>
    <cellStyle name="Normal 13 2 2 2 4 2 3 4" xfId="14293"/>
    <cellStyle name="Normal 13 2 2 2 4 2 3 4 2" xfId="31573"/>
    <cellStyle name="Normal 13 2 2 2 4 2 3 5" xfId="20053"/>
    <cellStyle name="Normal 13 2 2 2 4 2 4" xfId="4213"/>
    <cellStyle name="Normal 13 2 2 2 4 2 4 2" xfId="9973"/>
    <cellStyle name="Normal 13 2 2 2 4 2 4 2 2" xfId="27253"/>
    <cellStyle name="Normal 13 2 2 2 4 2 4 3" xfId="15733"/>
    <cellStyle name="Normal 13 2 2 2 4 2 4 3 2" xfId="33013"/>
    <cellStyle name="Normal 13 2 2 2 4 2 4 4" xfId="21493"/>
    <cellStyle name="Normal 13 2 2 2 4 2 5" xfId="7093"/>
    <cellStyle name="Normal 13 2 2 2 4 2 5 2" xfId="24373"/>
    <cellStyle name="Normal 13 2 2 2 4 2 6" xfId="12853"/>
    <cellStyle name="Normal 13 2 2 2 4 2 6 2" xfId="30133"/>
    <cellStyle name="Normal 13 2 2 2 4 2 7" xfId="18613"/>
    <cellStyle name="Normal 13 2 2 2 4 3" xfId="1573"/>
    <cellStyle name="Normal 13 2 2 2 4 3 2" xfId="2293"/>
    <cellStyle name="Normal 13 2 2 2 4 3 2 2" xfId="3733"/>
    <cellStyle name="Normal 13 2 2 2 4 3 2 2 2" xfId="6613"/>
    <cellStyle name="Normal 13 2 2 2 4 3 2 2 2 2" xfId="12373"/>
    <cellStyle name="Normal 13 2 2 2 4 3 2 2 2 2 2" xfId="29653"/>
    <cellStyle name="Normal 13 2 2 2 4 3 2 2 2 3" xfId="18133"/>
    <cellStyle name="Normal 13 2 2 2 4 3 2 2 2 3 2" xfId="35413"/>
    <cellStyle name="Normal 13 2 2 2 4 3 2 2 2 4" xfId="23893"/>
    <cellStyle name="Normal 13 2 2 2 4 3 2 2 3" xfId="9493"/>
    <cellStyle name="Normal 13 2 2 2 4 3 2 2 3 2" xfId="26773"/>
    <cellStyle name="Normal 13 2 2 2 4 3 2 2 4" xfId="15253"/>
    <cellStyle name="Normal 13 2 2 2 4 3 2 2 4 2" xfId="32533"/>
    <cellStyle name="Normal 13 2 2 2 4 3 2 2 5" xfId="21013"/>
    <cellStyle name="Normal 13 2 2 2 4 3 2 3" xfId="5173"/>
    <cellStyle name="Normal 13 2 2 2 4 3 2 3 2" xfId="10933"/>
    <cellStyle name="Normal 13 2 2 2 4 3 2 3 2 2" xfId="28213"/>
    <cellStyle name="Normal 13 2 2 2 4 3 2 3 3" xfId="16693"/>
    <cellStyle name="Normal 13 2 2 2 4 3 2 3 3 2" xfId="33973"/>
    <cellStyle name="Normal 13 2 2 2 4 3 2 3 4" xfId="22453"/>
    <cellStyle name="Normal 13 2 2 2 4 3 2 4" xfId="8053"/>
    <cellStyle name="Normal 13 2 2 2 4 3 2 4 2" xfId="25333"/>
    <cellStyle name="Normal 13 2 2 2 4 3 2 5" xfId="13813"/>
    <cellStyle name="Normal 13 2 2 2 4 3 2 5 2" xfId="31093"/>
    <cellStyle name="Normal 13 2 2 2 4 3 2 6" xfId="19573"/>
    <cellStyle name="Normal 13 2 2 2 4 3 3" xfId="3013"/>
    <cellStyle name="Normal 13 2 2 2 4 3 3 2" xfId="5893"/>
    <cellStyle name="Normal 13 2 2 2 4 3 3 2 2" xfId="11653"/>
    <cellStyle name="Normal 13 2 2 2 4 3 3 2 2 2" xfId="28933"/>
    <cellStyle name="Normal 13 2 2 2 4 3 3 2 3" xfId="17413"/>
    <cellStyle name="Normal 13 2 2 2 4 3 3 2 3 2" xfId="34693"/>
    <cellStyle name="Normal 13 2 2 2 4 3 3 2 4" xfId="23173"/>
    <cellStyle name="Normal 13 2 2 2 4 3 3 3" xfId="8773"/>
    <cellStyle name="Normal 13 2 2 2 4 3 3 3 2" xfId="26053"/>
    <cellStyle name="Normal 13 2 2 2 4 3 3 4" xfId="14533"/>
    <cellStyle name="Normal 13 2 2 2 4 3 3 4 2" xfId="31813"/>
    <cellStyle name="Normal 13 2 2 2 4 3 3 5" xfId="20293"/>
    <cellStyle name="Normal 13 2 2 2 4 3 4" xfId="4453"/>
    <cellStyle name="Normal 13 2 2 2 4 3 4 2" xfId="10213"/>
    <cellStyle name="Normal 13 2 2 2 4 3 4 2 2" xfId="27493"/>
    <cellStyle name="Normal 13 2 2 2 4 3 4 3" xfId="15973"/>
    <cellStyle name="Normal 13 2 2 2 4 3 4 3 2" xfId="33253"/>
    <cellStyle name="Normal 13 2 2 2 4 3 4 4" xfId="21733"/>
    <cellStyle name="Normal 13 2 2 2 4 3 5" xfId="7333"/>
    <cellStyle name="Normal 13 2 2 2 4 3 5 2" xfId="24613"/>
    <cellStyle name="Normal 13 2 2 2 4 3 6" xfId="13093"/>
    <cellStyle name="Normal 13 2 2 2 4 3 6 2" xfId="30373"/>
    <cellStyle name="Normal 13 2 2 2 4 3 7" xfId="18853"/>
    <cellStyle name="Normal 13 2 2 2 4 4" xfId="1813"/>
    <cellStyle name="Normal 13 2 2 2 4 4 2" xfId="3253"/>
    <cellStyle name="Normal 13 2 2 2 4 4 2 2" xfId="6133"/>
    <cellStyle name="Normal 13 2 2 2 4 4 2 2 2" xfId="11893"/>
    <cellStyle name="Normal 13 2 2 2 4 4 2 2 2 2" xfId="29173"/>
    <cellStyle name="Normal 13 2 2 2 4 4 2 2 3" xfId="17653"/>
    <cellStyle name="Normal 13 2 2 2 4 4 2 2 3 2" xfId="34933"/>
    <cellStyle name="Normal 13 2 2 2 4 4 2 2 4" xfId="23413"/>
    <cellStyle name="Normal 13 2 2 2 4 4 2 3" xfId="9013"/>
    <cellStyle name="Normal 13 2 2 2 4 4 2 3 2" xfId="26293"/>
    <cellStyle name="Normal 13 2 2 2 4 4 2 4" xfId="14773"/>
    <cellStyle name="Normal 13 2 2 2 4 4 2 4 2" xfId="32053"/>
    <cellStyle name="Normal 13 2 2 2 4 4 2 5" xfId="20533"/>
    <cellStyle name="Normal 13 2 2 2 4 4 3" xfId="4693"/>
    <cellStyle name="Normal 13 2 2 2 4 4 3 2" xfId="10453"/>
    <cellStyle name="Normal 13 2 2 2 4 4 3 2 2" xfId="27733"/>
    <cellStyle name="Normal 13 2 2 2 4 4 3 3" xfId="16213"/>
    <cellStyle name="Normal 13 2 2 2 4 4 3 3 2" xfId="33493"/>
    <cellStyle name="Normal 13 2 2 2 4 4 3 4" xfId="21973"/>
    <cellStyle name="Normal 13 2 2 2 4 4 4" xfId="7573"/>
    <cellStyle name="Normal 13 2 2 2 4 4 4 2" xfId="24853"/>
    <cellStyle name="Normal 13 2 2 2 4 4 5" xfId="13333"/>
    <cellStyle name="Normal 13 2 2 2 4 4 5 2" xfId="30613"/>
    <cellStyle name="Normal 13 2 2 2 4 4 6" xfId="19093"/>
    <cellStyle name="Normal 13 2 2 2 4 5" xfId="2533"/>
    <cellStyle name="Normal 13 2 2 2 4 5 2" xfId="5413"/>
    <cellStyle name="Normal 13 2 2 2 4 5 2 2" xfId="11173"/>
    <cellStyle name="Normal 13 2 2 2 4 5 2 2 2" xfId="28453"/>
    <cellStyle name="Normal 13 2 2 2 4 5 2 3" xfId="16933"/>
    <cellStyle name="Normal 13 2 2 2 4 5 2 3 2" xfId="34213"/>
    <cellStyle name="Normal 13 2 2 2 4 5 2 4" xfId="22693"/>
    <cellStyle name="Normal 13 2 2 2 4 5 3" xfId="8293"/>
    <cellStyle name="Normal 13 2 2 2 4 5 3 2" xfId="25573"/>
    <cellStyle name="Normal 13 2 2 2 4 5 4" xfId="14053"/>
    <cellStyle name="Normal 13 2 2 2 4 5 4 2" xfId="31333"/>
    <cellStyle name="Normal 13 2 2 2 4 5 5" xfId="19813"/>
    <cellStyle name="Normal 13 2 2 2 4 6" xfId="3973"/>
    <cellStyle name="Normal 13 2 2 2 4 6 2" xfId="9733"/>
    <cellStyle name="Normal 13 2 2 2 4 6 2 2" xfId="27013"/>
    <cellStyle name="Normal 13 2 2 2 4 6 3" xfId="15493"/>
    <cellStyle name="Normal 13 2 2 2 4 6 3 2" xfId="32773"/>
    <cellStyle name="Normal 13 2 2 2 4 6 4" xfId="21253"/>
    <cellStyle name="Normal 13 2 2 2 4 7" xfId="6853"/>
    <cellStyle name="Normal 13 2 2 2 4 7 2" xfId="24133"/>
    <cellStyle name="Normal 13 2 2 2 4 8" xfId="12613"/>
    <cellStyle name="Normal 13 2 2 2 4 8 2" xfId="29893"/>
    <cellStyle name="Normal 13 2 2 2 4 9" xfId="18373"/>
    <cellStyle name="Normal 13 2 2 2 5" xfId="1213"/>
    <cellStyle name="Normal 13 2 2 2 5 2" xfId="1933"/>
    <cellStyle name="Normal 13 2 2 2 5 2 2" xfId="3373"/>
    <cellStyle name="Normal 13 2 2 2 5 2 2 2" xfId="6253"/>
    <cellStyle name="Normal 13 2 2 2 5 2 2 2 2" xfId="12013"/>
    <cellStyle name="Normal 13 2 2 2 5 2 2 2 2 2" xfId="29293"/>
    <cellStyle name="Normal 13 2 2 2 5 2 2 2 3" xfId="17773"/>
    <cellStyle name="Normal 13 2 2 2 5 2 2 2 3 2" xfId="35053"/>
    <cellStyle name="Normal 13 2 2 2 5 2 2 2 4" xfId="23533"/>
    <cellStyle name="Normal 13 2 2 2 5 2 2 3" xfId="9133"/>
    <cellStyle name="Normal 13 2 2 2 5 2 2 3 2" xfId="26413"/>
    <cellStyle name="Normal 13 2 2 2 5 2 2 4" xfId="14893"/>
    <cellStyle name="Normal 13 2 2 2 5 2 2 4 2" xfId="32173"/>
    <cellStyle name="Normal 13 2 2 2 5 2 2 5" xfId="20653"/>
    <cellStyle name="Normal 13 2 2 2 5 2 3" xfId="4813"/>
    <cellStyle name="Normal 13 2 2 2 5 2 3 2" xfId="10573"/>
    <cellStyle name="Normal 13 2 2 2 5 2 3 2 2" xfId="27853"/>
    <cellStyle name="Normal 13 2 2 2 5 2 3 3" xfId="16333"/>
    <cellStyle name="Normal 13 2 2 2 5 2 3 3 2" xfId="33613"/>
    <cellStyle name="Normal 13 2 2 2 5 2 3 4" xfId="22093"/>
    <cellStyle name="Normal 13 2 2 2 5 2 4" xfId="7693"/>
    <cellStyle name="Normal 13 2 2 2 5 2 4 2" xfId="24973"/>
    <cellStyle name="Normal 13 2 2 2 5 2 5" xfId="13453"/>
    <cellStyle name="Normal 13 2 2 2 5 2 5 2" xfId="30733"/>
    <cellStyle name="Normal 13 2 2 2 5 2 6" xfId="19213"/>
    <cellStyle name="Normal 13 2 2 2 5 3" xfId="2653"/>
    <cellStyle name="Normal 13 2 2 2 5 3 2" xfId="5533"/>
    <cellStyle name="Normal 13 2 2 2 5 3 2 2" xfId="11293"/>
    <cellStyle name="Normal 13 2 2 2 5 3 2 2 2" xfId="28573"/>
    <cellStyle name="Normal 13 2 2 2 5 3 2 3" xfId="17053"/>
    <cellStyle name="Normal 13 2 2 2 5 3 2 3 2" xfId="34333"/>
    <cellStyle name="Normal 13 2 2 2 5 3 2 4" xfId="22813"/>
    <cellStyle name="Normal 13 2 2 2 5 3 3" xfId="8413"/>
    <cellStyle name="Normal 13 2 2 2 5 3 3 2" xfId="25693"/>
    <cellStyle name="Normal 13 2 2 2 5 3 4" xfId="14173"/>
    <cellStyle name="Normal 13 2 2 2 5 3 4 2" xfId="31453"/>
    <cellStyle name="Normal 13 2 2 2 5 3 5" xfId="19933"/>
    <cellStyle name="Normal 13 2 2 2 5 4" xfId="4093"/>
    <cellStyle name="Normal 13 2 2 2 5 4 2" xfId="9853"/>
    <cellStyle name="Normal 13 2 2 2 5 4 2 2" xfId="27133"/>
    <cellStyle name="Normal 13 2 2 2 5 4 3" xfId="15613"/>
    <cellStyle name="Normal 13 2 2 2 5 4 3 2" xfId="32893"/>
    <cellStyle name="Normal 13 2 2 2 5 4 4" xfId="21373"/>
    <cellStyle name="Normal 13 2 2 2 5 5" xfId="6973"/>
    <cellStyle name="Normal 13 2 2 2 5 5 2" xfId="24253"/>
    <cellStyle name="Normal 13 2 2 2 5 6" xfId="12733"/>
    <cellStyle name="Normal 13 2 2 2 5 6 2" xfId="30013"/>
    <cellStyle name="Normal 13 2 2 2 5 7" xfId="18493"/>
    <cellStyle name="Normal 13 2 2 2 6" xfId="1453"/>
    <cellStyle name="Normal 13 2 2 2 6 2" xfId="2173"/>
    <cellStyle name="Normal 13 2 2 2 6 2 2" xfId="3613"/>
    <cellStyle name="Normal 13 2 2 2 6 2 2 2" xfId="6493"/>
    <cellStyle name="Normal 13 2 2 2 6 2 2 2 2" xfId="12253"/>
    <cellStyle name="Normal 13 2 2 2 6 2 2 2 2 2" xfId="29533"/>
    <cellStyle name="Normal 13 2 2 2 6 2 2 2 3" xfId="18013"/>
    <cellStyle name="Normal 13 2 2 2 6 2 2 2 3 2" xfId="35293"/>
    <cellStyle name="Normal 13 2 2 2 6 2 2 2 4" xfId="23773"/>
    <cellStyle name="Normal 13 2 2 2 6 2 2 3" xfId="9373"/>
    <cellStyle name="Normal 13 2 2 2 6 2 2 3 2" xfId="26653"/>
    <cellStyle name="Normal 13 2 2 2 6 2 2 4" xfId="15133"/>
    <cellStyle name="Normal 13 2 2 2 6 2 2 4 2" xfId="32413"/>
    <cellStyle name="Normal 13 2 2 2 6 2 2 5" xfId="20893"/>
    <cellStyle name="Normal 13 2 2 2 6 2 3" xfId="5053"/>
    <cellStyle name="Normal 13 2 2 2 6 2 3 2" xfId="10813"/>
    <cellStyle name="Normal 13 2 2 2 6 2 3 2 2" xfId="28093"/>
    <cellStyle name="Normal 13 2 2 2 6 2 3 3" xfId="16573"/>
    <cellStyle name="Normal 13 2 2 2 6 2 3 3 2" xfId="33853"/>
    <cellStyle name="Normal 13 2 2 2 6 2 3 4" xfId="22333"/>
    <cellStyle name="Normal 13 2 2 2 6 2 4" xfId="7933"/>
    <cellStyle name="Normal 13 2 2 2 6 2 4 2" xfId="25213"/>
    <cellStyle name="Normal 13 2 2 2 6 2 5" xfId="13693"/>
    <cellStyle name="Normal 13 2 2 2 6 2 5 2" xfId="30973"/>
    <cellStyle name="Normal 13 2 2 2 6 2 6" xfId="19453"/>
    <cellStyle name="Normal 13 2 2 2 6 3" xfId="2893"/>
    <cellStyle name="Normal 13 2 2 2 6 3 2" xfId="5773"/>
    <cellStyle name="Normal 13 2 2 2 6 3 2 2" xfId="11533"/>
    <cellStyle name="Normal 13 2 2 2 6 3 2 2 2" xfId="28813"/>
    <cellStyle name="Normal 13 2 2 2 6 3 2 3" xfId="17293"/>
    <cellStyle name="Normal 13 2 2 2 6 3 2 3 2" xfId="34573"/>
    <cellStyle name="Normal 13 2 2 2 6 3 2 4" xfId="23053"/>
    <cellStyle name="Normal 13 2 2 2 6 3 3" xfId="8653"/>
    <cellStyle name="Normal 13 2 2 2 6 3 3 2" xfId="25933"/>
    <cellStyle name="Normal 13 2 2 2 6 3 4" xfId="14413"/>
    <cellStyle name="Normal 13 2 2 2 6 3 4 2" xfId="31693"/>
    <cellStyle name="Normal 13 2 2 2 6 3 5" xfId="20173"/>
    <cellStyle name="Normal 13 2 2 2 6 4" xfId="4333"/>
    <cellStyle name="Normal 13 2 2 2 6 4 2" xfId="10093"/>
    <cellStyle name="Normal 13 2 2 2 6 4 2 2" xfId="27373"/>
    <cellStyle name="Normal 13 2 2 2 6 4 3" xfId="15853"/>
    <cellStyle name="Normal 13 2 2 2 6 4 3 2" xfId="33133"/>
    <cellStyle name="Normal 13 2 2 2 6 4 4" xfId="21613"/>
    <cellStyle name="Normal 13 2 2 2 6 5" xfId="7213"/>
    <cellStyle name="Normal 13 2 2 2 6 5 2" xfId="24493"/>
    <cellStyle name="Normal 13 2 2 2 6 6" xfId="12973"/>
    <cellStyle name="Normal 13 2 2 2 6 6 2" xfId="30253"/>
    <cellStyle name="Normal 13 2 2 2 6 7" xfId="18733"/>
    <cellStyle name="Normal 13 2 2 2 7" xfId="1693"/>
    <cellStyle name="Normal 13 2 2 2 7 2" xfId="3133"/>
    <cellStyle name="Normal 13 2 2 2 7 2 2" xfId="6013"/>
    <cellStyle name="Normal 13 2 2 2 7 2 2 2" xfId="11773"/>
    <cellStyle name="Normal 13 2 2 2 7 2 2 2 2" xfId="29053"/>
    <cellStyle name="Normal 13 2 2 2 7 2 2 3" xfId="17533"/>
    <cellStyle name="Normal 13 2 2 2 7 2 2 3 2" xfId="34813"/>
    <cellStyle name="Normal 13 2 2 2 7 2 2 4" xfId="23293"/>
    <cellStyle name="Normal 13 2 2 2 7 2 3" xfId="8893"/>
    <cellStyle name="Normal 13 2 2 2 7 2 3 2" xfId="26173"/>
    <cellStyle name="Normal 13 2 2 2 7 2 4" xfId="14653"/>
    <cellStyle name="Normal 13 2 2 2 7 2 4 2" xfId="31933"/>
    <cellStyle name="Normal 13 2 2 2 7 2 5" xfId="20413"/>
    <cellStyle name="Normal 13 2 2 2 7 3" xfId="4573"/>
    <cellStyle name="Normal 13 2 2 2 7 3 2" xfId="10333"/>
    <cellStyle name="Normal 13 2 2 2 7 3 2 2" xfId="27613"/>
    <cellStyle name="Normal 13 2 2 2 7 3 3" xfId="16093"/>
    <cellStyle name="Normal 13 2 2 2 7 3 3 2" xfId="33373"/>
    <cellStyle name="Normal 13 2 2 2 7 3 4" xfId="21853"/>
    <cellStyle name="Normal 13 2 2 2 7 4" xfId="7453"/>
    <cellStyle name="Normal 13 2 2 2 7 4 2" xfId="24733"/>
    <cellStyle name="Normal 13 2 2 2 7 5" xfId="13213"/>
    <cellStyle name="Normal 13 2 2 2 7 5 2" xfId="30493"/>
    <cellStyle name="Normal 13 2 2 2 7 6" xfId="18973"/>
    <cellStyle name="Normal 13 2 2 2 8" xfId="2413"/>
    <cellStyle name="Normal 13 2 2 2 8 2" xfId="5293"/>
    <cellStyle name="Normal 13 2 2 2 8 2 2" xfId="11053"/>
    <cellStyle name="Normal 13 2 2 2 8 2 2 2" xfId="28333"/>
    <cellStyle name="Normal 13 2 2 2 8 2 3" xfId="16813"/>
    <cellStyle name="Normal 13 2 2 2 8 2 3 2" xfId="34093"/>
    <cellStyle name="Normal 13 2 2 2 8 2 4" xfId="22573"/>
    <cellStyle name="Normal 13 2 2 2 8 3" xfId="8173"/>
    <cellStyle name="Normal 13 2 2 2 8 3 2" xfId="25453"/>
    <cellStyle name="Normal 13 2 2 2 8 4" xfId="13933"/>
    <cellStyle name="Normal 13 2 2 2 8 4 2" xfId="31213"/>
    <cellStyle name="Normal 13 2 2 2 8 5" xfId="19693"/>
    <cellStyle name="Normal 13 2 2 2 9" xfId="3853"/>
    <cellStyle name="Normal 13 2 2 2 9 2" xfId="9613"/>
    <cellStyle name="Normal 13 2 2 2 9 2 2" xfId="26893"/>
    <cellStyle name="Normal 13 2 2 2 9 3" xfId="15373"/>
    <cellStyle name="Normal 13 2 2 2 9 3 2" xfId="32653"/>
    <cellStyle name="Normal 13 2 2 2 9 4" xfId="21133"/>
    <cellStyle name="Normal 13 2 2 3" xfId="1033"/>
    <cellStyle name="Normal 13 2 2 3 10" xfId="18313"/>
    <cellStyle name="Normal 13 2 2 3 2" xfId="1153"/>
    <cellStyle name="Normal 13 2 2 3 2 2" xfId="1393"/>
    <cellStyle name="Normal 13 2 2 3 2 2 2" xfId="2113"/>
    <cellStyle name="Normal 13 2 2 3 2 2 2 2" xfId="3553"/>
    <cellStyle name="Normal 13 2 2 3 2 2 2 2 2" xfId="6433"/>
    <cellStyle name="Normal 13 2 2 3 2 2 2 2 2 2" xfId="12193"/>
    <cellStyle name="Normal 13 2 2 3 2 2 2 2 2 2 2" xfId="29473"/>
    <cellStyle name="Normal 13 2 2 3 2 2 2 2 2 3" xfId="17953"/>
    <cellStyle name="Normal 13 2 2 3 2 2 2 2 2 3 2" xfId="35233"/>
    <cellStyle name="Normal 13 2 2 3 2 2 2 2 2 4" xfId="23713"/>
    <cellStyle name="Normal 13 2 2 3 2 2 2 2 3" xfId="9313"/>
    <cellStyle name="Normal 13 2 2 3 2 2 2 2 3 2" xfId="26593"/>
    <cellStyle name="Normal 13 2 2 3 2 2 2 2 4" xfId="15073"/>
    <cellStyle name="Normal 13 2 2 3 2 2 2 2 4 2" xfId="32353"/>
    <cellStyle name="Normal 13 2 2 3 2 2 2 2 5" xfId="20833"/>
    <cellStyle name="Normal 13 2 2 3 2 2 2 3" xfId="4993"/>
    <cellStyle name="Normal 13 2 2 3 2 2 2 3 2" xfId="10753"/>
    <cellStyle name="Normal 13 2 2 3 2 2 2 3 2 2" xfId="28033"/>
    <cellStyle name="Normal 13 2 2 3 2 2 2 3 3" xfId="16513"/>
    <cellStyle name="Normal 13 2 2 3 2 2 2 3 3 2" xfId="33793"/>
    <cellStyle name="Normal 13 2 2 3 2 2 2 3 4" xfId="22273"/>
    <cellStyle name="Normal 13 2 2 3 2 2 2 4" xfId="7873"/>
    <cellStyle name="Normal 13 2 2 3 2 2 2 4 2" xfId="25153"/>
    <cellStyle name="Normal 13 2 2 3 2 2 2 5" xfId="13633"/>
    <cellStyle name="Normal 13 2 2 3 2 2 2 5 2" xfId="30913"/>
    <cellStyle name="Normal 13 2 2 3 2 2 2 6" xfId="19393"/>
    <cellStyle name="Normal 13 2 2 3 2 2 3" xfId="2833"/>
    <cellStyle name="Normal 13 2 2 3 2 2 3 2" xfId="5713"/>
    <cellStyle name="Normal 13 2 2 3 2 2 3 2 2" xfId="11473"/>
    <cellStyle name="Normal 13 2 2 3 2 2 3 2 2 2" xfId="28753"/>
    <cellStyle name="Normal 13 2 2 3 2 2 3 2 3" xfId="17233"/>
    <cellStyle name="Normal 13 2 2 3 2 2 3 2 3 2" xfId="34513"/>
    <cellStyle name="Normal 13 2 2 3 2 2 3 2 4" xfId="22993"/>
    <cellStyle name="Normal 13 2 2 3 2 2 3 3" xfId="8593"/>
    <cellStyle name="Normal 13 2 2 3 2 2 3 3 2" xfId="25873"/>
    <cellStyle name="Normal 13 2 2 3 2 2 3 4" xfId="14353"/>
    <cellStyle name="Normal 13 2 2 3 2 2 3 4 2" xfId="31633"/>
    <cellStyle name="Normal 13 2 2 3 2 2 3 5" xfId="20113"/>
    <cellStyle name="Normal 13 2 2 3 2 2 4" xfId="4273"/>
    <cellStyle name="Normal 13 2 2 3 2 2 4 2" xfId="10033"/>
    <cellStyle name="Normal 13 2 2 3 2 2 4 2 2" xfId="27313"/>
    <cellStyle name="Normal 13 2 2 3 2 2 4 3" xfId="15793"/>
    <cellStyle name="Normal 13 2 2 3 2 2 4 3 2" xfId="33073"/>
    <cellStyle name="Normal 13 2 2 3 2 2 4 4" xfId="21553"/>
    <cellStyle name="Normal 13 2 2 3 2 2 5" xfId="7153"/>
    <cellStyle name="Normal 13 2 2 3 2 2 5 2" xfId="24433"/>
    <cellStyle name="Normal 13 2 2 3 2 2 6" xfId="12913"/>
    <cellStyle name="Normal 13 2 2 3 2 2 6 2" xfId="30193"/>
    <cellStyle name="Normal 13 2 2 3 2 2 7" xfId="18673"/>
    <cellStyle name="Normal 13 2 2 3 2 3" xfId="1633"/>
    <cellStyle name="Normal 13 2 2 3 2 3 2" xfId="2353"/>
    <cellStyle name="Normal 13 2 2 3 2 3 2 2" xfId="3793"/>
    <cellStyle name="Normal 13 2 2 3 2 3 2 2 2" xfId="6673"/>
    <cellStyle name="Normal 13 2 2 3 2 3 2 2 2 2" xfId="12433"/>
    <cellStyle name="Normal 13 2 2 3 2 3 2 2 2 2 2" xfId="29713"/>
    <cellStyle name="Normal 13 2 2 3 2 3 2 2 2 3" xfId="18193"/>
    <cellStyle name="Normal 13 2 2 3 2 3 2 2 2 3 2" xfId="35473"/>
    <cellStyle name="Normal 13 2 2 3 2 3 2 2 2 4" xfId="23953"/>
    <cellStyle name="Normal 13 2 2 3 2 3 2 2 3" xfId="9553"/>
    <cellStyle name="Normal 13 2 2 3 2 3 2 2 3 2" xfId="26833"/>
    <cellStyle name="Normal 13 2 2 3 2 3 2 2 4" xfId="15313"/>
    <cellStyle name="Normal 13 2 2 3 2 3 2 2 4 2" xfId="32593"/>
    <cellStyle name="Normal 13 2 2 3 2 3 2 2 5" xfId="21073"/>
    <cellStyle name="Normal 13 2 2 3 2 3 2 3" xfId="5233"/>
    <cellStyle name="Normal 13 2 2 3 2 3 2 3 2" xfId="10993"/>
    <cellStyle name="Normal 13 2 2 3 2 3 2 3 2 2" xfId="28273"/>
    <cellStyle name="Normal 13 2 2 3 2 3 2 3 3" xfId="16753"/>
    <cellStyle name="Normal 13 2 2 3 2 3 2 3 3 2" xfId="34033"/>
    <cellStyle name="Normal 13 2 2 3 2 3 2 3 4" xfId="22513"/>
    <cellStyle name="Normal 13 2 2 3 2 3 2 4" xfId="8113"/>
    <cellStyle name="Normal 13 2 2 3 2 3 2 4 2" xfId="25393"/>
    <cellStyle name="Normal 13 2 2 3 2 3 2 5" xfId="13873"/>
    <cellStyle name="Normal 13 2 2 3 2 3 2 5 2" xfId="31153"/>
    <cellStyle name="Normal 13 2 2 3 2 3 2 6" xfId="19633"/>
    <cellStyle name="Normal 13 2 2 3 2 3 3" xfId="3073"/>
    <cellStyle name="Normal 13 2 2 3 2 3 3 2" xfId="5953"/>
    <cellStyle name="Normal 13 2 2 3 2 3 3 2 2" xfId="11713"/>
    <cellStyle name="Normal 13 2 2 3 2 3 3 2 2 2" xfId="28993"/>
    <cellStyle name="Normal 13 2 2 3 2 3 3 2 3" xfId="17473"/>
    <cellStyle name="Normal 13 2 2 3 2 3 3 2 3 2" xfId="34753"/>
    <cellStyle name="Normal 13 2 2 3 2 3 3 2 4" xfId="23233"/>
    <cellStyle name="Normal 13 2 2 3 2 3 3 3" xfId="8833"/>
    <cellStyle name="Normal 13 2 2 3 2 3 3 3 2" xfId="26113"/>
    <cellStyle name="Normal 13 2 2 3 2 3 3 4" xfId="14593"/>
    <cellStyle name="Normal 13 2 2 3 2 3 3 4 2" xfId="31873"/>
    <cellStyle name="Normal 13 2 2 3 2 3 3 5" xfId="20353"/>
    <cellStyle name="Normal 13 2 2 3 2 3 4" xfId="4513"/>
    <cellStyle name="Normal 13 2 2 3 2 3 4 2" xfId="10273"/>
    <cellStyle name="Normal 13 2 2 3 2 3 4 2 2" xfId="27553"/>
    <cellStyle name="Normal 13 2 2 3 2 3 4 3" xfId="16033"/>
    <cellStyle name="Normal 13 2 2 3 2 3 4 3 2" xfId="33313"/>
    <cellStyle name="Normal 13 2 2 3 2 3 4 4" xfId="21793"/>
    <cellStyle name="Normal 13 2 2 3 2 3 5" xfId="7393"/>
    <cellStyle name="Normal 13 2 2 3 2 3 5 2" xfId="24673"/>
    <cellStyle name="Normal 13 2 2 3 2 3 6" xfId="13153"/>
    <cellStyle name="Normal 13 2 2 3 2 3 6 2" xfId="30433"/>
    <cellStyle name="Normal 13 2 2 3 2 3 7" xfId="18913"/>
    <cellStyle name="Normal 13 2 2 3 2 4" xfId="1873"/>
    <cellStyle name="Normal 13 2 2 3 2 4 2" xfId="3313"/>
    <cellStyle name="Normal 13 2 2 3 2 4 2 2" xfId="6193"/>
    <cellStyle name="Normal 13 2 2 3 2 4 2 2 2" xfId="11953"/>
    <cellStyle name="Normal 13 2 2 3 2 4 2 2 2 2" xfId="29233"/>
    <cellStyle name="Normal 13 2 2 3 2 4 2 2 3" xfId="17713"/>
    <cellStyle name="Normal 13 2 2 3 2 4 2 2 3 2" xfId="34993"/>
    <cellStyle name="Normal 13 2 2 3 2 4 2 2 4" xfId="23473"/>
    <cellStyle name="Normal 13 2 2 3 2 4 2 3" xfId="9073"/>
    <cellStyle name="Normal 13 2 2 3 2 4 2 3 2" xfId="26353"/>
    <cellStyle name="Normal 13 2 2 3 2 4 2 4" xfId="14833"/>
    <cellStyle name="Normal 13 2 2 3 2 4 2 4 2" xfId="32113"/>
    <cellStyle name="Normal 13 2 2 3 2 4 2 5" xfId="20593"/>
    <cellStyle name="Normal 13 2 2 3 2 4 3" xfId="4753"/>
    <cellStyle name="Normal 13 2 2 3 2 4 3 2" xfId="10513"/>
    <cellStyle name="Normal 13 2 2 3 2 4 3 2 2" xfId="27793"/>
    <cellStyle name="Normal 13 2 2 3 2 4 3 3" xfId="16273"/>
    <cellStyle name="Normal 13 2 2 3 2 4 3 3 2" xfId="33553"/>
    <cellStyle name="Normal 13 2 2 3 2 4 3 4" xfId="22033"/>
    <cellStyle name="Normal 13 2 2 3 2 4 4" xfId="7633"/>
    <cellStyle name="Normal 13 2 2 3 2 4 4 2" xfId="24913"/>
    <cellStyle name="Normal 13 2 2 3 2 4 5" xfId="13393"/>
    <cellStyle name="Normal 13 2 2 3 2 4 5 2" xfId="30673"/>
    <cellStyle name="Normal 13 2 2 3 2 4 6" xfId="19153"/>
    <cellStyle name="Normal 13 2 2 3 2 5" xfId="2593"/>
    <cellStyle name="Normal 13 2 2 3 2 5 2" xfId="5473"/>
    <cellStyle name="Normal 13 2 2 3 2 5 2 2" xfId="11233"/>
    <cellStyle name="Normal 13 2 2 3 2 5 2 2 2" xfId="28513"/>
    <cellStyle name="Normal 13 2 2 3 2 5 2 3" xfId="16993"/>
    <cellStyle name="Normal 13 2 2 3 2 5 2 3 2" xfId="34273"/>
    <cellStyle name="Normal 13 2 2 3 2 5 2 4" xfId="22753"/>
    <cellStyle name="Normal 13 2 2 3 2 5 3" xfId="8353"/>
    <cellStyle name="Normal 13 2 2 3 2 5 3 2" xfId="25633"/>
    <cellStyle name="Normal 13 2 2 3 2 5 4" xfId="14113"/>
    <cellStyle name="Normal 13 2 2 3 2 5 4 2" xfId="31393"/>
    <cellStyle name="Normal 13 2 2 3 2 5 5" xfId="19873"/>
    <cellStyle name="Normal 13 2 2 3 2 6" xfId="4033"/>
    <cellStyle name="Normal 13 2 2 3 2 6 2" xfId="9793"/>
    <cellStyle name="Normal 13 2 2 3 2 6 2 2" xfId="27073"/>
    <cellStyle name="Normal 13 2 2 3 2 6 3" xfId="15553"/>
    <cellStyle name="Normal 13 2 2 3 2 6 3 2" xfId="32833"/>
    <cellStyle name="Normal 13 2 2 3 2 6 4" xfId="21313"/>
    <cellStyle name="Normal 13 2 2 3 2 7" xfId="6913"/>
    <cellStyle name="Normal 13 2 2 3 2 7 2" xfId="24193"/>
    <cellStyle name="Normal 13 2 2 3 2 8" xfId="12673"/>
    <cellStyle name="Normal 13 2 2 3 2 8 2" xfId="29953"/>
    <cellStyle name="Normal 13 2 2 3 2 9" xfId="18433"/>
    <cellStyle name="Normal 13 2 2 3 3" xfId="1273"/>
    <cellStyle name="Normal 13 2 2 3 3 2" xfId="1993"/>
    <cellStyle name="Normal 13 2 2 3 3 2 2" xfId="3433"/>
    <cellStyle name="Normal 13 2 2 3 3 2 2 2" xfId="6313"/>
    <cellStyle name="Normal 13 2 2 3 3 2 2 2 2" xfId="12073"/>
    <cellStyle name="Normal 13 2 2 3 3 2 2 2 2 2" xfId="29353"/>
    <cellStyle name="Normal 13 2 2 3 3 2 2 2 3" xfId="17833"/>
    <cellStyle name="Normal 13 2 2 3 3 2 2 2 3 2" xfId="35113"/>
    <cellStyle name="Normal 13 2 2 3 3 2 2 2 4" xfId="23593"/>
    <cellStyle name="Normal 13 2 2 3 3 2 2 3" xfId="9193"/>
    <cellStyle name="Normal 13 2 2 3 3 2 2 3 2" xfId="26473"/>
    <cellStyle name="Normal 13 2 2 3 3 2 2 4" xfId="14953"/>
    <cellStyle name="Normal 13 2 2 3 3 2 2 4 2" xfId="32233"/>
    <cellStyle name="Normal 13 2 2 3 3 2 2 5" xfId="20713"/>
    <cellStyle name="Normal 13 2 2 3 3 2 3" xfId="4873"/>
    <cellStyle name="Normal 13 2 2 3 3 2 3 2" xfId="10633"/>
    <cellStyle name="Normal 13 2 2 3 3 2 3 2 2" xfId="27913"/>
    <cellStyle name="Normal 13 2 2 3 3 2 3 3" xfId="16393"/>
    <cellStyle name="Normal 13 2 2 3 3 2 3 3 2" xfId="33673"/>
    <cellStyle name="Normal 13 2 2 3 3 2 3 4" xfId="22153"/>
    <cellStyle name="Normal 13 2 2 3 3 2 4" xfId="7753"/>
    <cellStyle name="Normal 13 2 2 3 3 2 4 2" xfId="25033"/>
    <cellStyle name="Normal 13 2 2 3 3 2 5" xfId="13513"/>
    <cellStyle name="Normal 13 2 2 3 3 2 5 2" xfId="30793"/>
    <cellStyle name="Normal 13 2 2 3 3 2 6" xfId="19273"/>
    <cellStyle name="Normal 13 2 2 3 3 3" xfId="2713"/>
    <cellStyle name="Normal 13 2 2 3 3 3 2" xfId="5593"/>
    <cellStyle name="Normal 13 2 2 3 3 3 2 2" xfId="11353"/>
    <cellStyle name="Normal 13 2 2 3 3 3 2 2 2" xfId="28633"/>
    <cellStyle name="Normal 13 2 2 3 3 3 2 3" xfId="17113"/>
    <cellStyle name="Normal 13 2 2 3 3 3 2 3 2" xfId="34393"/>
    <cellStyle name="Normal 13 2 2 3 3 3 2 4" xfId="22873"/>
    <cellStyle name="Normal 13 2 2 3 3 3 3" xfId="8473"/>
    <cellStyle name="Normal 13 2 2 3 3 3 3 2" xfId="25753"/>
    <cellStyle name="Normal 13 2 2 3 3 3 4" xfId="14233"/>
    <cellStyle name="Normal 13 2 2 3 3 3 4 2" xfId="31513"/>
    <cellStyle name="Normal 13 2 2 3 3 3 5" xfId="19993"/>
    <cellStyle name="Normal 13 2 2 3 3 4" xfId="4153"/>
    <cellStyle name="Normal 13 2 2 3 3 4 2" xfId="9913"/>
    <cellStyle name="Normal 13 2 2 3 3 4 2 2" xfId="27193"/>
    <cellStyle name="Normal 13 2 2 3 3 4 3" xfId="15673"/>
    <cellStyle name="Normal 13 2 2 3 3 4 3 2" xfId="32953"/>
    <cellStyle name="Normal 13 2 2 3 3 4 4" xfId="21433"/>
    <cellStyle name="Normal 13 2 2 3 3 5" xfId="7033"/>
    <cellStyle name="Normal 13 2 2 3 3 5 2" xfId="24313"/>
    <cellStyle name="Normal 13 2 2 3 3 6" xfId="12793"/>
    <cellStyle name="Normal 13 2 2 3 3 6 2" xfId="30073"/>
    <cellStyle name="Normal 13 2 2 3 3 7" xfId="18553"/>
    <cellStyle name="Normal 13 2 2 3 4" xfId="1513"/>
    <cellStyle name="Normal 13 2 2 3 4 2" xfId="2233"/>
    <cellStyle name="Normal 13 2 2 3 4 2 2" xfId="3673"/>
    <cellStyle name="Normal 13 2 2 3 4 2 2 2" xfId="6553"/>
    <cellStyle name="Normal 13 2 2 3 4 2 2 2 2" xfId="12313"/>
    <cellStyle name="Normal 13 2 2 3 4 2 2 2 2 2" xfId="29593"/>
    <cellStyle name="Normal 13 2 2 3 4 2 2 2 3" xfId="18073"/>
    <cellStyle name="Normal 13 2 2 3 4 2 2 2 3 2" xfId="35353"/>
    <cellStyle name="Normal 13 2 2 3 4 2 2 2 4" xfId="23833"/>
    <cellStyle name="Normal 13 2 2 3 4 2 2 3" xfId="9433"/>
    <cellStyle name="Normal 13 2 2 3 4 2 2 3 2" xfId="26713"/>
    <cellStyle name="Normal 13 2 2 3 4 2 2 4" xfId="15193"/>
    <cellStyle name="Normal 13 2 2 3 4 2 2 4 2" xfId="32473"/>
    <cellStyle name="Normal 13 2 2 3 4 2 2 5" xfId="20953"/>
    <cellStyle name="Normal 13 2 2 3 4 2 3" xfId="5113"/>
    <cellStyle name="Normal 13 2 2 3 4 2 3 2" xfId="10873"/>
    <cellStyle name="Normal 13 2 2 3 4 2 3 2 2" xfId="28153"/>
    <cellStyle name="Normal 13 2 2 3 4 2 3 3" xfId="16633"/>
    <cellStyle name="Normal 13 2 2 3 4 2 3 3 2" xfId="33913"/>
    <cellStyle name="Normal 13 2 2 3 4 2 3 4" xfId="22393"/>
    <cellStyle name="Normal 13 2 2 3 4 2 4" xfId="7993"/>
    <cellStyle name="Normal 13 2 2 3 4 2 4 2" xfId="25273"/>
    <cellStyle name="Normal 13 2 2 3 4 2 5" xfId="13753"/>
    <cellStyle name="Normal 13 2 2 3 4 2 5 2" xfId="31033"/>
    <cellStyle name="Normal 13 2 2 3 4 2 6" xfId="19513"/>
    <cellStyle name="Normal 13 2 2 3 4 3" xfId="2953"/>
    <cellStyle name="Normal 13 2 2 3 4 3 2" xfId="5833"/>
    <cellStyle name="Normal 13 2 2 3 4 3 2 2" xfId="11593"/>
    <cellStyle name="Normal 13 2 2 3 4 3 2 2 2" xfId="28873"/>
    <cellStyle name="Normal 13 2 2 3 4 3 2 3" xfId="17353"/>
    <cellStyle name="Normal 13 2 2 3 4 3 2 3 2" xfId="34633"/>
    <cellStyle name="Normal 13 2 2 3 4 3 2 4" xfId="23113"/>
    <cellStyle name="Normal 13 2 2 3 4 3 3" xfId="8713"/>
    <cellStyle name="Normal 13 2 2 3 4 3 3 2" xfId="25993"/>
    <cellStyle name="Normal 13 2 2 3 4 3 4" xfId="14473"/>
    <cellStyle name="Normal 13 2 2 3 4 3 4 2" xfId="31753"/>
    <cellStyle name="Normal 13 2 2 3 4 3 5" xfId="20233"/>
    <cellStyle name="Normal 13 2 2 3 4 4" xfId="4393"/>
    <cellStyle name="Normal 13 2 2 3 4 4 2" xfId="10153"/>
    <cellStyle name="Normal 13 2 2 3 4 4 2 2" xfId="27433"/>
    <cellStyle name="Normal 13 2 2 3 4 4 3" xfId="15913"/>
    <cellStyle name="Normal 13 2 2 3 4 4 3 2" xfId="33193"/>
    <cellStyle name="Normal 13 2 2 3 4 4 4" xfId="21673"/>
    <cellStyle name="Normal 13 2 2 3 4 5" xfId="7273"/>
    <cellStyle name="Normal 13 2 2 3 4 5 2" xfId="24553"/>
    <cellStyle name="Normal 13 2 2 3 4 6" xfId="13033"/>
    <cellStyle name="Normal 13 2 2 3 4 6 2" xfId="30313"/>
    <cellStyle name="Normal 13 2 2 3 4 7" xfId="18793"/>
    <cellStyle name="Normal 13 2 2 3 5" xfId="1753"/>
    <cellStyle name="Normal 13 2 2 3 5 2" xfId="3193"/>
    <cellStyle name="Normal 13 2 2 3 5 2 2" xfId="6073"/>
    <cellStyle name="Normal 13 2 2 3 5 2 2 2" xfId="11833"/>
    <cellStyle name="Normal 13 2 2 3 5 2 2 2 2" xfId="29113"/>
    <cellStyle name="Normal 13 2 2 3 5 2 2 3" xfId="17593"/>
    <cellStyle name="Normal 13 2 2 3 5 2 2 3 2" xfId="34873"/>
    <cellStyle name="Normal 13 2 2 3 5 2 2 4" xfId="23353"/>
    <cellStyle name="Normal 13 2 2 3 5 2 3" xfId="8953"/>
    <cellStyle name="Normal 13 2 2 3 5 2 3 2" xfId="26233"/>
    <cellStyle name="Normal 13 2 2 3 5 2 4" xfId="14713"/>
    <cellStyle name="Normal 13 2 2 3 5 2 4 2" xfId="31993"/>
    <cellStyle name="Normal 13 2 2 3 5 2 5" xfId="20473"/>
    <cellStyle name="Normal 13 2 2 3 5 3" xfId="4633"/>
    <cellStyle name="Normal 13 2 2 3 5 3 2" xfId="10393"/>
    <cellStyle name="Normal 13 2 2 3 5 3 2 2" xfId="27673"/>
    <cellStyle name="Normal 13 2 2 3 5 3 3" xfId="16153"/>
    <cellStyle name="Normal 13 2 2 3 5 3 3 2" xfId="33433"/>
    <cellStyle name="Normal 13 2 2 3 5 3 4" xfId="21913"/>
    <cellStyle name="Normal 13 2 2 3 5 4" xfId="7513"/>
    <cellStyle name="Normal 13 2 2 3 5 4 2" xfId="24793"/>
    <cellStyle name="Normal 13 2 2 3 5 5" xfId="13273"/>
    <cellStyle name="Normal 13 2 2 3 5 5 2" xfId="30553"/>
    <cellStyle name="Normal 13 2 2 3 5 6" xfId="19033"/>
    <cellStyle name="Normal 13 2 2 3 6" xfId="2473"/>
    <cellStyle name="Normal 13 2 2 3 6 2" xfId="5353"/>
    <cellStyle name="Normal 13 2 2 3 6 2 2" xfId="11113"/>
    <cellStyle name="Normal 13 2 2 3 6 2 2 2" xfId="28393"/>
    <cellStyle name="Normal 13 2 2 3 6 2 3" xfId="16873"/>
    <cellStyle name="Normal 13 2 2 3 6 2 3 2" xfId="34153"/>
    <cellStyle name="Normal 13 2 2 3 6 2 4" xfId="22633"/>
    <cellStyle name="Normal 13 2 2 3 6 3" xfId="8233"/>
    <cellStyle name="Normal 13 2 2 3 6 3 2" xfId="25513"/>
    <cellStyle name="Normal 13 2 2 3 6 4" xfId="13993"/>
    <cellStyle name="Normal 13 2 2 3 6 4 2" xfId="31273"/>
    <cellStyle name="Normal 13 2 2 3 6 5" xfId="19753"/>
    <cellStyle name="Normal 13 2 2 3 7" xfId="3913"/>
    <cellStyle name="Normal 13 2 2 3 7 2" xfId="9673"/>
    <cellStyle name="Normal 13 2 2 3 7 2 2" xfId="26953"/>
    <cellStyle name="Normal 13 2 2 3 7 3" xfId="15433"/>
    <cellStyle name="Normal 13 2 2 3 7 3 2" xfId="32713"/>
    <cellStyle name="Normal 13 2 2 3 7 4" xfId="21193"/>
    <cellStyle name="Normal 13 2 2 3 8" xfId="6793"/>
    <cellStyle name="Normal 13 2 2 3 8 2" xfId="24073"/>
    <cellStyle name="Normal 13 2 2 3 9" xfId="12553"/>
    <cellStyle name="Normal 13 2 2 3 9 2" xfId="29833"/>
    <cellStyle name="Normal 13 2 2 4" xfId="993"/>
    <cellStyle name="Normal 13 2 2 4 10" xfId="18273"/>
    <cellStyle name="Normal 13 2 2 4 2" xfId="1113"/>
    <cellStyle name="Normal 13 2 2 4 2 2" xfId="1353"/>
    <cellStyle name="Normal 13 2 2 4 2 2 2" xfId="2073"/>
    <cellStyle name="Normal 13 2 2 4 2 2 2 2" xfId="3513"/>
    <cellStyle name="Normal 13 2 2 4 2 2 2 2 2" xfId="6393"/>
    <cellStyle name="Normal 13 2 2 4 2 2 2 2 2 2" xfId="12153"/>
    <cellStyle name="Normal 13 2 2 4 2 2 2 2 2 2 2" xfId="29433"/>
    <cellStyle name="Normal 13 2 2 4 2 2 2 2 2 3" xfId="17913"/>
    <cellStyle name="Normal 13 2 2 4 2 2 2 2 2 3 2" xfId="35193"/>
    <cellStyle name="Normal 13 2 2 4 2 2 2 2 2 4" xfId="23673"/>
    <cellStyle name="Normal 13 2 2 4 2 2 2 2 3" xfId="9273"/>
    <cellStyle name="Normal 13 2 2 4 2 2 2 2 3 2" xfId="26553"/>
    <cellStyle name="Normal 13 2 2 4 2 2 2 2 4" xfId="15033"/>
    <cellStyle name="Normal 13 2 2 4 2 2 2 2 4 2" xfId="32313"/>
    <cellStyle name="Normal 13 2 2 4 2 2 2 2 5" xfId="20793"/>
    <cellStyle name="Normal 13 2 2 4 2 2 2 3" xfId="4953"/>
    <cellStyle name="Normal 13 2 2 4 2 2 2 3 2" xfId="10713"/>
    <cellStyle name="Normal 13 2 2 4 2 2 2 3 2 2" xfId="27993"/>
    <cellStyle name="Normal 13 2 2 4 2 2 2 3 3" xfId="16473"/>
    <cellStyle name="Normal 13 2 2 4 2 2 2 3 3 2" xfId="33753"/>
    <cellStyle name="Normal 13 2 2 4 2 2 2 3 4" xfId="22233"/>
    <cellStyle name="Normal 13 2 2 4 2 2 2 4" xfId="7833"/>
    <cellStyle name="Normal 13 2 2 4 2 2 2 4 2" xfId="25113"/>
    <cellStyle name="Normal 13 2 2 4 2 2 2 5" xfId="13593"/>
    <cellStyle name="Normal 13 2 2 4 2 2 2 5 2" xfId="30873"/>
    <cellStyle name="Normal 13 2 2 4 2 2 2 6" xfId="19353"/>
    <cellStyle name="Normal 13 2 2 4 2 2 3" xfId="2793"/>
    <cellStyle name="Normal 13 2 2 4 2 2 3 2" xfId="5673"/>
    <cellStyle name="Normal 13 2 2 4 2 2 3 2 2" xfId="11433"/>
    <cellStyle name="Normal 13 2 2 4 2 2 3 2 2 2" xfId="28713"/>
    <cellStyle name="Normal 13 2 2 4 2 2 3 2 3" xfId="17193"/>
    <cellStyle name="Normal 13 2 2 4 2 2 3 2 3 2" xfId="34473"/>
    <cellStyle name="Normal 13 2 2 4 2 2 3 2 4" xfId="22953"/>
    <cellStyle name="Normal 13 2 2 4 2 2 3 3" xfId="8553"/>
    <cellStyle name="Normal 13 2 2 4 2 2 3 3 2" xfId="25833"/>
    <cellStyle name="Normal 13 2 2 4 2 2 3 4" xfId="14313"/>
    <cellStyle name="Normal 13 2 2 4 2 2 3 4 2" xfId="31593"/>
    <cellStyle name="Normal 13 2 2 4 2 2 3 5" xfId="20073"/>
    <cellStyle name="Normal 13 2 2 4 2 2 4" xfId="4233"/>
    <cellStyle name="Normal 13 2 2 4 2 2 4 2" xfId="9993"/>
    <cellStyle name="Normal 13 2 2 4 2 2 4 2 2" xfId="27273"/>
    <cellStyle name="Normal 13 2 2 4 2 2 4 3" xfId="15753"/>
    <cellStyle name="Normal 13 2 2 4 2 2 4 3 2" xfId="33033"/>
    <cellStyle name="Normal 13 2 2 4 2 2 4 4" xfId="21513"/>
    <cellStyle name="Normal 13 2 2 4 2 2 5" xfId="7113"/>
    <cellStyle name="Normal 13 2 2 4 2 2 5 2" xfId="24393"/>
    <cellStyle name="Normal 13 2 2 4 2 2 6" xfId="12873"/>
    <cellStyle name="Normal 13 2 2 4 2 2 6 2" xfId="30153"/>
    <cellStyle name="Normal 13 2 2 4 2 2 7" xfId="18633"/>
    <cellStyle name="Normal 13 2 2 4 2 3" xfId="1593"/>
    <cellStyle name="Normal 13 2 2 4 2 3 2" xfId="2313"/>
    <cellStyle name="Normal 13 2 2 4 2 3 2 2" xfId="3753"/>
    <cellStyle name="Normal 13 2 2 4 2 3 2 2 2" xfId="6633"/>
    <cellStyle name="Normal 13 2 2 4 2 3 2 2 2 2" xfId="12393"/>
    <cellStyle name="Normal 13 2 2 4 2 3 2 2 2 2 2" xfId="29673"/>
    <cellStyle name="Normal 13 2 2 4 2 3 2 2 2 3" xfId="18153"/>
    <cellStyle name="Normal 13 2 2 4 2 3 2 2 2 3 2" xfId="35433"/>
    <cellStyle name="Normal 13 2 2 4 2 3 2 2 2 4" xfId="23913"/>
    <cellStyle name="Normal 13 2 2 4 2 3 2 2 3" xfId="9513"/>
    <cellStyle name="Normal 13 2 2 4 2 3 2 2 3 2" xfId="26793"/>
    <cellStyle name="Normal 13 2 2 4 2 3 2 2 4" xfId="15273"/>
    <cellStyle name="Normal 13 2 2 4 2 3 2 2 4 2" xfId="32553"/>
    <cellStyle name="Normal 13 2 2 4 2 3 2 2 5" xfId="21033"/>
    <cellStyle name="Normal 13 2 2 4 2 3 2 3" xfId="5193"/>
    <cellStyle name="Normal 13 2 2 4 2 3 2 3 2" xfId="10953"/>
    <cellStyle name="Normal 13 2 2 4 2 3 2 3 2 2" xfId="28233"/>
    <cellStyle name="Normal 13 2 2 4 2 3 2 3 3" xfId="16713"/>
    <cellStyle name="Normal 13 2 2 4 2 3 2 3 3 2" xfId="33993"/>
    <cellStyle name="Normal 13 2 2 4 2 3 2 3 4" xfId="22473"/>
    <cellStyle name="Normal 13 2 2 4 2 3 2 4" xfId="8073"/>
    <cellStyle name="Normal 13 2 2 4 2 3 2 4 2" xfId="25353"/>
    <cellStyle name="Normal 13 2 2 4 2 3 2 5" xfId="13833"/>
    <cellStyle name="Normal 13 2 2 4 2 3 2 5 2" xfId="31113"/>
    <cellStyle name="Normal 13 2 2 4 2 3 2 6" xfId="19593"/>
    <cellStyle name="Normal 13 2 2 4 2 3 3" xfId="3033"/>
    <cellStyle name="Normal 13 2 2 4 2 3 3 2" xfId="5913"/>
    <cellStyle name="Normal 13 2 2 4 2 3 3 2 2" xfId="11673"/>
    <cellStyle name="Normal 13 2 2 4 2 3 3 2 2 2" xfId="28953"/>
    <cellStyle name="Normal 13 2 2 4 2 3 3 2 3" xfId="17433"/>
    <cellStyle name="Normal 13 2 2 4 2 3 3 2 3 2" xfId="34713"/>
    <cellStyle name="Normal 13 2 2 4 2 3 3 2 4" xfId="23193"/>
    <cellStyle name="Normal 13 2 2 4 2 3 3 3" xfId="8793"/>
    <cellStyle name="Normal 13 2 2 4 2 3 3 3 2" xfId="26073"/>
    <cellStyle name="Normal 13 2 2 4 2 3 3 4" xfId="14553"/>
    <cellStyle name="Normal 13 2 2 4 2 3 3 4 2" xfId="31833"/>
    <cellStyle name="Normal 13 2 2 4 2 3 3 5" xfId="20313"/>
    <cellStyle name="Normal 13 2 2 4 2 3 4" xfId="4473"/>
    <cellStyle name="Normal 13 2 2 4 2 3 4 2" xfId="10233"/>
    <cellStyle name="Normal 13 2 2 4 2 3 4 2 2" xfId="27513"/>
    <cellStyle name="Normal 13 2 2 4 2 3 4 3" xfId="15993"/>
    <cellStyle name="Normal 13 2 2 4 2 3 4 3 2" xfId="33273"/>
    <cellStyle name="Normal 13 2 2 4 2 3 4 4" xfId="21753"/>
    <cellStyle name="Normal 13 2 2 4 2 3 5" xfId="7353"/>
    <cellStyle name="Normal 13 2 2 4 2 3 5 2" xfId="24633"/>
    <cellStyle name="Normal 13 2 2 4 2 3 6" xfId="13113"/>
    <cellStyle name="Normal 13 2 2 4 2 3 6 2" xfId="30393"/>
    <cellStyle name="Normal 13 2 2 4 2 3 7" xfId="18873"/>
    <cellStyle name="Normal 13 2 2 4 2 4" xfId="1833"/>
    <cellStyle name="Normal 13 2 2 4 2 4 2" xfId="3273"/>
    <cellStyle name="Normal 13 2 2 4 2 4 2 2" xfId="6153"/>
    <cellStyle name="Normal 13 2 2 4 2 4 2 2 2" xfId="11913"/>
    <cellStyle name="Normal 13 2 2 4 2 4 2 2 2 2" xfId="29193"/>
    <cellStyle name="Normal 13 2 2 4 2 4 2 2 3" xfId="17673"/>
    <cellStyle name="Normal 13 2 2 4 2 4 2 2 3 2" xfId="34953"/>
    <cellStyle name="Normal 13 2 2 4 2 4 2 2 4" xfId="23433"/>
    <cellStyle name="Normal 13 2 2 4 2 4 2 3" xfId="9033"/>
    <cellStyle name="Normal 13 2 2 4 2 4 2 3 2" xfId="26313"/>
    <cellStyle name="Normal 13 2 2 4 2 4 2 4" xfId="14793"/>
    <cellStyle name="Normal 13 2 2 4 2 4 2 4 2" xfId="32073"/>
    <cellStyle name="Normal 13 2 2 4 2 4 2 5" xfId="20553"/>
    <cellStyle name="Normal 13 2 2 4 2 4 3" xfId="4713"/>
    <cellStyle name="Normal 13 2 2 4 2 4 3 2" xfId="10473"/>
    <cellStyle name="Normal 13 2 2 4 2 4 3 2 2" xfId="27753"/>
    <cellStyle name="Normal 13 2 2 4 2 4 3 3" xfId="16233"/>
    <cellStyle name="Normal 13 2 2 4 2 4 3 3 2" xfId="33513"/>
    <cellStyle name="Normal 13 2 2 4 2 4 3 4" xfId="21993"/>
    <cellStyle name="Normal 13 2 2 4 2 4 4" xfId="7593"/>
    <cellStyle name="Normal 13 2 2 4 2 4 4 2" xfId="24873"/>
    <cellStyle name="Normal 13 2 2 4 2 4 5" xfId="13353"/>
    <cellStyle name="Normal 13 2 2 4 2 4 5 2" xfId="30633"/>
    <cellStyle name="Normal 13 2 2 4 2 4 6" xfId="19113"/>
    <cellStyle name="Normal 13 2 2 4 2 5" xfId="2553"/>
    <cellStyle name="Normal 13 2 2 4 2 5 2" xfId="5433"/>
    <cellStyle name="Normal 13 2 2 4 2 5 2 2" xfId="11193"/>
    <cellStyle name="Normal 13 2 2 4 2 5 2 2 2" xfId="28473"/>
    <cellStyle name="Normal 13 2 2 4 2 5 2 3" xfId="16953"/>
    <cellStyle name="Normal 13 2 2 4 2 5 2 3 2" xfId="34233"/>
    <cellStyle name="Normal 13 2 2 4 2 5 2 4" xfId="22713"/>
    <cellStyle name="Normal 13 2 2 4 2 5 3" xfId="8313"/>
    <cellStyle name="Normal 13 2 2 4 2 5 3 2" xfId="25593"/>
    <cellStyle name="Normal 13 2 2 4 2 5 4" xfId="14073"/>
    <cellStyle name="Normal 13 2 2 4 2 5 4 2" xfId="31353"/>
    <cellStyle name="Normal 13 2 2 4 2 5 5" xfId="19833"/>
    <cellStyle name="Normal 13 2 2 4 2 6" xfId="3993"/>
    <cellStyle name="Normal 13 2 2 4 2 6 2" xfId="9753"/>
    <cellStyle name="Normal 13 2 2 4 2 6 2 2" xfId="27033"/>
    <cellStyle name="Normal 13 2 2 4 2 6 3" xfId="15513"/>
    <cellStyle name="Normal 13 2 2 4 2 6 3 2" xfId="32793"/>
    <cellStyle name="Normal 13 2 2 4 2 6 4" xfId="21273"/>
    <cellStyle name="Normal 13 2 2 4 2 7" xfId="6873"/>
    <cellStyle name="Normal 13 2 2 4 2 7 2" xfId="24153"/>
    <cellStyle name="Normal 13 2 2 4 2 8" xfId="12633"/>
    <cellStyle name="Normal 13 2 2 4 2 8 2" xfId="29913"/>
    <cellStyle name="Normal 13 2 2 4 2 9" xfId="18393"/>
    <cellStyle name="Normal 13 2 2 4 3" xfId="1233"/>
    <cellStyle name="Normal 13 2 2 4 3 2" xfId="1953"/>
    <cellStyle name="Normal 13 2 2 4 3 2 2" xfId="3393"/>
    <cellStyle name="Normal 13 2 2 4 3 2 2 2" xfId="6273"/>
    <cellStyle name="Normal 13 2 2 4 3 2 2 2 2" xfId="12033"/>
    <cellStyle name="Normal 13 2 2 4 3 2 2 2 2 2" xfId="29313"/>
    <cellStyle name="Normal 13 2 2 4 3 2 2 2 3" xfId="17793"/>
    <cellStyle name="Normal 13 2 2 4 3 2 2 2 3 2" xfId="35073"/>
    <cellStyle name="Normal 13 2 2 4 3 2 2 2 4" xfId="23553"/>
    <cellStyle name="Normal 13 2 2 4 3 2 2 3" xfId="9153"/>
    <cellStyle name="Normal 13 2 2 4 3 2 2 3 2" xfId="26433"/>
    <cellStyle name="Normal 13 2 2 4 3 2 2 4" xfId="14913"/>
    <cellStyle name="Normal 13 2 2 4 3 2 2 4 2" xfId="32193"/>
    <cellStyle name="Normal 13 2 2 4 3 2 2 5" xfId="20673"/>
    <cellStyle name="Normal 13 2 2 4 3 2 3" xfId="4833"/>
    <cellStyle name="Normal 13 2 2 4 3 2 3 2" xfId="10593"/>
    <cellStyle name="Normal 13 2 2 4 3 2 3 2 2" xfId="27873"/>
    <cellStyle name="Normal 13 2 2 4 3 2 3 3" xfId="16353"/>
    <cellStyle name="Normal 13 2 2 4 3 2 3 3 2" xfId="33633"/>
    <cellStyle name="Normal 13 2 2 4 3 2 3 4" xfId="22113"/>
    <cellStyle name="Normal 13 2 2 4 3 2 4" xfId="7713"/>
    <cellStyle name="Normal 13 2 2 4 3 2 4 2" xfId="24993"/>
    <cellStyle name="Normal 13 2 2 4 3 2 5" xfId="13473"/>
    <cellStyle name="Normal 13 2 2 4 3 2 5 2" xfId="30753"/>
    <cellStyle name="Normal 13 2 2 4 3 2 6" xfId="19233"/>
    <cellStyle name="Normal 13 2 2 4 3 3" xfId="2673"/>
    <cellStyle name="Normal 13 2 2 4 3 3 2" xfId="5553"/>
    <cellStyle name="Normal 13 2 2 4 3 3 2 2" xfId="11313"/>
    <cellStyle name="Normal 13 2 2 4 3 3 2 2 2" xfId="28593"/>
    <cellStyle name="Normal 13 2 2 4 3 3 2 3" xfId="17073"/>
    <cellStyle name="Normal 13 2 2 4 3 3 2 3 2" xfId="34353"/>
    <cellStyle name="Normal 13 2 2 4 3 3 2 4" xfId="22833"/>
    <cellStyle name="Normal 13 2 2 4 3 3 3" xfId="8433"/>
    <cellStyle name="Normal 13 2 2 4 3 3 3 2" xfId="25713"/>
    <cellStyle name="Normal 13 2 2 4 3 3 4" xfId="14193"/>
    <cellStyle name="Normal 13 2 2 4 3 3 4 2" xfId="31473"/>
    <cellStyle name="Normal 13 2 2 4 3 3 5" xfId="19953"/>
    <cellStyle name="Normal 13 2 2 4 3 4" xfId="4113"/>
    <cellStyle name="Normal 13 2 2 4 3 4 2" xfId="9873"/>
    <cellStyle name="Normal 13 2 2 4 3 4 2 2" xfId="27153"/>
    <cellStyle name="Normal 13 2 2 4 3 4 3" xfId="15633"/>
    <cellStyle name="Normal 13 2 2 4 3 4 3 2" xfId="32913"/>
    <cellStyle name="Normal 13 2 2 4 3 4 4" xfId="21393"/>
    <cellStyle name="Normal 13 2 2 4 3 5" xfId="6993"/>
    <cellStyle name="Normal 13 2 2 4 3 5 2" xfId="24273"/>
    <cellStyle name="Normal 13 2 2 4 3 6" xfId="12753"/>
    <cellStyle name="Normal 13 2 2 4 3 6 2" xfId="30033"/>
    <cellStyle name="Normal 13 2 2 4 3 7" xfId="18513"/>
    <cellStyle name="Normal 13 2 2 4 4" xfId="1473"/>
    <cellStyle name="Normal 13 2 2 4 4 2" xfId="2193"/>
    <cellStyle name="Normal 13 2 2 4 4 2 2" xfId="3633"/>
    <cellStyle name="Normal 13 2 2 4 4 2 2 2" xfId="6513"/>
    <cellStyle name="Normal 13 2 2 4 4 2 2 2 2" xfId="12273"/>
    <cellStyle name="Normal 13 2 2 4 4 2 2 2 2 2" xfId="29553"/>
    <cellStyle name="Normal 13 2 2 4 4 2 2 2 3" xfId="18033"/>
    <cellStyle name="Normal 13 2 2 4 4 2 2 2 3 2" xfId="35313"/>
    <cellStyle name="Normal 13 2 2 4 4 2 2 2 4" xfId="23793"/>
    <cellStyle name="Normal 13 2 2 4 4 2 2 3" xfId="9393"/>
    <cellStyle name="Normal 13 2 2 4 4 2 2 3 2" xfId="26673"/>
    <cellStyle name="Normal 13 2 2 4 4 2 2 4" xfId="15153"/>
    <cellStyle name="Normal 13 2 2 4 4 2 2 4 2" xfId="32433"/>
    <cellStyle name="Normal 13 2 2 4 4 2 2 5" xfId="20913"/>
    <cellStyle name="Normal 13 2 2 4 4 2 3" xfId="5073"/>
    <cellStyle name="Normal 13 2 2 4 4 2 3 2" xfId="10833"/>
    <cellStyle name="Normal 13 2 2 4 4 2 3 2 2" xfId="28113"/>
    <cellStyle name="Normal 13 2 2 4 4 2 3 3" xfId="16593"/>
    <cellStyle name="Normal 13 2 2 4 4 2 3 3 2" xfId="33873"/>
    <cellStyle name="Normal 13 2 2 4 4 2 3 4" xfId="22353"/>
    <cellStyle name="Normal 13 2 2 4 4 2 4" xfId="7953"/>
    <cellStyle name="Normal 13 2 2 4 4 2 4 2" xfId="25233"/>
    <cellStyle name="Normal 13 2 2 4 4 2 5" xfId="13713"/>
    <cellStyle name="Normal 13 2 2 4 4 2 5 2" xfId="30993"/>
    <cellStyle name="Normal 13 2 2 4 4 2 6" xfId="19473"/>
    <cellStyle name="Normal 13 2 2 4 4 3" xfId="2913"/>
    <cellStyle name="Normal 13 2 2 4 4 3 2" xfId="5793"/>
    <cellStyle name="Normal 13 2 2 4 4 3 2 2" xfId="11553"/>
    <cellStyle name="Normal 13 2 2 4 4 3 2 2 2" xfId="28833"/>
    <cellStyle name="Normal 13 2 2 4 4 3 2 3" xfId="17313"/>
    <cellStyle name="Normal 13 2 2 4 4 3 2 3 2" xfId="34593"/>
    <cellStyle name="Normal 13 2 2 4 4 3 2 4" xfId="23073"/>
    <cellStyle name="Normal 13 2 2 4 4 3 3" xfId="8673"/>
    <cellStyle name="Normal 13 2 2 4 4 3 3 2" xfId="25953"/>
    <cellStyle name="Normal 13 2 2 4 4 3 4" xfId="14433"/>
    <cellStyle name="Normal 13 2 2 4 4 3 4 2" xfId="31713"/>
    <cellStyle name="Normal 13 2 2 4 4 3 5" xfId="20193"/>
    <cellStyle name="Normal 13 2 2 4 4 4" xfId="4353"/>
    <cellStyle name="Normal 13 2 2 4 4 4 2" xfId="10113"/>
    <cellStyle name="Normal 13 2 2 4 4 4 2 2" xfId="27393"/>
    <cellStyle name="Normal 13 2 2 4 4 4 3" xfId="15873"/>
    <cellStyle name="Normal 13 2 2 4 4 4 3 2" xfId="33153"/>
    <cellStyle name="Normal 13 2 2 4 4 4 4" xfId="21633"/>
    <cellStyle name="Normal 13 2 2 4 4 5" xfId="7233"/>
    <cellStyle name="Normal 13 2 2 4 4 5 2" xfId="24513"/>
    <cellStyle name="Normal 13 2 2 4 4 6" xfId="12993"/>
    <cellStyle name="Normal 13 2 2 4 4 6 2" xfId="30273"/>
    <cellStyle name="Normal 13 2 2 4 4 7" xfId="18753"/>
    <cellStyle name="Normal 13 2 2 4 5" xfId="1713"/>
    <cellStyle name="Normal 13 2 2 4 5 2" xfId="3153"/>
    <cellStyle name="Normal 13 2 2 4 5 2 2" xfId="6033"/>
    <cellStyle name="Normal 13 2 2 4 5 2 2 2" xfId="11793"/>
    <cellStyle name="Normal 13 2 2 4 5 2 2 2 2" xfId="29073"/>
    <cellStyle name="Normal 13 2 2 4 5 2 2 3" xfId="17553"/>
    <cellStyle name="Normal 13 2 2 4 5 2 2 3 2" xfId="34833"/>
    <cellStyle name="Normal 13 2 2 4 5 2 2 4" xfId="23313"/>
    <cellStyle name="Normal 13 2 2 4 5 2 3" xfId="8913"/>
    <cellStyle name="Normal 13 2 2 4 5 2 3 2" xfId="26193"/>
    <cellStyle name="Normal 13 2 2 4 5 2 4" xfId="14673"/>
    <cellStyle name="Normal 13 2 2 4 5 2 4 2" xfId="31953"/>
    <cellStyle name="Normal 13 2 2 4 5 2 5" xfId="20433"/>
    <cellStyle name="Normal 13 2 2 4 5 3" xfId="4593"/>
    <cellStyle name="Normal 13 2 2 4 5 3 2" xfId="10353"/>
    <cellStyle name="Normal 13 2 2 4 5 3 2 2" xfId="27633"/>
    <cellStyle name="Normal 13 2 2 4 5 3 3" xfId="16113"/>
    <cellStyle name="Normal 13 2 2 4 5 3 3 2" xfId="33393"/>
    <cellStyle name="Normal 13 2 2 4 5 3 4" xfId="21873"/>
    <cellStyle name="Normal 13 2 2 4 5 4" xfId="7473"/>
    <cellStyle name="Normal 13 2 2 4 5 4 2" xfId="24753"/>
    <cellStyle name="Normal 13 2 2 4 5 5" xfId="13233"/>
    <cellStyle name="Normal 13 2 2 4 5 5 2" xfId="30513"/>
    <cellStyle name="Normal 13 2 2 4 5 6" xfId="18993"/>
    <cellStyle name="Normal 13 2 2 4 6" xfId="2433"/>
    <cellStyle name="Normal 13 2 2 4 6 2" xfId="5313"/>
    <cellStyle name="Normal 13 2 2 4 6 2 2" xfId="11073"/>
    <cellStyle name="Normal 13 2 2 4 6 2 2 2" xfId="28353"/>
    <cellStyle name="Normal 13 2 2 4 6 2 3" xfId="16833"/>
    <cellStyle name="Normal 13 2 2 4 6 2 3 2" xfId="34113"/>
    <cellStyle name="Normal 13 2 2 4 6 2 4" xfId="22593"/>
    <cellStyle name="Normal 13 2 2 4 6 3" xfId="8193"/>
    <cellStyle name="Normal 13 2 2 4 6 3 2" xfId="25473"/>
    <cellStyle name="Normal 13 2 2 4 6 4" xfId="13953"/>
    <cellStyle name="Normal 13 2 2 4 6 4 2" xfId="31233"/>
    <cellStyle name="Normal 13 2 2 4 6 5" xfId="19713"/>
    <cellStyle name="Normal 13 2 2 4 7" xfId="3873"/>
    <cellStyle name="Normal 13 2 2 4 7 2" xfId="9633"/>
    <cellStyle name="Normal 13 2 2 4 7 2 2" xfId="26913"/>
    <cellStyle name="Normal 13 2 2 4 7 3" xfId="15393"/>
    <cellStyle name="Normal 13 2 2 4 7 3 2" xfId="32673"/>
    <cellStyle name="Normal 13 2 2 4 7 4" xfId="21153"/>
    <cellStyle name="Normal 13 2 2 4 8" xfId="6753"/>
    <cellStyle name="Normal 13 2 2 4 8 2" xfId="24033"/>
    <cellStyle name="Normal 13 2 2 4 9" xfId="12513"/>
    <cellStyle name="Normal 13 2 2 4 9 2" xfId="29793"/>
    <cellStyle name="Normal 13 2 2 5" xfId="1073"/>
    <cellStyle name="Normal 13 2 2 5 2" xfId="1313"/>
    <cellStyle name="Normal 13 2 2 5 2 2" xfId="2033"/>
    <cellStyle name="Normal 13 2 2 5 2 2 2" xfId="3473"/>
    <cellStyle name="Normal 13 2 2 5 2 2 2 2" xfId="6353"/>
    <cellStyle name="Normal 13 2 2 5 2 2 2 2 2" xfId="12113"/>
    <cellStyle name="Normal 13 2 2 5 2 2 2 2 2 2" xfId="29393"/>
    <cellStyle name="Normal 13 2 2 5 2 2 2 2 3" xfId="17873"/>
    <cellStyle name="Normal 13 2 2 5 2 2 2 2 3 2" xfId="35153"/>
    <cellStyle name="Normal 13 2 2 5 2 2 2 2 4" xfId="23633"/>
    <cellStyle name="Normal 13 2 2 5 2 2 2 3" xfId="9233"/>
    <cellStyle name="Normal 13 2 2 5 2 2 2 3 2" xfId="26513"/>
    <cellStyle name="Normal 13 2 2 5 2 2 2 4" xfId="14993"/>
    <cellStyle name="Normal 13 2 2 5 2 2 2 4 2" xfId="32273"/>
    <cellStyle name="Normal 13 2 2 5 2 2 2 5" xfId="20753"/>
    <cellStyle name="Normal 13 2 2 5 2 2 3" xfId="4913"/>
    <cellStyle name="Normal 13 2 2 5 2 2 3 2" xfId="10673"/>
    <cellStyle name="Normal 13 2 2 5 2 2 3 2 2" xfId="27953"/>
    <cellStyle name="Normal 13 2 2 5 2 2 3 3" xfId="16433"/>
    <cellStyle name="Normal 13 2 2 5 2 2 3 3 2" xfId="33713"/>
    <cellStyle name="Normal 13 2 2 5 2 2 3 4" xfId="22193"/>
    <cellStyle name="Normal 13 2 2 5 2 2 4" xfId="7793"/>
    <cellStyle name="Normal 13 2 2 5 2 2 4 2" xfId="25073"/>
    <cellStyle name="Normal 13 2 2 5 2 2 5" xfId="13553"/>
    <cellStyle name="Normal 13 2 2 5 2 2 5 2" xfId="30833"/>
    <cellStyle name="Normal 13 2 2 5 2 2 6" xfId="19313"/>
    <cellStyle name="Normal 13 2 2 5 2 3" xfId="2753"/>
    <cellStyle name="Normal 13 2 2 5 2 3 2" xfId="5633"/>
    <cellStyle name="Normal 13 2 2 5 2 3 2 2" xfId="11393"/>
    <cellStyle name="Normal 13 2 2 5 2 3 2 2 2" xfId="28673"/>
    <cellStyle name="Normal 13 2 2 5 2 3 2 3" xfId="17153"/>
    <cellStyle name="Normal 13 2 2 5 2 3 2 3 2" xfId="34433"/>
    <cellStyle name="Normal 13 2 2 5 2 3 2 4" xfId="22913"/>
    <cellStyle name="Normal 13 2 2 5 2 3 3" xfId="8513"/>
    <cellStyle name="Normal 13 2 2 5 2 3 3 2" xfId="25793"/>
    <cellStyle name="Normal 13 2 2 5 2 3 4" xfId="14273"/>
    <cellStyle name="Normal 13 2 2 5 2 3 4 2" xfId="31553"/>
    <cellStyle name="Normal 13 2 2 5 2 3 5" xfId="20033"/>
    <cellStyle name="Normal 13 2 2 5 2 4" xfId="4193"/>
    <cellStyle name="Normal 13 2 2 5 2 4 2" xfId="9953"/>
    <cellStyle name="Normal 13 2 2 5 2 4 2 2" xfId="27233"/>
    <cellStyle name="Normal 13 2 2 5 2 4 3" xfId="15713"/>
    <cellStyle name="Normal 13 2 2 5 2 4 3 2" xfId="32993"/>
    <cellStyle name="Normal 13 2 2 5 2 4 4" xfId="21473"/>
    <cellStyle name="Normal 13 2 2 5 2 5" xfId="7073"/>
    <cellStyle name="Normal 13 2 2 5 2 5 2" xfId="24353"/>
    <cellStyle name="Normal 13 2 2 5 2 6" xfId="12833"/>
    <cellStyle name="Normal 13 2 2 5 2 6 2" xfId="30113"/>
    <cellStyle name="Normal 13 2 2 5 2 7" xfId="18593"/>
    <cellStyle name="Normal 13 2 2 5 3" xfId="1553"/>
    <cellStyle name="Normal 13 2 2 5 3 2" xfId="2273"/>
    <cellStyle name="Normal 13 2 2 5 3 2 2" xfId="3713"/>
    <cellStyle name="Normal 13 2 2 5 3 2 2 2" xfId="6593"/>
    <cellStyle name="Normal 13 2 2 5 3 2 2 2 2" xfId="12353"/>
    <cellStyle name="Normal 13 2 2 5 3 2 2 2 2 2" xfId="29633"/>
    <cellStyle name="Normal 13 2 2 5 3 2 2 2 3" xfId="18113"/>
    <cellStyle name="Normal 13 2 2 5 3 2 2 2 3 2" xfId="35393"/>
    <cellStyle name="Normal 13 2 2 5 3 2 2 2 4" xfId="23873"/>
    <cellStyle name="Normal 13 2 2 5 3 2 2 3" xfId="9473"/>
    <cellStyle name="Normal 13 2 2 5 3 2 2 3 2" xfId="26753"/>
    <cellStyle name="Normal 13 2 2 5 3 2 2 4" xfId="15233"/>
    <cellStyle name="Normal 13 2 2 5 3 2 2 4 2" xfId="32513"/>
    <cellStyle name="Normal 13 2 2 5 3 2 2 5" xfId="20993"/>
    <cellStyle name="Normal 13 2 2 5 3 2 3" xfId="5153"/>
    <cellStyle name="Normal 13 2 2 5 3 2 3 2" xfId="10913"/>
    <cellStyle name="Normal 13 2 2 5 3 2 3 2 2" xfId="28193"/>
    <cellStyle name="Normal 13 2 2 5 3 2 3 3" xfId="16673"/>
    <cellStyle name="Normal 13 2 2 5 3 2 3 3 2" xfId="33953"/>
    <cellStyle name="Normal 13 2 2 5 3 2 3 4" xfId="22433"/>
    <cellStyle name="Normal 13 2 2 5 3 2 4" xfId="8033"/>
    <cellStyle name="Normal 13 2 2 5 3 2 4 2" xfId="25313"/>
    <cellStyle name="Normal 13 2 2 5 3 2 5" xfId="13793"/>
    <cellStyle name="Normal 13 2 2 5 3 2 5 2" xfId="31073"/>
    <cellStyle name="Normal 13 2 2 5 3 2 6" xfId="19553"/>
    <cellStyle name="Normal 13 2 2 5 3 3" xfId="2993"/>
    <cellStyle name="Normal 13 2 2 5 3 3 2" xfId="5873"/>
    <cellStyle name="Normal 13 2 2 5 3 3 2 2" xfId="11633"/>
    <cellStyle name="Normal 13 2 2 5 3 3 2 2 2" xfId="28913"/>
    <cellStyle name="Normal 13 2 2 5 3 3 2 3" xfId="17393"/>
    <cellStyle name="Normal 13 2 2 5 3 3 2 3 2" xfId="34673"/>
    <cellStyle name="Normal 13 2 2 5 3 3 2 4" xfId="23153"/>
    <cellStyle name="Normal 13 2 2 5 3 3 3" xfId="8753"/>
    <cellStyle name="Normal 13 2 2 5 3 3 3 2" xfId="26033"/>
    <cellStyle name="Normal 13 2 2 5 3 3 4" xfId="14513"/>
    <cellStyle name="Normal 13 2 2 5 3 3 4 2" xfId="31793"/>
    <cellStyle name="Normal 13 2 2 5 3 3 5" xfId="20273"/>
    <cellStyle name="Normal 13 2 2 5 3 4" xfId="4433"/>
    <cellStyle name="Normal 13 2 2 5 3 4 2" xfId="10193"/>
    <cellStyle name="Normal 13 2 2 5 3 4 2 2" xfId="27473"/>
    <cellStyle name="Normal 13 2 2 5 3 4 3" xfId="15953"/>
    <cellStyle name="Normal 13 2 2 5 3 4 3 2" xfId="33233"/>
    <cellStyle name="Normal 13 2 2 5 3 4 4" xfId="21713"/>
    <cellStyle name="Normal 13 2 2 5 3 5" xfId="7313"/>
    <cellStyle name="Normal 13 2 2 5 3 5 2" xfId="24593"/>
    <cellStyle name="Normal 13 2 2 5 3 6" xfId="13073"/>
    <cellStyle name="Normal 13 2 2 5 3 6 2" xfId="30353"/>
    <cellStyle name="Normal 13 2 2 5 3 7" xfId="18833"/>
    <cellStyle name="Normal 13 2 2 5 4" xfId="1793"/>
    <cellStyle name="Normal 13 2 2 5 4 2" xfId="3233"/>
    <cellStyle name="Normal 13 2 2 5 4 2 2" xfId="6113"/>
    <cellStyle name="Normal 13 2 2 5 4 2 2 2" xfId="11873"/>
    <cellStyle name="Normal 13 2 2 5 4 2 2 2 2" xfId="29153"/>
    <cellStyle name="Normal 13 2 2 5 4 2 2 3" xfId="17633"/>
    <cellStyle name="Normal 13 2 2 5 4 2 2 3 2" xfId="34913"/>
    <cellStyle name="Normal 13 2 2 5 4 2 2 4" xfId="23393"/>
    <cellStyle name="Normal 13 2 2 5 4 2 3" xfId="8993"/>
    <cellStyle name="Normal 13 2 2 5 4 2 3 2" xfId="26273"/>
    <cellStyle name="Normal 13 2 2 5 4 2 4" xfId="14753"/>
    <cellStyle name="Normal 13 2 2 5 4 2 4 2" xfId="32033"/>
    <cellStyle name="Normal 13 2 2 5 4 2 5" xfId="20513"/>
    <cellStyle name="Normal 13 2 2 5 4 3" xfId="4673"/>
    <cellStyle name="Normal 13 2 2 5 4 3 2" xfId="10433"/>
    <cellStyle name="Normal 13 2 2 5 4 3 2 2" xfId="27713"/>
    <cellStyle name="Normal 13 2 2 5 4 3 3" xfId="16193"/>
    <cellStyle name="Normal 13 2 2 5 4 3 3 2" xfId="33473"/>
    <cellStyle name="Normal 13 2 2 5 4 3 4" xfId="21953"/>
    <cellStyle name="Normal 13 2 2 5 4 4" xfId="7553"/>
    <cellStyle name="Normal 13 2 2 5 4 4 2" xfId="24833"/>
    <cellStyle name="Normal 13 2 2 5 4 5" xfId="13313"/>
    <cellStyle name="Normal 13 2 2 5 4 5 2" xfId="30593"/>
    <cellStyle name="Normal 13 2 2 5 4 6" xfId="19073"/>
    <cellStyle name="Normal 13 2 2 5 5" xfId="2513"/>
    <cellStyle name="Normal 13 2 2 5 5 2" xfId="5393"/>
    <cellStyle name="Normal 13 2 2 5 5 2 2" xfId="11153"/>
    <cellStyle name="Normal 13 2 2 5 5 2 2 2" xfId="28433"/>
    <cellStyle name="Normal 13 2 2 5 5 2 3" xfId="16913"/>
    <cellStyle name="Normal 13 2 2 5 5 2 3 2" xfId="34193"/>
    <cellStyle name="Normal 13 2 2 5 5 2 4" xfId="22673"/>
    <cellStyle name="Normal 13 2 2 5 5 3" xfId="8273"/>
    <cellStyle name="Normal 13 2 2 5 5 3 2" xfId="25553"/>
    <cellStyle name="Normal 13 2 2 5 5 4" xfId="14033"/>
    <cellStyle name="Normal 13 2 2 5 5 4 2" xfId="31313"/>
    <cellStyle name="Normal 13 2 2 5 5 5" xfId="19793"/>
    <cellStyle name="Normal 13 2 2 5 6" xfId="3953"/>
    <cellStyle name="Normal 13 2 2 5 6 2" xfId="9713"/>
    <cellStyle name="Normal 13 2 2 5 6 2 2" xfId="26993"/>
    <cellStyle name="Normal 13 2 2 5 6 3" xfId="15473"/>
    <cellStyle name="Normal 13 2 2 5 6 3 2" xfId="32753"/>
    <cellStyle name="Normal 13 2 2 5 6 4" xfId="21233"/>
    <cellStyle name="Normal 13 2 2 5 7" xfId="6833"/>
    <cellStyle name="Normal 13 2 2 5 7 2" xfId="24113"/>
    <cellStyle name="Normal 13 2 2 5 8" xfId="12593"/>
    <cellStyle name="Normal 13 2 2 5 8 2" xfId="29873"/>
    <cellStyle name="Normal 13 2 2 5 9" xfId="18353"/>
    <cellStyle name="Normal 13 2 2 6" xfId="1193"/>
    <cellStyle name="Normal 13 2 2 6 2" xfId="1913"/>
    <cellStyle name="Normal 13 2 2 6 2 2" xfId="3353"/>
    <cellStyle name="Normal 13 2 2 6 2 2 2" xfId="6233"/>
    <cellStyle name="Normal 13 2 2 6 2 2 2 2" xfId="11993"/>
    <cellStyle name="Normal 13 2 2 6 2 2 2 2 2" xfId="29273"/>
    <cellStyle name="Normal 13 2 2 6 2 2 2 3" xfId="17753"/>
    <cellStyle name="Normal 13 2 2 6 2 2 2 3 2" xfId="35033"/>
    <cellStyle name="Normal 13 2 2 6 2 2 2 4" xfId="23513"/>
    <cellStyle name="Normal 13 2 2 6 2 2 3" xfId="9113"/>
    <cellStyle name="Normal 13 2 2 6 2 2 3 2" xfId="26393"/>
    <cellStyle name="Normal 13 2 2 6 2 2 4" xfId="14873"/>
    <cellStyle name="Normal 13 2 2 6 2 2 4 2" xfId="32153"/>
    <cellStyle name="Normal 13 2 2 6 2 2 5" xfId="20633"/>
    <cellStyle name="Normal 13 2 2 6 2 3" xfId="4793"/>
    <cellStyle name="Normal 13 2 2 6 2 3 2" xfId="10553"/>
    <cellStyle name="Normal 13 2 2 6 2 3 2 2" xfId="27833"/>
    <cellStyle name="Normal 13 2 2 6 2 3 3" xfId="16313"/>
    <cellStyle name="Normal 13 2 2 6 2 3 3 2" xfId="33593"/>
    <cellStyle name="Normal 13 2 2 6 2 3 4" xfId="22073"/>
    <cellStyle name="Normal 13 2 2 6 2 4" xfId="7673"/>
    <cellStyle name="Normal 13 2 2 6 2 4 2" xfId="24953"/>
    <cellStyle name="Normal 13 2 2 6 2 5" xfId="13433"/>
    <cellStyle name="Normal 13 2 2 6 2 5 2" xfId="30713"/>
    <cellStyle name="Normal 13 2 2 6 2 6" xfId="19193"/>
    <cellStyle name="Normal 13 2 2 6 3" xfId="2633"/>
    <cellStyle name="Normal 13 2 2 6 3 2" xfId="5513"/>
    <cellStyle name="Normal 13 2 2 6 3 2 2" xfId="11273"/>
    <cellStyle name="Normal 13 2 2 6 3 2 2 2" xfId="28553"/>
    <cellStyle name="Normal 13 2 2 6 3 2 3" xfId="17033"/>
    <cellStyle name="Normal 13 2 2 6 3 2 3 2" xfId="34313"/>
    <cellStyle name="Normal 13 2 2 6 3 2 4" xfId="22793"/>
    <cellStyle name="Normal 13 2 2 6 3 3" xfId="8393"/>
    <cellStyle name="Normal 13 2 2 6 3 3 2" xfId="25673"/>
    <cellStyle name="Normal 13 2 2 6 3 4" xfId="14153"/>
    <cellStyle name="Normal 13 2 2 6 3 4 2" xfId="31433"/>
    <cellStyle name="Normal 13 2 2 6 3 5" xfId="19913"/>
    <cellStyle name="Normal 13 2 2 6 4" xfId="4073"/>
    <cellStyle name="Normal 13 2 2 6 4 2" xfId="9833"/>
    <cellStyle name="Normal 13 2 2 6 4 2 2" xfId="27113"/>
    <cellStyle name="Normal 13 2 2 6 4 3" xfId="15593"/>
    <cellStyle name="Normal 13 2 2 6 4 3 2" xfId="32873"/>
    <cellStyle name="Normal 13 2 2 6 4 4" xfId="21353"/>
    <cellStyle name="Normal 13 2 2 6 5" xfId="6953"/>
    <cellStyle name="Normal 13 2 2 6 5 2" xfId="24233"/>
    <cellStyle name="Normal 13 2 2 6 6" xfId="12713"/>
    <cellStyle name="Normal 13 2 2 6 6 2" xfId="29993"/>
    <cellStyle name="Normal 13 2 2 6 7" xfId="18473"/>
    <cellStyle name="Normal 13 2 2 7" xfId="1433"/>
    <cellStyle name="Normal 13 2 2 7 2" xfId="2153"/>
    <cellStyle name="Normal 13 2 2 7 2 2" xfId="3593"/>
    <cellStyle name="Normal 13 2 2 7 2 2 2" xfId="6473"/>
    <cellStyle name="Normal 13 2 2 7 2 2 2 2" xfId="12233"/>
    <cellStyle name="Normal 13 2 2 7 2 2 2 2 2" xfId="29513"/>
    <cellStyle name="Normal 13 2 2 7 2 2 2 3" xfId="17993"/>
    <cellStyle name="Normal 13 2 2 7 2 2 2 3 2" xfId="35273"/>
    <cellStyle name="Normal 13 2 2 7 2 2 2 4" xfId="23753"/>
    <cellStyle name="Normal 13 2 2 7 2 2 3" xfId="9353"/>
    <cellStyle name="Normal 13 2 2 7 2 2 3 2" xfId="26633"/>
    <cellStyle name="Normal 13 2 2 7 2 2 4" xfId="15113"/>
    <cellStyle name="Normal 13 2 2 7 2 2 4 2" xfId="32393"/>
    <cellStyle name="Normal 13 2 2 7 2 2 5" xfId="20873"/>
    <cellStyle name="Normal 13 2 2 7 2 3" xfId="5033"/>
    <cellStyle name="Normal 13 2 2 7 2 3 2" xfId="10793"/>
    <cellStyle name="Normal 13 2 2 7 2 3 2 2" xfId="28073"/>
    <cellStyle name="Normal 13 2 2 7 2 3 3" xfId="16553"/>
    <cellStyle name="Normal 13 2 2 7 2 3 3 2" xfId="33833"/>
    <cellStyle name="Normal 13 2 2 7 2 3 4" xfId="22313"/>
    <cellStyle name="Normal 13 2 2 7 2 4" xfId="7913"/>
    <cellStyle name="Normal 13 2 2 7 2 4 2" xfId="25193"/>
    <cellStyle name="Normal 13 2 2 7 2 5" xfId="13673"/>
    <cellStyle name="Normal 13 2 2 7 2 5 2" xfId="30953"/>
    <cellStyle name="Normal 13 2 2 7 2 6" xfId="19433"/>
    <cellStyle name="Normal 13 2 2 7 3" xfId="2873"/>
    <cellStyle name="Normal 13 2 2 7 3 2" xfId="5753"/>
    <cellStyle name="Normal 13 2 2 7 3 2 2" xfId="11513"/>
    <cellStyle name="Normal 13 2 2 7 3 2 2 2" xfId="28793"/>
    <cellStyle name="Normal 13 2 2 7 3 2 3" xfId="17273"/>
    <cellStyle name="Normal 13 2 2 7 3 2 3 2" xfId="34553"/>
    <cellStyle name="Normal 13 2 2 7 3 2 4" xfId="23033"/>
    <cellStyle name="Normal 13 2 2 7 3 3" xfId="8633"/>
    <cellStyle name="Normal 13 2 2 7 3 3 2" xfId="25913"/>
    <cellStyle name="Normal 13 2 2 7 3 4" xfId="14393"/>
    <cellStyle name="Normal 13 2 2 7 3 4 2" xfId="31673"/>
    <cellStyle name="Normal 13 2 2 7 3 5" xfId="20153"/>
    <cellStyle name="Normal 13 2 2 7 4" xfId="4313"/>
    <cellStyle name="Normal 13 2 2 7 4 2" xfId="10073"/>
    <cellStyle name="Normal 13 2 2 7 4 2 2" xfId="27353"/>
    <cellStyle name="Normal 13 2 2 7 4 3" xfId="15833"/>
    <cellStyle name="Normal 13 2 2 7 4 3 2" xfId="33113"/>
    <cellStyle name="Normal 13 2 2 7 4 4" xfId="21593"/>
    <cellStyle name="Normal 13 2 2 7 5" xfId="7193"/>
    <cellStyle name="Normal 13 2 2 7 5 2" xfId="24473"/>
    <cellStyle name="Normal 13 2 2 7 6" xfId="12953"/>
    <cellStyle name="Normal 13 2 2 7 6 2" xfId="30233"/>
    <cellStyle name="Normal 13 2 2 7 7" xfId="18713"/>
    <cellStyle name="Normal 13 2 2 8" xfId="1673"/>
    <cellStyle name="Normal 13 2 2 8 2" xfId="3113"/>
    <cellStyle name="Normal 13 2 2 8 2 2" xfId="5993"/>
    <cellStyle name="Normal 13 2 2 8 2 2 2" xfId="11753"/>
    <cellStyle name="Normal 13 2 2 8 2 2 2 2" xfId="29033"/>
    <cellStyle name="Normal 13 2 2 8 2 2 3" xfId="17513"/>
    <cellStyle name="Normal 13 2 2 8 2 2 3 2" xfId="34793"/>
    <cellStyle name="Normal 13 2 2 8 2 2 4" xfId="23273"/>
    <cellStyle name="Normal 13 2 2 8 2 3" xfId="8873"/>
    <cellStyle name="Normal 13 2 2 8 2 3 2" xfId="26153"/>
    <cellStyle name="Normal 13 2 2 8 2 4" xfId="14633"/>
    <cellStyle name="Normal 13 2 2 8 2 4 2" xfId="31913"/>
    <cellStyle name="Normal 13 2 2 8 2 5" xfId="20393"/>
    <cellStyle name="Normal 13 2 2 8 3" xfId="4553"/>
    <cellStyle name="Normal 13 2 2 8 3 2" xfId="10313"/>
    <cellStyle name="Normal 13 2 2 8 3 2 2" xfId="27593"/>
    <cellStyle name="Normal 13 2 2 8 3 3" xfId="16073"/>
    <cellStyle name="Normal 13 2 2 8 3 3 2" xfId="33353"/>
    <cellStyle name="Normal 13 2 2 8 3 4" xfId="21833"/>
    <cellStyle name="Normal 13 2 2 8 4" xfId="7433"/>
    <cellStyle name="Normal 13 2 2 8 4 2" xfId="24713"/>
    <cellStyle name="Normal 13 2 2 8 5" xfId="13193"/>
    <cellStyle name="Normal 13 2 2 8 5 2" xfId="30473"/>
    <cellStyle name="Normal 13 2 2 8 6" xfId="18953"/>
    <cellStyle name="Normal 13 2 2 9" xfId="2393"/>
    <cellStyle name="Normal 13 2 2 9 2" xfId="5273"/>
    <cellStyle name="Normal 13 2 2 9 2 2" xfId="11033"/>
    <cellStyle name="Normal 13 2 2 9 2 2 2" xfId="28313"/>
    <cellStyle name="Normal 13 2 2 9 2 3" xfId="16793"/>
    <cellStyle name="Normal 13 2 2 9 2 3 2" xfId="34073"/>
    <cellStyle name="Normal 13 2 2 9 2 4" xfId="22553"/>
    <cellStyle name="Normal 13 2 2 9 3" xfId="8153"/>
    <cellStyle name="Normal 13 2 2 9 3 2" xfId="25433"/>
    <cellStyle name="Normal 13 2 2 9 4" xfId="13913"/>
    <cellStyle name="Normal 13 2 2 9 4 2" xfId="31193"/>
    <cellStyle name="Normal 13 2 2 9 5" xfId="19673"/>
    <cellStyle name="Normal 13 2 3" xfId="412"/>
    <cellStyle name="Normal 13 2 3 10" xfId="6723"/>
    <cellStyle name="Normal 13 2 3 10 2" xfId="24003"/>
    <cellStyle name="Normal 13 2 3 11" xfId="12483"/>
    <cellStyle name="Normal 13 2 3 11 2" xfId="29763"/>
    <cellStyle name="Normal 13 2 3 12" xfId="18243"/>
    <cellStyle name="Normal 13 2 3 2" xfId="1043"/>
    <cellStyle name="Normal 13 2 3 2 10" xfId="18323"/>
    <cellStyle name="Normal 13 2 3 2 2" xfId="1163"/>
    <cellStyle name="Normal 13 2 3 2 2 2" xfId="1403"/>
    <cellStyle name="Normal 13 2 3 2 2 2 2" xfId="2123"/>
    <cellStyle name="Normal 13 2 3 2 2 2 2 2" xfId="3563"/>
    <cellStyle name="Normal 13 2 3 2 2 2 2 2 2" xfId="6443"/>
    <cellStyle name="Normal 13 2 3 2 2 2 2 2 2 2" xfId="12203"/>
    <cellStyle name="Normal 13 2 3 2 2 2 2 2 2 2 2" xfId="29483"/>
    <cellStyle name="Normal 13 2 3 2 2 2 2 2 2 3" xfId="17963"/>
    <cellStyle name="Normal 13 2 3 2 2 2 2 2 2 3 2" xfId="35243"/>
    <cellStyle name="Normal 13 2 3 2 2 2 2 2 2 4" xfId="23723"/>
    <cellStyle name="Normal 13 2 3 2 2 2 2 2 3" xfId="9323"/>
    <cellStyle name="Normal 13 2 3 2 2 2 2 2 3 2" xfId="26603"/>
    <cellStyle name="Normal 13 2 3 2 2 2 2 2 4" xfId="15083"/>
    <cellStyle name="Normal 13 2 3 2 2 2 2 2 4 2" xfId="32363"/>
    <cellStyle name="Normal 13 2 3 2 2 2 2 2 5" xfId="20843"/>
    <cellStyle name="Normal 13 2 3 2 2 2 2 3" xfId="5003"/>
    <cellStyle name="Normal 13 2 3 2 2 2 2 3 2" xfId="10763"/>
    <cellStyle name="Normal 13 2 3 2 2 2 2 3 2 2" xfId="28043"/>
    <cellStyle name="Normal 13 2 3 2 2 2 2 3 3" xfId="16523"/>
    <cellStyle name="Normal 13 2 3 2 2 2 2 3 3 2" xfId="33803"/>
    <cellStyle name="Normal 13 2 3 2 2 2 2 3 4" xfId="22283"/>
    <cellStyle name="Normal 13 2 3 2 2 2 2 4" xfId="7883"/>
    <cellStyle name="Normal 13 2 3 2 2 2 2 4 2" xfId="25163"/>
    <cellStyle name="Normal 13 2 3 2 2 2 2 5" xfId="13643"/>
    <cellStyle name="Normal 13 2 3 2 2 2 2 5 2" xfId="30923"/>
    <cellStyle name="Normal 13 2 3 2 2 2 2 6" xfId="19403"/>
    <cellStyle name="Normal 13 2 3 2 2 2 3" xfId="2843"/>
    <cellStyle name="Normal 13 2 3 2 2 2 3 2" xfId="5723"/>
    <cellStyle name="Normal 13 2 3 2 2 2 3 2 2" xfId="11483"/>
    <cellStyle name="Normal 13 2 3 2 2 2 3 2 2 2" xfId="28763"/>
    <cellStyle name="Normal 13 2 3 2 2 2 3 2 3" xfId="17243"/>
    <cellStyle name="Normal 13 2 3 2 2 2 3 2 3 2" xfId="34523"/>
    <cellStyle name="Normal 13 2 3 2 2 2 3 2 4" xfId="23003"/>
    <cellStyle name="Normal 13 2 3 2 2 2 3 3" xfId="8603"/>
    <cellStyle name="Normal 13 2 3 2 2 2 3 3 2" xfId="25883"/>
    <cellStyle name="Normal 13 2 3 2 2 2 3 4" xfId="14363"/>
    <cellStyle name="Normal 13 2 3 2 2 2 3 4 2" xfId="31643"/>
    <cellStyle name="Normal 13 2 3 2 2 2 3 5" xfId="20123"/>
    <cellStyle name="Normal 13 2 3 2 2 2 4" xfId="4283"/>
    <cellStyle name="Normal 13 2 3 2 2 2 4 2" xfId="10043"/>
    <cellStyle name="Normal 13 2 3 2 2 2 4 2 2" xfId="27323"/>
    <cellStyle name="Normal 13 2 3 2 2 2 4 3" xfId="15803"/>
    <cellStyle name="Normal 13 2 3 2 2 2 4 3 2" xfId="33083"/>
    <cellStyle name="Normal 13 2 3 2 2 2 4 4" xfId="21563"/>
    <cellStyle name="Normal 13 2 3 2 2 2 5" xfId="7163"/>
    <cellStyle name="Normal 13 2 3 2 2 2 5 2" xfId="24443"/>
    <cellStyle name="Normal 13 2 3 2 2 2 6" xfId="12923"/>
    <cellStyle name="Normal 13 2 3 2 2 2 6 2" xfId="30203"/>
    <cellStyle name="Normal 13 2 3 2 2 2 7" xfId="18683"/>
    <cellStyle name="Normal 13 2 3 2 2 3" xfId="1643"/>
    <cellStyle name="Normal 13 2 3 2 2 3 2" xfId="2363"/>
    <cellStyle name="Normal 13 2 3 2 2 3 2 2" xfId="3803"/>
    <cellStyle name="Normal 13 2 3 2 2 3 2 2 2" xfId="6683"/>
    <cellStyle name="Normal 13 2 3 2 2 3 2 2 2 2" xfId="12443"/>
    <cellStyle name="Normal 13 2 3 2 2 3 2 2 2 2 2" xfId="29723"/>
    <cellStyle name="Normal 13 2 3 2 2 3 2 2 2 3" xfId="18203"/>
    <cellStyle name="Normal 13 2 3 2 2 3 2 2 2 3 2" xfId="35483"/>
    <cellStyle name="Normal 13 2 3 2 2 3 2 2 2 4" xfId="23963"/>
    <cellStyle name="Normal 13 2 3 2 2 3 2 2 3" xfId="9563"/>
    <cellStyle name="Normal 13 2 3 2 2 3 2 2 3 2" xfId="26843"/>
    <cellStyle name="Normal 13 2 3 2 2 3 2 2 4" xfId="15323"/>
    <cellStyle name="Normal 13 2 3 2 2 3 2 2 4 2" xfId="32603"/>
    <cellStyle name="Normal 13 2 3 2 2 3 2 2 5" xfId="21083"/>
    <cellStyle name="Normal 13 2 3 2 2 3 2 3" xfId="5243"/>
    <cellStyle name="Normal 13 2 3 2 2 3 2 3 2" xfId="11003"/>
    <cellStyle name="Normal 13 2 3 2 2 3 2 3 2 2" xfId="28283"/>
    <cellStyle name="Normal 13 2 3 2 2 3 2 3 3" xfId="16763"/>
    <cellStyle name="Normal 13 2 3 2 2 3 2 3 3 2" xfId="34043"/>
    <cellStyle name="Normal 13 2 3 2 2 3 2 3 4" xfId="22523"/>
    <cellStyle name="Normal 13 2 3 2 2 3 2 4" xfId="8123"/>
    <cellStyle name="Normal 13 2 3 2 2 3 2 4 2" xfId="25403"/>
    <cellStyle name="Normal 13 2 3 2 2 3 2 5" xfId="13883"/>
    <cellStyle name="Normal 13 2 3 2 2 3 2 5 2" xfId="31163"/>
    <cellStyle name="Normal 13 2 3 2 2 3 2 6" xfId="19643"/>
    <cellStyle name="Normal 13 2 3 2 2 3 3" xfId="3083"/>
    <cellStyle name="Normal 13 2 3 2 2 3 3 2" xfId="5963"/>
    <cellStyle name="Normal 13 2 3 2 2 3 3 2 2" xfId="11723"/>
    <cellStyle name="Normal 13 2 3 2 2 3 3 2 2 2" xfId="29003"/>
    <cellStyle name="Normal 13 2 3 2 2 3 3 2 3" xfId="17483"/>
    <cellStyle name="Normal 13 2 3 2 2 3 3 2 3 2" xfId="34763"/>
    <cellStyle name="Normal 13 2 3 2 2 3 3 2 4" xfId="23243"/>
    <cellStyle name="Normal 13 2 3 2 2 3 3 3" xfId="8843"/>
    <cellStyle name="Normal 13 2 3 2 2 3 3 3 2" xfId="26123"/>
    <cellStyle name="Normal 13 2 3 2 2 3 3 4" xfId="14603"/>
    <cellStyle name="Normal 13 2 3 2 2 3 3 4 2" xfId="31883"/>
    <cellStyle name="Normal 13 2 3 2 2 3 3 5" xfId="20363"/>
    <cellStyle name="Normal 13 2 3 2 2 3 4" xfId="4523"/>
    <cellStyle name="Normal 13 2 3 2 2 3 4 2" xfId="10283"/>
    <cellStyle name="Normal 13 2 3 2 2 3 4 2 2" xfId="27563"/>
    <cellStyle name="Normal 13 2 3 2 2 3 4 3" xfId="16043"/>
    <cellStyle name="Normal 13 2 3 2 2 3 4 3 2" xfId="33323"/>
    <cellStyle name="Normal 13 2 3 2 2 3 4 4" xfId="21803"/>
    <cellStyle name="Normal 13 2 3 2 2 3 5" xfId="7403"/>
    <cellStyle name="Normal 13 2 3 2 2 3 5 2" xfId="24683"/>
    <cellStyle name="Normal 13 2 3 2 2 3 6" xfId="13163"/>
    <cellStyle name="Normal 13 2 3 2 2 3 6 2" xfId="30443"/>
    <cellStyle name="Normal 13 2 3 2 2 3 7" xfId="18923"/>
    <cellStyle name="Normal 13 2 3 2 2 4" xfId="1883"/>
    <cellStyle name="Normal 13 2 3 2 2 4 2" xfId="3323"/>
    <cellStyle name="Normal 13 2 3 2 2 4 2 2" xfId="6203"/>
    <cellStyle name="Normal 13 2 3 2 2 4 2 2 2" xfId="11963"/>
    <cellStyle name="Normal 13 2 3 2 2 4 2 2 2 2" xfId="29243"/>
    <cellStyle name="Normal 13 2 3 2 2 4 2 2 3" xfId="17723"/>
    <cellStyle name="Normal 13 2 3 2 2 4 2 2 3 2" xfId="35003"/>
    <cellStyle name="Normal 13 2 3 2 2 4 2 2 4" xfId="23483"/>
    <cellStyle name="Normal 13 2 3 2 2 4 2 3" xfId="9083"/>
    <cellStyle name="Normal 13 2 3 2 2 4 2 3 2" xfId="26363"/>
    <cellStyle name="Normal 13 2 3 2 2 4 2 4" xfId="14843"/>
    <cellStyle name="Normal 13 2 3 2 2 4 2 4 2" xfId="32123"/>
    <cellStyle name="Normal 13 2 3 2 2 4 2 5" xfId="20603"/>
    <cellStyle name="Normal 13 2 3 2 2 4 3" xfId="4763"/>
    <cellStyle name="Normal 13 2 3 2 2 4 3 2" xfId="10523"/>
    <cellStyle name="Normal 13 2 3 2 2 4 3 2 2" xfId="27803"/>
    <cellStyle name="Normal 13 2 3 2 2 4 3 3" xfId="16283"/>
    <cellStyle name="Normal 13 2 3 2 2 4 3 3 2" xfId="33563"/>
    <cellStyle name="Normal 13 2 3 2 2 4 3 4" xfId="22043"/>
    <cellStyle name="Normal 13 2 3 2 2 4 4" xfId="7643"/>
    <cellStyle name="Normal 13 2 3 2 2 4 4 2" xfId="24923"/>
    <cellStyle name="Normal 13 2 3 2 2 4 5" xfId="13403"/>
    <cellStyle name="Normal 13 2 3 2 2 4 5 2" xfId="30683"/>
    <cellStyle name="Normal 13 2 3 2 2 4 6" xfId="19163"/>
    <cellStyle name="Normal 13 2 3 2 2 5" xfId="2603"/>
    <cellStyle name="Normal 13 2 3 2 2 5 2" xfId="5483"/>
    <cellStyle name="Normal 13 2 3 2 2 5 2 2" xfId="11243"/>
    <cellStyle name="Normal 13 2 3 2 2 5 2 2 2" xfId="28523"/>
    <cellStyle name="Normal 13 2 3 2 2 5 2 3" xfId="17003"/>
    <cellStyle name="Normal 13 2 3 2 2 5 2 3 2" xfId="34283"/>
    <cellStyle name="Normal 13 2 3 2 2 5 2 4" xfId="22763"/>
    <cellStyle name="Normal 13 2 3 2 2 5 3" xfId="8363"/>
    <cellStyle name="Normal 13 2 3 2 2 5 3 2" xfId="25643"/>
    <cellStyle name="Normal 13 2 3 2 2 5 4" xfId="14123"/>
    <cellStyle name="Normal 13 2 3 2 2 5 4 2" xfId="31403"/>
    <cellStyle name="Normal 13 2 3 2 2 5 5" xfId="19883"/>
    <cellStyle name="Normal 13 2 3 2 2 6" xfId="4043"/>
    <cellStyle name="Normal 13 2 3 2 2 6 2" xfId="9803"/>
    <cellStyle name="Normal 13 2 3 2 2 6 2 2" xfId="27083"/>
    <cellStyle name="Normal 13 2 3 2 2 6 3" xfId="15563"/>
    <cellStyle name="Normal 13 2 3 2 2 6 3 2" xfId="32843"/>
    <cellStyle name="Normal 13 2 3 2 2 6 4" xfId="21323"/>
    <cellStyle name="Normal 13 2 3 2 2 7" xfId="6923"/>
    <cellStyle name="Normal 13 2 3 2 2 7 2" xfId="24203"/>
    <cellStyle name="Normal 13 2 3 2 2 8" xfId="12683"/>
    <cellStyle name="Normal 13 2 3 2 2 8 2" xfId="29963"/>
    <cellStyle name="Normal 13 2 3 2 2 9" xfId="18443"/>
    <cellStyle name="Normal 13 2 3 2 3" xfId="1283"/>
    <cellStyle name="Normal 13 2 3 2 3 2" xfId="2003"/>
    <cellStyle name="Normal 13 2 3 2 3 2 2" xfId="3443"/>
    <cellStyle name="Normal 13 2 3 2 3 2 2 2" xfId="6323"/>
    <cellStyle name="Normal 13 2 3 2 3 2 2 2 2" xfId="12083"/>
    <cellStyle name="Normal 13 2 3 2 3 2 2 2 2 2" xfId="29363"/>
    <cellStyle name="Normal 13 2 3 2 3 2 2 2 3" xfId="17843"/>
    <cellStyle name="Normal 13 2 3 2 3 2 2 2 3 2" xfId="35123"/>
    <cellStyle name="Normal 13 2 3 2 3 2 2 2 4" xfId="23603"/>
    <cellStyle name="Normal 13 2 3 2 3 2 2 3" xfId="9203"/>
    <cellStyle name="Normal 13 2 3 2 3 2 2 3 2" xfId="26483"/>
    <cellStyle name="Normal 13 2 3 2 3 2 2 4" xfId="14963"/>
    <cellStyle name="Normal 13 2 3 2 3 2 2 4 2" xfId="32243"/>
    <cellStyle name="Normal 13 2 3 2 3 2 2 5" xfId="20723"/>
    <cellStyle name="Normal 13 2 3 2 3 2 3" xfId="4883"/>
    <cellStyle name="Normal 13 2 3 2 3 2 3 2" xfId="10643"/>
    <cellStyle name="Normal 13 2 3 2 3 2 3 2 2" xfId="27923"/>
    <cellStyle name="Normal 13 2 3 2 3 2 3 3" xfId="16403"/>
    <cellStyle name="Normal 13 2 3 2 3 2 3 3 2" xfId="33683"/>
    <cellStyle name="Normal 13 2 3 2 3 2 3 4" xfId="22163"/>
    <cellStyle name="Normal 13 2 3 2 3 2 4" xfId="7763"/>
    <cellStyle name="Normal 13 2 3 2 3 2 4 2" xfId="25043"/>
    <cellStyle name="Normal 13 2 3 2 3 2 5" xfId="13523"/>
    <cellStyle name="Normal 13 2 3 2 3 2 5 2" xfId="30803"/>
    <cellStyle name="Normal 13 2 3 2 3 2 6" xfId="19283"/>
    <cellStyle name="Normal 13 2 3 2 3 3" xfId="2723"/>
    <cellStyle name="Normal 13 2 3 2 3 3 2" xfId="5603"/>
    <cellStyle name="Normal 13 2 3 2 3 3 2 2" xfId="11363"/>
    <cellStyle name="Normal 13 2 3 2 3 3 2 2 2" xfId="28643"/>
    <cellStyle name="Normal 13 2 3 2 3 3 2 3" xfId="17123"/>
    <cellStyle name="Normal 13 2 3 2 3 3 2 3 2" xfId="34403"/>
    <cellStyle name="Normal 13 2 3 2 3 3 2 4" xfId="22883"/>
    <cellStyle name="Normal 13 2 3 2 3 3 3" xfId="8483"/>
    <cellStyle name="Normal 13 2 3 2 3 3 3 2" xfId="25763"/>
    <cellStyle name="Normal 13 2 3 2 3 3 4" xfId="14243"/>
    <cellStyle name="Normal 13 2 3 2 3 3 4 2" xfId="31523"/>
    <cellStyle name="Normal 13 2 3 2 3 3 5" xfId="20003"/>
    <cellStyle name="Normal 13 2 3 2 3 4" xfId="4163"/>
    <cellStyle name="Normal 13 2 3 2 3 4 2" xfId="9923"/>
    <cellStyle name="Normal 13 2 3 2 3 4 2 2" xfId="27203"/>
    <cellStyle name="Normal 13 2 3 2 3 4 3" xfId="15683"/>
    <cellStyle name="Normal 13 2 3 2 3 4 3 2" xfId="32963"/>
    <cellStyle name="Normal 13 2 3 2 3 4 4" xfId="21443"/>
    <cellStyle name="Normal 13 2 3 2 3 5" xfId="7043"/>
    <cellStyle name="Normal 13 2 3 2 3 5 2" xfId="24323"/>
    <cellStyle name="Normal 13 2 3 2 3 6" xfId="12803"/>
    <cellStyle name="Normal 13 2 3 2 3 6 2" xfId="30083"/>
    <cellStyle name="Normal 13 2 3 2 3 7" xfId="18563"/>
    <cellStyle name="Normal 13 2 3 2 4" xfId="1523"/>
    <cellStyle name="Normal 13 2 3 2 4 2" xfId="2243"/>
    <cellStyle name="Normal 13 2 3 2 4 2 2" xfId="3683"/>
    <cellStyle name="Normal 13 2 3 2 4 2 2 2" xfId="6563"/>
    <cellStyle name="Normal 13 2 3 2 4 2 2 2 2" xfId="12323"/>
    <cellStyle name="Normal 13 2 3 2 4 2 2 2 2 2" xfId="29603"/>
    <cellStyle name="Normal 13 2 3 2 4 2 2 2 3" xfId="18083"/>
    <cellStyle name="Normal 13 2 3 2 4 2 2 2 3 2" xfId="35363"/>
    <cellStyle name="Normal 13 2 3 2 4 2 2 2 4" xfId="23843"/>
    <cellStyle name="Normal 13 2 3 2 4 2 2 3" xfId="9443"/>
    <cellStyle name="Normal 13 2 3 2 4 2 2 3 2" xfId="26723"/>
    <cellStyle name="Normal 13 2 3 2 4 2 2 4" xfId="15203"/>
    <cellStyle name="Normal 13 2 3 2 4 2 2 4 2" xfId="32483"/>
    <cellStyle name="Normal 13 2 3 2 4 2 2 5" xfId="20963"/>
    <cellStyle name="Normal 13 2 3 2 4 2 3" xfId="5123"/>
    <cellStyle name="Normal 13 2 3 2 4 2 3 2" xfId="10883"/>
    <cellStyle name="Normal 13 2 3 2 4 2 3 2 2" xfId="28163"/>
    <cellStyle name="Normal 13 2 3 2 4 2 3 3" xfId="16643"/>
    <cellStyle name="Normal 13 2 3 2 4 2 3 3 2" xfId="33923"/>
    <cellStyle name="Normal 13 2 3 2 4 2 3 4" xfId="22403"/>
    <cellStyle name="Normal 13 2 3 2 4 2 4" xfId="8003"/>
    <cellStyle name="Normal 13 2 3 2 4 2 4 2" xfId="25283"/>
    <cellStyle name="Normal 13 2 3 2 4 2 5" xfId="13763"/>
    <cellStyle name="Normal 13 2 3 2 4 2 5 2" xfId="31043"/>
    <cellStyle name="Normal 13 2 3 2 4 2 6" xfId="19523"/>
    <cellStyle name="Normal 13 2 3 2 4 3" xfId="2963"/>
    <cellStyle name="Normal 13 2 3 2 4 3 2" xfId="5843"/>
    <cellStyle name="Normal 13 2 3 2 4 3 2 2" xfId="11603"/>
    <cellStyle name="Normal 13 2 3 2 4 3 2 2 2" xfId="28883"/>
    <cellStyle name="Normal 13 2 3 2 4 3 2 3" xfId="17363"/>
    <cellStyle name="Normal 13 2 3 2 4 3 2 3 2" xfId="34643"/>
    <cellStyle name="Normal 13 2 3 2 4 3 2 4" xfId="23123"/>
    <cellStyle name="Normal 13 2 3 2 4 3 3" xfId="8723"/>
    <cellStyle name="Normal 13 2 3 2 4 3 3 2" xfId="26003"/>
    <cellStyle name="Normal 13 2 3 2 4 3 4" xfId="14483"/>
    <cellStyle name="Normal 13 2 3 2 4 3 4 2" xfId="31763"/>
    <cellStyle name="Normal 13 2 3 2 4 3 5" xfId="20243"/>
    <cellStyle name="Normal 13 2 3 2 4 4" xfId="4403"/>
    <cellStyle name="Normal 13 2 3 2 4 4 2" xfId="10163"/>
    <cellStyle name="Normal 13 2 3 2 4 4 2 2" xfId="27443"/>
    <cellStyle name="Normal 13 2 3 2 4 4 3" xfId="15923"/>
    <cellStyle name="Normal 13 2 3 2 4 4 3 2" xfId="33203"/>
    <cellStyle name="Normal 13 2 3 2 4 4 4" xfId="21683"/>
    <cellStyle name="Normal 13 2 3 2 4 5" xfId="7283"/>
    <cellStyle name="Normal 13 2 3 2 4 5 2" xfId="24563"/>
    <cellStyle name="Normal 13 2 3 2 4 6" xfId="13043"/>
    <cellStyle name="Normal 13 2 3 2 4 6 2" xfId="30323"/>
    <cellStyle name="Normal 13 2 3 2 4 7" xfId="18803"/>
    <cellStyle name="Normal 13 2 3 2 5" xfId="1763"/>
    <cellStyle name="Normal 13 2 3 2 5 2" xfId="3203"/>
    <cellStyle name="Normal 13 2 3 2 5 2 2" xfId="6083"/>
    <cellStyle name="Normal 13 2 3 2 5 2 2 2" xfId="11843"/>
    <cellStyle name="Normal 13 2 3 2 5 2 2 2 2" xfId="29123"/>
    <cellStyle name="Normal 13 2 3 2 5 2 2 3" xfId="17603"/>
    <cellStyle name="Normal 13 2 3 2 5 2 2 3 2" xfId="34883"/>
    <cellStyle name="Normal 13 2 3 2 5 2 2 4" xfId="23363"/>
    <cellStyle name="Normal 13 2 3 2 5 2 3" xfId="8963"/>
    <cellStyle name="Normal 13 2 3 2 5 2 3 2" xfId="26243"/>
    <cellStyle name="Normal 13 2 3 2 5 2 4" xfId="14723"/>
    <cellStyle name="Normal 13 2 3 2 5 2 4 2" xfId="32003"/>
    <cellStyle name="Normal 13 2 3 2 5 2 5" xfId="20483"/>
    <cellStyle name="Normal 13 2 3 2 5 3" xfId="4643"/>
    <cellStyle name="Normal 13 2 3 2 5 3 2" xfId="10403"/>
    <cellStyle name="Normal 13 2 3 2 5 3 2 2" xfId="27683"/>
    <cellStyle name="Normal 13 2 3 2 5 3 3" xfId="16163"/>
    <cellStyle name="Normal 13 2 3 2 5 3 3 2" xfId="33443"/>
    <cellStyle name="Normal 13 2 3 2 5 3 4" xfId="21923"/>
    <cellStyle name="Normal 13 2 3 2 5 4" xfId="7523"/>
    <cellStyle name="Normal 13 2 3 2 5 4 2" xfId="24803"/>
    <cellStyle name="Normal 13 2 3 2 5 5" xfId="13283"/>
    <cellStyle name="Normal 13 2 3 2 5 5 2" xfId="30563"/>
    <cellStyle name="Normal 13 2 3 2 5 6" xfId="19043"/>
    <cellStyle name="Normal 13 2 3 2 6" xfId="2483"/>
    <cellStyle name="Normal 13 2 3 2 6 2" xfId="5363"/>
    <cellStyle name="Normal 13 2 3 2 6 2 2" xfId="11123"/>
    <cellStyle name="Normal 13 2 3 2 6 2 2 2" xfId="28403"/>
    <cellStyle name="Normal 13 2 3 2 6 2 3" xfId="16883"/>
    <cellStyle name="Normal 13 2 3 2 6 2 3 2" xfId="34163"/>
    <cellStyle name="Normal 13 2 3 2 6 2 4" xfId="22643"/>
    <cellStyle name="Normal 13 2 3 2 6 3" xfId="8243"/>
    <cellStyle name="Normal 13 2 3 2 6 3 2" xfId="25523"/>
    <cellStyle name="Normal 13 2 3 2 6 4" xfId="14003"/>
    <cellStyle name="Normal 13 2 3 2 6 4 2" xfId="31283"/>
    <cellStyle name="Normal 13 2 3 2 6 5" xfId="19763"/>
    <cellStyle name="Normal 13 2 3 2 7" xfId="3923"/>
    <cellStyle name="Normal 13 2 3 2 7 2" xfId="9683"/>
    <cellStyle name="Normal 13 2 3 2 7 2 2" xfId="26963"/>
    <cellStyle name="Normal 13 2 3 2 7 3" xfId="15443"/>
    <cellStyle name="Normal 13 2 3 2 7 3 2" xfId="32723"/>
    <cellStyle name="Normal 13 2 3 2 7 4" xfId="21203"/>
    <cellStyle name="Normal 13 2 3 2 8" xfId="6803"/>
    <cellStyle name="Normal 13 2 3 2 8 2" xfId="24083"/>
    <cellStyle name="Normal 13 2 3 2 9" xfId="12563"/>
    <cellStyle name="Normal 13 2 3 2 9 2" xfId="29843"/>
    <cellStyle name="Normal 13 2 3 3" xfId="1003"/>
    <cellStyle name="Normal 13 2 3 3 10" xfId="18283"/>
    <cellStyle name="Normal 13 2 3 3 2" xfId="1123"/>
    <cellStyle name="Normal 13 2 3 3 2 2" xfId="1363"/>
    <cellStyle name="Normal 13 2 3 3 2 2 2" xfId="2083"/>
    <cellStyle name="Normal 13 2 3 3 2 2 2 2" xfId="3523"/>
    <cellStyle name="Normal 13 2 3 3 2 2 2 2 2" xfId="6403"/>
    <cellStyle name="Normal 13 2 3 3 2 2 2 2 2 2" xfId="12163"/>
    <cellStyle name="Normal 13 2 3 3 2 2 2 2 2 2 2" xfId="29443"/>
    <cellStyle name="Normal 13 2 3 3 2 2 2 2 2 3" xfId="17923"/>
    <cellStyle name="Normal 13 2 3 3 2 2 2 2 2 3 2" xfId="35203"/>
    <cellStyle name="Normal 13 2 3 3 2 2 2 2 2 4" xfId="23683"/>
    <cellStyle name="Normal 13 2 3 3 2 2 2 2 3" xfId="9283"/>
    <cellStyle name="Normal 13 2 3 3 2 2 2 2 3 2" xfId="26563"/>
    <cellStyle name="Normal 13 2 3 3 2 2 2 2 4" xfId="15043"/>
    <cellStyle name="Normal 13 2 3 3 2 2 2 2 4 2" xfId="32323"/>
    <cellStyle name="Normal 13 2 3 3 2 2 2 2 5" xfId="20803"/>
    <cellStyle name="Normal 13 2 3 3 2 2 2 3" xfId="4963"/>
    <cellStyle name="Normal 13 2 3 3 2 2 2 3 2" xfId="10723"/>
    <cellStyle name="Normal 13 2 3 3 2 2 2 3 2 2" xfId="28003"/>
    <cellStyle name="Normal 13 2 3 3 2 2 2 3 3" xfId="16483"/>
    <cellStyle name="Normal 13 2 3 3 2 2 2 3 3 2" xfId="33763"/>
    <cellStyle name="Normal 13 2 3 3 2 2 2 3 4" xfId="22243"/>
    <cellStyle name="Normal 13 2 3 3 2 2 2 4" xfId="7843"/>
    <cellStyle name="Normal 13 2 3 3 2 2 2 4 2" xfId="25123"/>
    <cellStyle name="Normal 13 2 3 3 2 2 2 5" xfId="13603"/>
    <cellStyle name="Normal 13 2 3 3 2 2 2 5 2" xfId="30883"/>
    <cellStyle name="Normal 13 2 3 3 2 2 2 6" xfId="19363"/>
    <cellStyle name="Normal 13 2 3 3 2 2 3" xfId="2803"/>
    <cellStyle name="Normal 13 2 3 3 2 2 3 2" xfId="5683"/>
    <cellStyle name="Normal 13 2 3 3 2 2 3 2 2" xfId="11443"/>
    <cellStyle name="Normal 13 2 3 3 2 2 3 2 2 2" xfId="28723"/>
    <cellStyle name="Normal 13 2 3 3 2 2 3 2 3" xfId="17203"/>
    <cellStyle name="Normal 13 2 3 3 2 2 3 2 3 2" xfId="34483"/>
    <cellStyle name="Normal 13 2 3 3 2 2 3 2 4" xfId="22963"/>
    <cellStyle name="Normal 13 2 3 3 2 2 3 3" xfId="8563"/>
    <cellStyle name="Normal 13 2 3 3 2 2 3 3 2" xfId="25843"/>
    <cellStyle name="Normal 13 2 3 3 2 2 3 4" xfId="14323"/>
    <cellStyle name="Normal 13 2 3 3 2 2 3 4 2" xfId="31603"/>
    <cellStyle name="Normal 13 2 3 3 2 2 3 5" xfId="20083"/>
    <cellStyle name="Normal 13 2 3 3 2 2 4" xfId="4243"/>
    <cellStyle name="Normal 13 2 3 3 2 2 4 2" xfId="10003"/>
    <cellStyle name="Normal 13 2 3 3 2 2 4 2 2" xfId="27283"/>
    <cellStyle name="Normal 13 2 3 3 2 2 4 3" xfId="15763"/>
    <cellStyle name="Normal 13 2 3 3 2 2 4 3 2" xfId="33043"/>
    <cellStyle name="Normal 13 2 3 3 2 2 4 4" xfId="21523"/>
    <cellStyle name="Normal 13 2 3 3 2 2 5" xfId="7123"/>
    <cellStyle name="Normal 13 2 3 3 2 2 5 2" xfId="24403"/>
    <cellStyle name="Normal 13 2 3 3 2 2 6" xfId="12883"/>
    <cellStyle name="Normal 13 2 3 3 2 2 6 2" xfId="30163"/>
    <cellStyle name="Normal 13 2 3 3 2 2 7" xfId="18643"/>
    <cellStyle name="Normal 13 2 3 3 2 3" xfId="1603"/>
    <cellStyle name="Normal 13 2 3 3 2 3 2" xfId="2323"/>
    <cellStyle name="Normal 13 2 3 3 2 3 2 2" xfId="3763"/>
    <cellStyle name="Normal 13 2 3 3 2 3 2 2 2" xfId="6643"/>
    <cellStyle name="Normal 13 2 3 3 2 3 2 2 2 2" xfId="12403"/>
    <cellStyle name="Normal 13 2 3 3 2 3 2 2 2 2 2" xfId="29683"/>
    <cellStyle name="Normal 13 2 3 3 2 3 2 2 2 3" xfId="18163"/>
    <cellStyle name="Normal 13 2 3 3 2 3 2 2 2 3 2" xfId="35443"/>
    <cellStyle name="Normal 13 2 3 3 2 3 2 2 2 4" xfId="23923"/>
    <cellStyle name="Normal 13 2 3 3 2 3 2 2 3" xfId="9523"/>
    <cellStyle name="Normal 13 2 3 3 2 3 2 2 3 2" xfId="26803"/>
    <cellStyle name="Normal 13 2 3 3 2 3 2 2 4" xfId="15283"/>
    <cellStyle name="Normal 13 2 3 3 2 3 2 2 4 2" xfId="32563"/>
    <cellStyle name="Normal 13 2 3 3 2 3 2 2 5" xfId="21043"/>
    <cellStyle name="Normal 13 2 3 3 2 3 2 3" xfId="5203"/>
    <cellStyle name="Normal 13 2 3 3 2 3 2 3 2" xfId="10963"/>
    <cellStyle name="Normal 13 2 3 3 2 3 2 3 2 2" xfId="28243"/>
    <cellStyle name="Normal 13 2 3 3 2 3 2 3 3" xfId="16723"/>
    <cellStyle name="Normal 13 2 3 3 2 3 2 3 3 2" xfId="34003"/>
    <cellStyle name="Normal 13 2 3 3 2 3 2 3 4" xfId="22483"/>
    <cellStyle name="Normal 13 2 3 3 2 3 2 4" xfId="8083"/>
    <cellStyle name="Normal 13 2 3 3 2 3 2 4 2" xfId="25363"/>
    <cellStyle name="Normal 13 2 3 3 2 3 2 5" xfId="13843"/>
    <cellStyle name="Normal 13 2 3 3 2 3 2 5 2" xfId="31123"/>
    <cellStyle name="Normal 13 2 3 3 2 3 2 6" xfId="19603"/>
    <cellStyle name="Normal 13 2 3 3 2 3 3" xfId="3043"/>
    <cellStyle name="Normal 13 2 3 3 2 3 3 2" xfId="5923"/>
    <cellStyle name="Normal 13 2 3 3 2 3 3 2 2" xfId="11683"/>
    <cellStyle name="Normal 13 2 3 3 2 3 3 2 2 2" xfId="28963"/>
    <cellStyle name="Normal 13 2 3 3 2 3 3 2 3" xfId="17443"/>
    <cellStyle name="Normal 13 2 3 3 2 3 3 2 3 2" xfId="34723"/>
    <cellStyle name="Normal 13 2 3 3 2 3 3 2 4" xfId="23203"/>
    <cellStyle name="Normal 13 2 3 3 2 3 3 3" xfId="8803"/>
    <cellStyle name="Normal 13 2 3 3 2 3 3 3 2" xfId="26083"/>
    <cellStyle name="Normal 13 2 3 3 2 3 3 4" xfId="14563"/>
    <cellStyle name="Normal 13 2 3 3 2 3 3 4 2" xfId="31843"/>
    <cellStyle name="Normal 13 2 3 3 2 3 3 5" xfId="20323"/>
    <cellStyle name="Normal 13 2 3 3 2 3 4" xfId="4483"/>
    <cellStyle name="Normal 13 2 3 3 2 3 4 2" xfId="10243"/>
    <cellStyle name="Normal 13 2 3 3 2 3 4 2 2" xfId="27523"/>
    <cellStyle name="Normal 13 2 3 3 2 3 4 3" xfId="16003"/>
    <cellStyle name="Normal 13 2 3 3 2 3 4 3 2" xfId="33283"/>
    <cellStyle name="Normal 13 2 3 3 2 3 4 4" xfId="21763"/>
    <cellStyle name="Normal 13 2 3 3 2 3 5" xfId="7363"/>
    <cellStyle name="Normal 13 2 3 3 2 3 5 2" xfId="24643"/>
    <cellStyle name="Normal 13 2 3 3 2 3 6" xfId="13123"/>
    <cellStyle name="Normal 13 2 3 3 2 3 6 2" xfId="30403"/>
    <cellStyle name="Normal 13 2 3 3 2 3 7" xfId="18883"/>
    <cellStyle name="Normal 13 2 3 3 2 4" xfId="1843"/>
    <cellStyle name="Normal 13 2 3 3 2 4 2" xfId="3283"/>
    <cellStyle name="Normal 13 2 3 3 2 4 2 2" xfId="6163"/>
    <cellStyle name="Normal 13 2 3 3 2 4 2 2 2" xfId="11923"/>
    <cellStyle name="Normal 13 2 3 3 2 4 2 2 2 2" xfId="29203"/>
    <cellStyle name="Normal 13 2 3 3 2 4 2 2 3" xfId="17683"/>
    <cellStyle name="Normal 13 2 3 3 2 4 2 2 3 2" xfId="34963"/>
    <cellStyle name="Normal 13 2 3 3 2 4 2 2 4" xfId="23443"/>
    <cellStyle name="Normal 13 2 3 3 2 4 2 3" xfId="9043"/>
    <cellStyle name="Normal 13 2 3 3 2 4 2 3 2" xfId="26323"/>
    <cellStyle name="Normal 13 2 3 3 2 4 2 4" xfId="14803"/>
    <cellStyle name="Normal 13 2 3 3 2 4 2 4 2" xfId="32083"/>
    <cellStyle name="Normal 13 2 3 3 2 4 2 5" xfId="20563"/>
    <cellStyle name="Normal 13 2 3 3 2 4 3" xfId="4723"/>
    <cellStyle name="Normal 13 2 3 3 2 4 3 2" xfId="10483"/>
    <cellStyle name="Normal 13 2 3 3 2 4 3 2 2" xfId="27763"/>
    <cellStyle name="Normal 13 2 3 3 2 4 3 3" xfId="16243"/>
    <cellStyle name="Normal 13 2 3 3 2 4 3 3 2" xfId="33523"/>
    <cellStyle name="Normal 13 2 3 3 2 4 3 4" xfId="22003"/>
    <cellStyle name="Normal 13 2 3 3 2 4 4" xfId="7603"/>
    <cellStyle name="Normal 13 2 3 3 2 4 4 2" xfId="24883"/>
    <cellStyle name="Normal 13 2 3 3 2 4 5" xfId="13363"/>
    <cellStyle name="Normal 13 2 3 3 2 4 5 2" xfId="30643"/>
    <cellStyle name="Normal 13 2 3 3 2 4 6" xfId="19123"/>
    <cellStyle name="Normal 13 2 3 3 2 5" xfId="2563"/>
    <cellStyle name="Normal 13 2 3 3 2 5 2" xfId="5443"/>
    <cellStyle name="Normal 13 2 3 3 2 5 2 2" xfId="11203"/>
    <cellStyle name="Normal 13 2 3 3 2 5 2 2 2" xfId="28483"/>
    <cellStyle name="Normal 13 2 3 3 2 5 2 3" xfId="16963"/>
    <cellStyle name="Normal 13 2 3 3 2 5 2 3 2" xfId="34243"/>
    <cellStyle name="Normal 13 2 3 3 2 5 2 4" xfId="22723"/>
    <cellStyle name="Normal 13 2 3 3 2 5 3" xfId="8323"/>
    <cellStyle name="Normal 13 2 3 3 2 5 3 2" xfId="25603"/>
    <cellStyle name="Normal 13 2 3 3 2 5 4" xfId="14083"/>
    <cellStyle name="Normal 13 2 3 3 2 5 4 2" xfId="31363"/>
    <cellStyle name="Normal 13 2 3 3 2 5 5" xfId="19843"/>
    <cellStyle name="Normal 13 2 3 3 2 6" xfId="4003"/>
    <cellStyle name="Normal 13 2 3 3 2 6 2" xfId="9763"/>
    <cellStyle name="Normal 13 2 3 3 2 6 2 2" xfId="27043"/>
    <cellStyle name="Normal 13 2 3 3 2 6 3" xfId="15523"/>
    <cellStyle name="Normal 13 2 3 3 2 6 3 2" xfId="32803"/>
    <cellStyle name="Normal 13 2 3 3 2 6 4" xfId="21283"/>
    <cellStyle name="Normal 13 2 3 3 2 7" xfId="6883"/>
    <cellStyle name="Normal 13 2 3 3 2 7 2" xfId="24163"/>
    <cellStyle name="Normal 13 2 3 3 2 8" xfId="12643"/>
    <cellStyle name="Normal 13 2 3 3 2 8 2" xfId="29923"/>
    <cellStyle name="Normal 13 2 3 3 2 9" xfId="18403"/>
    <cellStyle name="Normal 13 2 3 3 3" xfId="1243"/>
    <cellStyle name="Normal 13 2 3 3 3 2" xfId="1963"/>
    <cellStyle name="Normal 13 2 3 3 3 2 2" xfId="3403"/>
    <cellStyle name="Normal 13 2 3 3 3 2 2 2" xfId="6283"/>
    <cellStyle name="Normal 13 2 3 3 3 2 2 2 2" xfId="12043"/>
    <cellStyle name="Normal 13 2 3 3 3 2 2 2 2 2" xfId="29323"/>
    <cellStyle name="Normal 13 2 3 3 3 2 2 2 3" xfId="17803"/>
    <cellStyle name="Normal 13 2 3 3 3 2 2 2 3 2" xfId="35083"/>
    <cellStyle name="Normal 13 2 3 3 3 2 2 2 4" xfId="23563"/>
    <cellStyle name="Normal 13 2 3 3 3 2 2 3" xfId="9163"/>
    <cellStyle name="Normal 13 2 3 3 3 2 2 3 2" xfId="26443"/>
    <cellStyle name="Normal 13 2 3 3 3 2 2 4" xfId="14923"/>
    <cellStyle name="Normal 13 2 3 3 3 2 2 4 2" xfId="32203"/>
    <cellStyle name="Normal 13 2 3 3 3 2 2 5" xfId="20683"/>
    <cellStyle name="Normal 13 2 3 3 3 2 3" xfId="4843"/>
    <cellStyle name="Normal 13 2 3 3 3 2 3 2" xfId="10603"/>
    <cellStyle name="Normal 13 2 3 3 3 2 3 2 2" xfId="27883"/>
    <cellStyle name="Normal 13 2 3 3 3 2 3 3" xfId="16363"/>
    <cellStyle name="Normal 13 2 3 3 3 2 3 3 2" xfId="33643"/>
    <cellStyle name="Normal 13 2 3 3 3 2 3 4" xfId="22123"/>
    <cellStyle name="Normal 13 2 3 3 3 2 4" xfId="7723"/>
    <cellStyle name="Normal 13 2 3 3 3 2 4 2" xfId="25003"/>
    <cellStyle name="Normal 13 2 3 3 3 2 5" xfId="13483"/>
    <cellStyle name="Normal 13 2 3 3 3 2 5 2" xfId="30763"/>
    <cellStyle name="Normal 13 2 3 3 3 2 6" xfId="19243"/>
    <cellStyle name="Normal 13 2 3 3 3 3" xfId="2683"/>
    <cellStyle name="Normal 13 2 3 3 3 3 2" xfId="5563"/>
    <cellStyle name="Normal 13 2 3 3 3 3 2 2" xfId="11323"/>
    <cellStyle name="Normal 13 2 3 3 3 3 2 2 2" xfId="28603"/>
    <cellStyle name="Normal 13 2 3 3 3 3 2 3" xfId="17083"/>
    <cellStyle name="Normal 13 2 3 3 3 3 2 3 2" xfId="34363"/>
    <cellStyle name="Normal 13 2 3 3 3 3 2 4" xfId="22843"/>
    <cellStyle name="Normal 13 2 3 3 3 3 3" xfId="8443"/>
    <cellStyle name="Normal 13 2 3 3 3 3 3 2" xfId="25723"/>
    <cellStyle name="Normal 13 2 3 3 3 3 4" xfId="14203"/>
    <cellStyle name="Normal 13 2 3 3 3 3 4 2" xfId="31483"/>
    <cellStyle name="Normal 13 2 3 3 3 3 5" xfId="19963"/>
    <cellStyle name="Normal 13 2 3 3 3 4" xfId="4123"/>
    <cellStyle name="Normal 13 2 3 3 3 4 2" xfId="9883"/>
    <cellStyle name="Normal 13 2 3 3 3 4 2 2" xfId="27163"/>
    <cellStyle name="Normal 13 2 3 3 3 4 3" xfId="15643"/>
    <cellStyle name="Normal 13 2 3 3 3 4 3 2" xfId="32923"/>
    <cellStyle name="Normal 13 2 3 3 3 4 4" xfId="21403"/>
    <cellStyle name="Normal 13 2 3 3 3 5" xfId="7003"/>
    <cellStyle name="Normal 13 2 3 3 3 5 2" xfId="24283"/>
    <cellStyle name="Normal 13 2 3 3 3 6" xfId="12763"/>
    <cellStyle name="Normal 13 2 3 3 3 6 2" xfId="30043"/>
    <cellStyle name="Normal 13 2 3 3 3 7" xfId="18523"/>
    <cellStyle name="Normal 13 2 3 3 4" xfId="1483"/>
    <cellStyle name="Normal 13 2 3 3 4 2" xfId="2203"/>
    <cellStyle name="Normal 13 2 3 3 4 2 2" xfId="3643"/>
    <cellStyle name="Normal 13 2 3 3 4 2 2 2" xfId="6523"/>
    <cellStyle name="Normal 13 2 3 3 4 2 2 2 2" xfId="12283"/>
    <cellStyle name="Normal 13 2 3 3 4 2 2 2 2 2" xfId="29563"/>
    <cellStyle name="Normal 13 2 3 3 4 2 2 2 3" xfId="18043"/>
    <cellStyle name="Normal 13 2 3 3 4 2 2 2 3 2" xfId="35323"/>
    <cellStyle name="Normal 13 2 3 3 4 2 2 2 4" xfId="23803"/>
    <cellStyle name="Normal 13 2 3 3 4 2 2 3" xfId="9403"/>
    <cellStyle name="Normal 13 2 3 3 4 2 2 3 2" xfId="26683"/>
    <cellStyle name="Normal 13 2 3 3 4 2 2 4" xfId="15163"/>
    <cellStyle name="Normal 13 2 3 3 4 2 2 4 2" xfId="32443"/>
    <cellStyle name="Normal 13 2 3 3 4 2 2 5" xfId="20923"/>
    <cellStyle name="Normal 13 2 3 3 4 2 3" xfId="5083"/>
    <cellStyle name="Normal 13 2 3 3 4 2 3 2" xfId="10843"/>
    <cellStyle name="Normal 13 2 3 3 4 2 3 2 2" xfId="28123"/>
    <cellStyle name="Normal 13 2 3 3 4 2 3 3" xfId="16603"/>
    <cellStyle name="Normal 13 2 3 3 4 2 3 3 2" xfId="33883"/>
    <cellStyle name="Normal 13 2 3 3 4 2 3 4" xfId="22363"/>
    <cellStyle name="Normal 13 2 3 3 4 2 4" xfId="7963"/>
    <cellStyle name="Normal 13 2 3 3 4 2 4 2" xfId="25243"/>
    <cellStyle name="Normal 13 2 3 3 4 2 5" xfId="13723"/>
    <cellStyle name="Normal 13 2 3 3 4 2 5 2" xfId="31003"/>
    <cellStyle name="Normal 13 2 3 3 4 2 6" xfId="19483"/>
    <cellStyle name="Normal 13 2 3 3 4 3" xfId="2923"/>
    <cellStyle name="Normal 13 2 3 3 4 3 2" xfId="5803"/>
    <cellStyle name="Normal 13 2 3 3 4 3 2 2" xfId="11563"/>
    <cellStyle name="Normal 13 2 3 3 4 3 2 2 2" xfId="28843"/>
    <cellStyle name="Normal 13 2 3 3 4 3 2 3" xfId="17323"/>
    <cellStyle name="Normal 13 2 3 3 4 3 2 3 2" xfId="34603"/>
    <cellStyle name="Normal 13 2 3 3 4 3 2 4" xfId="23083"/>
    <cellStyle name="Normal 13 2 3 3 4 3 3" xfId="8683"/>
    <cellStyle name="Normal 13 2 3 3 4 3 3 2" xfId="25963"/>
    <cellStyle name="Normal 13 2 3 3 4 3 4" xfId="14443"/>
    <cellStyle name="Normal 13 2 3 3 4 3 4 2" xfId="31723"/>
    <cellStyle name="Normal 13 2 3 3 4 3 5" xfId="20203"/>
    <cellStyle name="Normal 13 2 3 3 4 4" xfId="4363"/>
    <cellStyle name="Normal 13 2 3 3 4 4 2" xfId="10123"/>
    <cellStyle name="Normal 13 2 3 3 4 4 2 2" xfId="27403"/>
    <cellStyle name="Normal 13 2 3 3 4 4 3" xfId="15883"/>
    <cellStyle name="Normal 13 2 3 3 4 4 3 2" xfId="33163"/>
    <cellStyle name="Normal 13 2 3 3 4 4 4" xfId="21643"/>
    <cellStyle name="Normal 13 2 3 3 4 5" xfId="7243"/>
    <cellStyle name="Normal 13 2 3 3 4 5 2" xfId="24523"/>
    <cellStyle name="Normal 13 2 3 3 4 6" xfId="13003"/>
    <cellStyle name="Normal 13 2 3 3 4 6 2" xfId="30283"/>
    <cellStyle name="Normal 13 2 3 3 4 7" xfId="18763"/>
    <cellStyle name="Normal 13 2 3 3 5" xfId="1723"/>
    <cellStyle name="Normal 13 2 3 3 5 2" xfId="3163"/>
    <cellStyle name="Normal 13 2 3 3 5 2 2" xfId="6043"/>
    <cellStyle name="Normal 13 2 3 3 5 2 2 2" xfId="11803"/>
    <cellStyle name="Normal 13 2 3 3 5 2 2 2 2" xfId="29083"/>
    <cellStyle name="Normal 13 2 3 3 5 2 2 3" xfId="17563"/>
    <cellStyle name="Normal 13 2 3 3 5 2 2 3 2" xfId="34843"/>
    <cellStyle name="Normal 13 2 3 3 5 2 2 4" xfId="23323"/>
    <cellStyle name="Normal 13 2 3 3 5 2 3" xfId="8923"/>
    <cellStyle name="Normal 13 2 3 3 5 2 3 2" xfId="26203"/>
    <cellStyle name="Normal 13 2 3 3 5 2 4" xfId="14683"/>
    <cellStyle name="Normal 13 2 3 3 5 2 4 2" xfId="31963"/>
    <cellStyle name="Normal 13 2 3 3 5 2 5" xfId="20443"/>
    <cellStyle name="Normal 13 2 3 3 5 3" xfId="4603"/>
    <cellStyle name="Normal 13 2 3 3 5 3 2" xfId="10363"/>
    <cellStyle name="Normal 13 2 3 3 5 3 2 2" xfId="27643"/>
    <cellStyle name="Normal 13 2 3 3 5 3 3" xfId="16123"/>
    <cellStyle name="Normal 13 2 3 3 5 3 3 2" xfId="33403"/>
    <cellStyle name="Normal 13 2 3 3 5 3 4" xfId="21883"/>
    <cellStyle name="Normal 13 2 3 3 5 4" xfId="7483"/>
    <cellStyle name="Normal 13 2 3 3 5 4 2" xfId="24763"/>
    <cellStyle name="Normal 13 2 3 3 5 5" xfId="13243"/>
    <cellStyle name="Normal 13 2 3 3 5 5 2" xfId="30523"/>
    <cellStyle name="Normal 13 2 3 3 5 6" xfId="19003"/>
    <cellStyle name="Normal 13 2 3 3 6" xfId="2443"/>
    <cellStyle name="Normal 13 2 3 3 6 2" xfId="5323"/>
    <cellStyle name="Normal 13 2 3 3 6 2 2" xfId="11083"/>
    <cellStyle name="Normal 13 2 3 3 6 2 2 2" xfId="28363"/>
    <cellStyle name="Normal 13 2 3 3 6 2 3" xfId="16843"/>
    <cellStyle name="Normal 13 2 3 3 6 2 3 2" xfId="34123"/>
    <cellStyle name="Normal 13 2 3 3 6 2 4" xfId="22603"/>
    <cellStyle name="Normal 13 2 3 3 6 3" xfId="8203"/>
    <cellStyle name="Normal 13 2 3 3 6 3 2" xfId="25483"/>
    <cellStyle name="Normal 13 2 3 3 6 4" xfId="13963"/>
    <cellStyle name="Normal 13 2 3 3 6 4 2" xfId="31243"/>
    <cellStyle name="Normal 13 2 3 3 6 5" xfId="19723"/>
    <cellStyle name="Normal 13 2 3 3 7" xfId="3883"/>
    <cellStyle name="Normal 13 2 3 3 7 2" xfId="9643"/>
    <cellStyle name="Normal 13 2 3 3 7 2 2" xfId="26923"/>
    <cellStyle name="Normal 13 2 3 3 7 3" xfId="15403"/>
    <cellStyle name="Normal 13 2 3 3 7 3 2" xfId="32683"/>
    <cellStyle name="Normal 13 2 3 3 7 4" xfId="21163"/>
    <cellStyle name="Normal 13 2 3 3 8" xfId="6763"/>
    <cellStyle name="Normal 13 2 3 3 8 2" xfId="24043"/>
    <cellStyle name="Normal 13 2 3 3 9" xfId="12523"/>
    <cellStyle name="Normal 13 2 3 3 9 2" xfId="29803"/>
    <cellStyle name="Normal 13 2 3 4" xfId="1083"/>
    <cellStyle name="Normal 13 2 3 4 2" xfId="1323"/>
    <cellStyle name="Normal 13 2 3 4 2 2" xfId="2043"/>
    <cellStyle name="Normal 13 2 3 4 2 2 2" xfId="3483"/>
    <cellStyle name="Normal 13 2 3 4 2 2 2 2" xfId="6363"/>
    <cellStyle name="Normal 13 2 3 4 2 2 2 2 2" xfId="12123"/>
    <cellStyle name="Normal 13 2 3 4 2 2 2 2 2 2" xfId="29403"/>
    <cellStyle name="Normal 13 2 3 4 2 2 2 2 3" xfId="17883"/>
    <cellStyle name="Normal 13 2 3 4 2 2 2 2 3 2" xfId="35163"/>
    <cellStyle name="Normal 13 2 3 4 2 2 2 2 4" xfId="23643"/>
    <cellStyle name="Normal 13 2 3 4 2 2 2 3" xfId="9243"/>
    <cellStyle name="Normal 13 2 3 4 2 2 2 3 2" xfId="26523"/>
    <cellStyle name="Normal 13 2 3 4 2 2 2 4" xfId="15003"/>
    <cellStyle name="Normal 13 2 3 4 2 2 2 4 2" xfId="32283"/>
    <cellStyle name="Normal 13 2 3 4 2 2 2 5" xfId="20763"/>
    <cellStyle name="Normal 13 2 3 4 2 2 3" xfId="4923"/>
    <cellStyle name="Normal 13 2 3 4 2 2 3 2" xfId="10683"/>
    <cellStyle name="Normal 13 2 3 4 2 2 3 2 2" xfId="27963"/>
    <cellStyle name="Normal 13 2 3 4 2 2 3 3" xfId="16443"/>
    <cellStyle name="Normal 13 2 3 4 2 2 3 3 2" xfId="33723"/>
    <cellStyle name="Normal 13 2 3 4 2 2 3 4" xfId="22203"/>
    <cellStyle name="Normal 13 2 3 4 2 2 4" xfId="7803"/>
    <cellStyle name="Normal 13 2 3 4 2 2 4 2" xfId="25083"/>
    <cellStyle name="Normal 13 2 3 4 2 2 5" xfId="13563"/>
    <cellStyle name="Normal 13 2 3 4 2 2 5 2" xfId="30843"/>
    <cellStyle name="Normal 13 2 3 4 2 2 6" xfId="19323"/>
    <cellStyle name="Normal 13 2 3 4 2 3" xfId="2763"/>
    <cellStyle name="Normal 13 2 3 4 2 3 2" xfId="5643"/>
    <cellStyle name="Normal 13 2 3 4 2 3 2 2" xfId="11403"/>
    <cellStyle name="Normal 13 2 3 4 2 3 2 2 2" xfId="28683"/>
    <cellStyle name="Normal 13 2 3 4 2 3 2 3" xfId="17163"/>
    <cellStyle name="Normal 13 2 3 4 2 3 2 3 2" xfId="34443"/>
    <cellStyle name="Normal 13 2 3 4 2 3 2 4" xfId="22923"/>
    <cellStyle name="Normal 13 2 3 4 2 3 3" xfId="8523"/>
    <cellStyle name="Normal 13 2 3 4 2 3 3 2" xfId="25803"/>
    <cellStyle name="Normal 13 2 3 4 2 3 4" xfId="14283"/>
    <cellStyle name="Normal 13 2 3 4 2 3 4 2" xfId="31563"/>
    <cellStyle name="Normal 13 2 3 4 2 3 5" xfId="20043"/>
    <cellStyle name="Normal 13 2 3 4 2 4" xfId="4203"/>
    <cellStyle name="Normal 13 2 3 4 2 4 2" xfId="9963"/>
    <cellStyle name="Normal 13 2 3 4 2 4 2 2" xfId="27243"/>
    <cellStyle name="Normal 13 2 3 4 2 4 3" xfId="15723"/>
    <cellStyle name="Normal 13 2 3 4 2 4 3 2" xfId="33003"/>
    <cellStyle name="Normal 13 2 3 4 2 4 4" xfId="21483"/>
    <cellStyle name="Normal 13 2 3 4 2 5" xfId="7083"/>
    <cellStyle name="Normal 13 2 3 4 2 5 2" xfId="24363"/>
    <cellStyle name="Normal 13 2 3 4 2 6" xfId="12843"/>
    <cellStyle name="Normal 13 2 3 4 2 6 2" xfId="30123"/>
    <cellStyle name="Normal 13 2 3 4 2 7" xfId="18603"/>
    <cellStyle name="Normal 13 2 3 4 3" xfId="1563"/>
    <cellStyle name="Normal 13 2 3 4 3 2" xfId="2283"/>
    <cellStyle name="Normal 13 2 3 4 3 2 2" xfId="3723"/>
    <cellStyle name="Normal 13 2 3 4 3 2 2 2" xfId="6603"/>
    <cellStyle name="Normal 13 2 3 4 3 2 2 2 2" xfId="12363"/>
    <cellStyle name="Normal 13 2 3 4 3 2 2 2 2 2" xfId="29643"/>
    <cellStyle name="Normal 13 2 3 4 3 2 2 2 3" xfId="18123"/>
    <cellStyle name="Normal 13 2 3 4 3 2 2 2 3 2" xfId="35403"/>
    <cellStyle name="Normal 13 2 3 4 3 2 2 2 4" xfId="23883"/>
    <cellStyle name="Normal 13 2 3 4 3 2 2 3" xfId="9483"/>
    <cellStyle name="Normal 13 2 3 4 3 2 2 3 2" xfId="26763"/>
    <cellStyle name="Normal 13 2 3 4 3 2 2 4" xfId="15243"/>
    <cellStyle name="Normal 13 2 3 4 3 2 2 4 2" xfId="32523"/>
    <cellStyle name="Normal 13 2 3 4 3 2 2 5" xfId="21003"/>
    <cellStyle name="Normal 13 2 3 4 3 2 3" xfId="5163"/>
    <cellStyle name="Normal 13 2 3 4 3 2 3 2" xfId="10923"/>
    <cellStyle name="Normal 13 2 3 4 3 2 3 2 2" xfId="28203"/>
    <cellStyle name="Normal 13 2 3 4 3 2 3 3" xfId="16683"/>
    <cellStyle name="Normal 13 2 3 4 3 2 3 3 2" xfId="33963"/>
    <cellStyle name="Normal 13 2 3 4 3 2 3 4" xfId="22443"/>
    <cellStyle name="Normal 13 2 3 4 3 2 4" xfId="8043"/>
    <cellStyle name="Normal 13 2 3 4 3 2 4 2" xfId="25323"/>
    <cellStyle name="Normal 13 2 3 4 3 2 5" xfId="13803"/>
    <cellStyle name="Normal 13 2 3 4 3 2 5 2" xfId="31083"/>
    <cellStyle name="Normal 13 2 3 4 3 2 6" xfId="19563"/>
    <cellStyle name="Normal 13 2 3 4 3 3" xfId="3003"/>
    <cellStyle name="Normal 13 2 3 4 3 3 2" xfId="5883"/>
    <cellStyle name="Normal 13 2 3 4 3 3 2 2" xfId="11643"/>
    <cellStyle name="Normal 13 2 3 4 3 3 2 2 2" xfId="28923"/>
    <cellStyle name="Normal 13 2 3 4 3 3 2 3" xfId="17403"/>
    <cellStyle name="Normal 13 2 3 4 3 3 2 3 2" xfId="34683"/>
    <cellStyle name="Normal 13 2 3 4 3 3 2 4" xfId="23163"/>
    <cellStyle name="Normal 13 2 3 4 3 3 3" xfId="8763"/>
    <cellStyle name="Normal 13 2 3 4 3 3 3 2" xfId="26043"/>
    <cellStyle name="Normal 13 2 3 4 3 3 4" xfId="14523"/>
    <cellStyle name="Normal 13 2 3 4 3 3 4 2" xfId="31803"/>
    <cellStyle name="Normal 13 2 3 4 3 3 5" xfId="20283"/>
    <cellStyle name="Normal 13 2 3 4 3 4" xfId="4443"/>
    <cellStyle name="Normal 13 2 3 4 3 4 2" xfId="10203"/>
    <cellStyle name="Normal 13 2 3 4 3 4 2 2" xfId="27483"/>
    <cellStyle name="Normal 13 2 3 4 3 4 3" xfId="15963"/>
    <cellStyle name="Normal 13 2 3 4 3 4 3 2" xfId="33243"/>
    <cellStyle name="Normal 13 2 3 4 3 4 4" xfId="21723"/>
    <cellStyle name="Normal 13 2 3 4 3 5" xfId="7323"/>
    <cellStyle name="Normal 13 2 3 4 3 5 2" xfId="24603"/>
    <cellStyle name="Normal 13 2 3 4 3 6" xfId="13083"/>
    <cellStyle name="Normal 13 2 3 4 3 6 2" xfId="30363"/>
    <cellStyle name="Normal 13 2 3 4 3 7" xfId="18843"/>
    <cellStyle name="Normal 13 2 3 4 4" xfId="1803"/>
    <cellStyle name="Normal 13 2 3 4 4 2" xfId="3243"/>
    <cellStyle name="Normal 13 2 3 4 4 2 2" xfId="6123"/>
    <cellStyle name="Normal 13 2 3 4 4 2 2 2" xfId="11883"/>
    <cellStyle name="Normal 13 2 3 4 4 2 2 2 2" xfId="29163"/>
    <cellStyle name="Normal 13 2 3 4 4 2 2 3" xfId="17643"/>
    <cellStyle name="Normal 13 2 3 4 4 2 2 3 2" xfId="34923"/>
    <cellStyle name="Normal 13 2 3 4 4 2 2 4" xfId="23403"/>
    <cellStyle name="Normal 13 2 3 4 4 2 3" xfId="9003"/>
    <cellStyle name="Normal 13 2 3 4 4 2 3 2" xfId="26283"/>
    <cellStyle name="Normal 13 2 3 4 4 2 4" xfId="14763"/>
    <cellStyle name="Normal 13 2 3 4 4 2 4 2" xfId="32043"/>
    <cellStyle name="Normal 13 2 3 4 4 2 5" xfId="20523"/>
    <cellStyle name="Normal 13 2 3 4 4 3" xfId="4683"/>
    <cellStyle name="Normal 13 2 3 4 4 3 2" xfId="10443"/>
    <cellStyle name="Normal 13 2 3 4 4 3 2 2" xfId="27723"/>
    <cellStyle name="Normal 13 2 3 4 4 3 3" xfId="16203"/>
    <cellStyle name="Normal 13 2 3 4 4 3 3 2" xfId="33483"/>
    <cellStyle name="Normal 13 2 3 4 4 3 4" xfId="21963"/>
    <cellStyle name="Normal 13 2 3 4 4 4" xfId="7563"/>
    <cellStyle name="Normal 13 2 3 4 4 4 2" xfId="24843"/>
    <cellStyle name="Normal 13 2 3 4 4 5" xfId="13323"/>
    <cellStyle name="Normal 13 2 3 4 4 5 2" xfId="30603"/>
    <cellStyle name="Normal 13 2 3 4 4 6" xfId="19083"/>
    <cellStyle name="Normal 13 2 3 4 5" xfId="2523"/>
    <cellStyle name="Normal 13 2 3 4 5 2" xfId="5403"/>
    <cellStyle name="Normal 13 2 3 4 5 2 2" xfId="11163"/>
    <cellStyle name="Normal 13 2 3 4 5 2 2 2" xfId="28443"/>
    <cellStyle name="Normal 13 2 3 4 5 2 3" xfId="16923"/>
    <cellStyle name="Normal 13 2 3 4 5 2 3 2" xfId="34203"/>
    <cellStyle name="Normal 13 2 3 4 5 2 4" xfId="22683"/>
    <cellStyle name="Normal 13 2 3 4 5 3" xfId="8283"/>
    <cellStyle name="Normal 13 2 3 4 5 3 2" xfId="25563"/>
    <cellStyle name="Normal 13 2 3 4 5 4" xfId="14043"/>
    <cellStyle name="Normal 13 2 3 4 5 4 2" xfId="31323"/>
    <cellStyle name="Normal 13 2 3 4 5 5" xfId="19803"/>
    <cellStyle name="Normal 13 2 3 4 6" xfId="3963"/>
    <cellStyle name="Normal 13 2 3 4 6 2" xfId="9723"/>
    <cellStyle name="Normal 13 2 3 4 6 2 2" xfId="27003"/>
    <cellStyle name="Normal 13 2 3 4 6 3" xfId="15483"/>
    <cellStyle name="Normal 13 2 3 4 6 3 2" xfId="32763"/>
    <cellStyle name="Normal 13 2 3 4 6 4" xfId="21243"/>
    <cellStyle name="Normal 13 2 3 4 7" xfId="6843"/>
    <cellStyle name="Normal 13 2 3 4 7 2" xfId="24123"/>
    <cellStyle name="Normal 13 2 3 4 8" xfId="12603"/>
    <cellStyle name="Normal 13 2 3 4 8 2" xfId="29883"/>
    <cellStyle name="Normal 13 2 3 4 9" xfId="18363"/>
    <cellStyle name="Normal 13 2 3 5" xfId="1203"/>
    <cellStyle name="Normal 13 2 3 5 2" xfId="1923"/>
    <cellStyle name="Normal 13 2 3 5 2 2" xfId="3363"/>
    <cellStyle name="Normal 13 2 3 5 2 2 2" xfId="6243"/>
    <cellStyle name="Normal 13 2 3 5 2 2 2 2" xfId="12003"/>
    <cellStyle name="Normal 13 2 3 5 2 2 2 2 2" xfId="29283"/>
    <cellStyle name="Normal 13 2 3 5 2 2 2 3" xfId="17763"/>
    <cellStyle name="Normal 13 2 3 5 2 2 2 3 2" xfId="35043"/>
    <cellStyle name="Normal 13 2 3 5 2 2 2 4" xfId="23523"/>
    <cellStyle name="Normal 13 2 3 5 2 2 3" xfId="9123"/>
    <cellStyle name="Normal 13 2 3 5 2 2 3 2" xfId="26403"/>
    <cellStyle name="Normal 13 2 3 5 2 2 4" xfId="14883"/>
    <cellStyle name="Normal 13 2 3 5 2 2 4 2" xfId="32163"/>
    <cellStyle name="Normal 13 2 3 5 2 2 5" xfId="20643"/>
    <cellStyle name="Normal 13 2 3 5 2 3" xfId="4803"/>
    <cellStyle name="Normal 13 2 3 5 2 3 2" xfId="10563"/>
    <cellStyle name="Normal 13 2 3 5 2 3 2 2" xfId="27843"/>
    <cellStyle name="Normal 13 2 3 5 2 3 3" xfId="16323"/>
    <cellStyle name="Normal 13 2 3 5 2 3 3 2" xfId="33603"/>
    <cellStyle name="Normal 13 2 3 5 2 3 4" xfId="22083"/>
    <cellStyle name="Normal 13 2 3 5 2 4" xfId="7683"/>
    <cellStyle name="Normal 13 2 3 5 2 4 2" xfId="24963"/>
    <cellStyle name="Normal 13 2 3 5 2 5" xfId="13443"/>
    <cellStyle name="Normal 13 2 3 5 2 5 2" xfId="30723"/>
    <cellStyle name="Normal 13 2 3 5 2 6" xfId="19203"/>
    <cellStyle name="Normal 13 2 3 5 3" xfId="2643"/>
    <cellStyle name="Normal 13 2 3 5 3 2" xfId="5523"/>
    <cellStyle name="Normal 13 2 3 5 3 2 2" xfId="11283"/>
    <cellStyle name="Normal 13 2 3 5 3 2 2 2" xfId="28563"/>
    <cellStyle name="Normal 13 2 3 5 3 2 3" xfId="17043"/>
    <cellStyle name="Normal 13 2 3 5 3 2 3 2" xfId="34323"/>
    <cellStyle name="Normal 13 2 3 5 3 2 4" xfId="22803"/>
    <cellStyle name="Normal 13 2 3 5 3 3" xfId="8403"/>
    <cellStyle name="Normal 13 2 3 5 3 3 2" xfId="25683"/>
    <cellStyle name="Normal 13 2 3 5 3 4" xfId="14163"/>
    <cellStyle name="Normal 13 2 3 5 3 4 2" xfId="31443"/>
    <cellStyle name="Normal 13 2 3 5 3 5" xfId="19923"/>
    <cellStyle name="Normal 13 2 3 5 4" xfId="4083"/>
    <cellStyle name="Normal 13 2 3 5 4 2" xfId="9843"/>
    <cellStyle name="Normal 13 2 3 5 4 2 2" xfId="27123"/>
    <cellStyle name="Normal 13 2 3 5 4 3" xfId="15603"/>
    <cellStyle name="Normal 13 2 3 5 4 3 2" xfId="32883"/>
    <cellStyle name="Normal 13 2 3 5 4 4" xfId="21363"/>
    <cellStyle name="Normal 13 2 3 5 5" xfId="6963"/>
    <cellStyle name="Normal 13 2 3 5 5 2" xfId="24243"/>
    <cellStyle name="Normal 13 2 3 5 6" xfId="12723"/>
    <cellStyle name="Normal 13 2 3 5 6 2" xfId="30003"/>
    <cellStyle name="Normal 13 2 3 5 7" xfId="18483"/>
    <cellStyle name="Normal 13 2 3 6" xfId="1443"/>
    <cellStyle name="Normal 13 2 3 6 2" xfId="2163"/>
    <cellStyle name="Normal 13 2 3 6 2 2" xfId="3603"/>
    <cellStyle name="Normal 13 2 3 6 2 2 2" xfId="6483"/>
    <cellStyle name="Normal 13 2 3 6 2 2 2 2" xfId="12243"/>
    <cellStyle name="Normal 13 2 3 6 2 2 2 2 2" xfId="29523"/>
    <cellStyle name="Normal 13 2 3 6 2 2 2 3" xfId="18003"/>
    <cellStyle name="Normal 13 2 3 6 2 2 2 3 2" xfId="35283"/>
    <cellStyle name="Normal 13 2 3 6 2 2 2 4" xfId="23763"/>
    <cellStyle name="Normal 13 2 3 6 2 2 3" xfId="9363"/>
    <cellStyle name="Normal 13 2 3 6 2 2 3 2" xfId="26643"/>
    <cellStyle name="Normal 13 2 3 6 2 2 4" xfId="15123"/>
    <cellStyle name="Normal 13 2 3 6 2 2 4 2" xfId="32403"/>
    <cellStyle name="Normal 13 2 3 6 2 2 5" xfId="20883"/>
    <cellStyle name="Normal 13 2 3 6 2 3" xfId="5043"/>
    <cellStyle name="Normal 13 2 3 6 2 3 2" xfId="10803"/>
    <cellStyle name="Normal 13 2 3 6 2 3 2 2" xfId="28083"/>
    <cellStyle name="Normal 13 2 3 6 2 3 3" xfId="16563"/>
    <cellStyle name="Normal 13 2 3 6 2 3 3 2" xfId="33843"/>
    <cellStyle name="Normal 13 2 3 6 2 3 4" xfId="22323"/>
    <cellStyle name="Normal 13 2 3 6 2 4" xfId="7923"/>
    <cellStyle name="Normal 13 2 3 6 2 4 2" xfId="25203"/>
    <cellStyle name="Normal 13 2 3 6 2 5" xfId="13683"/>
    <cellStyle name="Normal 13 2 3 6 2 5 2" xfId="30963"/>
    <cellStyle name="Normal 13 2 3 6 2 6" xfId="19443"/>
    <cellStyle name="Normal 13 2 3 6 3" xfId="2883"/>
    <cellStyle name="Normal 13 2 3 6 3 2" xfId="5763"/>
    <cellStyle name="Normal 13 2 3 6 3 2 2" xfId="11523"/>
    <cellStyle name="Normal 13 2 3 6 3 2 2 2" xfId="28803"/>
    <cellStyle name="Normal 13 2 3 6 3 2 3" xfId="17283"/>
    <cellStyle name="Normal 13 2 3 6 3 2 3 2" xfId="34563"/>
    <cellStyle name="Normal 13 2 3 6 3 2 4" xfId="23043"/>
    <cellStyle name="Normal 13 2 3 6 3 3" xfId="8643"/>
    <cellStyle name="Normal 13 2 3 6 3 3 2" xfId="25923"/>
    <cellStyle name="Normal 13 2 3 6 3 4" xfId="14403"/>
    <cellStyle name="Normal 13 2 3 6 3 4 2" xfId="31683"/>
    <cellStyle name="Normal 13 2 3 6 3 5" xfId="20163"/>
    <cellStyle name="Normal 13 2 3 6 4" xfId="4323"/>
    <cellStyle name="Normal 13 2 3 6 4 2" xfId="10083"/>
    <cellStyle name="Normal 13 2 3 6 4 2 2" xfId="27363"/>
    <cellStyle name="Normal 13 2 3 6 4 3" xfId="15843"/>
    <cellStyle name="Normal 13 2 3 6 4 3 2" xfId="33123"/>
    <cellStyle name="Normal 13 2 3 6 4 4" xfId="21603"/>
    <cellStyle name="Normal 13 2 3 6 5" xfId="7203"/>
    <cellStyle name="Normal 13 2 3 6 5 2" xfId="24483"/>
    <cellStyle name="Normal 13 2 3 6 6" xfId="12963"/>
    <cellStyle name="Normal 13 2 3 6 6 2" xfId="30243"/>
    <cellStyle name="Normal 13 2 3 6 7" xfId="18723"/>
    <cellStyle name="Normal 13 2 3 7" xfId="1683"/>
    <cellStyle name="Normal 13 2 3 7 2" xfId="3123"/>
    <cellStyle name="Normal 13 2 3 7 2 2" xfId="6003"/>
    <cellStyle name="Normal 13 2 3 7 2 2 2" xfId="11763"/>
    <cellStyle name="Normal 13 2 3 7 2 2 2 2" xfId="29043"/>
    <cellStyle name="Normal 13 2 3 7 2 2 3" xfId="17523"/>
    <cellStyle name="Normal 13 2 3 7 2 2 3 2" xfId="34803"/>
    <cellStyle name="Normal 13 2 3 7 2 2 4" xfId="23283"/>
    <cellStyle name="Normal 13 2 3 7 2 3" xfId="8883"/>
    <cellStyle name="Normal 13 2 3 7 2 3 2" xfId="26163"/>
    <cellStyle name="Normal 13 2 3 7 2 4" xfId="14643"/>
    <cellStyle name="Normal 13 2 3 7 2 4 2" xfId="31923"/>
    <cellStyle name="Normal 13 2 3 7 2 5" xfId="20403"/>
    <cellStyle name="Normal 13 2 3 7 3" xfId="4563"/>
    <cellStyle name="Normal 13 2 3 7 3 2" xfId="10323"/>
    <cellStyle name="Normal 13 2 3 7 3 2 2" xfId="27603"/>
    <cellStyle name="Normal 13 2 3 7 3 3" xfId="16083"/>
    <cellStyle name="Normal 13 2 3 7 3 3 2" xfId="33363"/>
    <cellStyle name="Normal 13 2 3 7 3 4" xfId="21843"/>
    <cellStyle name="Normal 13 2 3 7 4" xfId="7443"/>
    <cellStyle name="Normal 13 2 3 7 4 2" xfId="24723"/>
    <cellStyle name="Normal 13 2 3 7 5" xfId="13203"/>
    <cellStyle name="Normal 13 2 3 7 5 2" xfId="30483"/>
    <cellStyle name="Normal 13 2 3 7 6" xfId="18963"/>
    <cellStyle name="Normal 13 2 3 8" xfId="2403"/>
    <cellStyle name="Normal 13 2 3 8 2" xfId="5283"/>
    <cellStyle name="Normal 13 2 3 8 2 2" xfId="11043"/>
    <cellStyle name="Normal 13 2 3 8 2 2 2" xfId="28323"/>
    <cellStyle name="Normal 13 2 3 8 2 3" xfId="16803"/>
    <cellStyle name="Normal 13 2 3 8 2 3 2" xfId="34083"/>
    <cellStyle name="Normal 13 2 3 8 2 4" xfId="22563"/>
    <cellStyle name="Normal 13 2 3 8 3" xfId="8163"/>
    <cellStyle name="Normal 13 2 3 8 3 2" xfId="25443"/>
    <cellStyle name="Normal 13 2 3 8 4" xfId="13923"/>
    <cellStyle name="Normal 13 2 3 8 4 2" xfId="31203"/>
    <cellStyle name="Normal 13 2 3 8 5" xfId="19683"/>
    <cellStyle name="Normal 13 2 3 9" xfId="3843"/>
    <cellStyle name="Normal 13 2 3 9 2" xfId="9603"/>
    <cellStyle name="Normal 13 2 3 9 2 2" xfId="26883"/>
    <cellStyle name="Normal 13 2 3 9 3" xfId="15363"/>
    <cellStyle name="Normal 13 2 3 9 3 2" xfId="32643"/>
    <cellStyle name="Normal 13 2 3 9 4" xfId="21123"/>
    <cellStyle name="Normal 13 2 4" xfId="1023"/>
    <cellStyle name="Normal 13 2 4 10" xfId="18303"/>
    <cellStyle name="Normal 13 2 4 2" xfId="1143"/>
    <cellStyle name="Normal 13 2 4 2 2" xfId="1383"/>
    <cellStyle name="Normal 13 2 4 2 2 2" xfId="2103"/>
    <cellStyle name="Normal 13 2 4 2 2 2 2" xfId="3543"/>
    <cellStyle name="Normal 13 2 4 2 2 2 2 2" xfId="6423"/>
    <cellStyle name="Normal 13 2 4 2 2 2 2 2 2" xfId="12183"/>
    <cellStyle name="Normal 13 2 4 2 2 2 2 2 2 2" xfId="29463"/>
    <cellStyle name="Normal 13 2 4 2 2 2 2 2 3" xfId="17943"/>
    <cellStyle name="Normal 13 2 4 2 2 2 2 2 3 2" xfId="35223"/>
    <cellStyle name="Normal 13 2 4 2 2 2 2 2 4" xfId="23703"/>
    <cellStyle name="Normal 13 2 4 2 2 2 2 3" xfId="9303"/>
    <cellStyle name="Normal 13 2 4 2 2 2 2 3 2" xfId="26583"/>
    <cellStyle name="Normal 13 2 4 2 2 2 2 4" xfId="15063"/>
    <cellStyle name="Normal 13 2 4 2 2 2 2 4 2" xfId="32343"/>
    <cellStyle name="Normal 13 2 4 2 2 2 2 5" xfId="20823"/>
    <cellStyle name="Normal 13 2 4 2 2 2 3" xfId="4983"/>
    <cellStyle name="Normal 13 2 4 2 2 2 3 2" xfId="10743"/>
    <cellStyle name="Normal 13 2 4 2 2 2 3 2 2" xfId="28023"/>
    <cellStyle name="Normal 13 2 4 2 2 2 3 3" xfId="16503"/>
    <cellStyle name="Normal 13 2 4 2 2 2 3 3 2" xfId="33783"/>
    <cellStyle name="Normal 13 2 4 2 2 2 3 4" xfId="22263"/>
    <cellStyle name="Normal 13 2 4 2 2 2 4" xfId="7863"/>
    <cellStyle name="Normal 13 2 4 2 2 2 4 2" xfId="25143"/>
    <cellStyle name="Normal 13 2 4 2 2 2 5" xfId="13623"/>
    <cellStyle name="Normal 13 2 4 2 2 2 5 2" xfId="30903"/>
    <cellStyle name="Normal 13 2 4 2 2 2 6" xfId="19383"/>
    <cellStyle name="Normal 13 2 4 2 2 3" xfId="2823"/>
    <cellStyle name="Normal 13 2 4 2 2 3 2" xfId="5703"/>
    <cellStyle name="Normal 13 2 4 2 2 3 2 2" xfId="11463"/>
    <cellStyle name="Normal 13 2 4 2 2 3 2 2 2" xfId="28743"/>
    <cellStyle name="Normal 13 2 4 2 2 3 2 3" xfId="17223"/>
    <cellStyle name="Normal 13 2 4 2 2 3 2 3 2" xfId="34503"/>
    <cellStyle name="Normal 13 2 4 2 2 3 2 4" xfId="22983"/>
    <cellStyle name="Normal 13 2 4 2 2 3 3" xfId="8583"/>
    <cellStyle name="Normal 13 2 4 2 2 3 3 2" xfId="25863"/>
    <cellStyle name="Normal 13 2 4 2 2 3 4" xfId="14343"/>
    <cellStyle name="Normal 13 2 4 2 2 3 4 2" xfId="31623"/>
    <cellStyle name="Normal 13 2 4 2 2 3 5" xfId="20103"/>
    <cellStyle name="Normal 13 2 4 2 2 4" xfId="4263"/>
    <cellStyle name="Normal 13 2 4 2 2 4 2" xfId="10023"/>
    <cellStyle name="Normal 13 2 4 2 2 4 2 2" xfId="27303"/>
    <cellStyle name="Normal 13 2 4 2 2 4 3" xfId="15783"/>
    <cellStyle name="Normal 13 2 4 2 2 4 3 2" xfId="33063"/>
    <cellStyle name="Normal 13 2 4 2 2 4 4" xfId="21543"/>
    <cellStyle name="Normal 13 2 4 2 2 5" xfId="7143"/>
    <cellStyle name="Normal 13 2 4 2 2 5 2" xfId="24423"/>
    <cellStyle name="Normal 13 2 4 2 2 6" xfId="12903"/>
    <cellStyle name="Normal 13 2 4 2 2 6 2" xfId="30183"/>
    <cellStyle name="Normal 13 2 4 2 2 7" xfId="18663"/>
    <cellStyle name="Normal 13 2 4 2 3" xfId="1623"/>
    <cellStyle name="Normal 13 2 4 2 3 2" xfId="2343"/>
    <cellStyle name="Normal 13 2 4 2 3 2 2" xfId="3783"/>
    <cellStyle name="Normal 13 2 4 2 3 2 2 2" xfId="6663"/>
    <cellStyle name="Normal 13 2 4 2 3 2 2 2 2" xfId="12423"/>
    <cellStyle name="Normal 13 2 4 2 3 2 2 2 2 2" xfId="29703"/>
    <cellStyle name="Normal 13 2 4 2 3 2 2 2 3" xfId="18183"/>
    <cellStyle name="Normal 13 2 4 2 3 2 2 2 3 2" xfId="35463"/>
    <cellStyle name="Normal 13 2 4 2 3 2 2 2 4" xfId="23943"/>
    <cellStyle name="Normal 13 2 4 2 3 2 2 3" xfId="9543"/>
    <cellStyle name="Normal 13 2 4 2 3 2 2 3 2" xfId="26823"/>
    <cellStyle name="Normal 13 2 4 2 3 2 2 4" xfId="15303"/>
    <cellStyle name="Normal 13 2 4 2 3 2 2 4 2" xfId="32583"/>
    <cellStyle name="Normal 13 2 4 2 3 2 2 5" xfId="21063"/>
    <cellStyle name="Normal 13 2 4 2 3 2 3" xfId="5223"/>
    <cellStyle name="Normal 13 2 4 2 3 2 3 2" xfId="10983"/>
    <cellStyle name="Normal 13 2 4 2 3 2 3 2 2" xfId="28263"/>
    <cellStyle name="Normal 13 2 4 2 3 2 3 3" xfId="16743"/>
    <cellStyle name="Normal 13 2 4 2 3 2 3 3 2" xfId="34023"/>
    <cellStyle name="Normal 13 2 4 2 3 2 3 4" xfId="22503"/>
    <cellStyle name="Normal 13 2 4 2 3 2 4" xfId="8103"/>
    <cellStyle name="Normal 13 2 4 2 3 2 4 2" xfId="25383"/>
    <cellStyle name="Normal 13 2 4 2 3 2 5" xfId="13863"/>
    <cellStyle name="Normal 13 2 4 2 3 2 5 2" xfId="31143"/>
    <cellStyle name="Normal 13 2 4 2 3 2 6" xfId="19623"/>
    <cellStyle name="Normal 13 2 4 2 3 3" xfId="3063"/>
    <cellStyle name="Normal 13 2 4 2 3 3 2" xfId="5943"/>
    <cellStyle name="Normal 13 2 4 2 3 3 2 2" xfId="11703"/>
    <cellStyle name="Normal 13 2 4 2 3 3 2 2 2" xfId="28983"/>
    <cellStyle name="Normal 13 2 4 2 3 3 2 3" xfId="17463"/>
    <cellStyle name="Normal 13 2 4 2 3 3 2 3 2" xfId="34743"/>
    <cellStyle name="Normal 13 2 4 2 3 3 2 4" xfId="23223"/>
    <cellStyle name="Normal 13 2 4 2 3 3 3" xfId="8823"/>
    <cellStyle name="Normal 13 2 4 2 3 3 3 2" xfId="26103"/>
    <cellStyle name="Normal 13 2 4 2 3 3 4" xfId="14583"/>
    <cellStyle name="Normal 13 2 4 2 3 3 4 2" xfId="31863"/>
    <cellStyle name="Normal 13 2 4 2 3 3 5" xfId="20343"/>
    <cellStyle name="Normal 13 2 4 2 3 4" xfId="4503"/>
    <cellStyle name="Normal 13 2 4 2 3 4 2" xfId="10263"/>
    <cellStyle name="Normal 13 2 4 2 3 4 2 2" xfId="27543"/>
    <cellStyle name="Normal 13 2 4 2 3 4 3" xfId="16023"/>
    <cellStyle name="Normal 13 2 4 2 3 4 3 2" xfId="33303"/>
    <cellStyle name="Normal 13 2 4 2 3 4 4" xfId="21783"/>
    <cellStyle name="Normal 13 2 4 2 3 5" xfId="7383"/>
    <cellStyle name="Normal 13 2 4 2 3 5 2" xfId="24663"/>
    <cellStyle name="Normal 13 2 4 2 3 6" xfId="13143"/>
    <cellStyle name="Normal 13 2 4 2 3 6 2" xfId="30423"/>
    <cellStyle name="Normal 13 2 4 2 3 7" xfId="18903"/>
    <cellStyle name="Normal 13 2 4 2 4" xfId="1863"/>
    <cellStyle name="Normal 13 2 4 2 4 2" xfId="3303"/>
    <cellStyle name="Normal 13 2 4 2 4 2 2" xfId="6183"/>
    <cellStyle name="Normal 13 2 4 2 4 2 2 2" xfId="11943"/>
    <cellStyle name="Normal 13 2 4 2 4 2 2 2 2" xfId="29223"/>
    <cellStyle name="Normal 13 2 4 2 4 2 2 3" xfId="17703"/>
    <cellStyle name="Normal 13 2 4 2 4 2 2 3 2" xfId="34983"/>
    <cellStyle name="Normal 13 2 4 2 4 2 2 4" xfId="23463"/>
    <cellStyle name="Normal 13 2 4 2 4 2 3" xfId="9063"/>
    <cellStyle name="Normal 13 2 4 2 4 2 3 2" xfId="26343"/>
    <cellStyle name="Normal 13 2 4 2 4 2 4" xfId="14823"/>
    <cellStyle name="Normal 13 2 4 2 4 2 4 2" xfId="32103"/>
    <cellStyle name="Normal 13 2 4 2 4 2 5" xfId="20583"/>
    <cellStyle name="Normal 13 2 4 2 4 3" xfId="4743"/>
    <cellStyle name="Normal 13 2 4 2 4 3 2" xfId="10503"/>
    <cellStyle name="Normal 13 2 4 2 4 3 2 2" xfId="27783"/>
    <cellStyle name="Normal 13 2 4 2 4 3 3" xfId="16263"/>
    <cellStyle name="Normal 13 2 4 2 4 3 3 2" xfId="33543"/>
    <cellStyle name="Normal 13 2 4 2 4 3 4" xfId="22023"/>
    <cellStyle name="Normal 13 2 4 2 4 4" xfId="7623"/>
    <cellStyle name="Normal 13 2 4 2 4 4 2" xfId="24903"/>
    <cellStyle name="Normal 13 2 4 2 4 5" xfId="13383"/>
    <cellStyle name="Normal 13 2 4 2 4 5 2" xfId="30663"/>
    <cellStyle name="Normal 13 2 4 2 4 6" xfId="19143"/>
    <cellStyle name="Normal 13 2 4 2 5" xfId="2583"/>
    <cellStyle name="Normal 13 2 4 2 5 2" xfId="5463"/>
    <cellStyle name="Normal 13 2 4 2 5 2 2" xfId="11223"/>
    <cellStyle name="Normal 13 2 4 2 5 2 2 2" xfId="28503"/>
    <cellStyle name="Normal 13 2 4 2 5 2 3" xfId="16983"/>
    <cellStyle name="Normal 13 2 4 2 5 2 3 2" xfId="34263"/>
    <cellStyle name="Normal 13 2 4 2 5 2 4" xfId="22743"/>
    <cellStyle name="Normal 13 2 4 2 5 3" xfId="8343"/>
    <cellStyle name="Normal 13 2 4 2 5 3 2" xfId="25623"/>
    <cellStyle name="Normal 13 2 4 2 5 4" xfId="14103"/>
    <cellStyle name="Normal 13 2 4 2 5 4 2" xfId="31383"/>
    <cellStyle name="Normal 13 2 4 2 5 5" xfId="19863"/>
    <cellStyle name="Normal 13 2 4 2 6" xfId="4023"/>
    <cellStyle name="Normal 13 2 4 2 6 2" xfId="9783"/>
    <cellStyle name="Normal 13 2 4 2 6 2 2" xfId="27063"/>
    <cellStyle name="Normal 13 2 4 2 6 3" xfId="15543"/>
    <cellStyle name="Normal 13 2 4 2 6 3 2" xfId="32823"/>
    <cellStyle name="Normal 13 2 4 2 6 4" xfId="21303"/>
    <cellStyle name="Normal 13 2 4 2 7" xfId="6903"/>
    <cellStyle name="Normal 13 2 4 2 7 2" xfId="24183"/>
    <cellStyle name="Normal 13 2 4 2 8" xfId="12663"/>
    <cellStyle name="Normal 13 2 4 2 8 2" xfId="29943"/>
    <cellStyle name="Normal 13 2 4 2 9" xfId="18423"/>
    <cellStyle name="Normal 13 2 4 3" xfId="1263"/>
    <cellStyle name="Normal 13 2 4 3 2" xfId="1983"/>
    <cellStyle name="Normal 13 2 4 3 2 2" xfId="3423"/>
    <cellStyle name="Normal 13 2 4 3 2 2 2" xfId="6303"/>
    <cellStyle name="Normal 13 2 4 3 2 2 2 2" xfId="12063"/>
    <cellStyle name="Normal 13 2 4 3 2 2 2 2 2" xfId="29343"/>
    <cellStyle name="Normal 13 2 4 3 2 2 2 3" xfId="17823"/>
    <cellStyle name="Normal 13 2 4 3 2 2 2 3 2" xfId="35103"/>
    <cellStyle name="Normal 13 2 4 3 2 2 2 4" xfId="23583"/>
    <cellStyle name="Normal 13 2 4 3 2 2 3" xfId="9183"/>
    <cellStyle name="Normal 13 2 4 3 2 2 3 2" xfId="26463"/>
    <cellStyle name="Normal 13 2 4 3 2 2 4" xfId="14943"/>
    <cellStyle name="Normal 13 2 4 3 2 2 4 2" xfId="32223"/>
    <cellStyle name="Normal 13 2 4 3 2 2 5" xfId="20703"/>
    <cellStyle name="Normal 13 2 4 3 2 3" xfId="4863"/>
    <cellStyle name="Normal 13 2 4 3 2 3 2" xfId="10623"/>
    <cellStyle name="Normal 13 2 4 3 2 3 2 2" xfId="27903"/>
    <cellStyle name="Normal 13 2 4 3 2 3 3" xfId="16383"/>
    <cellStyle name="Normal 13 2 4 3 2 3 3 2" xfId="33663"/>
    <cellStyle name="Normal 13 2 4 3 2 3 4" xfId="22143"/>
    <cellStyle name="Normal 13 2 4 3 2 4" xfId="7743"/>
    <cellStyle name="Normal 13 2 4 3 2 4 2" xfId="25023"/>
    <cellStyle name="Normal 13 2 4 3 2 5" xfId="13503"/>
    <cellStyle name="Normal 13 2 4 3 2 5 2" xfId="30783"/>
    <cellStyle name="Normal 13 2 4 3 2 6" xfId="19263"/>
    <cellStyle name="Normal 13 2 4 3 3" xfId="2703"/>
    <cellStyle name="Normal 13 2 4 3 3 2" xfId="5583"/>
    <cellStyle name="Normal 13 2 4 3 3 2 2" xfId="11343"/>
    <cellStyle name="Normal 13 2 4 3 3 2 2 2" xfId="28623"/>
    <cellStyle name="Normal 13 2 4 3 3 2 3" xfId="17103"/>
    <cellStyle name="Normal 13 2 4 3 3 2 3 2" xfId="34383"/>
    <cellStyle name="Normal 13 2 4 3 3 2 4" xfId="22863"/>
    <cellStyle name="Normal 13 2 4 3 3 3" xfId="8463"/>
    <cellStyle name="Normal 13 2 4 3 3 3 2" xfId="25743"/>
    <cellStyle name="Normal 13 2 4 3 3 4" xfId="14223"/>
    <cellStyle name="Normal 13 2 4 3 3 4 2" xfId="31503"/>
    <cellStyle name="Normal 13 2 4 3 3 5" xfId="19983"/>
    <cellStyle name="Normal 13 2 4 3 4" xfId="4143"/>
    <cellStyle name="Normal 13 2 4 3 4 2" xfId="9903"/>
    <cellStyle name="Normal 13 2 4 3 4 2 2" xfId="27183"/>
    <cellStyle name="Normal 13 2 4 3 4 3" xfId="15663"/>
    <cellStyle name="Normal 13 2 4 3 4 3 2" xfId="32943"/>
    <cellStyle name="Normal 13 2 4 3 4 4" xfId="21423"/>
    <cellStyle name="Normal 13 2 4 3 5" xfId="7023"/>
    <cellStyle name="Normal 13 2 4 3 5 2" xfId="24303"/>
    <cellStyle name="Normal 13 2 4 3 6" xfId="12783"/>
    <cellStyle name="Normal 13 2 4 3 6 2" xfId="30063"/>
    <cellStyle name="Normal 13 2 4 3 7" xfId="18543"/>
    <cellStyle name="Normal 13 2 4 4" xfId="1503"/>
    <cellStyle name="Normal 13 2 4 4 2" xfId="2223"/>
    <cellStyle name="Normal 13 2 4 4 2 2" xfId="3663"/>
    <cellStyle name="Normal 13 2 4 4 2 2 2" xfId="6543"/>
    <cellStyle name="Normal 13 2 4 4 2 2 2 2" xfId="12303"/>
    <cellStyle name="Normal 13 2 4 4 2 2 2 2 2" xfId="29583"/>
    <cellStyle name="Normal 13 2 4 4 2 2 2 3" xfId="18063"/>
    <cellStyle name="Normal 13 2 4 4 2 2 2 3 2" xfId="35343"/>
    <cellStyle name="Normal 13 2 4 4 2 2 2 4" xfId="23823"/>
    <cellStyle name="Normal 13 2 4 4 2 2 3" xfId="9423"/>
    <cellStyle name="Normal 13 2 4 4 2 2 3 2" xfId="26703"/>
    <cellStyle name="Normal 13 2 4 4 2 2 4" xfId="15183"/>
    <cellStyle name="Normal 13 2 4 4 2 2 4 2" xfId="32463"/>
    <cellStyle name="Normal 13 2 4 4 2 2 5" xfId="20943"/>
    <cellStyle name="Normal 13 2 4 4 2 3" xfId="5103"/>
    <cellStyle name="Normal 13 2 4 4 2 3 2" xfId="10863"/>
    <cellStyle name="Normal 13 2 4 4 2 3 2 2" xfId="28143"/>
    <cellStyle name="Normal 13 2 4 4 2 3 3" xfId="16623"/>
    <cellStyle name="Normal 13 2 4 4 2 3 3 2" xfId="33903"/>
    <cellStyle name="Normal 13 2 4 4 2 3 4" xfId="22383"/>
    <cellStyle name="Normal 13 2 4 4 2 4" xfId="7983"/>
    <cellStyle name="Normal 13 2 4 4 2 4 2" xfId="25263"/>
    <cellStyle name="Normal 13 2 4 4 2 5" xfId="13743"/>
    <cellStyle name="Normal 13 2 4 4 2 5 2" xfId="31023"/>
    <cellStyle name="Normal 13 2 4 4 2 6" xfId="19503"/>
    <cellStyle name="Normal 13 2 4 4 3" xfId="2943"/>
    <cellStyle name="Normal 13 2 4 4 3 2" xfId="5823"/>
    <cellStyle name="Normal 13 2 4 4 3 2 2" xfId="11583"/>
    <cellStyle name="Normal 13 2 4 4 3 2 2 2" xfId="28863"/>
    <cellStyle name="Normal 13 2 4 4 3 2 3" xfId="17343"/>
    <cellStyle name="Normal 13 2 4 4 3 2 3 2" xfId="34623"/>
    <cellStyle name="Normal 13 2 4 4 3 2 4" xfId="23103"/>
    <cellStyle name="Normal 13 2 4 4 3 3" xfId="8703"/>
    <cellStyle name="Normal 13 2 4 4 3 3 2" xfId="25983"/>
    <cellStyle name="Normal 13 2 4 4 3 4" xfId="14463"/>
    <cellStyle name="Normal 13 2 4 4 3 4 2" xfId="31743"/>
    <cellStyle name="Normal 13 2 4 4 3 5" xfId="20223"/>
    <cellStyle name="Normal 13 2 4 4 4" xfId="4383"/>
    <cellStyle name="Normal 13 2 4 4 4 2" xfId="10143"/>
    <cellStyle name="Normal 13 2 4 4 4 2 2" xfId="27423"/>
    <cellStyle name="Normal 13 2 4 4 4 3" xfId="15903"/>
    <cellStyle name="Normal 13 2 4 4 4 3 2" xfId="33183"/>
    <cellStyle name="Normal 13 2 4 4 4 4" xfId="21663"/>
    <cellStyle name="Normal 13 2 4 4 5" xfId="7263"/>
    <cellStyle name="Normal 13 2 4 4 5 2" xfId="24543"/>
    <cellStyle name="Normal 13 2 4 4 6" xfId="13023"/>
    <cellStyle name="Normal 13 2 4 4 6 2" xfId="30303"/>
    <cellStyle name="Normal 13 2 4 4 7" xfId="18783"/>
    <cellStyle name="Normal 13 2 4 5" xfId="1743"/>
    <cellStyle name="Normal 13 2 4 5 2" xfId="3183"/>
    <cellStyle name="Normal 13 2 4 5 2 2" xfId="6063"/>
    <cellStyle name="Normal 13 2 4 5 2 2 2" xfId="11823"/>
    <cellStyle name="Normal 13 2 4 5 2 2 2 2" xfId="29103"/>
    <cellStyle name="Normal 13 2 4 5 2 2 3" xfId="17583"/>
    <cellStyle name="Normal 13 2 4 5 2 2 3 2" xfId="34863"/>
    <cellStyle name="Normal 13 2 4 5 2 2 4" xfId="23343"/>
    <cellStyle name="Normal 13 2 4 5 2 3" xfId="8943"/>
    <cellStyle name="Normal 13 2 4 5 2 3 2" xfId="26223"/>
    <cellStyle name="Normal 13 2 4 5 2 4" xfId="14703"/>
    <cellStyle name="Normal 13 2 4 5 2 4 2" xfId="31983"/>
    <cellStyle name="Normal 13 2 4 5 2 5" xfId="20463"/>
    <cellStyle name="Normal 13 2 4 5 3" xfId="4623"/>
    <cellStyle name="Normal 13 2 4 5 3 2" xfId="10383"/>
    <cellStyle name="Normal 13 2 4 5 3 2 2" xfId="27663"/>
    <cellStyle name="Normal 13 2 4 5 3 3" xfId="16143"/>
    <cellStyle name="Normal 13 2 4 5 3 3 2" xfId="33423"/>
    <cellStyle name="Normal 13 2 4 5 3 4" xfId="21903"/>
    <cellStyle name="Normal 13 2 4 5 4" xfId="7503"/>
    <cellStyle name="Normal 13 2 4 5 4 2" xfId="24783"/>
    <cellStyle name="Normal 13 2 4 5 5" xfId="13263"/>
    <cellStyle name="Normal 13 2 4 5 5 2" xfId="30543"/>
    <cellStyle name="Normal 13 2 4 5 6" xfId="19023"/>
    <cellStyle name="Normal 13 2 4 6" xfId="2463"/>
    <cellStyle name="Normal 13 2 4 6 2" xfId="5343"/>
    <cellStyle name="Normal 13 2 4 6 2 2" xfId="11103"/>
    <cellStyle name="Normal 13 2 4 6 2 2 2" xfId="28383"/>
    <cellStyle name="Normal 13 2 4 6 2 3" xfId="16863"/>
    <cellStyle name="Normal 13 2 4 6 2 3 2" xfId="34143"/>
    <cellStyle name="Normal 13 2 4 6 2 4" xfId="22623"/>
    <cellStyle name="Normal 13 2 4 6 3" xfId="8223"/>
    <cellStyle name="Normal 13 2 4 6 3 2" xfId="25503"/>
    <cellStyle name="Normal 13 2 4 6 4" xfId="13983"/>
    <cellStyle name="Normal 13 2 4 6 4 2" xfId="31263"/>
    <cellStyle name="Normal 13 2 4 6 5" xfId="19743"/>
    <cellStyle name="Normal 13 2 4 7" xfId="3903"/>
    <cellStyle name="Normal 13 2 4 7 2" xfId="9663"/>
    <cellStyle name="Normal 13 2 4 7 2 2" xfId="26943"/>
    <cellStyle name="Normal 13 2 4 7 3" xfId="15423"/>
    <cellStyle name="Normal 13 2 4 7 3 2" xfId="32703"/>
    <cellStyle name="Normal 13 2 4 7 4" xfId="21183"/>
    <cellStyle name="Normal 13 2 4 8" xfId="6783"/>
    <cellStyle name="Normal 13 2 4 8 2" xfId="24063"/>
    <cellStyle name="Normal 13 2 4 9" xfId="12543"/>
    <cellStyle name="Normal 13 2 4 9 2" xfId="29823"/>
    <cellStyle name="Normal 13 2 5" xfId="983"/>
    <cellStyle name="Normal 13 2 5 10" xfId="18263"/>
    <cellStyle name="Normal 13 2 5 2" xfId="1103"/>
    <cellStyle name="Normal 13 2 5 2 2" xfId="1343"/>
    <cellStyle name="Normal 13 2 5 2 2 2" xfId="2063"/>
    <cellStyle name="Normal 13 2 5 2 2 2 2" xfId="3503"/>
    <cellStyle name="Normal 13 2 5 2 2 2 2 2" xfId="6383"/>
    <cellStyle name="Normal 13 2 5 2 2 2 2 2 2" xfId="12143"/>
    <cellStyle name="Normal 13 2 5 2 2 2 2 2 2 2" xfId="29423"/>
    <cellStyle name="Normal 13 2 5 2 2 2 2 2 3" xfId="17903"/>
    <cellStyle name="Normal 13 2 5 2 2 2 2 2 3 2" xfId="35183"/>
    <cellStyle name="Normal 13 2 5 2 2 2 2 2 4" xfId="23663"/>
    <cellStyle name="Normal 13 2 5 2 2 2 2 3" xfId="9263"/>
    <cellStyle name="Normal 13 2 5 2 2 2 2 3 2" xfId="26543"/>
    <cellStyle name="Normal 13 2 5 2 2 2 2 4" xfId="15023"/>
    <cellStyle name="Normal 13 2 5 2 2 2 2 4 2" xfId="32303"/>
    <cellStyle name="Normal 13 2 5 2 2 2 2 5" xfId="20783"/>
    <cellStyle name="Normal 13 2 5 2 2 2 3" xfId="4943"/>
    <cellStyle name="Normal 13 2 5 2 2 2 3 2" xfId="10703"/>
    <cellStyle name="Normal 13 2 5 2 2 2 3 2 2" xfId="27983"/>
    <cellStyle name="Normal 13 2 5 2 2 2 3 3" xfId="16463"/>
    <cellStyle name="Normal 13 2 5 2 2 2 3 3 2" xfId="33743"/>
    <cellStyle name="Normal 13 2 5 2 2 2 3 4" xfId="22223"/>
    <cellStyle name="Normal 13 2 5 2 2 2 4" xfId="7823"/>
    <cellStyle name="Normal 13 2 5 2 2 2 4 2" xfId="25103"/>
    <cellStyle name="Normal 13 2 5 2 2 2 5" xfId="13583"/>
    <cellStyle name="Normal 13 2 5 2 2 2 5 2" xfId="30863"/>
    <cellStyle name="Normal 13 2 5 2 2 2 6" xfId="19343"/>
    <cellStyle name="Normal 13 2 5 2 2 3" xfId="2783"/>
    <cellStyle name="Normal 13 2 5 2 2 3 2" xfId="5663"/>
    <cellStyle name="Normal 13 2 5 2 2 3 2 2" xfId="11423"/>
    <cellStyle name="Normal 13 2 5 2 2 3 2 2 2" xfId="28703"/>
    <cellStyle name="Normal 13 2 5 2 2 3 2 3" xfId="17183"/>
    <cellStyle name="Normal 13 2 5 2 2 3 2 3 2" xfId="34463"/>
    <cellStyle name="Normal 13 2 5 2 2 3 2 4" xfId="22943"/>
    <cellStyle name="Normal 13 2 5 2 2 3 3" xfId="8543"/>
    <cellStyle name="Normal 13 2 5 2 2 3 3 2" xfId="25823"/>
    <cellStyle name="Normal 13 2 5 2 2 3 4" xfId="14303"/>
    <cellStyle name="Normal 13 2 5 2 2 3 4 2" xfId="31583"/>
    <cellStyle name="Normal 13 2 5 2 2 3 5" xfId="20063"/>
    <cellStyle name="Normal 13 2 5 2 2 4" xfId="4223"/>
    <cellStyle name="Normal 13 2 5 2 2 4 2" xfId="9983"/>
    <cellStyle name="Normal 13 2 5 2 2 4 2 2" xfId="27263"/>
    <cellStyle name="Normal 13 2 5 2 2 4 3" xfId="15743"/>
    <cellStyle name="Normal 13 2 5 2 2 4 3 2" xfId="33023"/>
    <cellStyle name="Normal 13 2 5 2 2 4 4" xfId="21503"/>
    <cellStyle name="Normal 13 2 5 2 2 5" xfId="7103"/>
    <cellStyle name="Normal 13 2 5 2 2 5 2" xfId="24383"/>
    <cellStyle name="Normal 13 2 5 2 2 6" xfId="12863"/>
    <cellStyle name="Normal 13 2 5 2 2 6 2" xfId="30143"/>
    <cellStyle name="Normal 13 2 5 2 2 7" xfId="18623"/>
    <cellStyle name="Normal 13 2 5 2 3" xfId="1583"/>
    <cellStyle name="Normal 13 2 5 2 3 2" xfId="2303"/>
    <cellStyle name="Normal 13 2 5 2 3 2 2" xfId="3743"/>
    <cellStyle name="Normal 13 2 5 2 3 2 2 2" xfId="6623"/>
    <cellStyle name="Normal 13 2 5 2 3 2 2 2 2" xfId="12383"/>
    <cellStyle name="Normal 13 2 5 2 3 2 2 2 2 2" xfId="29663"/>
    <cellStyle name="Normal 13 2 5 2 3 2 2 2 3" xfId="18143"/>
    <cellStyle name="Normal 13 2 5 2 3 2 2 2 3 2" xfId="35423"/>
    <cellStyle name="Normal 13 2 5 2 3 2 2 2 4" xfId="23903"/>
    <cellStyle name="Normal 13 2 5 2 3 2 2 3" xfId="9503"/>
    <cellStyle name="Normal 13 2 5 2 3 2 2 3 2" xfId="26783"/>
    <cellStyle name="Normal 13 2 5 2 3 2 2 4" xfId="15263"/>
    <cellStyle name="Normal 13 2 5 2 3 2 2 4 2" xfId="32543"/>
    <cellStyle name="Normal 13 2 5 2 3 2 2 5" xfId="21023"/>
    <cellStyle name="Normal 13 2 5 2 3 2 3" xfId="5183"/>
    <cellStyle name="Normal 13 2 5 2 3 2 3 2" xfId="10943"/>
    <cellStyle name="Normal 13 2 5 2 3 2 3 2 2" xfId="28223"/>
    <cellStyle name="Normal 13 2 5 2 3 2 3 3" xfId="16703"/>
    <cellStyle name="Normal 13 2 5 2 3 2 3 3 2" xfId="33983"/>
    <cellStyle name="Normal 13 2 5 2 3 2 3 4" xfId="22463"/>
    <cellStyle name="Normal 13 2 5 2 3 2 4" xfId="8063"/>
    <cellStyle name="Normal 13 2 5 2 3 2 4 2" xfId="25343"/>
    <cellStyle name="Normal 13 2 5 2 3 2 5" xfId="13823"/>
    <cellStyle name="Normal 13 2 5 2 3 2 5 2" xfId="31103"/>
    <cellStyle name="Normal 13 2 5 2 3 2 6" xfId="19583"/>
    <cellStyle name="Normal 13 2 5 2 3 3" xfId="3023"/>
    <cellStyle name="Normal 13 2 5 2 3 3 2" xfId="5903"/>
    <cellStyle name="Normal 13 2 5 2 3 3 2 2" xfId="11663"/>
    <cellStyle name="Normal 13 2 5 2 3 3 2 2 2" xfId="28943"/>
    <cellStyle name="Normal 13 2 5 2 3 3 2 3" xfId="17423"/>
    <cellStyle name="Normal 13 2 5 2 3 3 2 3 2" xfId="34703"/>
    <cellStyle name="Normal 13 2 5 2 3 3 2 4" xfId="23183"/>
    <cellStyle name="Normal 13 2 5 2 3 3 3" xfId="8783"/>
    <cellStyle name="Normal 13 2 5 2 3 3 3 2" xfId="26063"/>
    <cellStyle name="Normal 13 2 5 2 3 3 4" xfId="14543"/>
    <cellStyle name="Normal 13 2 5 2 3 3 4 2" xfId="31823"/>
    <cellStyle name="Normal 13 2 5 2 3 3 5" xfId="20303"/>
    <cellStyle name="Normal 13 2 5 2 3 4" xfId="4463"/>
    <cellStyle name="Normal 13 2 5 2 3 4 2" xfId="10223"/>
    <cellStyle name="Normal 13 2 5 2 3 4 2 2" xfId="27503"/>
    <cellStyle name="Normal 13 2 5 2 3 4 3" xfId="15983"/>
    <cellStyle name="Normal 13 2 5 2 3 4 3 2" xfId="33263"/>
    <cellStyle name="Normal 13 2 5 2 3 4 4" xfId="21743"/>
    <cellStyle name="Normal 13 2 5 2 3 5" xfId="7343"/>
    <cellStyle name="Normal 13 2 5 2 3 5 2" xfId="24623"/>
    <cellStyle name="Normal 13 2 5 2 3 6" xfId="13103"/>
    <cellStyle name="Normal 13 2 5 2 3 6 2" xfId="30383"/>
    <cellStyle name="Normal 13 2 5 2 3 7" xfId="18863"/>
    <cellStyle name="Normal 13 2 5 2 4" xfId="1823"/>
    <cellStyle name="Normal 13 2 5 2 4 2" xfId="3263"/>
    <cellStyle name="Normal 13 2 5 2 4 2 2" xfId="6143"/>
    <cellStyle name="Normal 13 2 5 2 4 2 2 2" xfId="11903"/>
    <cellStyle name="Normal 13 2 5 2 4 2 2 2 2" xfId="29183"/>
    <cellStyle name="Normal 13 2 5 2 4 2 2 3" xfId="17663"/>
    <cellStyle name="Normal 13 2 5 2 4 2 2 3 2" xfId="34943"/>
    <cellStyle name="Normal 13 2 5 2 4 2 2 4" xfId="23423"/>
    <cellStyle name="Normal 13 2 5 2 4 2 3" xfId="9023"/>
    <cellStyle name="Normal 13 2 5 2 4 2 3 2" xfId="26303"/>
    <cellStyle name="Normal 13 2 5 2 4 2 4" xfId="14783"/>
    <cellStyle name="Normal 13 2 5 2 4 2 4 2" xfId="32063"/>
    <cellStyle name="Normal 13 2 5 2 4 2 5" xfId="20543"/>
    <cellStyle name="Normal 13 2 5 2 4 3" xfId="4703"/>
    <cellStyle name="Normal 13 2 5 2 4 3 2" xfId="10463"/>
    <cellStyle name="Normal 13 2 5 2 4 3 2 2" xfId="27743"/>
    <cellStyle name="Normal 13 2 5 2 4 3 3" xfId="16223"/>
    <cellStyle name="Normal 13 2 5 2 4 3 3 2" xfId="33503"/>
    <cellStyle name="Normal 13 2 5 2 4 3 4" xfId="21983"/>
    <cellStyle name="Normal 13 2 5 2 4 4" xfId="7583"/>
    <cellStyle name="Normal 13 2 5 2 4 4 2" xfId="24863"/>
    <cellStyle name="Normal 13 2 5 2 4 5" xfId="13343"/>
    <cellStyle name="Normal 13 2 5 2 4 5 2" xfId="30623"/>
    <cellStyle name="Normal 13 2 5 2 4 6" xfId="19103"/>
    <cellStyle name="Normal 13 2 5 2 5" xfId="2543"/>
    <cellStyle name="Normal 13 2 5 2 5 2" xfId="5423"/>
    <cellStyle name="Normal 13 2 5 2 5 2 2" xfId="11183"/>
    <cellStyle name="Normal 13 2 5 2 5 2 2 2" xfId="28463"/>
    <cellStyle name="Normal 13 2 5 2 5 2 3" xfId="16943"/>
    <cellStyle name="Normal 13 2 5 2 5 2 3 2" xfId="34223"/>
    <cellStyle name="Normal 13 2 5 2 5 2 4" xfId="22703"/>
    <cellStyle name="Normal 13 2 5 2 5 3" xfId="8303"/>
    <cellStyle name="Normal 13 2 5 2 5 3 2" xfId="25583"/>
    <cellStyle name="Normal 13 2 5 2 5 4" xfId="14063"/>
    <cellStyle name="Normal 13 2 5 2 5 4 2" xfId="31343"/>
    <cellStyle name="Normal 13 2 5 2 5 5" xfId="19823"/>
    <cellStyle name="Normal 13 2 5 2 6" xfId="3983"/>
    <cellStyle name="Normal 13 2 5 2 6 2" xfId="9743"/>
    <cellStyle name="Normal 13 2 5 2 6 2 2" xfId="27023"/>
    <cellStyle name="Normal 13 2 5 2 6 3" xfId="15503"/>
    <cellStyle name="Normal 13 2 5 2 6 3 2" xfId="32783"/>
    <cellStyle name="Normal 13 2 5 2 6 4" xfId="21263"/>
    <cellStyle name="Normal 13 2 5 2 7" xfId="6863"/>
    <cellStyle name="Normal 13 2 5 2 7 2" xfId="24143"/>
    <cellStyle name="Normal 13 2 5 2 8" xfId="12623"/>
    <cellStyle name="Normal 13 2 5 2 8 2" xfId="29903"/>
    <cellStyle name="Normal 13 2 5 2 9" xfId="18383"/>
    <cellStyle name="Normal 13 2 5 3" xfId="1223"/>
    <cellStyle name="Normal 13 2 5 3 2" xfId="1943"/>
    <cellStyle name="Normal 13 2 5 3 2 2" xfId="3383"/>
    <cellStyle name="Normal 13 2 5 3 2 2 2" xfId="6263"/>
    <cellStyle name="Normal 13 2 5 3 2 2 2 2" xfId="12023"/>
    <cellStyle name="Normal 13 2 5 3 2 2 2 2 2" xfId="29303"/>
    <cellStyle name="Normal 13 2 5 3 2 2 2 3" xfId="17783"/>
    <cellStyle name="Normal 13 2 5 3 2 2 2 3 2" xfId="35063"/>
    <cellStyle name="Normal 13 2 5 3 2 2 2 4" xfId="23543"/>
    <cellStyle name="Normal 13 2 5 3 2 2 3" xfId="9143"/>
    <cellStyle name="Normal 13 2 5 3 2 2 3 2" xfId="26423"/>
    <cellStyle name="Normal 13 2 5 3 2 2 4" xfId="14903"/>
    <cellStyle name="Normal 13 2 5 3 2 2 4 2" xfId="32183"/>
    <cellStyle name="Normal 13 2 5 3 2 2 5" xfId="20663"/>
    <cellStyle name="Normal 13 2 5 3 2 3" xfId="4823"/>
    <cellStyle name="Normal 13 2 5 3 2 3 2" xfId="10583"/>
    <cellStyle name="Normal 13 2 5 3 2 3 2 2" xfId="27863"/>
    <cellStyle name="Normal 13 2 5 3 2 3 3" xfId="16343"/>
    <cellStyle name="Normal 13 2 5 3 2 3 3 2" xfId="33623"/>
    <cellStyle name="Normal 13 2 5 3 2 3 4" xfId="22103"/>
    <cellStyle name="Normal 13 2 5 3 2 4" xfId="7703"/>
    <cellStyle name="Normal 13 2 5 3 2 4 2" xfId="24983"/>
    <cellStyle name="Normal 13 2 5 3 2 5" xfId="13463"/>
    <cellStyle name="Normal 13 2 5 3 2 5 2" xfId="30743"/>
    <cellStyle name="Normal 13 2 5 3 2 6" xfId="19223"/>
    <cellStyle name="Normal 13 2 5 3 3" xfId="2663"/>
    <cellStyle name="Normal 13 2 5 3 3 2" xfId="5543"/>
    <cellStyle name="Normal 13 2 5 3 3 2 2" xfId="11303"/>
    <cellStyle name="Normal 13 2 5 3 3 2 2 2" xfId="28583"/>
    <cellStyle name="Normal 13 2 5 3 3 2 3" xfId="17063"/>
    <cellStyle name="Normal 13 2 5 3 3 2 3 2" xfId="34343"/>
    <cellStyle name="Normal 13 2 5 3 3 2 4" xfId="22823"/>
    <cellStyle name="Normal 13 2 5 3 3 3" xfId="8423"/>
    <cellStyle name="Normal 13 2 5 3 3 3 2" xfId="25703"/>
    <cellStyle name="Normal 13 2 5 3 3 4" xfId="14183"/>
    <cellStyle name="Normal 13 2 5 3 3 4 2" xfId="31463"/>
    <cellStyle name="Normal 13 2 5 3 3 5" xfId="19943"/>
    <cellStyle name="Normal 13 2 5 3 4" xfId="4103"/>
    <cellStyle name="Normal 13 2 5 3 4 2" xfId="9863"/>
    <cellStyle name="Normal 13 2 5 3 4 2 2" xfId="27143"/>
    <cellStyle name="Normal 13 2 5 3 4 3" xfId="15623"/>
    <cellStyle name="Normal 13 2 5 3 4 3 2" xfId="32903"/>
    <cellStyle name="Normal 13 2 5 3 4 4" xfId="21383"/>
    <cellStyle name="Normal 13 2 5 3 5" xfId="6983"/>
    <cellStyle name="Normal 13 2 5 3 5 2" xfId="24263"/>
    <cellStyle name="Normal 13 2 5 3 6" xfId="12743"/>
    <cellStyle name="Normal 13 2 5 3 6 2" xfId="30023"/>
    <cellStyle name="Normal 13 2 5 3 7" xfId="18503"/>
    <cellStyle name="Normal 13 2 5 4" xfId="1463"/>
    <cellStyle name="Normal 13 2 5 4 2" xfId="2183"/>
    <cellStyle name="Normal 13 2 5 4 2 2" xfId="3623"/>
    <cellStyle name="Normal 13 2 5 4 2 2 2" xfId="6503"/>
    <cellStyle name="Normal 13 2 5 4 2 2 2 2" xfId="12263"/>
    <cellStyle name="Normal 13 2 5 4 2 2 2 2 2" xfId="29543"/>
    <cellStyle name="Normal 13 2 5 4 2 2 2 3" xfId="18023"/>
    <cellStyle name="Normal 13 2 5 4 2 2 2 3 2" xfId="35303"/>
    <cellStyle name="Normal 13 2 5 4 2 2 2 4" xfId="23783"/>
    <cellStyle name="Normal 13 2 5 4 2 2 3" xfId="9383"/>
    <cellStyle name="Normal 13 2 5 4 2 2 3 2" xfId="26663"/>
    <cellStyle name="Normal 13 2 5 4 2 2 4" xfId="15143"/>
    <cellStyle name="Normal 13 2 5 4 2 2 4 2" xfId="32423"/>
    <cellStyle name="Normal 13 2 5 4 2 2 5" xfId="20903"/>
    <cellStyle name="Normal 13 2 5 4 2 3" xfId="5063"/>
    <cellStyle name="Normal 13 2 5 4 2 3 2" xfId="10823"/>
    <cellStyle name="Normal 13 2 5 4 2 3 2 2" xfId="28103"/>
    <cellStyle name="Normal 13 2 5 4 2 3 3" xfId="16583"/>
    <cellStyle name="Normal 13 2 5 4 2 3 3 2" xfId="33863"/>
    <cellStyle name="Normal 13 2 5 4 2 3 4" xfId="22343"/>
    <cellStyle name="Normal 13 2 5 4 2 4" xfId="7943"/>
    <cellStyle name="Normal 13 2 5 4 2 4 2" xfId="25223"/>
    <cellStyle name="Normal 13 2 5 4 2 5" xfId="13703"/>
    <cellStyle name="Normal 13 2 5 4 2 5 2" xfId="30983"/>
    <cellStyle name="Normal 13 2 5 4 2 6" xfId="19463"/>
    <cellStyle name="Normal 13 2 5 4 3" xfId="2903"/>
    <cellStyle name="Normal 13 2 5 4 3 2" xfId="5783"/>
    <cellStyle name="Normal 13 2 5 4 3 2 2" xfId="11543"/>
    <cellStyle name="Normal 13 2 5 4 3 2 2 2" xfId="28823"/>
    <cellStyle name="Normal 13 2 5 4 3 2 3" xfId="17303"/>
    <cellStyle name="Normal 13 2 5 4 3 2 3 2" xfId="34583"/>
    <cellStyle name="Normal 13 2 5 4 3 2 4" xfId="23063"/>
    <cellStyle name="Normal 13 2 5 4 3 3" xfId="8663"/>
    <cellStyle name="Normal 13 2 5 4 3 3 2" xfId="25943"/>
    <cellStyle name="Normal 13 2 5 4 3 4" xfId="14423"/>
    <cellStyle name="Normal 13 2 5 4 3 4 2" xfId="31703"/>
    <cellStyle name="Normal 13 2 5 4 3 5" xfId="20183"/>
    <cellStyle name="Normal 13 2 5 4 4" xfId="4343"/>
    <cellStyle name="Normal 13 2 5 4 4 2" xfId="10103"/>
    <cellStyle name="Normal 13 2 5 4 4 2 2" xfId="27383"/>
    <cellStyle name="Normal 13 2 5 4 4 3" xfId="15863"/>
    <cellStyle name="Normal 13 2 5 4 4 3 2" xfId="33143"/>
    <cellStyle name="Normal 13 2 5 4 4 4" xfId="21623"/>
    <cellStyle name="Normal 13 2 5 4 5" xfId="7223"/>
    <cellStyle name="Normal 13 2 5 4 5 2" xfId="24503"/>
    <cellStyle name="Normal 13 2 5 4 6" xfId="12983"/>
    <cellStyle name="Normal 13 2 5 4 6 2" xfId="30263"/>
    <cellStyle name="Normal 13 2 5 4 7" xfId="18743"/>
    <cellStyle name="Normal 13 2 5 5" xfId="1703"/>
    <cellStyle name="Normal 13 2 5 5 2" xfId="3143"/>
    <cellStyle name="Normal 13 2 5 5 2 2" xfId="6023"/>
    <cellStyle name="Normal 13 2 5 5 2 2 2" xfId="11783"/>
    <cellStyle name="Normal 13 2 5 5 2 2 2 2" xfId="29063"/>
    <cellStyle name="Normal 13 2 5 5 2 2 3" xfId="17543"/>
    <cellStyle name="Normal 13 2 5 5 2 2 3 2" xfId="34823"/>
    <cellStyle name="Normal 13 2 5 5 2 2 4" xfId="23303"/>
    <cellStyle name="Normal 13 2 5 5 2 3" xfId="8903"/>
    <cellStyle name="Normal 13 2 5 5 2 3 2" xfId="26183"/>
    <cellStyle name="Normal 13 2 5 5 2 4" xfId="14663"/>
    <cellStyle name="Normal 13 2 5 5 2 4 2" xfId="31943"/>
    <cellStyle name="Normal 13 2 5 5 2 5" xfId="20423"/>
    <cellStyle name="Normal 13 2 5 5 3" xfId="4583"/>
    <cellStyle name="Normal 13 2 5 5 3 2" xfId="10343"/>
    <cellStyle name="Normal 13 2 5 5 3 2 2" xfId="27623"/>
    <cellStyle name="Normal 13 2 5 5 3 3" xfId="16103"/>
    <cellStyle name="Normal 13 2 5 5 3 3 2" xfId="33383"/>
    <cellStyle name="Normal 13 2 5 5 3 4" xfId="21863"/>
    <cellStyle name="Normal 13 2 5 5 4" xfId="7463"/>
    <cellStyle name="Normal 13 2 5 5 4 2" xfId="24743"/>
    <cellStyle name="Normal 13 2 5 5 5" xfId="13223"/>
    <cellStyle name="Normal 13 2 5 5 5 2" xfId="30503"/>
    <cellStyle name="Normal 13 2 5 5 6" xfId="18983"/>
    <cellStyle name="Normal 13 2 5 6" xfId="2423"/>
    <cellStyle name="Normal 13 2 5 6 2" xfId="5303"/>
    <cellStyle name="Normal 13 2 5 6 2 2" xfId="11063"/>
    <cellStyle name="Normal 13 2 5 6 2 2 2" xfId="28343"/>
    <cellStyle name="Normal 13 2 5 6 2 3" xfId="16823"/>
    <cellStyle name="Normal 13 2 5 6 2 3 2" xfId="34103"/>
    <cellStyle name="Normal 13 2 5 6 2 4" xfId="22583"/>
    <cellStyle name="Normal 13 2 5 6 3" xfId="8183"/>
    <cellStyle name="Normal 13 2 5 6 3 2" xfId="25463"/>
    <cellStyle name="Normal 13 2 5 6 4" xfId="13943"/>
    <cellStyle name="Normal 13 2 5 6 4 2" xfId="31223"/>
    <cellStyle name="Normal 13 2 5 6 5" xfId="19703"/>
    <cellStyle name="Normal 13 2 5 7" xfId="3863"/>
    <cellStyle name="Normal 13 2 5 7 2" xfId="9623"/>
    <cellStyle name="Normal 13 2 5 7 2 2" xfId="26903"/>
    <cellStyle name="Normal 13 2 5 7 3" xfId="15383"/>
    <cellStyle name="Normal 13 2 5 7 3 2" xfId="32663"/>
    <cellStyle name="Normal 13 2 5 7 4" xfId="21143"/>
    <cellStyle name="Normal 13 2 5 8" xfId="6743"/>
    <cellStyle name="Normal 13 2 5 8 2" xfId="24023"/>
    <cellStyle name="Normal 13 2 5 9" xfId="12503"/>
    <cellStyle name="Normal 13 2 5 9 2" xfId="29783"/>
    <cellStyle name="Normal 13 2 6" xfId="1063"/>
    <cellStyle name="Normal 13 2 6 2" xfId="1303"/>
    <cellStyle name="Normal 13 2 6 2 2" xfId="2023"/>
    <cellStyle name="Normal 13 2 6 2 2 2" xfId="3463"/>
    <cellStyle name="Normal 13 2 6 2 2 2 2" xfId="6343"/>
    <cellStyle name="Normal 13 2 6 2 2 2 2 2" xfId="12103"/>
    <cellStyle name="Normal 13 2 6 2 2 2 2 2 2" xfId="29383"/>
    <cellStyle name="Normal 13 2 6 2 2 2 2 3" xfId="17863"/>
    <cellStyle name="Normal 13 2 6 2 2 2 2 3 2" xfId="35143"/>
    <cellStyle name="Normal 13 2 6 2 2 2 2 4" xfId="23623"/>
    <cellStyle name="Normal 13 2 6 2 2 2 3" xfId="9223"/>
    <cellStyle name="Normal 13 2 6 2 2 2 3 2" xfId="26503"/>
    <cellStyle name="Normal 13 2 6 2 2 2 4" xfId="14983"/>
    <cellStyle name="Normal 13 2 6 2 2 2 4 2" xfId="32263"/>
    <cellStyle name="Normal 13 2 6 2 2 2 5" xfId="20743"/>
    <cellStyle name="Normal 13 2 6 2 2 3" xfId="4903"/>
    <cellStyle name="Normal 13 2 6 2 2 3 2" xfId="10663"/>
    <cellStyle name="Normal 13 2 6 2 2 3 2 2" xfId="27943"/>
    <cellStyle name="Normal 13 2 6 2 2 3 3" xfId="16423"/>
    <cellStyle name="Normal 13 2 6 2 2 3 3 2" xfId="33703"/>
    <cellStyle name="Normal 13 2 6 2 2 3 4" xfId="22183"/>
    <cellStyle name="Normal 13 2 6 2 2 4" xfId="7783"/>
    <cellStyle name="Normal 13 2 6 2 2 4 2" xfId="25063"/>
    <cellStyle name="Normal 13 2 6 2 2 5" xfId="13543"/>
    <cellStyle name="Normal 13 2 6 2 2 5 2" xfId="30823"/>
    <cellStyle name="Normal 13 2 6 2 2 6" xfId="19303"/>
    <cellStyle name="Normal 13 2 6 2 3" xfId="2743"/>
    <cellStyle name="Normal 13 2 6 2 3 2" xfId="5623"/>
    <cellStyle name="Normal 13 2 6 2 3 2 2" xfId="11383"/>
    <cellStyle name="Normal 13 2 6 2 3 2 2 2" xfId="28663"/>
    <cellStyle name="Normal 13 2 6 2 3 2 3" xfId="17143"/>
    <cellStyle name="Normal 13 2 6 2 3 2 3 2" xfId="34423"/>
    <cellStyle name="Normal 13 2 6 2 3 2 4" xfId="22903"/>
    <cellStyle name="Normal 13 2 6 2 3 3" xfId="8503"/>
    <cellStyle name="Normal 13 2 6 2 3 3 2" xfId="25783"/>
    <cellStyle name="Normal 13 2 6 2 3 4" xfId="14263"/>
    <cellStyle name="Normal 13 2 6 2 3 4 2" xfId="31543"/>
    <cellStyle name="Normal 13 2 6 2 3 5" xfId="20023"/>
    <cellStyle name="Normal 13 2 6 2 4" xfId="4183"/>
    <cellStyle name="Normal 13 2 6 2 4 2" xfId="9943"/>
    <cellStyle name="Normal 13 2 6 2 4 2 2" xfId="27223"/>
    <cellStyle name="Normal 13 2 6 2 4 3" xfId="15703"/>
    <cellStyle name="Normal 13 2 6 2 4 3 2" xfId="32983"/>
    <cellStyle name="Normal 13 2 6 2 4 4" xfId="21463"/>
    <cellStyle name="Normal 13 2 6 2 5" xfId="7063"/>
    <cellStyle name="Normal 13 2 6 2 5 2" xfId="24343"/>
    <cellStyle name="Normal 13 2 6 2 6" xfId="12823"/>
    <cellStyle name="Normal 13 2 6 2 6 2" xfId="30103"/>
    <cellStyle name="Normal 13 2 6 2 7" xfId="18583"/>
    <cellStyle name="Normal 13 2 6 3" xfId="1543"/>
    <cellStyle name="Normal 13 2 6 3 2" xfId="2263"/>
    <cellStyle name="Normal 13 2 6 3 2 2" xfId="3703"/>
    <cellStyle name="Normal 13 2 6 3 2 2 2" xfId="6583"/>
    <cellStyle name="Normal 13 2 6 3 2 2 2 2" xfId="12343"/>
    <cellStyle name="Normal 13 2 6 3 2 2 2 2 2" xfId="29623"/>
    <cellStyle name="Normal 13 2 6 3 2 2 2 3" xfId="18103"/>
    <cellStyle name="Normal 13 2 6 3 2 2 2 3 2" xfId="35383"/>
    <cellStyle name="Normal 13 2 6 3 2 2 2 4" xfId="23863"/>
    <cellStyle name="Normal 13 2 6 3 2 2 3" xfId="9463"/>
    <cellStyle name="Normal 13 2 6 3 2 2 3 2" xfId="26743"/>
    <cellStyle name="Normal 13 2 6 3 2 2 4" xfId="15223"/>
    <cellStyle name="Normal 13 2 6 3 2 2 4 2" xfId="32503"/>
    <cellStyle name="Normal 13 2 6 3 2 2 5" xfId="20983"/>
    <cellStyle name="Normal 13 2 6 3 2 3" xfId="5143"/>
    <cellStyle name="Normal 13 2 6 3 2 3 2" xfId="10903"/>
    <cellStyle name="Normal 13 2 6 3 2 3 2 2" xfId="28183"/>
    <cellStyle name="Normal 13 2 6 3 2 3 3" xfId="16663"/>
    <cellStyle name="Normal 13 2 6 3 2 3 3 2" xfId="33943"/>
    <cellStyle name="Normal 13 2 6 3 2 3 4" xfId="22423"/>
    <cellStyle name="Normal 13 2 6 3 2 4" xfId="8023"/>
    <cellStyle name="Normal 13 2 6 3 2 4 2" xfId="25303"/>
    <cellStyle name="Normal 13 2 6 3 2 5" xfId="13783"/>
    <cellStyle name="Normal 13 2 6 3 2 5 2" xfId="31063"/>
    <cellStyle name="Normal 13 2 6 3 2 6" xfId="19543"/>
    <cellStyle name="Normal 13 2 6 3 3" xfId="2983"/>
    <cellStyle name="Normal 13 2 6 3 3 2" xfId="5863"/>
    <cellStyle name="Normal 13 2 6 3 3 2 2" xfId="11623"/>
    <cellStyle name="Normal 13 2 6 3 3 2 2 2" xfId="28903"/>
    <cellStyle name="Normal 13 2 6 3 3 2 3" xfId="17383"/>
    <cellStyle name="Normal 13 2 6 3 3 2 3 2" xfId="34663"/>
    <cellStyle name="Normal 13 2 6 3 3 2 4" xfId="23143"/>
    <cellStyle name="Normal 13 2 6 3 3 3" xfId="8743"/>
    <cellStyle name="Normal 13 2 6 3 3 3 2" xfId="26023"/>
    <cellStyle name="Normal 13 2 6 3 3 4" xfId="14503"/>
    <cellStyle name="Normal 13 2 6 3 3 4 2" xfId="31783"/>
    <cellStyle name="Normal 13 2 6 3 3 5" xfId="20263"/>
    <cellStyle name="Normal 13 2 6 3 4" xfId="4423"/>
    <cellStyle name="Normal 13 2 6 3 4 2" xfId="10183"/>
    <cellStyle name="Normal 13 2 6 3 4 2 2" xfId="27463"/>
    <cellStyle name="Normal 13 2 6 3 4 3" xfId="15943"/>
    <cellStyle name="Normal 13 2 6 3 4 3 2" xfId="33223"/>
    <cellStyle name="Normal 13 2 6 3 4 4" xfId="21703"/>
    <cellStyle name="Normal 13 2 6 3 5" xfId="7303"/>
    <cellStyle name="Normal 13 2 6 3 5 2" xfId="24583"/>
    <cellStyle name="Normal 13 2 6 3 6" xfId="13063"/>
    <cellStyle name="Normal 13 2 6 3 6 2" xfId="30343"/>
    <cellStyle name="Normal 13 2 6 3 7" xfId="18823"/>
    <cellStyle name="Normal 13 2 6 4" xfId="1783"/>
    <cellStyle name="Normal 13 2 6 4 2" xfId="3223"/>
    <cellStyle name="Normal 13 2 6 4 2 2" xfId="6103"/>
    <cellStyle name="Normal 13 2 6 4 2 2 2" xfId="11863"/>
    <cellStyle name="Normal 13 2 6 4 2 2 2 2" xfId="29143"/>
    <cellStyle name="Normal 13 2 6 4 2 2 3" xfId="17623"/>
    <cellStyle name="Normal 13 2 6 4 2 2 3 2" xfId="34903"/>
    <cellStyle name="Normal 13 2 6 4 2 2 4" xfId="23383"/>
    <cellStyle name="Normal 13 2 6 4 2 3" xfId="8983"/>
    <cellStyle name="Normal 13 2 6 4 2 3 2" xfId="26263"/>
    <cellStyle name="Normal 13 2 6 4 2 4" xfId="14743"/>
    <cellStyle name="Normal 13 2 6 4 2 4 2" xfId="32023"/>
    <cellStyle name="Normal 13 2 6 4 2 5" xfId="20503"/>
    <cellStyle name="Normal 13 2 6 4 3" xfId="4663"/>
    <cellStyle name="Normal 13 2 6 4 3 2" xfId="10423"/>
    <cellStyle name="Normal 13 2 6 4 3 2 2" xfId="27703"/>
    <cellStyle name="Normal 13 2 6 4 3 3" xfId="16183"/>
    <cellStyle name="Normal 13 2 6 4 3 3 2" xfId="33463"/>
    <cellStyle name="Normal 13 2 6 4 3 4" xfId="21943"/>
    <cellStyle name="Normal 13 2 6 4 4" xfId="7543"/>
    <cellStyle name="Normal 13 2 6 4 4 2" xfId="24823"/>
    <cellStyle name="Normal 13 2 6 4 5" xfId="13303"/>
    <cellStyle name="Normal 13 2 6 4 5 2" xfId="30583"/>
    <cellStyle name="Normal 13 2 6 4 6" xfId="19063"/>
    <cellStyle name="Normal 13 2 6 5" xfId="2503"/>
    <cellStyle name="Normal 13 2 6 5 2" xfId="5383"/>
    <cellStyle name="Normal 13 2 6 5 2 2" xfId="11143"/>
    <cellStyle name="Normal 13 2 6 5 2 2 2" xfId="28423"/>
    <cellStyle name="Normal 13 2 6 5 2 3" xfId="16903"/>
    <cellStyle name="Normal 13 2 6 5 2 3 2" xfId="34183"/>
    <cellStyle name="Normal 13 2 6 5 2 4" xfId="22663"/>
    <cellStyle name="Normal 13 2 6 5 3" xfId="8263"/>
    <cellStyle name="Normal 13 2 6 5 3 2" xfId="25543"/>
    <cellStyle name="Normal 13 2 6 5 4" xfId="14023"/>
    <cellStyle name="Normal 13 2 6 5 4 2" xfId="31303"/>
    <cellStyle name="Normal 13 2 6 5 5" xfId="19783"/>
    <cellStyle name="Normal 13 2 6 6" xfId="3943"/>
    <cellStyle name="Normal 13 2 6 6 2" xfId="9703"/>
    <cellStyle name="Normal 13 2 6 6 2 2" xfId="26983"/>
    <cellStyle name="Normal 13 2 6 6 3" xfId="15463"/>
    <cellStyle name="Normal 13 2 6 6 3 2" xfId="32743"/>
    <cellStyle name="Normal 13 2 6 6 4" xfId="21223"/>
    <cellStyle name="Normal 13 2 6 7" xfId="6823"/>
    <cellStyle name="Normal 13 2 6 7 2" xfId="24103"/>
    <cellStyle name="Normal 13 2 6 8" xfId="12583"/>
    <cellStyle name="Normal 13 2 6 8 2" xfId="29863"/>
    <cellStyle name="Normal 13 2 6 9" xfId="18343"/>
    <cellStyle name="Normal 13 2 7" xfId="1183"/>
    <cellStyle name="Normal 13 2 7 2" xfId="1903"/>
    <cellStyle name="Normal 13 2 7 2 2" xfId="3343"/>
    <cellStyle name="Normal 13 2 7 2 2 2" xfId="6223"/>
    <cellStyle name="Normal 13 2 7 2 2 2 2" xfId="11983"/>
    <cellStyle name="Normal 13 2 7 2 2 2 2 2" xfId="29263"/>
    <cellStyle name="Normal 13 2 7 2 2 2 3" xfId="17743"/>
    <cellStyle name="Normal 13 2 7 2 2 2 3 2" xfId="35023"/>
    <cellStyle name="Normal 13 2 7 2 2 2 4" xfId="23503"/>
    <cellStyle name="Normal 13 2 7 2 2 3" xfId="9103"/>
    <cellStyle name="Normal 13 2 7 2 2 3 2" xfId="26383"/>
    <cellStyle name="Normal 13 2 7 2 2 4" xfId="14863"/>
    <cellStyle name="Normal 13 2 7 2 2 4 2" xfId="32143"/>
    <cellStyle name="Normal 13 2 7 2 2 5" xfId="20623"/>
    <cellStyle name="Normal 13 2 7 2 3" xfId="4783"/>
    <cellStyle name="Normal 13 2 7 2 3 2" xfId="10543"/>
    <cellStyle name="Normal 13 2 7 2 3 2 2" xfId="27823"/>
    <cellStyle name="Normal 13 2 7 2 3 3" xfId="16303"/>
    <cellStyle name="Normal 13 2 7 2 3 3 2" xfId="33583"/>
    <cellStyle name="Normal 13 2 7 2 3 4" xfId="22063"/>
    <cellStyle name="Normal 13 2 7 2 4" xfId="7663"/>
    <cellStyle name="Normal 13 2 7 2 4 2" xfId="24943"/>
    <cellStyle name="Normal 13 2 7 2 5" xfId="13423"/>
    <cellStyle name="Normal 13 2 7 2 5 2" xfId="30703"/>
    <cellStyle name="Normal 13 2 7 2 6" xfId="19183"/>
    <cellStyle name="Normal 13 2 7 3" xfId="2623"/>
    <cellStyle name="Normal 13 2 7 3 2" xfId="5503"/>
    <cellStyle name="Normal 13 2 7 3 2 2" xfId="11263"/>
    <cellStyle name="Normal 13 2 7 3 2 2 2" xfId="28543"/>
    <cellStyle name="Normal 13 2 7 3 2 3" xfId="17023"/>
    <cellStyle name="Normal 13 2 7 3 2 3 2" xfId="34303"/>
    <cellStyle name="Normal 13 2 7 3 2 4" xfId="22783"/>
    <cellStyle name="Normal 13 2 7 3 3" xfId="8383"/>
    <cellStyle name="Normal 13 2 7 3 3 2" xfId="25663"/>
    <cellStyle name="Normal 13 2 7 3 4" xfId="14143"/>
    <cellStyle name="Normal 13 2 7 3 4 2" xfId="31423"/>
    <cellStyle name="Normal 13 2 7 3 5" xfId="19903"/>
    <cellStyle name="Normal 13 2 7 4" xfId="4063"/>
    <cellStyle name="Normal 13 2 7 4 2" xfId="9823"/>
    <cellStyle name="Normal 13 2 7 4 2 2" xfId="27103"/>
    <cellStyle name="Normal 13 2 7 4 3" xfId="15583"/>
    <cellStyle name="Normal 13 2 7 4 3 2" xfId="32863"/>
    <cellStyle name="Normal 13 2 7 4 4" xfId="21343"/>
    <cellStyle name="Normal 13 2 7 5" xfId="6943"/>
    <cellStyle name="Normal 13 2 7 5 2" xfId="24223"/>
    <cellStyle name="Normal 13 2 7 6" xfId="12703"/>
    <cellStyle name="Normal 13 2 7 6 2" xfId="29983"/>
    <cellStyle name="Normal 13 2 7 7" xfId="18463"/>
    <cellStyle name="Normal 13 2 8" xfId="1423"/>
    <cellStyle name="Normal 13 2 8 2" xfId="2143"/>
    <cellStyle name="Normal 13 2 8 2 2" xfId="3583"/>
    <cellStyle name="Normal 13 2 8 2 2 2" xfId="6463"/>
    <cellStyle name="Normal 13 2 8 2 2 2 2" xfId="12223"/>
    <cellStyle name="Normal 13 2 8 2 2 2 2 2" xfId="29503"/>
    <cellStyle name="Normal 13 2 8 2 2 2 3" xfId="17983"/>
    <cellStyle name="Normal 13 2 8 2 2 2 3 2" xfId="35263"/>
    <cellStyle name="Normal 13 2 8 2 2 2 4" xfId="23743"/>
    <cellStyle name="Normal 13 2 8 2 2 3" xfId="9343"/>
    <cellStyle name="Normal 13 2 8 2 2 3 2" xfId="26623"/>
    <cellStyle name="Normal 13 2 8 2 2 4" xfId="15103"/>
    <cellStyle name="Normal 13 2 8 2 2 4 2" xfId="32383"/>
    <cellStyle name="Normal 13 2 8 2 2 5" xfId="20863"/>
    <cellStyle name="Normal 13 2 8 2 3" xfId="5023"/>
    <cellStyle name="Normal 13 2 8 2 3 2" xfId="10783"/>
    <cellStyle name="Normal 13 2 8 2 3 2 2" xfId="28063"/>
    <cellStyle name="Normal 13 2 8 2 3 3" xfId="16543"/>
    <cellStyle name="Normal 13 2 8 2 3 3 2" xfId="33823"/>
    <cellStyle name="Normal 13 2 8 2 3 4" xfId="22303"/>
    <cellStyle name="Normal 13 2 8 2 4" xfId="7903"/>
    <cellStyle name="Normal 13 2 8 2 4 2" xfId="25183"/>
    <cellStyle name="Normal 13 2 8 2 5" xfId="13663"/>
    <cellStyle name="Normal 13 2 8 2 5 2" xfId="30943"/>
    <cellStyle name="Normal 13 2 8 2 6" xfId="19423"/>
    <cellStyle name="Normal 13 2 8 3" xfId="2863"/>
    <cellStyle name="Normal 13 2 8 3 2" xfId="5743"/>
    <cellStyle name="Normal 13 2 8 3 2 2" xfId="11503"/>
    <cellStyle name="Normal 13 2 8 3 2 2 2" xfId="28783"/>
    <cellStyle name="Normal 13 2 8 3 2 3" xfId="17263"/>
    <cellStyle name="Normal 13 2 8 3 2 3 2" xfId="34543"/>
    <cellStyle name="Normal 13 2 8 3 2 4" xfId="23023"/>
    <cellStyle name="Normal 13 2 8 3 3" xfId="8623"/>
    <cellStyle name="Normal 13 2 8 3 3 2" xfId="25903"/>
    <cellStyle name="Normal 13 2 8 3 4" xfId="14383"/>
    <cellStyle name="Normal 13 2 8 3 4 2" xfId="31663"/>
    <cellStyle name="Normal 13 2 8 3 5" xfId="20143"/>
    <cellStyle name="Normal 13 2 8 4" xfId="4303"/>
    <cellStyle name="Normal 13 2 8 4 2" xfId="10063"/>
    <cellStyle name="Normal 13 2 8 4 2 2" xfId="27343"/>
    <cellStyle name="Normal 13 2 8 4 3" xfId="15823"/>
    <cellStyle name="Normal 13 2 8 4 3 2" xfId="33103"/>
    <cellStyle name="Normal 13 2 8 4 4" xfId="21583"/>
    <cellStyle name="Normal 13 2 8 5" xfId="7183"/>
    <cellStyle name="Normal 13 2 8 5 2" xfId="24463"/>
    <cellStyle name="Normal 13 2 8 6" xfId="12943"/>
    <cellStyle name="Normal 13 2 8 6 2" xfId="30223"/>
    <cellStyle name="Normal 13 2 8 7" xfId="18703"/>
    <cellStyle name="Normal 13 2 9" xfId="1663"/>
    <cellStyle name="Normal 13 2 9 2" xfId="3103"/>
    <cellStyle name="Normal 13 2 9 2 2" xfId="5983"/>
    <cellStyle name="Normal 13 2 9 2 2 2" xfId="11743"/>
    <cellStyle name="Normal 13 2 9 2 2 2 2" xfId="29023"/>
    <cellStyle name="Normal 13 2 9 2 2 3" xfId="17503"/>
    <cellStyle name="Normal 13 2 9 2 2 3 2" xfId="34783"/>
    <cellStyle name="Normal 13 2 9 2 2 4" xfId="23263"/>
    <cellStyle name="Normal 13 2 9 2 3" xfId="8863"/>
    <cellStyle name="Normal 13 2 9 2 3 2" xfId="26143"/>
    <cellStyle name="Normal 13 2 9 2 4" xfId="14623"/>
    <cellStyle name="Normal 13 2 9 2 4 2" xfId="31903"/>
    <cellStyle name="Normal 13 2 9 2 5" xfId="20383"/>
    <cellStyle name="Normal 13 2 9 3" xfId="4543"/>
    <cellStyle name="Normal 13 2 9 3 2" xfId="10303"/>
    <cellStyle name="Normal 13 2 9 3 2 2" xfId="27583"/>
    <cellStyle name="Normal 13 2 9 3 3" xfId="16063"/>
    <cellStyle name="Normal 13 2 9 3 3 2" xfId="33343"/>
    <cellStyle name="Normal 13 2 9 3 4" xfId="21823"/>
    <cellStyle name="Normal 13 2 9 4" xfId="7423"/>
    <cellStyle name="Normal 13 2 9 4 2" xfId="24703"/>
    <cellStyle name="Normal 13 2 9 5" xfId="13183"/>
    <cellStyle name="Normal 13 2 9 5 2" xfId="30463"/>
    <cellStyle name="Normal 13 2 9 6" xfId="18943"/>
    <cellStyle name="Normal 13 3" xfId="397"/>
    <cellStyle name="Normal 13 3 10" xfId="3828"/>
    <cellStyle name="Normal 13 3 10 2" xfId="9588"/>
    <cellStyle name="Normal 13 3 10 2 2" xfId="26868"/>
    <cellStyle name="Normal 13 3 10 3" xfId="15348"/>
    <cellStyle name="Normal 13 3 10 3 2" xfId="32628"/>
    <cellStyle name="Normal 13 3 10 4" xfId="21108"/>
    <cellStyle name="Normal 13 3 11" xfId="6708"/>
    <cellStyle name="Normal 13 3 11 2" xfId="23988"/>
    <cellStyle name="Normal 13 3 12" xfId="12468"/>
    <cellStyle name="Normal 13 3 12 2" xfId="29748"/>
    <cellStyle name="Normal 13 3 13" xfId="18228"/>
    <cellStyle name="Normal 13 3 2" xfId="417"/>
    <cellStyle name="Normal 13 3 2 10" xfId="6728"/>
    <cellStyle name="Normal 13 3 2 10 2" xfId="24008"/>
    <cellStyle name="Normal 13 3 2 11" xfId="12488"/>
    <cellStyle name="Normal 13 3 2 11 2" xfId="29768"/>
    <cellStyle name="Normal 13 3 2 12" xfId="18248"/>
    <cellStyle name="Normal 13 3 2 2" xfId="1048"/>
    <cellStyle name="Normal 13 3 2 2 10" xfId="18328"/>
    <cellStyle name="Normal 13 3 2 2 2" xfId="1168"/>
    <cellStyle name="Normal 13 3 2 2 2 2" xfId="1408"/>
    <cellStyle name="Normal 13 3 2 2 2 2 2" xfId="2128"/>
    <cellStyle name="Normal 13 3 2 2 2 2 2 2" xfId="3568"/>
    <cellStyle name="Normal 13 3 2 2 2 2 2 2 2" xfId="6448"/>
    <cellStyle name="Normal 13 3 2 2 2 2 2 2 2 2" xfId="12208"/>
    <cellStyle name="Normal 13 3 2 2 2 2 2 2 2 2 2" xfId="29488"/>
    <cellStyle name="Normal 13 3 2 2 2 2 2 2 2 3" xfId="17968"/>
    <cellStyle name="Normal 13 3 2 2 2 2 2 2 2 3 2" xfId="35248"/>
    <cellStyle name="Normal 13 3 2 2 2 2 2 2 2 4" xfId="23728"/>
    <cellStyle name="Normal 13 3 2 2 2 2 2 2 3" xfId="9328"/>
    <cellStyle name="Normal 13 3 2 2 2 2 2 2 3 2" xfId="26608"/>
    <cellStyle name="Normal 13 3 2 2 2 2 2 2 4" xfId="15088"/>
    <cellStyle name="Normal 13 3 2 2 2 2 2 2 4 2" xfId="32368"/>
    <cellStyle name="Normal 13 3 2 2 2 2 2 2 5" xfId="20848"/>
    <cellStyle name="Normal 13 3 2 2 2 2 2 3" xfId="5008"/>
    <cellStyle name="Normal 13 3 2 2 2 2 2 3 2" xfId="10768"/>
    <cellStyle name="Normal 13 3 2 2 2 2 2 3 2 2" xfId="28048"/>
    <cellStyle name="Normal 13 3 2 2 2 2 2 3 3" xfId="16528"/>
    <cellStyle name="Normal 13 3 2 2 2 2 2 3 3 2" xfId="33808"/>
    <cellStyle name="Normal 13 3 2 2 2 2 2 3 4" xfId="22288"/>
    <cellStyle name="Normal 13 3 2 2 2 2 2 4" xfId="7888"/>
    <cellStyle name="Normal 13 3 2 2 2 2 2 4 2" xfId="25168"/>
    <cellStyle name="Normal 13 3 2 2 2 2 2 5" xfId="13648"/>
    <cellStyle name="Normal 13 3 2 2 2 2 2 5 2" xfId="30928"/>
    <cellStyle name="Normal 13 3 2 2 2 2 2 6" xfId="19408"/>
    <cellStyle name="Normal 13 3 2 2 2 2 3" xfId="2848"/>
    <cellStyle name="Normal 13 3 2 2 2 2 3 2" xfId="5728"/>
    <cellStyle name="Normal 13 3 2 2 2 2 3 2 2" xfId="11488"/>
    <cellStyle name="Normal 13 3 2 2 2 2 3 2 2 2" xfId="28768"/>
    <cellStyle name="Normal 13 3 2 2 2 2 3 2 3" xfId="17248"/>
    <cellStyle name="Normal 13 3 2 2 2 2 3 2 3 2" xfId="34528"/>
    <cellStyle name="Normal 13 3 2 2 2 2 3 2 4" xfId="23008"/>
    <cellStyle name="Normal 13 3 2 2 2 2 3 3" xfId="8608"/>
    <cellStyle name="Normal 13 3 2 2 2 2 3 3 2" xfId="25888"/>
    <cellStyle name="Normal 13 3 2 2 2 2 3 4" xfId="14368"/>
    <cellStyle name="Normal 13 3 2 2 2 2 3 4 2" xfId="31648"/>
    <cellStyle name="Normal 13 3 2 2 2 2 3 5" xfId="20128"/>
    <cellStyle name="Normal 13 3 2 2 2 2 4" xfId="4288"/>
    <cellStyle name="Normal 13 3 2 2 2 2 4 2" xfId="10048"/>
    <cellStyle name="Normal 13 3 2 2 2 2 4 2 2" xfId="27328"/>
    <cellStyle name="Normal 13 3 2 2 2 2 4 3" xfId="15808"/>
    <cellStyle name="Normal 13 3 2 2 2 2 4 3 2" xfId="33088"/>
    <cellStyle name="Normal 13 3 2 2 2 2 4 4" xfId="21568"/>
    <cellStyle name="Normal 13 3 2 2 2 2 5" xfId="7168"/>
    <cellStyle name="Normal 13 3 2 2 2 2 5 2" xfId="24448"/>
    <cellStyle name="Normal 13 3 2 2 2 2 6" xfId="12928"/>
    <cellStyle name="Normal 13 3 2 2 2 2 6 2" xfId="30208"/>
    <cellStyle name="Normal 13 3 2 2 2 2 7" xfId="18688"/>
    <cellStyle name="Normal 13 3 2 2 2 3" xfId="1648"/>
    <cellStyle name="Normal 13 3 2 2 2 3 2" xfId="2368"/>
    <cellStyle name="Normal 13 3 2 2 2 3 2 2" xfId="3808"/>
    <cellStyle name="Normal 13 3 2 2 2 3 2 2 2" xfId="6688"/>
    <cellStyle name="Normal 13 3 2 2 2 3 2 2 2 2" xfId="12448"/>
    <cellStyle name="Normal 13 3 2 2 2 3 2 2 2 2 2" xfId="29728"/>
    <cellStyle name="Normal 13 3 2 2 2 3 2 2 2 3" xfId="18208"/>
    <cellStyle name="Normal 13 3 2 2 2 3 2 2 2 3 2" xfId="35488"/>
    <cellStyle name="Normal 13 3 2 2 2 3 2 2 2 4" xfId="23968"/>
    <cellStyle name="Normal 13 3 2 2 2 3 2 2 3" xfId="9568"/>
    <cellStyle name="Normal 13 3 2 2 2 3 2 2 3 2" xfId="26848"/>
    <cellStyle name="Normal 13 3 2 2 2 3 2 2 4" xfId="15328"/>
    <cellStyle name="Normal 13 3 2 2 2 3 2 2 4 2" xfId="32608"/>
    <cellStyle name="Normal 13 3 2 2 2 3 2 2 5" xfId="21088"/>
    <cellStyle name="Normal 13 3 2 2 2 3 2 3" xfId="5248"/>
    <cellStyle name="Normal 13 3 2 2 2 3 2 3 2" xfId="11008"/>
    <cellStyle name="Normal 13 3 2 2 2 3 2 3 2 2" xfId="28288"/>
    <cellStyle name="Normal 13 3 2 2 2 3 2 3 3" xfId="16768"/>
    <cellStyle name="Normal 13 3 2 2 2 3 2 3 3 2" xfId="34048"/>
    <cellStyle name="Normal 13 3 2 2 2 3 2 3 4" xfId="22528"/>
    <cellStyle name="Normal 13 3 2 2 2 3 2 4" xfId="8128"/>
    <cellStyle name="Normal 13 3 2 2 2 3 2 4 2" xfId="25408"/>
    <cellStyle name="Normal 13 3 2 2 2 3 2 5" xfId="13888"/>
    <cellStyle name="Normal 13 3 2 2 2 3 2 5 2" xfId="31168"/>
    <cellStyle name="Normal 13 3 2 2 2 3 2 6" xfId="19648"/>
    <cellStyle name="Normal 13 3 2 2 2 3 3" xfId="3088"/>
    <cellStyle name="Normal 13 3 2 2 2 3 3 2" xfId="5968"/>
    <cellStyle name="Normal 13 3 2 2 2 3 3 2 2" xfId="11728"/>
    <cellStyle name="Normal 13 3 2 2 2 3 3 2 2 2" xfId="29008"/>
    <cellStyle name="Normal 13 3 2 2 2 3 3 2 3" xfId="17488"/>
    <cellStyle name="Normal 13 3 2 2 2 3 3 2 3 2" xfId="34768"/>
    <cellStyle name="Normal 13 3 2 2 2 3 3 2 4" xfId="23248"/>
    <cellStyle name="Normal 13 3 2 2 2 3 3 3" xfId="8848"/>
    <cellStyle name="Normal 13 3 2 2 2 3 3 3 2" xfId="26128"/>
    <cellStyle name="Normal 13 3 2 2 2 3 3 4" xfId="14608"/>
    <cellStyle name="Normal 13 3 2 2 2 3 3 4 2" xfId="31888"/>
    <cellStyle name="Normal 13 3 2 2 2 3 3 5" xfId="20368"/>
    <cellStyle name="Normal 13 3 2 2 2 3 4" xfId="4528"/>
    <cellStyle name="Normal 13 3 2 2 2 3 4 2" xfId="10288"/>
    <cellStyle name="Normal 13 3 2 2 2 3 4 2 2" xfId="27568"/>
    <cellStyle name="Normal 13 3 2 2 2 3 4 3" xfId="16048"/>
    <cellStyle name="Normal 13 3 2 2 2 3 4 3 2" xfId="33328"/>
    <cellStyle name="Normal 13 3 2 2 2 3 4 4" xfId="21808"/>
    <cellStyle name="Normal 13 3 2 2 2 3 5" xfId="7408"/>
    <cellStyle name="Normal 13 3 2 2 2 3 5 2" xfId="24688"/>
    <cellStyle name="Normal 13 3 2 2 2 3 6" xfId="13168"/>
    <cellStyle name="Normal 13 3 2 2 2 3 6 2" xfId="30448"/>
    <cellStyle name="Normal 13 3 2 2 2 3 7" xfId="18928"/>
    <cellStyle name="Normal 13 3 2 2 2 4" xfId="1888"/>
    <cellStyle name="Normal 13 3 2 2 2 4 2" xfId="3328"/>
    <cellStyle name="Normal 13 3 2 2 2 4 2 2" xfId="6208"/>
    <cellStyle name="Normal 13 3 2 2 2 4 2 2 2" xfId="11968"/>
    <cellStyle name="Normal 13 3 2 2 2 4 2 2 2 2" xfId="29248"/>
    <cellStyle name="Normal 13 3 2 2 2 4 2 2 3" xfId="17728"/>
    <cellStyle name="Normal 13 3 2 2 2 4 2 2 3 2" xfId="35008"/>
    <cellStyle name="Normal 13 3 2 2 2 4 2 2 4" xfId="23488"/>
    <cellStyle name="Normal 13 3 2 2 2 4 2 3" xfId="9088"/>
    <cellStyle name="Normal 13 3 2 2 2 4 2 3 2" xfId="26368"/>
    <cellStyle name="Normal 13 3 2 2 2 4 2 4" xfId="14848"/>
    <cellStyle name="Normal 13 3 2 2 2 4 2 4 2" xfId="32128"/>
    <cellStyle name="Normal 13 3 2 2 2 4 2 5" xfId="20608"/>
    <cellStyle name="Normal 13 3 2 2 2 4 3" xfId="4768"/>
    <cellStyle name="Normal 13 3 2 2 2 4 3 2" xfId="10528"/>
    <cellStyle name="Normal 13 3 2 2 2 4 3 2 2" xfId="27808"/>
    <cellStyle name="Normal 13 3 2 2 2 4 3 3" xfId="16288"/>
    <cellStyle name="Normal 13 3 2 2 2 4 3 3 2" xfId="33568"/>
    <cellStyle name="Normal 13 3 2 2 2 4 3 4" xfId="22048"/>
    <cellStyle name="Normal 13 3 2 2 2 4 4" xfId="7648"/>
    <cellStyle name="Normal 13 3 2 2 2 4 4 2" xfId="24928"/>
    <cellStyle name="Normal 13 3 2 2 2 4 5" xfId="13408"/>
    <cellStyle name="Normal 13 3 2 2 2 4 5 2" xfId="30688"/>
    <cellStyle name="Normal 13 3 2 2 2 4 6" xfId="19168"/>
    <cellStyle name="Normal 13 3 2 2 2 5" xfId="2608"/>
    <cellStyle name="Normal 13 3 2 2 2 5 2" xfId="5488"/>
    <cellStyle name="Normal 13 3 2 2 2 5 2 2" xfId="11248"/>
    <cellStyle name="Normal 13 3 2 2 2 5 2 2 2" xfId="28528"/>
    <cellStyle name="Normal 13 3 2 2 2 5 2 3" xfId="17008"/>
    <cellStyle name="Normal 13 3 2 2 2 5 2 3 2" xfId="34288"/>
    <cellStyle name="Normal 13 3 2 2 2 5 2 4" xfId="22768"/>
    <cellStyle name="Normal 13 3 2 2 2 5 3" xfId="8368"/>
    <cellStyle name="Normal 13 3 2 2 2 5 3 2" xfId="25648"/>
    <cellStyle name="Normal 13 3 2 2 2 5 4" xfId="14128"/>
    <cellStyle name="Normal 13 3 2 2 2 5 4 2" xfId="31408"/>
    <cellStyle name="Normal 13 3 2 2 2 5 5" xfId="19888"/>
    <cellStyle name="Normal 13 3 2 2 2 6" xfId="4048"/>
    <cellStyle name="Normal 13 3 2 2 2 6 2" xfId="9808"/>
    <cellStyle name="Normal 13 3 2 2 2 6 2 2" xfId="27088"/>
    <cellStyle name="Normal 13 3 2 2 2 6 3" xfId="15568"/>
    <cellStyle name="Normal 13 3 2 2 2 6 3 2" xfId="32848"/>
    <cellStyle name="Normal 13 3 2 2 2 6 4" xfId="21328"/>
    <cellStyle name="Normal 13 3 2 2 2 7" xfId="6928"/>
    <cellStyle name="Normal 13 3 2 2 2 7 2" xfId="24208"/>
    <cellStyle name="Normal 13 3 2 2 2 8" xfId="12688"/>
    <cellStyle name="Normal 13 3 2 2 2 8 2" xfId="29968"/>
    <cellStyle name="Normal 13 3 2 2 2 9" xfId="18448"/>
    <cellStyle name="Normal 13 3 2 2 3" xfId="1288"/>
    <cellStyle name="Normal 13 3 2 2 3 2" xfId="2008"/>
    <cellStyle name="Normal 13 3 2 2 3 2 2" xfId="3448"/>
    <cellStyle name="Normal 13 3 2 2 3 2 2 2" xfId="6328"/>
    <cellStyle name="Normal 13 3 2 2 3 2 2 2 2" xfId="12088"/>
    <cellStyle name="Normal 13 3 2 2 3 2 2 2 2 2" xfId="29368"/>
    <cellStyle name="Normal 13 3 2 2 3 2 2 2 3" xfId="17848"/>
    <cellStyle name="Normal 13 3 2 2 3 2 2 2 3 2" xfId="35128"/>
    <cellStyle name="Normal 13 3 2 2 3 2 2 2 4" xfId="23608"/>
    <cellStyle name="Normal 13 3 2 2 3 2 2 3" xfId="9208"/>
    <cellStyle name="Normal 13 3 2 2 3 2 2 3 2" xfId="26488"/>
    <cellStyle name="Normal 13 3 2 2 3 2 2 4" xfId="14968"/>
    <cellStyle name="Normal 13 3 2 2 3 2 2 4 2" xfId="32248"/>
    <cellStyle name="Normal 13 3 2 2 3 2 2 5" xfId="20728"/>
    <cellStyle name="Normal 13 3 2 2 3 2 3" xfId="4888"/>
    <cellStyle name="Normal 13 3 2 2 3 2 3 2" xfId="10648"/>
    <cellStyle name="Normal 13 3 2 2 3 2 3 2 2" xfId="27928"/>
    <cellStyle name="Normal 13 3 2 2 3 2 3 3" xfId="16408"/>
    <cellStyle name="Normal 13 3 2 2 3 2 3 3 2" xfId="33688"/>
    <cellStyle name="Normal 13 3 2 2 3 2 3 4" xfId="22168"/>
    <cellStyle name="Normal 13 3 2 2 3 2 4" xfId="7768"/>
    <cellStyle name="Normal 13 3 2 2 3 2 4 2" xfId="25048"/>
    <cellStyle name="Normal 13 3 2 2 3 2 5" xfId="13528"/>
    <cellStyle name="Normal 13 3 2 2 3 2 5 2" xfId="30808"/>
    <cellStyle name="Normal 13 3 2 2 3 2 6" xfId="19288"/>
    <cellStyle name="Normal 13 3 2 2 3 3" xfId="2728"/>
    <cellStyle name="Normal 13 3 2 2 3 3 2" xfId="5608"/>
    <cellStyle name="Normal 13 3 2 2 3 3 2 2" xfId="11368"/>
    <cellStyle name="Normal 13 3 2 2 3 3 2 2 2" xfId="28648"/>
    <cellStyle name="Normal 13 3 2 2 3 3 2 3" xfId="17128"/>
    <cellStyle name="Normal 13 3 2 2 3 3 2 3 2" xfId="34408"/>
    <cellStyle name="Normal 13 3 2 2 3 3 2 4" xfId="22888"/>
    <cellStyle name="Normal 13 3 2 2 3 3 3" xfId="8488"/>
    <cellStyle name="Normal 13 3 2 2 3 3 3 2" xfId="25768"/>
    <cellStyle name="Normal 13 3 2 2 3 3 4" xfId="14248"/>
    <cellStyle name="Normal 13 3 2 2 3 3 4 2" xfId="31528"/>
    <cellStyle name="Normal 13 3 2 2 3 3 5" xfId="20008"/>
    <cellStyle name="Normal 13 3 2 2 3 4" xfId="4168"/>
    <cellStyle name="Normal 13 3 2 2 3 4 2" xfId="9928"/>
    <cellStyle name="Normal 13 3 2 2 3 4 2 2" xfId="27208"/>
    <cellStyle name="Normal 13 3 2 2 3 4 3" xfId="15688"/>
    <cellStyle name="Normal 13 3 2 2 3 4 3 2" xfId="32968"/>
    <cellStyle name="Normal 13 3 2 2 3 4 4" xfId="21448"/>
    <cellStyle name="Normal 13 3 2 2 3 5" xfId="7048"/>
    <cellStyle name="Normal 13 3 2 2 3 5 2" xfId="24328"/>
    <cellStyle name="Normal 13 3 2 2 3 6" xfId="12808"/>
    <cellStyle name="Normal 13 3 2 2 3 6 2" xfId="30088"/>
    <cellStyle name="Normal 13 3 2 2 3 7" xfId="18568"/>
    <cellStyle name="Normal 13 3 2 2 4" xfId="1528"/>
    <cellStyle name="Normal 13 3 2 2 4 2" xfId="2248"/>
    <cellStyle name="Normal 13 3 2 2 4 2 2" xfId="3688"/>
    <cellStyle name="Normal 13 3 2 2 4 2 2 2" xfId="6568"/>
    <cellStyle name="Normal 13 3 2 2 4 2 2 2 2" xfId="12328"/>
    <cellStyle name="Normal 13 3 2 2 4 2 2 2 2 2" xfId="29608"/>
    <cellStyle name="Normal 13 3 2 2 4 2 2 2 3" xfId="18088"/>
    <cellStyle name="Normal 13 3 2 2 4 2 2 2 3 2" xfId="35368"/>
    <cellStyle name="Normal 13 3 2 2 4 2 2 2 4" xfId="23848"/>
    <cellStyle name="Normal 13 3 2 2 4 2 2 3" xfId="9448"/>
    <cellStyle name="Normal 13 3 2 2 4 2 2 3 2" xfId="26728"/>
    <cellStyle name="Normal 13 3 2 2 4 2 2 4" xfId="15208"/>
    <cellStyle name="Normal 13 3 2 2 4 2 2 4 2" xfId="32488"/>
    <cellStyle name="Normal 13 3 2 2 4 2 2 5" xfId="20968"/>
    <cellStyle name="Normal 13 3 2 2 4 2 3" xfId="5128"/>
    <cellStyle name="Normal 13 3 2 2 4 2 3 2" xfId="10888"/>
    <cellStyle name="Normal 13 3 2 2 4 2 3 2 2" xfId="28168"/>
    <cellStyle name="Normal 13 3 2 2 4 2 3 3" xfId="16648"/>
    <cellStyle name="Normal 13 3 2 2 4 2 3 3 2" xfId="33928"/>
    <cellStyle name="Normal 13 3 2 2 4 2 3 4" xfId="22408"/>
    <cellStyle name="Normal 13 3 2 2 4 2 4" xfId="8008"/>
    <cellStyle name="Normal 13 3 2 2 4 2 4 2" xfId="25288"/>
    <cellStyle name="Normal 13 3 2 2 4 2 5" xfId="13768"/>
    <cellStyle name="Normal 13 3 2 2 4 2 5 2" xfId="31048"/>
    <cellStyle name="Normal 13 3 2 2 4 2 6" xfId="19528"/>
    <cellStyle name="Normal 13 3 2 2 4 3" xfId="2968"/>
    <cellStyle name="Normal 13 3 2 2 4 3 2" xfId="5848"/>
    <cellStyle name="Normal 13 3 2 2 4 3 2 2" xfId="11608"/>
    <cellStyle name="Normal 13 3 2 2 4 3 2 2 2" xfId="28888"/>
    <cellStyle name="Normal 13 3 2 2 4 3 2 3" xfId="17368"/>
    <cellStyle name="Normal 13 3 2 2 4 3 2 3 2" xfId="34648"/>
    <cellStyle name="Normal 13 3 2 2 4 3 2 4" xfId="23128"/>
    <cellStyle name="Normal 13 3 2 2 4 3 3" xfId="8728"/>
    <cellStyle name="Normal 13 3 2 2 4 3 3 2" xfId="26008"/>
    <cellStyle name="Normal 13 3 2 2 4 3 4" xfId="14488"/>
    <cellStyle name="Normal 13 3 2 2 4 3 4 2" xfId="31768"/>
    <cellStyle name="Normal 13 3 2 2 4 3 5" xfId="20248"/>
    <cellStyle name="Normal 13 3 2 2 4 4" xfId="4408"/>
    <cellStyle name="Normal 13 3 2 2 4 4 2" xfId="10168"/>
    <cellStyle name="Normal 13 3 2 2 4 4 2 2" xfId="27448"/>
    <cellStyle name="Normal 13 3 2 2 4 4 3" xfId="15928"/>
    <cellStyle name="Normal 13 3 2 2 4 4 3 2" xfId="33208"/>
    <cellStyle name="Normal 13 3 2 2 4 4 4" xfId="21688"/>
    <cellStyle name="Normal 13 3 2 2 4 5" xfId="7288"/>
    <cellStyle name="Normal 13 3 2 2 4 5 2" xfId="24568"/>
    <cellStyle name="Normal 13 3 2 2 4 6" xfId="13048"/>
    <cellStyle name="Normal 13 3 2 2 4 6 2" xfId="30328"/>
    <cellStyle name="Normal 13 3 2 2 4 7" xfId="18808"/>
    <cellStyle name="Normal 13 3 2 2 5" xfId="1768"/>
    <cellStyle name="Normal 13 3 2 2 5 2" xfId="3208"/>
    <cellStyle name="Normal 13 3 2 2 5 2 2" xfId="6088"/>
    <cellStyle name="Normal 13 3 2 2 5 2 2 2" xfId="11848"/>
    <cellStyle name="Normal 13 3 2 2 5 2 2 2 2" xfId="29128"/>
    <cellStyle name="Normal 13 3 2 2 5 2 2 3" xfId="17608"/>
    <cellStyle name="Normal 13 3 2 2 5 2 2 3 2" xfId="34888"/>
    <cellStyle name="Normal 13 3 2 2 5 2 2 4" xfId="23368"/>
    <cellStyle name="Normal 13 3 2 2 5 2 3" xfId="8968"/>
    <cellStyle name="Normal 13 3 2 2 5 2 3 2" xfId="26248"/>
    <cellStyle name="Normal 13 3 2 2 5 2 4" xfId="14728"/>
    <cellStyle name="Normal 13 3 2 2 5 2 4 2" xfId="32008"/>
    <cellStyle name="Normal 13 3 2 2 5 2 5" xfId="20488"/>
    <cellStyle name="Normal 13 3 2 2 5 3" xfId="4648"/>
    <cellStyle name="Normal 13 3 2 2 5 3 2" xfId="10408"/>
    <cellStyle name="Normal 13 3 2 2 5 3 2 2" xfId="27688"/>
    <cellStyle name="Normal 13 3 2 2 5 3 3" xfId="16168"/>
    <cellStyle name="Normal 13 3 2 2 5 3 3 2" xfId="33448"/>
    <cellStyle name="Normal 13 3 2 2 5 3 4" xfId="21928"/>
    <cellStyle name="Normal 13 3 2 2 5 4" xfId="7528"/>
    <cellStyle name="Normal 13 3 2 2 5 4 2" xfId="24808"/>
    <cellStyle name="Normal 13 3 2 2 5 5" xfId="13288"/>
    <cellStyle name="Normal 13 3 2 2 5 5 2" xfId="30568"/>
    <cellStyle name="Normal 13 3 2 2 5 6" xfId="19048"/>
    <cellStyle name="Normal 13 3 2 2 6" xfId="2488"/>
    <cellStyle name="Normal 13 3 2 2 6 2" xfId="5368"/>
    <cellStyle name="Normal 13 3 2 2 6 2 2" xfId="11128"/>
    <cellStyle name="Normal 13 3 2 2 6 2 2 2" xfId="28408"/>
    <cellStyle name="Normal 13 3 2 2 6 2 3" xfId="16888"/>
    <cellStyle name="Normal 13 3 2 2 6 2 3 2" xfId="34168"/>
    <cellStyle name="Normal 13 3 2 2 6 2 4" xfId="22648"/>
    <cellStyle name="Normal 13 3 2 2 6 3" xfId="8248"/>
    <cellStyle name="Normal 13 3 2 2 6 3 2" xfId="25528"/>
    <cellStyle name="Normal 13 3 2 2 6 4" xfId="14008"/>
    <cellStyle name="Normal 13 3 2 2 6 4 2" xfId="31288"/>
    <cellStyle name="Normal 13 3 2 2 6 5" xfId="19768"/>
    <cellStyle name="Normal 13 3 2 2 7" xfId="3928"/>
    <cellStyle name="Normal 13 3 2 2 7 2" xfId="9688"/>
    <cellStyle name="Normal 13 3 2 2 7 2 2" xfId="26968"/>
    <cellStyle name="Normal 13 3 2 2 7 3" xfId="15448"/>
    <cellStyle name="Normal 13 3 2 2 7 3 2" xfId="32728"/>
    <cellStyle name="Normal 13 3 2 2 7 4" xfId="21208"/>
    <cellStyle name="Normal 13 3 2 2 8" xfId="6808"/>
    <cellStyle name="Normal 13 3 2 2 8 2" xfId="24088"/>
    <cellStyle name="Normal 13 3 2 2 9" xfId="12568"/>
    <cellStyle name="Normal 13 3 2 2 9 2" xfId="29848"/>
    <cellStyle name="Normal 13 3 2 3" xfId="1008"/>
    <cellStyle name="Normal 13 3 2 3 10" xfId="18288"/>
    <cellStyle name="Normal 13 3 2 3 2" xfId="1128"/>
    <cellStyle name="Normal 13 3 2 3 2 2" xfId="1368"/>
    <cellStyle name="Normal 13 3 2 3 2 2 2" xfId="2088"/>
    <cellStyle name="Normal 13 3 2 3 2 2 2 2" xfId="3528"/>
    <cellStyle name="Normal 13 3 2 3 2 2 2 2 2" xfId="6408"/>
    <cellStyle name="Normal 13 3 2 3 2 2 2 2 2 2" xfId="12168"/>
    <cellStyle name="Normal 13 3 2 3 2 2 2 2 2 2 2" xfId="29448"/>
    <cellStyle name="Normal 13 3 2 3 2 2 2 2 2 3" xfId="17928"/>
    <cellStyle name="Normal 13 3 2 3 2 2 2 2 2 3 2" xfId="35208"/>
    <cellStyle name="Normal 13 3 2 3 2 2 2 2 2 4" xfId="23688"/>
    <cellStyle name="Normal 13 3 2 3 2 2 2 2 3" xfId="9288"/>
    <cellStyle name="Normal 13 3 2 3 2 2 2 2 3 2" xfId="26568"/>
    <cellStyle name="Normal 13 3 2 3 2 2 2 2 4" xfId="15048"/>
    <cellStyle name="Normal 13 3 2 3 2 2 2 2 4 2" xfId="32328"/>
    <cellStyle name="Normal 13 3 2 3 2 2 2 2 5" xfId="20808"/>
    <cellStyle name="Normal 13 3 2 3 2 2 2 3" xfId="4968"/>
    <cellStyle name="Normal 13 3 2 3 2 2 2 3 2" xfId="10728"/>
    <cellStyle name="Normal 13 3 2 3 2 2 2 3 2 2" xfId="28008"/>
    <cellStyle name="Normal 13 3 2 3 2 2 2 3 3" xfId="16488"/>
    <cellStyle name="Normal 13 3 2 3 2 2 2 3 3 2" xfId="33768"/>
    <cellStyle name="Normal 13 3 2 3 2 2 2 3 4" xfId="22248"/>
    <cellStyle name="Normal 13 3 2 3 2 2 2 4" xfId="7848"/>
    <cellStyle name="Normal 13 3 2 3 2 2 2 4 2" xfId="25128"/>
    <cellStyle name="Normal 13 3 2 3 2 2 2 5" xfId="13608"/>
    <cellStyle name="Normal 13 3 2 3 2 2 2 5 2" xfId="30888"/>
    <cellStyle name="Normal 13 3 2 3 2 2 2 6" xfId="19368"/>
    <cellStyle name="Normal 13 3 2 3 2 2 3" xfId="2808"/>
    <cellStyle name="Normal 13 3 2 3 2 2 3 2" xfId="5688"/>
    <cellStyle name="Normal 13 3 2 3 2 2 3 2 2" xfId="11448"/>
    <cellStyle name="Normal 13 3 2 3 2 2 3 2 2 2" xfId="28728"/>
    <cellStyle name="Normal 13 3 2 3 2 2 3 2 3" xfId="17208"/>
    <cellStyle name="Normal 13 3 2 3 2 2 3 2 3 2" xfId="34488"/>
    <cellStyle name="Normal 13 3 2 3 2 2 3 2 4" xfId="22968"/>
    <cellStyle name="Normal 13 3 2 3 2 2 3 3" xfId="8568"/>
    <cellStyle name="Normal 13 3 2 3 2 2 3 3 2" xfId="25848"/>
    <cellStyle name="Normal 13 3 2 3 2 2 3 4" xfId="14328"/>
    <cellStyle name="Normal 13 3 2 3 2 2 3 4 2" xfId="31608"/>
    <cellStyle name="Normal 13 3 2 3 2 2 3 5" xfId="20088"/>
    <cellStyle name="Normal 13 3 2 3 2 2 4" xfId="4248"/>
    <cellStyle name="Normal 13 3 2 3 2 2 4 2" xfId="10008"/>
    <cellStyle name="Normal 13 3 2 3 2 2 4 2 2" xfId="27288"/>
    <cellStyle name="Normal 13 3 2 3 2 2 4 3" xfId="15768"/>
    <cellStyle name="Normal 13 3 2 3 2 2 4 3 2" xfId="33048"/>
    <cellStyle name="Normal 13 3 2 3 2 2 4 4" xfId="21528"/>
    <cellStyle name="Normal 13 3 2 3 2 2 5" xfId="7128"/>
    <cellStyle name="Normal 13 3 2 3 2 2 5 2" xfId="24408"/>
    <cellStyle name="Normal 13 3 2 3 2 2 6" xfId="12888"/>
    <cellStyle name="Normal 13 3 2 3 2 2 6 2" xfId="30168"/>
    <cellStyle name="Normal 13 3 2 3 2 2 7" xfId="18648"/>
    <cellStyle name="Normal 13 3 2 3 2 3" xfId="1608"/>
    <cellStyle name="Normal 13 3 2 3 2 3 2" xfId="2328"/>
    <cellStyle name="Normal 13 3 2 3 2 3 2 2" xfId="3768"/>
    <cellStyle name="Normal 13 3 2 3 2 3 2 2 2" xfId="6648"/>
    <cellStyle name="Normal 13 3 2 3 2 3 2 2 2 2" xfId="12408"/>
    <cellStyle name="Normal 13 3 2 3 2 3 2 2 2 2 2" xfId="29688"/>
    <cellStyle name="Normal 13 3 2 3 2 3 2 2 2 3" xfId="18168"/>
    <cellStyle name="Normal 13 3 2 3 2 3 2 2 2 3 2" xfId="35448"/>
    <cellStyle name="Normal 13 3 2 3 2 3 2 2 2 4" xfId="23928"/>
    <cellStyle name="Normal 13 3 2 3 2 3 2 2 3" xfId="9528"/>
    <cellStyle name="Normal 13 3 2 3 2 3 2 2 3 2" xfId="26808"/>
    <cellStyle name="Normal 13 3 2 3 2 3 2 2 4" xfId="15288"/>
    <cellStyle name="Normal 13 3 2 3 2 3 2 2 4 2" xfId="32568"/>
    <cellStyle name="Normal 13 3 2 3 2 3 2 2 5" xfId="21048"/>
    <cellStyle name="Normal 13 3 2 3 2 3 2 3" xfId="5208"/>
    <cellStyle name="Normal 13 3 2 3 2 3 2 3 2" xfId="10968"/>
    <cellStyle name="Normal 13 3 2 3 2 3 2 3 2 2" xfId="28248"/>
    <cellStyle name="Normal 13 3 2 3 2 3 2 3 3" xfId="16728"/>
    <cellStyle name="Normal 13 3 2 3 2 3 2 3 3 2" xfId="34008"/>
    <cellStyle name="Normal 13 3 2 3 2 3 2 3 4" xfId="22488"/>
    <cellStyle name="Normal 13 3 2 3 2 3 2 4" xfId="8088"/>
    <cellStyle name="Normal 13 3 2 3 2 3 2 4 2" xfId="25368"/>
    <cellStyle name="Normal 13 3 2 3 2 3 2 5" xfId="13848"/>
    <cellStyle name="Normal 13 3 2 3 2 3 2 5 2" xfId="31128"/>
    <cellStyle name="Normal 13 3 2 3 2 3 2 6" xfId="19608"/>
    <cellStyle name="Normal 13 3 2 3 2 3 3" xfId="3048"/>
    <cellStyle name="Normal 13 3 2 3 2 3 3 2" xfId="5928"/>
    <cellStyle name="Normal 13 3 2 3 2 3 3 2 2" xfId="11688"/>
    <cellStyle name="Normal 13 3 2 3 2 3 3 2 2 2" xfId="28968"/>
    <cellStyle name="Normal 13 3 2 3 2 3 3 2 3" xfId="17448"/>
    <cellStyle name="Normal 13 3 2 3 2 3 3 2 3 2" xfId="34728"/>
    <cellStyle name="Normal 13 3 2 3 2 3 3 2 4" xfId="23208"/>
    <cellStyle name="Normal 13 3 2 3 2 3 3 3" xfId="8808"/>
    <cellStyle name="Normal 13 3 2 3 2 3 3 3 2" xfId="26088"/>
    <cellStyle name="Normal 13 3 2 3 2 3 3 4" xfId="14568"/>
    <cellStyle name="Normal 13 3 2 3 2 3 3 4 2" xfId="31848"/>
    <cellStyle name="Normal 13 3 2 3 2 3 3 5" xfId="20328"/>
    <cellStyle name="Normal 13 3 2 3 2 3 4" xfId="4488"/>
    <cellStyle name="Normal 13 3 2 3 2 3 4 2" xfId="10248"/>
    <cellStyle name="Normal 13 3 2 3 2 3 4 2 2" xfId="27528"/>
    <cellStyle name="Normal 13 3 2 3 2 3 4 3" xfId="16008"/>
    <cellStyle name="Normal 13 3 2 3 2 3 4 3 2" xfId="33288"/>
    <cellStyle name="Normal 13 3 2 3 2 3 4 4" xfId="21768"/>
    <cellStyle name="Normal 13 3 2 3 2 3 5" xfId="7368"/>
    <cellStyle name="Normal 13 3 2 3 2 3 5 2" xfId="24648"/>
    <cellStyle name="Normal 13 3 2 3 2 3 6" xfId="13128"/>
    <cellStyle name="Normal 13 3 2 3 2 3 6 2" xfId="30408"/>
    <cellStyle name="Normal 13 3 2 3 2 3 7" xfId="18888"/>
    <cellStyle name="Normal 13 3 2 3 2 4" xfId="1848"/>
    <cellStyle name="Normal 13 3 2 3 2 4 2" xfId="3288"/>
    <cellStyle name="Normal 13 3 2 3 2 4 2 2" xfId="6168"/>
    <cellStyle name="Normal 13 3 2 3 2 4 2 2 2" xfId="11928"/>
    <cellStyle name="Normal 13 3 2 3 2 4 2 2 2 2" xfId="29208"/>
    <cellStyle name="Normal 13 3 2 3 2 4 2 2 3" xfId="17688"/>
    <cellStyle name="Normal 13 3 2 3 2 4 2 2 3 2" xfId="34968"/>
    <cellStyle name="Normal 13 3 2 3 2 4 2 2 4" xfId="23448"/>
    <cellStyle name="Normal 13 3 2 3 2 4 2 3" xfId="9048"/>
    <cellStyle name="Normal 13 3 2 3 2 4 2 3 2" xfId="26328"/>
    <cellStyle name="Normal 13 3 2 3 2 4 2 4" xfId="14808"/>
    <cellStyle name="Normal 13 3 2 3 2 4 2 4 2" xfId="32088"/>
    <cellStyle name="Normal 13 3 2 3 2 4 2 5" xfId="20568"/>
    <cellStyle name="Normal 13 3 2 3 2 4 3" xfId="4728"/>
    <cellStyle name="Normal 13 3 2 3 2 4 3 2" xfId="10488"/>
    <cellStyle name="Normal 13 3 2 3 2 4 3 2 2" xfId="27768"/>
    <cellStyle name="Normal 13 3 2 3 2 4 3 3" xfId="16248"/>
    <cellStyle name="Normal 13 3 2 3 2 4 3 3 2" xfId="33528"/>
    <cellStyle name="Normal 13 3 2 3 2 4 3 4" xfId="22008"/>
    <cellStyle name="Normal 13 3 2 3 2 4 4" xfId="7608"/>
    <cellStyle name="Normal 13 3 2 3 2 4 4 2" xfId="24888"/>
    <cellStyle name="Normal 13 3 2 3 2 4 5" xfId="13368"/>
    <cellStyle name="Normal 13 3 2 3 2 4 5 2" xfId="30648"/>
    <cellStyle name="Normal 13 3 2 3 2 4 6" xfId="19128"/>
    <cellStyle name="Normal 13 3 2 3 2 5" xfId="2568"/>
    <cellStyle name="Normal 13 3 2 3 2 5 2" xfId="5448"/>
    <cellStyle name="Normal 13 3 2 3 2 5 2 2" xfId="11208"/>
    <cellStyle name="Normal 13 3 2 3 2 5 2 2 2" xfId="28488"/>
    <cellStyle name="Normal 13 3 2 3 2 5 2 3" xfId="16968"/>
    <cellStyle name="Normal 13 3 2 3 2 5 2 3 2" xfId="34248"/>
    <cellStyle name="Normal 13 3 2 3 2 5 2 4" xfId="22728"/>
    <cellStyle name="Normal 13 3 2 3 2 5 3" xfId="8328"/>
    <cellStyle name="Normal 13 3 2 3 2 5 3 2" xfId="25608"/>
    <cellStyle name="Normal 13 3 2 3 2 5 4" xfId="14088"/>
    <cellStyle name="Normal 13 3 2 3 2 5 4 2" xfId="31368"/>
    <cellStyle name="Normal 13 3 2 3 2 5 5" xfId="19848"/>
    <cellStyle name="Normal 13 3 2 3 2 6" xfId="4008"/>
    <cellStyle name="Normal 13 3 2 3 2 6 2" xfId="9768"/>
    <cellStyle name="Normal 13 3 2 3 2 6 2 2" xfId="27048"/>
    <cellStyle name="Normal 13 3 2 3 2 6 3" xfId="15528"/>
    <cellStyle name="Normal 13 3 2 3 2 6 3 2" xfId="32808"/>
    <cellStyle name="Normal 13 3 2 3 2 6 4" xfId="21288"/>
    <cellStyle name="Normal 13 3 2 3 2 7" xfId="6888"/>
    <cellStyle name="Normal 13 3 2 3 2 7 2" xfId="24168"/>
    <cellStyle name="Normal 13 3 2 3 2 8" xfId="12648"/>
    <cellStyle name="Normal 13 3 2 3 2 8 2" xfId="29928"/>
    <cellStyle name="Normal 13 3 2 3 2 9" xfId="18408"/>
    <cellStyle name="Normal 13 3 2 3 3" xfId="1248"/>
    <cellStyle name="Normal 13 3 2 3 3 2" xfId="1968"/>
    <cellStyle name="Normal 13 3 2 3 3 2 2" xfId="3408"/>
    <cellStyle name="Normal 13 3 2 3 3 2 2 2" xfId="6288"/>
    <cellStyle name="Normal 13 3 2 3 3 2 2 2 2" xfId="12048"/>
    <cellStyle name="Normal 13 3 2 3 3 2 2 2 2 2" xfId="29328"/>
    <cellStyle name="Normal 13 3 2 3 3 2 2 2 3" xfId="17808"/>
    <cellStyle name="Normal 13 3 2 3 3 2 2 2 3 2" xfId="35088"/>
    <cellStyle name="Normal 13 3 2 3 3 2 2 2 4" xfId="23568"/>
    <cellStyle name="Normal 13 3 2 3 3 2 2 3" xfId="9168"/>
    <cellStyle name="Normal 13 3 2 3 3 2 2 3 2" xfId="26448"/>
    <cellStyle name="Normal 13 3 2 3 3 2 2 4" xfId="14928"/>
    <cellStyle name="Normal 13 3 2 3 3 2 2 4 2" xfId="32208"/>
    <cellStyle name="Normal 13 3 2 3 3 2 2 5" xfId="20688"/>
    <cellStyle name="Normal 13 3 2 3 3 2 3" xfId="4848"/>
    <cellStyle name="Normal 13 3 2 3 3 2 3 2" xfId="10608"/>
    <cellStyle name="Normal 13 3 2 3 3 2 3 2 2" xfId="27888"/>
    <cellStyle name="Normal 13 3 2 3 3 2 3 3" xfId="16368"/>
    <cellStyle name="Normal 13 3 2 3 3 2 3 3 2" xfId="33648"/>
    <cellStyle name="Normal 13 3 2 3 3 2 3 4" xfId="22128"/>
    <cellStyle name="Normal 13 3 2 3 3 2 4" xfId="7728"/>
    <cellStyle name="Normal 13 3 2 3 3 2 4 2" xfId="25008"/>
    <cellStyle name="Normal 13 3 2 3 3 2 5" xfId="13488"/>
    <cellStyle name="Normal 13 3 2 3 3 2 5 2" xfId="30768"/>
    <cellStyle name="Normal 13 3 2 3 3 2 6" xfId="19248"/>
    <cellStyle name="Normal 13 3 2 3 3 3" xfId="2688"/>
    <cellStyle name="Normal 13 3 2 3 3 3 2" xfId="5568"/>
    <cellStyle name="Normal 13 3 2 3 3 3 2 2" xfId="11328"/>
    <cellStyle name="Normal 13 3 2 3 3 3 2 2 2" xfId="28608"/>
    <cellStyle name="Normal 13 3 2 3 3 3 2 3" xfId="17088"/>
    <cellStyle name="Normal 13 3 2 3 3 3 2 3 2" xfId="34368"/>
    <cellStyle name="Normal 13 3 2 3 3 3 2 4" xfId="22848"/>
    <cellStyle name="Normal 13 3 2 3 3 3 3" xfId="8448"/>
    <cellStyle name="Normal 13 3 2 3 3 3 3 2" xfId="25728"/>
    <cellStyle name="Normal 13 3 2 3 3 3 4" xfId="14208"/>
    <cellStyle name="Normal 13 3 2 3 3 3 4 2" xfId="31488"/>
    <cellStyle name="Normal 13 3 2 3 3 3 5" xfId="19968"/>
    <cellStyle name="Normal 13 3 2 3 3 4" xfId="4128"/>
    <cellStyle name="Normal 13 3 2 3 3 4 2" xfId="9888"/>
    <cellStyle name="Normal 13 3 2 3 3 4 2 2" xfId="27168"/>
    <cellStyle name="Normal 13 3 2 3 3 4 3" xfId="15648"/>
    <cellStyle name="Normal 13 3 2 3 3 4 3 2" xfId="32928"/>
    <cellStyle name="Normal 13 3 2 3 3 4 4" xfId="21408"/>
    <cellStyle name="Normal 13 3 2 3 3 5" xfId="7008"/>
    <cellStyle name="Normal 13 3 2 3 3 5 2" xfId="24288"/>
    <cellStyle name="Normal 13 3 2 3 3 6" xfId="12768"/>
    <cellStyle name="Normal 13 3 2 3 3 6 2" xfId="30048"/>
    <cellStyle name="Normal 13 3 2 3 3 7" xfId="18528"/>
    <cellStyle name="Normal 13 3 2 3 4" xfId="1488"/>
    <cellStyle name="Normal 13 3 2 3 4 2" xfId="2208"/>
    <cellStyle name="Normal 13 3 2 3 4 2 2" xfId="3648"/>
    <cellStyle name="Normal 13 3 2 3 4 2 2 2" xfId="6528"/>
    <cellStyle name="Normal 13 3 2 3 4 2 2 2 2" xfId="12288"/>
    <cellStyle name="Normal 13 3 2 3 4 2 2 2 2 2" xfId="29568"/>
    <cellStyle name="Normal 13 3 2 3 4 2 2 2 3" xfId="18048"/>
    <cellStyle name="Normal 13 3 2 3 4 2 2 2 3 2" xfId="35328"/>
    <cellStyle name="Normal 13 3 2 3 4 2 2 2 4" xfId="23808"/>
    <cellStyle name="Normal 13 3 2 3 4 2 2 3" xfId="9408"/>
    <cellStyle name="Normal 13 3 2 3 4 2 2 3 2" xfId="26688"/>
    <cellStyle name="Normal 13 3 2 3 4 2 2 4" xfId="15168"/>
    <cellStyle name="Normal 13 3 2 3 4 2 2 4 2" xfId="32448"/>
    <cellStyle name="Normal 13 3 2 3 4 2 2 5" xfId="20928"/>
    <cellStyle name="Normal 13 3 2 3 4 2 3" xfId="5088"/>
    <cellStyle name="Normal 13 3 2 3 4 2 3 2" xfId="10848"/>
    <cellStyle name="Normal 13 3 2 3 4 2 3 2 2" xfId="28128"/>
    <cellStyle name="Normal 13 3 2 3 4 2 3 3" xfId="16608"/>
    <cellStyle name="Normal 13 3 2 3 4 2 3 3 2" xfId="33888"/>
    <cellStyle name="Normal 13 3 2 3 4 2 3 4" xfId="22368"/>
    <cellStyle name="Normal 13 3 2 3 4 2 4" xfId="7968"/>
    <cellStyle name="Normal 13 3 2 3 4 2 4 2" xfId="25248"/>
    <cellStyle name="Normal 13 3 2 3 4 2 5" xfId="13728"/>
    <cellStyle name="Normal 13 3 2 3 4 2 5 2" xfId="31008"/>
    <cellStyle name="Normal 13 3 2 3 4 2 6" xfId="19488"/>
    <cellStyle name="Normal 13 3 2 3 4 3" xfId="2928"/>
    <cellStyle name="Normal 13 3 2 3 4 3 2" xfId="5808"/>
    <cellStyle name="Normal 13 3 2 3 4 3 2 2" xfId="11568"/>
    <cellStyle name="Normal 13 3 2 3 4 3 2 2 2" xfId="28848"/>
    <cellStyle name="Normal 13 3 2 3 4 3 2 3" xfId="17328"/>
    <cellStyle name="Normal 13 3 2 3 4 3 2 3 2" xfId="34608"/>
    <cellStyle name="Normal 13 3 2 3 4 3 2 4" xfId="23088"/>
    <cellStyle name="Normal 13 3 2 3 4 3 3" xfId="8688"/>
    <cellStyle name="Normal 13 3 2 3 4 3 3 2" xfId="25968"/>
    <cellStyle name="Normal 13 3 2 3 4 3 4" xfId="14448"/>
    <cellStyle name="Normal 13 3 2 3 4 3 4 2" xfId="31728"/>
    <cellStyle name="Normal 13 3 2 3 4 3 5" xfId="20208"/>
    <cellStyle name="Normal 13 3 2 3 4 4" xfId="4368"/>
    <cellStyle name="Normal 13 3 2 3 4 4 2" xfId="10128"/>
    <cellStyle name="Normal 13 3 2 3 4 4 2 2" xfId="27408"/>
    <cellStyle name="Normal 13 3 2 3 4 4 3" xfId="15888"/>
    <cellStyle name="Normal 13 3 2 3 4 4 3 2" xfId="33168"/>
    <cellStyle name="Normal 13 3 2 3 4 4 4" xfId="21648"/>
    <cellStyle name="Normal 13 3 2 3 4 5" xfId="7248"/>
    <cellStyle name="Normal 13 3 2 3 4 5 2" xfId="24528"/>
    <cellStyle name="Normal 13 3 2 3 4 6" xfId="13008"/>
    <cellStyle name="Normal 13 3 2 3 4 6 2" xfId="30288"/>
    <cellStyle name="Normal 13 3 2 3 4 7" xfId="18768"/>
    <cellStyle name="Normal 13 3 2 3 5" xfId="1728"/>
    <cellStyle name="Normal 13 3 2 3 5 2" xfId="3168"/>
    <cellStyle name="Normal 13 3 2 3 5 2 2" xfId="6048"/>
    <cellStyle name="Normal 13 3 2 3 5 2 2 2" xfId="11808"/>
    <cellStyle name="Normal 13 3 2 3 5 2 2 2 2" xfId="29088"/>
    <cellStyle name="Normal 13 3 2 3 5 2 2 3" xfId="17568"/>
    <cellStyle name="Normal 13 3 2 3 5 2 2 3 2" xfId="34848"/>
    <cellStyle name="Normal 13 3 2 3 5 2 2 4" xfId="23328"/>
    <cellStyle name="Normal 13 3 2 3 5 2 3" xfId="8928"/>
    <cellStyle name="Normal 13 3 2 3 5 2 3 2" xfId="26208"/>
    <cellStyle name="Normal 13 3 2 3 5 2 4" xfId="14688"/>
    <cellStyle name="Normal 13 3 2 3 5 2 4 2" xfId="31968"/>
    <cellStyle name="Normal 13 3 2 3 5 2 5" xfId="20448"/>
    <cellStyle name="Normal 13 3 2 3 5 3" xfId="4608"/>
    <cellStyle name="Normal 13 3 2 3 5 3 2" xfId="10368"/>
    <cellStyle name="Normal 13 3 2 3 5 3 2 2" xfId="27648"/>
    <cellStyle name="Normal 13 3 2 3 5 3 3" xfId="16128"/>
    <cellStyle name="Normal 13 3 2 3 5 3 3 2" xfId="33408"/>
    <cellStyle name="Normal 13 3 2 3 5 3 4" xfId="21888"/>
    <cellStyle name="Normal 13 3 2 3 5 4" xfId="7488"/>
    <cellStyle name="Normal 13 3 2 3 5 4 2" xfId="24768"/>
    <cellStyle name="Normal 13 3 2 3 5 5" xfId="13248"/>
    <cellStyle name="Normal 13 3 2 3 5 5 2" xfId="30528"/>
    <cellStyle name="Normal 13 3 2 3 5 6" xfId="19008"/>
    <cellStyle name="Normal 13 3 2 3 6" xfId="2448"/>
    <cellStyle name="Normal 13 3 2 3 6 2" xfId="5328"/>
    <cellStyle name="Normal 13 3 2 3 6 2 2" xfId="11088"/>
    <cellStyle name="Normal 13 3 2 3 6 2 2 2" xfId="28368"/>
    <cellStyle name="Normal 13 3 2 3 6 2 3" xfId="16848"/>
    <cellStyle name="Normal 13 3 2 3 6 2 3 2" xfId="34128"/>
    <cellStyle name="Normal 13 3 2 3 6 2 4" xfId="22608"/>
    <cellStyle name="Normal 13 3 2 3 6 3" xfId="8208"/>
    <cellStyle name="Normal 13 3 2 3 6 3 2" xfId="25488"/>
    <cellStyle name="Normal 13 3 2 3 6 4" xfId="13968"/>
    <cellStyle name="Normal 13 3 2 3 6 4 2" xfId="31248"/>
    <cellStyle name="Normal 13 3 2 3 6 5" xfId="19728"/>
    <cellStyle name="Normal 13 3 2 3 7" xfId="3888"/>
    <cellStyle name="Normal 13 3 2 3 7 2" xfId="9648"/>
    <cellStyle name="Normal 13 3 2 3 7 2 2" xfId="26928"/>
    <cellStyle name="Normal 13 3 2 3 7 3" xfId="15408"/>
    <cellStyle name="Normal 13 3 2 3 7 3 2" xfId="32688"/>
    <cellStyle name="Normal 13 3 2 3 7 4" xfId="21168"/>
    <cellStyle name="Normal 13 3 2 3 8" xfId="6768"/>
    <cellStyle name="Normal 13 3 2 3 8 2" xfId="24048"/>
    <cellStyle name="Normal 13 3 2 3 9" xfId="12528"/>
    <cellStyle name="Normal 13 3 2 3 9 2" xfId="29808"/>
    <cellStyle name="Normal 13 3 2 4" xfId="1088"/>
    <cellStyle name="Normal 13 3 2 4 2" xfId="1328"/>
    <cellStyle name="Normal 13 3 2 4 2 2" xfId="2048"/>
    <cellStyle name="Normal 13 3 2 4 2 2 2" xfId="3488"/>
    <cellStyle name="Normal 13 3 2 4 2 2 2 2" xfId="6368"/>
    <cellStyle name="Normal 13 3 2 4 2 2 2 2 2" xfId="12128"/>
    <cellStyle name="Normal 13 3 2 4 2 2 2 2 2 2" xfId="29408"/>
    <cellStyle name="Normal 13 3 2 4 2 2 2 2 3" xfId="17888"/>
    <cellStyle name="Normal 13 3 2 4 2 2 2 2 3 2" xfId="35168"/>
    <cellStyle name="Normal 13 3 2 4 2 2 2 2 4" xfId="23648"/>
    <cellStyle name="Normal 13 3 2 4 2 2 2 3" xfId="9248"/>
    <cellStyle name="Normal 13 3 2 4 2 2 2 3 2" xfId="26528"/>
    <cellStyle name="Normal 13 3 2 4 2 2 2 4" xfId="15008"/>
    <cellStyle name="Normal 13 3 2 4 2 2 2 4 2" xfId="32288"/>
    <cellStyle name="Normal 13 3 2 4 2 2 2 5" xfId="20768"/>
    <cellStyle name="Normal 13 3 2 4 2 2 3" xfId="4928"/>
    <cellStyle name="Normal 13 3 2 4 2 2 3 2" xfId="10688"/>
    <cellStyle name="Normal 13 3 2 4 2 2 3 2 2" xfId="27968"/>
    <cellStyle name="Normal 13 3 2 4 2 2 3 3" xfId="16448"/>
    <cellStyle name="Normal 13 3 2 4 2 2 3 3 2" xfId="33728"/>
    <cellStyle name="Normal 13 3 2 4 2 2 3 4" xfId="22208"/>
    <cellStyle name="Normal 13 3 2 4 2 2 4" xfId="7808"/>
    <cellStyle name="Normal 13 3 2 4 2 2 4 2" xfId="25088"/>
    <cellStyle name="Normal 13 3 2 4 2 2 5" xfId="13568"/>
    <cellStyle name="Normal 13 3 2 4 2 2 5 2" xfId="30848"/>
    <cellStyle name="Normal 13 3 2 4 2 2 6" xfId="19328"/>
    <cellStyle name="Normal 13 3 2 4 2 3" xfId="2768"/>
    <cellStyle name="Normal 13 3 2 4 2 3 2" xfId="5648"/>
    <cellStyle name="Normal 13 3 2 4 2 3 2 2" xfId="11408"/>
    <cellStyle name="Normal 13 3 2 4 2 3 2 2 2" xfId="28688"/>
    <cellStyle name="Normal 13 3 2 4 2 3 2 3" xfId="17168"/>
    <cellStyle name="Normal 13 3 2 4 2 3 2 3 2" xfId="34448"/>
    <cellStyle name="Normal 13 3 2 4 2 3 2 4" xfId="22928"/>
    <cellStyle name="Normal 13 3 2 4 2 3 3" xfId="8528"/>
    <cellStyle name="Normal 13 3 2 4 2 3 3 2" xfId="25808"/>
    <cellStyle name="Normal 13 3 2 4 2 3 4" xfId="14288"/>
    <cellStyle name="Normal 13 3 2 4 2 3 4 2" xfId="31568"/>
    <cellStyle name="Normal 13 3 2 4 2 3 5" xfId="20048"/>
    <cellStyle name="Normal 13 3 2 4 2 4" xfId="4208"/>
    <cellStyle name="Normal 13 3 2 4 2 4 2" xfId="9968"/>
    <cellStyle name="Normal 13 3 2 4 2 4 2 2" xfId="27248"/>
    <cellStyle name="Normal 13 3 2 4 2 4 3" xfId="15728"/>
    <cellStyle name="Normal 13 3 2 4 2 4 3 2" xfId="33008"/>
    <cellStyle name="Normal 13 3 2 4 2 4 4" xfId="21488"/>
    <cellStyle name="Normal 13 3 2 4 2 5" xfId="7088"/>
    <cellStyle name="Normal 13 3 2 4 2 5 2" xfId="24368"/>
    <cellStyle name="Normal 13 3 2 4 2 6" xfId="12848"/>
    <cellStyle name="Normal 13 3 2 4 2 6 2" xfId="30128"/>
    <cellStyle name="Normal 13 3 2 4 2 7" xfId="18608"/>
    <cellStyle name="Normal 13 3 2 4 3" xfId="1568"/>
    <cellStyle name="Normal 13 3 2 4 3 2" xfId="2288"/>
    <cellStyle name="Normal 13 3 2 4 3 2 2" xfId="3728"/>
    <cellStyle name="Normal 13 3 2 4 3 2 2 2" xfId="6608"/>
    <cellStyle name="Normal 13 3 2 4 3 2 2 2 2" xfId="12368"/>
    <cellStyle name="Normal 13 3 2 4 3 2 2 2 2 2" xfId="29648"/>
    <cellStyle name="Normal 13 3 2 4 3 2 2 2 3" xfId="18128"/>
    <cellStyle name="Normal 13 3 2 4 3 2 2 2 3 2" xfId="35408"/>
    <cellStyle name="Normal 13 3 2 4 3 2 2 2 4" xfId="23888"/>
    <cellStyle name="Normal 13 3 2 4 3 2 2 3" xfId="9488"/>
    <cellStyle name="Normal 13 3 2 4 3 2 2 3 2" xfId="26768"/>
    <cellStyle name="Normal 13 3 2 4 3 2 2 4" xfId="15248"/>
    <cellStyle name="Normal 13 3 2 4 3 2 2 4 2" xfId="32528"/>
    <cellStyle name="Normal 13 3 2 4 3 2 2 5" xfId="21008"/>
    <cellStyle name="Normal 13 3 2 4 3 2 3" xfId="5168"/>
    <cellStyle name="Normal 13 3 2 4 3 2 3 2" xfId="10928"/>
    <cellStyle name="Normal 13 3 2 4 3 2 3 2 2" xfId="28208"/>
    <cellStyle name="Normal 13 3 2 4 3 2 3 3" xfId="16688"/>
    <cellStyle name="Normal 13 3 2 4 3 2 3 3 2" xfId="33968"/>
    <cellStyle name="Normal 13 3 2 4 3 2 3 4" xfId="22448"/>
    <cellStyle name="Normal 13 3 2 4 3 2 4" xfId="8048"/>
    <cellStyle name="Normal 13 3 2 4 3 2 4 2" xfId="25328"/>
    <cellStyle name="Normal 13 3 2 4 3 2 5" xfId="13808"/>
    <cellStyle name="Normal 13 3 2 4 3 2 5 2" xfId="31088"/>
    <cellStyle name="Normal 13 3 2 4 3 2 6" xfId="19568"/>
    <cellStyle name="Normal 13 3 2 4 3 3" xfId="3008"/>
    <cellStyle name="Normal 13 3 2 4 3 3 2" xfId="5888"/>
    <cellStyle name="Normal 13 3 2 4 3 3 2 2" xfId="11648"/>
    <cellStyle name="Normal 13 3 2 4 3 3 2 2 2" xfId="28928"/>
    <cellStyle name="Normal 13 3 2 4 3 3 2 3" xfId="17408"/>
    <cellStyle name="Normal 13 3 2 4 3 3 2 3 2" xfId="34688"/>
    <cellStyle name="Normal 13 3 2 4 3 3 2 4" xfId="23168"/>
    <cellStyle name="Normal 13 3 2 4 3 3 3" xfId="8768"/>
    <cellStyle name="Normal 13 3 2 4 3 3 3 2" xfId="26048"/>
    <cellStyle name="Normal 13 3 2 4 3 3 4" xfId="14528"/>
    <cellStyle name="Normal 13 3 2 4 3 3 4 2" xfId="31808"/>
    <cellStyle name="Normal 13 3 2 4 3 3 5" xfId="20288"/>
    <cellStyle name="Normal 13 3 2 4 3 4" xfId="4448"/>
    <cellStyle name="Normal 13 3 2 4 3 4 2" xfId="10208"/>
    <cellStyle name="Normal 13 3 2 4 3 4 2 2" xfId="27488"/>
    <cellStyle name="Normal 13 3 2 4 3 4 3" xfId="15968"/>
    <cellStyle name="Normal 13 3 2 4 3 4 3 2" xfId="33248"/>
    <cellStyle name="Normal 13 3 2 4 3 4 4" xfId="21728"/>
    <cellStyle name="Normal 13 3 2 4 3 5" xfId="7328"/>
    <cellStyle name="Normal 13 3 2 4 3 5 2" xfId="24608"/>
    <cellStyle name="Normal 13 3 2 4 3 6" xfId="13088"/>
    <cellStyle name="Normal 13 3 2 4 3 6 2" xfId="30368"/>
    <cellStyle name="Normal 13 3 2 4 3 7" xfId="18848"/>
    <cellStyle name="Normal 13 3 2 4 4" xfId="1808"/>
    <cellStyle name="Normal 13 3 2 4 4 2" xfId="3248"/>
    <cellStyle name="Normal 13 3 2 4 4 2 2" xfId="6128"/>
    <cellStyle name="Normal 13 3 2 4 4 2 2 2" xfId="11888"/>
    <cellStyle name="Normal 13 3 2 4 4 2 2 2 2" xfId="29168"/>
    <cellStyle name="Normal 13 3 2 4 4 2 2 3" xfId="17648"/>
    <cellStyle name="Normal 13 3 2 4 4 2 2 3 2" xfId="34928"/>
    <cellStyle name="Normal 13 3 2 4 4 2 2 4" xfId="23408"/>
    <cellStyle name="Normal 13 3 2 4 4 2 3" xfId="9008"/>
    <cellStyle name="Normal 13 3 2 4 4 2 3 2" xfId="26288"/>
    <cellStyle name="Normal 13 3 2 4 4 2 4" xfId="14768"/>
    <cellStyle name="Normal 13 3 2 4 4 2 4 2" xfId="32048"/>
    <cellStyle name="Normal 13 3 2 4 4 2 5" xfId="20528"/>
    <cellStyle name="Normal 13 3 2 4 4 3" xfId="4688"/>
    <cellStyle name="Normal 13 3 2 4 4 3 2" xfId="10448"/>
    <cellStyle name="Normal 13 3 2 4 4 3 2 2" xfId="27728"/>
    <cellStyle name="Normal 13 3 2 4 4 3 3" xfId="16208"/>
    <cellStyle name="Normal 13 3 2 4 4 3 3 2" xfId="33488"/>
    <cellStyle name="Normal 13 3 2 4 4 3 4" xfId="21968"/>
    <cellStyle name="Normal 13 3 2 4 4 4" xfId="7568"/>
    <cellStyle name="Normal 13 3 2 4 4 4 2" xfId="24848"/>
    <cellStyle name="Normal 13 3 2 4 4 5" xfId="13328"/>
    <cellStyle name="Normal 13 3 2 4 4 5 2" xfId="30608"/>
    <cellStyle name="Normal 13 3 2 4 4 6" xfId="19088"/>
    <cellStyle name="Normal 13 3 2 4 5" xfId="2528"/>
    <cellStyle name="Normal 13 3 2 4 5 2" xfId="5408"/>
    <cellStyle name="Normal 13 3 2 4 5 2 2" xfId="11168"/>
    <cellStyle name="Normal 13 3 2 4 5 2 2 2" xfId="28448"/>
    <cellStyle name="Normal 13 3 2 4 5 2 3" xfId="16928"/>
    <cellStyle name="Normal 13 3 2 4 5 2 3 2" xfId="34208"/>
    <cellStyle name="Normal 13 3 2 4 5 2 4" xfId="22688"/>
    <cellStyle name="Normal 13 3 2 4 5 3" xfId="8288"/>
    <cellStyle name="Normal 13 3 2 4 5 3 2" xfId="25568"/>
    <cellStyle name="Normal 13 3 2 4 5 4" xfId="14048"/>
    <cellStyle name="Normal 13 3 2 4 5 4 2" xfId="31328"/>
    <cellStyle name="Normal 13 3 2 4 5 5" xfId="19808"/>
    <cellStyle name="Normal 13 3 2 4 6" xfId="3968"/>
    <cellStyle name="Normal 13 3 2 4 6 2" xfId="9728"/>
    <cellStyle name="Normal 13 3 2 4 6 2 2" xfId="27008"/>
    <cellStyle name="Normal 13 3 2 4 6 3" xfId="15488"/>
    <cellStyle name="Normal 13 3 2 4 6 3 2" xfId="32768"/>
    <cellStyle name="Normal 13 3 2 4 6 4" xfId="21248"/>
    <cellStyle name="Normal 13 3 2 4 7" xfId="6848"/>
    <cellStyle name="Normal 13 3 2 4 7 2" xfId="24128"/>
    <cellStyle name="Normal 13 3 2 4 8" xfId="12608"/>
    <cellStyle name="Normal 13 3 2 4 8 2" xfId="29888"/>
    <cellStyle name="Normal 13 3 2 4 9" xfId="18368"/>
    <cellStyle name="Normal 13 3 2 5" xfId="1208"/>
    <cellStyle name="Normal 13 3 2 5 2" xfId="1928"/>
    <cellStyle name="Normal 13 3 2 5 2 2" xfId="3368"/>
    <cellStyle name="Normal 13 3 2 5 2 2 2" xfId="6248"/>
    <cellStyle name="Normal 13 3 2 5 2 2 2 2" xfId="12008"/>
    <cellStyle name="Normal 13 3 2 5 2 2 2 2 2" xfId="29288"/>
    <cellStyle name="Normal 13 3 2 5 2 2 2 3" xfId="17768"/>
    <cellStyle name="Normal 13 3 2 5 2 2 2 3 2" xfId="35048"/>
    <cellStyle name="Normal 13 3 2 5 2 2 2 4" xfId="23528"/>
    <cellStyle name="Normal 13 3 2 5 2 2 3" xfId="9128"/>
    <cellStyle name="Normal 13 3 2 5 2 2 3 2" xfId="26408"/>
    <cellStyle name="Normal 13 3 2 5 2 2 4" xfId="14888"/>
    <cellStyle name="Normal 13 3 2 5 2 2 4 2" xfId="32168"/>
    <cellStyle name="Normal 13 3 2 5 2 2 5" xfId="20648"/>
    <cellStyle name="Normal 13 3 2 5 2 3" xfId="4808"/>
    <cellStyle name="Normal 13 3 2 5 2 3 2" xfId="10568"/>
    <cellStyle name="Normal 13 3 2 5 2 3 2 2" xfId="27848"/>
    <cellStyle name="Normal 13 3 2 5 2 3 3" xfId="16328"/>
    <cellStyle name="Normal 13 3 2 5 2 3 3 2" xfId="33608"/>
    <cellStyle name="Normal 13 3 2 5 2 3 4" xfId="22088"/>
    <cellStyle name="Normal 13 3 2 5 2 4" xfId="7688"/>
    <cellStyle name="Normal 13 3 2 5 2 4 2" xfId="24968"/>
    <cellStyle name="Normal 13 3 2 5 2 5" xfId="13448"/>
    <cellStyle name="Normal 13 3 2 5 2 5 2" xfId="30728"/>
    <cellStyle name="Normal 13 3 2 5 2 6" xfId="19208"/>
    <cellStyle name="Normal 13 3 2 5 3" xfId="2648"/>
    <cellStyle name="Normal 13 3 2 5 3 2" xfId="5528"/>
    <cellStyle name="Normal 13 3 2 5 3 2 2" xfId="11288"/>
    <cellStyle name="Normal 13 3 2 5 3 2 2 2" xfId="28568"/>
    <cellStyle name="Normal 13 3 2 5 3 2 3" xfId="17048"/>
    <cellStyle name="Normal 13 3 2 5 3 2 3 2" xfId="34328"/>
    <cellStyle name="Normal 13 3 2 5 3 2 4" xfId="22808"/>
    <cellStyle name="Normal 13 3 2 5 3 3" xfId="8408"/>
    <cellStyle name="Normal 13 3 2 5 3 3 2" xfId="25688"/>
    <cellStyle name="Normal 13 3 2 5 3 4" xfId="14168"/>
    <cellStyle name="Normal 13 3 2 5 3 4 2" xfId="31448"/>
    <cellStyle name="Normal 13 3 2 5 3 5" xfId="19928"/>
    <cellStyle name="Normal 13 3 2 5 4" xfId="4088"/>
    <cellStyle name="Normal 13 3 2 5 4 2" xfId="9848"/>
    <cellStyle name="Normal 13 3 2 5 4 2 2" xfId="27128"/>
    <cellStyle name="Normal 13 3 2 5 4 3" xfId="15608"/>
    <cellStyle name="Normal 13 3 2 5 4 3 2" xfId="32888"/>
    <cellStyle name="Normal 13 3 2 5 4 4" xfId="21368"/>
    <cellStyle name="Normal 13 3 2 5 5" xfId="6968"/>
    <cellStyle name="Normal 13 3 2 5 5 2" xfId="24248"/>
    <cellStyle name="Normal 13 3 2 5 6" xfId="12728"/>
    <cellStyle name="Normal 13 3 2 5 6 2" xfId="30008"/>
    <cellStyle name="Normal 13 3 2 5 7" xfId="18488"/>
    <cellStyle name="Normal 13 3 2 6" xfId="1448"/>
    <cellStyle name="Normal 13 3 2 6 2" xfId="2168"/>
    <cellStyle name="Normal 13 3 2 6 2 2" xfId="3608"/>
    <cellStyle name="Normal 13 3 2 6 2 2 2" xfId="6488"/>
    <cellStyle name="Normal 13 3 2 6 2 2 2 2" xfId="12248"/>
    <cellStyle name="Normal 13 3 2 6 2 2 2 2 2" xfId="29528"/>
    <cellStyle name="Normal 13 3 2 6 2 2 2 3" xfId="18008"/>
    <cellStyle name="Normal 13 3 2 6 2 2 2 3 2" xfId="35288"/>
    <cellStyle name="Normal 13 3 2 6 2 2 2 4" xfId="23768"/>
    <cellStyle name="Normal 13 3 2 6 2 2 3" xfId="9368"/>
    <cellStyle name="Normal 13 3 2 6 2 2 3 2" xfId="26648"/>
    <cellStyle name="Normal 13 3 2 6 2 2 4" xfId="15128"/>
    <cellStyle name="Normal 13 3 2 6 2 2 4 2" xfId="32408"/>
    <cellStyle name="Normal 13 3 2 6 2 2 5" xfId="20888"/>
    <cellStyle name="Normal 13 3 2 6 2 3" xfId="5048"/>
    <cellStyle name="Normal 13 3 2 6 2 3 2" xfId="10808"/>
    <cellStyle name="Normal 13 3 2 6 2 3 2 2" xfId="28088"/>
    <cellStyle name="Normal 13 3 2 6 2 3 3" xfId="16568"/>
    <cellStyle name="Normal 13 3 2 6 2 3 3 2" xfId="33848"/>
    <cellStyle name="Normal 13 3 2 6 2 3 4" xfId="22328"/>
    <cellStyle name="Normal 13 3 2 6 2 4" xfId="7928"/>
    <cellStyle name="Normal 13 3 2 6 2 4 2" xfId="25208"/>
    <cellStyle name="Normal 13 3 2 6 2 5" xfId="13688"/>
    <cellStyle name="Normal 13 3 2 6 2 5 2" xfId="30968"/>
    <cellStyle name="Normal 13 3 2 6 2 6" xfId="19448"/>
    <cellStyle name="Normal 13 3 2 6 3" xfId="2888"/>
    <cellStyle name="Normal 13 3 2 6 3 2" xfId="5768"/>
    <cellStyle name="Normal 13 3 2 6 3 2 2" xfId="11528"/>
    <cellStyle name="Normal 13 3 2 6 3 2 2 2" xfId="28808"/>
    <cellStyle name="Normal 13 3 2 6 3 2 3" xfId="17288"/>
    <cellStyle name="Normal 13 3 2 6 3 2 3 2" xfId="34568"/>
    <cellStyle name="Normal 13 3 2 6 3 2 4" xfId="23048"/>
    <cellStyle name="Normal 13 3 2 6 3 3" xfId="8648"/>
    <cellStyle name="Normal 13 3 2 6 3 3 2" xfId="25928"/>
    <cellStyle name="Normal 13 3 2 6 3 4" xfId="14408"/>
    <cellStyle name="Normal 13 3 2 6 3 4 2" xfId="31688"/>
    <cellStyle name="Normal 13 3 2 6 3 5" xfId="20168"/>
    <cellStyle name="Normal 13 3 2 6 4" xfId="4328"/>
    <cellStyle name="Normal 13 3 2 6 4 2" xfId="10088"/>
    <cellStyle name="Normal 13 3 2 6 4 2 2" xfId="27368"/>
    <cellStyle name="Normal 13 3 2 6 4 3" xfId="15848"/>
    <cellStyle name="Normal 13 3 2 6 4 3 2" xfId="33128"/>
    <cellStyle name="Normal 13 3 2 6 4 4" xfId="21608"/>
    <cellStyle name="Normal 13 3 2 6 5" xfId="7208"/>
    <cellStyle name="Normal 13 3 2 6 5 2" xfId="24488"/>
    <cellStyle name="Normal 13 3 2 6 6" xfId="12968"/>
    <cellStyle name="Normal 13 3 2 6 6 2" xfId="30248"/>
    <cellStyle name="Normal 13 3 2 6 7" xfId="18728"/>
    <cellStyle name="Normal 13 3 2 7" xfId="1688"/>
    <cellStyle name="Normal 13 3 2 7 2" xfId="3128"/>
    <cellStyle name="Normal 13 3 2 7 2 2" xfId="6008"/>
    <cellStyle name="Normal 13 3 2 7 2 2 2" xfId="11768"/>
    <cellStyle name="Normal 13 3 2 7 2 2 2 2" xfId="29048"/>
    <cellStyle name="Normal 13 3 2 7 2 2 3" xfId="17528"/>
    <cellStyle name="Normal 13 3 2 7 2 2 3 2" xfId="34808"/>
    <cellStyle name="Normal 13 3 2 7 2 2 4" xfId="23288"/>
    <cellStyle name="Normal 13 3 2 7 2 3" xfId="8888"/>
    <cellStyle name="Normal 13 3 2 7 2 3 2" xfId="26168"/>
    <cellStyle name="Normal 13 3 2 7 2 4" xfId="14648"/>
    <cellStyle name="Normal 13 3 2 7 2 4 2" xfId="31928"/>
    <cellStyle name="Normal 13 3 2 7 2 5" xfId="20408"/>
    <cellStyle name="Normal 13 3 2 7 3" xfId="4568"/>
    <cellStyle name="Normal 13 3 2 7 3 2" xfId="10328"/>
    <cellStyle name="Normal 13 3 2 7 3 2 2" xfId="27608"/>
    <cellStyle name="Normal 13 3 2 7 3 3" xfId="16088"/>
    <cellStyle name="Normal 13 3 2 7 3 3 2" xfId="33368"/>
    <cellStyle name="Normal 13 3 2 7 3 4" xfId="21848"/>
    <cellStyle name="Normal 13 3 2 7 4" xfId="7448"/>
    <cellStyle name="Normal 13 3 2 7 4 2" xfId="24728"/>
    <cellStyle name="Normal 13 3 2 7 5" xfId="13208"/>
    <cellStyle name="Normal 13 3 2 7 5 2" xfId="30488"/>
    <cellStyle name="Normal 13 3 2 7 6" xfId="18968"/>
    <cellStyle name="Normal 13 3 2 8" xfId="2408"/>
    <cellStyle name="Normal 13 3 2 8 2" xfId="5288"/>
    <cellStyle name="Normal 13 3 2 8 2 2" xfId="11048"/>
    <cellStyle name="Normal 13 3 2 8 2 2 2" xfId="28328"/>
    <cellStyle name="Normal 13 3 2 8 2 3" xfId="16808"/>
    <cellStyle name="Normal 13 3 2 8 2 3 2" xfId="34088"/>
    <cellStyle name="Normal 13 3 2 8 2 4" xfId="22568"/>
    <cellStyle name="Normal 13 3 2 8 3" xfId="8168"/>
    <cellStyle name="Normal 13 3 2 8 3 2" xfId="25448"/>
    <cellStyle name="Normal 13 3 2 8 4" xfId="13928"/>
    <cellStyle name="Normal 13 3 2 8 4 2" xfId="31208"/>
    <cellStyle name="Normal 13 3 2 8 5" xfId="19688"/>
    <cellStyle name="Normal 13 3 2 9" xfId="3848"/>
    <cellStyle name="Normal 13 3 2 9 2" xfId="9608"/>
    <cellStyle name="Normal 13 3 2 9 2 2" xfId="26888"/>
    <cellStyle name="Normal 13 3 2 9 3" xfId="15368"/>
    <cellStyle name="Normal 13 3 2 9 3 2" xfId="32648"/>
    <cellStyle name="Normal 13 3 2 9 4" xfId="21128"/>
    <cellStyle name="Normal 13 3 3" xfId="1028"/>
    <cellStyle name="Normal 13 3 3 10" xfId="18308"/>
    <cellStyle name="Normal 13 3 3 2" xfId="1148"/>
    <cellStyle name="Normal 13 3 3 2 2" xfId="1388"/>
    <cellStyle name="Normal 13 3 3 2 2 2" xfId="2108"/>
    <cellStyle name="Normal 13 3 3 2 2 2 2" xfId="3548"/>
    <cellStyle name="Normal 13 3 3 2 2 2 2 2" xfId="6428"/>
    <cellStyle name="Normal 13 3 3 2 2 2 2 2 2" xfId="12188"/>
    <cellStyle name="Normal 13 3 3 2 2 2 2 2 2 2" xfId="29468"/>
    <cellStyle name="Normal 13 3 3 2 2 2 2 2 3" xfId="17948"/>
    <cellStyle name="Normal 13 3 3 2 2 2 2 2 3 2" xfId="35228"/>
    <cellStyle name="Normal 13 3 3 2 2 2 2 2 4" xfId="23708"/>
    <cellStyle name="Normal 13 3 3 2 2 2 2 3" xfId="9308"/>
    <cellStyle name="Normal 13 3 3 2 2 2 2 3 2" xfId="26588"/>
    <cellStyle name="Normal 13 3 3 2 2 2 2 4" xfId="15068"/>
    <cellStyle name="Normal 13 3 3 2 2 2 2 4 2" xfId="32348"/>
    <cellStyle name="Normal 13 3 3 2 2 2 2 5" xfId="20828"/>
    <cellStyle name="Normal 13 3 3 2 2 2 3" xfId="4988"/>
    <cellStyle name="Normal 13 3 3 2 2 2 3 2" xfId="10748"/>
    <cellStyle name="Normal 13 3 3 2 2 2 3 2 2" xfId="28028"/>
    <cellStyle name="Normal 13 3 3 2 2 2 3 3" xfId="16508"/>
    <cellStyle name="Normal 13 3 3 2 2 2 3 3 2" xfId="33788"/>
    <cellStyle name="Normal 13 3 3 2 2 2 3 4" xfId="22268"/>
    <cellStyle name="Normal 13 3 3 2 2 2 4" xfId="7868"/>
    <cellStyle name="Normal 13 3 3 2 2 2 4 2" xfId="25148"/>
    <cellStyle name="Normal 13 3 3 2 2 2 5" xfId="13628"/>
    <cellStyle name="Normal 13 3 3 2 2 2 5 2" xfId="30908"/>
    <cellStyle name="Normal 13 3 3 2 2 2 6" xfId="19388"/>
    <cellStyle name="Normal 13 3 3 2 2 3" xfId="2828"/>
    <cellStyle name="Normal 13 3 3 2 2 3 2" xfId="5708"/>
    <cellStyle name="Normal 13 3 3 2 2 3 2 2" xfId="11468"/>
    <cellStyle name="Normal 13 3 3 2 2 3 2 2 2" xfId="28748"/>
    <cellStyle name="Normal 13 3 3 2 2 3 2 3" xfId="17228"/>
    <cellStyle name="Normal 13 3 3 2 2 3 2 3 2" xfId="34508"/>
    <cellStyle name="Normal 13 3 3 2 2 3 2 4" xfId="22988"/>
    <cellStyle name="Normal 13 3 3 2 2 3 3" xfId="8588"/>
    <cellStyle name="Normal 13 3 3 2 2 3 3 2" xfId="25868"/>
    <cellStyle name="Normal 13 3 3 2 2 3 4" xfId="14348"/>
    <cellStyle name="Normal 13 3 3 2 2 3 4 2" xfId="31628"/>
    <cellStyle name="Normal 13 3 3 2 2 3 5" xfId="20108"/>
    <cellStyle name="Normal 13 3 3 2 2 4" xfId="4268"/>
    <cellStyle name="Normal 13 3 3 2 2 4 2" xfId="10028"/>
    <cellStyle name="Normal 13 3 3 2 2 4 2 2" xfId="27308"/>
    <cellStyle name="Normal 13 3 3 2 2 4 3" xfId="15788"/>
    <cellStyle name="Normal 13 3 3 2 2 4 3 2" xfId="33068"/>
    <cellStyle name="Normal 13 3 3 2 2 4 4" xfId="21548"/>
    <cellStyle name="Normal 13 3 3 2 2 5" xfId="7148"/>
    <cellStyle name="Normal 13 3 3 2 2 5 2" xfId="24428"/>
    <cellStyle name="Normal 13 3 3 2 2 6" xfId="12908"/>
    <cellStyle name="Normal 13 3 3 2 2 6 2" xfId="30188"/>
    <cellStyle name="Normal 13 3 3 2 2 7" xfId="18668"/>
    <cellStyle name="Normal 13 3 3 2 3" xfId="1628"/>
    <cellStyle name="Normal 13 3 3 2 3 2" xfId="2348"/>
    <cellStyle name="Normal 13 3 3 2 3 2 2" xfId="3788"/>
    <cellStyle name="Normal 13 3 3 2 3 2 2 2" xfId="6668"/>
    <cellStyle name="Normal 13 3 3 2 3 2 2 2 2" xfId="12428"/>
    <cellStyle name="Normal 13 3 3 2 3 2 2 2 2 2" xfId="29708"/>
    <cellStyle name="Normal 13 3 3 2 3 2 2 2 3" xfId="18188"/>
    <cellStyle name="Normal 13 3 3 2 3 2 2 2 3 2" xfId="35468"/>
    <cellStyle name="Normal 13 3 3 2 3 2 2 2 4" xfId="23948"/>
    <cellStyle name="Normal 13 3 3 2 3 2 2 3" xfId="9548"/>
    <cellStyle name="Normal 13 3 3 2 3 2 2 3 2" xfId="26828"/>
    <cellStyle name="Normal 13 3 3 2 3 2 2 4" xfId="15308"/>
    <cellStyle name="Normal 13 3 3 2 3 2 2 4 2" xfId="32588"/>
    <cellStyle name="Normal 13 3 3 2 3 2 2 5" xfId="21068"/>
    <cellStyle name="Normal 13 3 3 2 3 2 3" xfId="5228"/>
    <cellStyle name="Normal 13 3 3 2 3 2 3 2" xfId="10988"/>
    <cellStyle name="Normal 13 3 3 2 3 2 3 2 2" xfId="28268"/>
    <cellStyle name="Normal 13 3 3 2 3 2 3 3" xfId="16748"/>
    <cellStyle name="Normal 13 3 3 2 3 2 3 3 2" xfId="34028"/>
    <cellStyle name="Normal 13 3 3 2 3 2 3 4" xfId="22508"/>
    <cellStyle name="Normal 13 3 3 2 3 2 4" xfId="8108"/>
    <cellStyle name="Normal 13 3 3 2 3 2 4 2" xfId="25388"/>
    <cellStyle name="Normal 13 3 3 2 3 2 5" xfId="13868"/>
    <cellStyle name="Normal 13 3 3 2 3 2 5 2" xfId="31148"/>
    <cellStyle name="Normal 13 3 3 2 3 2 6" xfId="19628"/>
    <cellStyle name="Normal 13 3 3 2 3 3" xfId="3068"/>
    <cellStyle name="Normal 13 3 3 2 3 3 2" xfId="5948"/>
    <cellStyle name="Normal 13 3 3 2 3 3 2 2" xfId="11708"/>
    <cellStyle name="Normal 13 3 3 2 3 3 2 2 2" xfId="28988"/>
    <cellStyle name="Normal 13 3 3 2 3 3 2 3" xfId="17468"/>
    <cellStyle name="Normal 13 3 3 2 3 3 2 3 2" xfId="34748"/>
    <cellStyle name="Normal 13 3 3 2 3 3 2 4" xfId="23228"/>
    <cellStyle name="Normal 13 3 3 2 3 3 3" xfId="8828"/>
    <cellStyle name="Normal 13 3 3 2 3 3 3 2" xfId="26108"/>
    <cellStyle name="Normal 13 3 3 2 3 3 4" xfId="14588"/>
    <cellStyle name="Normal 13 3 3 2 3 3 4 2" xfId="31868"/>
    <cellStyle name="Normal 13 3 3 2 3 3 5" xfId="20348"/>
    <cellStyle name="Normal 13 3 3 2 3 4" xfId="4508"/>
    <cellStyle name="Normal 13 3 3 2 3 4 2" xfId="10268"/>
    <cellStyle name="Normal 13 3 3 2 3 4 2 2" xfId="27548"/>
    <cellStyle name="Normal 13 3 3 2 3 4 3" xfId="16028"/>
    <cellStyle name="Normal 13 3 3 2 3 4 3 2" xfId="33308"/>
    <cellStyle name="Normal 13 3 3 2 3 4 4" xfId="21788"/>
    <cellStyle name="Normal 13 3 3 2 3 5" xfId="7388"/>
    <cellStyle name="Normal 13 3 3 2 3 5 2" xfId="24668"/>
    <cellStyle name="Normal 13 3 3 2 3 6" xfId="13148"/>
    <cellStyle name="Normal 13 3 3 2 3 6 2" xfId="30428"/>
    <cellStyle name="Normal 13 3 3 2 3 7" xfId="18908"/>
    <cellStyle name="Normal 13 3 3 2 4" xfId="1868"/>
    <cellStyle name="Normal 13 3 3 2 4 2" xfId="3308"/>
    <cellStyle name="Normal 13 3 3 2 4 2 2" xfId="6188"/>
    <cellStyle name="Normal 13 3 3 2 4 2 2 2" xfId="11948"/>
    <cellStyle name="Normal 13 3 3 2 4 2 2 2 2" xfId="29228"/>
    <cellStyle name="Normal 13 3 3 2 4 2 2 3" xfId="17708"/>
    <cellStyle name="Normal 13 3 3 2 4 2 2 3 2" xfId="34988"/>
    <cellStyle name="Normal 13 3 3 2 4 2 2 4" xfId="23468"/>
    <cellStyle name="Normal 13 3 3 2 4 2 3" xfId="9068"/>
    <cellStyle name="Normal 13 3 3 2 4 2 3 2" xfId="26348"/>
    <cellStyle name="Normal 13 3 3 2 4 2 4" xfId="14828"/>
    <cellStyle name="Normal 13 3 3 2 4 2 4 2" xfId="32108"/>
    <cellStyle name="Normal 13 3 3 2 4 2 5" xfId="20588"/>
    <cellStyle name="Normal 13 3 3 2 4 3" xfId="4748"/>
    <cellStyle name="Normal 13 3 3 2 4 3 2" xfId="10508"/>
    <cellStyle name="Normal 13 3 3 2 4 3 2 2" xfId="27788"/>
    <cellStyle name="Normal 13 3 3 2 4 3 3" xfId="16268"/>
    <cellStyle name="Normal 13 3 3 2 4 3 3 2" xfId="33548"/>
    <cellStyle name="Normal 13 3 3 2 4 3 4" xfId="22028"/>
    <cellStyle name="Normal 13 3 3 2 4 4" xfId="7628"/>
    <cellStyle name="Normal 13 3 3 2 4 4 2" xfId="24908"/>
    <cellStyle name="Normal 13 3 3 2 4 5" xfId="13388"/>
    <cellStyle name="Normal 13 3 3 2 4 5 2" xfId="30668"/>
    <cellStyle name="Normal 13 3 3 2 4 6" xfId="19148"/>
    <cellStyle name="Normal 13 3 3 2 5" xfId="2588"/>
    <cellStyle name="Normal 13 3 3 2 5 2" xfId="5468"/>
    <cellStyle name="Normal 13 3 3 2 5 2 2" xfId="11228"/>
    <cellStyle name="Normal 13 3 3 2 5 2 2 2" xfId="28508"/>
    <cellStyle name="Normal 13 3 3 2 5 2 3" xfId="16988"/>
    <cellStyle name="Normal 13 3 3 2 5 2 3 2" xfId="34268"/>
    <cellStyle name="Normal 13 3 3 2 5 2 4" xfId="22748"/>
    <cellStyle name="Normal 13 3 3 2 5 3" xfId="8348"/>
    <cellStyle name="Normal 13 3 3 2 5 3 2" xfId="25628"/>
    <cellStyle name="Normal 13 3 3 2 5 4" xfId="14108"/>
    <cellStyle name="Normal 13 3 3 2 5 4 2" xfId="31388"/>
    <cellStyle name="Normal 13 3 3 2 5 5" xfId="19868"/>
    <cellStyle name="Normal 13 3 3 2 6" xfId="4028"/>
    <cellStyle name="Normal 13 3 3 2 6 2" xfId="9788"/>
    <cellStyle name="Normal 13 3 3 2 6 2 2" xfId="27068"/>
    <cellStyle name="Normal 13 3 3 2 6 3" xfId="15548"/>
    <cellStyle name="Normal 13 3 3 2 6 3 2" xfId="32828"/>
    <cellStyle name="Normal 13 3 3 2 6 4" xfId="21308"/>
    <cellStyle name="Normal 13 3 3 2 7" xfId="6908"/>
    <cellStyle name="Normal 13 3 3 2 7 2" xfId="24188"/>
    <cellStyle name="Normal 13 3 3 2 8" xfId="12668"/>
    <cellStyle name="Normal 13 3 3 2 8 2" xfId="29948"/>
    <cellStyle name="Normal 13 3 3 2 9" xfId="18428"/>
    <cellStyle name="Normal 13 3 3 3" xfId="1268"/>
    <cellStyle name="Normal 13 3 3 3 2" xfId="1988"/>
    <cellStyle name="Normal 13 3 3 3 2 2" xfId="3428"/>
    <cellStyle name="Normal 13 3 3 3 2 2 2" xfId="6308"/>
    <cellStyle name="Normal 13 3 3 3 2 2 2 2" xfId="12068"/>
    <cellStyle name="Normal 13 3 3 3 2 2 2 2 2" xfId="29348"/>
    <cellStyle name="Normal 13 3 3 3 2 2 2 3" xfId="17828"/>
    <cellStyle name="Normal 13 3 3 3 2 2 2 3 2" xfId="35108"/>
    <cellStyle name="Normal 13 3 3 3 2 2 2 4" xfId="23588"/>
    <cellStyle name="Normal 13 3 3 3 2 2 3" xfId="9188"/>
    <cellStyle name="Normal 13 3 3 3 2 2 3 2" xfId="26468"/>
    <cellStyle name="Normal 13 3 3 3 2 2 4" xfId="14948"/>
    <cellStyle name="Normal 13 3 3 3 2 2 4 2" xfId="32228"/>
    <cellStyle name="Normal 13 3 3 3 2 2 5" xfId="20708"/>
    <cellStyle name="Normal 13 3 3 3 2 3" xfId="4868"/>
    <cellStyle name="Normal 13 3 3 3 2 3 2" xfId="10628"/>
    <cellStyle name="Normal 13 3 3 3 2 3 2 2" xfId="27908"/>
    <cellStyle name="Normal 13 3 3 3 2 3 3" xfId="16388"/>
    <cellStyle name="Normal 13 3 3 3 2 3 3 2" xfId="33668"/>
    <cellStyle name="Normal 13 3 3 3 2 3 4" xfId="22148"/>
    <cellStyle name="Normal 13 3 3 3 2 4" xfId="7748"/>
    <cellStyle name="Normal 13 3 3 3 2 4 2" xfId="25028"/>
    <cellStyle name="Normal 13 3 3 3 2 5" xfId="13508"/>
    <cellStyle name="Normal 13 3 3 3 2 5 2" xfId="30788"/>
    <cellStyle name="Normal 13 3 3 3 2 6" xfId="19268"/>
    <cellStyle name="Normal 13 3 3 3 3" xfId="2708"/>
    <cellStyle name="Normal 13 3 3 3 3 2" xfId="5588"/>
    <cellStyle name="Normal 13 3 3 3 3 2 2" xfId="11348"/>
    <cellStyle name="Normal 13 3 3 3 3 2 2 2" xfId="28628"/>
    <cellStyle name="Normal 13 3 3 3 3 2 3" xfId="17108"/>
    <cellStyle name="Normal 13 3 3 3 3 2 3 2" xfId="34388"/>
    <cellStyle name="Normal 13 3 3 3 3 2 4" xfId="22868"/>
    <cellStyle name="Normal 13 3 3 3 3 3" xfId="8468"/>
    <cellStyle name="Normal 13 3 3 3 3 3 2" xfId="25748"/>
    <cellStyle name="Normal 13 3 3 3 3 4" xfId="14228"/>
    <cellStyle name="Normal 13 3 3 3 3 4 2" xfId="31508"/>
    <cellStyle name="Normal 13 3 3 3 3 5" xfId="19988"/>
    <cellStyle name="Normal 13 3 3 3 4" xfId="4148"/>
    <cellStyle name="Normal 13 3 3 3 4 2" xfId="9908"/>
    <cellStyle name="Normal 13 3 3 3 4 2 2" xfId="27188"/>
    <cellStyle name="Normal 13 3 3 3 4 3" xfId="15668"/>
    <cellStyle name="Normal 13 3 3 3 4 3 2" xfId="32948"/>
    <cellStyle name="Normal 13 3 3 3 4 4" xfId="21428"/>
    <cellStyle name="Normal 13 3 3 3 5" xfId="7028"/>
    <cellStyle name="Normal 13 3 3 3 5 2" xfId="24308"/>
    <cellStyle name="Normal 13 3 3 3 6" xfId="12788"/>
    <cellStyle name="Normal 13 3 3 3 6 2" xfId="30068"/>
    <cellStyle name="Normal 13 3 3 3 7" xfId="18548"/>
    <cellStyle name="Normal 13 3 3 4" xfId="1508"/>
    <cellStyle name="Normal 13 3 3 4 2" xfId="2228"/>
    <cellStyle name="Normal 13 3 3 4 2 2" xfId="3668"/>
    <cellStyle name="Normal 13 3 3 4 2 2 2" xfId="6548"/>
    <cellStyle name="Normal 13 3 3 4 2 2 2 2" xfId="12308"/>
    <cellStyle name="Normal 13 3 3 4 2 2 2 2 2" xfId="29588"/>
    <cellStyle name="Normal 13 3 3 4 2 2 2 3" xfId="18068"/>
    <cellStyle name="Normal 13 3 3 4 2 2 2 3 2" xfId="35348"/>
    <cellStyle name="Normal 13 3 3 4 2 2 2 4" xfId="23828"/>
    <cellStyle name="Normal 13 3 3 4 2 2 3" xfId="9428"/>
    <cellStyle name="Normal 13 3 3 4 2 2 3 2" xfId="26708"/>
    <cellStyle name="Normal 13 3 3 4 2 2 4" xfId="15188"/>
    <cellStyle name="Normal 13 3 3 4 2 2 4 2" xfId="32468"/>
    <cellStyle name="Normal 13 3 3 4 2 2 5" xfId="20948"/>
    <cellStyle name="Normal 13 3 3 4 2 3" xfId="5108"/>
    <cellStyle name="Normal 13 3 3 4 2 3 2" xfId="10868"/>
    <cellStyle name="Normal 13 3 3 4 2 3 2 2" xfId="28148"/>
    <cellStyle name="Normal 13 3 3 4 2 3 3" xfId="16628"/>
    <cellStyle name="Normal 13 3 3 4 2 3 3 2" xfId="33908"/>
    <cellStyle name="Normal 13 3 3 4 2 3 4" xfId="22388"/>
    <cellStyle name="Normal 13 3 3 4 2 4" xfId="7988"/>
    <cellStyle name="Normal 13 3 3 4 2 4 2" xfId="25268"/>
    <cellStyle name="Normal 13 3 3 4 2 5" xfId="13748"/>
    <cellStyle name="Normal 13 3 3 4 2 5 2" xfId="31028"/>
    <cellStyle name="Normal 13 3 3 4 2 6" xfId="19508"/>
    <cellStyle name="Normal 13 3 3 4 3" xfId="2948"/>
    <cellStyle name="Normal 13 3 3 4 3 2" xfId="5828"/>
    <cellStyle name="Normal 13 3 3 4 3 2 2" xfId="11588"/>
    <cellStyle name="Normal 13 3 3 4 3 2 2 2" xfId="28868"/>
    <cellStyle name="Normal 13 3 3 4 3 2 3" xfId="17348"/>
    <cellStyle name="Normal 13 3 3 4 3 2 3 2" xfId="34628"/>
    <cellStyle name="Normal 13 3 3 4 3 2 4" xfId="23108"/>
    <cellStyle name="Normal 13 3 3 4 3 3" xfId="8708"/>
    <cellStyle name="Normal 13 3 3 4 3 3 2" xfId="25988"/>
    <cellStyle name="Normal 13 3 3 4 3 4" xfId="14468"/>
    <cellStyle name="Normal 13 3 3 4 3 4 2" xfId="31748"/>
    <cellStyle name="Normal 13 3 3 4 3 5" xfId="20228"/>
    <cellStyle name="Normal 13 3 3 4 4" xfId="4388"/>
    <cellStyle name="Normal 13 3 3 4 4 2" xfId="10148"/>
    <cellStyle name="Normal 13 3 3 4 4 2 2" xfId="27428"/>
    <cellStyle name="Normal 13 3 3 4 4 3" xfId="15908"/>
    <cellStyle name="Normal 13 3 3 4 4 3 2" xfId="33188"/>
    <cellStyle name="Normal 13 3 3 4 4 4" xfId="21668"/>
    <cellStyle name="Normal 13 3 3 4 5" xfId="7268"/>
    <cellStyle name="Normal 13 3 3 4 5 2" xfId="24548"/>
    <cellStyle name="Normal 13 3 3 4 6" xfId="13028"/>
    <cellStyle name="Normal 13 3 3 4 6 2" xfId="30308"/>
    <cellStyle name="Normal 13 3 3 4 7" xfId="18788"/>
    <cellStyle name="Normal 13 3 3 5" xfId="1748"/>
    <cellStyle name="Normal 13 3 3 5 2" xfId="3188"/>
    <cellStyle name="Normal 13 3 3 5 2 2" xfId="6068"/>
    <cellStyle name="Normal 13 3 3 5 2 2 2" xfId="11828"/>
    <cellStyle name="Normal 13 3 3 5 2 2 2 2" xfId="29108"/>
    <cellStyle name="Normal 13 3 3 5 2 2 3" xfId="17588"/>
    <cellStyle name="Normal 13 3 3 5 2 2 3 2" xfId="34868"/>
    <cellStyle name="Normal 13 3 3 5 2 2 4" xfId="23348"/>
    <cellStyle name="Normal 13 3 3 5 2 3" xfId="8948"/>
    <cellStyle name="Normal 13 3 3 5 2 3 2" xfId="26228"/>
    <cellStyle name="Normal 13 3 3 5 2 4" xfId="14708"/>
    <cellStyle name="Normal 13 3 3 5 2 4 2" xfId="31988"/>
    <cellStyle name="Normal 13 3 3 5 2 5" xfId="20468"/>
    <cellStyle name="Normal 13 3 3 5 3" xfId="4628"/>
    <cellStyle name="Normal 13 3 3 5 3 2" xfId="10388"/>
    <cellStyle name="Normal 13 3 3 5 3 2 2" xfId="27668"/>
    <cellStyle name="Normal 13 3 3 5 3 3" xfId="16148"/>
    <cellStyle name="Normal 13 3 3 5 3 3 2" xfId="33428"/>
    <cellStyle name="Normal 13 3 3 5 3 4" xfId="21908"/>
    <cellStyle name="Normal 13 3 3 5 4" xfId="7508"/>
    <cellStyle name="Normal 13 3 3 5 4 2" xfId="24788"/>
    <cellStyle name="Normal 13 3 3 5 5" xfId="13268"/>
    <cellStyle name="Normal 13 3 3 5 5 2" xfId="30548"/>
    <cellStyle name="Normal 13 3 3 5 6" xfId="19028"/>
    <cellStyle name="Normal 13 3 3 6" xfId="2468"/>
    <cellStyle name="Normal 13 3 3 6 2" xfId="5348"/>
    <cellStyle name="Normal 13 3 3 6 2 2" xfId="11108"/>
    <cellStyle name="Normal 13 3 3 6 2 2 2" xfId="28388"/>
    <cellStyle name="Normal 13 3 3 6 2 3" xfId="16868"/>
    <cellStyle name="Normal 13 3 3 6 2 3 2" xfId="34148"/>
    <cellStyle name="Normal 13 3 3 6 2 4" xfId="22628"/>
    <cellStyle name="Normal 13 3 3 6 3" xfId="8228"/>
    <cellStyle name="Normal 13 3 3 6 3 2" xfId="25508"/>
    <cellStyle name="Normal 13 3 3 6 4" xfId="13988"/>
    <cellStyle name="Normal 13 3 3 6 4 2" xfId="31268"/>
    <cellStyle name="Normal 13 3 3 6 5" xfId="19748"/>
    <cellStyle name="Normal 13 3 3 7" xfId="3908"/>
    <cellStyle name="Normal 13 3 3 7 2" xfId="9668"/>
    <cellStyle name="Normal 13 3 3 7 2 2" xfId="26948"/>
    <cellStyle name="Normal 13 3 3 7 3" xfId="15428"/>
    <cellStyle name="Normal 13 3 3 7 3 2" xfId="32708"/>
    <cellStyle name="Normal 13 3 3 7 4" xfId="21188"/>
    <cellStyle name="Normal 13 3 3 8" xfId="6788"/>
    <cellStyle name="Normal 13 3 3 8 2" xfId="24068"/>
    <cellStyle name="Normal 13 3 3 9" xfId="12548"/>
    <cellStyle name="Normal 13 3 3 9 2" xfId="29828"/>
    <cellStyle name="Normal 13 3 4" xfId="988"/>
    <cellStyle name="Normal 13 3 4 10" xfId="18268"/>
    <cellStyle name="Normal 13 3 4 2" xfId="1108"/>
    <cellStyle name="Normal 13 3 4 2 2" xfId="1348"/>
    <cellStyle name="Normal 13 3 4 2 2 2" xfId="2068"/>
    <cellStyle name="Normal 13 3 4 2 2 2 2" xfId="3508"/>
    <cellStyle name="Normal 13 3 4 2 2 2 2 2" xfId="6388"/>
    <cellStyle name="Normal 13 3 4 2 2 2 2 2 2" xfId="12148"/>
    <cellStyle name="Normal 13 3 4 2 2 2 2 2 2 2" xfId="29428"/>
    <cellStyle name="Normal 13 3 4 2 2 2 2 2 3" xfId="17908"/>
    <cellStyle name="Normal 13 3 4 2 2 2 2 2 3 2" xfId="35188"/>
    <cellStyle name="Normal 13 3 4 2 2 2 2 2 4" xfId="23668"/>
    <cellStyle name="Normal 13 3 4 2 2 2 2 3" xfId="9268"/>
    <cellStyle name="Normal 13 3 4 2 2 2 2 3 2" xfId="26548"/>
    <cellStyle name="Normal 13 3 4 2 2 2 2 4" xfId="15028"/>
    <cellStyle name="Normal 13 3 4 2 2 2 2 4 2" xfId="32308"/>
    <cellStyle name="Normal 13 3 4 2 2 2 2 5" xfId="20788"/>
    <cellStyle name="Normal 13 3 4 2 2 2 3" xfId="4948"/>
    <cellStyle name="Normal 13 3 4 2 2 2 3 2" xfId="10708"/>
    <cellStyle name="Normal 13 3 4 2 2 2 3 2 2" xfId="27988"/>
    <cellStyle name="Normal 13 3 4 2 2 2 3 3" xfId="16468"/>
    <cellStyle name="Normal 13 3 4 2 2 2 3 3 2" xfId="33748"/>
    <cellStyle name="Normal 13 3 4 2 2 2 3 4" xfId="22228"/>
    <cellStyle name="Normal 13 3 4 2 2 2 4" xfId="7828"/>
    <cellStyle name="Normal 13 3 4 2 2 2 4 2" xfId="25108"/>
    <cellStyle name="Normal 13 3 4 2 2 2 5" xfId="13588"/>
    <cellStyle name="Normal 13 3 4 2 2 2 5 2" xfId="30868"/>
    <cellStyle name="Normal 13 3 4 2 2 2 6" xfId="19348"/>
    <cellStyle name="Normal 13 3 4 2 2 3" xfId="2788"/>
    <cellStyle name="Normal 13 3 4 2 2 3 2" xfId="5668"/>
    <cellStyle name="Normal 13 3 4 2 2 3 2 2" xfId="11428"/>
    <cellStyle name="Normal 13 3 4 2 2 3 2 2 2" xfId="28708"/>
    <cellStyle name="Normal 13 3 4 2 2 3 2 3" xfId="17188"/>
    <cellStyle name="Normal 13 3 4 2 2 3 2 3 2" xfId="34468"/>
    <cellStyle name="Normal 13 3 4 2 2 3 2 4" xfId="22948"/>
    <cellStyle name="Normal 13 3 4 2 2 3 3" xfId="8548"/>
    <cellStyle name="Normal 13 3 4 2 2 3 3 2" xfId="25828"/>
    <cellStyle name="Normal 13 3 4 2 2 3 4" xfId="14308"/>
    <cellStyle name="Normal 13 3 4 2 2 3 4 2" xfId="31588"/>
    <cellStyle name="Normal 13 3 4 2 2 3 5" xfId="20068"/>
    <cellStyle name="Normal 13 3 4 2 2 4" xfId="4228"/>
    <cellStyle name="Normal 13 3 4 2 2 4 2" xfId="9988"/>
    <cellStyle name="Normal 13 3 4 2 2 4 2 2" xfId="27268"/>
    <cellStyle name="Normal 13 3 4 2 2 4 3" xfId="15748"/>
    <cellStyle name="Normal 13 3 4 2 2 4 3 2" xfId="33028"/>
    <cellStyle name="Normal 13 3 4 2 2 4 4" xfId="21508"/>
    <cellStyle name="Normal 13 3 4 2 2 5" xfId="7108"/>
    <cellStyle name="Normal 13 3 4 2 2 5 2" xfId="24388"/>
    <cellStyle name="Normal 13 3 4 2 2 6" xfId="12868"/>
    <cellStyle name="Normal 13 3 4 2 2 6 2" xfId="30148"/>
    <cellStyle name="Normal 13 3 4 2 2 7" xfId="18628"/>
    <cellStyle name="Normal 13 3 4 2 3" xfId="1588"/>
    <cellStyle name="Normal 13 3 4 2 3 2" xfId="2308"/>
    <cellStyle name="Normal 13 3 4 2 3 2 2" xfId="3748"/>
    <cellStyle name="Normal 13 3 4 2 3 2 2 2" xfId="6628"/>
    <cellStyle name="Normal 13 3 4 2 3 2 2 2 2" xfId="12388"/>
    <cellStyle name="Normal 13 3 4 2 3 2 2 2 2 2" xfId="29668"/>
    <cellStyle name="Normal 13 3 4 2 3 2 2 2 3" xfId="18148"/>
    <cellStyle name="Normal 13 3 4 2 3 2 2 2 3 2" xfId="35428"/>
    <cellStyle name="Normal 13 3 4 2 3 2 2 2 4" xfId="23908"/>
    <cellStyle name="Normal 13 3 4 2 3 2 2 3" xfId="9508"/>
    <cellStyle name="Normal 13 3 4 2 3 2 2 3 2" xfId="26788"/>
    <cellStyle name="Normal 13 3 4 2 3 2 2 4" xfId="15268"/>
    <cellStyle name="Normal 13 3 4 2 3 2 2 4 2" xfId="32548"/>
    <cellStyle name="Normal 13 3 4 2 3 2 2 5" xfId="21028"/>
    <cellStyle name="Normal 13 3 4 2 3 2 3" xfId="5188"/>
    <cellStyle name="Normal 13 3 4 2 3 2 3 2" xfId="10948"/>
    <cellStyle name="Normal 13 3 4 2 3 2 3 2 2" xfId="28228"/>
    <cellStyle name="Normal 13 3 4 2 3 2 3 3" xfId="16708"/>
    <cellStyle name="Normal 13 3 4 2 3 2 3 3 2" xfId="33988"/>
    <cellStyle name="Normal 13 3 4 2 3 2 3 4" xfId="22468"/>
    <cellStyle name="Normal 13 3 4 2 3 2 4" xfId="8068"/>
    <cellStyle name="Normal 13 3 4 2 3 2 4 2" xfId="25348"/>
    <cellStyle name="Normal 13 3 4 2 3 2 5" xfId="13828"/>
    <cellStyle name="Normal 13 3 4 2 3 2 5 2" xfId="31108"/>
    <cellStyle name="Normal 13 3 4 2 3 2 6" xfId="19588"/>
    <cellStyle name="Normal 13 3 4 2 3 3" xfId="3028"/>
    <cellStyle name="Normal 13 3 4 2 3 3 2" xfId="5908"/>
    <cellStyle name="Normal 13 3 4 2 3 3 2 2" xfId="11668"/>
    <cellStyle name="Normal 13 3 4 2 3 3 2 2 2" xfId="28948"/>
    <cellStyle name="Normal 13 3 4 2 3 3 2 3" xfId="17428"/>
    <cellStyle name="Normal 13 3 4 2 3 3 2 3 2" xfId="34708"/>
    <cellStyle name="Normal 13 3 4 2 3 3 2 4" xfId="23188"/>
    <cellStyle name="Normal 13 3 4 2 3 3 3" xfId="8788"/>
    <cellStyle name="Normal 13 3 4 2 3 3 3 2" xfId="26068"/>
    <cellStyle name="Normal 13 3 4 2 3 3 4" xfId="14548"/>
    <cellStyle name="Normal 13 3 4 2 3 3 4 2" xfId="31828"/>
    <cellStyle name="Normal 13 3 4 2 3 3 5" xfId="20308"/>
    <cellStyle name="Normal 13 3 4 2 3 4" xfId="4468"/>
    <cellStyle name="Normal 13 3 4 2 3 4 2" xfId="10228"/>
    <cellStyle name="Normal 13 3 4 2 3 4 2 2" xfId="27508"/>
    <cellStyle name="Normal 13 3 4 2 3 4 3" xfId="15988"/>
    <cellStyle name="Normal 13 3 4 2 3 4 3 2" xfId="33268"/>
    <cellStyle name="Normal 13 3 4 2 3 4 4" xfId="21748"/>
    <cellStyle name="Normal 13 3 4 2 3 5" xfId="7348"/>
    <cellStyle name="Normal 13 3 4 2 3 5 2" xfId="24628"/>
    <cellStyle name="Normal 13 3 4 2 3 6" xfId="13108"/>
    <cellStyle name="Normal 13 3 4 2 3 6 2" xfId="30388"/>
    <cellStyle name="Normal 13 3 4 2 3 7" xfId="18868"/>
    <cellStyle name="Normal 13 3 4 2 4" xfId="1828"/>
    <cellStyle name="Normal 13 3 4 2 4 2" xfId="3268"/>
    <cellStyle name="Normal 13 3 4 2 4 2 2" xfId="6148"/>
    <cellStyle name="Normal 13 3 4 2 4 2 2 2" xfId="11908"/>
    <cellStyle name="Normal 13 3 4 2 4 2 2 2 2" xfId="29188"/>
    <cellStyle name="Normal 13 3 4 2 4 2 2 3" xfId="17668"/>
    <cellStyle name="Normal 13 3 4 2 4 2 2 3 2" xfId="34948"/>
    <cellStyle name="Normal 13 3 4 2 4 2 2 4" xfId="23428"/>
    <cellStyle name="Normal 13 3 4 2 4 2 3" xfId="9028"/>
    <cellStyle name="Normal 13 3 4 2 4 2 3 2" xfId="26308"/>
    <cellStyle name="Normal 13 3 4 2 4 2 4" xfId="14788"/>
    <cellStyle name="Normal 13 3 4 2 4 2 4 2" xfId="32068"/>
    <cellStyle name="Normal 13 3 4 2 4 2 5" xfId="20548"/>
    <cellStyle name="Normal 13 3 4 2 4 3" xfId="4708"/>
    <cellStyle name="Normal 13 3 4 2 4 3 2" xfId="10468"/>
    <cellStyle name="Normal 13 3 4 2 4 3 2 2" xfId="27748"/>
    <cellStyle name="Normal 13 3 4 2 4 3 3" xfId="16228"/>
    <cellStyle name="Normal 13 3 4 2 4 3 3 2" xfId="33508"/>
    <cellStyle name="Normal 13 3 4 2 4 3 4" xfId="21988"/>
    <cellStyle name="Normal 13 3 4 2 4 4" xfId="7588"/>
    <cellStyle name="Normal 13 3 4 2 4 4 2" xfId="24868"/>
    <cellStyle name="Normal 13 3 4 2 4 5" xfId="13348"/>
    <cellStyle name="Normal 13 3 4 2 4 5 2" xfId="30628"/>
    <cellStyle name="Normal 13 3 4 2 4 6" xfId="19108"/>
    <cellStyle name="Normal 13 3 4 2 5" xfId="2548"/>
    <cellStyle name="Normal 13 3 4 2 5 2" xfId="5428"/>
    <cellStyle name="Normal 13 3 4 2 5 2 2" xfId="11188"/>
    <cellStyle name="Normal 13 3 4 2 5 2 2 2" xfId="28468"/>
    <cellStyle name="Normal 13 3 4 2 5 2 3" xfId="16948"/>
    <cellStyle name="Normal 13 3 4 2 5 2 3 2" xfId="34228"/>
    <cellStyle name="Normal 13 3 4 2 5 2 4" xfId="22708"/>
    <cellStyle name="Normal 13 3 4 2 5 3" xfId="8308"/>
    <cellStyle name="Normal 13 3 4 2 5 3 2" xfId="25588"/>
    <cellStyle name="Normal 13 3 4 2 5 4" xfId="14068"/>
    <cellStyle name="Normal 13 3 4 2 5 4 2" xfId="31348"/>
    <cellStyle name="Normal 13 3 4 2 5 5" xfId="19828"/>
    <cellStyle name="Normal 13 3 4 2 6" xfId="3988"/>
    <cellStyle name="Normal 13 3 4 2 6 2" xfId="9748"/>
    <cellStyle name="Normal 13 3 4 2 6 2 2" xfId="27028"/>
    <cellStyle name="Normal 13 3 4 2 6 3" xfId="15508"/>
    <cellStyle name="Normal 13 3 4 2 6 3 2" xfId="32788"/>
    <cellStyle name="Normal 13 3 4 2 6 4" xfId="21268"/>
    <cellStyle name="Normal 13 3 4 2 7" xfId="6868"/>
    <cellStyle name="Normal 13 3 4 2 7 2" xfId="24148"/>
    <cellStyle name="Normal 13 3 4 2 8" xfId="12628"/>
    <cellStyle name="Normal 13 3 4 2 8 2" xfId="29908"/>
    <cellStyle name="Normal 13 3 4 2 9" xfId="18388"/>
    <cellStyle name="Normal 13 3 4 3" xfId="1228"/>
    <cellStyle name="Normal 13 3 4 3 2" xfId="1948"/>
    <cellStyle name="Normal 13 3 4 3 2 2" xfId="3388"/>
    <cellStyle name="Normal 13 3 4 3 2 2 2" xfId="6268"/>
    <cellStyle name="Normal 13 3 4 3 2 2 2 2" xfId="12028"/>
    <cellStyle name="Normal 13 3 4 3 2 2 2 2 2" xfId="29308"/>
    <cellStyle name="Normal 13 3 4 3 2 2 2 3" xfId="17788"/>
    <cellStyle name="Normal 13 3 4 3 2 2 2 3 2" xfId="35068"/>
    <cellStyle name="Normal 13 3 4 3 2 2 2 4" xfId="23548"/>
    <cellStyle name="Normal 13 3 4 3 2 2 3" xfId="9148"/>
    <cellStyle name="Normal 13 3 4 3 2 2 3 2" xfId="26428"/>
    <cellStyle name="Normal 13 3 4 3 2 2 4" xfId="14908"/>
    <cellStyle name="Normal 13 3 4 3 2 2 4 2" xfId="32188"/>
    <cellStyle name="Normal 13 3 4 3 2 2 5" xfId="20668"/>
    <cellStyle name="Normal 13 3 4 3 2 3" xfId="4828"/>
    <cellStyle name="Normal 13 3 4 3 2 3 2" xfId="10588"/>
    <cellStyle name="Normal 13 3 4 3 2 3 2 2" xfId="27868"/>
    <cellStyle name="Normal 13 3 4 3 2 3 3" xfId="16348"/>
    <cellStyle name="Normal 13 3 4 3 2 3 3 2" xfId="33628"/>
    <cellStyle name="Normal 13 3 4 3 2 3 4" xfId="22108"/>
    <cellStyle name="Normal 13 3 4 3 2 4" xfId="7708"/>
    <cellStyle name="Normal 13 3 4 3 2 4 2" xfId="24988"/>
    <cellStyle name="Normal 13 3 4 3 2 5" xfId="13468"/>
    <cellStyle name="Normal 13 3 4 3 2 5 2" xfId="30748"/>
    <cellStyle name="Normal 13 3 4 3 2 6" xfId="19228"/>
    <cellStyle name="Normal 13 3 4 3 3" xfId="2668"/>
    <cellStyle name="Normal 13 3 4 3 3 2" xfId="5548"/>
    <cellStyle name="Normal 13 3 4 3 3 2 2" xfId="11308"/>
    <cellStyle name="Normal 13 3 4 3 3 2 2 2" xfId="28588"/>
    <cellStyle name="Normal 13 3 4 3 3 2 3" xfId="17068"/>
    <cellStyle name="Normal 13 3 4 3 3 2 3 2" xfId="34348"/>
    <cellStyle name="Normal 13 3 4 3 3 2 4" xfId="22828"/>
    <cellStyle name="Normal 13 3 4 3 3 3" xfId="8428"/>
    <cellStyle name="Normal 13 3 4 3 3 3 2" xfId="25708"/>
    <cellStyle name="Normal 13 3 4 3 3 4" xfId="14188"/>
    <cellStyle name="Normal 13 3 4 3 3 4 2" xfId="31468"/>
    <cellStyle name="Normal 13 3 4 3 3 5" xfId="19948"/>
    <cellStyle name="Normal 13 3 4 3 4" xfId="4108"/>
    <cellStyle name="Normal 13 3 4 3 4 2" xfId="9868"/>
    <cellStyle name="Normal 13 3 4 3 4 2 2" xfId="27148"/>
    <cellStyle name="Normal 13 3 4 3 4 3" xfId="15628"/>
    <cellStyle name="Normal 13 3 4 3 4 3 2" xfId="32908"/>
    <cellStyle name="Normal 13 3 4 3 4 4" xfId="21388"/>
    <cellStyle name="Normal 13 3 4 3 5" xfId="6988"/>
    <cellStyle name="Normal 13 3 4 3 5 2" xfId="24268"/>
    <cellStyle name="Normal 13 3 4 3 6" xfId="12748"/>
    <cellStyle name="Normal 13 3 4 3 6 2" xfId="30028"/>
    <cellStyle name="Normal 13 3 4 3 7" xfId="18508"/>
    <cellStyle name="Normal 13 3 4 4" xfId="1468"/>
    <cellStyle name="Normal 13 3 4 4 2" xfId="2188"/>
    <cellStyle name="Normal 13 3 4 4 2 2" xfId="3628"/>
    <cellStyle name="Normal 13 3 4 4 2 2 2" xfId="6508"/>
    <cellStyle name="Normal 13 3 4 4 2 2 2 2" xfId="12268"/>
    <cellStyle name="Normal 13 3 4 4 2 2 2 2 2" xfId="29548"/>
    <cellStyle name="Normal 13 3 4 4 2 2 2 3" xfId="18028"/>
    <cellStyle name="Normal 13 3 4 4 2 2 2 3 2" xfId="35308"/>
    <cellStyle name="Normal 13 3 4 4 2 2 2 4" xfId="23788"/>
    <cellStyle name="Normal 13 3 4 4 2 2 3" xfId="9388"/>
    <cellStyle name="Normal 13 3 4 4 2 2 3 2" xfId="26668"/>
    <cellStyle name="Normal 13 3 4 4 2 2 4" xfId="15148"/>
    <cellStyle name="Normal 13 3 4 4 2 2 4 2" xfId="32428"/>
    <cellStyle name="Normal 13 3 4 4 2 2 5" xfId="20908"/>
    <cellStyle name="Normal 13 3 4 4 2 3" xfId="5068"/>
    <cellStyle name="Normal 13 3 4 4 2 3 2" xfId="10828"/>
    <cellStyle name="Normal 13 3 4 4 2 3 2 2" xfId="28108"/>
    <cellStyle name="Normal 13 3 4 4 2 3 3" xfId="16588"/>
    <cellStyle name="Normal 13 3 4 4 2 3 3 2" xfId="33868"/>
    <cellStyle name="Normal 13 3 4 4 2 3 4" xfId="22348"/>
    <cellStyle name="Normal 13 3 4 4 2 4" xfId="7948"/>
    <cellStyle name="Normal 13 3 4 4 2 4 2" xfId="25228"/>
    <cellStyle name="Normal 13 3 4 4 2 5" xfId="13708"/>
    <cellStyle name="Normal 13 3 4 4 2 5 2" xfId="30988"/>
    <cellStyle name="Normal 13 3 4 4 2 6" xfId="19468"/>
    <cellStyle name="Normal 13 3 4 4 3" xfId="2908"/>
    <cellStyle name="Normal 13 3 4 4 3 2" xfId="5788"/>
    <cellStyle name="Normal 13 3 4 4 3 2 2" xfId="11548"/>
    <cellStyle name="Normal 13 3 4 4 3 2 2 2" xfId="28828"/>
    <cellStyle name="Normal 13 3 4 4 3 2 3" xfId="17308"/>
    <cellStyle name="Normal 13 3 4 4 3 2 3 2" xfId="34588"/>
    <cellStyle name="Normal 13 3 4 4 3 2 4" xfId="23068"/>
    <cellStyle name="Normal 13 3 4 4 3 3" xfId="8668"/>
    <cellStyle name="Normal 13 3 4 4 3 3 2" xfId="25948"/>
    <cellStyle name="Normal 13 3 4 4 3 4" xfId="14428"/>
    <cellStyle name="Normal 13 3 4 4 3 4 2" xfId="31708"/>
    <cellStyle name="Normal 13 3 4 4 3 5" xfId="20188"/>
    <cellStyle name="Normal 13 3 4 4 4" xfId="4348"/>
    <cellStyle name="Normal 13 3 4 4 4 2" xfId="10108"/>
    <cellStyle name="Normal 13 3 4 4 4 2 2" xfId="27388"/>
    <cellStyle name="Normal 13 3 4 4 4 3" xfId="15868"/>
    <cellStyle name="Normal 13 3 4 4 4 3 2" xfId="33148"/>
    <cellStyle name="Normal 13 3 4 4 4 4" xfId="21628"/>
    <cellStyle name="Normal 13 3 4 4 5" xfId="7228"/>
    <cellStyle name="Normal 13 3 4 4 5 2" xfId="24508"/>
    <cellStyle name="Normal 13 3 4 4 6" xfId="12988"/>
    <cellStyle name="Normal 13 3 4 4 6 2" xfId="30268"/>
    <cellStyle name="Normal 13 3 4 4 7" xfId="18748"/>
    <cellStyle name="Normal 13 3 4 5" xfId="1708"/>
    <cellStyle name="Normal 13 3 4 5 2" xfId="3148"/>
    <cellStyle name="Normal 13 3 4 5 2 2" xfId="6028"/>
    <cellStyle name="Normal 13 3 4 5 2 2 2" xfId="11788"/>
    <cellStyle name="Normal 13 3 4 5 2 2 2 2" xfId="29068"/>
    <cellStyle name="Normal 13 3 4 5 2 2 3" xfId="17548"/>
    <cellStyle name="Normal 13 3 4 5 2 2 3 2" xfId="34828"/>
    <cellStyle name="Normal 13 3 4 5 2 2 4" xfId="23308"/>
    <cellStyle name="Normal 13 3 4 5 2 3" xfId="8908"/>
    <cellStyle name="Normal 13 3 4 5 2 3 2" xfId="26188"/>
    <cellStyle name="Normal 13 3 4 5 2 4" xfId="14668"/>
    <cellStyle name="Normal 13 3 4 5 2 4 2" xfId="31948"/>
    <cellStyle name="Normal 13 3 4 5 2 5" xfId="20428"/>
    <cellStyle name="Normal 13 3 4 5 3" xfId="4588"/>
    <cellStyle name="Normal 13 3 4 5 3 2" xfId="10348"/>
    <cellStyle name="Normal 13 3 4 5 3 2 2" xfId="27628"/>
    <cellStyle name="Normal 13 3 4 5 3 3" xfId="16108"/>
    <cellStyle name="Normal 13 3 4 5 3 3 2" xfId="33388"/>
    <cellStyle name="Normal 13 3 4 5 3 4" xfId="21868"/>
    <cellStyle name="Normal 13 3 4 5 4" xfId="7468"/>
    <cellStyle name="Normal 13 3 4 5 4 2" xfId="24748"/>
    <cellStyle name="Normal 13 3 4 5 5" xfId="13228"/>
    <cellStyle name="Normal 13 3 4 5 5 2" xfId="30508"/>
    <cellStyle name="Normal 13 3 4 5 6" xfId="18988"/>
    <cellStyle name="Normal 13 3 4 6" xfId="2428"/>
    <cellStyle name="Normal 13 3 4 6 2" xfId="5308"/>
    <cellStyle name="Normal 13 3 4 6 2 2" xfId="11068"/>
    <cellStyle name="Normal 13 3 4 6 2 2 2" xfId="28348"/>
    <cellStyle name="Normal 13 3 4 6 2 3" xfId="16828"/>
    <cellStyle name="Normal 13 3 4 6 2 3 2" xfId="34108"/>
    <cellStyle name="Normal 13 3 4 6 2 4" xfId="22588"/>
    <cellStyle name="Normal 13 3 4 6 3" xfId="8188"/>
    <cellStyle name="Normal 13 3 4 6 3 2" xfId="25468"/>
    <cellStyle name="Normal 13 3 4 6 4" xfId="13948"/>
    <cellStyle name="Normal 13 3 4 6 4 2" xfId="31228"/>
    <cellStyle name="Normal 13 3 4 6 5" xfId="19708"/>
    <cellStyle name="Normal 13 3 4 7" xfId="3868"/>
    <cellStyle name="Normal 13 3 4 7 2" xfId="9628"/>
    <cellStyle name="Normal 13 3 4 7 2 2" xfId="26908"/>
    <cellStyle name="Normal 13 3 4 7 3" xfId="15388"/>
    <cellStyle name="Normal 13 3 4 7 3 2" xfId="32668"/>
    <cellStyle name="Normal 13 3 4 7 4" xfId="21148"/>
    <cellStyle name="Normal 13 3 4 8" xfId="6748"/>
    <cellStyle name="Normal 13 3 4 8 2" xfId="24028"/>
    <cellStyle name="Normal 13 3 4 9" xfId="12508"/>
    <cellStyle name="Normal 13 3 4 9 2" xfId="29788"/>
    <cellStyle name="Normal 13 3 5" xfId="1068"/>
    <cellStyle name="Normal 13 3 5 2" xfId="1308"/>
    <cellStyle name="Normal 13 3 5 2 2" xfId="2028"/>
    <cellStyle name="Normal 13 3 5 2 2 2" xfId="3468"/>
    <cellStyle name="Normal 13 3 5 2 2 2 2" xfId="6348"/>
    <cellStyle name="Normal 13 3 5 2 2 2 2 2" xfId="12108"/>
    <cellStyle name="Normal 13 3 5 2 2 2 2 2 2" xfId="29388"/>
    <cellStyle name="Normal 13 3 5 2 2 2 2 3" xfId="17868"/>
    <cellStyle name="Normal 13 3 5 2 2 2 2 3 2" xfId="35148"/>
    <cellStyle name="Normal 13 3 5 2 2 2 2 4" xfId="23628"/>
    <cellStyle name="Normal 13 3 5 2 2 2 3" xfId="9228"/>
    <cellStyle name="Normal 13 3 5 2 2 2 3 2" xfId="26508"/>
    <cellStyle name="Normal 13 3 5 2 2 2 4" xfId="14988"/>
    <cellStyle name="Normal 13 3 5 2 2 2 4 2" xfId="32268"/>
    <cellStyle name="Normal 13 3 5 2 2 2 5" xfId="20748"/>
    <cellStyle name="Normal 13 3 5 2 2 3" xfId="4908"/>
    <cellStyle name="Normal 13 3 5 2 2 3 2" xfId="10668"/>
    <cellStyle name="Normal 13 3 5 2 2 3 2 2" xfId="27948"/>
    <cellStyle name="Normal 13 3 5 2 2 3 3" xfId="16428"/>
    <cellStyle name="Normal 13 3 5 2 2 3 3 2" xfId="33708"/>
    <cellStyle name="Normal 13 3 5 2 2 3 4" xfId="22188"/>
    <cellStyle name="Normal 13 3 5 2 2 4" xfId="7788"/>
    <cellStyle name="Normal 13 3 5 2 2 4 2" xfId="25068"/>
    <cellStyle name="Normal 13 3 5 2 2 5" xfId="13548"/>
    <cellStyle name="Normal 13 3 5 2 2 5 2" xfId="30828"/>
    <cellStyle name="Normal 13 3 5 2 2 6" xfId="19308"/>
    <cellStyle name="Normal 13 3 5 2 3" xfId="2748"/>
    <cellStyle name="Normal 13 3 5 2 3 2" xfId="5628"/>
    <cellStyle name="Normal 13 3 5 2 3 2 2" xfId="11388"/>
    <cellStyle name="Normal 13 3 5 2 3 2 2 2" xfId="28668"/>
    <cellStyle name="Normal 13 3 5 2 3 2 3" xfId="17148"/>
    <cellStyle name="Normal 13 3 5 2 3 2 3 2" xfId="34428"/>
    <cellStyle name="Normal 13 3 5 2 3 2 4" xfId="22908"/>
    <cellStyle name="Normal 13 3 5 2 3 3" xfId="8508"/>
    <cellStyle name="Normal 13 3 5 2 3 3 2" xfId="25788"/>
    <cellStyle name="Normal 13 3 5 2 3 4" xfId="14268"/>
    <cellStyle name="Normal 13 3 5 2 3 4 2" xfId="31548"/>
    <cellStyle name="Normal 13 3 5 2 3 5" xfId="20028"/>
    <cellStyle name="Normal 13 3 5 2 4" xfId="4188"/>
    <cellStyle name="Normal 13 3 5 2 4 2" xfId="9948"/>
    <cellStyle name="Normal 13 3 5 2 4 2 2" xfId="27228"/>
    <cellStyle name="Normal 13 3 5 2 4 3" xfId="15708"/>
    <cellStyle name="Normal 13 3 5 2 4 3 2" xfId="32988"/>
    <cellStyle name="Normal 13 3 5 2 4 4" xfId="21468"/>
    <cellStyle name="Normal 13 3 5 2 5" xfId="7068"/>
    <cellStyle name="Normal 13 3 5 2 5 2" xfId="24348"/>
    <cellStyle name="Normal 13 3 5 2 6" xfId="12828"/>
    <cellStyle name="Normal 13 3 5 2 6 2" xfId="30108"/>
    <cellStyle name="Normal 13 3 5 2 7" xfId="18588"/>
    <cellStyle name="Normal 13 3 5 3" xfId="1548"/>
    <cellStyle name="Normal 13 3 5 3 2" xfId="2268"/>
    <cellStyle name="Normal 13 3 5 3 2 2" xfId="3708"/>
    <cellStyle name="Normal 13 3 5 3 2 2 2" xfId="6588"/>
    <cellStyle name="Normal 13 3 5 3 2 2 2 2" xfId="12348"/>
    <cellStyle name="Normal 13 3 5 3 2 2 2 2 2" xfId="29628"/>
    <cellStyle name="Normal 13 3 5 3 2 2 2 3" xfId="18108"/>
    <cellStyle name="Normal 13 3 5 3 2 2 2 3 2" xfId="35388"/>
    <cellStyle name="Normal 13 3 5 3 2 2 2 4" xfId="23868"/>
    <cellStyle name="Normal 13 3 5 3 2 2 3" xfId="9468"/>
    <cellStyle name="Normal 13 3 5 3 2 2 3 2" xfId="26748"/>
    <cellStyle name="Normal 13 3 5 3 2 2 4" xfId="15228"/>
    <cellStyle name="Normal 13 3 5 3 2 2 4 2" xfId="32508"/>
    <cellStyle name="Normal 13 3 5 3 2 2 5" xfId="20988"/>
    <cellStyle name="Normal 13 3 5 3 2 3" xfId="5148"/>
    <cellStyle name="Normal 13 3 5 3 2 3 2" xfId="10908"/>
    <cellStyle name="Normal 13 3 5 3 2 3 2 2" xfId="28188"/>
    <cellStyle name="Normal 13 3 5 3 2 3 3" xfId="16668"/>
    <cellStyle name="Normal 13 3 5 3 2 3 3 2" xfId="33948"/>
    <cellStyle name="Normal 13 3 5 3 2 3 4" xfId="22428"/>
    <cellStyle name="Normal 13 3 5 3 2 4" xfId="8028"/>
    <cellStyle name="Normal 13 3 5 3 2 4 2" xfId="25308"/>
    <cellStyle name="Normal 13 3 5 3 2 5" xfId="13788"/>
    <cellStyle name="Normal 13 3 5 3 2 5 2" xfId="31068"/>
    <cellStyle name="Normal 13 3 5 3 2 6" xfId="19548"/>
    <cellStyle name="Normal 13 3 5 3 3" xfId="2988"/>
    <cellStyle name="Normal 13 3 5 3 3 2" xfId="5868"/>
    <cellStyle name="Normal 13 3 5 3 3 2 2" xfId="11628"/>
    <cellStyle name="Normal 13 3 5 3 3 2 2 2" xfId="28908"/>
    <cellStyle name="Normal 13 3 5 3 3 2 3" xfId="17388"/>
    <cellStyle name="Normal 13 3 5 3 3 2 3 2" xfId="34668"/>
    <cellStyle name="Normal 13 3 5 3 3 2 4" xfId="23148"/>
    <cellStyle name="Normal 13 3 5 3 3 3" xfId="8748"/>
    <cellStyle name="Normal 13 3 5 3 3 3 2" xfId="26028"/>
    <cellStyle name="Normal 13 3 5 3 3 4" xfId="14508"/>
    <cellStyle name="Normal 13 3 5 3 3 4 2" xfId="31788"/>
    <cellStyle name="Normal 13 3 5 3 3 5" xfId="20268"/>
    <cellStyle name="Normal 13 3 5 3 4" xfId="4428"/>
    <cellStyle name="Normal 13 3 5 3 4 2" xfId="10188"/>
    <cellStyle name="Normal 13 3 5 3 4 2 2" xfId="27468"/>
    <cellStyle name="Normal 13 3 5 3 4 3" xfId="15948"/>
    <cellStyle name="Normal 13 3 5 3 4 3 2" xfId="33228"/>
    <cellStyle name="Normal 13 3 5 3 4 4" xfId="21708"/>
    <cellStyle name="Normal 13 3 5 3 5" xfId="7308"/>
    <cellStyle name="Normal 13 3 5 3 5 2" xfId="24588"/>
    <cellStyle name="Normal 13 3 5 3 6" xfId="13068"/>
    <cellStyle name="Normal 13 3 5 3 6 2" xfId="30348"/>
    <cellStyle name="Normal 13 3 5 3 7" xfId="18828"/>
    <cellStyle name="Normal 13 3 5 4" xfId="1788"/>
    <cellStyle name="Normal 13 3 5 4 2" xfId="3228"/>
    <cellStyle name="Normal 13 3 5 4 2 2" xfId="6108"/>
    <cellStyle name="Normal 13 3 5 4 2 2 2" xfId="11868"/>
    <cellStyle name="Normal 13 3 5 4 2 2 2 2" xfId="29148"/>
    <cellStyle name="Normal 13 3 5 4 2 2 3" xfId="17628"/>
    <cellStyle name="Normal 13 3 5 4 2 2 3 2" xfId="34908"/>
    <cellStyle name="Normal 13 3 5 4 2 2 4" xfId="23388"/>
    <cellStyle name="Normal 13 3 5 4 2 3" xfId="8988"/>
    <cellStyle name="Normal 13 3 5 4 2 3 2" xfId="26268"/>
    <cellStyle name="Normal 13 3 5 4 2 4" xfId="14748"/>
    <cellStyle name="Normal 13 3 5 4 2 4 2" xfId="32028"/>
    <cellStyle name="Normal 13 3 5 4 2 5" xfId="20508"/>
    <cellStyle name="Normal 13 3 5 4 3" xfId="4668"/>
    <cellStyle name="Normal 13 3 5 4 3 2" xfId="10428"/>
    <cellStyle name="Normal 13 3 5 4 3 2 2" xfId="27708"/>
    <cellStyle name="Normal 13 3 5 4 3 3" xfId="16188"/>
    <cellStyle name="Normal 13 3 5 4 3 3 2" xfId="33468"/>
    <cellStyle name="Normal 13 3 5 4 3 4" xfId="21948"/>
    <cellStyle name="Normal 13 3 5 4 4" xfId="7548"/>
    <cellStyle name="Normal 13 3 5 4 4 2" xfId="24828"/>
    <cellStyle name="Normal 13 3 5 4 5" xfId="13308"/>
    <cellStyle name="Normal 13 3 5 4 5 2" xfId="30588"/>
    <cellStyle name="Normal 13 3 5 4 6" xfId="19068"/>
    <cellStyle name="Normal 13 3 5 5" xfId="2508"/>
    <cellStyle name="Normal 13 3 5 5 2" xfId="5388"/>
    <cellStyle name="Normal 13 3 5 5 2 2" xfId="11148"/>
    <cellStyle name="Normal 13 3 5 5 2 2 2" xfId="28428"/>
    <cellStyle name="Normal 13 3 5 5 2 3" xfId="16908"/>
    <cellStyle name="Normal 13 3 5 5 2 3 2" xfId="34188"/>
    <cellStyle name="Normal 13 3 5 5 2 4" xfId="22668"/>
    <cellStyle name="Normal 13 3 5 5 3" xfId="8268"/>
    <cellStyle name="Normal 13 3 5 5 3 2" xfId="25548"/>
    <cellStyle name="Normal 13 3 5 5 4" xfId="14028"/>
    <cellStyle name="Normal 13 3 5 5 4 2" xfId="31308"/>
    <cellStyle name="Normal 13 3 5 5 5" xfId="19788"/>
    <cellStyle name="Normal 13 3 5 6" xfId="3948"/>
    <cellStyle name="Normal 13 3 5 6 2" xfId="9708"/>
    <cellStyle name="Normal 13 3 5 6 2 2" xfId="26988"/>
    <cellStyle name="Normal 13 3 5 6 3" xfId="15468"/>
    <cellStyle name="Normal 13 3 5 6 3 2" xfId="32748"/>
    <cellStyle name="Normal 13 3 5 6 4" xfId="21228"/>
    <cellStyle name="Normal 13 3 5 7" xfId="6828"/>
    <cellStyle name="Normal 13 3 5 7 2" xfId="24108"/>
    <cellStyle name="Normal 13 3 5 8" xfId="12588"/>
    <cellStyle name="Normal 13 3 5 8 2" xfId="29868"/>
    <cellStyle name="Normal 13 3 5 9" xfId="18348"/>
    <cellStyle name="Normal 13 3 6" xfId="1188"/>
    <cellStyle name="Normal 13 3 6 2" xfId="1908"/>
    <cellStyle name="Normal 13 3 6 2 2" xfId="3348"/>
    <cellStyle name="Normal 13 3 6 2 2 2" xfId="6228"/>
    <cellStyle name="Normal 13 3 6 2 2 2 2" xfId="11988"/>
    <cellStyle name="Normal 13 3 6 2 2 2 2 2" xfId="29268"/>
    <cellStyle name="Normal 13 3 6 2 2 2 3" xfId="17748"/>
    <cellStyle name="Normal 13 3 6 2 2 2 3 2" xfId="35028"/>
    <cellStyle name="Normal 13 3 6 2 2 2 4" xfId="23508"/>
    <cellStyle name="Normal 13 3 6 2 2 3" xfId="9108"/>
    <cellStyle name="Normal 13 3 6 2 2 3 2" xfId="26388"/>
    <cellStyle name="Normal 13 3 6 2 2 4" xfId="14868"/>
    <cellStyle name="Normal 13 3 6 2 2 4 2" xfId="32148"/>
    <cellStyle name="Normal 13 3 6 2 2 5" xfId="20628"/>
    <cellStyle name="Normal 13 3 6 2 3" xfId="4788"/>
    <cellStyle name="Normal 13 3 6 2 3 2" xfId="10548"/>
    <cellStyle name="Normal 13 3 6 2 3 2 2" xfId="27828"/>
    <cellStyle name="Normal 13 3 6 2 3 3" xfId="16308"/>
    <cellStyle name="Normal 13 3 6 2 3 3 2" xfId="33588"/>
    <cellStyle name="Normal 13 3 6 2 3 4" xfId="22068"/>
    <cellStyle name="Normal 13 3 6 2 4" xfId="7668"/>
    <cellStyle name="Normal 13 3 6 2 4 2" xfId="24948"/>
    <cellStyle name="Normal 13 3 6 2 5" xfId="13428"/>
    <cellStyle name="Normal 13 3 6 2 5 2" xfId="30708"/>
    <cellStyle name="Normal 13 3 6 2 6" xfId="19188"/>
    <cellStyle name="Normal 13 3 6 3" xfId="2628"/>
    <cellStyle name="Normal 13 3 6 3 2" xfId="5508"/>
    <cellStyle name="Normal 13 3 6 3 2 2" xfId="11268"/>
    <cellStyle name="Normal 13 3 6 3 2 2 2" xfId="28548"/>
    <cellStyle name="Normal 13 3 6 3 2 3" xfId="17028"/>
    <cellStyle name="Normal 13 3 6 3 2 3 2" xfId="34308"/>
    <cellStyle name="Normal 13 3 6 3 2 4" xfId="22788"/>
    <cellStyle name="Normal 13 3 6 3 3" xfId="8388"/>
    <cellStyle name="Normal 13 3 6 3 3 2" xfId="25668"/>
    <cellStyle name="Normal 13 3 6 3 4" xfId="14148"/>
    <cellStyle name="Normal 13 3 6 3 4 2" xfId="31428"/>
    <cellStyle name="Normal 13 3 6 3 5" xfId="19908"/>
    <cellStyle name="Normal 13 3 6 4" xfId="4068"/>
    <cellStyle name="Normal 13 3 6 4 2" xfId="9828"/>
    <cellStyle name="Normal 13 3 6 4 2 2" xfId="27108"/>
    <cellStyle name="Normal 13 3 6 4 3" xfId="15588"/>
    <cellStyle name="Normal 13 3 6 4 3 2" xfId="32868"/>
    <cellStyle name="Normal 13 3 6 4 4" xfId="21348"/>
    <cellStyle name="Normal 13 3 6 5" xfId="6948"/>
    <cellStyle name="Normal 13 3 6 5 2" xfId="24228"/>
    <cellStyle name="Normal 13 3 6 6" xfId="12708"/>
    <cellStyle name="Normal 13 3 6 6 2" xfId="29988"/>
    <cellStyle name="Normal 13 3 6 7" xfId="18468"/>
    <cellStyle name="Normal 13 3 7" xfId="1428"/>
    <cellStyle name="Normal 13 3 7 2" xfId="2148"/>
    <cellStyle name="Normal 13 3 7 2 2" xfId="3588"/>
    <cellStyle name="Normal 13 3 7 2 2 2" xfId="6468"/>
    <cellStyle name="Normal 13 3 7 2 2 2 2" xfId="12228"/>
    <cellStyle name="Normal 13 3 7 2 2 2 2 2" xfId="29508"/>
    <cellStyle name="Normal 13 3 7 2 2 2 3" xfId="17988"/>
    <cellStyle name="Normal 13 3 7 2 2 2 3 2" xfId="35268"/>
    <cellStyle name="Normal 13 3 7 2 2 2 4" xfId="23748"/>
    <cellStyle name="Normal 13 3 7 2 2 3" xfId="9348"/>
    <cellStyle name="Normal 13 3 7 2 2 3 2" xfId="26628"/>
    <cellStyle name="Normal 13 3 7 2 2 4" xfId="15108"/>
    <cellStyle name="Normal 13 3 7 2 2 4 2" xfId="32388"/>
    <cellStyle name="Normal 13 3 7 2 2 5" xfId="20868"/>
    <cellStyle name="Normal 13 3 7 2 3" xfId="5028"/>
    <cellStyle name="Normal 13 3 7 2 3 2" xfId="10788"/>
    <cellStyle name="Normal 13 3 7 2 3 2 2" xfId="28068"/>
    <cellStyle name="Normal 13 3 7 2 3 3" xfId="16548"/>
    <cellStyle name="Normal 13 3 7 2 3 3 2" xfId="33828"/>
    <cellStyle name="Normal 13 3 7 2 3 4" xfId="22308"/>
    <cellStyle name="Normal 13 3 7 2 4" xfId="7908"/>
    <cellStyle name="Normal 13 3 7 2 4 2" xfId="25188"/>
    <cellStyle name="Normal 13 3 7 2 5" xfId="13668"/>
    <cellStyle name="Normal 13 3 7 2 5 2" xfId="30948"/>
    <cellStyle name="Normal 13 3 7 2 6" xfId="19428"/>
    <cellStyle name="Normal 13 3 7 3" xfId="2868"/>
    <cellStyle name="Normal 13 3 7 3 2" xfId="5748"/>
    <cellStyle name="Normal 13 3 7 3 2 2" xfId="11508"/>
    <cellStyle name="Normal 13 3 7 3 2 2 2" xfId="28788"/>
    <cellStyle name="Normal 13 3 7 3 2 3" xfId="17268"/>
    <cellStyle name="Normal 13 3 7 3 2 3 2" xfId="34548"/>
    <cellStyle name="Normal 13 3 7 3 2 4" xfId="23028"/>
    <cellStyle name="Normal 13 3 7 3 3" xfId="8628"/>
    <cellStyle name="Normal 13 3 7 3 3 2" xfId="25908"/>
    <cellStyle name="Normal 13 3 7 3 4" xfId="14388"/>
    <cellStyle name="Normal 13 3 7 3 4 2" xfId="31668"/>
    <cellStyle name="Normal 13 3 7 3 5" xfId="20148"/>
    <cellStyle name="Normal 13 3 7 4" xfId="4308"/>
    <cellStyle name="Normal 13 3 7 4 2" xfId="10068"/>
    <cellStyle name="Normal 13 3 7 4 2 2" xfId="27348"/>
    <cellStyle name="Normal 13 3 7 4 3" xfId="15828"/>
    <cellStyle name="Normal 13 3 7 4 3 2" xfId="33108"/>
    <cellStyle name="Normal 13 3 7 4 4" xfId="21588"/>
    <cellStyle name="Normal 13 3 7 5" xfId="7188"/>
    <cellStyle name="Normal 13 3 7 5 2" xfId="24468"/>
    <cellStyle name="Normal 13 3 7 6" xfId="12948"/>
    <cellStyle name="Normal 13 3 7 6 2" xfId="30228"/>
    <cellStyle name="Normal 13 3 7 7" xfId="18708"/>
    <cellStyle name="Normal 13 3 8" xfId="1668"/>
    <cellStyle name="Normal 13 3 8 2" xfId="3108"/>
    <cellStyle name="Normal 13 3 8 2 2" xfId="5988"/>
    <cellStyle name="Normal 13 3 8 2 2 2" xfId="11748"/>
    <cellStyle name="Normal 13 3 8 2 2 2 2" xfId="29028"/>
    <cellStyle name="Normal 13 3 8 2 2 3" xfId="17508"/>
    <cellStyle name="Normal 13 3 8 2 2 3 2" xfId="34788"/>
    <cellStyle name="Normal 13 3 8 2 2 4" xfId="23268"/>
    <cellStyle name="Normal 13 3 8 2 3" xfId="8868"/>
    <cellStyle name="Normal 13 3 8 2 3 2" xfId="26148"/>
    <cellStyle name="Normal 13 3 8 2 4" xfId="14628"/>
    <cellStyle name="Normal 13 3 8 2 4 2" xfId="31908"/>
    <cellStyle name="Normal 13 3 8 2 5" xfId="20388"/>
    <cellStyle name="Normal 13 3 8 3" xfId="4548"/>
    <cellStyle name="Normal 13 3 8 3 2" xfId="10308"/>
    <cellStyle name="Normal 13 3 8 3 2 2" xfId="27588"/>
    <cellStyle name="Normal 13 3 8 3 3" xfId="16068"/>
    <cellStyle name="Normal 13 3 8 3 3 2" xfId="33348"/>
    <cellStyle name="Normal 13 3 8 3 4" xfId="21828"/>
    <cellStyle name="Normal 13 3 8 4" xfId="7428"/>
    <cellStyle name="Normal 13 3 8 4 2" xfId="24708"/>
    <cellStyle name="Normal 13 3 8 5" xfId="13188"/>
    <cellStyle name="Normal 13 3 8 5 2" xfId="30468"/>
    <cellStyle name="Normal 13 3 8 6" xfId="18948"/>
    <cellStyle name="Normal 13 3 9" xfId="2388"/>
    <cellStyle name="Normal 13 3 9 2" xfId="5268"/>
    <cellStyle name="Normal 13 3 9 2 2" xfId="11028"/>
    <cellStyle name="Normal 13 3 9 2 2 2" xfId="28308"/>
    <cellStyle name="Normal 13 3 9 2 3" xfId="16788"/>
    <cellStyle name="Normal 13 3 9 2 3 2" xfId="34068"/>
    <cellStyle name="Normal 13 3 9 2 4" xfId="22548"/>
    <cellStyle name="Normal 13 3 9 3" xfId="8148"/>
    <cellStyle name="Normal 13 3 9 3 2" xfId="25428"/>
    <cellStyle name="Normal 13 3 9 4" xfId="13908"/>
    <cellStyle name="Normal 13 3 9 4 2" xfId="31188"/>
    <cellStyle name="Normal 13 3 9 5" xfId="19668"/>
    <cellStyle name="Normal 13 4" xfId="407"/>
    <cellStyle name="Normal 13 4 10" xfId="6718"/>
    <cellStyle name="Normal 13 4 10 2" xfId="23998"/>
    <cellStyle name="Normal 13 4 11" xfId="12478"/>
    <cellStyle name="Normal 13 4 11 2" xfId="29758"/>
    <cellStyle name="Normal 13 4 12" xfId="18238"/>
    <cellStyle name="Normal 13 4 2" xfId="1038"/>
    <cellStyle name="Normal 13 4 2 10" xfId="18318"/>
    <cellStyle name="Normal 13 4 2 2" xfId="1158"/>
    <cellStyle name="Normal 13 4 2 2 2" xfId="1398"/>
    <cellStyle name="Normal 13 4 2 2 2 2" xfId="2118"/>
    <cellStyle name="Normal 13 4 2 2 2 2 2" xfId="3558"/>
    <cellStyle name="Normal 13 4 2 2 2 2 2 2" xfId="6438"/>
    <cellStyle name="Normal 13 4 2 2 2 2 2 2 2" xfId="12198"/>
    <cellStyle name="Normal 13 4 2 2 2 2 2 2 2 2" xfId="29478"/>
    <cellStyle name="Normal 13 4 2 2 2 2 2 2 3" xfId="17958"/>
    <cellStyle name="Normal 13 4 2 2 2 2 2 2 3 2" xfId="35238"/>
    <cellStyle name="Normal 13 4 2 2 2 2 2 2 4" xfId="23718"/>
    <cellStyle name="Normal 13 4 2 2 2 2 2 3" xfId="9318"/>
    <cellStyle name="Normal 13 4 2 2 2 2 2 3 2" xfId="26598"/>
    <cellStyle name="Normal 13 4 2 2 2 2 2 4" xfId="15078"/>
    <cellStyle name="Normal 13 4 2 2 2 2 2 4 2" xfId="32358"/>
    <cellStyle name="Normal 13 4 2 2 2 2 2 5" xfId="20838"/>
    <cellStyle name="Normal 13 4 2 2 2 2 3" xfId="4998"/>
    <cellStyle name="Normal 13 4 2 2 2 2 3 2" xfId="10758"/>
    <cellStyle name="Normal 13 4 2 2 2 2 3 2 2" xfId="28038"/>
    <cellStyle name="Normal 13 4 2 2 2 2 3 3" xfId="16518"/>
    <cellStyle name="Normal 13 4 2 2 2 2 3 3 2" xfId="33798"/>
    <cellStyle name="Normal 13 4 2 2 2 2 3 4" xfId="22278"/>
    <cellStyle name="Normal 13 4 2 2 2 2 4" xfId="7878"/>
    <cellStyle name="Normal 13 4 2 2 2 2 4 2" xfId="25158"/>
    <cellStyle name="Normal 13 4 2 2 2 2 5" xfId="13638"/>
    <cellStyle name="Normal 13 4 2 2 2 2 5 2" xfId="30918"/>
    <cellStyle name="Normal 13 4 2 2 2 2 6" xfId="19398"/>
    <cellStyle name="Normal 13 4 2 2 2 3" xfId="2838"/>
    <cellStyle name="Normal 13 4 2 2 2 3 2" xfId="5718"/>
    <cellStyle name="Normal 13 4 2 2 2 3 2 2" xfId="11478"/>
    <cellStyle name="Normal 13 4 2 2 2 3 2 2 2" xfId="28758"/>
    <cellStyle name="Normal 13 4 2 2 2 3 2 3" xfId="17238"/>
    <cellStyle name="Normal 13 4 2 2 2 3 2 3 2" xfId="34518"/>
    <cellStyle name="Normal 13 4 2 2 2 3 2 4" xfId="22998"/>
    <cellStyle name="Normal 13 4 2 2 2 3 3" xfId="8598"/>
    <cellStyle name="Normal 13 4 2 2 2 3 3 2" xfId="25878"/>
    <cellStyle name="Normal 13 4 2 2 2 3 4" xfId="14358"/>
    <cellStyle name="Normal 13 4 2 2 2 3 4 2" xfId="31638"/>
    <cellStyle name="Normal 13 4 2 2 2 3 5" xfId="20118"/>
    <cellStyle name="Normal 13 4 2 2 2 4" xfId="4278"/>
    <cellStyle name="Normal 13 4 2 2 2 4 2" xfId="10038"/>
    <cellStyle name="Normal 13 4 2 2 2 4 2 2" xfId="27318"/>
    <cellStyle name="Normal 13 4 2 2 2 4 3" xfId="15798"/>
    <cellStyle name="Normal 13 4 2 2 2 4 3 2" xfId="33078"/>
    <cellStyle name="Normal 13 4 2 2 2 4 4" xfId="21558"/>
    <cellStyle name="Normal 13 4 2 2 2 5" xfId="7158"/>
    <cellStyle name="Normal 13 4 2 2 2 5 2" xfId="24438"/>
    <cellStyle name="Normal 13 4 2 2 2 6" xfId="12918"/>
    <cellStyle name="Normal 13 4 2 2 2 6 2" xfId="30198"/>
    <cellStyle name="Normal 13 4 2 2 2 7" xfId="18678"/>
    <cellStyle name="Normal 13 4 2 2 3" xfId="1638"/>
    <cellStyle name="Normal 13 4 2 2 3 2" xfId="2358"/>
    <cellStyle name="Normal 13 4 2 2 3 2 2" xfId="3798"/>
    <cellStyle name="Normal 13 4 2 2 3 2 2 2" xfId="6678"/>
    <cellStyle name="Normal 13 4 2 2 3 2 2 2 2" xfId="12438"/>
    <cellStyle name="Normal 13 4 2 2 3 2 2 2 2 2" xfId="29718"/>
    <cellStyle name="Normal 13 4 2 2 3 2 2 2 3" xfId="18198"/>
    <cellStyle name="Normal 13 4 2 2 3 2 2 2 3 2" xfId="35478"/>
    <cellStyle name="Normal 13 4 2 2 3 2 2 2 4" xfId="23958"/>
    <cellStyle name="Normal 13 4 2 2 3 2 2 3" xfId="9558"/>
    <cellStyle name="Normal 13 4 2 2 3 2 2 3 2" xfId="26838"/>
    <cellStyle name="Normal 13 4 2 2 3 2 2 4" xfId="15318"/>
    <cellStyle name="Normal 13 4 2 2 3 2 2 4 2" xfId="32598"/>
    <cellStyle name="Normal 13 4 2 2 3 2 2 5" xfId="21078"/>
    <cellStyle name="Normal 13 4 2 2 3 2 3" xfId="5238"/>
    <cellStyle name="Normal 13 4 2 2 3 2 3 2" xfId="10998"/>
    <cellStyle name="Normal 13 4 2 2 3 2 3 2 2" xfId="28278"/>
    <cellStyle name="Normal 13 4 2 2 3 2 3 3" xfId="16758"/>
    <cellStyle name="Normal 13 4 2 2 3 2 3 3 2" xfId="34038"/>
    <cellStyle name="Normal 13 4 2 2 3 2 3 4" xfId="22518"/>
    <cellStyle name="Normal 13 4 2 2 3 2 4" xfId="8118"/>
    <cellStyle name="Normal 13 4 2 2 3 2 4 2" xfId="25398"/>
    <cellStyle name="Normal 13 4 2 2 3 2 5" xfId="13878"/>
    <cellStyle name="Normal 13 4 2 2 3 2 5 2" xfId="31158"/>
    <cellStyle name="Normal 13 4 2 2 3 2 6" xfId="19638"/>
    <cellStyle name="Normal 13 4 2 2 3 3" xfId="3078"/>
    <cellStyle name="Normal 13 4 2 2 3 3 2" xfId="5958"/>
    <cellStyle name="Normal 13 4 2 2 3 3 2 2" xfId="11718"/>
    <cellStyle name="Normal 13 4 2 2 3 3 2 2 2" xfId="28998"/>
    <cellStyle name="Normal 13 4 2 2 3 3 2 3" xfId="17478"/>
    <cellStyle name="Normal 13 4 2 2 3 3 2 3 2" xfId="34758"/>
    <cellStyle name="Normal 13 4 2 2 3 3 2 4" xfId="23238"/>
    <cellStyle name="Normal 13 4 2 2 3 3 3" xfId="8838"/>
    <cellStyle name="Normal 13 4 2 2 3 3 3 2" xfId="26118"/>
    <cellStyle name="Normal 13 4 2 2 3 3 4" xfId="14598"/>
    <cellStyle name="Normal 13 4 2 2 3 3 4 2" xfId="31878"/>
    <cellStyle name="Normal 13 4 2 2 3 3 5" xfId="20358"/>
    <cellStyle name="Normal 13 4 2 2 3 4" xfId="4518"/>
    <cellStyle name="Normal 13 4 2 2 3 4 2" xfId="10278"/>
    <cellStyle name="Normal 13 4 2 2 3 4 2 2" xfId="27558"/>
    <cellStyle name="Normal 13 4 2 2 3 4 3" xfId="16038"/>
    <cellStyle name="Normal 13 4 2 2 3 4 3 2" xfId="33318"/>
    <cellStyle name="Normal 13 4 2 2 3 4 4" xfId="21798"/>
    <cellStyle name="Normal 13 4 2 2 3 5" xfId="7398"/>
    <cellStyle name="Normal 13 4 2 2 3 5 2" xfId="24678"/>
    <cellStyle name="Normal 13 4 2 2 3 6" xfId="13158"/>
    <cellStyle name="Normal 13 4 2 2 3 6 2" xfId="30438"/>
    <cellStyle name="Normal 13 4 2 2 3 7" xfId="18918"/>
    <cellStyle name="Normal 13 4 2 2 4" xfId="1878"/>
    <cellStyle name="Normal 13 4 2 2 4 2" xfId="3318"/>
    <cellStyle name="Normal 13 4 2 2 4 2 2" xfId="6198"/>
    <cellStyle name="Normal 13 4 2 2 4 2 2 2" xfId="11958"/>
    <cellStyle name="Normal 13 4 2 2 4 2 2 2 2" xfId="29238"/>
    <cellStyle name="Normal 13 4 2 2 4 2 2 3" xfId="17718"/>
    <cellStyle name="Normal 13 4 2 2 4 2 2 3 2" xfId="34998"/>
    <cellStyle name="Normal 13 4 2 2 4 2 2 4" xfId="23478"/>
    <cellStyle name="Normal 13 4 2 2 4 2 3" xfId="9078"/>
    <cellStyle name="Normal 13 4 2 2 4 2 3 2" xfId="26358"/>
    <cellStyle name="Normal 13 4 2 2 4 2 4" xfId="14838"/>
    <cellStyle name="Normal 13 4 2 2 4 2 4 2" xfId="32118"/>
    <cellStyle name="Normal 13 4 2 2 4 2 5" xfId="20598"/>
    <cellStyle name="Normal 13 4 2 2 4 3" xfId="4758"/>
    <cellStyle name="Normal 13 4 2 2 4 3 2" xfId="10518"/>
    <cellStyle name="Normal 13 4 2 2 4 3 2 2" xfId="27798"/>
    <cellStyle name="Normal 13 4 2 2 4 3 3" xfId="16278"/>
    <cellStyle name="Normal 13 4 2 2 4 3 3 2" xfId="33558"/>
    <cellStyle name="Normal 13 4 2 2 4 3 4" xfId="22038"/>
    <cellStyle name="Normal 13 4 2 2 4 4" xfId="7638"/>
    <cellStyle name="Normal 13 4 2 2 4 4 2" xfId="24918"/>
    <cellStyle name="Normal 13 4 2 2 4 5" xfId="13398"/>
    <cellStyle name="Normal 13 4 2 2 4 5 2" xfId="30678"/>
    <cellStyle name="Normal 13 4 2 2 4 6" xfId="19158"/>
    <cellStyle name="Normal 13 4 2 2 5" xfId="2598"/>
    <cellStyle name="Normal 13 4 2 2 5 2" xfId="5478"/>
    <cellStyle name="Normal 13 4 2 2 5 2 2" xfId="11238"/>
    <cellStyle name="Normal 13 4 2 2 5 2 2 2" xfId="28518"/>
    <cellStyle name="Normal 13 4 2 2 5 2 3" xfId="16998"/>
    <cellStyle name="Normal 13 4 2 2 5 2 3 2" xfId="34278"/>
    <cellStyle name="Normal 13 4 2 2 5 2 4" xfId="22758"/>
    <cellStyle name="Normal 13 4 2 2 5 3" xfId="8358"/>
    <cellStyle name="Normal 13 4 2 2 5 3 2" xfId="25638"/>
    <cellStyle name="Normal 13 4 2 2 5 4" xfId="14118"/>
    <cellStyle name="Normal 13 4 2 2 5 4 2" xfId="31398"/>
    <cellStyle name="Normal 13 4 2 2 5 5" xfId="19878"/>
    <cellStyle name="Normal 13 4 2 2 6" xfId="4038"/>
    <cellStyle name="Normal 13 4 2 2 6 2" xfId="9798"/>
    <cellStyle name="Normal 13 4 2 2 6 2 2" xfId="27078"/>
    <cellStyle name="Normal 13 4 2 2 6 3" xfId="15558"/>
    <cellStyle name="Normal 13 4 2 2 6 3 2" xfId="32838"/>
    <cellStyle name="Normal 13 4 2 2 6 4" xfId="21318"/>
    <cellStyle name="Normal 13 4 2 2 7" xfId="6918"/>
    <cellStyle name="Normal 13 4 2 2 7 2" xfId="24198"/>
    <cellStyle name="Normal 13 4 2 2 8" xfId="12678"/>
    <cellStyle name="Normal 13 4 2 2 8 2" xfId="29958"/>
    <cellStyle name="Normal 13 4 2 2 9" xfId="18438"/>
    <cellStyle name="Normal 13 4 2 3" xfId="1278"/>
    <cellStyle name="Normal 13 4 2 3 2" xfId="1998"/>
    <cellStyle name="Normal 13 4 2 3 2 2" xfId="3438"/>
    <cellStyle name="Normal 13 4 2 3 2 2 2" xfId="6318"/>
    <cellStyle name="Normal 13 4 2 3 2 2 2 2" xfId="12078"/>
    <cellStyle name="Normal 13 4 2 3 2 2 2 2 2" xfId="29358"/>
    <cellStyle name="Normal 13 4 2 3 2 2 2 3" xfId="17838"/>
    <cellStyle name="Normal 13 4 2 3 2 2 2 3 2" xfId="35118"/>
    <cellStyle name="Normal 13 4 2 3 2 2 2 4" xfId="23598"/>
    <cellStyle name="Normal 13 4 2 3 2 2 3" xfId="9198"/>
    <cellStyle name="Normal 13 4 2 3 2 2 3 2" xfId="26478"/>
    <cellStyle name="Normal 13 4 2 3 2 2 4" xfId="14958"/>
    <cellStyle name="Normal 13 4 2 3 2 2 4 2" xfId="32238"/>
    <cellStyle name="Normal 13 4 2 3 2 2 5" xfId="20718"/>
    <cellStyle name="Normal 13 4 2 3 2 3" xfId="4878"/>
    <cellStyle name="Normal 13 4 2 3 2 3 2" xfId="10638"/>
    <cellStyle name="Normal 13 4 2 3 2 3 2 2" xfId="27918"/>
    <cellStyle name="Normal 13 4 2 3 2 3 3" xfId="16398"/>
    <cellStyle name="Normal 13 4 2 3 2 3 3 2" xfId="33678"/>
    <cellStyle name="Normal 13 4 2 3 2 3 4" xfId="22158"/>
    <cellStyle name="Normal 13 4 2 3 2 4" xfId="7758"/>
    <cellStyle name="Normal 13 4 2 3 2 4 2" xfId="25038"/>
    <cellStyle name="Normal 13 4 2 3 2 5" xfId="13518"/>
    <cellStyle name="Normal 13 4 2 3 2 5 2" xfId="30798"/>
    <cellStyle name="Normal 13 4 2 3 2 6" xfId="19278"/>
    <cellStyle name="Normal 13 4 2 3 3" xfId="2718"/>
    <cellStyle name="Normal 13 4 2 3 3 2" xfId="5598"/>
    <cellStyle name="Normal 13 4 2 3 3 2 2" xfId="11358"/>
    <cellStyle name="Normal 13 4 2 3 3 2 2 2" xfId="28638"/>
    <cellStyle name="Normal 13 4 2 3 3 2 3" xfId="17118"/>
    <cellStyle name="Normal 13 4 2 3 3 2 3 2" xfId="34398"/>
    <cellStyle name="Normal 13 4 2 3 3 2 4" xfId="22878"/>
    <cellStyle name="Normal 13 4 2 3 3 3" xfId="8478"/>
    <cellStyle name="Normal 13 4 2 3 3 3 2" xfId="25758"/>
    <cellStyle name="Normal 13 4 2 3 3 4" xfId="14238"/>
    <cellStyle name="Normal 13 4 2 3 3 4 2" xfId="31518"/>
    <cellStyle name="Normal 13 4 2 3 3 5" xfId="19998"/>
    <cellStyle name="Normal 13 4 2 3 4" xfId="4158"/>
    <cellStyle name="Normal 13 4 2 3 4 2" xfId="9918"/>
    <cellStyle name="Normal 13 4 2 3 4 2 2" xfId="27198"/>
    <cellStyle name="Normal 13 4 2 3 4 3" xfId="15678"/>
    <cellStyle name="Normal 13 4 2 3 4 3 2" xfId="32958"/>
    <cellStyle name="Normal 13 4 2 3 4 4" xfId="21438"/>
    <cellStyle name="Normal 13 4 2 3 5" xfId="7038"/>
    <cellStyle name="Normal 13 4 2 3 5 2" xfId="24318"/>
    <cellStyle name="Normal 13 4 2 3 6" xfId="12798"/>
    <cellStyle name="Normal 13 4 2 3 6 2" xfId="30078"/>
    <cellStyle name="Normal 13 4 2 3 7" xfId="18558"/>
    <cellStyle name="Normal 13 4 2 4" xfId="1518"/>
    <cellStyle name="Normal 13 4 2 4 2" xfId="2238"/>
    <cellStyle name="Normal 13 4 2 4 2 2" xfId="3678"/>
    <cellStyle name="Normal 13 4 2 4 2 2 2" xfId="6558"/>
    <cellStyle name="Normal 13 4 2 4 2 2 2 2" xfId="12318"/>
    <cellStyle name="Normal 13 4 2 4 2 2 2 2 2" xfId="29598"/>
    <cellStyle name="Normal 13 4 2 4 2 2 2 3" xfId="18078"/>
    <cellStyle name="Normal 13 4 2 4 2 2 2 3 2" xfId="35358"/>
    <cellStyle name="Normal 13 4 2 4 2 2 2 4" xfId="23838"/>
    <cellStyle name="Normal 13 4 2 4 2 2 3" xfId="9438"/>
    <cellStyle name="Normal 13 4 2 4 2 2 3 2" xfId="26718"/>
    <cellStyle name="Normal 13 4 2 4 2 2 4" xfId="15198"/>
    <cellStyle name="Normal 13 4 2 4 2 2 4 2" xfId="32478"/>
    <cellStyle name="Normal 13 4 2 4 2 2 5" xfId="20958"/>
    <cellStyle name="Normal 13 4 2 4 2 3" xfId="5118"/>
    <cellStyle name="Normal 13 4 2 4 2 3 2" xfId="10878"/>
    <cellStyle name="Normal 13 4 2 4 2 3 2 2" xfId="28158"/>
    <cellStyle name="Normal 13 4 2 4 2 3 3" xfId="16638"/>
    <cellStyle name="Normal 13 4 2 4 2 3 3 2" xfId="33918"/>
    <cellStyle name="Normal 13 4 2 4 2 3 4" xfId="22398"/>
    <cellStyle name="Normal 13 4 2 4 2 4" xfId="7998"/>
    <cellStyle name="Normal 13 4 2 4 2 4 2" xfId="25278"/>
    <cellStyle name="Normal 13 4 2 4 2 5" xfId="13758"/>
    <cellStyle name="Normal 13 4 2 4 2 5 2" xfId="31038"/>
    <cellStyle name="Normal 13 4 2 4 2 6" xfId="19518"/>
    <cellStyle name="Normal 13 4 2 4 3" xfId="2958"/>
    <cellStyle name="Normal 13 4 2 4 3 2" xfId="5838"/>
    <cellStyle name="Normal 13 4 2 4 3 2 2" xfId="11598"/>
    <cellStyle name="Normal 13 4 2 4 3 2 2 2" xfId="28878"/>
    <cellStyle name="Normal 13 4 2 4 3 2 3" xfId="17358"/>
    <cellStyle name="Normal 13 4 2 4 3 2 3 2" xfId="34638"/>
    <cellStyle name="Normal 13 4 2 4 3 2 4" xfId="23118"/>
    <cellStyle name="Normal 13 4 2 4 3 3" xfId="8718"/>
    <cellStyle name="Normal 13 4 2 4 3 3 2" xfId="25998"/>
    <cellStyle name="Normal 13 4 2 4 3 4" xfId="14478"/>
    <cellStyle name="Normal 13 4 2 4 3 4 2" xfId="31758"/>
    <cellStyle name="Normal 13 4 2 4 3 5" xfId="20238"/>
    <cellStyle name="Normal 13 4 2 4 4" xfId="4398"/>
    <cellStyle name="Normal 13 4 2 4 4 2" xfId="10158"/>
    <cellStyle name="Normal 13 4 2 4 4 2 2" xfId="27438"/>
    <cellStyle name="Normal 13 4 2 4 4 3" xfId="15918"/>
    <cellStyle name="Normal 13 4 2 4 4 3 2" xfId="33198"/>
    <cellStyle name="Normal 13 4 2 4 4 4" xfId="21678"/>
    <cellStyle name="Normal 13 4 2 4 5" xfId="7278"/>
    <cellStyle name="Normal 13 4 2 4 5 2" xfId="24558"/>
    <cellStyle name="Normal 13 4 2 4 6" xfId="13038"/>
    <cellStyle name="Normal 13 4 2 4 6 2" xfId="30318"/>
    <cellStyle name="Normal 13 4 2 4 7" xfId="18798"/>
    <cellStyle name="Normal 13 4 2 5" xfId="1758"/>
    <cellStyle name="Normal 13 4 2 5 2" xfId="3198"/>
    <cellStyle name="Normal 13 4 2 5 2 2" xfId="6078"/>
    <cellStyle name="Normal 13 4 2 5 2 2 2" xfId="11838"/>
    <cellStyle name="Normal 13 4 2 5 2 2 2 2" xfId="29118"/>
    <cellStyle name="Normal 13 4 2 5 2 2 3" xfId="17598"/>
    <cellStyle name="Normal 13 4 2 5 2 2 3 2" xfId="34878"/>
    <cellStyle name="Normal 13 4 2 5 2 2 4" xfId="23358"/>
    <cellStyle name="Normal 13 4 2 5 2 3" xfId="8958"/>
    <cellStyle name="Normal 13 4 2 5 2 3 2" xfId="26238"/>
    <cellStyle name="Normal 13 4 2 5 2 4" xfId="14718"/>
    <cellStyle name="Normal 13 4 2 5 2 4 2" xfId="31998"/>
    <cellStyle name="Normal 13 4 2 5 2 5" xfId="20478"/>
    <cellStyle name="Normal 13 4 2 5 3" xfId="4638"/>
    <cellStyle name="Normal 13 4 2 5 3 2" xfId="10398"/>
    <cellStyle name="Normal 13 4 2 5 3 2 2" xfId="27678"/>
    <cellStyle name="Normal 13 4 2 5 3 3" xfId="16158"/>
    <cellStyle name="Normal 13 4 2 5 3 3 2" xfId="33438"/>
    <cellStyle name="Normal 13 4 2 5 3 4" xfId="21918"/>
    <cellStyle name="Normal 13 4 2 5 4" xfId="7518"/>
    <cellStyle name="Normal 13 4 2 5 4 2" xfId="24798"/>
    <cellStyle name="Normal 13 4 2 5 5" xfId="13278"/>
    <cellStyle name="Normal 13 4 2 5 5 2" xfId="30558"/>
    <cellStyle name="Normal 13 4 2 5 6" xfId="19038"/>
    <cellStyle name="Normal 13 4 2 6" xfId="2478"/>
    <cellStyle name="Normal 13 4 2 6 2" xfId="5358"/>
    <cellStyle name="Normal 13 4 2 6 2 2" xfId="11118"/>
    <cellStyle name="Normal 13 4 2 6 2 2 2" xfId="28398"/>
    <cellStyle name="Normal 13 4 2 6 2 3" xfId="16878"/>
    <cellStyle name="Normal 13 4 2 6 2 3 2" xfId="34158"/>
    <cellStyle name="Normal 13 4 2 6 2 4" xfId="22638"/>
    <cellStyle name="Normal 13 4 2 6 3" xfId="8238"/>
    <cellStyle name="Normal 13 4 2 6 3 2" xfId="25518"/>
    <cellStyle name="Normal 13 4 2 6 4" xfId="13998"/>
    <cellStyle name="Normal 13 4 2 6 4 2" xfId="31278"/>
    <cellStyle name="Normal 13 4 2 6 5" xfId="19758"/>
    <cellStyle name="Normal 13 4 2 7" xfId="3918"/>
    <cellStyle name="Normal 13 4 2 7 2" xfId="9678"/>
    <cellStyle name="Normal 13 4 2 7 2 2" xfId="26958"/>
    <cellStyle name="Normal 13 4 2 7 3" xfId="15438"/>
    <cellStyle name="Normal 13 4 2 7 3 2" xfId="32718"/>
    <cellStyle name="Normal 13 4 2 7 4" xfId="21198"/>
    <cellStyle name="Normal 13 4 2 8" xfId="6798"/>
    <cellStyle name="Normal 13 4 2 8 2" xfId="24078"/>
    <cellStyle name="Normal 13 4 2 9" xfId="12558"/>
    <cellStyle name="Normal 13 4 2 9 2" xfId="29838"/>
    <cellStyle name="Normal 13 4 3" xfId="998"/>
    <cellStyle name="Normal 13 4 3 10" xfId="18278"/>
    <cellStyle name="Normal 13 4 3 2" xfId="1118"/>
    <cellStyle name="Normal 13 4 3 2 2" xfId="1358"/>
    <cellStyle name="Normal 13 4 3 2 2 2" xfId="2078"/>
    <cellStyle name="Normal 13 4 3 2 2 2 2" xfId="3518"/>
    <cellStyle name="Normal 13 4 3 2 2 2 2 2" xfId="6398"/>
    <cellStyle name="Normal 13 4 3 2 2 2 2 2 2" xfId="12158"/>
    <cellStyle name="Normal 13 4 3 2 2 2 2 2 2 2" xfId="29438"/>
    <cellStyle name="Normal 13 4 3 2 2 2 2 2 3" xfId="17918"/>
    <cellStyle name="Normal 13 4 3 2 2 2 2 2 3 2" xfId="35198"/>
    <cellStyle name="Normal 13 4 3 2 2 2 2 2 4" xfId="23678"/>
    <cellStyle name="Normal 13 4 3 2 2 2 2 3" xfId="9278"/>
    <cellStyle name="Normal 13 4 3 2 2 2 2 3 2" xfId="26558"/>
    <cellStyle name="Normal 13 4 3 2 2 2 2 4" xfId="15038"/>
    <cellStyle name="Normal 13 4 3 2 2 2 2 4 2" xfId="32318"/>
    <cellStyle name="Normal 13 4 3 2 2 2 2 5" xfId="20798"/>
    <cellStyle name="Normal 13 4 3 2 2 2 3" xfId="4958"/>
    <cellStyle name="Normal 13 4 3 2 2 2 3 2" xfId="10718"/>
    <cellStyle name="Normal 13 4 3 2 2 2 3 2 2" xfId="27998"/>
    <cellStyle name="Normal 13 4 3 2 2 2 3 3" xfId="16478"/>
    <cellStyle name="Normal 13 4 3 2 2 2 3 3 2" xfId="33758"/>
    <cellStyle name="Normal 13 4 3 2 2 2 3 4" xfId="22238"/>
    <cellStyle name="Normal 13 4 3 2 2 2 4" xfId="7838"/>
    <cellStyle name="Normal 13 4 3 2 2 2 4 2" xfId="25118"/>
    <cellStyle name="Normal 13 4 3 2 2 2 5" xfId="13598"/>
    <cellStyle name="Normal 13 4 3 2 2 2 5 2" xfId="30878"/>
    <cellStyle name="Normal 13 4 3 2 2 2 6" xfId="19358"/>
    <cellStyle name="Normal 13 4 3 2 2 3" xfId="2798"/>
    <cellStyle name="Normal 13 4 3 2 2 3 2" xfId="5678"/>
    <cellStyle name="Normal 13 4 3 2 2 3 2 2" xfId="11438"/>
    <cellStyle name="Normal 13 4 3 2 2 3 2 2 2" xfId="28718"/>
    <cellStyle name="Normal 13 4 3 2 2 3 2 3" xfId="17198"/>
    <cellStyle name="Normal 13 4 3 2 2 3 2 3 2" xfId="34478"/>
    <cellStyle name="Normal 13 4 3 2 2 3 2 4" xfId="22958"/>
    <cellStyle name="Normal 13 4 3 2 2 3 3" xfId="8558"/>
    <cellStyle name="Normal 13 4 3 2 2 3 3 2" xfId="25838"/>
    <cellStyle name="Normal 13 4 3 2 2 3 4" xfId="14318"/>
    <cellStyle name="Normal 13 4 3 2 2 3 4 2" xfId="31598"/>
    <cellStyle name="Normal 13 4 3 2 2 3 5" xfId="20078"/>
    <cellStyle name="Normal 13 4 3 2 2 4" xfId="4238"/>
    <cellStyle name="Normal 13 4 3 2 2 4 2" xfId="9998"/>
    <cellStyle name="Normal 13 4 3 2 2 4 2 2" xfId="27278"/>
    <cellStyle name="Normal 13 4 3 2 2 4 3" xfId="15758"/>
    <cellStyle name="Normal 13 4 3 2 2 4 3 2" xfId="33038"/>
    <cellStyle name="Normal 13 4 3 2 2 4 4" xfId="21518"/>
    <cellStyle name="Normal 13 4 3 2 2 5" xfId="7118"/>
    <cellStyle name="Normal 13 4 3 2 2 5 2" xfId="24398"/>
    <cellStyle name="Normal 13 4 3 2 2 6" xfId="12878"/>
    <cellStyle name="Normal 13 4 3 2 2 6 2" xfId="30158"/>
    <cellStyle name="Normal 13 4 3 2 2 7" xfId="18638"/>
    <cellStyle name="Normal 13 4 3 2 3" xfId="1598"/>
    <cellStyle name="Normal 13 4 3 2 3 2" xfId="2318"/>
    <cellStyle name="Normal 13 4 3 2 3 2 2" xfId="3758"/>
    <cellStyle name="Normal 13 4 3 2 3 2 2 2" xfId="6638"/>
    <cellStyle name="Normal 13 4 3 2 3 2 2 2 2" xfId="12398"/>
    <cellStyle name="Normal 13 4 3 2 3 2 2 2 2 2" xfId="29678"/>
    <cellStyle name="Normal 13 4 3 2 3 2 2 2 3" xfId="18158"/>
    <cellStyle name="Normal 13 4 3 2 3 2 2 2 3 2" xfId="35438"/>
    <cellStyle name="Normal 13 4 3 2 3 2 2 2 4" xfId="23918"/>
    <cellStyle name="Normal 13 4 3 2 3 2 2 3" xfId="9518"/>
    <cellStyle name="Normal 13 4 3 2 3 2 2 3 2" xfId="26798"/>
    <cellStyle name="Normal 13 4 3 2 3 2 2 4" xfId="15278"/>
    <cellStyle name="Normal 13 4 3 2 3 2 2 4 2" xfId="32558"/>
    <cellStyle name="Normal 13 4 3 2 3 2 2 5" xfId="21038"/>
    <cellStyle name="Normal 13 4 3 2 3 2 3" xfId="5198"/>
    <cellStyle name="Normal 13 4 3 2 3 2 3 2" xfId="10958"/>
    <cellStyle name="Normal 13 4 3 2 3 2 3 2 2" xfId="28238"/>
    <cellStyle name="Normal 13 4 3 2 3 2 3 3" xfId="16718"/>
    <cellStyle name="Normal 13 4 3 2 3 2 3 3 2" xfId="33998"/>
    <cellStyle name="Normal 13 4 3 2 3 2 3 4" xfId="22478"/>
    <cellStyle name="Normal 13 4 3 2 3 2 4" xfId="8078"/>
    <cellStyle name="Normal 13 4 3 2 3 2 4 2" xfId="25358"/>
    <cellStyle name="Normal 13 4 3 2 3 2 5" xfId="13838"/>
    <cellStyle name="Normal 13 4 3 2 3 2 5 2" xfId="31118"/>
    <cellStyle name="Normal 13 4 3 2 3 2 6" xfId="19598"/>
    <cellStyle name="Normal 13 4 3 2 3 3" xfId="3038"/>
    <cellStyle name="Normal 13 4 3 2 3 3 2" xfId="5918"/>
    <cellStyle name="Normal 13 4 3 2 3 3 2 2" xfId="11678"/>
    <cellStyle name="Normal 13 4 3 2 3 3 2 2 2" xfId="28958"/>
    <cellStyle name="Normal 13 4 3 2 3 3 2 3" xfId="17438"/>
    <cellStyle name="Normal 13 4 3 2 3 3 2 3 2" xfId="34718"/>
    <cellStyle name="Normal 13 4 3 2 3 3 2 4" xfId="23198"/>
    <cellStyle name="Normal 13 4 3 2 3 3 3" xfId="8798"/>
    <cellStyle name="Normal 13 4 3 2 3 3 3 2" xfId="26078"/>
    <cellStyle name="Normal 13 4 3 2 3 3 4" xfId="14558"/>
    <cellStyle name="Normal 13 4 3 2 3 3 4 2" xfId="31838"/>
    <cellStyle name="Normal 13 4 3 2 3 3 5" xfId="20318"/>
    <cellStyle name="Normal 13 4 3 2 3 4" xfId="4478"/>
    <cellStyle name="Normal 13 4 3 2 3 4 2" xfId="10238"/>
    <cellStyle name="Normal 13 4 3 2 3 4 2 2" xfId="27518"/>
    <cellStyle name="Normal 13 4 3 2 3 4 3" xfId="15998"/>
    <cellStyle name="Normal 13 4 3 2 3 4 3 2" xfId="33278"/>
    <cellStyle name="Normal 13 4 3 2 3 4 4" xfId="21758"/>
    <cellStyle name="Normal 13 4 3 2 3 5" xfId="7358"/>
    <cellStyle name="Normal 13 4 3 2 3 5 2" xfId="24638"/>
    <cellStyle name="Normal 13 4 3 2 3 6" xfId="13118"/>
    <cellStyle name="Normal 13 4 3 2 3 6 2" xfId="30398"/>
    <cellStyle name="Normal 13 4 3 2 3 7" xfId="18878"/>
    <cellStyle name="Normal 13 4 3 2 4" xfId="1838"/>
    <cellStyle name="Normal 13 4 3 2 4 2" xfId="3278"/>
    <cellStyle name="Normal 13 4 3 2 4 2 2" xfId="6158"/>
    <cellStyle name="Normal 13 4 3 2 4 2 2 2" xfId="11918"/>
    <cellStyle name="Normal 13 4 3 2 4 2 2 2 2" xfId="29198"/>
    <cellStyle name="Normal 13 4 3 2 4 2 2 3" xfId="17678"/>
    <cellStyle name="Normal 13 4 3 2 4 2 2 3 2" xfId="34958"/>
    <cellStyle name="Normal 13 4 3 2 4 2 2 4" xfId="23438"/>
    <cellStyle name="Normal 13 4 3 2 4 2 3" xfId="9038"/>
    <cellStyle name="Normal 13 4 3 2 4 2 3 2" xfId="26318"/>
    <cellStyle name="Normal 13 4 3 2 4 2 4" xfId="14798"/>
    <cellStyle name="Normal 13 4 3 2 4 2 4 2" xfId="32078"/>
    <cellStyle name="Normal 13 4 3 2 4 2 5" xfId="20558"/>
    <cellStyle name="Normal 13 4 3 2 4 3" xfId="4718"/>
    <cellStyle name="Normal 13 4 3 2 4 3 2" xfId="10478"/>
    <cellStyle name="Normal 13 4 3 2 4 3 2 2" xfId="27758"/>
    <cellStyle name="Normal 13 4 3 2 4 3 3" xfId="16238"/>
    <cellStyle name="Normal 13 4 3 2 4 3 3 2" xfId="33518"/>
    <cellStyle name="Normal 13 4 3 2 4 3 4" xfId="21998"/>
    <cellStyle name="Normal 13 4 3 2 4 4" xfId="7598"/>
    <cellStyle name="Normal 13 4 3 2 4 4 2" xfId="24878"/>
    <cellStyle name="Normal 13 4 3 2 4 5" xfId="13358"/>
    <cellStyle name="Normal 13 4 3 2 4 5 2" xfId="30638"/>
    <cellStyle name="Normal 13 4 3 2 4 6" xfId="19118"/>
    <cellStyle name="Normal 13 4 3 2 5" xfId="2558"/>
    <cellStyle name="Normal 13 4 3 2 5 2" xfId="5438"/>
    <cellStyle name="Normal 13 4 3 2 5 2 2" xfId="11198"/>
    <cellStyle name="Normal 13 4 3 2 5 2 2 2" xfId="28478"/>
    <cellStyle name="Normal 13 4 3 2 5 2 3" xfId="16958"/>
    <cellStyle name="Normal 13 4 3 2 5 2 3 2" xfId="34238"/>
    <cellStyle name="Normal 13 4 3 2 5 2 4" xfId="22718"/>
    <cellStyle name="Normal 13 4 3 2 5 3" xfId="8318"/>
    <cellStyle name="Normal 13 4 3 2 5 3 2" xfId="25598"/>
    <cellStyle name="Normal 13 4 3 2 5 4" xfId="14078"/>
    <cellStyle name="Normal 13 4 3 2 5 4 2" xfId="31358"/>
    <cellStyle name="Normal 13 4 3 2 5 5" xfId="19838"/>
    <cellStyle name="Normal 13 4 3 2 6" xfId="3998"/>
    <cellStyle name="Normal 13 4 3 2 6 2" xfId="9758"/>
    <cellStyle name="Normal 13 4 3 2 6 2 2" xfId="27038"/>
    <cellStyle name="Normal 13 4 3 2 6 3" xfId="15518"/>
    <cellStyle name="Normal 13 4 3 2 6 3 2" xfId="32798"/>
    <cellStyle name="Normal 13 4 3 2 6 4" xfId="21278"/>
    <cellStyle name="Normal 13 4 3 2 7" xfId="6878"/>
    <cellStyle name="Normal 13 4 3 2 7 2" xfId="24158"/>
    <cellStyle name="Normal 13 4 3 2 8" xfId="12638"/>
    <cellStyle name="Normal 13 4 3 2 8 2" xfId="29918"/>
    <cellStyle name="Normal 13 4 3 2 9" xfId="18398"/>
    <cellStyle name="Normal 13 4 3 3" xfId="1238"/>
    <cellStyle name="Normal 13 4 3 3 2" xfId="1958"/>
    <cellStyle name="Normal 13 4 3 3 2 2" xfId="3398"/>
    <cellStyle name="Normal 13 4 3 3 2 2 2" xfId="6278"/>
    <cellStyle name="Normal 13 4 3 3 2 2 2 2" xfId="12038"/>
    <cellStyle name="Normal 13 4 3 3 2 2 2 2 2" xfId="29318"/>
    <cellStyle name="Normal 13 4 3 3 2 2 2 3" xfId="17798"/>
    <cellStyle name="Normal 13 4 3 3 2 2 2 3 2" xfId="35078"/>
    <cellStyle name="Normal 13 4 3 3 2 2 2 4" xfId="23558"/>
    <cellStyle name="Normal 13 4 3 3 2 2 3" xfId="9158"/>
    <cellStyle name="Normal 13 4 3 3 2 2 3 2" xfId="26438"/>
    <cellStyle name="Normal 13 4 3 3 2 2 4" xfId="14918"/>
    <cellStyle name="Normal 13 4 3 3 2 2 4 2" xfId="32198"/>
    <cellStyle name="Normal 13 4 3 3 2 2 5" xfId="20678"/>
    <cellStyle name="Normal 13 4 3 3 2 3" xfId="4838"/>
    <cellStyle name="Normal 13 4 3 3 2 3 2" xfId="10598"/>
    <cellStyle name="Normal 13 4 3 3 2 3 2 2" xfId="27878"/>
    <cellStyle name="Normal 13 4 3 3 2 3 3" xfId="16358"/>
    <cellStyle name="Normal 13 4 3 3 2 3 3 2" xfId="33638"/>
    <cellStyle name="Normal 13 4 3 3 2 3 4" xfId="22118"/>
    <cellStyle name="Normal 13 4 3 3 2 4" xfId="7718"/>
    <cellStyle name="Normal 13 4 3 3 2 4 2" xfId="24998"/>
    <cellStyle name="Normal 13 4 3 3 2 5" xfId="13478"/>
    <cellStyle name="Normal 13 4 3 3 2 5 2" xfId="30758"/>
    <cellStyle name="Normal 13 4 3 3 2 6" xfId="19238"/>
    <cellStyle name="Normal 13 4 3 3 3" xfId="2678"/>
    <cellStyle name="Normal 13 4 3 3 3 2" xfId="5558"/>
    <cellStyle name="Normal 13 4 3 3 3 2 2" xfId="11318"/>
    <cellStyle name="Normal 13 4 3 3 3 2 2 2" xfId="28598"/>
    <cellStyle name="Normal 13 4 3 3 3 2 3" xfId="17078"/>
    <cellStyle name="Normal 13 4 3 3 3 2 3 2" xfId="34358"/>
    <cellStyle name="Normal 13 4 3 3 3 2 4" xfId="22838"/>
    <cellStyle name="Normal 13 4 3 3 3 3" xfId="8438"/>
    <cellStyle name="Normal 13 4 3 3 3 3 2" xfId="25718"/>
    <cellStyle name="Normal 13 4 3 3 3 4" xfId="14198"/>
    <cellStyle name="Normal 13 4 3 3 3 4 2" xfId="31478"/>
    <cellStyle name="Normal 13 4 3 3 3 5" xfId="19958"/>
    <cellStyle name="Normal 13 4 3 3 4" xfId="4118"/>
    <cellStyle name="Normal 13 4 3 3 4 2" xfId="9878"/>
    <cellStyle name="Normal 13 4 3 3 4 2 2" xfId="27158"/>
    <cellStyle name="Normal 13 4 3 3 4 3" xfId="15638"/>
    <cellStyle name="Normal 13 4 3 3 4 3 2" xfId="32918"/>
    <cellStyle name="Normal 13 4 3 3 4 4" xfId="21398"/>
    <cellStyle name="Normal 13 4 3 3 5" xfId="6998"/>
    <cellStyle name="Normal 13 4 3 3 5 2" xfId="24278"/>
    <cellStyle name="Normal 13 4 3 3 6" xfId="12758"/>
    <cellStyle name="Normal 13 4 3 3 6 2" xfId="30038"/>
    <cellStyle name="Normal 13 4 3 3 7" xfId="18518"/>
    <cellStyle name="Normal 13 4 3 4" xfId="1478"/>
    <cellStyle name="Normal 13 4 3 4 2" xfId="2198"/>
    <cellStyle name="Normal 13 4 3 4 2 2" xfId="3638"/>
    <cellStyle name="Normal 13 4 3 4 2 2 2" xfId="6518"/>
    <cellStyle name="Normal 13 4 3 4 2 2 2 2" xfId="12278"/>
    <cellStyle name="Normal 13 4 3 4 2 2 2 2 2" xfId="29558"/>
    <cellStyle name="Normal 13 4 3 4 2 2 2 3" xfId="18038"/>
    <cellStyle name="Normal 13 4 3 4 2 2 2 3 2" xfId="35318"/>
    <cellStyle name="Normal 13 4 3 4 2 2 2 4" xfId="23798"/>
    <cellStyle name="Normal 13 4 3 4 2 2 3" xfId="9398"/>
    <cellStyle name="Normal 13 4 3 4 2 2 3 2" xfId="26678"/>
    <cellStyle name="Normal 13 4 3 4 2 2 4" xfId="15158"/>
    <cellStyle name="Normal 13 4 3 4 2 2 4 2" xfId="32438"/>
    <cellStyle name="Normal 13 4 3 4 2 2 5" xfId="20918"/>
    <cellStyle name="Normal 13 4 3 4 2 3" xfId="5078"/>
    <cellStyle name="Normal 13 4 3 4 2 3 2" xfId="10838"/>
    <cellStyle name="Normal 13 4 3 4 2 3 2 2" xfId="28118"/>
    <cellStyle name="Normal 13 4 3 4 2 3 3" xfId="16598"/>
    <cellStyle name="Normal 13 4 3 4 2 3 3 2" xfId="33878"/>
    <cellStyle name="Normal 13 4 3 4 2 3 4" xfId="22358"/>
    <cellStyle name="Normal 13 4 3 4 2 4" xfId="7958"/>
    <cellStyle name="Normal 13 4 3 4 2 4 2" xfId="25238"/>
    <cellStyle name="Normal 13 4 3 4 2 5" xfId="13718"/>
    <cellStyle name="Normal 13 4 3 4 2 5 2" xfId="30998"/>
    <cellStyle name="Normal 13 4 3 4 2 6" xfId="19478"/>
    <cellStyle name="Normal 13 4 3 4 3" xfId="2918"/>
    <cellStyle name="Normal 13 4 3 4 3 2" xfId="5798"/>
    <cellStyle name="Normal 13 4 3 4 3 2 2" xfId="11558"/>
    <cellStyle name="Normal 13 4 3 4 3 2 2 2" xfId="28838"/>
    <cellStyle name="Normal 13 4 3 4 3 2 3" xfId="17318"/>
    <cellStyle name="Normal 13 4 3 4 3 2 3 2" xfId="34598"/>
    <cellStyle name="Normal 13 4 3 4 3 2 4" xfId="23078"/>
    <cellStyle name="Normal 13 4 3 4 3 3" xfId="8678"/>
    <cellStyle name="Normal 13 4 3 4 3 3 2" xfId="25958"/>
    <cellStyle name="Normal 13 4 3 4 3 4" xfId="14438"/>
    <cellStyle name="Normal 13 4 3 4 3 4 2" xfId="31718"/>
    <cellStyle name="Normal 13 4 3 4 3 5" xfId="20198"/>
    <cellStyle name="Normal 13 4 3 4 4" xfId="4358"/>
    <cellStyle name="Normal 13 4 3 4 4 2" xfId="10118"/>
    <cellStyle name="Normal 13 4 3 4 4 2 2" xfId="27398"/>
    <cellStyle name="Normal 13 4 3 4 4 3" xfId="15878"/>
    <cellStyle name="Normal 13 4 3 4 4 3 2" xfId="33158"/>
    <cellStyle name="Normal 13 4 3 4 4 4" xfId="21638"/>
    <cellStyle name="Normal 13 4 3 4 5" xfId="7238"/>
    <cellStyle name="Normal 13 4 3 4 5 2" xfId="24518"/>
    <cellStyle name="Normal 13 4 3 4 6" xfId="12998"/>
    <cellStyle name="Normal 13 4 3 4 6 2" xfId="30278"/>
    <cellStyle name="Normal 13 4 3 4 7" xfId="18758"/>
    <cellStyle name="Normal 13 4 3 5" xfId="1718"/>
    <cellStyle name="Normal 13 4 3 5 2" xfId="3158"/>
    <cellStyle name="Normal 13 4 3 5 2 2" xfId="6038"/>
    <cellStyle name="Normal 13 4 3 5 2 2 2" xfId="11798"/>
    <cellStyle name="Normal 13 4 3 5 2 2 2 2" xfId="29078"/>
    <cellStyle name="Normal 13 4 3 5 2 2 3" xfId="17558"/>
    <cellStyle name="Normal 13 4 3 5 2 2 3 2" xfId="34838"/>
    <cellStyle name="Normal 13 4 3 5 2 2 4" xfId="23318"/>
    <cellStyle name="Normal 13 4 3 5 2 3" xfId="8918"/>
    <cellStyle name="Normal 13 4 3 5 2 3 2" xfId="26198"/>
    <cellStyle name="Normal 13 4 3 5 2 4" xfId="14678"/>
    <cellStyle name="Normal 13 4 3 5 2 4 2" xfId="31958"/>
    <cellStyle name="Normal 13 4 3 5 2 5" xfId="20438"/>
    <cellStyle name="Normal 13 4 3 5 3" xfId="4598"/>
    <cellStyle name="Normal 13 4 3 5 3 2" xfId="10358"/>
    <cellStyle name="Normal 13 4 3 5 3 2 2" xfId="27638"/>
    <cellStyle name="Normal 13 4 3 5 3 3" xfId="16118"/>
    <cellStyle name="Normal 13 4 3 5 3 3 2" xfId="33398"/>
    <cellStyle name="Normal 13 4 3 5 3 4" xfId="21878"/>
    <cellStyle name="Normal 13 4 3 5 4" xfId="7478"/>
    <cellStyle name="Normal 13 4 3 5 4 2" xfId="24758"/>
    <cellStyle name="Normal 13 4 3 5 5" xfId="13238"/>
    <cellStyle name="Normal 13 4 3 5 5 2" xfId="30518"/>
    <cellStyle name="Normal 13 4 3 5 6" xfId="18998"/>
    <cellStyle name="Normal 13 4 3 6" xfId="2438"/>
    <cellStyle name="Normal 13 4 3 6 2" xfId="5318"/>
    <cellStyle name="Normal 13 4 3 6 2 2" xfId="11078"/>
    <cellStyle name="Normal 13 4 3 6 2 2 2" xfId="28358"/>
    <cellStyle name="Normal 13 4 3 6 2 3" xfId="16838"/>
    <cellStyle name="Normal 13 4 3 6 2 3 2" xfId="34118"/>
    <cellStyle name="Normal 13 4 3 6 2 4" xfId="22598"/>
    <cellStyle name="Normal 13 4 3 6 3" xfId="8198"/>
    <cellStyle name="Normal 13 4 3 6 3 2" xfId="25478"/>
    <cellStyle name="Normal 13 4 3 6 4" xfId="13958"/>
    <cellStyle name="Normal 13 4 3 6 4 2" xfId="31238"/>
    <cellStyle name="Normal 13 4 3 6 5" xfId="19718"/>
    <cellStyle name="Normal 13 4 3 7" xfId="3878"/>
    <cellStyle name="Normal 13 4 3 7 2" xfId="9638"/>
    <cellStyle name="Normal 13 4 3 7 2 2" xfId="26918"/>
    <cellStyle name="Normal 13 4 3 7 3" xfId="15398"/>
    <cellStyle name="Normal 13 4 3 7 3 2" xfId="32678"/>
    <cellStyle name="Normal 13 4 3 7 4" xfId="21158"/>
    <cellStyle name="Normal 13 4 3 8" xfId="6758"/>
    <cellStyle name="Normal 13 4 3 8 2" xfId="24038"/>
    <cellStyle name="Normal 13 4 3 9" xfId="12518"/>
    <cellStyle name="Normal 13 4 3 9 2" xfId="29798"/>
    <cellStyle name="Normal 13 4 4" xfId="1078"/>
    <cellStyle name="Normal 13 4 4 2" xfId="1318"/>
    <cellStyle name="Normal 13 4 4 2 2" xfId="2038"/>
    <cellStyle name="Normal 13 4 4 2 2 2" xfId="3478"/>
    <cellStyle name="Normal 13 4 4 2 2 2 2" xfId="6358"/>
    <cellStyle name="Normal 13 4 4 2 2 2 2 2" xfId="12118"/>
    <cellStyle name="Normal 13 4 4 2 2 2 2 2 2" xfId="29398"/>
    <cellStyle name="Normal 13 4 4 2 2 2 2 3" xfId="17878"/>
    <cellStyle name="Normal 13 4 4 2 2 2 2 3 2" xfId="35158"/>
    <cellStyle name="Normal 13 4 4 2 2 2 2 4" xfId="23638"/>
    <cellStyle name="Normal 13 4 4 2 2 2 3" xfId="9238"/>
    <cellStyle name="Normal 13 4 4 2 2 2 3 2" xfId="26518"/>
    <cellStyle name="Normal 13 4 4 2 2 2 4" xfId="14998"/>
    <cellStyle name="Normal 13 4 4 2 2 2 4 2" xfId="32278"/>
    <cellStyle name="Normal 13 4 4 2 2 2 5" xfId="20758"/>
    <cellStyle name="Normal 13 4 4 2 2 3" xfId="4918"/>
    <cellStyle name="Normal 13 4 4 2 2 3 2" xfId="10678"/>
    <cellStyle name="Normal 13 4 4 2 2 3 2 2" xfId="27958"/>
    <cellStyle name="Normal 13 4 4 2 2 3 3" xfId="16438"/>
    <cellStyle name="Normal 13 4 4 2 2 3 3 2" xfId="33718"/>
    <cellStyle name="Normal 13 4 4 2 2 3 4" xfId="22198"/>
    <cellStyle name="Normal 13 4 4 2 2 4" xfId="7798"/>
    <cellStyle name="Normal 13 4 4 2 2 4 2" xfId="25078"/>
    <cellStyle name="Normal 13 4 4 2 2 5" xfId="13558"/>
    <cellStyle name="Normal 13 4 4 2 2 5 2" xfId="30838"/>
    <cellStyle name="Normal 13 4 4 2 2 6" xfId="19318"/>
    <cellStyle name="Normal 13 4 4 2 3" xfId="2758"/>
    <cellStyle name="Normal 13 4 4 2 3 2" xfId="5638"/>
    <cellStyle name="Normal 13 4 4 2 3 2 2" xfId="11398"/>
    <cellStyle name="Normal 13 4 4 2 3 2 2 2" xfId="28678"/>
    <cellStyle name="Normal 13 4 4 2 3 2 3" xfId="17158"/>
    <cellStyle name="Normal 13 4 4 2 3 2 3 2" xfId="34438"/>
    <cellStyle name="Normal 13 4 4 2 3 2 4" xfId="22918"/>
    <cellStyle name="Normal 13 4 4 2 3 3" xfId="8518"/>
    <cellStyle name="Normal 13 4 4 2 3 3 2" xfId="25798"/>
    <cellStyle name="Normal 13 4 4 2 3 4" xfId="14278"/>
    <cellStyle name="Normal 13 4 4 2 3 4 2" xfId="31558"/>
    <cellStyle name="Normal 13 4 4 2 3 5" xfId="20038"/>
    <cellStyle name="Normal 13 4 4 2 4" xfId="4198"/>
    <cellStyle name="Normal 13 4 4 2 4 2" xfId="9958"/>
    <cellStyle name="Normal 13 4 4 2 4 2 2" xfId="27238"/>
    <cellStyle name="Normal 13 4 4 2 4 3" xfId="15718"/>
    <cellStyle name="Normal 13 4 4 2 4 3 2" xfId="32998"/>
    <cellStyle name="Normal 13 4 4 2 4 4" xfId="21478"/>
    <cellStyle name="Normal 13 4 4 2 5" xfId="7078"/>
    <cellStyle name="Normal 13 4 4 2 5 2" xfId="24358"/>
    <cellStyle name="Normal 13 4 4 2 6" xfId="12838"/>
    <cellStyle name="Normal 13 4 4 2 6 2" xfId="30118"/>
    <cellStyle name="Normal 13 4 4 2 7" xfId="18598"/>
    <cellStyle name="Normal 13 4 4 3" xfId="1558"/>
    <cellStyle name="Normal 13 4 4 3 2" xfId="2278"/>
    <cellStyle name="Normal 13 4 4 3 2 2" xfId="3718"/>
    <cellStyle name="Normal 13 4 4 3 2 2 2" xfId="6598"/>
    <cellStyle name="Normal 13 4 4 3 2 2 2 2" xfId="12358"/>
    <cellStyle name="Normal 13 4 4 3 2 2 2 2 2" xfId="29638"/>
    <cellStyle name="Normal 13 4 4 3 2 2 2 3" xfId="18118"/>
    <cellStyle name="Normal 13 4 4 3 2 2 2 3 2" xfId="35398"/>
    <cellStyle name="Normal 13 4 4 3 2 2 2 4" xfId="23878"/>
    <cellStyle name="Normal 13 4 4 3 2 2 3" xfId="9478"/>
    <cellStyle name="Normal 13 4 4 3 2 2 3 2" xfId="26758"/>
    <cellStyle name="Normal 13 4 4 3 2 2 4" xfId="15238"/>
    <cellStyle name="Normal 13 4 4 3 2 2 4 2" xfId="32518"/>
    <cellStyle name="Normal 13 4 4 3 2 2 5" xfId="20998"/>
    <cellStyle name="Normal 13 4 4 3 2 3" xfId="5158"/>
    <cellStyle name="Normal 13 4 4 3 2 3 2" xfId="10918"/>
    <cellStyle name="Normal 13 4 4 3 2 3 2 2" xfId="28198"/>
    <cellStyle name="Normal 13 4 4 3 2 3 3" xfId="16678"/>
    <cellStyle name="Normal 13 4 4 3 2 3 3 2" xfId="33958"/>
    <cellStyle name="Normal 13 4 4 3 2 3 4" xfId="22438"/>
    <cellStyle name="Normal 13 4 4 3 2 4" xfId="8038"/>
    <cellStyle name="Normal 13 4 4 3 2 4 2" xfId="25318"/>
    <cellStyle name="Normal 13 4 4 3 2 5" xfId="13798"/>
    <cellStyle name="Normal 13 4 4 3 2 5 2" xfId="31078"/>
    <cellStyle name="Normal 13 4 4 3 2 6" xfId="19558"/>
    <cellStyle name="Normal 13 4 4 3 3" xfId="2998"/>
    <cellStyle name="Normal 13 4 4 3 3 2" xfId="5878"/>
    <cellStyle name="Normal 13 4 4 3 3 2 2" xfId="11638"/>
    <cellStyle name="Normal 13 4 4 3 3 2 2 2" xfId="28918"/>
    <cellStyle name="Normal 13 4 4 3 3 2 3" xfId="17398"/>
    <cellStyle name="Normal 13 4 4 3 3 2 3 2" xfId="34678"/>
    <cellStyle name="Normal 13 4 4 3 3 2 4" xfId="23158"/>
    <cellStyle name="Normal 13 4 4 3 3 3" xfId="8758"/>
    <cellStyle name="Normal 13 4 4 3 3 3 2" xfId="26038"/>
    <cellStyle name="Normal 13 4 4 3 3 4" xfId="14518"/>
    <cellStyle name="Normal 13 4 4 3 3 4 2" xfId="31798"/>
    <cellStyle name="Normal 13 4 4 3 3 5" xfId="20278"/>
    <cellStyle name="Normal 13 4 4 3 4" xfId="4438"/>
    <cellStyle name="Normal 13 4 4 3 4 2" xfId="10198"/>
    <cellStyle name="Normal 13 4 4 3 4 2 2" xfId="27478"/>
    <cellStyle name="Normal 13 4 4 3 4 3" xfId="15958"/>
    <cellStyle name="Normal 13 4 4 3 4 3 2" xfId="33238"/>
    <cellStyle name="Normal 13 4 4 3 4 4" xfId="21718"/>
    <cellStyle name="Normal 13 4 4 3 5" xfId="7318"/>
    <cellStyle name="Normal 13 4 4 3 5 2" xfId="24598"/>
    <cellStyle name="Normal 13 4 4 3 6" xfId="13078"/>
    <cellStyle name="Normal 13 4 4 3 6 2" xfId="30358"/>
    <cellStyle name="Normal 13 4 4 3 7" xfId="18838"/>
    <cellStyle name="Normal 13 4 4 4" xfId="1798"/>
    <cellStyle name="Normal 13 4 4 4 2" xfId="3238"/>
    <cellStyle name="Normal 13 4 4 4 2 2" xfId="6118"/>
    <cellStyle name="Normal 13 4 4 4 2 2 2" xfId="11878"/>
    <cellStyle name="Normal 13 4 4 4 2 2 2 2" xfId="29158"/>
    <cellStyle name="Normal 13 4 4 4 2 2 3" xfId="17638"/>
    <cellStyle name="Normal 13 4 4 4 2 2 3 2" xfId="34918"/>
    <cellStyle name="Normal 13 4 4 4 2 2 4" xfId="23398"/>
    <cellStyle name="Normal 13 4 4 4 2 3" xfId="8998"/>
    <cellStyle name="Normal 13 4 4 4 2 3 2" xfId="26278"/>
    <cellStyle name="Normal 13 4 4 4 2 4" xfId="14758"/>
    <cellStyle name="Normal 13 4 4 4 2 4 2" xfId="32038"/>
    <cellStyle name="Normal 13 4 4 4 2 5" xfId="20518"/>
    <cellStyle name="Normal 13 4 4 4 3" xfId="4678"/>
    <cellStyle name="Normal 13 4 4 4 3 2" xfId="10438"/>
    <cellStyle name="Normal 13 4 4 4 3 2 2" xfId="27718"/>
    <cellStyle name="Normal 13 4 4 4 3 3" xfId="16198"/>
    <cellStyle name="Normal 13 4 4 4 3 3 2" xfId="33478"/>
    <cellStyle name="Normal 13 4 4 4 3 4" xfId="21958"/>
    <cellStyle name="Normal 13 4 4 4 4" xfId="7558"/>
    <cellStyle name="Normal 13 4 4 4 4 2" xfId="24838"/>
    <cellStyle name="Normal 13 4 4 4 5" xfId="13318"/>
    <cellStyle name="Normal 13 4 4 4 5 2" xfId="30598"/>
    <cellStyle name="Normal 13 4 4 4 6" xfId="19078"/>
    <cellStyle name="Normal 13 4 4 5" xfId="2518"/>
    <cellStyle name="Normal 13 4 4 5 2" xfId="5398"/>
    <cellStyle name="Normal 13 4 4 5 2 2" xfId="11158"/>
    <cellStyle name="Normal 13 4 4 5 2 2 2" xfId="28438"/>
    <cellStyle name="Normal 13 4 4 5 2 3" xfId="16918"/>
    <cellStyle name="Normal 13 4 4 5 2 3 2" xfId="34198"/>
    <cellStyle name="Normal 13 4 4 5 2 4" xfId="22678"/>
    <cellStyle name="Normal 13 4 4 5 3" xfId="8278"/>
    <cellStyle name="Normal 13 4 4 5 3 2" xfId="25558"/>
    <cellStyle name="Normal 13 4 4 5 4" xfId="14038"/>
    <cellStyle name="Normal 13 4 4 5 4 2" xfId="31318"/>
    <cellStyle name="Normal 13 4 4 5 5" xfId="19798"/>
    <cellStyle name="Normal 13 4 4 6" xfId="3958"/>
    <cellStyle name="Normal 13 4 4 6 2" xfId="9718"/>
    <cellStyle name="Normal 13 4 4 6 2 2" xfId="26998"/>
    <cellStyle name="Normal 13 4 4 6 3" xfId="15478"/>
    <cellStyle name="Normal 13 4 4 6 3 2" xfId="32758"/>
    <cellStyle name="Normal 13 4 4 6 4" xfId="21238"/>
    <cellStyle name="Normal 13 4 4 7" xfId="6838"/>
    <cellStyle name="Normal 13 4 4 7 2" xfId="24118"/>
    <cellStyle name="Normal 13 4 4 8" xfId="12598"/>
    <cellStyle name="Normal 13 4 4 8 2" xfId="29878"/>
    <cellStyle name="Normal 13 4 4 9" xfId="18358"/>
    <cellStyle name="Normal 13 4 5" xfId="1198"/>
    <cellStyle name="Normal 13 4 5 2" xfId="1918"/>
    <cellStyle name="Normal 13 4 5 2 2" xfId="3358"/>
    <cellStyle name="Normal 13 4 5 2 2 2" xfId="6238"/>
    <cellStyle name="Normal 13 4 5 2 2 2 2" xfId="11998"/>
    <cellStyle name="Normal 13 4 5 2 2 2 2 2" xfId="29278"/>
    <cellStyle name="Normal 13 4 5 2 2 2 3" xfId="17758"/>
    <cellStyle name="Normal 13 4 5 2 2 2 3 2" xfId="35038"/>
    <cellStyle name="Normal 13 4 5 2 2 2 4" xfId="23518"/>
    <cellStyle name="Normal 13 4 5 2 2 3" xfId="9118"/>
    <cellStyle name="Normal 13 4 5 2 2 3 2" xfId="26398"/>
    <cellStyle name="Normal 13 4 5 2 2 4" xfId="14878"/>
    <cellStyle name="Normal 13 4 5 2 2 4 2" xfId="32158"/>
    <cellStyle name="Normal 13 4 5 2 2 5" xfId="20638"/>
    <cellStyle name="Normal 13 4 5 2 3" xfId="4798"/>
    <cellStyle name="Normal 13 4 5 2 3 2" xfId="10558"/>
    <cellStyle name="Normal 13 4 5 2 3 2 2" xfId="27838"/>
    <cellStyle name="Normal 13 4 5 2 3 3" xfId="16318"/>
    <cellStyle name="Normal 13 4 5 2 3 3 2" xfId="33598"/>
    <cellStyle name="Normal 13 4 5 2 3 4" xfId="22078"/>
    <cellStyle name="Normal 13 4 5 2 4" xfId="7678"/>
    <cellStyle name="Normal 13 4 5 2 4 2" xfId="24958"/>
    <cellStyle name="Normal 13 4 5 2 5" xfId="13438"/>
    <cellStyle name="Normal 13 4 5 2 5 2" xfId="30718"/>
    <cellStyle name="Normal 13 4 5 2 6" xfId="19198"/>
    <cellStyle name="Normal 13 4 5 3" xfId="2638"/>
    <cellStyle name="Normal 13 4 5 3 2" xfId="5518"/>
    <cellStyle name="Normal 13 4 5 3 2 2" xfId="11278"/>
    <cellStyle name="Normal 13 4 5 3 2 2 2" xfId="28558"/>
    <cellStyle name="Normal 13 4 5 3 2 3" xfId="17038"/>
    <cellStyle name="Normal 13 4 5 3 2 3 2" xfId="34318"/>
    <cellStyle name="Normal 13 4 5 3 2 4" xfId="22798"/>
    <cellStyle name="Normal 13 4 5 3 3" xfId="8398"/>
    <cellStyle name="Normal 13 4 5 3 3 2" xfId="25678"/>
    <cellStyle name="Normal 13 4 5 3 4" xfId="14158"/>
    <cellStyle name="Normal 13 4 5 3 4 2" xfId="31438"/>
    <cellStyle name="Normal 13 4 5 3 5" xfId="19918"/>
    <cellStyle name="Normal 13 4 5 4" xfId="4078"/>
    <cellStyle name="Normal 13 4 5 4 2" xfId="9838"/>
    <cellStyle name="Normal 13 4 5 4 2 2" xfId="27118"/>
    <cellStyle name="Normal 13 4 5 4 3" xfId="15598"/>
    <cellStyle name="Normal 13 4 5 4 3 2" xfId="32878"/>
    <cellStyle name="Normal 13 4 5 4 4" xfId="21358"/>
    <cellStyle name="Normal 13 4 5 5" xfId="6958"/>
    <cellStyle name="Normal 13 4 5 5 2" xfId="24238"/>
    <cellStyle name="Normal 13 4 5 6" xfId="12718"/>
    <cellStyle name="Normal 13 4 5 6 2" xfId="29998"/>
    <cellStyle name="Normal 13 4 5 7" xfId="18478"/>
    <cellStyle name="Normal 13 4 6" xfId="1438"/>
    <cellStyle name="Normal 13 4 6 2" xfId="2158"/>
    <cellStyle name="Normal 13 4 6 2 2" xfId="3598"/>
    <cellStyle name="Normal 13 4 6 2 2 2" xfId="6478"/>
    <cellStyle name="Normal 13 4 6 2 2 2 2" xfId="12238"/>
    <cellStyle name="Normal 13 4 6 2 2 2 2 2" xfId="29518"/>
    <cellStyle name="Normal 13 4 6 2 2 2 3" xfId="17998"/>
    <cellStyle name="Normal 13 4 6 2 2 2 3 2" xfId="35278"/>
    <cellStyle name="Normal 13 4 6 2 2 2 4" xfId="23758"/>
    <cellStyle name="Normal 13 4 6 2 2 3" xfId="9358"/>
    <cellStyle name="Normal 13 4 6 2 2 3 2" xfId="26638"/>
    <cellStyle name="Normal 13 4 6 2 2 4" xfId="15118"/>
    <cellStyle name="Normal 13 4 6 2 2 4 2" xfId="32398"/>
    <cellStyle name="Normal 13 4 6 2 2 5" xfId="20878"/>
    <cellStyle name="Normal 13 4 6 2 3" xfId="5038"/>
    <cellStyle name="Normal 13 4 6 2 3 2" xfId="10798"/>
    <cellStyle name="Normal 13 4 6 2 3 2 2" xfId="28078"/>
    <cellStyle name="Normal 13 4 6 2 3 3" xfId="16558"/>
    <cellStyle name="Normal 13 4 6 2 3 3 2" xfId="33838"/>
    <cellStyle name="Normal 13 4 6 2 3 4" xfId="22318"/>
    <cellStyle name="Normal 13 4 6 2 4" xfId="7918"/>
    <cellStyle name="Normal 13 4 6 2 4 2" xfId="25198"/>
    <cellStyle name="Normal 13 4 6 2 5" xfId="13678"/>
    <cellStyle name="Normal 13 4 6 2 5 2" xfId="30958"/>
    <cellStyle name="Normal 13 4 6 2 6" xfId="19438"/>
    <cellStyle name="Normal 13 4 6 3" xfId="2878"/>
    <cellStyle name="Normal 13 4 6 3 2" xfId="5758"/>
    <cellStyle name="Normal 13 4 6 3 2 2" xfId="11518"/>
    <cellStyle name="Normal 13 4 6 3 2 2 2" xfId="28798"/>
    <cellStyle name="Normal 13 4 6 3 2 3" xfId="17278"/>
    <cellStyle name="Normal 13 4 6 3 2 3 2" xfId="34558"/>
    <cellStyle name="Normal 13 4 6 3 2 4" xfId="23038"/>
    <cellStyle name="Normal 13 4 6 3 3" xfId="8638"/>
    <cellStyle name="Normal 13 4 6 3 3 2" xfId="25918"/>
    <cellStyle name="Normal 13 4 6 3 4" xfId="14398"/>
    <cellStyle name="Normal 13 4 6 3 4 2" xfId="31678"/>
    <cellStyle name="Normal 13 4 6 3 5" xfId="20158"/>
    <cellStyle name="Normal 13 4 6 4" xfId="4318"/>
    <cellStyle name="Normal 13 4 6 4 2" xfId="10078"/>
    <cellStyle name="Normal 13 4 6 4 2 2" xfId="27358"/>
    <cellStyle name="Normal 13 4 6 4 3" xfId="15838"/>
    <cellStyle name="Normal 13 4 6 4 3 2" xfId="33118"/>
    <cellStyle name="Normal 13 4 6 4 4" xfId="21598"/>
    <cellStyle name="Normal 13 4 6 5" xfId="7198"/>
    <cellStyle name="Normal 13 4 6 5 2" xfId="24478"/>
    <cellStyle name="Normal 13 4 6 6" xfId="12958"/>
    <cellStyle name="Normal 13 4 6 6 2" xfId="30238"/>
    <cellStyle name="Normal 13 4 6 7" xfId="18718"/>
    <cellStyle name="Normal 13 4 7" xfId="1678"/>
    <cellStyle name="Normal 13 4 7 2" xfId="3118"/>
    <cellStyle name="Normal 13 4 7 2 2" xfId="5998"/>
    <cellStyle name="Normal 13 4 7 2 2 2" xfId="11758"/>
    <cellStyle name="Normal 13 4 7 2 2 2 2" xfId="29038"/>
    <cellStyle name="Normal 13 4 7 2 2 3" xfId="17518"/>
    <cellStyle name="Normal 13 4 7 2 2 3 2" xfId="34798"/>
    <cellStyle name="Normal 13 4 7 2 2 4" xfId="23278"/>
    <cellStyle name="Normal 13 4 7 2 3" xfId="8878"/>
    <cellStyle name="Normal 13 4 7 2 3 2" xfId="26158"/>
    <cellStyle name="Normal 13 4 7 2 4" xfId="14638"/>
    <cellStyle name="Normal 13 4 7 2 4 2" xfId="31918"/>
    <cellStyle name="Normal 13 4 7 2 5" xfId="20398"/>
    <cellStyle name="Normal 13 4 7 3" xfId="4558"/>
    <cellStyle name="Normal 13 4 7 3 2" xfId="10318"/>
    <cellStyle name="Normal 13 4 7 3 2 2" xfId="27598"/>
    <cellStyle name="Normal 13 4 7 3 3" xfId="16078"/>
    <cellStyle name="Normal 13 4 7 3 3 2" xfId="33358"/>
    <cellStyle name="Normal 13 4 7 3 4" xfId="21838"/>
    <cellStyle name="Normal 13 4 7 4" xfId="7438"/>
    <cellStyle name="Normal 13 4 7 4 2" xfId="24718"/>
    <cellStyle name="Normal 13 4 7 5" xfId="13198"/>
    <cellStyle name="Normal 13 4 7 5 2" xfId="30478"/>
    <cellStyle name="Normal 13 4 7 6" xfId="18958"/>
    <cellStyle name="Normal 13 4 8" xfId="2398"/>
    <cellStyle name="Normal 13 4 8 2" xfId="5278"/>
    <cellStyle name="Normal 13 4 8 2 2" xfId="11038"/>
    <cellStyle name="Normal 13 4 8 2 2 2" xfId="28318"/>
    <cellStyle name="Normal 13 4 8 2 3" xfId="16798"/>
    <cellStyle name="Normal 13 4 8 2 3 2" xfId="34078"/>
    <cellStyle name="Normal 13 4 8 2 4" xfId="22558"/>
    <cellStyle name="Normal 13 4 8 3" xfId="8158"/>
    <cellStyle name="Normal 13 4 8 3 2" xfId="25438"/>
    <cellStyle name="Normal 13 4 8 4" xfId="13918"/>
    <cellStyle name="Normal 13 4 8 4 2" xfId="31198"/>
    <cellStyle name="Normal 13 4 8 5" xfId="19678"/>
    <cellStyle name="Normal 13 4 9" xfId="3838"/>
    <cellStyle name="Normal 13 4 9 2" xfId="9598"/>
    <cellStyle name="Normal 13 4 9 2 2" xfId="26878"/>
    <cellStyle name="Normal 13 4 9 3" xfId="15358"/>
    <cellStyle name="Normal 13 4 9 3 2" xfId="32638"/>
    <cellStyle name="Normal 13 4 9 4" xfId="21118"/>
    <cellStyle name="Normal 13 5" xfId="1018"/>
    <cellStyle name="Normal 13 5 10" xfId="18298"/>
    <cellStyle name="Normal 13 5 2" xfId="1138"/>
    <cellStyle name="Normal 13 5 2 2" xfId="1378"/>
    <cellStyle name="Normal 13 5 2 2 2" xfId="2098"/>
    <cellStyle name="Normal 13 5 2 2 2 2" xfId="3538"/>
    <cellStyle name="Normal 13 5 2 2 2 2 2" xfId="6418"/>
    <cellStyle name="Normal 13 5 2 2 2 2 2 2" xfId="12178"/>
    <cellStyle name="Normal 13 5 2 2 2 2 2 2 2" xfId="29458"/>
    <cellStyle name="Normal 13 5 2 2 2 2 2 3" xfId="17938"/>
    <cellStyle name="Normal 13 5 2 2 2 2 2 3 2" xfId="35218"/>
    <cellStyle name="Normal 13 5 2 2 2 2 2 4" xfId="23698"/>
    <cellStyle name="Normal 13 5 2 2 2 2 3" xfId="9298"/>
    <cellStyle name="Normal 13 5 2 2 2 2 3 2" xfId="26578"/>
    <cellStyle name="Normal 13 5 2 2 2 2 4" xfId="15058"/>
    <cellStyle name="Normal 13 5 2 2 2 2 4 2" xfId="32338"/>
    <cellStyle name="Normal 13 5 2 2 2 2 5" xfId="20818"/>
    <cellStyle name="Normal 13 5 2 2 2 3" xfId="4978"/>
    <cellStyle name="Normal 13 5 2 2 2 3 2" xfId="10738"/>
    <cellStyle name="Normal 13 5 2 2 2 3 2 2" xfId="28018"/>
    <cellStyle name="Normal 13 5 2 2 2 3 3" xfId="16498"/>
    <cellStyle name="Normal 13 5 2 2 2 3 3 2" xfId="33778"/>
    <cellStyle name="Normal 13 5 2 2 2 3 4" xfId="22258"/>
    <cellStyle name="Normal 13 5 2 2 2 4" xfId="7858"/>
    <cellStyle name="Normal 13 5 2 2 2 4 2" xfId="25138"/>
    <cellStyle name="Normal 13 5 2 2 2 5" xfId="13618"/>
    <cellStyle name="Normal 13 5 2 2 2 5 2" xfId="30898"/>
    <cellStyle name="Normal 13 5 2 2 2 6" xfId="19378"/>
    <cellStyle name="Normal 13 5 2 2 3" xfId="2818"/>
    <cellStyle name="Normal 13 5 2 2 3 2" xfId="5698"/>
    <cellStyle name="Normal 13 5 2 2 3 2 2" xfId="11458"/>
    <cellStyle name="Normal 13 5 2 2 3 2 2 2" xfId="28738"/>
    <cellStyle name="Normal 13 5 2 2 3 2 3" xfId="17218"/>
    <cellStyle name="Normal 13 5 2 2 3 2 3 2" xfId="34498"/>
    <cellStyle name="Normal 13 5 2 2 3 2 4" xfId="22978"/>
    <cellStyle name="Normal 13 5 2 2 3 3" xfId="8578"/>
    <cellStyle name="Normal 13 5 2 2 3 3 2" xfId="25858"/>
    <cellStyle name="Normal 13 5 2 2 3 4" xfId="14338"/>
    <cellStyle name="Normal 13 5 2 2 3 4 2" xfId="31618"/>
    <cellStyle name="Normal 13 5 2 2 3 5" xfId="20098"/>
    <cellStyle name="Normal 13 5 2 2 4" xfId="4258"/>
    <cellStyle name="Normal 13 5 2 2 4 2" xfId="10018"/>
    <cellStyle name="Normal 13 5 2 2 4 2 2" xfId="27298"/>
    <cellStyle name="Normal 13 5 2 2 4 3" xfId="15778"/>
    <cellStyle name="Normal 13 5 2 2 4 3 2" xfId="33058"/>
    <cellStyle name="Normal 13 5 2 2 4 4" xfId="21538"/>
    <cellStyle name="Normal 13 5 2 2 5" xfId="7138"/>
    <cellStyle name="Normal 13 5 2 2 5 2" xfId="24418"/>
    <cellStyle name="Normal 13 5 2 2 6" xfId="12898"/>
    <cellStyle name="Normal 13 5 2 2 6 2" xfId="30178"/>
    <cellStyle name="Normal 13 5 2 2 7" xfId="18658"/>
    <cellStyle name="Normal 13 5 2 3" xfId="1618"/>
    <cellStyle name="Normal 13 5 2 3 2" xfId="2338"/>
    <cellStyle name="Normal 13 5 2 3 2 2" xfId="3778"/>
    <cellStyle name="Normal 13 5 2 3 2 2 2" xfId="6658"/>
    <cellStyle name="Normal 13 5 2 3 2 2 2 2" xfId="12418"/>
    <cellStyle name="Normal 13 5 2 3 2 2 2 2 2" xfId="29698"/>
    <cellStyle name="Normal 13 5 2 3 2 2 2 3" xfId="18178"/>
    <cellStyle name="Normal 13 5 2 3 2 2 2 3 2" xfId="35458"/>
    <cellStyle name="Normal 13 5 2 3 2 2 2 4" xfId="23938"/>
    <cellStyle name="Normal 13 5 2 3 2 2 3" xfId="9538"/>
    <cellStyle name="Normal 13 5 2 3 2 2 3 2" xfId="26818"/>
    <cellStyle name="Normal 13 5 2 3 2 2 4" xfId="15298"/>
    <cellStyle name="Normal 13 5 2 3 2 2 4 2" xfId="32578"/>
    <cellStyle name="Normal 13 5 2 3 2 2 5" xfId="21058"/>
    <cellStyle name="Normal 13 5 2 3 2 3" xfId="5218"/>
    <cellStyle name="Normal 13 5 2 3 2 3 2" xfId="10978"/>
    <cellStyle name="Normal 13 5 2 3 2 3 2 2" xfId="28258"/>
    <cellStyle name="Normal 13 5 2 3 2 3 3" xfId="16738"/>
    <cellStyle name="Normal 13 5 2 3 2 3 3 2" xfId="34018"/>
    <cellStyle name="Normal 13 5 2 3 2 3 4" xfId="22498"/>
    <cellStyle name="Normal 13 5 2 3 2 4" xfId="8098"/>
    <cellStyle name="Normal 13 5 2 3 2 4 2" xfId="25378"/>
    <cellStyle name="Normal 13 5 2 3 2 5" xfId="13858"/>
    <cellStyle name="Normal 13 5 2 3 2 5 2" xfId="31138"/>
    <cellStyle name="Normal 13 5 2 3 2 6" xfId="19618"/>
    <cellStyle name="Normal 13 5 2 3 3" xfId="3058"/>
    <cellStyle name="Normal 13 5 2 3 3 2" xfId="5938"/>
    <cellStyle name="Normal 13 5 2 3 3 2 2" xfId="11698"/>
    <cellStyle name="Normal 13 5 2 3 3 2 2 2" xfId="28978"/>
    <cellStyle name="Normal 13 5 2 3 3 2 3" xfId="17458"/>
    <cellStyle name="Normal 13 5 2 3 3 2 3 2" xfId="34738"/>
    <cellStyle name="Normal 13 5 2 3 3 2 4" xfId="23218"/>
    <cellStyle name="Normal 13 5 2 3 3 3" xfId="8818"/>
    <cellStyle name="Normal 13 5 2 3 3 3 2" xfId="26098"/>
    <cellStyle name="Normal 13 5 2 3 3 4" xfId="14578"/>
    <cellStyle name="Normal 13 5 2 3 3 4 2" xfId="31858"/>
    <cellStyle name="Normal 13 5 2 3 3 5" xfId="20338"/>
    <cellStyle name="Normal 13 5 2 3 4" xfId="4498"/>
    <cellStyle name="Normal 13 5 2 3 4 2" xfId="10258"/>
    <cellStyle name="Normal 13 5 2 3 4 2 2" xfId="27538"/>
    <cellStyle name="Normal 13 5 2 3 4 3" xfId="16018"/>
    <cellStyle name="Normal 13 5 2 3 4 3 2" xfId="33298"/>
    <cellStyle name="Normal 13 5 2 3 4 4" xfId="21778"/>
    <cellStyle name="Normal 13 5 2 3 5" xfId="7378"/>
    <cellStyle name="Normal 13 5 2 3 5 2" xfId="24658"/>
    <cellStyle name="Normal 13 5 2 3 6" xfId="13138"/>
    <cellStyle name="Normal 13 5 2 3 6 2" xfId="30418"/>
    <cellStyle name="Normal 13 5 2 3 7" xfId="18898"/>
    <cellStyle name="Normal 13 5 2 4" xfId="1858"/>
    <cellStyle name="Normal 13 5 2 4 2" xfId="3298"/>
    <cellStyle name="Normal 13 5 2 4 2 2" xfId="6178"/>
    <cellStyle name="Normal 13 5 2 4 2 2 2" xfId="11938"/>
    <cellStyle name="Normal 13 5 2 4 2 2 2 2" xfId="29218"/>
    <cellStyle name="Normal 13 5 2 4 2 2 3" xfId="17698"/>
    <cellStyle name="Normal 13 5 2 4 2 2 3 2" xfId="34978"/>
    <cellStyle name="Normal 13 5 2 4 2 2 4" xfId="23458"/>
    <cellStyle name="Normal 13 5 2 4 2 3" xfId="9058"/>
    <cellStyle name="Normal 13 5 2 4 2 3 2" xfId="26338"/>
    <cellStyle name="Normal 13 5 2 4 2 4" xfId="14818"/>
    <cellStyle name="Normal 13 5 2 4 2 4 2" xfId="32098"/>
    <cellStyle name="Normal 13 5 2 4 2 5" xfId="20578"/>
    <cellStyle name="Normal 13 5 2 4 3" xfId="4738"/>
    <cellStyle name="Normal 13 5 2 4 3 2" xfId="10498"/>
    <cellStyle name="Normal 13 5 2 4 3 2 2" xfId="27778"/>
    <cellStyle name="Normal 13 5 2 4 3 3" xfId="16258"/>
    <cellStyle name="Normal 13 5 2 4 3 3 2" xfId="33538"/>
    <cellStyle name="Normal 13 5 2 4 3 4" xfId="22018"/>
    <cellStyle name="Normal 13 5 2 4 4" xfId="7618"/>
    <cellStyle name="Normal 13 5 2 4 4 2" xfId="24898"/>
    <cellStyle name="Normal 13 5 2 4 5" xfId="13378"/>
    <cellStyle name="Normal 13 5 2 4 5 2" xfId="30658"/>
    <cellStyle name="Normal 13 5 2 4 6" xfId="19138"/>
    <cellStyle name="Normal 13 5 2 5" xfId="2578"/>
    <cellStyle name="Normal 13 5 2 5 2" xfId="5458"/>
    <cellStyle name="Normal 13 5 2 5 2 2" xfId="11218"/>
    <cellStyle name="Normal 13 5 2 5 2 2 2" xfId="28498"/>
    <cellStyle name="Normal 13 5 2 5 2 3" xfId="16978"/>
    <cellStyle name="Normal 13 5 2 5 2 3 2" xfId="34258"/>
    <cellStyle name="Normal 13 5 2 5 2 4" xfId="22738"/>
    <cellStyle name="Normal 13 5 2 5 3" xfId="8338"/>
    <cellStyle name="Normal 13 5 2 5 3 2" xfId="25618"/>
    <cellStyle name="Normal 13 5 2 5 4" xfId="14098"/>
    <cellStyle name="Normal 13 5 2 5 4 2" xfId="31378"/>
    <cellStyle name="Normal 13 5 2 5 5" xfId="19858"/>
    <cellStyle name="Normal 13 5 2 6" xfId="4018"/>
    <cellStyle name="Normal 13 5 2 6 2" xfId="9778"/>
    <cellStyle name="Normal 13 5 2 6 2 2" xfId="27058"/>
    <cellStyle name="Normal 13 5 2 6 3" xfId="15538"/>
    <cellStyle name="Normal 13 5 2 6 3 2" xfId="32818"/>
    <cellStyle name="Normal 13 5 2 6 4" xfId="21298"/>
    <cellStyle name="Normal 13 5 2 7" xfId="6898"/>
    <cellStyle name="Normal 13 5 2 7 2" xfId="24178"/>
    <cellStyle name="Normal 13 5 2 8" xfId="12658"/>
    <cellStyle name="Normal 13 5 2 8 2" xfId="29938"/>
    <cellStyle name="Normal 13 5 2 9" xfId="18418"/>
    <cellStyle name="Normal 13 5 3" xfId="1258"/>
    <cellStyle name="Normal 13 5 3 2" xfId="1978"/>
    <cellStyle name="Normal 13 5 3 2 2" xfId="3418"/>
    <cellStyle name="Normal 13 5 3 2 2 2" xfId="6298"/>
    <cellStyle name="Normal 13 5 3 2 2 2 2" xfId="12058"/>
    <cellStyle name="Normal 13 5 3 2 2 2 2 2" xfId="29338"/>
    <cellStyle name="Normal 13 5 3 2 2 2 3" xfId="17818"/>
    <cellStyle name="Normal 13 5 3 2 2 2 3 2" xfId="35098"/>
    <cellStyle name="Normal 13 5 3 2 2 2 4" xfId="23578"/>
    <cellStyle name="Normal 13 5 3 2 2 3" xfId="9178"/>
    <cellStyle name="Normal 13 5 3 2 2 3 2" xfId="26458"/>
    <cellStyle name="Normal 13 5 3 2 2 4" xfId="14938"/>
    <cellStyle name="Normal 13 5 3 2 2 4 2" xfId="32218"/>
    <cellStyle name="Normal 13 5 3 2 2 5" xfId="20698"/>
    <cellStyle name="Normal 13 5 3 2 3" xfId="4858"/>
    <cellStyle name="Normal 13 5 3 2 3 2" xfId="10618"/>
    <cellStyle name="Normal 13 5 3 2 3 2 2" xfId="27898"/>
    <cellStyle name="Normal 13 5 3 2 3 3" xfId="16378"/>
    <cellStyle name="Normal 13 5 3 2 3 3 2" xfId="33658"/>
    <cellStyle name="Normal 13 5 3 2 3 4" xfId="22138"/>
    <cellStyle name="Normal 13 5 3 2 4" xfId="7738"/>
    <cellStyle name="Normal 13 5 3 2 4 2" xfId="25018"/>
    <cellStyle name="Normal 13 5 3 2 5" xfId="13498"/>
    <cellStyle name="Normal 13 5 3 2 5 2" xfId="30778"/>
    <cellStyle name="Normal 13 5 3 2 6" xfId="19258"/>
    <cellStyle name="Normal 13 5 3 3" xfId="2698"/>
    <cellStyle name="Normal 13 5 3 3 2" xfId="5578"/>
    <cellStyle name="Normal 13 5 3 3 2 2" xfId="11338"/>
    <cellStyle name="Normal 13 5 3 3 2 2 2" xfId="28618"/>
    <cellStyle name="Normal 13 5 3 3 2 3" xfId="17098"/>
    <cellStyle name="Normal 13 5 3 3 2 3 2" xfId="34378"/>
    <cellStyle name="Normal 13 5 3 3 2 4" xfId="22858"/>
    <cellStyle name="Normal 13 5 3 3 3" xfId="8458"/>
    <cellStyle name="Normal 13 5 3 3 3 2" xfId="25738"/>
    <cellStyle name="Normal 13 5 3 3 4" xfId="14218"/>
    <cellStyle name="Normal 13 5 3 3 4 2" xfId="31498"/>
    <cellStyle name="Normal 13 5 3 3 5" xfId="19978"/>
    <cellStyle name="Normal 13 5 3 4" xfId="4138"/>
    <cellStyle name="Normal 13 5 3 4 2" xfId="9898"/>
    <cellStyle name="Normal 13 5 3 4 2 2" xfId="27178"/>
    <cellStyle name="Normal 13 5 3 4 3" xfId="15658"/>
    <cellStyle name="Normal 13 5 3 4 3 2" xfId="32938"/>
    <cellStyle name="Normal 13 5 3 4 4" xfId="21418"/>
    <cellStyle name="Normal 13 5 3 5" xfId="7018"/>
    <cellStyle name="Normal 13 5 3 5 2" xfId="24298"/>
    <cellStyle name="Normal 13 5 3 6" xfId="12778"/>
    <cellStyle name="Normal 13 5 3 6 2" xfId="30058"/>
    <cellStyle name="Normal 13 5 3 7" xfId="18538"/>
    <cellStyle name="Normal 13 5 4" xfId="1498"/>
    <cellStyle name="Normal 13 5 4 2" xfId="2218"/>
    <cellStyle name="Normal 13 5 4 2 2" xfId="3658"/>
    <cellStyle name="Normal 13 5 4 2 2 2" xfId="6538"/>
    <cellStyle name="Normal 13 5 4 2 2 2 2" xfId="12298"/>
    <cellStyle name="Normal 13 5 4 2 2 2 2 2" xfId="29578"/>
    <cellStyle name="Normal 13 5 4 2 2 2 3" xfId="18058"/>
    <cellStyle name="Normal 13 5 4 2 2 2 3 2" xfId="35338"/>
    <cellStyle name="Normal 13 5 4 2 2 2 4" xfId="23818"/>
    <cellStyle name="Normal 13 5 4 2 2 3" xfId="9418"/>
    <cellStyle name="Normal 13 5 4 2 2 3 2" xfId="26698"/>
    <cellStyle name="Normal 13 5 4 2 2 4" xfId="15178"/>
    <cellStyle name="Normal 13 5 4 2 2 4 2" xfId="32458"/>
    <cellStyle name="Normal 13 5 4 2 2 5" xfId="20938"/>
    <cellStyle name="Normal 13 5 4 2 3" xfId="5098"/>
    <cellStyle name="Normal 13 5 4 2 3 2" xfId="10858"/>
    <cellStyle name="Normal 13 5 4 2 3 2 2" xfId="28138"/>
    <cellStyle name="Normal 13 5 4 2 3 3" xfId="16618"/>
    <cellStyle name="Normal 13 5 4 2 3 3 2" xfId="33898"/>
    <cellStyle name="Normal 13 5 4 2 3 4" xfId="22378"/>
    <cellStyle name="Normal 13 5 4 2 4" xfId="7978"/>
    <cellStyle name="Normal 13 5 4 2 4 2" xfId="25258"/>
    <cellStyle name="Normal 13 5 4 2 5" xfId="13738"/>
    <cellStyle name="Normal 13 5 4 2 5 2" xfId="31018"/>
    <cellStyle name="Normal 13 5 4 2 6" xfId="19498"/>
    <cellStyle name="Normal 13 5 4 3" xfId="2938"/>
    <cellStyle name="Normal 13 5 4 3 2" xfId="5818"/>
    <cellStyle name="Normal 13 5 4 3 2 2" xfId="11578"/>
    <cellStyle name="Normal 13 5 4 3 2 2 2" xfId="28858"/>
    <cellStyle name="Normal 13 5 4 3 2 3" xfId="17338"/>
    <cellStyle name="Normal 13 5 4 3 2 3 2" xfId="34618"/>
    <cellStyle name="Normal 13 5 4 3 2 4" xfId="23098"/>
    <cellStyle name="Normal 13 5 4 3 3" xfId="8698"/>
    <cellStyle name="Normal 13 5 4 3 3 2" xfId="25978"/>
    <cellStyle name="Normal 13 5 4 3 4" xfId="14458"/>
    <cellStyle name="Normal 13 5 4 3 4 2" xfId="31738"/>
    <cellStyle name="Normal 13 5 4 3 5" xfId="20218"/>
    <cellStyle name="Normal 13 5 4 4" xfId="4378"/>
    <cellStyle name="Normal 13 5 4 4 2" xfId="10138"/>
    <cellStyle name="Normal 13 5 4 4 2 2" xfId="27418"/>
    <cellStyle name="Normal 13 5 4 4 3" xfId="15898"/>
    <cellStyle name="Normal 13 5 4 4 3 2" xfId="33178"/>
    <cellStyle name="Normal 13 5 4 4 4" xfId="21658"/>
    <cellStyle name="Normal 13 5 4 5" xfId="7258"/>
    <cellStyle name="Normal 13 5 4 5 2" xfId="24538"/>
    <cellStyle name="Normal 13 5 4 6" xfId="13018"/>
    <cellStyle name="Normal 13 5 4 6 2" xfId="30298"/>
    <cellStyle name="Normal 13 5 4 7" xfId="18778"/>
    <cellStyle name="Normal 13 5 5" xfId="1738"/>
    <cellStyle name="Normal 13 5 5 2" xfId="3178"/>
    <cellStyle name="Normal 13 5 5 2 2" xfId="6058"/>
    <cellStyle name="Normal 13 5 5 2 2 2" xfId="11818"/>
    <cellStyle name="Normal 13 5 5 2 2 2 2" xfId="29098"/>
    <cellStyle name="Normal 13 5 5 2 2 3" xfId="17578"/>
    <cellStyle name="Normal 13 5 5 2 2 3 2" xfId="34858"/>
    <cellStyle name="Normal 13 5 5 2 2 4" xfId="23338"/>
    <cellStyle name="Normal 13 5 5 2 3" xfId="8938"/>
    <cellStyle name="Normal 13 5 5 2 3 2" xfId="26218"/>
    <cellStyle name="Normal 13 5 5 2 4" xfId="14698"/>
    <cellStyle name="Normal 13 5 5 2 4 2" xfId="31978"/>
    <cellStyle name="Normal 13 5 5 2 5" xfId="20458"/>
    <cellStyle name="Normal 13 5 5 3" xfId="4618"/>
    <cellStyle name="Normal 13 5 5 3 2" xfId="10378"/>
    <cellStyle name="Normal 13 5 5 3 2 2" xfId="27658"/>
    <cellStyle name="Normal 13 5 5 3 3" xfId="16138"/>
    <cellStyle name="Normal 13 5 5 3 3 2" xfId="33418"/>
    <cellStyle name="Normal 13 5 5 3 4" xfId="21898"/>
    <cellStyle name="Normal 13 5 5 4" xfId="7498"/>
    <cellStyle name="Normal 13 5 5 4 2" xfId="24778"/>
    <cellStyle name="Normal 13 5 5 5" xfId="13258"/>
    <cellStyle name="Normal 13 5 5 5 2" xfId="30538"/>
    <cellStyle name="Normal 13 5 5 6" xfId="19018"/>
    <cellStyle name="Normal 13 5 6" xfId="2458"/>
    <cellStyle name="Normal 13 5 6 2" xfId="5338"/>
    <cellStyle name="Normal 13 5 6 2 2" xfId="11098"/>
    <cellStyle name="Normal 13 5 6 2 2 2" xfId="28378"/>
    <cellStyle name="Normal 13 5 6 2 3" xfId="16858"/>
    <cellStyle name="Normal 13 5 6 2 3 2" xfId="34138"/>
    <cellStyle name="Normal 13 5 6 2 4" xfId="22618"/>
    <cellStyle name="Normal 13 5 6 3" xfId="8218"/>
    <cellStyle name="Normal 13 5 6 3 2" xfId="25498"/>
    <cellStyle name="Normal 13 5 6 4" xfId="13978"/>
    <cellStyle name="Normal 13 5 6 4 2" xfId="31258"/>
    <cellStyle name="Normal 13 5 6 5" xfId="19738"/>
    <cellStyle name="Normal 13 5 7" xfId="3898"/>
    <cellStyle name="Normal 13 5 7 2" xfId="9658"/>
    <cellStyle name="Normal 13 5 7 2 2" xfId="26938"/>
    <cellStyle name="Normal 13 5 7 3" xfId="15418"/>
    <cellStyle name="Normal 13 5 7 3 2" xfId="32698"/>
    <cellStyle name="Normal 13 5 7 4" xfId="21178"/>
    <cellStyle name="Normal 13 5 8" xfId="6778"/>
    <cellStyle name="Normal 13 5 8 2" xfId="24058"/>
    <cellStyle name="Normal 13 5 9" xfId="12538"/>
    <cellStyle name="Normal 13 5 9 2" xfId="29818"/>
    <cellStyle name="Normal 13 6" xfId="978"/>
    <cellStyle name="Normal 13 6 10" xfId="18258"/>
    <cellStyle name="Normal 13 6 2" xfId="1098"/>
    <cellStyle name="Normal 13 6 2 2" xfId="1338"/>
    <cellStyle name="Normal 13 6 2 2 2" xfId="2058"/>
    <cellStyle name="Normal 13 6 2 2 2 2" xfId="3498"/>
    <cellStyle name="Normal 13 6 2 2 2 2 2" xfId="6378"/>
    <cellStyle name="Normal 13 6 2 2 2 2 2 2" xfId="12138"/>
    <cellStyle name="Normal 13 6 2 2 2 2 2 2 2" xfId="29418"/>
    <cellStyle name="Normal 13 6 2 2 2 2 2 3" xfId="17898"/>
    <cellStyle name="Normal 13 6 2 2 2 2 2 3 2" xfId="35178"/>
    <cellStyle name="Normal 13 6 2 2 2 2 2 4" xfId="23658"/>
    <cellStyle name="Normal 13 6 2 2 2 2 3" xfId="9258"/>
    <cellStyle name="Normal 13 6 2 2 2 2 3 2" xfId="26538"/>
    <cellStyle name="Normal 13 6 2 2 2 2 4" xfId="15018"/>
    <cellStyle name="Normal 13 6 2 2 2 2 4 2" xfId="32298"/>
    <cellStyle name="Normal 13 6 2 2 2 2 5" xfId="20778"/>
    <cellStyle name="Normal 13 6 2 2 2 3" xfId="4938"/>
    <cellStyle name="Normal 13 6 2 2 2 3 2" xfId="10698"/>
    <cellStyle name="Normal 13 6 2 2 2 3 2 2" xfId="27978"/>
    <cellStyle name="Normal 13 6 2 2 2 3 3" xfId="16458"/>
    <cellStyle name="Normal 13 6 2 2 2 3 3 2" xfId="33738"/>
    <cellStyle name="Normal 13 6 2 2 2 3 4" xfId="22218"/>
    <cellStyle name="Normal 13 6 2 2 2 4" xfId="7818"/>
    <cellStyle name="Normal 13 6 2 2 2 4 2" xfId="25098"/>
    <cellStyle name="Normal 13 6 2 2 2 5" xfId="13578"/>
    <cellStyle name="Normal 13 6 2 2 2 5 2" xfId="30858"/>
    <cellStyle name="Normal 13 6 2 2 2 6" xfId="19338"/>
    <cellStyle name="Normal 13 6 2 2 3" xfId="2778"/>
    <cellStyle name="Normal 13 6 2 2 3 2" xfId="5658"/>
    <cellStyle name="Normal 13 6 2 2 3 2 2" xfId="11418"/>
    <cellStyle name="Normal 13 6 2 2 3 2 2 2" xfId="28698"/>
    <cellStyle name="Normal 13 6 2 2 3 2 3" xfId="17178"/>
    <cellStyle name="Normal 13 6 2 2 3 2 3 2" xfId="34458"/>
    <cellStyle name="Normal 13 6 2 2 3 2 4" xfId="22938"/>
    <cellStyle name="Normal 13 6 2 2 3 3" xfId="8538"/>
    <cellStyle name="Normal 13 6 2 2 3 3 2" xfId="25818"/>
    <cellStyle name="Normal 13 6 2 2 3 4" xfId="14298"/>
    <cellStyle name="Normal 13 6 2 2 3 4 2" xfId="31578"/>
    <cellStyle name="Normal 13 6 2 2 3 5" xfId="20058"/>
    <cellStyle name="Normal 13 6 2 2 4" xfId="4218"/>
    <cellStyle name="Normal 13 6 2 2 4 2" xfId="9978"/>
    <cellStyle name="Normal 13 6 2 2 4 2 2" xfId="27258"/>
    <cellStyle name="Normal 13 6 2 2 4 3" xfId="15738"/>
    <cellStyle name="Normal 13 6 2 2 4 3 2" xfId="33018"/>
    <cellStyle name="Normal 13 6 2 2 4 4" xfId="21498"/>
    <cellStyle name="Normal 13 6 2 2 5" xfId="7098"/>
    <cellStyle name="Normal 13 6 2 2 5 2" xfId="24378"/>
    <cellStyle name="Normal 13 6 2 2 6" xfId="12858"/>
    <cellStyle name="Normal 13 6 2 2 6 2" xfId="30138"/>
    <cellStyle name="Normal 13 6 2 2 7" xfId="18618"/>
    <cellStyle name="Normal 13 6 2 3" xfId="1578"/>
    <cellStyle name="Normal 13 6 2 3 2" xfId="2298"/>
    <cellStyle name="Normal 13 6 2 3 2 2" xfId="3738"/>
    <cellStyle name="Normal 13 6 2 3 2 2 2" xfId="6618"/>
    <cellStyle name="Normal 13 6 2 3 2 2 2 2" xfId="12378"/>
    <cellStyle name="Normal 13 6 2 3 2 2 2 2 2" xfId="29658"/>
    <cellStyle name="Normal 13 6 2 3 2 2 2 3" xfId="18138"/>
    <cellStyle name="Normal 13 6 2 3 2 2 2 3 2" xfId="35418"/>
    <cellStyle name="Normal 13 6 2 3 2 2 2 4" xfId="23898"/>
    <cellStyle name="Normal 13 6 2 3 2 2 3" xfId="9498"/>
    <cellStyle name="Normal 13 6 2 3 2 2 3 2" xfId="26778"/>
    <cellStyle name="Normal 13 6 2 3 2 2 4" xfId="15258"/>
    <cellStyle name="Normal 13 6 2 3 2 2 4 2" xfId="32538"/>
    <cellStyle name="Normal 13 6 2 3 2 2 5" xfId="21018"/>
    <cellStyle name="Normal 13 6 2 3 2 3" xfId="5178"/>
    <cellStyle name="Normal 13 6 2 3 2 3 2" xfId="10938"/>
    <cellStyle name="Normal 13 6 2 3 2 3 2 2" xfId="28218"/>
    <cellStyle name="Normal 13 6 2 3 2 3 3" xfId="16698"/>
    <cellStyle name="Normal 13 6 2 3 2 3 3 2" xfId="33978"/>
    <cellStyle name="Normal 13 6 2 3 2 3 4" xfId="22458"/>
    <cellStyle name="Normal 13 6 2 3 2 4" xfId="8058"/>
    <cellStyle name="Normal 13 6 2 3 2 4 2" xfId="25338"/>
    <cellStyle name="Normal 13 6 2 3 2 5" xfId="13818"/>
    <cellStyle name="Normal 13 6 2 3 2 5 2" xfId="31098"/>
    <cellStyle name="Normal 13 6 2 3 2 6" xfId="19578"/>
    <cellStyle name="Normal 13 6 2 3 3" xfId="3018"/>
    <cellStyle name="Normal 13 6 2 3 3 2" xfId="5898"/>
    <cellStyle name="Normal 13 6 2 3 3 2 2" xfId="11658"/>
    <cellStyle name="Normal 13 6 2 3 3 2 2 2" xfId="28938"/>
    <cellStyle name="Normal 13 6 2 3 3 2 3" xfId="17418"/>
    <cellStyle name="Normal 13 6 2 3 3 2 3 2" xfId="34698"/>
    <cellStyle name="Normal 13 6 2 3 3 2 4" xfId="23178"/>
    <cellStyle name="Normal 13 6 2 3 3 3" xfId="8778"/>
    <cellStyle name="Normal 13 6 2 3 3 3 2" xfId="26058"/>
    <cellStyle name="Normal 13 6 2 3 3 4" xfId="14538"/>
    <cellStyle name="Normal 13 6 2 3 3 4 2" xfId="31818"/>
    <cellStyle name="Normal 13 6 2 3 3 5" xfId="20298"/>
    <cellStyle name="Normal 13 6 2 3 4" xfId="4458"/>
    <cellStyle name="Normal 13 6 2 3 4 2" xfId="10218"/>
    <cellStyle name="Normal 13 6 2 3 4 2 2" xfId="27498"/>
    <cellStyle name="Normal 13 6 2 3 4 3" xfId="15978"/>
    <cellStyle name="Normal 13 6 2 3 4 3 2" xfId="33258"/>
    <cellStyle name="Normal 13 6 2 3 4 4" xfId="21738"/>
    <cellStyle name="Normal 13 6 2 3 5" xfId="7338"/>
    <cellStyle name="Normal 13 6 2 3 5 2" xfId="24618"/>
    <cellStyle name="Normal 13 6 2 3 6" xfId="13098"/>
    <cellStyle name="Normal 13 6 2 3 6 2" xfId="30378"/>
    <cellStyle name="Normal 13 6 2 3 7" xfId="18858"/>
    <cellStyle name="Normal 13 6 2 4" xfId="1818"/>
    <cellStyle name="Normal 13 6 2 4 2" xfId="3258"/>
    <cellStyle name="Normal 13 6 2 4 2 2" xfId="6138"/>
    <cellStyle name="Normal 13 6 2 4 2 2 2" xfId="11898"/>
    <cellStyle name="Normal 13 6 2 4 2 2 2 2" xfId="29178"/>
    <cellStyle name="Normal 13 6 2 4 2 2 3" xfId="17658"/>
    <cellStyle name="Normal 13 6 2 4 2 2 3 2" xfId="34938"/>
    <cellStyle name="Normal 13 6 2 4 2 2 4" xfId="23418"/>
    <cellStyle name="Normal 13 6 2 4 2 3" xfId="9018"/>
    <cellStyle name="Normal 13 6 2 4 2 3 2" xfId="26298"/>
    <cellStyle name="Normal 13 6 2 4 2 4" xfId="14778"/>
    <cellStyle name="Normal 13 6 2 4 2 4 2" xfId="32058"/>
    <cellStyle name="Normal 13 6 2 4 2 5" xfId="20538"/>
    <cellStyle name="Normal 13 6 2 4 3" xfId="4698"/>
    <cellStyle name="Normal 13 6 2 4 3 2" xfId="10458"/>
    <cellStyle name="Normal 13 6 2 4 3 2 2" xfId="27738"/>
    <cellStyle name="Normal 13 6 2 4 3 3" xfId="16218"/>
    <cellStyle name="Normal 13 6 2 4 3 3 2" xfId="33498"/>
    <cellStyle name="Normal 13 6 2 4 3 4" xfId="21978"/>
    <cellStyle name="Normal 13 6 2 4 4" xfId="7578"/>
    <cellStyle name="Normal 13 6 2 4 4 2" xfId="24858"/>
    <cellStyle name="Normal 13 6 2 4 5" xfId="13338"/>
    <cellStyle name="Normal 13 6 2 4 5 2" xfId="30618"/>
    <cellStyle name="Normal 13 6 2 4 6" xfId="19098"/>
    <cellStyle name="Normal 13 6 2 5" xfId="2538"/>
    <cellStyle name="Normal 13 6 2 5 2" xfId="5418"/>
    <cellStyle name="Normal 13 6 2 5 2 2" xfId="11178"/>
    <cellStyle name="Normal 13 6 2 5 2 2 2" xfId="28458"/>
    <cellStyle name="Normal 13 6 2 5 2 3" xfId="16938"/>
    <cellStyle name="Normal 13 6 2 5 2 3 2" xfId="34218"/>
    <cellStyle name="Normal 13 6 2 5 2 4" xfId="22698"/>
    <cellStyle name="Normal 13 6 2 5 3" xfId="8298"/>
    <cellStyle name="Normal 13 6 2 5 3 2" xfId="25578"/>
    <cellStyle name="Normal 13 6 2 5 4" xfId="14058"/>
    <cellStyle name="Normal 13 6 2 5 4 2" xfId="31338"/>
    <cellStyle name="Normal 13 6 2 5 5" xfId="19818"/>
    <cellStyle name="Normal 13 6 2 6" xfId="3978"/>
    <cellStyle name="Normal 13 6 2 6 2" xfId="9738"/>
    <cellStyle name="Normal 13 6 2 6 2 2" xfId="27018"/>
    <cellStyle name="Normal 13 6 2 6 3" xfId="15498"/>
    <cellStyle name="Normal 13 6 2 6 3 2" xfId="32778"/>
    <cellStyle name="Normal 13 6 2 6 4" xfId="21258"/>
    <cellStyle name="Normal 13 6 2 7" xfId="6858"/>
    <cellStyle name="Normal 13 6 2 7 2" xfId="24138"/>
    <cellStyle name="Normal 13 6 2 8" xfId="12618"/>
    <cellStyle name="Normal 13 6 2 8 2" xfId="29898"/>
    <cellStyle name="Normal 13 6 2 9" xfId="18378"/>
    <cellStyle name="Normal 13 6 3" xfId="1218"/>
    <cellStyle name="Normal 13 6 3 2" xfId="1938"/>
    <cellStyle name="Normal 13 6 3 2 2" xfId="3378"/>
    <cellStyle name="Normal 13 6 3 2 2 2" xfId="6258"/>
    <cellStyle name="Normal 13 6 3 2 2 2 2" xfId="12018"/>
    <cellStyle name="Normal 13 6 3 2 2 2 2 2" xfId="29298"/>
    <cellStyle name="Normal 13 6 3 2 2 2 3" xfId="17778"/>
    <cellStyle name="Normal 13 6 3 2 2 2 3 2" xfId="35058"/>
    <cellStyle name="Normal 13 6 3 2 2 2 4" xfId="23538"/>
    <cellStyle name="Normal 13 6 3 2 2 3" xfId="9138"/>
    <cellStyle name="Normal 13 6 3 2 2 3 2" xfId="26418"/>
    <cellStyle name="Normal 13 6 3 2 2 4" xfId="14898"/>
    <cellStyle name="Normal 13 6 3 2 2 4 2" xfId="32178"/>
    <cellStyle name="Normal 13 6 3 2 2 5" xfId="20658"/>
    <cellStyle name="Normal 13 6 3 2 3" xfId="4818"/>
    <cellStyle name="Normal 13 6 3 2 3 2" xfId="10578"/>
    <cellStyle name="Normal 13 6 3 2 3 2 2" xfId="27858"/>
    <cellStyle name="Normal 13 6 3 2 3 3" xfId="16338"/>
    <cellStyle name="Normal 13 6 3 2 3 3 2" xfId="33618"/>
    <cellStyle name="Normal 13 6 3 2 3 4" xfId="22098"/>
    <cellStyle name="Normal 13 6 3 2 4" xfId="7698"/>
    <cellStyle name="Normal 13 6 3 2 4 2" xfId="24978"/>
    <cellStyle name="Normal 13 6 3 2 5" xfId="13458"/>
    <cellStyle name="Normal 13 6 3 2 5 2" xfId="30738"/>
    <cellStyle name="Normal 13 6 3 2 6" xfId="19218"/>
    <cellStyle name="Normal 13 6 3 3" xfId="2658"/>
    <cellStyle name="Normal 13 6 3 3 2" xfId="5538"/>
    <cellStyle name="Normal 13 6 3 3 2 2" xfId="11298"/>
    <cellStyle name="Normal 13 6 3 3 2 2 2" xfId="28578"/>
    <cellStyle name="Normal 13 6 3 3 2 3" xfId="17058"/>
    <cellStyle name="Normal 13 6 3 3 2 3 2" xfId="34338"/>
    <cellStyle name="Normal 13 6 3 3 2 4" xfId="22818"/>
    <cellStyle name="Normal 13 6 3 3 3" xfId="8418"/>
    <cellStyle name="Normal 13 6 3 3 3 2" xfId="25698"/>
    <cellStyle name="Normal 13 6 3 3 4" xfId="14178"/>
    <cellStyle name="Normal 13 6 3 3 4 2" xfId="31458"/>
    <cellStyle name="Normal 13 6 3 3 5" xfId="19938"/>
    <cellStyle name="Normal 13 6 3 4" xfId="4098"/>
    <cellStyle name="Normal 13 6 3 4 2" xfId="9858"/>
    <cellStyle name="Normal 13 6 3 4 2 2" xfId="27138"/>
    <cellStyle name="Normal 13 6 3 4 3" xfId="15618"/>
    <cellStyle name="Normal 13 6 3 4 3 2" xfId="32898"/>
    <cellStyle name="Normal 13 6 3 4 4" xfId="21378"/>
    <cellStyle name="Normal 13 6 3 5" xfId="6978"/>
    <cellStyle name="Normal 13 6 3 5 2" xfId="24258"/>
    <cellStyle name="Normal 13 6 3 6" xfId="12738"/>
    <cellStyle name="Normal 13 6 3 6 2" xfId="30018"/>
    <cellStyle name="Normal 13 6 3 7" xfId="18498"/>
    <cellStyle name="Normal 13 6 4" xfId="1458"/>
    <cellStyle name="Normal 13 6 4 2" xfId="2178"/>
    <cellStyle name="Normal 13 6 4 2 2" xfId="3618"/>
    <cellStyle name="Normal 13 6 4 2 2 2" xfId="6498"/>
    <cellStyle name="Normal 13 6 4 2 2 2 2" xfId="12258"/>
    <cellStyle name="Normal 13 6 4 2 2 2 2 2" xfId="29538"/>
    <cellStyle name="Normal 13 6 4 2 2 2 3" xfId="18018"/>
    <cellStyle name="Normal 13 6 4 2 2 2 3 2" xfId="35298"/>
    <cellStyle name="Normal 13 6 4 2 2 2 4" xfId="23778"/>
    <cellStyle name="Normal 13 6 4 2 2 3" xfId="9378"/>
    <cellStyle name="Normal 13 6 4 2 2 3 2" xfId="26658"/>
    <cellStyle name="Normal 13 6 4 2 2 4" xfId="15138"/>
    <cellStyle name="Normal 13 6 4 2 2 4 2" xfId="32418"/>
    <cellStyle name="Normal 13 6 4 2 2 5" xfId="20898"/>
    <cellStyle name="Normal 13 6 4 2 3" xfId="5058"/>
    <cellStyle name="Normal 13 6 4 2 3 2" xfId="10818"/>
    <cellStyle name="Normal 13 6 4 2 3 2 2" xfId="28098"/>
    <cellStyle name="Normal 13 6 4 2 3 3" xfId="16578"/>
    <cellStyle name="Normal 13 6 4 2 3 3 2" xfId="33858"/>
    <cellStyle name="Normal 13 6 4 2 3 4" xfId="22338"/>
    <cellStyle name="Normal 13 6 4 2 4" xfId="7938"/>
    <cellStyle name="Normal 13 6 4 2 4 2" xfId="25218"/>
    <cellStyle name="Normal 13 6 4 2 5" xfId="13698"/>
    <cellStyle name="Normal 13 6 4 2 5 2" xfId="30978"/>
    <cellStyle name="Normal 13 6 4 2 6" xfId="19458"/>
    <cellStyle name="Normal 13 6 4 3" xfId="2898"/>
    <cellStyle name="Normal 13 6 4 3 2" xfId="5778"/>
    <cellStyle name="Normal 13 6 4 3 2 2" xfId="11538"/>
    <cellStyle name="Normal 13 6 4 3 2 2 2" xfId="28818"/>
    <cellStyle name="Normal 13 6 4 3 2 3" xfId="17298"/>
    <cellStyle name="Normal 13 6 4 3 2 3 2" xfId="34578"/>
    <cellStyle name="Normal 13 6 4 3 2 4" xfId="23058"/>
    <cellStyle name="Normal 13 6 4 3 3" xfId="8658"/>
    <cellStyle name="Normal 13 6 4 3 3 2" xfId="25938"/>
    <cellStyle name="Normal 13 6 4 3 4" xfId="14418"/>
    <cellStyle name="Normal 13 6 4 3 4 2" xfId="31698"/>
    <cellStyle name="Normal 13 6 4 3 5" xfId="20178"/>
    <cellStyle name="Normal 13 6 4 4" xfId="4338"/>
    <cellStyle name="Normal 13 6 4 4 2" xfId="10098"/>
    <cellStyle name="Normal 13 6 4 4 2 2" xfId="27378"/>
    <cellStyle name="Normal 13 6 4 4 3" xfId="15858"/>
    <cellStyle name="Normal 13 6 4 4 3 2" xfId="33138"/>
    <cellStyle name="Normal 13 6 4 4 4" xfId="21618"/>
    <cellStyle name="Normal 13 6 4 5" xfId="7218"/>
    <cellStyle name="Normal 13 6 4 5 2" xfId="24498"/>
    <cellStyle name="Normal 13 6 4 6" xfId="12978"/>
    <cellStyle name="Normal 13 6 4 6 2" xfId="30258"/>
    <cellStyle name="Normal 13 6 4 7" xfId="18738"/>
    <cellStyle name="Normal 13 6 5" xfId="1698"/>
    <cellStyle name="Normal 13 6 5 2" xfId="3138"/>
    <cellStyle name="Normal 13 6 5 2 2" xfId="6018"/>
    <cellStyle name="Normal 13 6 5 2 2 2" xfId="11778"/>
    <cellStyle name="Normal 13 6 5 2 2 2 2" xfId="29058"/>
    <cellStyle name="Normal 13 6 5 2 2 3" xfId="17538"/>
    <cellStyle name="Normal 13 6 5 2 2 3 2" xfId="34818"/>
    <cellStyle name="Normal 13 6 5 2 2 4" xfId="23298"/>
    <cellStyle name="Normal 13 6 5 2 3" xfId="8898"/>
    <cellStyle name="Normal 13 6 5 2 3 2" xfId="26178"/>
    <cellStyle name="Normal 13 6 5 2 4" xfId="14658"/>
    <cellStyle name="Normal 13 6 5 2 4 2" xfId="31938"/>
    <cellStyle name="Normal 13 6 5 2 5" xfId="20418"/>
    <cellStyle name="Normal 13 6 5 3" xfId="4578"/>
    <cellStyle name="Normal 13 6 5 3 2" xfId="10338"/>
    <cellStyle name="Normal 13 6 5 3 2 2" xfId="27618"/>
    <cellStyle name="Normal 13 6 5 3 3" xfId="16098"/>
    <cellStyle name="Normal 13 6 5 3 3 2" xfId="33378"/>
    <cellStyle name="Normal 13 6 5 3 4" xfId="21858"/>
    <cellStyle name="Normal 13 6 5 4" xfId="7458"/>
    <cellStyle name="Normal 13 6 5 4 2" xfId="24738"/>
    <cellStyle name="Normal 13 6 5 5" xfId="13218"/>
    <cellStyle name="Normal 13 6 5 5 2" xfId="30498"/>
    <cellStyle name="Normal 13 6 5 6" xfId="18978"/>
    <cellStyle name="Normal 13 6 6" xfId="2418"/>
    <cellStyle name="Normal 13 6 6 2" xfId="5298"/>
    <cellStyle name="Normal 13 6 6 2 2" xfId="11058"/>
    <cellStyle name="Normal 13 6 6 2 2 2" xfId="28338"/>
    <cellStyle name="Normal 13 6 6 2 3" xfId="16818"/>
    <cellStyle name="Normal 13 6 6 2 3 2" xfId="34098"/>
    <cellStyle name="Normal 13 6 6 2 4" xfId="22578"/>
    <cellStyle name="Normal 13 6 6 3" xfId="8178"/>
    <cellStyle name="Normal 13 6 6 3 2" xfId="25458"/>
    <cellStyle name="Normal 13 6 6 4" xfId="13938"/>
    <cellStyle name="Normal 13 6 6 4 2" xfId="31218"/>
    <cellStyle name="Normal 13 6 6 5" xfId="19698"/>
    <cellStyle name="Normal 13 6 7" xfId="3858"/>
    <cellStyle name="Normal 13 6 7 2" xfId="9618"/>
    <cellStyle name="Normal 13 6 7 2 2" xfId="26898"/>
    <cellStyle name="Normal 13 6 7 3" xfId="15378"/>
    <cellStyle name="Normal 13 6 7 3 2" xfId="32658"/>
    <cellStyle name="Normal 13 6 7 4" xfId="21138"/>
    <cellStyle name="Normal 13 6 8" xfId="6738"/>
    <cellStyle name="Normal 13 6 8 2" xfId="24018"/>
    <cellStyle name="Normal 13 6 9" xfId="12498"/>
    <cellStyle name="Normal 13 6 9 2" xfId="29778"/>
    <cellStyle name="Normal 13 7" xfId="1058"/>
    <cellStyle name="Normal 13 7 2" xfId="1298"/>
    <cellStyle name="Normal 13 7 2 2" xfId="2018"/>
    <cellStyle name="Normal 13 7 2 2 2" xfId="3458"/>
    <cellStyle name="Normal 13 7 2 2 2 2" xfId="6338"/>
    <cellStyle name="Normal 13 7 2 2 2 2 2" xfId="12098"/>
    <cellStyle name="Normal 13 7 2 2 2 2 2 2" xfId="29378"/>
    <cellStyle name="Normal 13 7 2 2 2 2 3" xfId="17858"/>
    <cellStyle name="Normal 13 7 2 2 2 2 3 2" xfId="35138"/>
    <cellStyle name="Normal 13 7 2 2 2 2 4" xfId="23618"/>
    <cellStyle name="Normal 13 7 2 2 2 3" xfId="9218"/>
    <cellStyle name="Normal 13 7 2 2 2 3 2" xfId="26498"/>
    <cellStyle name="Normal 13 7 2 2 2 4" xfId="14978"/>
    <cellStyle name="Normal 13 7 2 2 2 4 2" xfId="32258"/>
    <cellStyle name="Normal 13 7 2 2 2 5" xfId="20738"/>
    <cellStyle name="Normal 13 7 2 2 3" xfId="4898"/>
    <cellStyle name="Normal 13 7 2 2 3 2" xfId="10658"/>
    <cellStyle name="Normal 13 7 2 2 3 2 2" xfId="27938"/>
    <cellStyle name="Normal 13 7 2 2 3 3" xfId="16418"/>
    <cellStyle name="Normal 13 7 2 2 3 3 2" xfId="33698"/>
    <cellStyle name="Normal 13 7 2 2 3 4" xfId="22178"/>
    <cellStyle name="Normal 13 7 2 2 4" xfId="7778"/>
    <cellStyle name="Normal 13 7 2 2 4 2" xfId="25058"/>
    <cellStyle name="Normal 13 7 2 2 5" xfId="13538"/>
    <cellStyle name="Normal 13 7 2 2 5 2" xfId="30818"/>
    <cellStyle name="Normal 13 7 2 2 6" xfId="19298"/>
    <cellStyle name="Normal 13 7 2 3" xfId="2738"/>
    <cellStyle name="Normal 13 7 2 3 2" xfId="5618"/>
    <cellStyle name="Normal 13 7 2 3 2 2" xfId="11378"/>
    <cellStyle name="Normal 13 7 2 3 2 2 2" xfId="28658"/>
    <cellStyle name="Normal 13 7 2 3 2 3" xfId="17138"/>
    <cellStyle name="Normal 13 7 2 3 2 3 2" xfId="34418"/>
    <cellStyle name="Normal 13 7 2 3 2 4" xfId="22898"/>
    <cellStyle name="Normal 13 7 2 3 3" xfId="8498"/>
    <cellStyle name="Normal 13 7 2 3 3 2" xfId="25778"/>
    <cellStyle name="Normal 13 7 2 3 4" xfId="14258"/>
    <cellStyle name="Normal 13 7 2 3 4 2" xfId="31538"/>
    <cellStyle name="Normal 13 7 2 3 5" xfId="20018"/>
    <cellStyle name="Normal 13 7 2 4" xfId="4178"/>
    <cellStyle name="Normal 13 7 2 4 2" xfId="9938"/>
    <cellStyle name="Normal 13 7 2 4 2 2" xfId="27218"/>
    <cellStyle name="Normal 13 7 2 4 3" xfId="15698"/>
    <cellStyle name="Normal 13 7 2 4 3 2" xfId="32978"/>
    <cellStyle name="Normal 13 7 2 4 4" xfId="21458"/>
    <cellStyle name="Normal 13 7 2 5" xfId="7058"/>
    <cellStyle name="Normal 13 7 2 5 2" xfId="24338"/>
    <cellStyle name="Normal 13 7 2 6" xfId="12818"/>
    <cellStyle name="Normal 13 7 2 6 2" xfId="30098"/>
    <cellStyle name="Normal 13 7 2 7" xfId="18578"/>
    <cellStyle name="Normal 13 7 3" xfId="1538"/>
    <cellStyle name="Normal 13 7 3 2" xfId="2258"/>
    <cellStyle name="Normal 13 7 3 2 2" xfId="3698"/>
    <cellStyle name="Normal 13 7 3 2 2 2" xfId="6578"/>
    <cellStyle name="Normal 13 7 3 2 2 2 2" xfId="12338"/>
    <cellStyle name="Normal 13 7 3 2 2 2 2 2" xfId="29618"/>
    <cellStyle name="Normal 13 7 3 2 2 2 3" xfId="18098"/>
    <cellStyle name="Normal 13 7 3 2 2 2 3 2" xfId="35378"/>
    <cellStyle name="Normal 13 7 3 2 2 2 4" xfId="23858"/>
    <cellStyle name="Normal 13 7 3 2 2 3" xfId="9458"/>
    <cellStyle name="Normal 13 7 3 2 2 3 2" xfId="26738"/>
    <cellStyle name="Normal 13 7 3 2 2 4" xfId="15218"/>
    <cellStyle name="Normal 13 7 3 2 2 4 2" xfId="32498"/>
    <cellStyle name="Normal 13 7 3 2 2 5" xfId="20978"/>
    <cellStyle name="Normal 13 7 3 2 3" xfId="5138"/>
    <cellStyle name="Normal 13 7 3 2 3 2" xfId="10898"/>
    <cellStyle name="Normal 13 7 3 2 3 2 2" xfId="28178"/>
    <cellStyle name="Normal 13 7 3 2 3 3" xfId="16658"/>
    <cellStyle name="Normal 13 7 3 2 3 3 2" xfId="33938"/>
    <cellStyle name="Normal 13 7 3 2 3 4" xfId="22418"/>
    <cellStyle name="Normal 13 7 3 2 4" xfId="8018"/>
    <cellStyle name="Normal 13 7 3 2 4 2" xfId="25298"/>
    <cellStyle name="Normal 13 7 3 2 5" xfId="13778"/>
    <cellStyle name="Normal 13 7 3 2 5 2" xfId="31058"/>
    <cellStyle name="Normal 13 7 3 2 6" xfId="19538"/>
    <cellStyle name="Normal 13 7 3 3" xfId="2978"/>
    <cellStyle name="Normal 13 7 3 3 2" xfId="5858"/>
    <cellStyle name="Normal 13 7 3 3 2 2" xfId="11618"/>
    <cellStyle name="Normal 13 7 3 3 2 2 2" xfId="28898"/>
    <cellStyle name="Normal 13 7 3 3 2 3" xfId="17378"/>
    <cellStyle name="Normal 13 7 3 3 2 3 2" xfId="34658"/>
    <cellStyle name="Normal 13 7 3 3 2 4" xfId="23138"/>
    <cellStyle name="Normal 13 7 3 3 3" xfId="8738"/>
    <cellStyle name="Normal 13 7 3 3 3 2" xfId="26018"/>
    <cellStyle name="Normal 13 7 3 3 4" xfId="14498"/>
    <cellStyle name="Normal 13 7 3 3 4 2" xfId="31778"/>
    <cellStyle name="Normal 13 7 3 3 5" xfId="20258"/>
    <cellStyle name="Normal 13 7 3 4" xfId="4418"/>
    <cellStyle name="Normal 13 7 3 4 2" xfId="10178"/>
    <cellStyle name="Normal 13 7 3 4 2 2" xfId="27458"/>
    <cellStyle name="Normal 13 7 3 4 3" xfId="15938"/>
    <cellStyle name="Normal 13 7 3 4 3 2" xfId="33218"/>
    <cellStyle name="Normal 13 7 3 4 4" xfId="21698"/>
    <cellStyle name="Normal 13 7 3 5" xfId="7298"/>
    <cellStyle name="Normal 13 7 3 5 2" xfId="24578"/>
    <cellStyle name="Normal 13 7 3 6" xfId="13058"/>
    <cellStyle name="Normal 13 7 3 6 2" xfId="30338"/>
    <cellStyle name="Normal 13 7 3 7" xfId="18818"/>
    <cellStyle name="Normal 13 7 4" xfId="1778"/>
    <cellStyle name="Normal 13 7 4 2" xfId="3218"/>
    <cellStyle name="Normal 13 7 4 2 2" xfId="6098"/>
    <cellStyle name="Normal 13 7 4 2 2 2" xfId="11858"/>
    <cellStyle name="Normal 13 7 4 2 2 2 2" xfId="29138"/>
    <cellStyle name="Normal 13 7 4 2 2 3" xfId="17618"/>
    <cellStyle name="Normal 13 7 4 2 2 3 2" xfId="34898"/>
    <cellStyle name="Normal 13 7 4 2 2 4" xfId="23378"/>
    <cellStyle name="Normal 13 7 4 2 3" xfId="8978"/>
    <cellStyle name="Normal 13 7 4 2 3 2" xfId="26258"/>
    <cellStyle name="Normal 13 7 4 2 4" xfId="14738"/>
    <cellStyle name="Normal 13 7 4 2 4 2" xfId="32018"/>
    <cellStyle name="Normal 13 7 4 2 5" xfId="20498"/>
    <cellStyle name="Normal 13 7 4 3" xfId="4658"/>
    <cellStyle name="Normal 13 7 4 3 2" xfId="10418"/>
    <cellStyle name="Normal 13 7 4 3 2 2" xfId="27698"/>
    <cellStyle name="Normal 13 7 4 3 3" xfId="16178"/>
    <cellStyle name="Normal 13 7 4 3 3 2" xfId="33458"/>
    <cellStyle name="Normal 13 7 4 3 4" xfId="21938"/>
    <cellStyle name="Normal 13 7 4 4" xfId="7538"/>
    <cellStyle name="Normal 13 7 4 4 2" xfId="24818"/>
    <cellStyle name="Normal 13 7 4 5" xfId="13298"/>
    <cellStyle name="Normal 13 7 4 5 2" xfId="30578"/>
    <cellStyle name="Normal 13 7 4 6" xfId="19058"/>
    <cellStyle name="Normal 13 7 5" xfId="2498"/>
    <cellStyle name="Normal 13 7 5 2" xfId="5378"/>
    <cellStyle name="Normal 13 7 5 2 2" xfId="11138"/>
    <cellStyle name="Normal 13 7 5 2 2 2" xfId="28418"/>
    <cellStyle name="Normal 13 7 5 2 3" xfId="16898"/>
    <cellStyle name="Normal 13 7 5 2 3 2" xfId="34178"/>
    <cellStyle name="Normal 13 7 5 2 4" xfId="22658"/>
    <cellStyle name="Normal 13 7 5 3" xfId="8258"/>
    <cellStyle name="Normal 13 7 5 3 2" xfId="25538"/>
    <cellStyle name="Normal 13 7 5 4" xfId="14018"/>
    <cellStyle name="Normal 13 7 5 4 2" xfId="31298"/>
    <cellStyle name="Normal 13 7 5 5" xfId="19778"/>
    <cellStyle name="Normal 13 7 6" xfId="3938"/>
    <cellStyle name="Normal 13 7 6 2" xfId="9698"/>
    <cellStyle name="Normal 13 7 6 2 2" xfId="26978"/>
    <cellStyle name="Normal 13 7 6 3" xfId="15458"/>
    <cellStyle name="Normal 13 7 6 3 2" xfId="32738"/>
    <cellStyle name="Normal 13 7 6 4" xfId="21218"/>
    <cellStyle name="Normal 13 7 7" xfId="6818"/>
    <cellStyle name="Normal 13 7 7 2" xfId="24098"/>
    <cellStyle name="Normal 13 7 8" xfId="12578"/>
    <cellStyle name="Normal 13 7 8 2" xfId="29858"/>
    <cellStyle name="Normal 13 7 9" xfId="18338"/>
    <cellStyle name="Normal 13 8" xfId="1178"/>
    <cellStyle name="Normal 13 8 2" xfId="1898"/>
    <cellStyle name="Normal 13 8 2 2" xfId="3338"/>
    <cellStyle name="Normal 13 8 2 2 2" xfId="6218"/>
    <cellStyle name="Normal 13 8 2 2 2 2" xfId="11978"/>
    <cellStyle name="Normal 13 8 2 2 2 2 2" xfId="29258"/>
    <cellStyle name="Normal 13 8 2 2 2 3" xfId="17738"/>
    <cellStyle name="Normal 13 8 2 2 2 3 2" xfId="35018"/>
    <cellStyle name="Normal 13 8 2 2 2 4" xfId="23498"/>
    <cellStyle name="Normal 13 8 2 2 3" xfId="9098"/>
    <cellStyle name="Normal 13 8 2 2 3 2" xfId="26378"/>
    <cellStyle name="Normal 13 8 2 2 4" xfId="14858"/>
    <cellStyle name="Normal 13 8 2 2 4 2" xfId="32138"/>
    <cellStyle name="Normal 13 8 2 2 5" xfId="20618"/>
    <cellStyle name="Normal 13 8 2 3" xfId="4778"/>
    <cellStyle name="Normal 13 8 2 3 2" xfId="10538"/>
    <cellStyle name="Normal 13 8 2 3 2 2" xfId="27818"/>
    <cellStyle name="Normal 13 8 2 3 3" xfId="16298"/>
    <cellStyle name="Normal 13 8 2 3 3 2" xfId="33578"/>
    <cellStyle name="Normal 13 8 2 3 4" xfId="22058"/>
    <cellStyle name="Normal 13 8 2 4" xfId="7658"/>
    <cellStyle name="Normal 13 8 2 4 2" xfId="24938"/>
    <cellStyle name="Normal 13 8 2 5" xfId="13418"/>
    <cellStyle name="Normal 13 8 2 5 2" xfId="30698"/>
    <cellStyle name="Normal 13 8 2 6" xfId="19178"/>
    <cellStyle name="Normal 13 8 3" xfId="2618"/>
    <cellStyle name="Normal 13 8 3 2" xfId="5498"/>
    <cellStyle name="Normal 13 8 3 2 2" xfId="11258"/>
    <cellStyle name="Normal 13 8 3 2 2 2" xfId="28538"/>
    <cellStyle name="Normal 13 8 3 2 3" xfId="17018"/>
    <cellStyle name="Normal 13 8 3 2 3 2" xfId="34298"/>
    <cellStyle name="Normal 13 8 3 2 4" xfId="22778"/>
    <cellStyle name="Normal 13 8 3 3" xfId="8378"/>
    <cellStyle name="Normal 13 8 3 3 2" xfId="25658"/>
    <cellStyle name="Normal 13 8 3 4" xfId="14138"/>
    <cellStyle name="Normal 13 8 3 4 2" xfId="31418"/>
    <cellStyle name="Normal 13 8 3 5" xfId="19898"/>
    <cellStyle name="Normal 13 8 4" xfId="4058"/>
    <cellStyle name="Normal 13 8 4 2" xfId="9818"/>
    <cellStyle name="Normal 13 8 4 2 2" xfId="27098"/>
    <cellStyle name="Normal 13 8 4 3" xfId="15578"/>
    <cellStyle name="Normal 13 8 4 3 2" xfId="32858"/>
    <cellStyle name="Normal 13 8 4 4" xfId="21338"/>
    <cellStyle name="Normal 13 8 5" xfId="6938"/>
    <cellStyle name="Normal 13 8 5 2" xfId="24218"/>
    <cellStyle name="Normal 13 8 6" xfId="12698"/>
    <cellStyle name="Normal 13 8 6 2" xfId="29978"/>
    <cellStyle name="Normal 13 8 7" xfId="18458"/>
    <cellStyle name="Normal 13 9" xfId="1418"/>
    <cellStyle name="Normal 13 9 2" xfId="2138"/>
    <cellStyle name="Normal 13 9 2 2" xfId="3578"/>
    <cellStyle name="Normal 13 9 2 2 2" xfId="6458"/>
    <cellStyle name="Normal 13 9 2 2 2 2" xfId="12218"/>
    <cellStyle name="Normal 13 9 2 2 2 2 2" xfId="29498"/>
    <cellStyle name="Normal 13 9 2 2 2 3" xfId="17978"/>
    <cellStyle name="Normal 13 9 2 2 2 3 2" xfId="35258"/>
    <cellStyle name="Normal 13 9 2 2 2 4" xfId="23738"/>
    <cellStyle name="Normal 13 9 2 2 3" xfId="9338"/>
    <cellStyle name="Normal 13 9 2 2 3 2" xfId="26618"/>
    <cellStyle name="Normal 13 9 2 2 4" xfId="15098"/>
    <cellStyle name="Normal 13 9 2 2 4 2" xfId="32378"/>
    <cellStyle name="Normal 13 9 2 2 5" xfId="20858"/>
    <cellStyle name="Normal 13 9 2 3" xfId="5018"/>
    <cellStyle name="Normal 13 9 2 3 2" xfId="10778"/>
    <cellStyle name="Normal 13 9 2 3 2 2" xfId="28058"/>
    <cellStyle name="Normal 13 9 2 3 3" xfId="16538"/>
    <cellStyle name="Normal 13 9 2 3 3 2" xfId="33818"/>
    <cellStyle name="Normal 13 9 2 3 4" xfId="22298"/>
    <cellStyle name="Normal 13 9 2 4" xfId="7898"/>
    <cellStyle name="Normal 13 9 2 4 2" xfId="25178"/>
    <cellStyle name="Normal 13 9 2 5" xfId="13658"/>
    <cellStyle name="Normal 13 9 2 5 2" xfId="30938"/>
    <cellStyle name="Normal 13 9 2 6" xfId="19418"/>
    <cellStyle name="Normal 13 9 3" xfId="2858"/>
    <cellStyle name="Normal 13 9 3 2" xfId="5738"/>
    <cellStyle name="Normal 13 9 3 2 2" xfId="11498"/>
    <cellStyle name="Normal 13 9 3 2 2 2" xfId="28778"/>
    <cellStyle name="Normal 13 9 3 2 3" xfId="17258"/>
    <cellStyle name="Normal 13 9 3 2 3 2" xfId="34538"/>
    <cellStyle name="Normal 13 9 3 2 4" xfId="23018"/>
    <cellStyle name="Normal 13 9 3 3" xfId="8618"/>
    <cellStyle name="Normal 13 9 3 3 2" xfId="25898"/>
    <cellStyle name="Normal 13 9 3 4" xfId="14378"/>
    <cellStyle name="Normal 13 9 3 4 2" xfId="31658"/>
    <cellStyle name="Normal 13 9 3 5" xfId="20138"/>
    <cellStyle name="Normal 13 9 4" xfId="4298"/>
    <cellStyle name="Normal 13 9 4 2" xfId="10058"/>
    <cellStyle name="Normal 13 9 4 2 2" xfId="27338"/>
    <cellStyle name="Normal 13 9 4 3" xfId="15818"/>
    <cellStyle name="Normal 13 9 4 3 2" xfId="33098"/>
    <cellStyle name="Normal 13 9 4 4" xfId="21578"/>
    <cellStyle name="Normal 13 9 5" xfId="7178"/>
    <cellStyle name="Normal 13 9 5 2" xfId="24458"/>
    <cellStyle name="Normal 13 9 6" xfId="12938"/>
    <cellStyle name="Normal 13 9 6 2" xfId="30218"/>
    <cellStyle name="Normal 13 9 7" xfId="18698"/>
    <cellStyle name="Normal 14" xfId="68"/>
    <cellStyle name="Normal 14 10" xfId="1659"/>
    <cellStyle name="Normal 14 10 2" xfId="3099"/>
    <cellStyle name="Normal 14 10 2 2" xfId="5979"/>
    <cellStyle name="Normal 14 10 2 2 2" xfId="11739"/>
    <cellStyle name="Normal 14 10 2 2 2 2" xfId="29019"/>
    <cellStyle name="Normal 14 10 2 2 3" xfId="17499"/>
    <cellStyle name="Normal 14 10 2 2 3 2" xfId="34779"/>
    <cellStyle name="Normal 14 10 2 2 4" xfId="23259"/>
    <cellStyle name="Normal 14 10 2 3" xfId="8859"/>
    <cellStyle name="Normal 14 10 2 3 2" xfId="26139"/>
    <cellStyle name="Normal 14 10 2 4" xfId="14619"/>
    <cellStyle name="Normal 14 10 2 4 2" xfId="31899"/>
    <cellStyle name="Normal 14 10 2 5" xfId="20379"/>
    <cellStyle name="Normal 14 10 3" xfId="4539"/>
    <cellStyle name="Normal 14 10 3 2" xfId="10299"/>
    <cellStyle name="Normal 14 10 3 2 2" xfId="27579"/>
    <cellStyle name="Normal 14 10 3 3" xfId="16059"/>
    <cellStyle name="Normal 14 10 3 3 2" xfId="33339"/>
    <cellStyle name="Normal 14 10 3 4" xfId="21819"/>
    <cellStyle name="Normal 14 10 4" xfId="7419"/>
    <cellStyle name="Normal 14 10 4 2" xfId="24699"/>
    <cellStyle name="Normal 14 10 5" xfId="13179"/>
    <cellStyle name="Normal 14 10 5 2" xfId="30459"/>
    <cellStyle name="Normal 14 10 6" xfId="18939"/>
    <cellStyle name="Normal 14 11" xfId="2379"/>
    <cellStyle name="Normal 14 11 2" xfId="5259"/>
    <cellStyle name="Normal 14 11 2 2" xfId="11019"/>
    <cellStyle name="Normal 14 11 2 2 2" xfId="28299"/>
    <cellStyle name="Normal 14 11 2 3" xfId="16779"/>
    <cellStyle name="Normal 14 11 2 3 2" xfId="34059"/>
    <cellStyle name="Normal 14 11 2 4" xfId="22539"/>
    <cellStyle name="Normal 14 11 3" xfId="8139"/>
    <cellStyle name="Normal 14 11 3 2" xfId="25419"/>
    <cellStyle name="Normal 14 11 4" xfId="13899"/>
    <cellStyle name="Normal 14 11 4 2" xfId="31179"/>
    <cellStyle name="Normal 14 11 5" xfId="19659"/>
    <cellStyle name="Normal 14 12" xfId="3819"/>
    <cellStyle name="Normal 14 12 2" xfId="9579"/>
    <cellStyle name="Normal 14 12 2 2" xfId="26859"/>
    <cellStyle name="Normal 14 12 3" xfId="15339"/>
    <cellStyle name="Normal 14 12 3 2" xfId="32619"/>
    <cellStyle name="Normal 14 12 4" xfId="21099"/>
    <cellStyle name="Normal 14 13" xfId="6699"/>
    <cellStyle name="Normal 14 13 2" xfId="23979"/>
    <cellStyle name="Normal 14 14" xfId="12459"/>
    <cellStyle name="Normal 14 14 2" xfId="29739"/>
    <cellStyle name="Normal 14 15" xfId="18219"/>
    <cellStyle name="Normal 14 16" xfId="387"/>
    <cellStyle name="Normal 14 17" xfId="35510"/>
    <cellStyle name="Normal 14 2" xfId="392"/>
    <cellStyle name="Normal 14 2 10" xfId="2384"/>
    <cellStyle name="Normal 14 2 10 2" xfId="5264"/>
    <cellStyle name="Normal 14 2 10 2 2" xfId="11024"/>
    <cellStyle name="Normal 14 2 10 2 2 2" xfId="28304"/>
    <cellStyle name="Normal 14 2 10 2 3" xfId="16784"/>
    <cellStyle name="Normal 14 2 10 2 3 2" xfId="34064"/>
    <cellStyle name="Normal 14 2 10 2 4" xfId="22544"/>
    <cellStyle name="Normal 14 2 10 3" xfId="8144"/>
    <cellStyle name="Normal 14 2 10 3 2" xfId="25424"/>
    <cellStyle name="Normal 14 2 10 4" xfId="13904"/>
    <cellStyle name="Normal 14 2 10 4 2" xfId="31184"/>
    <cellStyle name="Normal 14 2 10 5" xfId="19664"/>
    <cellStyle name="Normal 14 2 11" xfId="3824"/>
    <cellStyle name="Normal 14 2 11 2" xfId="9584"/>
    <cellStyle name="Normal 14 2 11 2 2" xfId="26864"/>
    <cellStyle name="Normal 14 2 11 3" xfId="15344"/>
    <cellStyle name="Normal 14 2 11 3 2" xfId="32624"/>
    <cellStyle name="Normal 14 2 11 4" xfId="21104"/>
    <cellStyle name="Normal 14 2 12" xfId="6704"/>
    <cellStyle name="Normal 14 2 12 2" xfId="23984"/>
    <cellStyle name="Normal 14 2 13" xfId="12464"/>
    <cellStyle name="Normal 14 2 13 2" xfId="29744"/>
    <cellStyle name="Normal 14 2 14" xfId="18224"/>
    <cellStyle name="Normal 14 2 2" xfId="403"/>
    <cellStyle name="Normal 14 2 2 10" xfId="3834"/>
    <cellStyle name="Normal 14 2 2 10 2" xfId="9594"/>
    <cellStyle name="Normal 14 2 2 10 2 2" xfId="26874"/>
    <cellStyle name="Normal 14 2 2 10 3" xfId="15354"/>
    <cellStyle name="Normal 14 2 2 10 3 2" xfId="32634"/>
    <cellStyle name="Normal 14 2 2 10 4" xfId="21114"/>
    <cellStyle name="Normal 14 2 2 11" xfId="6714"/>
    <cellStyle name="Normal 14 2 2 11 2" xfId="23994"/>
    <cellStyle name="Normal 14 2 2 12" xfId="12474"/>
    <cellStyle name="Normal 14 2 2 12 2" xfId="29754"/>
    <cellStyle name="Normal 14 2 2 13" xfId="18234"/>
    <cellStyle name="Normal 14 2 2 2" xfId="423"/>
    <cellStyle name="Normal 14 2 2 2 10" xfId="6734"/>
    <cellStyle name="Normal 14 2 2 2 10 2" xfId="24014"/>
    <cellStyle name="Normal 14 2 2 2 11" xfId="12494"/>
    <cellStyle name="Normal 14 2 2 2 11 2" xfId="29774"/>
    <cellStyle name="Normal 14 2 2 2 12" xfId="18254"/>
    <cellStyle name="Normal 14 2 2 2 2" xfId="1054"/>
    <cellStyle name="Normal 14 2 2 2 2 10" xfId="18334"/>
    <cellStyle name="Normal 14 2 2 2 2 2" xfId="1174"/>
    <cellStyle name="Normal 14 2 2 2 2 2 2" xfId="1414"/>
    <cellStyle name="Normal 14 2 2 2 2 2 2 2" xfId="2134"/>
    <cellStyle name="Normal 14 2 2 2 2 2 2 2 2" xfId="3574"/>
    <cellStyle name="Normal 14 2 2 2 2 2 2 2 2 2" xfId="6454"/>
    <cellStyle name="Normal 14 2 2 2 2 2 2 2 2 2 2" xfId="12214"/>
    <cellStyle name="Normal 14 2 2 2 2 2 2 2 2 2 2 2" xfId="29494"/>
    <cellStyle name="Normal 14 2 2 2 2 2 2 2 2 2 3" xfId="17974"/>
    <cellStyle name="Normal 14 2 2 2 2 2 2 2 2 2 3 2" xfId="35254"/>
    <cellStyle name="Normal 14 2 2 2 2 2 2 2 2 2 4" xfId="23734"/>
    <cellStyle name="Normal 14 2 2 2 2 2 2 2 2 3" xfId="9334"/>
    <cellStyle name="Normal 14 2 2 2 2 2 2 2 2 3 2" xfId="26614"/>
    <cellStyle name="Normal 14 2 2 2 2 2 2 2 2 4" xfId="15094"/>
    <cellStyle name="Normal 14 2 2 2 2 2 2 2 2 4 2" xfId="32374"/>
    <cellStyle name="Normal 14 2 2 2 2 2 2 2 2 5" xfId="20854"/>
    <cellStyle name="Normal 14 2 2 2 2 2 2 2 3" xfId="5014"/>
    <cellStyle name="Normal 14 2 2 2 2 2 2 2 3 2" xfId="10774"/>
    <cellStyle name="Normal 14 2 2 2 2 2 2 2 3 2 2" xfId="28054"/>
    <cellStyle name="Normal 14 2 2 2 2 2 2 2 3 3" xfId="16534"/>
    <cellStyle name="Normal 14 2 2 2 2 2 2 2 3 3 2" xfId="33814"/>
    <cellStyle name="Normal 14 2 2 2 2 2 2 2 3 4" xfId="22294"/>
    <cellStyle name="Normal 14 2 2 2 2 2 2 2 4" xfId="7894"/>
    <cellStyle name="Normal 14 2 2 2 2 2 2 2 4 2" xfId="25174"/>
    <cellStyle name="Normal 14 2 2 2 2 2 2 2 5" xfId="13654"/>
    <cellStyle name="Normal 14 2 2 2 2 2 2 2 5 2" xfId="30934"/>
    <cellStyle name="Normal 14 2 2 2 2 2 2 2 6" xfId="19414"/>
    <cellStyle name="Normal 14 2 2 2 2 2 2 3" xfId="2854"/>
    <cellStyle name="Normal 14 2 2 2 2 2 2 3 2" xfId="5734"/>
    <cellStyle name="Normal 14 2 2 2 2 2 2 3 2 2" xfId="11494"/>
    <cellStyle name="Normal 14 2 2 2 2 2 2 3 2 2 2" xfId="28774"/>
    <cellStyle name="Normal 14 2 2 2 2 2 2 3 2 3" xfId="17254"/>
    <cellStyle name="Normal 14 2 2 2 2 2 2 3 2 3 2" xfId="34534"/>
    <cellStyle name="Normal 14 2 2 2 2 2 2 3 2 4" xfId="23014"/>
    <cellStyle name="Normal 14 2 2 2 2 2 2 3 3" xfId="8614"/>
    <cellStyle name="Normal 14 2 2 2 2 2 2 3 3 2" xfId="25894"/>
    <cellStyle name="Normal 14 2 2 2 2 2 2 3 4" xfId="14374"/>
    <cellStyle name="Normal 14 2 2 2 2 2 2 3 4 2" xfId="31654"/>
    <cellStyle name="Normal 14 2 2 2 2 2 2 3 5" xfId="20134"/>
    <cellStyle name="Normal 14 2 2 2 2 2 2 4" xfId="4294"/>
    <cellStyle name="Normal 14 2 2 2 2 2 2 4 2" xfId="10054"/>
    <cellStyle name="Normal 14 2 2 2 2 2 2 4 2 2" xfId="27334"/>
    <cellStyle name="Normal 14 2 2 2 2 2 2 4 3" xfId="15814"/>
    <cellStyle name="Normal 14 2 2 2 2 2 2 4 3 2" xfId="33094"/>
    <cellStyle name="Normal 14 2 2 2 2 2 2 4 4" xfId="21574"/>
    <cellStyle name="Normal 14 2 2 2 2 2 2 5" xfId="7174"/>
    <cellStyle name="Normal 14 2 2 2 2 2 2 5 2" xfId="24454"/>
    <cellStyle name="Normal 14 2 2 2 2 2 2 6" xfId="12934"/>
    <cellStyle name="Normal 14 2 2 2 2 2 2 6 2" xfId="30214"/>
    <cellStyle name="Normal 14 2 2 2 2 2 2 7" xfId="18694"/>
    <cellStyle name="Normal 14 2 2 2 2 2 3" xfId="1654"/>
    <cellStyle name="Normal 14 2 2 2 2 2 3 2" xfId="2374"/>
    <cellStyle name="Normal 14 2 2 2 2 2 3 2 2" xfId="3814"/>
    <cellStyle name="Normal 14 2 2 2 2 2 3 2 2 2" xfId="6694"/>
    <cellStyle name="Normal 14 2 2 2 2 2 3 2 2 2 2" xfId="12454"/>
    <cellStyle name="Normal 14 2 2 2 2 2 3 2 2 2 2 2" xfId="29734"/>
    <cellStyle name="Normal 14 2 2 2 2 2 3 2 2 2 3" xfId="18214"/>
    <cellStyle name="Normal 14 2 2 2 2 2 3 2 2 2 3 2" xfId="35494"/>
    <cellStyle name="Normal 14 2 2 2 2 2 3 2 2 2 4" xfId="23974"/>
    <cellStyle name="Normal 14 2 2 2 2 2 3 2 2 3" xfId="9574"/>
    <cellStyle name="Normal 14 2 2 2 2 2 3 2 2 3 2" xfId="26854"/>
    <cellStyle name="Normal 14 2 2 2 2 2 3 2 2 4" xfId="15334"/>
    <cellStyle name="Normal 14 2 2 2 2 2 3 2 2 4 2" xfId="32614"/>
    <cellStyle name="Normal 14 2 2 2 2 2 3 2 2 5" xfId="21094"/>
    <cellStyle name="Normal 14 2 2 2 2 2 3 2 3" xfId="5254"/>
    <cellStyle name="Normal 14 2 2 2 2 2 3 2 3 2" xfId="11014"/>
    <cellStyle name="Normal 14 2 2 2 2 2 3 2 3 2 2" xfId="28294"/>
    <cellStyle name="Normal 14 2 2 2 2 2 3 2 3 3" xfId="16774"/>
    <cellStyle name="Normal 14 2 2 2 2 2 3 2 3 3 2" xfId="34054"/>
    <cellStyle name="Normal 14 2 2 2 2 2 3 2 3 4" xfId="22534"/>
    <cellStyle name="Normal 14 2 2 2 2 2 3 2 4" xfId="8134"/>
    <cellStyle name="Normal 14 2 2 2 2 2 3 2 4 2" xfId="25414"/>
    <cellStyle name="Normal 14 2 2 2 2 2 3 2 5" xfId="13894"/>
    <cellStyle name="Normal 14 2 2 2 2 2 3 2 5 2" xfId="31174"/>
    <cellStyle name="Normal 14 2 2 2 2 2 3 2 6" xfId="19654"/>
    <cellStyle name="Normal 14 2 2 2 2 2 3 3" xfId="3094"/>
    <cellStyle name="Normal 14 2 2 2 2 2 3 3 2" xfId="5974"/>
    <cellStyle name="Normal 14 2 2 2 2 2 3 3 2 2" xfId="11734"/>
    <cellStyle name="Normal 14 2 2 2 2 2 3 3 2 2 2" xfId="29014"/>
    <cellStyle name="Normal 14 2 2 2 2 2 3 3 2 3" xfId="17494"/>
    <cellStyle name="Normal 14 2 2 2 2 2 3 3 2 3 2" xfId="34774"/>
    <cellStyle name="Normal 14 2 2 2 2 2 3 3 2 4" xfId="23254"/>
    <cellStyle name="Normal 14 2 2 2 2 2 3 3 3" xfId="8854"/>
    <cellStyle name="Normal 14 2 2 2 2 2 3 3 3 2" xfId="26134"/>
    <cellStyle name="Normal 14 2 2 2 2 2 3 3 4" xfId="14614"/>
    <cellStyle name="Normal 14 2 2 2 2 2 3 3 4 2" xfId="31894"/>
    <cellStyle name="Normal 14 2 2 2 2 2 3 3 5" xfId="20374"/>
    <cellStyle name="Normal 14 2 2 2 2 2 3 4" xfId="4534"/>
    <cellStyle name="Normal 14 2 2 2 2 2 3 4 2" xfId="10294"/>
    <cellStyle name="Normal 14 2 2 2 2 2 3 4 2 2" xfId="27574"/>
    <cellStyle name="Normal 14 2 2 2 2 2 3 4 3" xfId="16054"/>
    <cellStyle name="Normal 14 2 2 2 2 2 3 4 3 2" xfId="33334"/>
    <cellStyle name="Normal 14 2 2 2 2 2 3 4 4" xfId="21814"/>
    <cellStyle name="Normal 14 2 2 2 2 2 3 5" xfId="7414"/>
    <cellStyle name="Normal 14 2 2 2 2 2 3 5 2" xfId="24694"/>
    <cellStyle name="Normal 14 2 2 2 2 2 3 6" xfId="13174"/>
    <cellStyle name="Normal 14 2 2 2 2 2 3 6 2" xfId="30454"/>
    <cellStyle name="Normal 14 2 2 2 2 2 3 7" xfId="18934"/>
    <cellStyle name="Normal 14 2 2 2 2 2 4" xfId="1894"/>
    <cellStyle name="Normal 14 2 2 2 2 2 4 2" xfId="3334"/>
    <cellStyle name="Normal 14 2 2 2 2 2 4 2 2" xfId="6214"/>
    <cellStyle name="Normal 14 2 2 2 2 2 4 2 2 2" xfId="11974"/>
    <cellStyle name="Normal 14 2 2 2 2 2 4 2 2 2 2" xfId="29254"/>
    <cellStyle name="Normal 14 2 2 2 2 2 4 2 2 3" xfId="17734"/>
    <cellStyle name="Normal 14 2 2 2 2 2 4 2 2 3 2" xfId="35014"/>
    <cellStyle name="Normal 14 2 2 2 2 2 4 2 2 4" xfId="23494"/>
    <cellStyle name="Normal 14 2 2 2 2 2 4 2 3" xfId="9094"/>
    <cellStyle name="Normal 14 2 2 2 2 2 4 2 3 2" xfId="26374"/>
    <cellStyle name="Normal 14 2 2 2 2 2 4 2 4" xfId="14854"/>
    <cellStyle name="Normal 14 2 2 2 2 2 4 2 4 2" xfId="32134"/>
    <cellStyle name="Normal 14 2 2 2 2 2 4 2 5" xfId="20614"/>
    <cellStyle name="Normal 14 2 2 2 2 2 4 3" xfId="4774"/>
    <cellStyle name="Normal 14 2 2 2 2 2 4 3 2" xfId="10534"/>
    <cellStyle name="Normal 14 2 2 2 2 2 4 3 2 2" xfId="27814"/>
    <cellStyle name="Normal 14 2 2 2 2 2 4 3 3" xfId="16294"/>
    <cellStyle name="Normal 14 2 2 2 2 2 4 3 3 2" xfId="33574"/>
    <cellStyle name="Normal 14 2 2 2 2 2 4 3 4" xfId="22054"/>
    <cellStyle name="Normal 14 2 2 2 2 2 4 4" xfId="7654"/>
    <cellStyle name="Normal 14 2 2 2 2 2 4 4 2" xfId="24934"/>
    <cellStyle name="Normal 14 2 2 2 2 2 4 5" xfId="13414"/>
    <cellStyle name="Normal 14 2 2 2 2 2 4 5 2" xfId="30694"/>
    <cellStyle name="Normal 14 2 2 2 2 2 4 6" xfId="19174"/>
    <cellStyle name="Normal 14 2 2 2 2 2 5" xfId="2614"/>
    <cellStyle name="Normal 14 2 2 2 2 2 5 2" xfId="5494"/>
    <cellStyle name="Normal 14 2 2 2 2 2 5 2 2" xfId="11254"/>
    <cellStyle name="Normal 14 2 2 2 2 2 5 2 2 2" xfId="28534"/>
    <cellStyle name="Normal 14 2 2 2 2 2 5 2 3" xfId="17014"/>
    <cellStyle name="Normal 14 2 2 2 2 2 5 2 3 2" xfId="34294"/>
    <cellStyle name="Normal 14 2 2 2 2 2 5 2 4" xfId="22774"/>
    <cellStyle name="Normal 14 2 2 2 2 2 5 3" xfId="8374"/>
    <cellStyle name="Normal 14 2 2 2 2 2 5 3 2" xfId="25654"/>
    <cellStyle name="Normal 14 2 2 2 2 2 5 4" xfId="14134"/>
    <cellStyle name="Normal 14 2 2 2 2 2 5 4 2" xfId="31414"/>
    <cellStyle name="Normal 14 2 2 2 2 2 5 5" xfId="19894"/>
    <cellStyle name="Normal 14 2 2 2 2 2 6" xfId="4054"/>
    <cellStyle name="Normal 14 2 2 2 2 2 6 2" xfId="9814"/>
    <cellStyle name="Normal 14 2 2 2 2 2 6 2 2" xfId="27094"/>
    <cellStyle name="Normal 14 2 2 2 2 2 6 3" xfId="15574"/>
    <cellStyle name="Normal 14 2 2 2 2 2 6 3 2" xfId="32854"/>
    <cellStyle name="Normal 14 2 2 2 2 2 6 4" xfId="21334"/>
    <cellStyle name="Normal 14 2 2 2 2 2 7" xfId="6934"/>
    <cellStyle name="Normal 14 2 2 2 2 2 7 2" xfId="24214"/>
    <cellStyle name="Normal 14 2 2 2 2 2 8" xfId="12694"/>
    <cellStyle name="Normal 14 2 2 2 2 2 8 2" xfId="29974"/>
    <cellStyle name="Normal 14 2 2 2 2 2 9" xfId="18454"/>
    <cellStyle name="Normal 14 2 2 2 2 3" xfId="1294"/>
    <cellStyle name="Normal 14 2 2 2 2 3 2" xfId="2014"/>
    <cellStyle name="Normal 14 2 2 2 2 3 2 2" xfId="3454"/>
    <cellStyle name="Normal 14 2 2 2 2 3 2 2 2" xfId="6334"/>
    <cellStyle name="Normal 14 2 2 2 2 3 2 2 2 2" xfId="12094"/>
    <cellStyle name="Normal 14 2 2 2 2 3 2 2 2 2 2" xfId="29374"/>
    <cellStyle name="Normal 14 2 2 2 2 3 2 2 2 3" xfId="17854"/>
    <cellStyle name="Normal 14 2 2 2 2 3 2 2 2 3 2" xfId="35134"/>
    <cellStyle name="Normal 14 2 2 2 2 3 2 2 2 4" xfId="23614"/>
    <cellStyle name="Normal 14 2 2 2 2 3 2 2 3" xfId="9214"/>
    <cellStyle name="Normal 14 2 2 2 2 3 2 2 3 2" xfId="26494"/>
    <cellStyle name="Normal 14 2 2 2 2 3 2 2 4" xfId="14974"/>
    <cellStyle name="Normal 14 2 2 2 2 3 2 2 4 2" xfId="32254"/>
    <cellStyle name="Normal 14 2 2 2 2 3 2 2 5" xfId="20734"/>
    <cellStyle name="Normal 14 2 2 2 2 3 2 3" xfId="4894"/>
    <cellStyle name="Normal 14 2 2 2 2 3 2 3 2" xfId="10654"/>
    <cellStyle name="Normal 14 2 2 2 2 3 2 3 2 2" xfId="27934"/>
    <cellStyle name="Normal 14 2 2 2 2 3 2 3 3" xfId="16414"/>
    <cellStyle name="Normal 14 2 2 2 2 3 2 3 3 2" xfId="33694"/>
    <cellStyle name="Normal 14 2 2 2 2 3 2 3 4" xfId="22174"/>
    <cellStyle name="Normal 14 2 2 2 2 3 2 4" xfId="7774"/>
    <cellStyle name="Normal 14 2 2 2 2 3 2 4 2" xfId="25054"/>
    <cellStyle name="Normal 14 2 2 2 2 3 2 5" xfId="13534"/>
    <cellStyle name="Normal 14 2 2 2 2 3 2 5 2" xfId="30814"/>
    <cellStyle name="Normal 14 2 2 2 2 3 2 6" xfId="19294"/>
    <cellStyle name="Normal 14 2 2 2 2 3 3" xfId="2734"/>
    <cellStyle name="Normal 14 2 2 2 2 3 3 2" xfId="5614"/>
    <cellStyle name="Normal 14 2 2 2 2 3 3 2 2" xfId="11374"/>
    <cellStyle name="Normal 14 2 2 2 2 3 3 2 2 2" xfId="28654"/>
    <cellStyle name="Normal 14 2 2 2 2 3 3 2 3" xfId="17134"/>
    <cellStyle name="Normal 14 2 2 2 2 3 3 2 3 2" xfId="34414"/>
    <cellStyle name="Normal 14 2 2 2 2 3 3 2 4" xfId="22894"/>
    <cellStyle name="Normal 14 2 2 2 2 3 3 3" xfId="8494"/>
    <cellStyle name="Normal 14 2 2 2 2 3 3 3 2" xfId="25774"/>
    <cellStyle name="Normal 14 2 2 2 2 3 3 4" xfId="14254"/>
    <cellStyle name="Normal 14 2 2 2 2 3 3 4 2" xfId="31534"/>
    <cellStyle name="Normal 14 2 2 2 2 3 3 5" xfId="20014"/>
    <cellStyle name="Normal 14 2 2 2 2 3 4" xfId="4174"/>
    <cellStyle name="Normal 14 2 2 2 2 3 4 2" xfId="9934"/>
    <cellStyle name="Normal 14 2 2 2 2 3 4 2 2" xfId="27214"/>
    <cellStyle name="Normal 14 2 2 2 2 3 4 3" xfId="15694"/>
    <cellStyle name="Normal 14 2 2 2 2 3 4 3 2" xfId="32974"/>
    <cellStyle name="Normal 14 2 2 2 2 3 4 4" xfId="21454"/>
    <cellStyle name="Normal 14 2 2 2 2 3 5" xfId="7054"/>
    <cellStyle name="Normal 14 2 2 2 2 3 5 2" xfId="24334"/>
    <cellStyle name="Normal 14 2 2 2 2 3 6" xfId="12814"/>
    <cellStyle name="Normal 14 2 2 2 2 3 6 2" xfId="30094"/>
    <cellStyle name="Normal 14 2 2 2 2 3 7" xfId="18574"/>
    <cellStyle name="Normal 14 2 2 2 2 4" xfId="1534"/>
    <cellStyle name="Normal 14 2 2 2 2 4 2" xfId="2254"/>
    <cellStyle name="Normal 14 2 2 2 2 4 2 2" xfId="3694"/>
    <cellStyle name="Normal 14 2 2 2 2 4 2 2 2" xfId="6574"/>
    <cellStyle name="Normal 14 2 2 2 2 4 2 2 2 2" xfId="12334"/>
    <cellStyle name="Normal 14 2 2 2 2 4 2 2 2 2 2" xfId="29614"/>
    <cellStyle name="Normal 14 2 2 2 2 4 2 2 2 3" xfId="18094"/>
    <cellStyle name="Normal 14 2 2 2 2 4 2 2 2 3 2" xfId="35374"/>
    <cellStyle name="Normal 14 2 2 2 2 4 2 2 2 4" xfId="23854"/>
    <cellStyle name="Normal 14 2 2 2 2 4 2 2 3" xfId="9454"/>
    <cellStyle name="Normal 14 2 2 2 2 4 2 2 3 2" xfId="26734"/>
    <cellStyle name="Normal 14 2 2 2 2 4 2 2 4" xfId="15214"/>
    <cellStyle name="Normal 14 2 2 2 2 4 2 2 4 2" xfId="32494"/>
    <cellStyle name="Normal 14 2 2 2 2 4 2 2 5" xfId="20974"/>
    <cellStyle name="Normal 14 2 2 2 2 4 2 3" xfId="5134"/>
    <cellStyle name="Normal 14 2 2 2 2 4 2 3 2" xfId="10894"/>
    <cellStyle name="Normal 14 2 2 2 2 4 2 3 2 2" xfId="28174"/>
    <cellStyle name="Normal 14 2 2 2 2 4 2 3 3" xfId="16654"/>
    <cellStyle name="Normal 14 2 2 2 2 4 2 3 3 2" xfId="33934"/>
    <cellStyle name="Normal 14 2 2 2 2 4 2 3 4" xfId="22414"/>
    <cellStyle name="Normal 14 2 2 2 2 4 2 4" xfId="8014"/>
    <cellStyle name="Normal 14 2 2 2 2 4 2 4 2" xfId="25294"/>
    <cellStyle name="Normal 14 2 2 2 2 4 2 5" xfId="13774"/>
    <cellStyle name="Normal 14 2 2 2 2 4 2 5 2" xfId="31054"/>
    <cellStyle name="Normal 14 2 2 2 2 4 2 6" xfId="19534"/>
    <cellStyle name="Normal 14 2 2 2 2 4 3" xfId="2974"/>
    <cellStyle name="Normal 14 2 2 2 2 4 3 2" xfId="5854"/>
    <cellStyle name="Normal 14 2 2 2 2 4 3 2 2" xfId="11614"/>
    <cellStyle name="Normal 14 2 2 2 2 4 3 2 2 2" xfId="28894"/>
    <cellStyle name="Normal 14 2 2 2 2 4 3 2 3" xfId="17374"/>
    <cellStyle name="Normal 14 2 2 2 2 4 3 2 3 2" xfId="34654"/>
    <cellStyle name="Normal 14 2 2 2 2 4 3 2 4" xfId="23134"/>
    <cellStyle name="Normal 14 2 2 2 2 4 3 3" xfId="8734"/>
    <cellStyle name="Normal 14 2 2 2 2 4 3 3 2" xfId="26014"/>
    <cellStyle name="Normal 14 2 2 2 2 4 3 4" xfId="14494"/>
    <cellStyle name="Normal 14 2 2 2 2 4 3 4 2" xfId="31774"/>
    <cellStyle name="Normal 14 2 2 2 2 4 3 5" xfId="20254"/>
    <cellStyle name="Normal 14 2 2 2 2 4 4" xfId="4414"/>
    <cellStyle name="Normal 14 2 2 2 2 4 4 2" xfId="10174"/>
    <cellStyle name="Normal 14 2 2 2 2 4 4 2 2" xfId="27454"/>
    <cellStyle name="Normal 14 2 2 2 2 4 4 3" xfId="15934"/>
    <cellStyle name="Normal 14 2 2 2 2 4 4 3 2" xfId="33214"/>
    <cellStyle name="Normal 14 2 2 2 2 4 4 4" xfId="21694"/>
    <cellStyle name="Normal 14 2 2 2 2 4 5" xfId="7294"/>
    <cellStyle name="Normal 14 2 2 2 2 4 5 2" xfId="24574"/>
    <cellStyle name="Normal 14 2 2 2 2 4 6" xfId="13054"/>
    <cellStyle name="Normal 14 2 2 2 2 4 6 2" xfId="30334"/>
    <cellStyle name="Normal 14 2 2 2 2 4 7" xfId="18814"/>
    <cellStyle name="Normal 14 2 2 2 2 5" xfId="1774"/>
    <cellStyle name="Normal 14 2 2 2 2 5 2" xfId="3214"/>
    <cellStyle name="Normal 14 2 2 2 2 5 2 2" xfId="6094"/>
    <cellStyle name="Normal 14 2 2 2 2 5 2 2 2" xfId="11854"/>
    <cellStyle name="Normal 14 2 2 2 2 5 2 2 2 2" xfId="29134"/>
    <cellStyle name="Normal 14 2 2 2 2 5 2 2 3" xfId="17614"/>
    <cellStyle name="Normal 14 2 2 2 2 5 2 2 3 2" xfId="34894"/>
    <cellStyle name="Normal 14 2 2 2 2 5 2 2 4" xfId="23374"/>
    <cellStyle name="Normal 14 2 2 2 2 5 2 3" xfId="8974"/>
    <cellStyle name="Normal 14 2 2 2 2 5 2 3 2" xfId="26254"/>
    <cellStyle name="Normal 14 2 2 2 2 5 2 4" xfId="14734"/>
    <cellStyle name="Normal 14 2 2 2 2 5 2 4 2" xfId="32014"/>
    <cellStyle name="Normal 14 2 2 2 2 5 2 5" xfId="20494"/>
    <cellStyle name="Normal 14 2 2 2 2 5 3" xfId="4654"/>
    <cellStyle name="Normal 14 2 2 2 2 5 3 2" xfId="10414"/>
    <cellStyle name="Normal 14 2 2 2 2 5 3 2 2" xfId="27694"/>
    <cellStyle name="Normal 14 2 2 2 2 5 3 3" xfId="16174"/>
    <cellStyle name="Normal 14 2 2 2 2 5 3 3 2" xfId="33454"/>
    <cellStyle name="Normal 14 2 2 2 2 5 3 4" xfId="21934"/>
    <cellStyle name="Normal 14 2 2 2 2 5 4" xfId="7534"/>
    <cellStyle name="Normal 14 2 2 2 2 5 4 2" xfId="24814"/>
    <cellStyle name="Normal 14 2 2 2 2 5 5" xfId="13294"/>
    <cellStyle name="Normal 14 2 2 2 2 5 5 2" xfId="30574"/>
    <cellStyle name="Normal 14 2 2 2 2 5 6" xfId="19054"/>
    <cellStyle name="Normal 14 2 2 2 2 6" xfId="2494"/>
    <cellStyle name="Normal 14 2 2 2 2 6 2" xfId="5374"/>
    <cellStyle name="Normal 14 2 2 2 2 6 2 2" xfId="11134"/>
    <cellStyle name="Normal 14 2 2 2 2 6 2 2 2" xfId="28414"/>
    <cellStyle name="Normal 14 2 2 2 2 6 2 3" xfId="16894"/>
    <cellStyle name="Normal 14 2 2 2 2 6 2 3 2" xfId="34174"/>
    <cellStyle name="Normal 14 2 2 2 2 6 2 4" xfId="22654"/>
    <cellStyle name="Normal 14 2 2 2 2 6 3" xfId="8254"/>
    <cellStyle name="Normal 14 2 2 2 2 6 3 2" xfId="25534"/>
    <cellStyle name="Normal 14 2 2 2 2 6 4" xfId="14014"/>
    <cellStyle name="Normal 14 2 2 2 2 6 4 2" xfId="31294"/>
    <cellStyle name="Normal 14 2 2 2 2 6 5" xfId="19774"/>
    <cellStyle name="Normal 14 2 2 2 2 7" xfId="3934"/>
    <cellStyle name="Normal 14 2 2 2 2 7 2" xfId="9694"/>
    <cellStyle name="Normal 14 2 2 2 2 7 2 2" xfId="26974"/>
    <cellStyle name="Normal 14 2 2 2 2 7 3" xfId="15454"/>
    <cellStyle name="Normal 14 2 2 2 2 7 3 2" xfId="32734"/>
    <cellStyle name="Normal 14 2 2 2 2 7 4" xfId="21214"/>
    <cellStyle name="Normal 14 2 2 2 2 8" xfId="6814"/>
    <cellStyle name="Normal 14 2 2 2 2 8 2" xfId="24094"/>
    <cellStyle name="Normal 14 2 2 2 2 9" xfId="12574"/>
    <cellStyle name="Normal 14 2 2 2 2 9 2" xfId="29854"/>
    <cellStyle name="Normal 14 2 2 2 3" xfId="1014"/>
    <cellStyle name="Normal 14 2 2 2 3 10" xfId="18294"/>
    <cellStyle name="Normal 14 2 2 2 3 2" xfId="1134"/>
    <cellStyle name="Normal 14 2 2 2 3 2 2" xfId="1374"/>
    <cellStyle name="Normal 14 2 2 2 3 2 2 2" xfId="2094"/>
    <cellStyle name="Normal 14 2 2 2 3 2 2 2 2" xfId="3534"/>
    <cellStyle name="Normal 14 2 2 2 3 2 2 2 2 2" xfId="6414"/>
    <cellStyle name="Normal 14 2 2 2 3 2 2 2 2 2 2" xfId="12174"/>
    <cellStyle name="Normal 14 2 2 2 3 2 2 2 2 2 2 2" xfId="29454"/>
    <cellStyle name="Normal 14 2 2 2 3 2 2 2 2 2 3" xfId="17934"/>
    <cellStyle name="Normal 14 2 2 2 3 2 2 2 2 2 3 2" xfId="35214"/>
    <cellStyle name="Normal 14 2 2 2 3 2 2 2 2 2 4" xfId="23694"/>
    <cellStyle name="Normal 14 2 2 2 3 2 2 2 2 3" xfId="9294"/>
    <cellStyle name="Normal 14 2 2 2 3 2 2 2 2 3 2" xfId="26574"/>
    <cellStyle name="Normal 14 2 2 2 3 2 2 2 2 4" xfId="15054"/>
    <cellStyle name="Normal 14 2 2 2 3 2 2 2 2 4 2" xfId="32334"/>
    <cellStyle name="Normal 14 2 2 2 3 2 2 2 2 5" xfId="20814"/>
    <cellStyle name="Normal 14 2 2 2 3 2 2 2 3" xfId="4974"/>
    <cellStyle name="Normal 14 2 2 2 3 2 2 2 3 2" xfId="10734"/>
    <cellStyle name="Normal 14 2 2 2 3 2 2 2 3 2 2" xfId="28014"/>
    <cellStyle name="Normal 14 2 2 2 3 2 2 2 3 3" xfId="16494"/>
    <cellStyle name="Normal 14 2 2 2 3 2 2 2 3 3 2" xfId="33774"/>
    <cellStyle name="Normal 14 2 2 2 3 2 2 2 3 4" xfId="22254"/>
    <cellStyle name="Normal 14 2 2 2 3 2 2 2 4" xfId="7854"/>
    <cellStyle name="Normal 14 2 2 2 3 2 2 2 4 2" xfId="25134"/>
    <cellStyle name="Normal 14 2 2 2 3 2 2 2 5" xfId="13614"/>
    <cellStyle name="Normal 14 2 2 2 3 2 2 2 5 2" xfId="30894"/>
    <cellStyle name="Normal 14 2 2 2 3 2 2 2 6" xfId="19374"/>
    <cellStyle name="Normal 14 2 2 2 3 2 2 3" xfId="2814"/>
    <cellStyle name="Normal 14 2 2 2 3 2 2 3 2" xfId="5694"/>
    <cellStyle name="Normal 14 2 2 2 3 2 2 3 2 2" xfId="11454"/>
    <cellStyle name="Normal 14 2 2 2 3 2 2 3 2 2 2" xfId="28734"/>
    <cellStyle name="Normal 14 2 2 2 3 2 2 3 2 3" xfId="17214"/>
    <cellStyle name="Normal 14 2 2 2 3 2 2 3 2 3 2" xfId="34494"/>
    <cellStyle name="Normal 14 2 2 2 3 2 2 3 2 4" xfId="22974"/>
    <cellStyle name="Normal 14 2 2 2 3 2 2 3 3" xfId="8574"/>
    <cellStyle name="Normal 14 2 2 2 3 2 2 3 3 2" xfId="25854"/>
    <cellStyle name="Normal 14 2 2 2 3 2 2 3 4" xfId="14334"/>
    <cellStyle name="Normal 14 2 2 2 3 2 2 3 4 2" xfId="31614"/>
    <cellStyle name="Normal 14 2 2 2 3 2 2 3 5" xfId="20094"/>
    <cellStyle name="Normal 14 2 2 2 3 2 2 4" xfId="4254"/>
    <cellStyle name="Normal 14 2 2 2 3 2 2 4 2" xfId="10014"/>
    <cellStyle name="Normal 14 2 2 2 3 2 2 4 2 2" xfId="27294"/>
    <cellStyle name="Normal 14 2 2 2 3 2 2 4 3" xfId="15774"/>
    <cellStyle name="Normal 14 2 2 2 3 2 2 4 3 2" xfId="33054"/>
    <cellStyle name="Normal 14 2 2 2 3 2 2 4 4" xfId="21534"/>
    <cellStyle name="Normal 14 2 2 2 3 2 2 5" xfId="7134"/>
    <cellStyle name="Normal 14 2 2 2 3 2 2 5 2" xfId="24414"/>
    <cellStyle name="Normal 14 2 2 2 3 2 2 6" xfId="12894"/>
    <cellStyle name="Normal 14 2 2 2 3 2 2 6 2" xfId="30174"/>
    <cellStyle name="Normal 14 2 2 2 3 2 2 7" xfId="18654"/>
    <cellStyle name="Normal 14 2 2 2 3 2 3" xfId="1614"/>
    <cellStyle name="Normal 14 2 2 2 3 2 3 2" xfId="2334"/>
    <cellStyle name="Normal 14 2 2 2 3 2 3 2 2" xfId="3774"/>
    <cellStyle name="Normal 14 2 2 2 3 2 3 2 2 2" xfId="6654"/>
    <cellStyle name="Normal 14 2 2 2 3 2 3 2 2 2 2" xfId="12414"/>
    <cellStyle name="Normal 14 2 2 2 3 2 3 2 2 2 2 2" xfId="29694"/>
    <cellStyle name="Normal 14 2 2 2 3 2 3 2 2 2 3" xfId="18174"/>
    <cellStyle name="Normal 14 2 2 2 3 2 3 2 2 2 3 2" xfId="35454"/>
    <cellStyle name="Normal 14 2 2 2 3 2 3 2 2 2 4" xfId="23934"/>
    <cellStyle name="Normal 14 2 2 2 3 2 3 2 2 3" xfId="9534"/>
    <cellStyle name="Normal 14 2 2 2 3 2 3 2 2 3 2" xfId="26814"/>
    <cellStyle name="Normal 14 2 2 2 3 2 3 2 2 4" xfId="15294"/>
    <cellStyle name="Normal 14 2 2 2 3 2 3 2 2 4 2" xfId="32574"/>
    <cellStyle name="Normal 14 2 2 2 3 2 3 2 2 5" xfId="21054"/>
    <cellStyle name="Normal 14 2 2 2 3 2 3 2 3" xfId="5214"/>
    <cellStyle name="Normal 14 2 2 2 3 2 3 2 3 2" xfId="10974"/>
    <cellStyle name="Normal 14 2 2 2 3 2 3 2 3 2 2" xfId="28254"/>
    <cellStyle name="Normal 14 2 2 2 3 2 3 2 3 3" xfId="16734"/>
    <cellStyle name="Normal 14 2 2 2 3 2 3 2 3 3 2" xfId="34014"/>
    <cellStyle name="Normal 14 2 2 2 3 2 3 2 3 4" xfId="22494"/>
    <cellStyle name="Normal 14 2 2 2 3 2 3 2 4" xfId="8094"/>
    <cellStyle name="Normal 14 2 2 2 3 2 3 2 4 2" xfId="25374"/>
    <cellStyle name="Normal 14 2 2 2 3 2 3 2 5" xfId="13854"/>
    <cellStyle name="Normal 14 2 2 2 3 2 3 2 5 2" xfId="31134"/>
    <cellStyle name="Normal 14 2 2 2 3 2 3 2 6" xfId="19614"/>
    <cellStyle name="Normal 14 2 2 2 3 2 3 3" xfId="3054"/>
    <cellStyle name="Normal 14 2 2 2 3 2 3 3 2" xfId="5934"/>
    <cellStyle name="Normal 14 2 2 2 3 2 3 3 2 2" xfId="11694"/>
    <cellStyle name="Normal 14 2 2 2 3 2 3 3 2 2 2" xfId="28974"/>
    <cellStyle name="Normal 14 2 2 2 3 2 3 3 2 3" xfId="17454"/>
    <cellStyle name="Normal 14 2 2 2 3 2 3 3 2 3 2" xfId="34734"/>
    <cellStyle name="Normal 14 2 2 2 3 2 3 3 2 4" xfId="23214"/>
    <cellStyle name="Normal 14 2 2 2 3 2 3 3 3" xfId="8814"/>
    <cellStyle name="Normal 14 2 2 2 3 2 3 3 3 2" xfId="26094"/>
    <cellStyle name="Normal 14 2 2 2 3 2 3 3 4" xfId="14574"/>
    <cellStyle name="Normal 14 2 2 2 3 2 3 3 4 2" xfId="31854"/>
    <cellStyle name="Normal 14 2 2 2 3 2 3 3 5" xfId="20334"/>
    <cellStyle name="Normal 14 2 2 2 3 2 3 4" xfId="4494"/>
    <cellStyle name="Normal 14 2 2 2 3 2 3 4 2" xfId="10254"/>
    <cellStyle name="Normal 14 2 2 2 3 2 3 4 2 2" xfId="27534"/>
    <cellStyle name="Normal 14 2 2 2 3 2 3 4 3" xfId="16014"/>
    <cellStyle name="Normal 14 2 2 2 3 2 3 4 3 2" xfId="33294"/>
    <cellStyle name="Normal 14 2 2 2 3 2 3 4 4" xfId="21774"/>
    <cellStyle name="Normal 14 2 2 2 3 2 3 5" xfId="7374"/>
    <cellStyle name="Normal 14 2 2 2 3 2 3 5 2" xfId="24654"/>
    <cellStyle name="Normal 14 2 2 2 3 2 3 6" xfId="13134"/>
    <cellStyle name="Normal 14 2 2 2 3 2 3 6 2" xfId="30414"/>
    <cellStyle name="Normal 14 2 2 2 3 2 3 7" xfId="18894"/>
    <cellStyle name="Normal 14 2 2 2 3 2 4" xfId="1854"/>
    <cellStyle name="Normal 14 2 2 2 3 2 4 2" xfId="3294"/>
    <cellStyle name="Normal 14 2 2 2 3 2 4 2 2" xfId="6174"/>
    <cellStyle name="Normal 14 2 2 2 3 2 4 2 2 2" xfId="11934"/>
    <cellStyle name="Normal 14 2 2 2 3 2 4 2 2 2 2" xfId="29214"/>
    <cellStyle name="Normal 14 2 2 2 3 2 4 2 2 3" xfId="17694"/>
    <cellStyle name="Normal 14 2 2 2 3 2 4 2 2 3 2" xfId="34974"/>
    <cellStyle name="Normal 14 2 2 2 3 2 4 2 2 4" xfId="23454"/>
    <cellStyle name="Normal 14 2 2 2 3 2 4 2 3" xfId="9054"/>
    <cellStyle name="Normal 14 2 2 2 3 2 4 2 3 2" xfId="26334"/>
    <cellStyle name="Normal 14 2 2 2 3 2 4 2 4" xfId="14814"/>
    <cellStyle name="Normal 14 2 2 2 3 2 4 2 4 2" xfId="32094"/>
    <cellStyle name="Normal 14 2 2 2 3 2 4 2 5" xfId="20574"/>
    <cellStyle name="Normal 14 2 2 2 3 2 4 3" xfId="4734"/>
    <cellStyle name="Normal 14 2 2 2 3 2 4 3 2" xfId="10494"/>
    <cellStyle name="Normal 14 2 2 2 3 2 4 3 2 2" xfId="27774"/>
    <cellStyle name="Normal 14 2 2 2 3 2 4 3 3" xfId="16254"/>
    <cellStyle name="Normal 14 2 2 2 3 2 4 3 3 2" xfId="33534"/>
    <cellStyle name="Normal 14 2 2 2 3 2 4 3 4" xfId="22014"/>
    <cellStyle name="Normal 14 2 2 2 3 2 4 4" xfId="7614"/>
    <cellStyle name="Normal 14 2 2 2 3 2 4 4 2" xfId="24894"/>
    <cellStyle name="Normal 14 2 2 2 3 2 4 5" xfId="13374"/>
    <cellStyle name="Normal 14 2 2 2 3 2 4 5 2" xfId="30654"/>
    <cellStyle name="Normal 14 2 2 2 3 2 4 6" xfId="19134"/>
    <cellStyle name="Normal 14 2 2 2 3 2 5" xfId="2574"/>
    <cellStyle name="Normal 14 2 2 2 3 2 5 2" xfId="5454"/>
    <cellStyle name="Normal 14 2 2 2 3 2 5 2 2" xfId="11214"/>
    <cellStyle name="Normal 14 2 2 2 3 2 5 2 2 2" xfId="28494"/>
    <cellStyle name="Normal 14 2 2 2 3 2 5 2 3" xfId="16974"/>
    <cellStyle name="Normal 14 2 2 2 3 2 5 2 3 2" xfId="34254"/>
    <cellStyle name="Normal 14 2 2 2 3 2 5 2 4" xfId="22734"/>
    <cellStyle name="Normal 14 2 2 2 3 2 5 3" xfId="8334"/>
    <cellStyle name="Normal 14 2 2 2 3 2 5 3 2" xfId="25614"/>
    <cellStyle name="Normal 14 2 2 2 3 2 5 4" xfId="14094"/>
    <cellStyle name="Normal 14 2 2 2 3 2 5 4 2" xfId="31374"/>
    <cellStyle name="Normal 14 2 2 2 3 2 5 5" xfId="19854"/>
    <cellStyle name="Normal 14 2 2 2 3 2 6" xfId="4014"/>
    <cellStyle name="Normal 14 2 2 2 3 2 6 2" xfId="9774"/>
    <cellStyle name="Normal 14 2 2 2 3 2 6 2 2" xfId="27054"/>
    <cellStyle name="Normal 14 2 2 2 3 2 6 3" xfId="15534"/>
    <cellStyle name="Normal 14 2 2 2 3 2 6 3 2" xfId="32814"/>
    <cellStyle name="Normal 14 2 2 2 3 2 6 4" xfId="21294"/>
    <cellStyle name="Normal 14 2 2 2 3 2 7" xfId="6894"/>
    <cellStyle name="Normal 14 2 2 2 3 2 7 2" xfId="24174"/>
    <cellStyle name="Normal 14 2 2 2 3 2 8" xfId="12654"/>
    <cellStyle name="Normal 14 2 2 2 3 2 8 2" xfId="29934"/>
    <cellStyle name="Normal 14 2 2 2 3 2 9" xfId="18414"/>
    <cellStyle name="Normal 14 2 2 2 3 3" xfId="1254"/>
    <cellStyle name="Normal 14 2 2 2 3 3 2" xfId="1974"/>
    <cellStyle name="Normal 14 2 2 2 3 3 2 2" xfId="3414"/>
    <cellStyle name="Normal 14 2 2 2 3 3 2 2 2" xfId="6294"/>
    <cellStyle name="Normal 14 2 2 2 3 3 2 2 2 2" xfId="12054"/>
    <cellStyle name="Normal 14 2 2 2 3 3 2 2 2 2 2" xfId="29334"/>
    <cellStyle name="Normal 14 2 2 2 3 3 2 2 2 3" xfId="17814"/>
    <cellStyle name="Normal 14 2 2 2 3 3 2 2 2 3 2" xfId="35094"/>
    <cellStyle name="Normal 14 2 2 2 3 3 2 2 2 4" xfId="23574"/>
    <cellStyle name="Normal 14 2 2 2 3 3 2 2 3" xfId="9174"/>
    <cellStyle name="Normal 14 2 2 2 3 3 2 2 3 2" xfId="26454"/>
    <cellStyle name="Normal 14 2 2 2 3 3 2 2 4" xfId="14934"/>
    <cellStyle name="Normal 14 2 2 2 3 3 2 2 4 2" xfId="32214"/>
    <cellStyle name="Normal 14 2 2 2 3 3 2 2 5" xfId="20694"/>
    <cellStyle name="Normal 14 2 2 2 3 3 2 3" xfId="4854"/>
    <cellStyle name="Normal 14 2 2 2 3 3 2 3 2" xfId="10614"/>
    <cellStyle name="Normal 14 2 2 2 3 3 2 3 2 2" xfId="27894"/>
    <cellStyle name="Normal 14 2 2 2 3 3 2 3 3" xfId="16374"/>
    <cellStyle name="Normal 14 2 2 2 3 3 2 3 3 2" xfId="33654"/>
    <cellStyle name="Normal 14 2 2 2 3 3 2 3 4" xfId="22134"/>
    <cellStyle name="Normal 14 2 2 2 3 3 2 4" xfId="7734"/>
    <cellStyle name="Normal 14 2 2 2 3 3 2 4 2" xfId="25014"/>
    <cellStyle name="Normal 14 2 2 2 3 3 2 5" xfId="13494"/>
    <cellStyle name="Normal 14 2 2 2 3 3 2 5 2" xfId="30774"/>
    <cellStyle name="Normal 14 2 2 2 3 3 2 6" xfId="19254"/>
    <cellStyle name="Normal 14 2 2 2 3 3 3" xfId="2694"/>
    <cellStyle name="Normal 14 2 2 2 3 3 3 2" xfId="5574"/>
    <cellStyle name="Normal 14 2 2 2 3 3 3 2 2" xfId="11334"/>
    <cellStyle name="Normal 14 2 2 2 3 3 3 2 2 2" xfId="28614"/>
    <cellStyle name="Normal 14 2 2 2 3 3 3 2 3" xfId="17094"/>
    <cellStyle name="Normal 14 2 2 2 3 3 3 2 3 2" xfId="34374"/>
    <cellStyle name="Normal 14 2 2 2 3 3 3 2 4" xfId="22854"/>
    <cellStyle name="Normal 14 2 2 2 3 3 3 3" xfId="8454"/>
    <cellStyle name="Normal 14 2 2 2 3 3 3 3 2" xfId="25734"/>
    <cellStyle name="Normal 14 2 2 2 3 3 3 4" xfId="14214"/>
    <cellStyle name="Normal 14 2 2 2 3 3 3 4 2" xfId="31494"/>
    <cellStyle name="Normal 14 2 2 2 3 3 3 5" xfId="19974"/>
    <cellStyle name="Normal 14 2 2 2 3 3 4" xfId="4134"/>
    <cellStyle name="Normal 14 2 2 2 3 3 4 2" xfId="9894"/>
    <cellStyle name="Normal 14 2 2 2 3 3 4 2 2" xfId="27174"/>
    <cellStyle name="Normal 14 2 2 2 3 3 4 3" xfId="15654"/>
    <cellStyle name="Normal 14 2 2 2 3 3 4 3 2" xfId="32934"/>
    <cellStyle name="Normal 14 2 2 2 3 3 4 4" xfId="21414"/>
    <cellStyle name="Normal 14 2 2 2 3 3 5" xfId="7014"/>
    <cellStyle name="Normal 14 2 2 2 3 3 5 2" xfId="24294"/>
    <cellStyle name="Normal 14 2 2 2 3 3 6" xfId="12774"/>
    <cellStyle name="Normal 14 2 2 2 3 3 6 2" xfId="30054"/>
    <cellStyle name="Normal 14 2 2 2 3 3 7" xfId="18534"/>
    <cellStyle name="Normal 14 2 2 2 3 4" xfId="1494"/>
    <cellStyle name="Normal 14 2 2 2 3 4 2" xfId="2214"/>
    <cellStyle name="Normal 14 2 2 2 3 4 2 2" xfId="3654"/>
    <cellStyle name="Normal 14 2 2 2 3 4 2 2 2" xfId="6534"/>
    <cellStyle name="Normal 14 2 2 2 3 4 2 2 2 2" xfId="12294"/>
    <cellStyle name="Normal 14 2 2 2 3 4 2 2 2 2 2" xfId="29574"/>
    <cellStyle name="Normal 14 2 2 2 3 4 2 2 2 3" xfId="18054"/>
    <cellStyle name="Normal 14 2 2 2 3 4 2 2 2 3 2" xfId="35334"/>
    <cellStyle name="Normal 14 2 2 2 3 4 2 2 2 4" xfId="23814"/>
    <cellStyle name="Normal 14 2 2 2 3 4 2 2 3" xfId="9414"/>
    <cellStyle name="Normal 14 2 2 2 3 4 2 2 3 2" xfId="26694"/>
    <cellStyle name="Normal 14 2 2 2 3 4 2 2 4" xfId="15174"/>
    <cellStyle name="Normal 14 2 2 2 3 4 2 2 4 2" xfId="32454"/>
    <cellStyle name="Normal 14 2 2 2 3 4 2 2 5" xfId="20934"/>
    <cellStyle name="Normal 14 2 2 2 3 4 2 3" xfId="5094"/>
    <cellStyle name="Normal 14 2 2 2 3 4 2 3 2" xfId="10854"/>
    <cellStyle name="Normal 14 2 2 2 3 4 2 3 2 2" xfId="28134"/>
    <cellStyle name="Normal 14 2 2 2 3 4 2 3 3" xfId="16614"/>
    <cellStyle name="Normal 14 2 2 2 3 4 2 3 3 2" xfId="33894"/>
    <cellStyle name="Normal 14 2 2 2 3 4 2 3 4" xfId="22374"/>
    <cellStyle name="Normal 14 2 2 2 3 4 2 4" xfId="7974"/>
    <cellStyle name="Normal 14 2 2 2 3 4 2 4 2" xfId="25254"/>
    <cellStyle name="Normal 14 2 2 2 3 4 2 5" xfId="13734"/>
    <cellStyle name="Normal 14 2 2 2 3 4 2 5 2" xfId="31014"/>
    <cellStyle name="Normal 14 2 2 2 3 4 2 6" xfId="19494"/>
    <cellStyle name="Normal 14 2 2 2 3 4 3" xfId="2934"/>
    <cellStyle name="Normal 14 2 2 2 3 4 3 2" xfId="5814"/>
    <cellStyle name="Normal 14 2 2 2 3 4 3 2 2" xfId="11574"/>
    <cellStyle name="Normal 14 2 2 2 3 4 3 2 2 2" xfId="28854"/>
    <cellStyle name="Normal 14 2 2 2 3 4 3 2 3" xfId="17334"/>
    <cellStyle name="Normal 14 2 2 2 3 4 3 2 3 2" xfId="34614"/>
    <cellStyle name="Normal 14 2 2 2 3 4 3 2 4" xfId="23094"/>
    <cellStyle name="Normal 14 2 2 2 3 4 3 3" xfId="8694"/>
    <cellStyle name="Normal 14 2 2 2 3 4 3 3 2" xfId="25974"/>
    <cellStyle name="Normal 14 2 2 2 3 4 3 4" xfId="14454"/>
    <cellStyle name="Normal 14 2 2 2 3 4 3 4 2" xfId="31734"/>
    <cellStyle name="Normal 14 2 2 2 3 4 3 5" xfId="20214"/>
    <cellStyle name="Normal 14 2 2 2 3 4 4" xfId="4374"/>
    <cellStyle name="Normal 14 2 2 2 3 4 4 2" xfId="10134"/>
    <cellStyle name="Normal 14 2 2 2 3 4 4 2 2" xfId="27414"/>
    <cellStyle name="Normal 14 2 2 2 3 4 4 3" xfId="15894"/>
    <cellStyle name="Normal 14 2 2 2 3 4 4 3 2" xfId="33174"/>
    <cellStyle name="Normal 14 2 2 2 3 4 4 4" xfId="21654"/>
    <cellStyle name="Normal 14 2 2 2 3 4 5" xfId="7254"/>
    <cellStyle name="Normal 14 2 2 2 3 4 5 2" xfId="24534"/>
    <cellStyle name="Normal 14 2 2 2 3 4 6" xfId="13014"/>
    <cellStyle name="Normal 14 2 2 2 3 4 6 2" xfId="30294"/>
    <cellStyle name="Normal 14 2 2 2 3 4 7" xfId="18774"/>
    <cellStyle name="Normal 14 2 2 2 3 5" xfId="1734"/>
    <cellStyle name="Normal 14 2 2 2 3 5 2" xfId="3174"/>
    <cellStyle name="Normal 14 2 2 2 3 5 2 2" xfId="6054"/>
    <cellStyle name="Normal 14 2 2 2 3 5 2 2 2" xfId="11814"/>
    <cellStyle name="Normal 14 2 2 2 3 5 2 2 2 2" xfId="29094"/>
    <cellStyle name="Normal 14 2 2 2 3 5 2 2 3" xfId="17574"/>
    <cellStyle name="Normal 14 2 2 2 3 5 2 2 3 2" xfId="34854"/>
    <cellStyle name="Normal 14 2 2 2 3 5 2 2 4" xfId="23334"/>
    <cellStyle name="Normal 14 2 2 2 3 5 2 3" xfId="8934"/>
    <cellStyle name="Normal 14 2 2 2 3 5 2 3 2" xfId="26214"/>
    <cellStyle name="Normal 14 2 2 2 3 5 2 4" xfId="14694"/>
    <cellStyle name="Normal 14 2 2 2 3 5 2 4 2" xfId="31974"/>
    <cellStyle name="Normal 14 2 2 2 3 5 2 5" xfId="20454"/>
    <cellStyle name="Normal 14 2 2 2 3 5 3" xfId="4614"/>
    <cellStyle name="Normal 14 2 2 2 3 5 3 2" xfId="10374"/>
    <cellStyle name="Normal 14 2 2 2 3 5 3 2 2" xfId="27654"/>
    <cellStyle name="Normal 14 2 2 2 3 5 3 3" xfId="16134"/>
    <cellStyle name="Normal 14 2 2 2 3 5 3 3 2" xfId="33414"/>
    <cellStyle name="Normal 14 2 2 2 3 5 3 4" xfId="21894"/>
    <cellStyle name="Normal 14 2 2 2 3 5 4" xfId="7494"/>
    <cellStyle name="Normal 14 2 2 2 3 5 4 2" xfId="24774"/>
    <cellStyle name="Normal 14 2 2 2 3 5 5" xfId="13254"/>
    <cellStyle name="Normal 14 2 2 2 3 5 5 2" xfId="30534"/>
    <cellStyle name="Normal 14 2 2 2 3 5 6" xfId="19014"/>
    <cellStyle name="Normal 14 2 2 2 3 6" xfId="2454"/>
    <cellStyle name="Normal 14 2 2 2 3 6 2" xfId="5334"/>
    <cellStyle name="Normal 14 2 2 2 3 6 2 2" xfId="11094"/>
    <cellStyle name="Normal 14 2 2 2 3 6 2 2 2" xfId="28374"/>
    <cellStyle name="Normal 14 2 2 2 3 6 2 3" xfId="16854"/>
    <cellStyle name="Normal 14 2 2 2 3 6 2 3 2" xfId="34134"/>
    <cellStyle name="Normal 14 2 2 2 3 6 2 4" xfId="22614"/>
    <cellStyle name="Normal 14 2 2 2 3 6 3" xfId="8214"/>
    <cellStyle name="Normal 14 2 2 2 3 6 3 2" xfId="25494"/>
    <cellStyle name="Normal 14 2 2 2 3 6 4" xfId="13974"/>
    <cellStyle name="Normal 14 2 2 2 3 6 4 2" xfId="31254"/>
    <cellStyle name="Normal 14 2 2 2 3 6 5" xfId="19734"/>
    <cellStyle name="Normal 14 2 2 2 3 7" xfId="3894"/>
    <cellStyle name="Normal 14 2 2 2 3 7 2" xfId="9654"/>
    <cellStyle name="Normal 14 2 2 2 3 7 2 2" xfId="26934"/>
    <cellStyle name="Normal 14 2 2 2 3 7 3" xfId="15414"/>
    <cellStyle name="Normal 14 2 2 2 3 7 3 2" xfId="32694"/>
    <cellStyle name="Normal 14 2 2 2 3 7 4" xfId="21174"/>
    <cellStyle name="Normal 14 2 2 2 3 8" xfId="6774"/>
    <cellStyle name="Normal 14 2 2 2 3 8 2" xfId="24054"/>
    <cellStyle name="Normal 14 2 2 2 3 9" xfId="12534"/>
    <cellStyle name="Normal 14 2 2 2 3 9 2" xfId="29814"/>
    <cellStyle name="Normal 14 2 2 2 4" xfId="1094"/>
    <cellStyle name="Normal 14 2 2 2 4 2" xfId="1334"/>
    <cellStyle name="Normal 14 2 2 2 4 2 2" xfId="2054"/>
    <cellStyle name="Normal 14 2 2 2 4 2 2 2" xfId="3494"/>
    <cellStyle name="Normal 14 2 2 2 4 2 2 2 2" xfId="6374"/>
    <cellStyle name="Normal 14 2 2 2 4 2 2 2 2 2" xfId="12134"/>
    <cellStyle name="Normal 14 2 2 2 4 2 2 2 2 2 2" xfId="29414"/>
    <cellStyle name="Normal 14 2 2 2 4 2 2 2 2 3" xfId="17894"/>
    <cellStyle name="Normal 14 2 2 2 4 2 2 2 2 3 2" xfId="35174"/>
    <cellStyle name="Normal 14 2 2 2 4 2 2 2 2 4" xfId="23654"/>
    <cellStyle name="Normal 14 2 2 2 4 2 2 2 3" xfId="9254"/>
    <cellStyle name="Normal 14 2 2 2 4 2 2 2 3 2" xfId="26534"/>
    <cellStyle name="Normal 14 2 2 2 4 2 2 2 4" xfId="15014"/>
    <cellStyle name="Normal 14 2 2 2 4 2 2 2 4 2" xfId="32294"/>
    <cellStyle name="Normal 14 2 2 2 4 2 2 2 5" xfId="20774"/>
    <cellStyle name="Normal 14 2 2 2 4 2 2 3" xfId="4934"/>
    <cellStyle name="Normal 14 2 2 2 4 2 2 3 2" xfId="10694"/>
    <cellStyle name="Normal 14 2 2 2 4 2 2 3 2 2" xfId="27974"/>
    <cellStyle name="Normal 14 2 2 2 4 2 2 3 3" xfId="16454"/>
    <cellStyle name="Normal 14 2 2 2 4 2 2 3 3 2" xfId="33734"/>
    <cellStyle name="Normal 14 2 2 2 4 2 2 3 4" xfId="22214"/>
    <cellStyle name="Normal 14 2 2 2 4 2 2 4" xfId="7814"/>
    <cellStyle name="Normal 14 2 2 2 4 2 2 4 2" xfId="25094"/>
    <cellStyle name="Normal 14 2 2 2 4 2 2 5" xfId="13574"/>
    <cellStyle name="Normal 14 2 2 2 4 2 2 5 2" xfId="30854"/>
    <cellStyle name="Normal 14 2 2 2 4 2 2 6" xfId="19334"/>
    <cellStyle name="Normal 14 2 2 2 4 2 3" xfId="2774"/>
    <cellStyle name="Normal 14 2 2 2 4 2 3 2" xfId="5654"/>
    <cellStyle name="Normal 14 2 2 2 4 2 3 2 2" xfId="11414"/>
    <cellStyle name="Normal 14 2 2 2 4 2 3 2 2 2" xfId="28694"/>
    <cellStyle name="Normal 14 2 2 2 4 2 3 2 3" xfId="17174"/>
    <cellStyle name="Normal 14 2 2 2 4 2 3 2 3 2" xfId="34454"/>
    <cellStyle name="Normal 14 2 2 2 4 2 3 2 4" xfId="22934"/>
    <cellStyle name="Normal 14 2 2 2 4 2 3 3" xfId="8534"/>
    <cellStyle name="Normal 14 2 2 2 4 2 3 3 2" xfId="25814"/>
    <cellStyle name="Normal 14 2 2 2 4 2 3 4" xfId="14294"/>
    <cellStyle name="Normal 14 2 2 2 4 2 3 4 2" xfId="31574"/>
    <cellStyle name="Normal 14 2 2 2 4 2 3 5" xfId="20054"/>
    <cellStyle name="Normal 14 2 2 2 4 2 4" xfId="4214"/>
    <cellStyle name="Normal 14 2 2 2 4 2 4 2" xfId="9974"/>
    <cellStyle name="Normal 14 2 2 2 4 2 4 2 2" xfId="27254"/>
    <cellStyle name="Normal 14 2 2 2 4 2 4 3" xfId="15734"/>
    <cellStyle name="Normal 14 2 2 2 4 2 4 3 2" xfId="33014"/>
    <cellStyle name="Normal 14 2 2 2 4 2 4 4" xfId="21494"/>
    <cellStyle name="Normal 14 2 2 2 4 2 5" xfId="7094"/>
    <cellStyle name="Normal 14 2 2 2 4 2 5 2" xfId="24374"/>
    <cellStyle name="Normal 14 2 2 2 4 2 6" xfId="12854"/>
    <cellStyle name="Normal 14 2 2 2 4 2 6 2" xfId="30134"/>
    <cellStyle name="Normal 14 2 2 2 4 2 7" xfId="18614"/>
    <cellStyle name="Normal 14 2 2 2 4 3" xfId="1574"/>
    <cellStyle name="Normal 14 2 2 2 4 3 2" xfId="2294"/>
    <cellStyle name="Normal 14 2 2 2 4 3 2 2" xfId="3734"/>
    <cellStyle name="Normal 14 2 2 2 4 3 2 2 2" xfId="6614"/>
    <cellStyle name="Normal 14 2 2 2 4 3 2 2 2 2" xfId="12374"/>
    <cellStyle name="Normal 14 2 2 2 4 3 2 2 2 2 2" xfId="29654"/>
    <cellStyle name="Normal 14 2 2 2 4 3 2 2 2 3" xfId="18134"/>
    <cellStyle name="Normal 14 2 2 2 4 3 2 2 2 3 2" xfId="35414"/>
    <cellStyle name="Normal 14 2 2 2 4 3 2 2 2 4" xfId="23894"/>
    <cellStyle name="Normal 14 2 2 2 4 3 2 2 3" xfId="9494"/>
    <cellStyle name="Normal 14 2 2 2 4 3 2 2 3 2" xfId="26774"/>
    <cellStyle name="Normal 14 2 2 2 4 3 2 2 4" xfId="15254"/>
    <cellStyle name="Normal 14 2 2 2 4 3 2 2 4 2" xfId="32534"/>
    <cellStyle name="Normal 14 2 2 2 4 3 2 2 5" xfId="21014"/>
    <cellStyle name="Normal 14 2 2 2 4 3 2 3" xfId="5174"/>
    <cellStyle name="Normal 14 2 2 2 4 3 2 3 2" xfId="10934"/>
    <cellStyle name="Normal 14 2 2 2 4 3 2 3 2 2" xfId="28214"/>
    <cellStyle name="Normal 14 2 2 2 4 3 2 3 3" xfId="16694"/>
    <cellStyle name="Normal 14 2 2 2 4 3 2 3 3 2" xfId="33974"/>
    <cellStyle name="Normal 14 2 2 2 4 3 2 3 4" xfId="22454"/>
    <cellStyle name="Normal 14 2 2 2 4 3 2 4" xfId="8054"/>
    <cellStyle name="Normal 14 2 2 2 4 3 2 4 2" xfId="25334"/>
    <cellStyle name="Normal 14 2 2 2 4 3 2 5" xfId="13814"/>
    <cellStyle name="Normal 14 2 2 2 4 3 2 5 2" xfId="31094"/>
    <cellStyle name="Normal 14 2 2 2 4 3 2 6" xfId="19574"/>
    <cellStyle name="Normal 14 2 2 2 4 3 3" xfId="3014"/>
    <cellStyle name="Normal 14 2 2 2 4 3 3 2" xfId="5894"/>
    <cellStyle name="Normal 14 2 2 2 4 3 3 2 2" xfId="11654"/>
    <cellStyle name="Normal 14 2 2 2 4 3 3 2 2 2" xfId="28934"/>
    <cellStyle name="Normal 14 2 2 2 4 3 3 2 3" xfId="17414"/>
    <cellStyle name="Normal 14 2 2 2 4 3 3 2 3 2" xfId="34694"/>
    <cellStyle name="Normal 14 2 2 2 4 3 3 2 4" xfId="23174"/>
    <cellStyle name="Normal 14 2 2 2 4 3 3 3" xfId="8774"/>
    <cellStyle name="Normal 14 2 2 2 4 3 3 3 2" xfId="26054"/>
    <cellStyle name="Normal 14 2 2 2 4 3 3 4" xfId="14534"/>
    <cellStyle name="Normal 14 2 2 2 4 3 3 4 2" xfId="31814"/>
    <cellStyle name="Normal 14 2 2 2 4 3 3 5" xfId="20294"/>
    <cellStyle name="Normal 14 2 2 2 4 3 4" xfId="4454"/>
    <cellStyle name="Normal 14 2 2 2 4 3 4 2" xfId="10214"/>
    <cellStyle name="Normal 14 2 2 2 4 3 4 2 2" xfId="27494"/>
    <cellStyle name="Normal 14 2 2 2 4 3 4 3" xfId="15974"/>
    <cellStyle name="Normal 14 2 2 2 4 3 4 3 2" xfId="33254"/>
    <cellStyle name="Normal 14 2 2 2 4 3 4 4" xfId="21734"/>
    <cellStyle name="Normal 14 2 2 2 4 3 5" xfId="7334"/>
    <cellStyle name="Normal 14 2 2 2 4 3 5 2" xfId="24614"/>
    <cellStyle name="Normal 14 2 2 2 4 3 6" xfId="13094"/>
    <cellStyle name="Normal 14 2 2 2 4 3 6 2" xfId="30374"/>
    <cellStyle name="Normal 14 2 2 2 4 3 7" xfId="18854"/>
    <cellStyle name="Normal 14 2 2 2 4 4" xfId="1814"/>
    <cellStyle name="Normal 14 2 2 2 4 4 2" xfId="3254"/>
    <cellStyle name="Normal 14 2 2 2 4 4 2 2" xfId="6134"/>
    <cellStyle name="Normal 14 2 2 2 4 4 2 2 2" xfId="11894"/>
    <cellStyle name="Normal 14 2 2 2 4 4 2 2 2 2" xfId="29174"/>
    <cellStyle name="Normal 14 2 2 2 4 4 2 2 3" xfId="17654"/>
    <cellStyle name="Normal 14 2 2 2 4 4 2 2 3 2" xfId="34934"/>
    <cellStyle name="Normal 14 2 2 2 4 4 2 2 4" xfId="23414"/>
    <cellStyle name="Normal 14 2 2 2 4 4 2 3" xfId="9014"/>
    <cellStyle name="Normal 14 2 2 2 4 4 2 3 2" xfId="26294"/>
    <cellStyle name="Normal 14 2 2 2 4 4 2 4" xfId="14774"/>
    <cellStyle name="Normal 14 2 2 2 4 4 2 4 2" xfId="32054"/>
    <cellStyle name="Normal 14 2 2 2 4 4 2 5" xfId="20534"/>
    <cellStyle name="Normal 14 2 2 2 4 4 3" xfId="4694"/>
    <cellStyle name="Normal 14 2 2 2 4 4 3 2" xfId="10454"/>
    <cellStyle name="Normal 14 2 2 2 4 4 3 2 2" xfId="27734"/>
    <cellStyle name="Normal 14 2 2 2 4 4 3 3" xfId="16214"/>
    <cellStyle name="Normal 14 2 2 2 4 4 3 3 2" xfId="33494"/>
    <cellStyle name="Normal 14 2 2 2 4 4 3 4" xfId="21974"/>
    <cellStyle name="Normal 14 2 2 2 4 4 4" xfId="7574"/>
    <cellStyle name="Normal 14 2 2 2 4 4 4 2" xfId="24854"/>
    <cellStyle name="Normal 14 2 2 2 4 4 5" xfId="13334"/>
    <cellStyle name="Normal 14 2 2 2 4 4 5 2" xfId="30614"/>
    <cellStyle name="Normal 14 2 2 2 4 4 6" xfId="19094"/>
    <cellStyle name="Normal 14 2 2 2 4 5" xfId="2534"/>
    <cellStyle name="Normal 14 2 2 2 4 5 2" xfId="5414"/>
    <cellStyle name="Normal 14 2 2 2 4 5 2 2" xfId="11174"/>
    <cellStyle name="Normal 14 2 2 2 4 5 2 2 2" xfId="28454"/>
    <cellStyle name="Normal 14 2 2 2 4 5 2 3" xfId="16934"/>
    <cellStyle name="Normal 14 2 2 2 4 5 2 3 2" xfId="34214"/>
    <cellStyle name="Normal 14 2 2 2 4 5 2 4" xfId="22694"/>
    <cellStyle name="Normal 14 2 2 2 4 5 3" xfId="8294"/>
    <cellStyle name="Normal 14 2 2 2 4 5 3 2" xfId="25574"/>
    <cellStyle name="Normal 14 2 2 2 4 5 4" xfId="14054"/>
    <cellStyle name="Normal 14 2 2 2 4 5 4 2" xfId="31334"/>
    <cellStyle name="Normal 14 2 2 2 4 5 5" xfId="19814"/>
    <cellStyle name="Normal 14 2 2 2 4 6" xfId="3974"/>
    <cellStyle name="Normal 14 2 2 2 4 6 2" xfId="9734"/>
    <cellStyle name="Normal 14 2 2 2 4 6 2 2" xfId="27014"/>
    <cellStyle name="Normal 14 2 2 2 4 6 3" xfId="15494"/>
    <cellStyle name="Normal 14 2 2 2 4 6 3 2" xfId="32774"/>
    <cellStyle name="Normal 14 2 2 2 4 6 4" xfId="21254"/>
    <cellStyle name="Normal 14 2 2 2 4 7" xfId="6854"/>
    <cellStyle name="Normal 14 2 2 2 4 7 2" xfId="24134"/>
    <cellStyle name="Normal 14 2 2 2 4 8" xfId="12614"/>
    <cellStyle name="Normal 14 2 2 2 4 8 2" xfId="29894"/>
    <cellStyle name="Normal 14 2 2 2 4 9" xfId="18374"/>
    <cellStyle name="Normal 14 2 2 2 5" xfId="1214"/>
    <cellStyle name="Normal 14 2 2 2 5 2" xfId="1934"/>
    <cellStyle name="Normal 14 2 2 2 5 2 2" xfId="3374"/>
    <cellStyle name="Normal 14 2 2 2 5 2 2 2" xfId="6254"/>
    <cellStyle name="Normal 14 2 2 2 5 2 2 2 2" xfId="12014"/>
    <cellStyle name="Normal 14 2 2 2 5 2 2 2 2 2" xfId="29294"/>
    <cellStyle name="Normal 14 2 2 2 5 2 2 2 3" xfId="17774"/>
    <cellStyle name="Normal 14 2 2 2 5 2 2 2 3 2" xfId="35054"/>
    <cellStyle name="Normal 14 2 2 2 5 2 2 2 4" xfId="23534"/>
    <cellStyle name="Normal 14 2 2 2 5 2 2 3" xfId="9134"/>
    <cellStyle name="Normal 14 2 2 2 5 2 2 3 2" xfId="26414"/>
    <cellStyle name="Normal 14 2 2 2 5 2 2 4" xfId="14894"/>
    <cellStyle name="Normal 14 2 2 2 5 2 2 4 2" xfId="32174"/>
    <cellStyle name="Normal 14 2 2 2 5 2 2 5" xfId="20654"/>
    <cellStyle name="Normal 14 2 2 2 5 2 3" xfId="4814"/>
    <cellStyle name="Normal 14 2 2 2 5 2 3 2" xfId="10574"/>
    <cellStyle name="Normal 14 2 2 2 5 2 3 2 2" xfId="27854"/>
    <cellStyle name="Normal 14 2 2 2 5 2 3 3" xfId="16334"/>
    <cellStyle name="Normal 14 2 2 2 5 2 3 3 2" xfId="33614"/>
    <cellStyle name="Normal 14 2 2 2 5 2 3 4" xfId="22094"/>
    <cellStyle name="Normal 14 2 2 2 5 2 4" xfId="7694"/>
    <cellStyle name="Normal 14 2 2 2 5 2 4 2" xfId="24974"/>
    <cellStyle name="Normal 14 2 2 2 5 2 5" xfId="13454"/>
    <cellStyle name="Normal 14 2 2 2 5 2 5 2" xfId="30734"/>
    <cellStyle name="Normal 14 2 2 2 5 2 6" xfId="19214"/>
    <cellStyle name="Normal 14 2 2 2 5 3" xfId="2654"/>
    <cellStyle name="Normal 14 2 2 2 5 3 2" xfId="5534"/>
    <cellStyle name="Normal 14 2 2 2 5 3 2 2" xfId="11294"/>
    <cellStyle name="Normal 14 2 2 2 5 3 2 2 2" xfId="28574"/>
    <cellStyle name="Normal 14 2 2 2 5 3 2 3" xfId="17054"/>
    <cellStyle name="Normal 14 2 2 2 5 3 2 3 2" xfId="34334"/>
    <cellStyle name="Normal 14 2 2 2 5 3 2 4" xfId="22814"/>
    <cellStyle name="Normal 14 2 2 2 5 3 3" xfId="8414"/>
    <cellStyle name="Normal 14 2 2 2 5 3 3 2" xfId="25694"/>
    <cellStyle name="Normal 14 2 2 2 5 3 4" xfId="14174"/>
    <cellStyle name="Normal 14 2 2 2 5 3 4 2" xfId="31454"/>
    <cellStyle name="Normal 14 2 2 2 5 3 5" xfId="19934"/>
    <cellStyle name="Normal 14 2 2 2 5 4" xfId="4094"/>
    <cellStyle name="Normal 14 2 2 2 5 4 2" xfId="9854"/>
    <cellStyle name="Normal 14 2 2 2 5 4 2 2" xfId="27134"/>
    <cellStyle name="Normal 14 2 2 2 5 4 3" xfId="15614"/>
    <cellStyle name="Normal 14 2 2 2 5 4 3 2" xfId="32894"/>
    <cellStyle name="Normal 14 2 2 2 5 4 4" xfId="21374"/>
    <cellStyle name="Normal 14 2 2 2 5 5" xfId="6974"/>
    <cellStyle name="Normal 14 2 2 2 5 5 2" xfId="24254"/>
    <cellStyle name="Normal 14 2 2 2 5 6" xfId="12734"/>
    <cellStyle name="Normal 14 2 2 2 5 6 2" xfId="30014"/>
    <cellStyle name="Normal 14 2 2 2 5 7" xfId="18494"/>
    <cellStyle name="Normal 14 2 2 2 6" xfId="1454"/>
    <cellStyle name="Normal 14 2 2 2 6 2" xfId="2174"/>
    <cellStyle name="Normal 14 2 2 2 6 2 2" xfId="3614"/>
    <cellStyle name="Normal 14 2 2 2 6 2 2 2" xfId="6494"/>
    <cellStyle name="Normal 14 2 2 2 6 2 2 2 2" xfId="12254"/>
    <cellStyle name="Normal 14 2 2 2 6 2 2 2 2 2" xfId="29534"/>
    <cellStyle name="Normal 14 2 2 2 6 2 2 2 3" xfId="18014"/>
    <cellStyle name="Normal 14 2 2 2 6 2 2 2 3 2" xfId="35294"/>
    <cellStyle name="Normal 14 2 2 2 6 2 2 2 4" xfId="23774"/>
    <cellStyle name="Normal 14 2 2 2 6 2 2 3" xfId="9374"/>
    <cellStyle name="Normal 14 2 2 2 6 2 2 3 2" xfId="26654"/>
    <cellStyle name="Normal 14 2 2 2 6 2 2 4" xfId="15134"/>
    <cellStyle name="Normal 14 2 2 2 6 2 2 4 2" xfId="32414"/>
    <cellStyle name="Normal 14 2 2 2 6 2 2 5" xfId="20894"/>
    <cellStyle name="Normal 14 2 2 2 6 2 3" xfId="5054"/>
    <cellStyle name="Normal 14 2 2 2 6 2 3 2" xfId="10814"/>
    <cellStyle name="Normal 14 2 2 2 6 2 3 2 2" xfId="28094"/>
    <cellStyle name="Normal 14 2 2 2 6 2 3 3" xfId="16574"/>
    <cellStyle name="Normal 14 2 2 2 6 2 3 3 2" xfId="33854"/>
    <cellStyle name="Normal 14 2 2 2 6 2 3 4" xfId="22334"/>
    <cellStyle name="Normal 14 2 2 2 6 2 4" xfId="7934"/>
    <cellStyle name="Normal 14 2 2 2 6 2 4 2" xfId="25214"/>
    <cellStyle name="Normal 14 2 2 2 6 2 5" xfId="13694"/>
    <cellStyle name="Normal 14 2 2 2 6 2 5 2" xfId="30974"/>
    <cellStyle name="Normal 14 2 2 2 6 2 6" xfId="19454"/>
    <cellStyle name="Normal 14 2 2 2 6 3" xfId="2894"/>
    <cellStyle name="Normal 14 2 2 2 6 3 2" xfId="5774"/>
    <cellStyle name="Normal 14 2 2 2 6 3 2 2" xfId="11534"/>
    <cellStyle name="Normal 14 2 2 2 6 3 2 2 2" xfId="28814"/>
    <cellStyle name="Normal 14 2 2 2 6 3 2 3" xfId="17294"/>
    <cellStyle name="Normal 14 2 2 2 6 3 2 3 2" xfId="34574"/>
    <cellStyle name="Normal 14 2 2 2 6 3 2 4" xfId="23054"/>
    <cellStyle name="Normal 14 2 2 2 6 3 3" xfId="8654"/>
    <cellStyle name="Normal 14 2 2 2 6 3 3 2" xfId="25934"/>
    <cellStyle name="Normal 14 2 2 2 6 3 4" xfId="14414"/>
    <cellStyle name="Normal 14 2 2 2 6 3 4 2" xfId="31694"/>
    <cellStyle name="Normal 14 2 2 2 6 3 5" xfId="20174"/>
    <cellStyle name="Normal 14 2 2 2 6 4" xfId="4334"/>
    <cellStyle name="Normal 14 2 2 2 6 4 2" xfId="10094"/>
    <cellStyle name="Normal 14 2 2 2 6 4 2 2" xfId="27374"/>
    <cellStyle name="Normal 14 2 2 2 6 4 3" xfId="15854"/>
    <cellStyle name="Normal 14 2 2 2 6 4 3 2" xfId="33134"/>
    <cellStyle name="Normal 14 2 2 2 6 4 4" xfId="21614"/>
    <cellStyle name="Normal 14 2 2 2 6 5" xfId="7214"/>
    <cellStyle name="Normal 14 2 2 2 6 5 2" xfId="24494"/>
    <cellStyle name="Normal 14 2 2 2 6 6" xfId="12974"/>
    <cellStyle name="Normal 14 2 2 2 6 6 2" xfId="30254"/>
    <cellStyle name="Normal 14 2 2 2 6 7" xfId="18734"/>
    <cellStyle name="Normal 14 2 2 2 7" xfId="1694"/>
    <cellStyle name="Normal 14 2 2 2 7 2" xfId="3134"/>
    <cellStyle name="Normal 14 2 2 2 7 2 2" xfId="6014"/>
    <cellStyle name="Normal 14 2 2 2 7 2 2 2" xfId="11774"/>
    <cellStyle name="Normal 14 2 2 2 7 2 2 2 2" xfId="29054"/>
    <cellStyle name="Normal 14 2 2 2 7 2 2 3" xfId="17534"/>
    <cellStyle name="Normal 14 2 2 2 7 2 2 3 2" xfId="34814"/>
    <cellStyle name="Normal 14 2 2 2 7 2 2 4" xfId="23294"/>
    <cellStyle name="Normal 14 2 2 2 7 2 3" xfId="8894"/>
    <cellStyle name="Normal 14 2 2 2 7 2 3 2" xfId="26174"/>
    <cellStyle name="Normal 14 2 2 2 7 2 4" xfId="14654"/>
    <cellStyle name="Normal 14 2 2 2 7 2 4 2" xfId="31934"/>
    <cellStyle name="Normal 14 2 2 2 7 2 5" xfId="20414"/>
    <cellStyle name="Normal 14 2 2 2 7 3" xfId="4574"/>
    <cellStyle name="Normal 14 2 2 2 7 3 2" xfId="10334"/>
    <cellStyle name="Normal 14 2 2 2 7 3 2 2" xfId="27614"/>
    <cellStyle name="Normal 14 2 2 2 7 3 3" xfId="16094"/>
    <cellStyle name="Normal 14 2 2 2 7 3 3 2" xfId="33374"/>
    <cellStyle name="Normal 14 2 2 2 7 3 4" xfId="21854"/>
    <cellStyle name="Normal 14 2 2 2 7 4" xfId="7454"/>
    <cellStyle name="Normal 14 2 2 2 7 4 2" xfId="24734"/>
    <cellStyle name="Normal 14 2 2 2 7 5" xfId="13214"/>
    <cellStyle name="Normal 14 2 2 2 7 5 2" xfId="30494"/>
    <cellStyle name="Normal 14 2 2 2 7 6" xfId="18974"/>
    <cellStyle name="Normal 14 2 2 2 8" xfId="2414"/>
    <cellStyle name="Normal 14 2 2 2 8 2" xfId="5294"/>
    <cellStyle name="Normal 14 2 2 2 8 2 2" xfId="11054"/>
    <cellStyle name="Normal 14 2 2 2 8 2 2 2" xfId="28334"/>
    <cellStyle name="Normal 14 2 2 2 8 2 3" xfId="16814"/>
    <cellStyle name="Normal 14 2 2 2 8 2 3 2" xfId="34094"/>
    <cellStyle name="Normal 14 2 2 2 8 2 4" xfId="22574"/>
    <cellStyle name="Normal 14 2 2 2 8 3" xfId="8174"/>
    <cellStyle name="Normal 14 2 2 2 8 3 2" xfId="25454"/>
    <cellStyle name="Normal 14 2 2 2 8 4" xfId="13934"/>
    <cellStyle name="Normal 14 2 2 2 8 4 2" xfId="31214"/>
    <cellStyle name="Normal 14 2 2 2 8 5" xfId="19694"/>
    <cellStyle name="Normal 14 2 2 2 9" xfId="3854"/>
    <cellStyle name="Normal 14 2 2 2 9 2" xfId="9614"/>
    <cellStyle name="Normal 14 2 2 2 9 2 2" xfId="26894"/>
    <cellStyle name="Normal 14 2 2 2 9 3" xfId="15374"/>
    <cellStyle name="Normal 14 2 2 2 9 3 2" xfId="32654"/>
    <cellStyle name="Normal 14 2 2 2 9 4" xfId="21134"/>
    <cellStyle name="Normal 14 2 2 3" xfId="1034"/>
    <cellStyle name="Normal 14 2 2 3 10" xfId="18314"/>
    <cellStyle name="Normal 14 2 2 3 2" xfId="1154"/>
    <cellStyle name="Normal 14 2 2 3 2 2" xfId="1394"/>
    <cellStyle name="Normal 14 2 2 3 2 2 2" xfId="2114"/>
    <cellStyle name="Normal 14 2 2 3 2 2 2 2" xfId="3554"/>
    <cellStyle name="Normal 14 2 2 3 2 2 2 2 2" xfId="6434"/>
    <cellStyle name="Normal 14 2 2 3 2 2 2 2 2 2" xfId="12194"/>
    <cellStyle name="Normal 14 2 2 3 2 2 2 2 2 2 2" xfId="29474"/>
    <cellStyle name="Normal 14 2 2 3 2 2 2 2 2 3" xfId="17954"/>
    <cellStyle name="Normal 14 2 2 3 2 2 2 2 2 3 2" xfId="35234"/>
    <cellStyle name="Normal 14 2 2 3 2 2 2 2 2 4" xfId="23714"/>
    <cellStyle name="Normal 14 2 2 3 2 2 2 2 3" xfId="9314"/>
    <cellStyle name="Normal 14 2 2 3 2 2 2 2 3 2" xfId="26594"/>
    <cellStyle name="Normal 14 2 2 3 2 2 2 2 4" xfId="15074"/>
    <cellStyle name="Normal 14 2 2 3 2 2 2 2 4 2" xfId="32354"/>
    <cellStyle name="Normal 14 2 2 3 2 2 2 2 5" xfId="20834"/>
    <cellStyle name="Normal 14 2 2 3 2 2 2 3" xfId="4994"/>
    <cellStyle name="Normal 14 2 2 3 2 2 2 3 2" xfId="10754"/>
    <cellStyle name="Normal 14 2 2 3 2 2 2 3 2 2" xfId="28034"/>
    <cellStyle name="Normal 14 2 2 3 2 2 2 3 3" xfId="16514"/>
    <cellStyle name="Normal 14 2 2 3 2 2 2 3 3 2" xfId="33794"/>
    <cellStyle name="Normal 14 2 2 3 2 2 2 3 4" xfId="22274"/>
    <cellStyle name="Normal 14 2 2 3 2 2 2 4" xfId="7874"/>
    <cellStyle name="Normal 14 2 2 3 2 2 2 4 2" xfId="25154"/>
    <cellStyle name="Normal 14 2 2 3 2 2 2 5" xfId="13634"/>
    <cellStyle name="Normal 14 2 2 3 2 2 2 5 2" xfId="30914"/>
    <cellStyle name="Normal 14 2 2 3 2 2 2 6" xfId="19394"/>
    <cellStyle name="Normal 14 2 2 3 2 2 3" xfId="2834"/>
    <cellStyle name="Normal 14 2 2 3 2 2 3 2" xfId="5714"/>
    <cellStyle name="Normal 14 2 2 3 2 2 3 2 2" xfId="11474"/>
    <cellStyle name="Normal 14 2 2 3 2 2 3 2 2 2" xfId="28754"/>
    <cellStyle name="Normal 14 2 2 3 2 2 3 2 3" xfId="17234"/>
    <cellStyle name="Normal 14 2 2 3 2 2 3 2 3 2" xfId="34514"/>
    <cellStyle name="Normal 14 2 2 3 2 2 3 2 4" xfId="22994"/>
    <cellStyle name="Normal 14 2 2 3 2 2 3 3" xfId="8594"/>
    <cellStyle name="Normal 14 2 2 3 2 2 3 3 2" xfId="25874"/>
    <cellStyle name="Normal 14 2 2 3 2 2 3 4" xfId="14354"/>
    <cellStyle name="Normal 14 2 2 3 2 2 3 4 2" xfId="31634"/>
    <cellStyle name="Normal 14 2 2 3 2 2 3 5" xfId="20114"/>
    <cellStyle name="Normal 14 2 2 3 2 2 4" xfId="4274"/>
    <cellStyle name="Normal 14 2 2 3 2 2 4 2" xfId="10034"/>
    <cellStyle name="Normal 14 2 2 3 2 2 4 2 2" xfId="27314"/>
    <cellStyle name="Normal 14 2 2 3 2 2 4 3" xfId="15794"/>
    <cellStyle name="Normal 14 2 2 3 2 2 4 3 2" xfId="33074"/>
    <cellStyle name="Normal 14 2 2 3 2 2 4 4" xfId="21554"/>
    <cellStyle name="Normal 14 2 2 3 2 2 5" xfId="7154"/>
    <cellStyle name="Normal 14 2 2 3 2 2 5 2" xfId="24434"/>
    <cellStyle name="Normal 14 2 2 3 2 2 6" xfId="12914"/>
    <cellStyle name="Normal 14 2 2 3 2 2 6 2" xfId="30194"/>
    <cellStyle name="Normal 14 2 2 3 2 2 7" xfId="18674"/>
    <cellStyle name="Normal 14 2 2 3 2 3" xfId="1634"/>
    <cellStyle name="Normal 14 2 2 3 2 3 2" xfId="2354"/>
    <cellStyle name="Normal 14 2 2 3 2 3 2 2" xfId="3794"/>
    <cellStyle name="Normal 14 2 2 3 2 3 2 2 2" xfId="6674"/>
    <cellStyle name="Normal 14 2 2 3 2 3 2 2 2 2" xfId="12434"/>
    <cellStyle name="Normal 14 2 2 3 2 3 2 2 2 2 2" xfId="29714"/>
    <cellStyle name="Normal 14 2 2 3 2 3 2 2 2 3" xfId="18194"/>
    <cellStyle name="Normal 14 2 2 3 2 3 2 2 2 3 2" xfId="35474"/>
    <cellStyle name="Normal 14 2 2 3 2 3 2 2 2 4" xfId="23954"/>
    <cellStyle name="Normal 14 2 2 3 2 3 2 2 3" xfId="9554"/>
    <cellStyle name="Normal 14 2 2 3 2 3 2 2 3 2" xfId="26834"/>
    <cellStyle name="Normal 14 2 2 3 2 3 2 2 4" xfId="15314"/>
    <cellStyle name="Normal 14 2 2 3 2 3 2 2 4 2" xfId="32594"/>
    <cellStyle name="Normal 14 2 2 3 2 3 2 2 5" xfId="21074"/>
    <cellStyle name="Normal 14 2 2 3 2 3 2 3" xfId="5234"/>
    <cellStyle name="Normal 14 2 2 3 2 3 2 3 2" xfId="10994"/>
    <cellStyle name="Normal 14 2 2 3 2 3 2 3 2 2" xfId="28274"/>
    <cellStyle name="Normal 14 2 2 3 2 3 2 3 3" xfId="16754"/>
    <cellStyle name="Normal 14 2 2 3 2 3 2 3 3 2" xfId="34034"/>
    <cellStyle name="Normal 14 2 2 3 2 3 2 3 4" xfId="22514"/>
    <cellStyle name="Normal 14 2 2 3 2 3 2 4" xfId="8114"/>
    <cellStyle name="Normal 14 2 2 3 2 3 2 4 2" xfId="25394"/>
    <cellStyle name="Normal 14 2 2 3 2 3 2 5" xfId="13874"/>
    <cellStyle name="Normal 14 2 2 3 2 3 2 5 2" xfId="31154"/>
    <cellStyle name="Normal 14 2 2 3 2 3 2 6" xfId="19634"/>
    <cellStyle name="Normal 14 2 2 3 2 3 3" xfId="3074"/>
    <cellStyle name="Normal 14 2 2 3 2 3 3 2" xfId="5954"/>
    <cellStyle name="Normal 14 2 2 3 2 3 3 2 2" xfId="11714"/>
    <cellStyle name="Normal 14 2 2 3 2 3 3 2 2 2" xfId="28994"/>
    <cellStyle name="Normal 14 2 2 3 2 3 3 2 3" xfId="17474"/>
    <cellStyle name="Normal 14 2 2 3 2 3 3 2 3 2" xfId="34754"/>
    <cellStyle name="Normal 14 2 2 3 2 3 3 2 4" xfId="23234"/>
    <cellStyle name="Normal 14 2 2 3 2 3 3 3" xfId="8834"/>
    <cellStyle name="Normal 14 2 2 3 2 3 3 3 2" xfId="26114"/>
    <cellStyle name="Normal 14 2 2 3 2 3 3 4" xfId="14594"/>
    <cellStyle name="Normal 14 2 2 3 2 3 3 4 2" xfId="31874"/>
    <cellStyle name="Normal 14 2 2 3 2 3 3 5" xfId="20354"/>
    <cellStyle name="Normal 14 2 2 3 2 3 4" xfId="4514"/>
    <cellStyle name="Normal 14 2 2 3 2 3 4 2" xfId="10274"/>
    <cellStyle name="Normal 14 2 2 3 2 3 4 2 2" xfId="27554"/>
    <cellStyle name="Normal 14 2 2 3 2 3 4 3" xfId="16034"/>
    <cellStyle name="Normal 14 2 2 3 2 3 4 3 2" xfId="33314"/>
    <cellStyle name="Normal 14 2 2 3 2 3 4 4" xfId="21794"/>
    <cellStyle name="Normal 14 2 2 3 2 3 5" xfId="7394"/>
    <cellStyle name="Normal 14 2 2 3 2 3 5 2" xfId="24674"/>
    <cellStyle name="Normal 14 2 2 3 2 3 6" xfId="13154"/>
    <cellStyle name="Normal 14 2 2 3 2 3 6 2" xfId="30434"/>
    <cellStyle name="Normal 14 2 2 3 2 3 7" xfId="18914"/>
    <cellStyle name="Normal 14 2 2 3 2 4" xfId="1874"/>
    <cellStyle name="Normal 14 2 2 3 2 4 2" xfId="3314"/>
    <cellStyle name="Normal 14 2 2 3 2 4 2 2" xfId="6194"/>
    <cellStyle name="Normal 14 2 2 3 2 4 2 2 2" xfId="11954"/>
    <cellStyle name="Normal 14 2 2 3 2 4 2 2 2 2" xfId="29234"/>
    <cellStyle name="Normal 14 2 2 3 2 4 2 2 3" xfId="17714"/>
    <cellStyle name="Normal 14 2 2 3 2 4 2 2 3 2" xfId="34994"/>
    <cellStyle name="Normal 14 2 2 3 2 4 2 2 4" xfId="23474"/>
    <cellStyle name="Normal 14 2 2 3 2 4 2 3" xfId="9074"/>
    <cellStyle name="Normal 14 2 2 3 2 4 2 3 2" xfId="26354"/>
    <cellStyle name="Normal 14 2 2 3 2 4 2 4" xfId="14834"/>
    <cellStyle name="Normal 14 2 2 3 2 4 2 4 2" xfId="32114"/>
    <cellStyle name="Normal 14 2 2 3 2 4 2 5" xfId="20594"/>
    <cellStyle name="Normal 14 2 2 3 2 4 3" xfId="4754"/>
    <cellStyle name="Normal 14 2 2 3 2 4 3 2" xfId="10514"/>
    <cellStyle name="Normal 14 2 2 3 2 4 3 2 2" xfId="27794"/>
    <cellStyle name="Normal 14 2 2 3 2 4 3 3" xfId="16274"/>
    <cellStyle name="Normal 14 2 2 3 2 4 3 3 2" xfId="33554"/>
    <cellStyle name="Normal 14 2 2 3 2 4 3 4" xfId="22034"/>
    <cellStyle name="Normal 14 2 2 3 2 4 4" xfId="7634"/>
    <cellStyle name="Normal 14 2 2 3 2 4 4 2" xfId="24914"/>
    <cellStyle name="Normal 14 2 2 3 2 4 5" xfId="13394"/>
    <cellStyle name="Normal 14 2 2 3 2 4 5 2" xfId="30674"/>
    <cellStyle name="Normal 14 2 2 3 2 4 6" xfId="19154"/>
    <cellStyle name="Normal 14 2 2 3 2 5" xfId="2594"/>
    <cellStyle name="Normal 14 2 2 3 2 5 2" xfId="5474"/>
    <cellStyle name="Normal 14 2 2 3 2 5 2 2" xfId="11234"/>
    <cellStyle name="Normal 14 2 2 3 2 5 2 2 2" xfId="28514"/>
    <cellStyle name="Normal 14 2 2 3 2 5 2 3" xfId="16994"/>
    <cellStyle name="Normal 14 2 2 3 2 5 2 3 2" xfId="34274"/>
    <cellStyle name="Normal 14 2 2 3 2 5 2 4" xfId="22754"/>
    <cellStyle name="Normal 14 2 2 3 2 5 3" xfId="8354"/>
    <cellStyle name="Normal 14 2 2 3 2 5 3 2" xfId="25634"/>
    <cellStyle name="Normal 14 2 2 3 2 5 4" xfId="14114"/>
    <cellStyle name="Normal 14 2 2 3 2 5 4 2" xfId="31394"/>
    <cellStyle name="Normal 14 2 2 3 2 5 5" xfId="19874"/>
    <cellStyle name="Normal 14 2 2 3 2 6" xfId="4034"/>
    <cellStyle name="Normal 14 2 2 3 2 6 2" xfId="9794"/>
    <cellStyle name="Normal 14 2 2 3 2 6 2 2" xfId="27074"/>
    <cellStyle name="Normal 14 2 2 3 2 6 3" xfId="15554"/>
    <cellStyle name="Normal 14 2 2 3 2 6 3 2" xfId="32834"/>
    <cellStyle name="Normal 14 2 2 3 2 6 4" xfId="21314"/>
    <cellStyle name="Normal 14 2 2 3 2 7" xfId="6914"/>
    <cellStyle name="Normal 14 2 2 3 2 7 2" xfId="24194"/>
    <cellStyle name="Normal 14 2 2 3 2 8" xfId="12674"/>
    <cellStyle name="Normal 14 2 2 3 2 8 2" xfId="29954"/>
    <cellStyle name="Normal 14 2 2 3 2 9" xfId="18434"/>
    <cellStyle name="Normal 14 2 2 3 3" xfId="1274"/>
    <cellStyle name="Normal 14 2 2 3 3 2" xfId="1994"/>
    <cellStyle name="Normal 14 2 2 3 3 2 2" xfId="3434"/>
    <cellStyle name="Normal 14 2 2 3 3 2 2 2" xfId="6314"/>
    <cellStyle name="Normal 14 2 2 3 3 2 2 2 2" xfId="12074"/>
    <cellStyle name="Normal 14 2 2 3 3 2 2 2 2 2" xfId="29354"/>
    <cellStyle name="Normal 14 2 2 3 3 2 2 2 3" xfId="17834"/>
    <cellStyle name="Normal 14 2 2 3 3 2 2 2 3 2" xfId="35114"/>
    <cellStyle name="Normal 14 2 2 3 3 2 2 2 4" xfId="23594"/>
    <cellStyle name="Normal 14 2 2 3 3 2 2 3" xfId="9194"/>
    <cellStyle name="Normal 14 2 2 3 3 2 2 3 2" xfId="26474"/>
    <cellStyle name="Normal 14 2 2 3 3 2 2 4" xfId="14954"/>
    <cellStyle name="Normal 14 2 2 3 3 2 2 4 2" xfId="32234"/>
    <cellStyle name="Normal 14 2 2 3 3 2 2 5" xfId="20714"/>
    <cellStyle name="Normal 14 2 2 3 3 2 3" xfId="4874"/>
    <cellStyle name="Normal 14 2 2 3 3 2 3 2" xfId="10634"/>
    <cellStyle name="Normal 14 2 2 3 3 2 3 2 2" xfId="27914"/>
    <cellStyle name="Normal 14 2 2 3 3 2 3 3" xfId="16394"/>
    <cellStyle name="Normal 14 2 2 3 3 2 3 3 2" xfId="33674"/>
    <cellStyle name="Normal 14 2 2 3 3 2 3 4" xfId="22154"/>
    <cellStyle name="Normal 14 2 2 3 3 2 4" xfId="7754"/>
    <cellStyle name="Normal 14 2 2 3 3 2 4 2" xfId="25034"/>
    <cellStyle name="Normal 14 2 2 3 3 2 5" xfId="13514"/>
    <cellStyle name="Normal 14 2 2 3 3 2 5 2" xfId="30794"/>
    <cellStyle name="Normal 14 2 2 3 3 2 6" xfId="19274"/>
    <cellStyle name="Normal 14 2 2 3 3 3" xfId="2714"/>
    <cellStyle name="Normal 14 2 2 3 3 3 2" xfId="5594"/>
    <cellStyle name="Normal 14 2 2 3 3 3 2 2" xfId="11354"/>
    <cellStyle name="Normal 14 2 2 3 3 3 2 2 2" xfId="28634"/>
    <cellStyle name="Normal 14 2 2 3 3 3 2 3" xfId="17114"/>
    <cellStyle name="Normal 14 2 2 3 3 3 2 3 2" xfId="34394"/>
    <cellStyle name="Normal 14 2 2 3 3 3 2 4" xfId="22874"/>
    <cellStyle name="Normal 14 2 2 3 3 3 3" xfId="8474"/>
    <cellStyle name="Normal 14 2 2 3 3 3 3 2" xfId="25754"/>
    <cellStyle name="Normal 14 2 2 3 3 3 4" xfId="14234"/>
    <cellStyle name="Normal 14 2 2 3 3 3 4 2" xfId="31514"/>
    <cellStyle name="Normal 14 2 2 3 3 3 5" xfId="19994"/>
    <cellStyle name="Normal 14 2 2 3 3 4" xfId="4154"/>
    <cellStyle name="Normal 14 2 2 3 3 4 2" xfId="9914"/>
    <cellStyle name="Normal 14 2 2 3 3 4 2 2" xfId="27194"/>
    <cellStyle name="Normal 14 2 2 3 3 4 3" xfId="15674"/>
    <cellStyle name="Normal 14 2 2 3 3 4 3 2" xfId="32954"/>
    <cellStyle name="Normal 14 2 2 3 3 4 4" xfId="21434"/>
    <cellStyle name="Normal 14 2 2 3 3 5" xfId="7034"/>
    <cellStyle name="Normal 14 2 2 3 3 5 2" xfId="24314"/>
    <cellStyle name="Normal 14 2 2 3 3 6" xfId="12794"/>
    <cellStyle name="Normal 14 2 2 3 3 6 2" xfId="30074"/>
    <cellStyle name="Normal 14 2 2 3 3 7" xfId="18554"/>
    <cellStyle name="Normal 14 2 2 3 4" xfId="1514"/>
    <cellStyle name="Normal 14 2 2 3 4 2" xfId="2234"/>
    <cellStyle name="Normal 14 2 2 3 4 2 2" xfId="3674"/>
    <cellStyle name="Normal 14 2 2 3 4 2 2 2" xfId="6554"/>
    <cellStyle name="Normal 14 2 2 3 4 2 2 2 2" xfId="12314"/>
    <cellStyle name="Normal 14 2 2 3 4 2 2 2 2 2" xfId="29594"/>
    <cellStyle name="Normal 14 2 2 3 4 2 2 2 3" xfId="18074"/>
    <cellStyle name="Normal 14 2 2 3 4 2 2 2 3 2" xfId="35354"/>
    <cellStyle name="Normal 14 2 2 3 4 2 2 2 4" xfId="23834"/>
    <cellStyle name="Normal 14 2 2 3 4 2 2 3" xfId="9434"/>
    <cellStyle name="Normal 14 2 2 3 4 2 2 3 2" xfId="26714"/>
    <cellStyle name="Normal 14 2 2 3 4 2 2 4" xfId="15194"/>
    <cellStyle name="Normal 14 2 2 3 4 2 2 4 2" xfId="32474"/>
    <cellStyle name="Normal 14 2 2 3 4 2 2 5" xfId="20954"/>
    <cellStyle name="Normal 14 2 2 3 4 2 3" xfId="5114"/>
    <cellStyle name="Normal 14 2 2 3 4 2 3 2" xfId="10874"/>
    <cellStyle name="Normal 14 2 2 3 4 2 3 2 2" xfId="28154"/>
    <cellStyle name="Normal 14 2 2 3 4 2 3 3" xfId="16634"/>
    <cellStyle name="Normal 14 2 2 3 4 2 3 3 2" xfId="33914"/>
    <cellStyle name="Normal 14 2 2 3 4 2 3 4" xfId="22394"/>
    <cellStyle name="Normal 14 2 2 3 4 2 4" xfId="7994"/>
    <cellStyle name="Normal 14 2 2 3 4 2 4 2" xfId="25274"/>
    <cellStyle name="Normal 14 2 2 3 4 2 5" xfId="13754"/>
    <cellStyle name="Normal 14 2 2 3 4 2 5 2" xfId="31034"/>
    <cellStyle name="Normal 14 2 2 3 4 2 6" xfId="19514"/>
    <cellStyle name="Normal 14 2 2 3 4 3" xfId="2954"/>
    <cellStyle name="Normal 14 2 2 3 4 3 2" xfId="5834"/>
    <cellStyle name="Normal 14 2 2 3 4 3 2 2" xfId="11594"/>
    <cellStyle name="Normal 14 2 2 3 4 3 2 2 2" xfId="28874"/>
    <cellStyle name="Normal 14 2 2 3 4 3 2 3" xfId="17354"/>
    <cellStyle name="Normal 14 2 2 3 4 3 2 3 2" xfId="34634"/>
    <cellStyle name="Normal 14 2 2 3 4 3 2 4" xfId="23114"/>
    <cellStyle name="Normal 14 2 2 3 4 3 3" xfId="8714"/>
    <cellStyle name="Normal 14 2 2 3 4 3 3 2" xfId="25994"/>
    <cellStyle name="Normal 14 2 2 3 4 3 4" xfId="14474"/>
    <cellStyle name="Normal 14 2 2 3 4 3 4 2" xfId="31754"/>
    <cellStyle name="Normal 14 2 2 3 4 3 5" xfId="20234"/>
    <cellStyle name="Normal 14 2 2 3 4 4" xfId="4394"/>
    <cellStyle name="Normal 14 2 2 3 4 4 2" xfId="10154"/>
    <cellStyle name="Normal 14 2 2 3 4 4 2 2" xfId="27434"/>
    <cellStyle name="Normal 14 2 2 3 4 4 3" xfId="15914"/>
    <cellStyle name="Normal 14 2 2 3 4 4 3 2" xfId="33194"/>
    <cellStyle name="Normal 14 2 2 3 4 4 4" xfId="21674"/>
    <cellStyle name="Normal 14 2 2 3 4 5" xfId="7274"/>
    <cellStyle name="Normal 14 2 2 3 4 5 2" xfId="24554"/>
    <cellStyle name="Normal 14 2 2 3 4 6" xfId="13034"/>
    <cellStyle name="Normal 14 2 2 3 4 6 2" xfId="30314"/>
    <cellStyle name="Normal 14 2 2 3 4 7" xfId="18794"/>
    <cellStyle name="Normal 14 2 2 3 5" xfId="1754"/>
    <cellStyle name="Normal 14 2 2 3 5 2" xfId="3194"/>
    <cellStyle name="Normal 14 2 2 3 5 2 2" xfId="6074"/>
    <cellStyle name="Normal 14 2 2 3 5 2 2 2" xfId="11834"/>
    <cellStyle name="Normal 14 2 2 3 5 2 2 2 2" xfId="29114"/>
    <cellStyle name="Normal 14 2 2 3 5 2 2 3" xfId="17594"/>
    <cellStyle name="Normal 14 2 2 3 5 2 2 3 2" xfId="34874"/>
    <cellStyle name="Normal 14 2 2 3 5 2 2 4" xfId="23354"/>
    <cellStyle name="Normal 14 2 2 3 5 2 3" xfId="8954"/>
    <cellStyle name="Normal 14 2 2 3 5 2 3 2" xfId="26234"/>
    <cellStyle name="Normal 14 2 2 3 5 2 4" xfId="14714"/>
    <cellStyle name="Normal 14 2 2 3 5 2 4 2" xfId="31994"/>
    <cellStyle name="Normal 14 2 2 3 5 2 5" xfId="20474"/>
    <cellStyle name="Normal 14 2 2 3 5 3" xfId="4634"/>
    <cellStyle name="Normal 14 2 2 3 5 3 2" xfId="10394"/>
    <cellStyle name="Normal 14 2 2 3 5 3 2 2" xfId="27674"/>
    <cellStyle name="Normal 14 2 2 3 5 3 3" xfId="16154"/>
    <cellStyle name="Normal 14 2 2 3 5 3 3 2" xfId="33434"/>
    <cellStyle name="Normal 14 2 2 3 5 3 4" xfId="21914"/>
    <cellStyle name="Normal 14 2 2 3 5 4" xfId="7514"/>
    <cellStyle name="Normal 14 2 2 3 5 4 2" xfId="24794"/>
    <cellStyle name="Normal 14 2 2 3 5 5" xfId="13274"/>
    <cellStyle name="Normal 14 2 2 3 5 5 2" xfId="30554"/>
    <cellStyle name="Normal 14 2 2 3 5 6" xfId="19034"/>
    <cellStyle name="Normal 14 2 2 3 6" xfId="2474"/>
    <cellStyle name="Normal 14 2 2 3 6 2" xfId="5354"/>
    <cellStyle name="Normal 14 2 2 3 6 2 2" xfId="11114"/>
    <cellStyle name="Normal 14 2 2 3 6 2 2 2" xfId="28394"/>
    <cellStyle name="Normal 14 2 2 3 6 2 3" xfId="16874"/>
    <cellStyle name="Normal 14 2 2 3 6 2 3 2" xfId="34154"/>
    <cellStyle name="Normal 14 2 2 3 6 2 4" xfId="22634"/>
    <cellStyle name="Normal 14 2 2 3 6 3" xfId="8234"/>
    <cellStyle name="Normal 14 2 2 3 6 3 2" xfId="25514"/>
    <cellStyle name="Normal 14 2 2 3 6 4" xfId="13994"/>
    <cellStyle name="Normal 14 2 2 3 6 4 2" xfId="31274"/>
    <cellStyle name="Normal 14 2 2 3 6 5" xfId="19754"/>
    <cellStyle name="Normal 14 2 2 3 7" xfId="3914"/>
    <cellStyle name="Normal 14 2 2 3 7 2" xfId="9674"/>
    <cellStyle name="Normal 14 2 2 3 7 2 2" xfId="26954"/>
    <cellStyle name="Normal 14 2 2 3 7 3" xfId="15434"/>
    <cellStyle name="Normal 14 2 2 3 7 3 2" xfId="32714"/>
    <cellStyle name="Normal 14 2 2 3 7 4" xfId="21194"/>
    <cellStyle name="Normal 14 2 2 3 8" xfId="6794"/>
    <cellStyle name="Normal 14 2 2 3 8 2" xfId="24074"/>
    <cellStyle name="Normal 14 2 2 3 9" xfId="12554"/>
    <cellStyle name="Normal 14 2 2 3 9 2" xfId="29834"/>
    <cellStyle name="Normal 14 2 2 4" xfId="994"/>
    <cellStyle name="Normal 14 2 2 4 10" xfId="18274"/>
    <cellStyle name="Normal 14 2 2 4 2" xfId="1114"/>
    <cellStyle name="Normal 14 2 2 4 2 2" xfId="1354"/>
    <cellStyle name="Normal 14 2 2 4 2 2 2" xfId="2074"/>
    <cellStyle name="Normal 14 2 2 4 2 2 2 2" xfId="3514"/>
    <cellStyle name="Normal 14 2 2 4 2 2 2 2 2" xfId="6394"/>
    <cellStyle name="Normal 14 2 2 4 2 2 2 2 2 2" xfId="12154"/>
    <cellStyle name="Normal 14 2 2 4 2 2 2 2 2 2 2" xfId="29434"/>
    <cellStyle name="Normal 14 2 2 4 2 2 2 2 2 3" xfId="17914"/>
    <cellStyle name="Normal 14 2 2 4 2 2 2 2 2 3 2" xfId="35194"/>
    <cellStyle name="Normal 14 2 2 4 2 2 2 2 2 4" xfId="23674"/>
    <cellStyle name="Normal 14 2 2 4 2 2 2 2 3" xfId="9274"/>
    <cellStyle name="Normal 14 2 2 4 2 2 2 2 3 2" xfId="26554"/>
    <cellStyle name="Normal 14 2 2 4 2 2 2 2 4" xfId="15034"/>
    <cellStyle name="Normal 14 2 2 4 2 2 2 2 4 2" xfId="32314"/>
    <cellStyle name="Normal 14 2 2 4 2 2 2 2 5" xfId="20794"/>
    <cellStyle name="Normal 14 2 2 4 2 2 2 3" xfId="4954"/>
    <cellStyle name="Normal 14 2 2 4 2 2 2 3 2" xfId="10714"/>
    <cellStyle name="Normal 14 2 2 4 2 2 2 3 2 2" xfId="27994"/>
    <cellStyle name="Normal 14 2 2 4 2 2 2 3 3" xfId="16474"/>
    <cellStyle name="Normal 14 2 2 4 2 2 2 3 3 2" xfId="33754"/>
    <cellStyle name="Normal 14 2 2 4 2 2 2 3 4" xfId="22234"/>
    <cellStyle name="Normal 14 2 2 4 2 2 2 4" xfId="7834"/>
    <cellStyle name="Normal 14 2 2 4 2 2 2 4 2" xfId="25114"/>
    <cellStyle name="Normal 14 2 2 4 2 2 2 5" xfId="13594"/>
    <cellStyle name="Normal 14 2 2 4 2 2 2 5 2" xfId="30874"/>
    <cellStyle name="Normal 14 2 2 4 2 2 2 6" xfId="19354"/>
    <cellStyle name="Normal 14 2 2 4 2 2 3" xfId="2794"/>
    <cellStyle name="Normal 14 2 2 4 2 2 3 2" xfId="5674"/>
    <cellStyle name="Normal 14 2 2 4 2 2 3 2 2" xfId="11434"/>
    <cellStyle name="Normal 14 2 2 4 2 2 3 2 2 2" xfId="28714"/>
    <cellStyle name="Normal 14 2 2 4 2 2 3 2 3" xfId="17194"/>
    <cellStyle name="Normal 14 2 2 4 2 2 3 2 3 2" xfId="34474"/>
    <cellStyle name="Normal 14 2 2 4 2 2 3 2 4" xfId="22954"/>
    <cellStyle name="Normal 14 2 2 4 2 2 3 3" xfId="8554"/>
    <cellStyle name="Normal 14 2 2 4 2 2 3 3 2" xfId="25834"/>
    <cellStyle name="Normal 14 2 2 4 2 2 3 4" xfId="14314"/>
    <cellStyle name="Normal 14 2 2 4 2 2 3 4 2" xfId="31594"/>
    <cellStyle name="Normal 14 2 2 4 2 2 3 5" xfId="20074"/>
    <cellStyle name="Normal 14 2 2 4 2 2 4" xfId="4234"/>
    <cellStyle name="Normal 14 2 2 4 2 2 4 2" xfId="9994"/>
    <cellStyle name="Normal 14 2 2 4 2 2 4 2 2" xfId="27274"/>
    <cellStyle name="Normal 14 2 2 4 2 2 4 3" xfId="15754"/>
    <cellStyle name="Normal 14 2 2 4 2 2 4 3 2" xfId="33034"/>
    <cellStyle name="Normal 14 2 2 4 2 2 4 4" xfId="21514"/>
    <cellStyle name="Normal 14 2 2 4 2 2 5" xfId="7114"/>
    <cellStyle name="Normal 14 2 2 4 2 2 5 2" xfId="24394"/>
    <cellStyle name="Normal 14 2 2 4 2 2 6" xfId="12874"/>
    <cellStyle name="Normal 14 2 2 4 2 2 6 2" xfId="30154"/>
    <cellStyle name="Normal 14 2 2 4 2 2 7" xfId="18634"/>
    <cellStyle name="Normal 14 2 2 4 2 3" xfId="1594"/>
    <cellStyle name="Normal 14 2 2 4 2 3 2" xfId="2314"/>
    <cellStyle name="Normal 14 2 2 4 2 3 2 2" xfId="3754"/>
    <cellStyle name="Normal 14 2 2 4 2 3 2 2 2" xfId="6634"/>
    <cellStyle name="Normal 14 2 2 4 2 3 2 2 2 2" xfId="12394"/>
    <cellStyle name="Normal 14 2 2 4 2 3 2 2 2 2 2" xfId="29674"/>
    <cellStyle name="Normal 14 2 2 4 2 3 2 2 2 3" xfId="18154"/>
    <cellStyle name="Normal 14 2 2 4 2 3 2 2 2 3 2" xfId="35434"/>
    <cellStyle name="Normal 14 2 2 4 2 3 2 2 2 4" xfId="23914"/>
    <cellStyle name="Normal 14 2 2 4 2 3 2 2 3" xfId="9514"/>
    <cellStyle name="Normal 14 2 2 4 2 3 2 2 3 2" xfId="26794"/>
    <cellStyle name="Normal 14 2 2 4 2 3 2 2 4" xfId="15274"/>
    <cellStyle name="Normal 14 2 2 4 2 3 2 2 4 2" xfId="32554"/>
    <cellStyle name="Normal 14 2 2 4 2 3 2 2 5" xfId="21034"/>
    <cellStyle name="Normal 14 2 2 4 2 3 2 3" xfId="5194"/>
    <cellStyle name="Normal 14 2 2 4 2 3 2 3 2" xfId="10954"/>
    <cellStyle name="Normal 14 2 2 4 2 3 2 3 2 2" xfId="28234"/>
    <cellStyle name="Normal 14 2 2 4 2 3 2 3 3" xfId="16714"/>
    <cellStyle name="Normal 14 2 2 4 2 3 2 3 3 2" xfId="33994"/>
    <cellStyle name="Normal 14 2 2 4 2 3 2 3 4" xfId="22474"/>
    <cellStyle name="Normal 14 2 2 4 2 3 2 4" xfId="8074"/>
    <cellStyle name="Normal 14 2 2 4 2 3 2 4 2" xfId="25354"/>
    <cellStyle name="Normal 14 2 2 4 2 3 2 5" xfId="13834"/>
    <cellStyle name="Normal 14 2 2 4 2 3 2 5 2" xfId="31114"/>
    <cellStyle name="Normal 14 2 2 4 2 3 2 6" xfId="19594"/>
    <cellStyle name="Normal 14 2 2 4 2 3 3" xfId="3034"/>
    <cellStyle name="Normal 14 2 2 4 2 3 3 2" xfId="5914"/>
    <cellStyle name="Normal 14 2 2 4 2 3 3 2 2" xfId="11674"/>
    <cellStyle name="Normal 14 2 2 4 2 3 3 2 2 2" xfId="28954"/>
    <cellStyle name="Normal 14 2 2 4 2 3 3 2 3" xfId="17434"/>
    <cellStyle name="Normal 14 2 2 4 2 3 3 2 3 2" xfId="34714"/>
    <cellStyle name="Normal 14 2 2 4 2 3 3 2 4" xfId="23194"/>
    <cellStyle name="Normal 14 2 2 4 2 3 3 3" xfId="8794"/>
    <cellStyle name="Normal 14 2 2 4 2 3 3 3 2" xfId="26074"/>
    <cellStyle name="Normal 14 2 2 4 2 3 3 4" xfId="14554"/>
    <cellStyle name="Normal 14 2 2 4 2 3 3 4 2" xfId="31834"/>
    <cellStyle name="Normal 14 2 2 4 2 3 3 5" xfId="20314"/>
    <cellStyle name="Normal 14 2 2 4 2 3 4" xfId="4474"/>
    <cellStyle name="Normal 14 2 2 4 2 3 4 2" xfId="10234"/>
    <cellStyle name="Normal 14 2 2 4 2 3 4 2 2" xfId="27514"/>
    <cellStyle name="Normal 14 2 2 4 2 3 4 3" xfId="15994"/>
    <cellStyle name="Normal 14 2 2 4 2 3 4 3 2" xfId="33274"/>
    <cellStyle name="Normal 14 2 2 4 2 3 4 4" xfId="21754"/>
    <cellStyle name="Normal 14 2 2 4 2 3 5" xfId="7354"/>
    <cellStyle name="Normal 14 2 2 4 2 3 5 2" xfId="24634"/>
    <cellStyle name="Normal 14 2 2 4 2 3 6" xfId="13114"/>
    <cellStyle name="Normal 14 2 2 4 2 3 6 2" xfId="30394"/>
    <cellStyle name="Normal 14 2 2 4 2 3 7" xfId="18874"/>
    <cellStyle name="Normal 14 2 2 4 2 4" xfId="1834"/>
    <cellStyle name="Normal 14 2 2 4 2 4 2" xfId="3274"/>
    <cellStyle name="Normal 14 2 2 4 2 4 2 2" xfId="6154"/>
    <cellStyle name="Normal 14 2 2 4 2 4 2 2 2" xfId="11914"/>
    <cellStyle name="Normal 14 2 2 4 2 4 2 2 2 2" xfId="29194"/>
    <cellStyle name="Normal 14 2 2 4 2 4 2 2 3" xfId="17674"/>
    <cellStyle name="Normal 14 2 2 4 2 4 2 2 3 2" xfId="34954"/>
    <cellStyle name="Normal 14 2 2 4 2 4 2 2 4" xfId="23434"/>
    <cellStyle name="Normal 14 2 2 4 2 4 2 3" xfId="9034"/>
    <cellStyle name="Normal 14 2 2 4 2 4 2 3 2" xfId="26314"/>
    <cellStyle name="Normal 14 2 2 4 2 4 2 4" xfId="14794"/>
    <cellStyle name="Normal 14 2 2 4 2 4 2 4 2" xfId="32074"/>
    <cellStyle name="Normal 14 2 2 4 2 4 2 5" xfId="20554"/>
    <cellStyle name="Normal 14 2 2 4 2 4 3" xfId="4714"/>
    <cellStyle name="Normal 14 2 2 4 2 4 3 2" xfId="10474"/>
    <cellStyle name="Normal 14 2 2 4 2 4 3 2 2" xfId="27754"/>
    <cellStyle name="Normal 14 2 2 4 2 4 3 3" xfId="16234"/>
    <cellStyle name="Normal 14 2 2 4 2 4 3 3 2" xfId="33514"/>
    <cellStyle name="Normal 14 2 2 4 2 4 3 4" xfId="21994"/>
    <cellStyle name="Normal 14 2 2 4 2 4 4" xfId="7594"/>
    <cellStyle name="Normal 14 2 2 4 2 4 4 2" xfId="24874"/>
    <cellStyle name="Normal 14 2 2 4 2 4 5" xfId="13354"/>
    <cellStyle name="Normal 14 2 2 4 2 4 5 2" xfId="30634"/>
    <cellStyle name="Normal 14 2 2 4 2 4 6" xfId="19114"/>
    <cellStyle name="Normal 14 2 2 4 2 5" xfId="2554"/>
    <cellStyle name="Normal 14 2 2 4 2 5 2" xfId="5434"/>
    <cellStyle name="Normal 14 2 2 4 2 5 2 2" xfId="11194"/>
    <cellStyle name="Normal 14 2 2 4 2 5 2 2 2" xfId="28474"/>
    <cellStyle name="Normal 14 2 2 4 2 5 2 3" xfId="16954"/>
    <cellStyle name="Normal 14 2 2 4 2 5 2 3 2" xfId="34234"/>
    <cellStyle name="Normal 14 2 2 4 2 5 2 4" xfId="22714"/>
    <cellStyle name="Normal 14 2 2 4 2 5 3" xfId="8314"/>
    <cellStyle name="Normal 14 2 2 4 2 5 3 2" xfId="25594"/>
    <cellStyle name="Normal 14 2 2 4 2 5 4" xfId="14074"/>
    <cellStyle name="Normal 14 2 2 4 2 5 4 2" xfId="31354"/>
    <cellStyle name="Normal 14 2 2 4 2 5 5" xfId="19834"/>
    <cellStyle name="Normal 14 2 2 4 2 6" xfId="3994"/>
    <cellStyle name="Normal 14 2 2 4 2 6 2" xfId="9754"/>
    <cellStyle name="Normal 14 2 2 4 2 6 2 2" xfId="27034"/>
    <cellStyle name="Normal 14 2 2 4 2 6 3" xfId="15514"/>
    <cellStyle name="Normal 14 2 2 4 2 6 3 2" xfId="32794"/>
    <cellStyle name="Normal 14 2 2 4 2 6 4" xfId="21274"/>
    <cellStyle name="Normal 14 2 2 4 2 7" xfId="6874"/>
    <cellStyle name="Normal 14 2 2 4 2 7 2" xfId="24154"/>
    <cellStyle name="Normal 14 2 2 4 2 8" xfId="12634"/>
    <cellStyle name="Normal 14 2 2 4 2 8 2" xfId="29914"/>
    <cellStyle name="Normal 14 2 2 4 2 9" xfId="18394"/>
    <cellStyle name="Normal 14 2 2 4 3" xfId="1234"/>
    <cellStyle name="Normal 14 2 2 4 3 2" xfId="1954"/>
    <cellStyle name="Normal 14 2 2 4 3 2 2" xfId="3394"/>
    <cellStyle name="Normal 14 2 2 4 3 2 2 2" xfId="6274"/>
    <cellStyle name="Normal 14 2 2 4 3 2 2 2 2" xfId="12034"/>
    <cellStyle name="Normal 14 2 2 4 3 2 2 2 2 2" xfId="29314"/>
    <cellStyle name="Normal 14 2 2 4 3 2 2 2 3" xfId="17794"/>
    <cellStyle name="Normal 14 2 2 4 3 2 2 2 3 2" xfId="35074"/>
    <cellStyle name="Normal 14 2 2 4 3 2 2 2 4" xfId="23554"/>
    <cellStyle name="Normal 14 2 2 4 3 2 2 3" xfId="9154"/>
    <cellStyle name="Normal 14 2 2 4 3 2 2 3 2" xfId="26434"/>
    <cellStyle name="Normal 14 2 2 4 3 2 2 4" xfId="14914"/>
    <cellStyle name="Normal 14 2 2 4 3 2 2 4 2" xfId="32194"/>
    <cellStyle name="Normal 14 2 2 4 3 2 2 5" xfId="20674"/>
    <cellStyle name="Normal 14 2 2 4 3 2 3" xfId="4834"/>
    <cellStyle name="Normal 14 2 2 4 3 2 3 2" xfId="10594"/>
    <cellStyle name="Normal 14 2 2 4 3 2 3 2 2" xfId="27874"/>
    <cellStyle name="Normal 14 2 2 4 3 2 3 3" xfId="16354"/>
    <cellStyle name="Normal 14 2 2 4 3 2 3 3 2" xfId="33634"/>
    <cellStyle name="Normal 14 2 2 4 3 2 3 4" xfId="22114"/>
    <cellStyle name="Normal 14 2 2 4 3 2 4" xfId="7714"/>
    <cellStyle name="Normal 14 2 2 4 3 2 4 2" xfId="24994"/>
    <cellStyle name="Normal 14 2 2 4 3 2 5" xfId="13474"/>
    <cellStyle name="Normal 14 2 2 4 3 2 5 2" xfId="30754"/>
    <cellStyle name="Normal 14 2 2 4 3 2 6" xfId="19234"/>
    <cellStyle name="Normal 14 2 2 4 3 3" xfId="2674"/>
    <cellStyle name="Normal 14 2 2 4 3 3 2" xfId="5554"/>
    <cellStyle name="Normal 14 2 2 4 3 3 2 2" xfId="11314"/>
    <cellStyle name="Normal 14 2 2 4 3 3 2 2 2" xfId="28594"/>
    <cellStyle name="Normal 14 2 2 4 3 3 2 3" xfId="17074"/>
    <cellStyle name="Normal 14 2 2 4 3 3 2 3 2" xfId="34354"/>
    <cellStyle name="Normal 14 2 2 4 3 3 2 4" xfId="22834"/>
    <cellStyle name="Normal 14 2 2 4 3 3 3" xfId="8434"/>
    <cellStyle name="Normal 14 2 2 4 3 3 3 2" xfId="25714"/>
    <cellStyle name="Normal 14 2 2 4 3 3 4" xfId="14194"/>
    <cellStyle name="Normal 14 2 2 4 3 3 4 2" xfId="31474"/>
    <cellStyle name="Normal 14 2 2 4 3 3 5" xfId="19954"/>
    <cellStyle name="Normal 14 2 2 4 3 4" xfId="4114"/>
    <cellStyle name="Normal 14 2 2 4 3 4 2" xfId="9874"/>
    <cellStyle name="Normal 14 2 2 4 3 4 2 2" xfId="27154"/>
    <cellStyle name="Normal 14 2 2 4 3 4 3" xfId="15634"/>
    <cellStyle name="Normal 14 2 2 4 3 4 3 2" xfId="32914"/>
    <cellStyle name="Normal 14 2 2 4 3 4 4" xfId="21394"/>
    <cellStyle name="Normal 14 2 2 4 3 5" xfId="6994"/>
    <cellStyle name="Normal 14 2 2 4 3 5 2" xfId="24274"/>
    <cellStyle name="Normal 14 2 2 4 3 6" xfId="12754"/>
    <cellStyle name="Normal 14 2 2 4 3 6 2" xfId="30034"/>
    <cellStyle name="Normal 14 2 2 4 3 7" xfId="18514"/>
    <cellStyle name="Normal 14 2 2 4 4" xfId="1474"/>
    <cellStyle name="Normal 14 2 2 4 4 2" xfId="2194"/>
    <cellStyle name="Normal 14 2 2 4 4 2 2" xfId="3634"/>
    <cellStyle name="Normal 14 2 2 4 4 2 2 2" xfId="6514"/>
    <cellStyle name="Normal 14 2 2 4 4 2 2 2 2" xfId="12274"/>
    <cellStyle name="Normal 14 2 2 4 4 2 2 2 2 2" xfId="29554"/>
    <cellStyle name="Normal 14 2 2 4 4 2 2 2 3" xfId="18034"/>
    <cellStyle name="Normal 14 2 2 4 4 2 2 2 3 2" xfId="35314"/>
    <cellStyle name="Normal 14 2 2 4 4 2 2 2 4" xfId="23794"/>
    <cellStyle name="Normal 14 2 2 4 4 2 2 3" xfId="9394"/>
    <cellStyle name="Normal 14 2 2 4 4 2 2 3 2" xfId="26674"/>
    <cellStyle name="Normal 14 2 2 4 4 2 2 4" xfId="15154"/>
    <cellStyle name="Normal 14 2 2 4 4 2 2 4 2" xfId="32434"/>
    <cellStyle name="Normal 14 2 2 4 4 2 2 5" xfId="20914"/>
    <cellStyle name="Normal 14 2 2 4 4 2 3" xfId="5074"/>
    <cellStyle name="Normal 14 2 2 4 4 2 3 2" xfId="10834"/>
    <cellStyle name="Normal 14 2 2 4 4 2 3 2 2" xfId="28114"/>
    <cellStyle name="Normal 14 2 2 4 4 2 3 3" xfId="16594"/>
    <cellStyle name="Normal 14 2 2 4 4 2 3 3 2" xfId="33874"/>
    <cellStyle name="Normal 14 2 2 4 4 2 3 4" xfId="22354"/>
    <cellStyle name="Normal 14 2 2 4 4 2 4" xfId="7954"/>
    <cellStyle name="Normal 14 2 2 4 4 2 4 2" xfId="25234"/>
    <cellStyle name="Normal 14 2 2 4 4 2 5" xfId="13714"/>
    <cellStyle name="Normal 14 2 2 4 4 2 5 2" xfId="30994"/>
    <cellStyle name="Normal 14 2 2 4 4 2 6" xfId="19474"/>
    <cellStyle name="Normal 14 2 2 4 4 3" xfId="2914"/>
    <cellStyle name="Normal 14 2 2 4 4 3 2" xfId="5794"/>
    <cellStyle name="Normal 14 2 2 4 4 3 2 2" xfId="11554"/>
    <cellStyle name="Normal 14 2 2 4 4 3 2 2 2" xfId="28834"/>
    <cellStyle name="Normal 14 2 2 4 4 3 2 3" xfId="17314"/>
    <cellStyle name="Normal 14 2 2 4 4 3 2 3 2" xfId="34594"/>
    <cellStyle name="Normal 14 2 2 4 4 3 2 4" xfId="23074"/>
    <cellStyle name="Normal 14 2 2 4 4 3 3" xfId="8674"/>
    <cellStyle name="Normal 14 2 2 4 4 3 3 2" xfId="25954"/>
    <cellStyle name="Normal 14 2 2 4 4 3 4" xfId="14434"/>
    <cellStyle name="Normal 14 2 2 4 4 3 4 2" xfId="31714"/>
    <cellStyle name="Normal 14 2 2 4 4 3 5" xfId="20194"/>
    <cellStyle name="Normal 14 2 2 4 4 4" xfId="4354"/>
    <cellStyle name="Normal 14 2 2 4 4 4 2" xfId="10114"/>
    <cellStyle name="Normal 14 2 2 4 4 4 2 2" xfId="27394"/>
    <cellStyle name="Normal 14 2 2 4 4 4 3" xfId="15874"/>
    <cellStyle name="Normal 14 2 2 4 4 4 3 2" xfId="33154"/>
    <cellStyle name="Normal 14 2 2 4 4 4 4" xfId="21634"/>
    <cellStyle name="Normal 14 2 2 4 4 5" xfId="7234"/>
    <cellStyle name="Normal 14 2 2 4 4 5 2" xfId="24514"/>
    <cellStyle name="Normal 14 2 2 4 4 6" xfId="12994"/>
    <cellStyle name="Normal 14 2 2 4 4 6 2" xfId="30274"/>
    <cellStyle name="Normal 14 2 2 4 4 7" xfId="18754"/>
    <cellStyle name="Normal 14 2 2 4 5" xfId="1714"/>
    <cellStyle name="Normal 14 2 2 4 5 2" xfId="3154"/>
    <cellStyle name="Normal 14 2 2 4 5 2 2" xfId="6034"/>
    <cellStyle name="Normal 14 2 2 4 5 2 2 2" xfId="11794"/>
    <cellStyle name="Normal 14 2 2 4 5 2 2 2 2" xfId="29074"/>
    <cellStyle name="Normal 14 2 2 4 5 2 2 3" xfId="17554"/>
    <cellStyle name="Normal 14 2 2 4 5 2 2 3 2" xfId="34834"/>
    <cellStyle name="Normal 14 2 2 4 5 2 2 4" xfId="23314"/>
    <cellStyle name="Normal 14 2 2 4 5 2 3" xfId="8914"/>
    <cellStyle name="Normal 14 2 2 4 5 2 3 2" xfId="26194"/>
    <cellStyle name="Normal 14 2 2 4 5 2 4" xfId="14674"/>
    <cellStyle name="Normal 14 2 2 4 5 2 4 2" xfId="31954"/>
    <cellStyle name="Normal 14 2 2 4 5 2 5" xfId="20434"/>
    <cellStyle name="Normal 14 2 2 4 5 3" xfId="4594"/>
    <cellStyle name="Normal 14 2 2 4 5 3 2" xfId="10354"/>
    <cellStyle name="Normal 14 2 2 4 5 3 2 2" xfId="27634"/>
    <cellStyle name="Normal 14 2 2 4 5 3 3" xfId="16114"/>
    <cellStyle name="Normal 14 2 2 4 5 3 3 2" xfId="33394"/>
    <cellStyle name="Normal 14 2 2 4 5 3 4" xfId="21874"/>
    <cellStyle name="Normal 14 2 2 4 5 4" xfId="7474"/>
    <cellStyle name="Normal 14 2 2 4 5 4 2" xfId="24754"/>
    <cellStyle name="Normal 14 2 2 4 5 5" xfId="13234"/>
    <cellStyle name="Normal 14 2 2 4 5 5 2" xfId="30514"/>
    <cellStyle name="Normal 14 2 2 4 5 6" xfId="18994"/>
    <cellStyle name="Normal 14 2 2 4 6" xfId="2434"/>
    <cellStyle name="Normal 14 2 2 4 6 2" xfId="5314"/>
    <cellStyle name="Normal 14 2 2 4 6 2 2" xfId="11074"/>
    <cellStyle name="Normal 14 2 2 4 6 2 2 2" xfId="28354"/>
    <cellStyle name="Normal 14 2 2 4 6 2 3" xfId="16834"/>
    <cellStyle name="Normal 14 2 2 4 6 2 3 2" xfId="34114"/>
    <cellStyle name="Normal 14 2 2 4 6 2 4" xfId="22594"/>
    <cellStyle name="Normal 14 2 2 4 6 3" xfId="8194"/>
    <cellStyle name="Normal 14 2 2 4 6 3 2" xfId="25474"/>
    <cellStyle name="Normal 14 2 2 4 6 4" xfId="13954"/>
    <cellStyle name="Normal 14 2 2 4 6 4 2" xfId="31234"/>
    <cellStyle name="Normal 14 2 2 4 6 5" xfId="19714"/>
    <cellStyle name="Normal 14 2 2 4 7" xfId="3874"/>
    <cellStyle name="Normal 14 2 2 4 7 2" xfId="9634"/>
    <cellStyle name="Normal 14 2 2 4 7 2 2" xfId="26914"/>
    <cellStyle name="Normal 14 2 2 4 7 3" xfId="15394"/>
    <cellStyle name="Normal 14 2 2 4 7 3 2" xfId="32674"/>
    <cellStyle name="Normal 14 2 2 4 7 4" xfId="21154"/>
    <cellStyle name="Normal 14 2 2 4 8" xfId="6754"/>
    <cellStyle name="Normal 14 2 2 4 8 2" xfId="24034"/>
    <cellStyle name="Normal 14 2 2 4 9" xfId="12514"/>
    <cellStyle name="Normal 14 2 2 4 9 2" xfId="29794"/>
    <cellStyle name="Normal 14 2 2 5" xfId="1074"/>
    <cellStyle name="Normal 14 2 2 5 2" xfId="1314"/>
    <cellStyle name="Normal 14 2 2 5 2 2" xfId="2034"/>
    <cellStyle name="Normal 14 2 2 5 2 2 2" xfId="3474"/>
    <cellStyle name="Normal 14 2 2 5 2 2 2 2" xfId="6354"/>
    <cellStyle name="Normal 14 2 2 5 2 2 2 2 2" xfId="12114"/>
    <cellStyle name="Normal 14 2 2 5 2 2 2 2 2 2" xfId="29394"/>
    <cellStyle name="Normal 14 2 2 5 2 2 2 2 3" xfId="17874"/>
    <cellStyle name="Normal 14 2 2 5 2 2 2 2 3 2" xfId="35154"/>
    <cellStyle name="Normal 14 2 2 5 2 2 2 2 4" xfId="23634"/>
    <cellStyle name="Normal 14 2 2 5 2 2 2 3" xfId="9234"/>
    <cellStyle name="Normal 14 2 2 5 2 2 2 3 2" xfId="26514"/>
    <cellStyle name="Normal 14 2 2 5 2 2 2 4" xfId="14994"/>
    <cellStyle name="Normal 14 2 2 5 2 2 2 4 2" xfId="32274"/>
    <cellStyle name="Normal 14 2 2 5 2 2 2 5" xfId="20754"/>
    <cellStyle name="Normal 14 2 2 5 2 2 3" xfId="4914"/>
    <cellStyle name="Normal 14 2 2 5 2 2 3 2" xfId="10674"/>
    <cellStyle name="Normal 14 2 2 5 2 2 3 2 2" xfId="27954"/>
    <cellStyle name="Normal 14 2 2 5 2 2 3 3" xfId="16434"/>
    <cellStyle name="Normal 14 2 2 5 2 2 3 3 2" xfId="33714"/>
    <cellStyle name="Normal 14 2 2 5 2 2 3 4" xfId="22194"/>
    <cellStyle name="Normal 14 2 2 5 2 2 4" xfId="7794"/>
    <cellStyle name="Normal 14 2 2 5 2 2 4 2" xfId="25074"/>
    <cellStyle name="Normal 14 2 2 5 2 2 5" xfId="13554"/>
    <cellStyle name="Normal 14 2 2 5 2 2 5 2" xfId="30834"/>
    <cellStyle name="Normal 14 2 2 5 2 2 6" xfId="19314"/>
    <cellStyle name="Normal 14 2 2 5 2 3" xfId="2754"/>
    <cellStyle name="Normal 14 2 2 5 2 3 2" xfId="5634"/>
    <cellStyle name="Normal 14 2 2 5 2 3 2 2" xfId="11394"/>
    <cellStyle name="Normal 14 2 2 5 2 3 2 2 2" xfId="28674"/>
    <cellStyle name="Normal 14 2 2 5 2 3 2 3" xfId="17154"/>
    <cellStyle name="Normal 14 2 2 5 2 3 2 3 2" xfId="34434"/>
    <cellStyle name="Normal 14 2 2 5 2 3 2 4" xfId="22914"/>
    <cellStyle name="Normal 14 2 2 5 2 3 3" xfId="8514"/>
    <cellStyle name="Normal 14 2 2 5 2 3 3 2" xfId="25794"/>
    <cellStyle name="Normal 14 2 2 5 2 3 4" xfId="14274"/>
    <cellStyle name="Normal 14 2 2 5 2 3 4 2" xfId="31554"/>
    <cellStyle name="Normal 14 2 2 5 2 3 5" xfId="20034"/>
    <cellStyle name="Normal 14 2 2 5 2 4" xfId="4194"/>
    <cellStyle name="Normal 14 2 2 5 2 4 2" xfId="9954"/>
    <cellStyle name="Normal 14 2 2 5 2 4 2 2" xfId="27234"/>
    <cellStyle name="Normal 14 2 2 5 2 4 3" xfId="15714"/>
    <cellStyle name="Normal 14 2 2 5 2 4 3 2" xfId="32994"/>
    <cellStyle name="Normal 14 2 2 5 2 4 4" xfId="21474"/>
    <cellStyle name="Normal 14 2 2 5 2 5" xfId="7074"/>
    <cellStyle name="Normal 14 2 2 5 2 5 2" xfId="24354"/>
    <cellStyle name="Normal 14 2 2 5 2 6" xfId="12834"/>
    <cellStyle name="Normal 14 2 2 5 2 6 2" xfId="30114"/>
    <cellStyle name="Normal 14 2 2 5 2 7" xfId="18594"/>
    <cellStyle name="Normal 14 2 2 5 3" xfId="1554"/>
    <cellStyle name="Normal 14 2 2 5 3 2" xfId="2274"/>
    <cellStyle name="Normal 14 2 2 5 3 2 2" xfId="3714"/>
    <cellStyle name="Normal 14 2 2 5 3 2 2 2" xfId="6594"/>
    <cellStyle name="Normal 14 2 2 5 3 2 2 2 2" xfId="12354"/>
    <cellStyle name="Normal 14 2 2 5 3 2 2 2 2 2" xfId="29634"/>
    <cellStyle name="Normal 14 2 2 5 3 2 2 2 3" xfId="18114"/>
    <cellStyle name="Normal 14 2 2 5 3 2 2 2 3 2" xfId="35394"/>
    <cellStyle name="Normal 14 2 2 5 3 2 2 2 4" xfId="23874"/>
    <cellStyle name="Normal 14 2 2 5 3 2 2 3" xfId="9474"/>
    <cellStyle name="Normal 14 2 2 5 3 2 2 3 2" xfId="26754"/>
    <cellStyle name="Normal 14 2 2 5 3 2 2 4" xfId="15234"/>
    <cellStyle name="Normal 14 2 2 5 3 2 2 4 2" xfId="32514"/>
    <cellStyle name="Normal 14 2 2 5 3 2 2 5" xfId="20994"/>
    <cellStyle name="Normal 14 2 2 5 3 2 3" xfId="5154"/>
    <cellStyle name="Normal 14 2 2 5 3 2 3 2" xfId="10914"/>
    <cellStyle name="Normal 14 2 2 5 3 2 3 2 2" xfId="28194"/>
    <cellStyle name="Normal 14 2 2 5 3 2 3 3" xfId="16674"/>
    <cellStyle name="Normal 14 2 2 5 3 2 3 3 2" xfId="33954"/>
    <cellStyle name="Normal 14 2 2 5 3 2 3 4" xfId="22434"/>
    <cellStyle name="Normal 14 2 2 5 3 2 4" xfId="8034"/>
    <cellStyle name="Normal 14 2 2 5 3 2 4 2" xfId="25314"/>
    <cellStyle name="Normal 14 2 2 5 3 2 5" xfId="13794"/>
    <cellStyle name="Normal 14 2 2 5 3 2 5 2" xfId="31074"/>
    <cellStyle name="Normal 14 2 2 5 3 2 6" xfId="19554"/>
    <cellStyle name="Normal 14 2 2 5 3 3" xfId="2994"/>
    <cellStyle name="Normal 14 2 2 5 3 3 2" xfId="5874"/>
    <cellStyle name="Normal 14 2 2 5 3 3 2 2" xfId="11634"/>
    <cellStyle name="Normal 14 2 2 5 3 3 2 2 2" xfId="28914"/>
    <cellStyle name="Normal 14 2 2 5 3 3 2 3" xfId="17394"/>
    <cellStyle name="Normal 14 2 2 5 3 3 2 3 2" xfId="34674"/>
    <cellStyle name="Normal 14 2 2 5 3 3 2 4" xfId="23154"/>
    <cellStyle name="Normal 14 2 2 5 3 3 3" xfId="8754"/>
    <cellStyle name="Normal 14 2 2 5 3 3 3 2" xfId="26034"/>
    <cellStyle name="Normal 14 2 2 5 3 3 4" xfId="14514"/>
    <cellStyle name="Normal 14 2 2 5 3 3 4 2" xfId="31794"/>
    <cellStyle name="Normal 14 2 2 5 3 3 5" xfId="20274"/>
    <cellStyle name="Normal 14 2 2 5 3 4" xfId="4434"/>
    <cellStyle name="Normal 14 2 2 5 3 4 2" xfId="10194"/>
    <cellStyle name="Normal 14 2 2 5 3 4 2 2" xfId="27474"/>
    <cellStyle name="Normal 14 2 2 5 3 4 3" xfId="15954"/>
    <cellStyle name="Normal 14 2 2 5 3 4 3 2" xfId="33234"/>
    <cellStyle name="Normal 14 2 2 5 3 4 4" xfId="21714"/>
    <cellStyle name="Normal 14 2 2 5 3 5" xfId="7314"/>
    <cellStyle name="Normal 14 2 2 5 3 5 2" xfId="24594"/>
    <cellStyle name="Normal 14 2 2 5 3 6" xfId="13074"/>
    <cellStyle name="Normal 14 2 2 5 3 6 2" xfId="30354"/>
    <cellStyle name="Normal 14 2 2 5 3 7" xfId="18834"/>
    <cellStyle name="Normal 14 2 2 5 4" xfId="1794"/>
    <cellStyle name="Normal 14 2 2 5 4 2" xfId="3234"/>
    <cellStyle name="Normal 14 2 2 5 4 2 2" xfId="6114"/>
    <cellStyle name="Normal 14 2 2 5 4 2 2 2" xfId="11874"/>
    <cellStyle name="Normal 14 2 2 5 4 2 2 2 2" xfId="29154"/>
    <cellStyle name="Normal 14 2 2 5 4 2 2 3" xfId="17634"/>
    <cellStyle name="Normal 14 2 2 5 4 2 2 3 2" xfId="34914"/>
    <cellStyle name="Normal 14 2 2 5 4 2 2 4" xfId="23394"/>
    <cellStyle name="Normal 14 2 2 5 4 2 3" xfId="8994"/>
    <cellStyle name="Normal 14 2 2 5 4 2 3 2" xfId="26274"/>
    <cellStyle name="Normal 14 2 2 5 4 2 4" xfId="14754"/>
    <cellStyle name="Normal 14 2 2 5 4 2 4 2" xfId="32034"/>
    <cellStyle name="Normal 14 2 2 5 4 2 5" xfId="20514"/>
    <cellStyle name="Normal 14 2 2 5 4 3" xfId="4674"/>
    <cellStyle name="Normal 14 2 2 5 4 3 2" xfId="10434"/>
    <cellStyle name="Normal 14 2 2 5 4 3 2 2" xfId="27714"/>
    <cellStyle name="Normal 14 2 2 5 4 3 3" xfId="16194"/>
    <cellStyle name="Normal 14 2 2 5 4 3 3 2" xfId="33474"/>
    <cellStyle name="Normal 14 2 2 5 4 3 4" xfId="21954"/>
    <cellStyle name="Normal 14 2 2 5 4 4" xfId="7554"/>
    <cellStyle name="Normal 14 2 2 5 4 4 2" xfId="24834"/>
    <cellStyle name="Normal 14 2 2 5 4 5" xfId="13314"/>
    <cellStyle name="Normal 14 2 2 5 4 5 2" xfId="30594"/>
    <cellStyle name="Normal 14 2 2 5 4 6" xfId="19074"/>
    <cellStyle name="Normal 14 2 2 5 5" xfId="2514"/>
    <cellStyle name="Normal 14 2 2 5 5 2" xfId="5394"/>
    <cellStyle name="Normal 14 2 2 5 5 2 2" xfId="11154"/>
    <cellStyle name="Normal 14 2 2 5 5 2 2 2" xfId="28434"/>
    <cellStyle name="Normal 14 2 2 5 5 2 3" xfId="16914"/>
    <cellStyle name="Normal 14 2 2 5 5 2 3 2" xfId="34194"/>
    <cellStyle name="Normal 14 2 2 5 5 2 4" xfId="22674"/>
    <cellStyle name="Normal 14 2 2 5 5 3" xfId="8274"/>
    <cellStyle name="Normal 14 2 2 5 5 3 2" xfId="25554"/>
    <cellStyle name="Normal 14 2 2 5 5 4" xfId="14034"/>
    <cellStyle name="Normal 14 2 2 5 5 4 2" xfId="31314"/>
    <cellStyle name="Normal 14 2 2 5 5 5" xfId="19794"/>
    <cellStyle name="Normal 14 2 2 5 6" xfId="3954"/>
    <cellStyle name="Normal 14 2 2 5 6 2" xfId="9714"/>
    <cellStyle name="Normal 14 2 2 5 6 2 2" xfId="26994"/>
    <cellStyle name="Normal 14 2 2 5 6 3" xfId="15474"/>
    <cellStyle name="Normal 14 2 2 5 6 3 2" xfId="32754"/>
    <cellStyle name="Normal 14 2 2 5 6 4" xfId="21234"/>
    <cellStyle name="Normal 14 2 2 5 7" xfId="6834"/>
    <cellStyle name="Normal 14 2 2 5 7 2" xfId="24114"/>
    <cellStyle name="Normal 14 2 2 5 8" xfId="12594"/>
    <cellStyle name="Normal 14 2 2 5 8 2" xfId="29874"/>
    <cellStyle name="Normal 14 2 2 5 9" xfId="18354"/>
    <cellStyle name="Normal 14 2 2 6" xfId="1194"/>
    <cellStyle name="Normal 14 2 2 6 2" xfId="1914"/>
    <cellStyle name="Normal 14 2 2 6 2 2" xfId="3354"/>
    <cellStyle name="Normal 14 2 2 6 2 2 2" xfId="6234"/>
    <cellStyle name="Normal 14 2 2 6 2 2 2 2" xfId="11994"/>
    <cellStyle name="Normal 14 2 2 6 2 2 2 2 2" xfId="29274"/>
    <cellStyle name="Normal 14 2 2 6 2 2 2 3" xfId="17754"/>
    <cellStyle name="Normal 14 2 2 6 2 2 2 3 2" xfId="35034"/>
    <cellStyle name="Normal 14 2 2 6 2 2 2 4" xfId="23514"/>
    <cellStyle name="Normal 14 2 2 6 2 2 3" xfId="9114"/>
    <cellStyle name="Normal 14 2 2 6 2 2 3 2" xfId="26394"/>
    <cellStyle name="Normal 14 2 2 6 2 2 4" xfId="14874"/>
    <cellStyle name="Normal 14 2 2 6 2 2 4 2" xfId="32154"/>
    <cellStyle name="Normal 14 2 2 6 2 2 5" xfId="20634"/>
    <cellStyle name="Normal 14 2 2 6 2 3" xfId="4794"/>
    <cellStyle name="Normal 14 2 2 6 2 3 2" xfId="10554"/>
    <cellStyle name="Normal 14 2 2 6 2 3 2 2" xfId="27834"/>
    <cellStyle name="Normal 14 2 2 6 2 3 3" xfId="16314"/>
    <cellStyle name="Normal 14 2 2 6 2 3 3 2" xfId="33594"/>
    <cellStyle name="Normal 14 2 2 6 2 3 4" xfId="22074"/>
    <cellStyle name="Normal 14 2 2 6 2 4" xfId="7674"/>
    <cellStyle name="Normal 14 2 2 6 2 4 2" xfId="24954"/>
    <cellStyle name="Normal 14 2 2 6 2 5" xfId="13434"/>
    <cellStyle name="Normal 14 2 2 6 2 5 2" xfId="30714"/>
    <cellStyle name="Normal 14 2 2 6 2 6" xfId="19194"/>
    <cellStyle name="Normal 14 2 2 6 3" xfId="2634"/>
    <cellStyle name="Normal 14 2 2 6 3 2" xfId="5514"/>
    <cellStyle name="Normal 14 2 2 6 3 2 2" xfId="11274"/>
    <cellStyle name="Normal 14 2 2 6 3 2 2 2" xfId="28554"/>
    <cellStyle name="Normal 14 2 2 6 3 2 3" xfId="17034"/>
    <cellStyle name="Normal 14 2 2 6 3 2 3 2" xfId="34314"/>
    <cellStyle name="Normal 14 2 2 6 3 2 4" xfId="22794"/>
    <cellStyle name="Normal 14 2 2 6 3 3" xfId="8394"/>
    <cellStyle name="Normal 14 2 2 6 3 3 2" xfId="25674"/>
    <cellStyle name="Normal 14 2 2 6 3 4" xfId="14154"/>
    <cellStyle name="Normal 14 2 2 6 3 4 2" xfId="31434"/>
    <cellStyle name="Normal 14 2 2 6 3 5" xfId="19914"/>
    <cellStyle name="Normal 14 2 2 6 4" xfId="4074"/>
    <cellStyle name="Normal 14 2 2 6 4 2" xfId="9834"/>
    <cellStyle name="Normal 14 2 2 6 4 2 2" xfId="27114"/>
    <cellStyle name="Normal 14 2 2 6 4 3" xfId="15594"/>
    <cellStyle name="Normal 14 2 2 6 4 3 2" xfId="32874"/>
    <cellStyle name="Normal 14 2 2 6 4 4" xfId="21354"/>
    <cellStyle name="Normal 14 2 2 6 5" xfId="6954"/>
    <cellStyle name="Normal 14 2 2 6 5 2" xfId="24234"/>
    <cellStyle name="Normal 14 2 2 6 6" xfId="12714"/>
    <cellStyle name="Normal 14 2 2 6 6 2" xfId="29994"/>
    <cellStyle name="Normal 14 2 2 6 7" xfId="18474"/>
    <cellStyle name="Normal 14 2 2 7" xfId="1434"/>
    <cellStyle name="Normal 14 2 2 7 2" xfId="2154"/>
    <cellStyle name="Normal 14 2 2 7 2 2" xfId="3594"/>
    <cellStyle name="Normal 14 2 2 7 2 2 2" xfId="6474"/>
    <cellStyle name="Normal 14 2 2 7 2 2 2 2" xfId="12234"/>
    <cellStyle name="Normal 14 2 2 7 2 2 2 2 2" xfId="29514"/>
    <cellStyle name="Normal 14 2 2 7 2 2 2 3" xfId="17994"/>
    <cellStyle name="Normal 14 2 2 7 2 2 2 3 2" xfId="35274"/>
    <cellStyle name="Normal 14 2 2 7 2 2 2 4" xfId="23754"/>
    <cellStyle name="Normal 14 2 2 7 2 2 3" xfId="9354"/>
    <cellStyle name="Normal 14 2 2 7 2 2 3 2" xfId="26634"/>
    <cellStyle name="Normal 14 2 2 7 2 2 4" xfId="15114"/>
    <cellStyle name="Normal 14 2 2 7 2 2 4 2" xfId="32394"/>
    <cellStyle name="Normal 14 2 2 7 2 2 5" xfId="20874"/>
    <cellStyle name="Normal 14 2 2 7 2 3" xfId="5034"/>
    <cellStyle name="Normal 14 2 2 7 2 3 2" xfId="10794"/>
    <cellStyle name="Normal 14 2 2 7 2 3 2 2" xfId="28074"/>
    <cellStyle name="Normal 14 2 2 7 2 3 3" xfId="16554"/>
    <cellStyle name="Normal 14 2 2 7 2 3 3 2" xfId="33834"/>
    <cellStyle name="Normal 14 2 2 7 2 3 4" xfId="22314"/>
    <cellStyle name="Normal 14 2 2 7 2 4" xfId="7914"/>
    <cellStyle name="Normal 14 2 2 7 2 4 2" xfId="25194"/>
    <cellStyle name="Normal 14 2 2 7 2 5" xfId="13674"/>
    <cellStyle name="Normal 14 2 2 7 2 5 2" xfId="30954"/>
    <cellStyle name="Normal 14 2 2 7 2 6" xfId="19434"/>
    <cellStyle name="Normal 14 2 2 7 3" xfId="2874"/>
    <cellStyle name="Normal 14 2 2 7 3 2" xfId="5754"/>
    <cellStyle name="Normal 14 2 2 7 3 2 2" xfId="11514"/>
    <cellStyle name="Normal 14 2 2 7 3 2 2 2" xfId="28794"/>
    <cellStyle name="Normal 14 2 2 7 3 2 3" xfId="17274"/>
    <cellStyle name="Normal 14 2 2 7 3 2 3 2" xfId="34554"/>
    <cellStyle name="Normal 14 2 2 7 3 2 4" xfId="23034"/>
    <cellStyle name="Normal 14 2 2 7 3 3" xfId="8634"/>
    <cellStyle name="Normal 14 2 2 7 3 3 2" xfId="25914"/>
    <cellStyle name="Normal 14 2 2 7 3 4" xfId="14394"/>
    <cellStyle name="Normal 14 2 2 7 3 4 2" xfId="31674"/>
    <cellStyle name="Normal 14 2 2 7 3 5" xfId="20154"/>
    <cellStyle name="Normal 14 2 2 7 4" xfId="4314"/>
    <cellStyle name="Normal 14 2 2 7 4 2" xfId="10074"/>
    <cellStyle name="Normal 14 2 2 7 4 2 2" xfId="27354"/>
    <cellStyle name="Normal 14 2 2 7 4 3" xfId="15834"/>
    <cellStyle name="Normal 14 2 2 7 4 3 2" xfId="33114"/>
    <cellStyle name="Normal 14 2 2 7 4 4" xfId="21594"/>
    <cellStyle name="Normal 14 2 2 7 5" xfId="7194"/>
    <cellStyle name="Normal 14 2 2 7 5 2" xfId="24474"/>
    <cellStyle name="Normal 14 2 2 7 6" xfId="12954"/>
    <cellStyle name="Normal 14 2 2 7 6 2" xfId="30234"/>
    <cellStyle name="Normal 14 2 2 7 7" xfId="18714"/>
    <cellStyle name="Normal 14 2 2 8" xfId="1674"/>
    <cellStyle name="Normal 14 2 2 8 2" xfId="3114"/>
    <cellStyle name="Normal 14 2 2 8 2 2" xfId="5994"/>
    <cellStyle name="Normal 14 2 2 8 2 2 2" xfId="11754"/>
    <cellStyle name="Normal 14 2 2 8 2 2 2 2" xfId="29034"/>
    <cellStyle name="Normal 14 2 2 8 2 2 3" xfId="17514"/>
    <cellStyle name="Normal 14 2 2 8 2 2 3 2" xfId="34794"/>
    <cellStyle name="Normal 14 2 2 8 2 2 4" xfId="23274"/>
    <cellStyle name="Normal 14 2 2 8 2 3" xfId="8874"/>
    <cellStyle name="Normal 14 2 2 8 2 3 2" xfId="26154"/>
    <cellStyle name="Normal 14 2 2 8 2 4" xfId="14634"/>
    <cellStyle name="Normal 14 2 2 8 2 4 2" xfId="31914"/>
    <cellStyle name="Normal 14 2 2 8 2 5" xfId="20394"/>
    <cellStyle name="Normal 14 2 2 8 3" xfId="4554"/>
    <cellStyle name="Normal 14 2 2 8 3 2" xfId="10314"/>
    <cellStyle name="Normal 14 2 2 8 3 2 2" xfId="27594"/>
    <cellStyle name="Normal 14 2 2 8 3 3" xfId="16074"/>
    <cellStyle name="Normal 14 2 2 8 3 3 2" xfId="33354"/>
    <cellStyle name="Normal 14 2 2 8 3 4" xfId="21834"/>
    <cellStyle name="Normal 14 2 2 8 4" xfId="7434"/>
    <cellStyle name="Normal 14 2 2 8 4 2" xfId="24714"/>
    <cellStyle name="Normal 14 2 2 8 5" xfId="13194"/>
    <cellStyle name="Normal 14 2 2 8 5 2" xfId="30474"/>
    <cellStyle name="Normal 14 2 2 8 6" xfId="18954"/>
    <cellStyle name="Normal 14 2 2 9" xfId="2394"/>
    <cellStyle name="Normal 14 2 2 9 2" xfId="5274"/>
    <cellStyle name="Normal 14 2 2 9 2 2" xfId="11034"/>
    <cellStyle name="Normal 14 2 2 9 2 2 2" xfId="28314"/>
    <cellStyle name="Normal 14 2 2 9 2 3" xfId="16794"/>
    <cellStyle name="Normal 14 2 2 9 2 3 2" xfId="34074"/>
    <cellStyle name="Normal 14 2 2 9 2 4" xfId="22554"/>
    <cellStyle name="Normal 14 2 2 9 3" xfId="8154"/>
    <cellStyle name="Normal 14 2 2 9 3 2" xfId="25434"/>
    <cellStyle name="Normal 14 2 2 9 4" xfId="13914"/>
    <cellStyle name="Normal 14 2 2 9 4 2" xfId="31194"/>
    <cellStyle name="Normal 14 2 2 9 5" xfId="19674"/>
    <cellStyle name="Normal 14 2 3" xfId="413"/>
    <cellStyle name="Normal 14 2 3 10" xfId="6724"/>
    <cellStyle name="Normal 14 2 3 10 2" xfId="24004"/>
    <cellStyle name="Normal 14 2 3 11" xfId="12484"/>
    <cellStyle name="Normal 14 2 3 11 2" xfId="29764"/>
    <cellStyle name="Normal 14 2 3 12" xfId="18244"/>
    <cellStyle name="Normal 14 2 3 2" xfId="1044"/>
    <cellStyle name="Normal 14 2 3 2 10" xfId="18324"/>
    <cellStyle name="Normal 14 2 3 2 2" xfId="1164"/>
    <cellStyle name="Normal 14 2 3 2 2 2" xfId="1404"/>
    <cellStyle name="Normal 14 2 3 2 2 2 2" xfId="2124"/>
    <cellStyle name="Normal 14 2 3 2 2 2 2 2" xfId="3564"/>
    <cellStyle name="Normal 14 2 3 2 2 2 2 2 2" xfId="6444"/>
    <cellStyle name="Normal 14 2 3 2 2 2 2 2 2 2" xfId="12204"/>
    <cellStyle name="Normal 14 2 3 2 2 2 2 2 2 2 2" xfId="29484"/>
    <cellStyle name="Normal 14 2 3 2 2 2 2 2 2 3" xfId="17964"/>
    <cellStyle name="Normal 14 2 3 2 2 2 2 2 2 3 2" xfId="35244"/>
    <cellStyle name="Normal 14 2 3 2 2 2 2 2 2 4" xfId="23724"/>
    <cellStyle name="Normal 14 2 3 2 2 2 2 2 3" xfId="9324"/>
    <cellStyle name="Normal 14 2 3 2 2 2 2 2 3 2" xfId="26604"/>
    <cellStyle name="Normal 14 2 3 2 2 2 2 2 4" xfId="15084"/>
    <cellStyle name="Normal 14 2 3 2 2 2 2 2 4 2" xfId="32364"/>
    <cellStyle name="Normal 14 2 3 2 2 2 2 2 5" xfId="20844"/>
    <cellStyle name="Normal 14 2 3 2 2 2 2 3" xfId="5004"/>
    <cellStyle name="Normal 14 2 3 2 2 2 2 3 2" xfId="10764"/>
    <cellStyle name="Normal 14 2 3 2 2 2 2 3 2 2" xfId="28044"/>
    <cellStyle name="Normal 14 2 3 2 2 2 2 3 3" xfId="16524"/>
    <cellStyle name="Normal 14 2 3 2 2 2 2 3 3 2" xfId="33804"/>
    <cellStyle name="Normal 14 2 3 2 2 2 2 3 4" xfId="22284"/>
    <cellStyle name="Normal 14 2 3 2 2 2 2 4" xfId="7884"/>
    <cellStyle name="Normal 14 2 3 2 2 2 2 4 2" xfId="25164"/>
    <cellStyle name="Normal 14 2 3 2 2 2 2 5" xfId="13644"/>
    <cellStyle name="Normal 14 2 3 2 2 2 2 5 2" xfId="30924"/>
    <cellStyle name="Normal 14 2 3 2 2 2 2 6" xfId="19404"/>
    <cellStyle name="Normal 14 2 3 2 2 2 3" xfId="2844"/>
    <cellStyle name="Normal 14 2 3 2 2 2 3 2" xfId="5724"/>
    <cellStyle name="Normal 14 2 3 2 2 2 3 2 2" xfId="11484"/>
    <cellStyle name="Normal 14 2 3 2 2 2 3 2 2 2" xfId="28764"/>
    <cellStyle name="Normal 14 2 3 2 2 2 3 2 3" xfId="17244"/>
    <cellStyle name="Normal 14 2 3 2 2 2 3 2 3 2" xfId="34524"/>
    <cellStyle name="Normal 14 2 3 2 2 2 3 2 4" xfId="23004"/>
    <cellStyle name="Normal 14 2 3 2 2 2 3 3" xfId="8604"/>
    <cellStyle name="Normal 14 2 3 2 2 2 3 3 2" xfId="25884"/>
    <cellStyle name="Normal 14 2 3 2 2 2 3 4" xfId="14364"/>
    <cellStyle name="Normal 14 2 3 2 2 2 3 4 2" xfId="31644"/>
    <cellStyle name="Normal 14 2 3 2 2 2 3 5" xfId="20124"/>
    <cellStyle name="Normal 14 2 3 2 2 2 4" xfId="4284"/>
    <cellStyle name="Normal 14 2 3 2 2 2 4 2" xfId="10044"/>
    <cellStyle name="Normal 14 2 3 2 2 2 4 2 2" xfId="27324"/>
    <cellStyle name="Normal 14 2 3 2 2 2 4 3" xfId="15804"/>
    <cellStyle name="Normal 14 2 3 2 2 2 4 3 2" xfId="33084"/>
    <cellStyle name="Normal 14 2 3 2 2 2 4 4" xfId="21564"/>
    <cellStyle name="Normal 14 2 3 2 2 2 5" xfId="7164"/>
    <cellStyle name="Normal 14 2 3 2 2 2 5 2" xfId="24444"/>
    <cellStyle name="Normal 14 2 3 2 2 2 6" xfId="12924"/>
    <cellStyle name="Normal 14 2 3 2 2 2 6 2" xfId="30204"/>
    <cellStyle name="Normal 14 2 3 2 2 2 7" xfId="18684"/>
    <cellStyle name="Normal 14 2 3 2 2 3" xfId="1644"/>
    <cellStyle name="Normal 14 2 3 2 2 3 2" xfId="2364"/>
    <cellStyle name="Normal 14 2 3 2 2 3 2 2" xfId="3804"/>
    <cellStyle name="Normal 14 2 3 2 2 3 2 2 2" xfId="6684"/>
    <cellStyle name="Normal 14 2 3 2 2 3 2 2 2 2" xfId="12444"/>
    <cellStyle name="Normal 14 2 3 2 2 3 2 2 2 2 2" xfId="29724"/>
    <cellStyle name="Normal 14 2 3 2 2 3 2 2 2 3" xfId="18204"/>
    <cellStyle name="Normal 14 2 3 2 2 3 2 2 2 3 2" xfId="35484"/>
    <cellStyle name="Normal 14 2 3 2 2 3 2 2 2 4" xfId="23964"/>
    <cellStyle name="Normal 14 2 3 2 2 3 2 2 3" xfId="9564"/>
    <cellStyle name="Normal 14 2 3 2 2 3 2 2 3 2" xfId="26844"/>
    <cellStyle name="Normal 14 2 3 2 2 3 2 2 4" xfId="15324"/>
    <cellStyle name="Normal 14 2 3 2 2 3 2 2 4 2" xfId="32604"/>
    <cellStyle name="Normal 14 2 3 2 2 3 2 2 5" xfId="21084"/>
    <cellStyle name="Normal 14 2 3 2 2 3 2 3" xfId="5244"/>
    <cellStyle name="Normal 14 2 3 2 2 3 2 3 2" xfId="11004"/>
    <cellStyle name="Normal 14 2 3 2 2 3 2 3 2 2" xfId="28284"/>
    <cellStyle name="Normal 14 2 3 2 2 3 2 3 3" xfId="16764"/>
    <cellStyle name="Normal 14 2 3 2 2 3 2 3 3 2" xfId="34044"/>
    <cellStyle name="Normal 14 2 3 2 2 3 2 3 4" xfId="22524"/>
    <cellStyle name="Normal 14 2 3 2 2 3 2 4" xfId="8124"/>
    <cellStyle name="Normal 14 2 3 2 2 3 2 4 2" xfId="25404"/>
    <cellStyle name="Normal 14 2 3 2 2 3 2 5" xfId="13884"/>
    <cellStyle name="Normal 14 2 3 2 2 3 2 5 2" xfId="31164"/>
    <cellStyle name="Normal 14 2 3 2 2 3 2 6" xfId="19644"/>
    <cellStyle name="Normal 14 2 3 2 2 3 3" xfId="3084"/>
    <cellStyle name="Normal 14 2 3 2 2 3 3 2" xfId="5964"/>
    <cellStyle name="Normal 14 2 3 2 2 3 3 2 2" xfId="11724"/>
    <cellStyle name="Normal 14 2 3 2 2 3 3 2 2 2" xfId="29004"/>
    <cellStyle name="Normal 14 2 3 2 2 3 3 2 3" xfId="17484"/>
    <cellStyle name="Normal 14 2 3 2 2 3 3 2 3 2" xfId="34764"/>
    <cellStyle name="Normal 14 2 3 2 2 3 3 2 4" xfId="23244"/>
    <cellStyle name="Normal 14 2 3 2 2 3 3 3" xfId="8844"/>
    <cellStyle name="Normal 14 2 3 2 2 3 3 3 2" xfId="26124"/>
    <cellStyle name="Normal 14 2 3 2 2 3 3 4" xfId="14604"/>
    <cellStyle name="Normal 14 2 3 2 2 3 3 4 2" xfId="31884"/>
    <cellStyle name="Normal 14 2 3 2 2 3 3 5" xfId="20364"/>
    <cellStyle name="Normal 14 2 3 2 2 3 4" xfId="4524"/>
    <cellStyle name="Normal 14 2 3 2 2 3 4 2" xfId="10284"/>
    <cellStyle name="Normal 14 2 3 2 2 3 4 2 2" xfId="27564"/>
    <cellStyle name="Normal 14 2 3 2 2 3 4 3" xfId="16044"/>
    <cellStyle name="Normal 14 2 3 2 2 3 4 3 2" xfId="33324"/>
    <cellStyle name="Normal 14 2 3 2 2 3 4 4" xfId="21804"/>
    <cellStyle name="Normal 14 2 3 2 2 3 5" xfId="7404"/>
    <cellStyle name="Normal 14 2 3 2 2 3 5 2" xfId="24684"/>
    <cellStyle name="Normal 14 2 3 2 2 3 6" xfId="13164"/>
    <cellStyle name="Normal 14 2 3 2 2 3 6 2" xfId="30444"/>
    <cellStyle name="Normal 14 2 3 2 2 3 7" xfId="18924"/>
    <cellStyle name="Normal 14 2 3 2 2 4" xfId="1884"/>
    <cellStyle name="Normal 14 2 3 2 2 4 2" xfId="3324"/>
    <cellStyle name="Normal 14 2 3 2 2 4 2 2" xfId="6204"/>
    <cellStyle name="Normal 14 2 3 2 2 4 2 2 2" xfId="11964"/>
    <cellStyle name="Normal 14 2 3 2 2 4 2 2 2 2" xfId="29244"/>
    <cellStyle name="Normal 14 2 3 2 2 4 2 2 3" xfId="17724"/>
    <cellStyle name="Normal 14 2 3 2 2 4 2 2 3 2" xfId="35004"/>
    <cellStyle name="Normal 14 2 3 2 2 4 2 2 4" xfId="23484"/>
    <cellStyle name="Normal 14 2 3 2 2 4 2 3" xfId="9084"/>
    <cellStyle name="Normal 14 2 3 2 2 4 2 3 2" xfId="26364"/>
    <cellStyle name="Normal 14 2 3 2 2 4 2 4" xfId="14844"/>
    <cellStyle name="Normal 14 2 3 2 2 4 2 4 2" xfId="32124"/>
    <cellStyle name="Normal 14 2 3 2 2 4 2 5" xfId="20604"/>
    <cellStyle name="Normal 14 2 3 2 2 4 3" xfId="4764"/>
    <cellStyle name="Normal 14 2 3 2 2 4 3 2" xfId="10524"/>
    <cellStyle name="Normal 14 2 3 2 2 4 3 2 2" xfId="27804"/>
    <cellStyle name="Normal 14 2 3 2 2 4 3 3" xfId="16284"/>
    <cellStyle name="Normal 14 2 3 2 2 4 3 3 2" xfId="33564"/>
    <cellStyle name="Normal 14 2 3 2 2 4 3 4" xfId="22044"/>
    <cellStyle name="Normal 14 2 3 2 2 4 4" xfId="7644"/>
    <cellStyle name="Normal 14 2 3 2 2 4 4 2" xfId="24924"/>
    <cellStyle name="Normal 14 2 3 2 2 4 5" xfId="13404"/>
    <cellStyle name="Normal 14 2 3 2 2 4 5 2" xfId="30684"/>
    <cellStyle name="Normal 14 2 3 2 2 4 6" xfId="19164"/>
    <cellStyle name="Normal 14 2 3 2 2 5" xfId="2604"/>
    <cellStyle name="Normal 14 2 3 2 2 5 2" xfId="5484"/>
    <cellStyle name="Normal 14 2 3 2 2 5 2 2" xfId="11244"/>
    <cellStyle name="Normal 14 2 3 2 2 5 2 2 2" xfId="28524"/>
    <cellStyle name="Normal 14 2 3 2 2 5 2 3" xfId="17004"/>
    <cellStyle name="Normal 14 2 3 2 2 5 2 3 2" xfId="34284"/>
    <cellStyle name="Normal 14 2 3 2 2 5 2 4" xfId="22764"/>
    <cellStyle name="Normal 14 2 3 2 2 5 3" xfId="8364"/>
    <cellStyle name="Normal 14 2 3 2 2 5 3 2" xfId="25644"/>
    <cellStyle name="Normal 14 2 3 2 2 5 4" xfId="14124"/>
    <cellStyle name="Normal 14 2 3 2 2 5 4 2" xfId="31404"/>
    <cellStyle name="Normal 14 2 3 2 2 5 5" xfId="19884"/>
    <cellStyle name="Normal 14 2 3 2 2 6" xfId="4044"/>
    <cellStyle name="Normal 14 2 3 2 2 6 2" xfId="9804"/>
    <cellStyle name="Normal 14 2 3 2 2 6 2 2" xfId="27084"/>
    <cellStyle name="Normal 14 2 3 2 2 6 3" xfId="15564"/>
    <cellStyle name="Normal 14 2 3 2 2 6 3 2" xfId="32844"/>
    <cellStyle name="Normal 14 2 3 2 2 6 4" xfId="21324"/>
    <cellStyle name="Normal 14 2 3 2 2 7" xfId="6924"/>
    <cellStyle name="Normal 14 2 3 2 2 7 2" xfId="24204"/>
    <cellStyle name="Normal 14 2 3 2 2 8" xfId="12684"/>
    <cellStyle name="Normal 14 2 3 2 2 8 2" xfId="29964"/>
    <cellStyle name="Normal 14 2 3 2 2 9" xfId="18444"/>
    <cellStyle name="Normal 14 2 3 2 3" xfId="1284"/>
    <cellStyle name="Normal 14 2 3 2 3 2" xfId="2004"/>
    <cellStyle name="Normal 14 2 3 2 3 2 2" xfId="3444"/>
    <cellStyle name="Normal 14 2 3 2 3 2 2 2" xfId="6324"/>
    <cellStyle name="Normal 14 2 3 2 3 2 2 2 2" xfId="12084"/>
    <cellStyle name="Normal 14 2 3 2 3 2 2 2 2 2" xfId="29364"/>
    <cellStyle name="Normal 14 2 3 2 3 2 2 2 3" xfId="17844"/>
    <cellStyle name="Normal 14 2 3 2 3 2 2 2 3 2" xfId="35124"/>
    <cellStyle name="Normal 14 2 3 2 3 2 2 2 4" xfId="23604"/>
    <cellStyle name="Normal 14 2 3 2 3 2 2 3" xfId="9204"/>
    <cellStyle name="Normal 14 2 3 2 3 2 2 3 2" xfId="26484"/>
    <cellStyle name="Normal 14 2 3 2 3 2 2 4" xfId="14964"/>
    <cellStyle name="Normal 14 2 3 2 3 2 2 4 2" xfId="32244"/>
    <cellStyle name="Normal 14 2 3 2 3 2 2 5" xfId="20724"/>
    <cellStyle name="Normal 14 2 3 2 3 2 3" xfId="4884"/>
    <cellStyle name="Normal 14 2 3 2 3 2 3 2" xfId="10644"/>
    <cellStyle name="Normal 14 2 3 2 3 2 3 2 2" xfId="27924"/>
    <cellStyle name="Normal 14 2 3 2 3 2 3 3" xfId="16404"/>
    <cellStyle name="Normal 14 2 3 2 3 2 3 3 2" xfId="33684"/>
    <cellStyle name="Normal 14 2 3 2 3 2 3 4" xfId="22164"/>
    <cellStyle name="Normal 14 2 3 2 3 2 4" xfId="7764"/>
    <cellStyle name="Normal 14 2 3 2 3 2 4 2" xfId="25044"/>
    <cellStyle name="Normal 14 2 3 2 3 2 5" xfId="13524"/>
    <cellStyle name="Normal 14 2 3 2 3 2 5 2" xfId="30804"/>
    <cellStyle name="Normal 14 2 3 2 3 2 6" xfId="19284"/>
    <cellStyle name="Normal 14 2 3 2 3 3" xfId="2724"/>
    <cellStyle name="Normal 14 2 3 2 3 3 2" xfId="5604"/>
    <cellStyle name="Normal 14 2 3 2 3 3 2 2" xfId="11364"/>
    <cellStyle name="Normal 14 2 3 2 3 3 2 2 2" xfId="28644"/>
    <cellStyle name="Normal 14 2 3 2 3 3 2 3" xfId="17124"/>
    <cellStyle name="Normal 14 2 3 2 3 3 2 3 2" xfId="34404"/>
    <cellStyle name="Normal 14 2 3 2 3 3 2 4" xfId="22884"/>
    <cellStyle name="Normal 14 2 3 2 3 3 3" xfId="8484"/>
    <cellStyle name="Normal 14 2 3 2 3 3 3 2" xfId="25764"/>
    <cellStyle name="Normal 14 2 3 2 3 3 4" xfId="14244"/>
    <cellStyle name="Normal 14 2 3 2 3 3 4 2" xfId="31524"/>
    <cellStyle name="Normal 14 2 3 2 3 3 5" xfId="20004"/>
    <cellStyle name="Normal 14 2 3 2 3 4" xfId="4164"/>
    <cellStyle name="Normal 14 2 3 2 3 4 2" xfId="9924"/>
    <cellStyle name="Normal 14 2 3 2 3 4 2 2" xfId="27204"/>
    <cellStyle name="Normal 14 2 3 2 3 4 3" xfId="15684"/>
    <cellStyle name="Normal 14 2 3 2 3 4 3 2" xfId="32964"/>
    <cellStyle name="Normal 14 2 3 2 3 4 4" xfId="21444"/>
    <cellStyle name="Normal 14 2 3 2 3 5" xfId="7044"/>
    <cellStyle name="Normal 14 2 3 2 3 5 2" xfId="24324"/>
    <cellStyle name="Normal 14 2 3 2 3 6" xfId="12804"/>
    <cellStyle name="Normal 14 2 3 2 3 6 2" xfId="30084"/>
    <cellStyle name="Normal 14 2 3 2 3 7" xfId="18564"/>
    <cellStyle name="Normal 14 2 3 2 4" xfId="1524"/>
    <cellStyle name="Normal 14 2 3 2 4 2" xfId="2244"/>
    <cellStyle name="Normal 14 2 3 2 4 2 2" xfId="3684"/>
    <cellStyle name="Normal 14 2 3 2 4 2 2 2" xfId="6564"/>
    <cellStyle name="Normal 14 2 3 2 4 2 2 2 2" xfId="12324"/>
    <cellStyle name="Normal 14 2 3 2 4 2 2 2 2 2" xfId="29604"/>
    <cellStyle name="Normal 14 2 3 2 4 2 2 2 3" xfId="18084"/>
    <cellStyle name="Normal 14 2 3 2 4 2 2 2 3 2" xfId="35364"/>
    <cellStyle name="Normal 14 2 3 2 4 2 2 2 4" xfId="23844"/>
    <cellStyle name="Normal 14 2 3 2 4 2 2 3" xfId="9444"/>
    <cellStyle name="Normal 14 2 3 2 4 2 2 3 2" xfId="26724"/>
    <cellStyle name="Normal 14 2 3 2 4 2 2 4" xfId="15204"/>
    <cellStyle name="Normal 14 2 3 2 4 2 2 4 2" xfId="32484"/>
    <cellStyle name="Normal 14 2 3 2 4 2 2 5" xfId="20964"/>
    <cellStyle name="Normal 14 2 3 2 4 2 3" xfId="5124"/>
    <cellStyle name="Normal 14 2 3 2 4 2 3 2" xfId="10884"/>
    <cellStyle name="Normal 14 2 3 2 4 2 3 2 2" xfId="28164"/>
    <cellStyle name="Normal 14 2 3 2 4 2 3 3" xfId="16644"/>
    <cellStyle name="Normal 14 2 3 2 4 2 3 3 2" xfId="33924"/>
    <cellStyle name="Normal 14 2 3 2 4 2 3 4" xfId="22404"/>
    <cellStyle name="Normal 14 2 3 2 4 2 4" xfId="8004"/>
    <cellStyle name="Normal 14 2 3 2 4 2 4 2" xfId="25284"/>
    <cellStyle name="Normal 14 2 3 2 4 2 5" xfId="13764"/>
    <cellStyle name="Normal 14 2 3 2 4 2 5 2" xfId="31044"/>
    <cellStyle name="Normal 14 2 3 2 4 2 6" xfId="19524"/>
    <cellStyle name="Normal 14 2 3 2 4 3" xfId="2964"/>
    <cellStyle name="Normal 14 2 3 2 4 3 2" xfId="5844"/>
    <cellStyle name="Normal 14 2 3 2 4 3 2 2" xfId="11604"/>
    <cellStyle name="Normal 14 2 3 2 4 3 2 2 2" xfId="28884"/>
    <cellStyle name="Normal 14 2 3 2 4 3 2 3" xfId="17364"/>
    <cellStyle name="Normal 14 2 3 2 4 3 2 3 2" xfId="34644"/>
    <cellStyle name="Normal 14 2 3 2 4 3 2 4" xfId="23124"/>
    <cellStyle name="Normal 14 2 3 2 4 3 3" xfId="8724"/>
    <cellStyle name="Normal 14 2 3 2 4 3 3 2" xfId="26004"/>
    <cellStyle name="Normal 14 2 3 2 4 3 4" xfId="14484"/>
    <cellStyle name="Normal 14 2 3 2 4 3 4 2" xfId="31764"/>
    <cellStyle name="Normal 14 2 3 2 4 3 5" xfId="20244"/>
    <cellStyle name="Normal 14 2 3 2 4 4" xfId="4404"/>
    <cellStyle name="Normal 14 2 3 2 4 4 2" xfId="10164"/>
    <cellStyle name="Normal 14 2 3 2 4 4 2 2" xfId="27444"/>
    <cellStyle name="Normal 14 2 3 2 4 4 3" xfId="15924"/>
    <cellStyle name="Normal 14 2 3 2 4 4 3 2" xfId="33204"/>
    <cellStyle name="Normal 14 2 3 2 4 4 4" xfId="21684"/>
    <cellStyle name="Normal 14 2 3 2 4 5" xfId="7284"/>
    <cellStyle name="Normal 14 2 3 2 4 5 2" xfId="24564"/>
    <cellStyle name="Normal 14 2 3 2 4 6" xfId="13044"/>
    <cellStyle name="Normal 14 2 3 2 4 6 2" xfId="30324"/>
    <cellStyle name="Normal 14 2 3 2 4 7" xfId="18804"/>
    <cellStyle name="Normal 14 2 3 2 5" xfId="1764"/>
    <cellStyle name="Normal 14 2 3 2 5 2" xfId="3204"/>
    <cellStyle name="Normal 14 2 3 2 5 2 2" xfId="6084"/>
    <cellStyle name="Normal 14 2 3 2 5 2 2 2" xfId="11844"/>
    <cellStyle name="Normal 14 2 3 2 5 2 2 2 2" xfId="29124"/>
    <cellStyle name="Normal 14 2 3 2 5 2 2 3" xfId="17604"/>
    <cellStyle name="Normal 14 2 3 2 5 2 2 3 2" xfId="34884"/>
    <cellStyle name="Normal 14 2 3 2 5 2 2 4" xfId="23364"/>
    <cellStyle name="Normal 14 2 3 2 5 2 3" xfId="8964"/>
    <cellStyle name="Normal 14 2 3 2 5 2 3 2" xfId="26244"/>
    <cellStyle name="Normal 14 2 3 2 5 2 4" xfId="14724"/>
    <cellStyle name="Normal 14 2 3 2 5 2 4 2" xfId="32004"/>
    <cellStyle name="Normal 14 2 3 2 5 2 5" xfId="20484"/>
    <cellStyle name="Normal 14 2 3 2 5 3" xfId="4644"/>
    <cellStyle name="Normal 14 2 3 2 5 3 2" xfId="10404"/>
    <cellStyle name="Normal 14 2 3 2 5 3 2 2" xfId="27684"/>
    <cellStyle name="Normal 14 2 3 2 5 3 3" xfId="16164"/>
    <cellStyle name="Normal 14 2 3 2 5 3 3 2" xfId="33444"/>
    <cellStyle name="Normal 14 2 3 2 5 3 4" xfId="21924"/>
    <cellStyle name="Normal 14 2 3 2 5 4" xfId="7524"/>
    <cellStyle name="Normal 14 2 3 2 5 4 2" xfId="24804"/>
    <cellStyle name="Normal 14 2 3 2 5 5" xfId="13284"/>
    <cellStyle name="Normal 14 2 3 2 5 5 2" xfId="30564"/>
    <cellStyle name="Normal 14 2 3 2 5 6" xfId="19044"/>
    <cellStyle name="Normal 14 2 3 2 6" xfId="2484"/>
    <cellStyle name="Normal 14 2 3 2 6 2" xfId="5364"/>
    <cellStyle name="Normal 14 2 3 2 6 2 2" xfId="11124"/>
    <cellStyle name="Normal 14 2 3 2 6 2 2 2" xfId="28404"/>
    <cellStyle name="Normal 14 2 3 2 6 2 3" xfId="16884"/>
    <cellStyle name="Normal 14 2 3 2 6 2 3 2" xfId="34164"/>
    <cellStyle name="Normal 14 2 3 2 6 2 4" xfId="22644"/>
    <cellStyle name="Normal 14 2 3 2 6 3" xfId="8244"/>
    <cellStyle name="Normal 14 2 3 2 6 3 2" xfId="25524"/>
    <cellStyle name="Normal 14 2 3 2 6 4" xfId="14004"/>
    <cellStyle name="Normal 14 2 3 2 6 4 2" xfId="31284"/>
    <cellStyle name="Normal 14 2 3 2 6 5" xfId="19764"/>
    <cellStyle name="Normal 14 2 3 2 7" xfId="3924"/>
    <cellStyle name="Normal 14 2 3 2 7 2" xfId="9684"/>
    <cellStyle name="Normal 14 2 3 2 7 2 2" xfId="26964"/>
    <cellStyle name="Normal 14 2 3 2 7 3" xfId="15444"/>
    <cellStyle name="Normal 14 2 3 2 7 3 2" xfId="32724"/>
    <cellStyle name="Normal 14 2 3 2 7 4" xfId="21204"/>
    <cellStyle name="Normal 14 2 3 2 8" xfId="6804"/>
    <cellStyle name="Normal 14 2 3 2 8 2" xfId="24084"/>
    <cellStyle name="Normal 14 2 3 2 9" xfId="12564"/>
    <cellStyle name="Normal 14 2 3 2 9 2" xfId="29844"/>
    <cellStyle name="Normal 14 2 3 3" xfId="1004"/>
    <cellStyle name="Normal 14 2 3 3 10" xfId="18284"/>
    <cellStyle name="Normal 14 2 3 3 2" xfId="1124"/>
    <cellStyle name="Normal 14 2 3 3 2 2" xfId="1364"/>
    <cellStyle name="Normal 14 2 3 3 2 2 2" xfId="2084"/>
    <cellStyle name="Normal 14 2 3 3 2 2 2 2" xfId="3524"/>
    <cellStyle name="Normal 14 2 3 3 2 2 2 2 2" xfId="6404"/>
    <cellStyle name="Normal 14 2 3 3 2 2 2 2 2 2" xfId="12164"/>
    <cellStyle name="Normal 14 2 3 3 2 2 2 2 2 2 2" xfId="29444"/>
    <cellStyle name="Normal 14 2 3 3 2 2 2 2 2 3" xfId="17924"/>
    <cellStyle name="Normal 14 2 3 3 2 2 2 2 2 3 2" xfId="35204"/>
    <cellStyle name="Normal 14 2 3 3 2 2 2 2 2 4" xfId="23684"/>
    <cellStyle name="Normal 14 2 3 3 2 2 2 2 3" xfId="9284"/>
    <cellStyle name="Normal 14 2 3 3 2 2 2 2 3 2" xfId="26564"/>
    <cellStyle name="Normal 14 2 3 3 2 2 2 2 4" xfId="15044"/>
    <cellStyle name="Normal 14 2 3 3 2 2 2 2 4 2" xfId="32324"/>
    <cellStyle name="Normal 14 2 3 3 2 2 2 2 5" xfId="20804"/>
    <cellStyle name="Normal 14 2 3 3 2 2 2 3" xfId="4964"/>
    <cellStyle name="Normal 14 2 3 3 2 2 2 3 2" xfId="10724"/>
    <cellStyle name="Normal 14 2 3 3 2 2 2 3 2 2" xfId="28004"/>
    <cellStyle name="Normal 14 2 3 3 2 2 2 3 3" xfId="16484"/>
    <cellStyle name="Normal 14 2 3 3 2 2 2 3 3 2" xfId="33764"/>
    <cellStyle name="Normal 14 2 3 3 2 2 2 3 4" xfId="22244"/>
    <cellStyle name="Normal 14 2 3 3 2 2 2 4" xfId="7844"/>
    <cellStyle name="Normal 14 2 3 3 2 2 2 4 2" xfId="25124"/>
    <cellStyle name="Normal 14 2 3 3 2 2 2 5" xfId="13604"/>
    <cellStyle name="Normal 14 2 3 3 2 2 2 5 2" xfId="30884"/>
    <cellStyle name="Normal 14 2 3 3 2 2 2 6" xfId="19364"/>
    <cellStyle name="Normal 14 2 3 3 2 2 3" xfId="2804"/>
    <cellStyle name="Normal 14 2 3 3 2 2 3 2" xfId="5684"/>
    <cellStyle name="Normal 14 2 3 3 2 2 3 2 2" xfId="11444"/>
    <cellStyle name="Normal 14 2 3 3 2 2 3 2 2 2" xfId="28724"/>
    <cellStyle name="Normal 14 2 3 3 2 2 3 2 3" xfId="17204"/>
    <cellStyle name="Normal 14 2 3 3 2 2 3 2 3 2" xfId="34484"/>
    <cellStyle name="Normal 14 2 3 3 2 2 3 2 4" xfId="22964"/>
    <cellStyle name="Normal 14 2 3 3 2 2 3 3" xfId="8564"/>
    <cellStyle name="Normal 14 2 3 3 2 2 3 3 2" xfId="25844"/>
    <cellStyle name="Normal 14 2 3 3 2 2 3 4" xfId="14324"/>
    <cellStyle name="Normal 14 2 3 3 2 2 3 4 2" xfId="31604"/>
    <cellStyle name="Normal 14 2 3 3 2 2 3 5" xfId="20084"/>
    <cellStyle name="Normal 14 2 3 3 2 2 4" xfId="4244"/>
    <cellStyle name="Normal 14 2 3 3 2 2 4 2" xfId="10004"/>
    <cellStyle name="Normal 14 2 3 3 2 2 4 2 2" xfId="27284"/>
    <cellStyle name="Normal 14 2 3 3 2 2 4 3" xfId="15764"/>
    <cellStyle name="Normal 14 2 3 3 2 2 4 3 2" xfId="33044"/>
    <cellStyle name="Normal 14 2 3 3 2 2 4 4" xfId="21524"/>
    <cellStyle name="Normal 14 2 3 3 2 2 5" xfId="7124"/>
    <cellStyle name="Normal 14 2 3 3 2 2 5 2" xfId="24404"/>
    <cellStyle name="Normal 14 2 3 3 2 2 6" xfId="12884"/>
    <cellStyle name="Normal 14 2 3 3 2 2 6 2" xfId="30164"/>
    <cellStyle name="Normal 14 2 3 3 2 2 7" xfId="18644"/>
    <cellStyle name="Normal 14 2 3 3 2 3" xfId="1604"/>
    <cellStyle name="Normal 14 2 3 3 2 3 2" xfId="2324"/>
    <cellStyle name="Normal 14 2 3 3 2 3 2 2" xfId="3764"/>
    <cellStyle name="Normal 14 2 3 3 2 3 2 2 2" xfId="6644"/>
    <cellStyle name="Normal 14 2 3 3 2 3 2 2 2 2" xfId="12404"/>
    <cellStyle name="Normal 14 2 3 3 2 3 2 2 2 2 2" xfId="29684"/>
    <cellStyle name="Normal 14 2 3 3 2 3 2 2 2 3" xfId="18164"/>
    <cellStyle name="Normal 14 2 3 3 2 3 2 2 2 3 2" xfId="35444"/>
    <cellStyle name="Normal 14 2 3 3 2 3 2 2 2 4" xfId="23924"/>
    <cellStyle name="Normal 14 2 3 3 2 3 2 2 3" xfId="9524"/>
    <cellStyle name="Normal 14 2 3 3 2 3 2 2 3 2" xfId="26804"/>
    <cellStyle name="Normal 14 2 3 3 2 3 2 2 4" xfId="15284"/>
    <cellStyle name="Normal 14 2 3 3 2 3 2 2 4 2" xfId="32564"/>
    <cellStyle name="Normal 14 2 3 3 2 3 2 2 5" xfId="21044"/>
    <cellStyle name="Normal 14 2 3 3 2 3 2 3" xfId="5204"/>
    <cellStyle name="Normal 14 2 3 3 2 3 2 3 2" xfId="10964"/>
    <cellStyle name="Normal 14 2 3 3 2 3 2 3 2 2" xfId="28244"/>
    <cellStyle name="Normal 14 2 3 3 2 3 2 3 3" xfId="16724"/>
    <cellStyle name="Normal 14 2 3 3 2 3 2 3 3 2" xfId="34004"/>
    <cellStyle name="Normal 14 2 3 3 2 3 2 3 4" xfId="22484"/>
    <cellStyle name="Normal 14 2 3 3 2 3 2 4" xfId="8084"/>
    <cellStyle name="Normal 14 2 3 3 2 3 2 4 2" xfId="25364"/>
    <cellStyle name="Normal 14 2 3 3 2 3 2 5" xfId="13844"/>
    <cellStyle name="Normal 14 2 3 3 2 3 2 5 2" xfId="31124"/>
    <cellStyle name="Normal 14 2 3 3 2 3 2 6" xfId="19604"/>
    <cellStyle name="Normal 14 2 3 3 2 3 3" xfId="3044"/>
    <cellStyle name="Normal 14 2 3 3 2 3 3 2" xfId="5924"/>
    <cellStyle name="Normal 14 2 3 3 2 3 3 2 2" xfId="11684"/>
    <cellStyle name="Normal 14 2 3 3 2 3 3 2 2 2" xfId="28964"/>
    <cellStyle name="Normal 14 2 3 3 2 3 3 2 3" xfId="17444"/>
    <cellStyle name="Normal 14 2 3 3 2 3 3 2 3 2" xfId="34724"/>
    <cellStyle name="Normal 14 2 3 3 2 3 3 2 4" xfId="23204"/>
    <cellStyle name="Normal 14 2 3 3 2 3 3 3" xfId="8804"/>
    <cellStyle name="Normal 14 2 3 3 2 3 3 3 2" xfId="26084"/>
    <cellStyle name="Normal 14 2 3 3 2 3 3 4" xfId="14564"/>
    <cellStyle name="Normal 14 2 3 3 2 3 3 4 2" xfId="31844"/>
    <cellStyle name="Normal 14 2 3 3 2 3 3 5" xfId="20324"/>
    <cellStyle name="Normal 14 2 3 3 2 3 4" xfId="4484"/>
    <cellStyle name="Normal 14 2 3 3 2 3 4 2" xfId="10244"/>
    <cellStyle name="Normal 14 2 3 3 2 3 4 2 2" xfId="27524"/>
    <cellStyle name="Normal 14 2 3 3 2 3 4 3" xfId="16004"/>
    <cellStyle name="Normal 14 2 3 3 2 3 4 3 2" xfId="33284"/>
    <cellStyle name="Normal 14 2 3 3 2 3 4 4" xfId="21764"/>
    <cellStyle name="Normal 14 2 3 3 2 3 5" xfId="7364"/>
    <cellStyle name="Normal 14 2 3 3 2 3 5 2" xfId="24644"/>
    <cellStyle name="Normal 14 2 3 3 2 3 6" xfId="13124"/>
    <cellStyle name="Normal 14 2 3 3 2 3 6 2" xfId="30404"/>
    <cellStyle name="Normal 14 2 3 3 2 3 7" xfId="18884"/>
    <cellStyle name="Normal 14 2 3 3 2 4" xfId="1844"/>
    <cellStyle name="Normal 14 2 3 3 2 4 2" xfId="3284"/>
    <cellStyle name="Normal 14 2 3 3 2 4 2 2" xfId="6164"/>
    <cellStyle name="Normal 14 2 3 3 2 4 2 2 2" xfId="11924"/>
    <cellStyle name="Normal 14 2 3 3 2 4 2 2 2 2" xfId="29204"/>
    <cellStyle name="Normal 14 2 3 3 2 4 2 2 3" xfId="17684"/>
    <cellStyle name="Normal 14 2 3 3 2 4 2 2 3 2" xfId="34964"/>
    <cellStyle name="Normal 14 2 3 3 2 4 2 2 4" xfId="23444"/>
    <cellStyle name="Normal 14 2 3 3 2 4 2 3" xfId="9044"/>
    <cellStyle name="Normal 14 2 3 3 2 4 2 3 2" xfId="26324"/>
    <cellStyle name="Normal 14 2 3 3 2 4 2 4" xfId="14804"/>
    <cellStyle name="Normal 14 2 3 3 2 4 2 4 2" xfId="32084"/>
    <cellStyle name="Normal 14 2 3 3 2 4 2 5" xfId="20564"/>
    <cellStyle name="Normal 14 2 3 3 2 4 3" xfId="4724"/>
    <cellStyle name="Normal 14 2 3 3 2 4 3 2" xfId="10484"/>
    <cellStyle name="Normal 14 2 3 3 2 4 3 2 2" xfId="27764"/>
    <cellStyle name="Normal 14 2 3 3 2 4 3 3" xfId="16244"/>
    <cellStyle name="Normal 14 2 3 3 2 4 3 3 2" xfId="33524"/>
    <cellStyle name="Normal 14 2 3 3 2 4 3 4" xfId="22004"/>
    <cellStyle name="Normal 14 2 3 3 2 4 4" xfId="7604"/>
    <cellStyle name="Normal 14 2 3 3 2 4 4 2" xfId="24884"/>
    <cellStyle name="Normal 14 2 3 3 2 4 5" xfId="13364"/>
    <cellStyle name="Normal 14 2 3 3 2 4 5 2" xfId="30644"/>
    <cellStyle name="Normal 14 2 3 3 2 4 6" xfId="19124"/>
    <cellStyle name="Normal 14 2 3 3 2 5" xfId="2564"/>
    <cellStyle name="Normal 14 2 3 3 2 5 2" xfId="5444"/>
    <cellStyle name="Normal 14 2 3 3 2 5 2 2" xfId="11204"/>
    <cellStyle name="Normal 14 2 3 3 2 5 2 2 2" xfId="28484"/>
    <cellStyle name="Normal 14 2 3 3 2 5 2 3" xfId="16964"/>
    <cellStyle name="Normal 14 2 3 3 2 5 2 3 2" xfId="34244"/>
    <cellStyle name="Normal 14 2 3 3 2 5 2 4" xfId="22724"/>
    <cellStyle name="Normal 14 2 3 3 2 5 3" xfId="8324"/>
    <cellStyle name="Normal 14 2 3 3 2 5 3 2" xfId="25604"/>
    <cellStyle name="Normal 14 2 3 3 2 5 4" xfId="14084"/>
    <cellStyle name="Normal 14 2 3 3 2 5 4 2" xfId="31364"/>
    <cellStyle name="Normal 14 2 3 3 2 5 5" xfId="19844"/>
    <cellStyle name="Normal 14 2 3 3 2 6" xfId="4004"/>
    <cellStyle name="Normal 14 2 3 3 2 6 2" xfId="9764"/>
    <cellStyle name="Normal 14 2 3 3 2 6 2 2" xfId="27044"/>
    <cellStyle name="Normal 14 2 3 3 2 6 3" xfId="15524"/>
    <cellStyle name="Normal 14 2 3 3 2 6 3 2" xfId="32804"/>
    <cellStyle name="Normal 14 2 3 3 2 6 4" xfId="21284"/>
    <cellStyle name="Normal 14 2 3 3 2 7" xfId="6884"/>
    <cellStyle name="Normal 14 2 3 3 2 7 2" xfId="24164"/>
    <cellStyle name="Normal 14 2 3 3 2 8" xfId="12644"/>
    <cellStyle name="Normal 14 2 3 3 2 8 2" xfId="29924"/>
    <cellStyle name="Normal 14 2 3 3 2 9" xfId="18404"/>
    <cellStyle name="Normal 14 2 3 3 3" xfId="1244"/>
    <cellStyle name="Normal 14 2 3 3 3 2" xfId="1964"/>
    <cellStyle name="Normal 14 2 3 3 3 2 2" xfId="3404"/>
    <cellStyle name="Normal 14 2 3 3 3 2 2 2" xfId="6284"/>
    <cellStyle name="Normal 14 2 3 3 3 2 2 2 2" xfId="12044"/>
    <cellStyle name="Normal 14 2 3 3 3 2 2 2 2 2" xfId="29324"/>
    <cellStyle name="Normal 14 2 3 3 3 2 2 2 3" xfId="17804"/>
    <cellStyle name="Normal 14 2 3 3 3 2 2 2 3 2" xfId="35084"/>
    <cellStyle name="Normal 14 2 3 3 3 2 2 2 4" xfId="23564"/>
    <cellStyle name="Normal 14 2 3 3 3 2 2 3" xfId="9164"/>
    <cellStyle name="Normal 14 2 3 3 3 2 2 3 2" xfId="26444"/>
    <cellStyle name="Normal 14 2 3 3 3 2 2 4" xfId="14924"/>
    <cellStyle name="Normal 14 2 3 3 3 2 2 4 2" xfId="32204"/>
    <cellStyle name="Normal 14 2 3 3 3 2 2 5" xfId="20684"/>
    <cellStyle name="Normal 14 2 3 3 3 2 3" xfId="4844"/>
    <cellStyle name="Normal 14 2 3 3 3 2 3 2" xfId="10604"/>
    <cellStyle name="Normal 14 2 3 3 3 2 3 2 2" xfId="27884"/>
    <cellStyle name="Normal 14 2 3 3 3 2 3 3" xfId="16364"/>
    <cellStyle name="Normal 14 2 3 3 3 2 3 3 2" xfId="33644"/>
    <cellStyle name="Normal 14 2 3 3 3 2 3 4" xfId="22124"/>
    <cellStyle name="Normal 14 2 3 3 3 2 4" xfId="7724"/>
    <cellStyle name="Normal 14 2 3 3 3 2 4 2" xfId="25004"/>
    <cellStyle name="Normal 14 2 3 3 3 2 5" xfId="13484"/>
    <cellStyle name="Normal 14 2 3 3 3 2 5 2" xfId="30764"/>
    <cellStyle name="Normal 14 2 3 3 3 2 6" xfId="19244"/>
    <cellStyle name="Normal 14 2 3 3 3 3" xfId="2684"/>
    <cellStyle name="Normal 14 2 3 3 3 3 2" xfId="5564"/>
    <cellStyle name="Normal 14 2 3 3 3 3 2 2" xfId="11324"/>
    <cellStyle name="Normal 14 2 3 3 3 3 2 2 2" xfId="28604"/>
    <cellStyle name="Normal 14 2 3 3 3 3 2 3" xfId="17084"/>
    <cellStyle name="Normal 14 2 3 3 3 3 2 3 2" xfId="34364"/>
    <cellStyle name="Normal 14 2 3 3 3 3 2 4" xfId="22844"/>
    <cellStyle name="Normal 14 2 3 3 3 3 3" xfId="8444"/>
    <cellStyle name="Normal 14 2 3 3 3 3 3 2" xfId="25724"/>
    <cellStyle name="Normal 14 2 3 3 3 3 4" xfId="14204"/>
    <cellStyle name="Normal 14 2 3 3 3 3 4 2" xfId="31484"/>
    <cellStyle name="Normal 14 2 3 3 3 3 5" xfId="19964"/>
    <cellStyle name="Normal 14 2 3 3 3 4" xfId="4124"/>
    <cellStyle name="Normal 14 2 3 3 3 4 2" xfId="9884"/>
    <cellStyle name="Normal 14 2 3 3 3 4 2 2" xfId="27164"/>
    <cellStyle name="Normal 14 2 3 3 3 4 3" xfId="15644"/>
    <cellStyle name="Normal 14 2 3 3 3 4 3 2" xfId="32924"/>
    <cellStyle name="Normal 14 2 3 3 3 4 4" xfId="21404"/>
    <cellStyle name="Normal 14 2 3 3 3 5" xfId="7004"/>
    <cellStyle name="Normal 14 2 3 3 3 5 2" xfId="24284"/>
    <cellStyle name="Normal 14 2 3 3 3 6" xfId="12764"/>
    <cellStyle name="Normal 14 2 3 3 3 6 2" xfId="30044"/>
    <cellStyle name="Normal 14 2 3 3 3 7" xfId="18524"/>
    <cellStyle name="Normal 14 2 3 3 4" xfId="1484"/>
    <cellStyle name="Normal 14 2 3 3 4 2" xfId="2204"/>
    <cellStyle name="Normal 14 2 3 3 4 2 2" xfId="3644"/>
    <cellStyle name="Normal 14 2 3 3 4 2 2 2" xfId="6524"/>
    <cellStyle name="Normal 14 2 3 3 4 2 2 2 2" xfId="12284"/>
    <cellStyle name="Normal 14 2 3 3 4 2 2 2 2 2" xfId="29564"/>
    <cellStyle name="Normal 14 2 3 3 4 2 2 2 3" xfId="18044"/>
    <cellStyle name="Normal 14 2 3 3 4 2 2 2 3 2" xfId="35324"/>
    <cellStyle name="Normal 14 2 3 3 4 2 2 2 4" xfId="23804"/>
    <cellStyle name="Normal 14 2 3 3 4 2 2 3" xfId="9404"/>
    <cellStyle name="Normal 14 2 3 3 4 2 2 3 2" xfId="26684"/>
    <cellStyle name="Normal 14 2 3 3 4 2 2 4" xfId="15164"/>
    <cellStyle name="Normal 14 2 3 3 4 2 2 4 2" xfId="32444"/>
    <cellStyle name="Normal 14 2 3 3 4 2 2 5" xfId="20924"/>
    <cellStyle name="Normal 14 2 3 3 4 2 3" xfId="5084"/>
    <cellStyle name="Normal 14 2 3 3 4 2 3 2" xfId="10844"/>
    <cellStyle name="Normal 14 2 3 3 4 2 3 2 2" xfId="28124"/>
    <cellStyle name="Normal 14 2 3 3 4 2 3 3" xfId="16604"/>
    <cellStyle name="Normal 14 2 3 3 4 2 3 3 2" xfId="33884"/>
    <cellStyle name="Normal 14 2 3 3 4 2 3 4" xfId="22364"/>
    <cellStyle name="Normal 14 2 3 3 4 2 4" xfId="7964"/>
    <cellStyle name="Normal 14 2 3 3 4 2 4 2" xfId="25244"/>
    <cellStyle name="Normal 14 2 3 3 4 2 5" xfId="13724"/>
    <cellStyle name="Normal 14 2 3 3 4 2 5 2" xfId="31004"/>
    <cellStyle name="Normal 14 2 3 3 4 2 6" xfId="19484"/>
    <cellStyle name="Normal 14 2 3 3 4 3" xfId="2924"/>
    <cellStyle name="Normal 14 2 3 3 4 3 2" xfId="5804"/>
    <cellStyle name="Normal 14 2 3 3 4 3 2 2" xfId="11564"/>
    <cellStyle name="Normal 14 2 3 3 4 3 2 2 2" xfId="28844"/>
    <cellStyle name="Normal 14 2 3 3 4 3 2 3" xfId="17324"/>
    <cellStyle name="Normal 14 2 3 3 4 3 2 3 2" xfId="34604"/>
    <cellStyle name="Normal 14 2 3 3 4 3 2 4" xfId="23084"/>
    <cellStyle name="Normal 14 2 3 3 4 3 3" xfId="8684"/>
    <cellStyle name="Normal 14 2 3 3 4 3 3 2" xfId="25964"/>
    <cellStyle name="Normal 14 2 3 3 4 3 4" xfId="14444"/>
    <cellStyle name="Normal 14 2 3 3 4 3 4 2" xfId="31724"/>
    <cellStyle name="Normal 14 2 3 3 4 3 5" xfId="20204"/>
    <cellStyle name="Normal 14 2 3 3 4 4" xfId="4364"/>
    <cellStyle name="Normal 14 2 3 3 4 4 2" xfId="10124"/>
    <cellStyle name="Normal 14 2 3 3 4 4 2 2" xfId="27404"/>
    <cellStyle name="Normal 14 2 3 3 4 4 3" xfId="15884"/>
    <cellStyle name="Normal 14 2 3 3 4 4 3 2" xfId="33164"/>
    <cellStyle name="Normal 14 2 3 3 4 4 4" xfId="21644"/>
    <cellStyle name="Normal 14 2 3 3 4 5" xfId="7244"/>
    <cellStyle name="Normal 14 2 3 3 4 5 2" xfId="24524"/>
    <cellStyle name="Normal 14 2 3 3 4 6" xfId="13004"/>
    <cellStyle name="Normal 14 2 3 3 4 6 2" xfId="30284"/>
    <cellStyle name="Normal 14 2 3 3 4 7" xfId="18764"/>
    <cellStyle name="Normal 14 2 3 3 5" xfId="1724"/>
    <cellStyle name="Normal 14 2 3 3 5 2" xfId="3164"/>
    <cellStyle name="Normal 14 2 3 3 5 2 2" xfId="6044"/>
    <cellStyle name="Normal 14 2 3 3 5 2 2 2" xfId="11804"/>
    <cellStyle name="Normal 14 2 3 3 5 2 2 2 2" xfId="29084"/>
    <cellStyle name="Normal 14 2 3 3 5 2 2 3" xfId="17564"/>
    <cellStyle name="Normal 14 2 3 3 5 2 2 3 2" xfId="34844"/>
    <cellStyle name="Normal 14 2 3 3 5 2 2 4" xfId="23324"/>
    <cellStyle name="Normal 14 2 3 3 5 2 3" xfId="8924"/>
    <cellStyle name="Normal 14 2 3 3 5 2 3 2" xfId="26204"/>
    <cellStyle name="Normal 14 2 3 3 5 2 4" xfId="14684"/>
    <cellStyle name="Normal 14 2 3 3 5 2 4 2" xfId="31964"/>
    <cellStyle name="Normal 14 2 3 3 5 2 5" xfId="20444"/>
    <cellStyle name="Normal 14 2 3 3 5 3" xfId="4604"/>
    <cellStyle name="Normal 14 2 3 3 5 3 2" xfId="10364"/>
    <cellStyle name="Normal 14 2 3 3 5 3 2 2" xfId="27644"/>
    <cellStyle name="Normal 14 2 3 3 5 3 3" xfId="16124"/>
    <cellStyle name="Normal 14 2 3 3 5 3 3 2" xfId="33404"/>
    <cellStyle name="Normal 14 2 3 3 5 3 4" xfId="21884"/>
    <cellStyle name="Normal 14 2 3 3 5 4" xfId="7484"/>
    <cellStyle name="Normal 14 2 3 3 5 4 2" xfId="24764"/>
    <cellStyle name="Normal 14 2 3 3 5 5" xfId="13244"/>
    <cellStyle name="Normal 14 2 3 3 5 5 2" xfId="30524"/>
    <cellStyle name="Normal 14 2 3 3 5 6" xfId="19004"/>
    <cellStyle name="Normal 14 2 3 3 6" xfId="2444"/>
    <cellStyle name="Normal 14 2 3 3 6 2" xfId="5324"/>
    <cellStyle name="Normal 14 2 3 3 6 2 2" xfId="11084"/>
    <cellStyle name="Normal 14 2 3 3 6 2 2 2" xfId="28364"/>
    <cellStyle name="Normal 14 2 3 3 6 2 3" xfId="16844"/>
    <cellStyle name="Normal 14 2 3 3 6 2 3 2" xfId="34124"/>
    <cellStyle name="Normal 14 2 3 3 6 2 4" xfId="22604"/>
    <cellStyle name="Normal 14 2 3 3 6 3" xfId="8204"/>
    <cellStyle name="Normal 14 2 3 3 6 3 2" xfId="25484"/>
    <cellStyle name="Normal 14 2 3 3 6 4" xfId="13964"/>
    <cellStyle name="Normal 14 2 3 3 6 4 2" xfId="31244"/>
    <cellStyle name="Normal 14 2 3 3 6 5" xfId="19724"/>
    <cellStyle name="Normal 14 2 3 3 7" xfId="3884"/>
    <cellStyle name="Normal 14 2 3 3 7 2" xfId="9644"/>
    <cellStyle name="Normal 14 2 3 3 7 2 2" xfId="26924"/>
    <cellStyle name="Normal 14 2 3 3 7 3" xfId="15404"/>
    <cellStyle name="Normal 14 2 3 3 7 3 2" xfId="32684"/>
    <cellStyle name="Normal 14 2 3 3 7 4" xfId="21164"/>
    <cellStyle name="Normal 14 2 3 3 8" xfId="6764"/>
    <cellStyle name="Normal 14 2 3 3 8 2" xfId="24044"/>
    <cellStyle name="Normal 14 2 3 3 9" xfId="12524"/>
    <cellStyle name="Normal 14 2 3 3 9 2" xfId="29804"/>
    <cellStyle name="Normal 14 2 3 4" xfId="1084"/>
    <cellStyle name="Normal 14 2 3 4 2" xfId="1324"/>
    <cellStyle name="Normal 14 2 3 4 2 2" xfId="2044"/>
    <cellStyle name="Normal 14 2 3 4 2 2 2" xfId="3484"/>
    <cellStyle name="Normal 14 2 3 4 2 2 2 2" xfId="6364"/>
    <cellStyle name="Normal 14 2 3 4 2 2 2 2 2" xfId="12124"/>
    <cellStyle name="Normal 14 2 3 4 2 2 2 2 2 2" xfId="29404"/>
    <cellStyle name="Normal 14 2 3 4 2 2 2 2 3" xfId="17884"/>
    <cellStyle name="Normal 14 2 3 4 2 2 2 2 3 2" xfId="35164"/>
    <cellStyle name="Normal 14 2 3 4 2 2 2 2 4" xfId="23644"/>
    <cellStyle name="Normal 14 2 3 4 2 2 2 3" xfId="9244"/>
    <cellStyle name="Normal 14 2 3 4 2 2 2 3 2" xfId="26524"/>
    <cellStyle name="Normal 14 2 3 4 2 2 2 4" xfId="15004"/>
    <cellStyle name="Normal 14 2 3 4 2 2 2 4 2" xfId="32284"/>
    <cellStyle name="Normal 14 2 3 4 2 2 2 5" xfId="20764"/>
    <cellStyle name="Normal 14 2 3 4 2 2 3" xfId="4924"/>
    <cellStyle name="Normal 14 2 3 4 2 2 3 2" xfId="10684"/>
    <cellStyle name="Normal 14 2 3 4 2 2 3 2 2" xfId="27964"/>
    <cellStyle name="Normal 14 2 3 4 2 2 3 3" xfId="16444"/>
    <cellStyle name="Normal 14 2 3 4 2 2 3 3 2" xfId="33724"/>
    <cellStyle name="Normal 14 2 3 4 2 2 3 4" xfId="22204"/>
    <cellStyle name="Normal 14 2 3 4 2 2 4" xfId="7804"/>
    <cellStyle name="Normal 14 2 3 4 2 2 4 2" xfId="25084"/>
    <cellStyle name="Normal 14 2 3 4 2 2 5" xfId="13564"/>
    <cellStyle name="Normal 14 2 3 4 2 2 5 2" xfId="30844"/>
    <cellStyle name="Normal 14 2 3 4 2 2 6" xfId="19324"/>
    <cellStyle name="Normal 14 2 3 4 2 3" xfId="2764"/>
    <cellStyle name="Normal 14 2 3 4 2 3 2" xfId="5644"/>
    <cellStyle name="Normal 14 2 3 4 2 3 2 2" xfId="11404"/>
    <cellStyle name="Normal 14 2 3 4 2 3 2 2 2" xfId="28684"/>
    <cellStyle name="Normal 14 2 3 4 2 3 2 3" xfId="17164"/>
    <cellStyle name="Normal 14 2 3 4 2 3 2 3 2" xfId="34444"/>
    <cellStyle name="Normal 14 2 3 4 2 3 2 4" xfId="22924"/>
    <cellStyle name="Normal 14 2 3 4 2 3 3" xfId="8524"/>
    <cellStyle name="Normal 14 2 3 4 2 3 3 2" xfId="25804"/>
    <cellStyle name="Normal 14 2 3 4 2 3 4" xfId="14284"/>
    <cellStyle name="Normal 14 2 3 4 2 3 4 2" xfId="31564"/>
    <cellStyle name="Normal 14 2 3 4 2 3 5" xfId="20044"/>
    <cellStyle name="Normal 14 2 3 4 2 4" xfId="4204"/>
    <cellStyle name="Normal 14 2 3 4 2 4 2" xfId="9964"/>
    <cellStyle name="Normal 14 2 3 4 2 4 2 2" xfId="27244"/>
    <cellStyle name="Normal 14 2 3 4 2 4 3" xfId="15724"/>
    <cellStyle name="Normal 14 2 3 4 2 4 3 2" xfId="33004"/>
    <cellStyle name="Normal 14 2 3 4 2 4 4" xfId="21484"/>
    <cellStyle name="Normal 14 2 3 4 2 5" xfId="7084"/>
    <cellStyle name="Normal 14 2 3 4 2 5 2" xfId="24364"/>
    <cellStyle name="Normal 14 2 3 4 2 6" xfId="12844"/>
    <cellStyle name="Normal 14 2 3 4 2 6 2" xfId="30124"/>
    <cellStyle name="Normal 14 2 3 4 2 7" xfId="18604"/>
    <cellStyle name="Normal 14 2 3 4 3" xfId="1564"/>
    <cellStyle name="Normal 14 2 3 4 3 2" xfId="2284"/>
    <cellStyle name="Normal 14 2 3 4 3 2 2" xfId="3724"/>
    <cellStyle name="Normal 14 2 3 4 3 2 2 2" xfId="6604"/>
    <cellStyle name="Normal 14 2 3 4 3 2 2 2 2" xfId="12364"/>
    <cellStyle name="Normal 14 2 3 4 3 2 2 2 2 2" xfId="29644"/>
    <cellStyle name="Normal 14 2 3 4 3 2 2 2 3" xfId="18124"/>
    <cellStyle name="Normal 14 2 3 4 3 2 2 2 3 2" xfId="35404"/>
    <cellStyle name="Normal 14 2 3 4 3 2 2 2 4" xfId="23884"/>
    <cellStyle name="Normal 14 2 3 4 3 2 2 3" xfId="9484"/>
    <cellStyle name="Normal 14 2 3 4 3 2 2 3 2" xfId="26764"/>
    <cellStyle name="Normal 14 2 3 4 3 2 2 4" xfId="15244"/>
    <cellStyle name="Normal 14 2 3 4 3 2 2 4 2" xfId="32524"/>
    <cellStyle name="Normal 14 2 3 4 3 2 2 5" xfId="21004"/>
    <cellStyle name="Normal 14 2 3 4 3 2 3" xfId="5164"/>
    <cellStyle name="Normal 14 2 3 4 3 2 3 2" xfId="10924"/>
    <cellStyle name="Normal 14 2 3 4 3 2 3 2 2" xfId="28204"/>
    <cellStyle name="Normal 14 2 3 4 3 2 3 3" xfId="16684"/>
    <cellStyle name="Normal 14 2 3 4 3 2 3 3 2" xfId="33964"/>
    <cellStyle name="Normal 14 2 3 4 3 2 3 4" xfId="22444"/>
    <cellStyle name="Normal 14 2 3 4 3 2 4" xfId="8044"/>
    <cellStyle name="Normal 14 2 3 4 3 2 4 2" xfId="25324"/>
    <cellStyle name="Normal 14 2 3 4 3 2 5" xfId="13804"/>
    <cellStyle name="Normal 14 2 3 4 3 2 5 2" xfId="31084"/>
    <cellStyle name="Normal 14 2 3 4 3 2 6" xfId="19564"/>
    <cellStyle name="Normal 14 2 3 4 3 3" xfId="3004"/>
    <cellStyle name="Normal 14 2 3 4 3 3 2" xfId="5884"/>
    <cellStyle name="Normal 14 2 3 4 3 3 2 2" xfId="11644"/>
    <cellStyle name="Normal 14 2 3 4 3 3 2 2 2" xfId="28924"/>
    <cellStyle name="Normal 14 2 3 4 3 3 2 3" xfId="17404"/>
    <cellStyle name="Normal 14 2 3 4 3 3 2 3 2" xfId="34684"/>
    <cellStyle name="Normal 14 2 3 4 3 3 2 4" xfId="23164"/>
    <cellStyle name="Normal 14 2 3 4 3 3 3" xfId="8764"/>
    <cellStyle name="Normal 14 2 3 4 3 3 3 2" xfId="26044"/>
    <cellStyle name="Normal 14 2 3 4 3 3 4" xfId="14524"/>
    <cellStyle name="Normal 14 2 3 4 3 3 4 2" xfId="31804"/>
    <cellStyle name="Normal 14 2 3 4 3 3 5" xfId="20284"/>
    <cellStyle name="Normal 14 2 3 4 3 4" xfId="4444"/>
    <cellStyle name="Normal 14 2 3 4 3 4 2" xfId="10204"/>
    <cellStyle name="Normal 14 2 3 4 3 4 2 2" xfId="27484"/>
    <cellStyle name="Normal 14 2 3 4 3 4 3" xfId="15964"/>
    <cellStyle name="Normal 14 2 3 4 3 4 3 2" xfId="33244"/>
    <cellStyle name="Normal 14 2 3 4 3 4 4" xfId="21724"/>
    <cellStyle name="Normal 14 2 3 4 3 5" xfId="7324"/>
    <cellStyle name="Normal 14 2 3 4 3 5 2" xfId="24604"/>
    <cellStyle name="Normal 14 2 3 4 3 6" xfId="13084"/>
    <cellStyle name="Normal 14 2 3 4 3 6 2" xfId="30364"/>
    <cellStyle name="Normal 14 2 3 4 3 7" xfId="18844"/>
    <cellStyle name="Normal 14 2 3 4 4" xfId="1804"/>
    <cellStyle name="Normal 14 2 3 4 4 2" xfId="3244"/>
    <cellStyle name="Normal 14 2 3 4 4 2 2" xfId="6124"/>
    <cellStyle name="Normal 14 2 3 4 4 2 2 2" xfId="11884"/>
    <cellStyle name="Normal 14 2 3 4 4 2 2 2 2" xfId="29164"/>
    <cellStyle name="Normal 14 2 3 4 4 2 2 3" xfId="17644"/>
    <cellStyle name="Normal 14 2 3 4 4 2 2 3 2" xfId="34924"/>
    <cellStyle name="Normal 14 2 3 4 4 2 2 4" xfId="23404"/>
    <cellStyle name="Normal 14 2 3 4 4 2 3" xfId="9004"/>
    <cellStyle name="Normal 14 2 3 4 4 2 3 2" xfId="26284"/>
    <cellStyle name="Normal 14 2 3 4 4 2 4" xfId="14764"/>
    <cellStyle name="Normal 14 2 3 4 4 2 4 2" xfId="32044"/>
    <cellStyle name="Normal 14 2 3 4 4 2 5" xfId="20524"/>
    <cellStyle name="Normal 14 2 3 4 4 3" xfId="4684"/>
    <cellStyle name="Normal 14 2 3 4 4 3 2" xfId="10444"/>
    <cellStyle name="Normal 14 2 3 4 4 3 2 2" xfId="27724"/>
    <cellStyle name="Normal 14 2 3 4 4 3 3" xfId="16204"/>
    <cellStyle name="Normal 14 2 3 4 4 3 3 2" xfId="33484"/>
    <cellStyle name="Normal 14 2 3 4 4 3 4" xfId="21964"/>
    <cellStyle name="Normal 14 2 3 4 4 4" xfId="7564"/>
    <cellStyle name="Normal 14 2 3 4 4 4 2" xfId="24844"/>
    <cellStyle name="Normal 14 2 3 4 4 5" xfId="13324"/>
    <cellStyle name="Normal 14 2 3 4 4 5 2" xfId="30604"/>
    <cellStyle name="Normal 14 2 3 4 4 6" xfId="19084"/>
    <cellStyle name="Normal 14 2 3 4 5" xfId="2524"/>
    <cellStyle name="Normal 14 2 3 4 5 2" xfId="5404"/>
    <cellStyle name="Normal 14 2 3 4 5 2 2" xfId="11164"/>
    <cellStyle name="Normal 14 2 3 4 5 2 2 2" xfId="28444"/>
    <cellStyle name="Normal 14 2 3 4 5 2 3" xfId="16924"/>
    <cellStyle name="Normal 14 2 3 4 5 2 3 2" xfId="34204"/>
    <cellStyle name="Normal 14 2 3 4 5 2 4" xfId="22684"/>
    <cellStyle name="Normal 14 2 3 4 5 3" xfId="8284"/>
    <cellStyle name="Normal 14 2 3 4 5 3 2" xfId="25564"/>
    <cellStyle name="Normal 14 2 3 4 5 4" xfId="14044"/>
    <cellStyle name="Normal 14 2 3 4 5 4 2" xfId="31324"/>
    <cellStyle name="Normal 14 2 3 4 5 5" xfId="19804"/>
    <cellStyle name="Normal 14 2 3 4 6" xfId="3964"/>
    <cellStyle name="Normal 14 2 3 4 6 2" xfId="9724"/>
    <cellStyle name="Normal 14 2 3 4 6 2 2" xfId="27004"/>
    <cellStyle name="Normal 14 2 3 4 6 3" xfId="15484"/>
    <cellStyle name="Normal 14 2 3 4 6 3 2" xfId="32764"/>
    <cellStyle name="Normal 14 2 3 4 6 4" xfId="21244"/>
    <cellStyle name="Normal 14 2 3 4 7" xfId="6844"/>
    <cellStyle name="Normal 14 2 3 4 7 2" xfId="24124"/>
    <cellStyle name="Normal 14 2 3 4 8" xfId="12604"/>
    <cellStyle name="Normal 14 2 3 4 8 2" xfId="29884"/>
    <cellStyle name="Normal 14 2 3 4 9" xfId="18364"/>
    <cellStyle name="Normal 14 2 3 5" xfId="1204"/>
    <cellStyle name="Normal 14 2 3 5 2" xfId="1924"/>
    <cellStyle name="Normal 14 2 3 5 2 2" xfId="3364"/>
    <cellStyle name="Normal 14 2 3 5 2 2 2" xfId="6244"/>
    <cellStyle name="Normal 14 2 3 5 2 2 2 2" xfId="12004"/>
    <cellStyle name="Normal 14 2 3 5 2 2 2 2 2" xfId="29284"/>
    <cellStyle name="Normal 14 2 3 5 2 2 2 3" xfId="17764"/>
    <cellStyle name="Normal 14 2 3 5 2 2 2 3 2" xfId="35044"/>
    <cellStyle name="Normal 14 2 3 5 2 2 2 4" xfId="23524"/>
    <cellStyle name="Normal 14 2 3 5 2 2 3" xfId="9124"/>
    <cellStyle name="Normal 14 2 3 5 2 2 3 2" xfId="26404"/>
    <cellStyle name="Normal 14 2 3 5 2 2 4" xfId="14884"/>
    <cellStyle name="Normal 14 2 3 5 2 2 4 2" xfId="32164"/>
    <cellStyle name="Normal 14 2 3 5 2 2 5" xfId="20644"/>
    <cellStyle name="Normal 14 2 3 5 2 3" xfId="4804"/>
    <cellStyle name="Normal 14 2 3 5 2 3 2" xfId="10564"/>
    <cellStyle name="Normal 14 2 3 5 2 3 2 2" xfId="27844"/>
    <cellStyle name="Normal 14 2 3 5 2 3 3" xfId="16324"/>
    <cellStyle name="Normal 14 2 3 5 2 3 3 2" xfId="33604"/>
    <cellStyle name="Normal 14 2 3 5 2 3 4" xfId="22084"/>
    <cellStyle name="Normal 14 2 3 5 2 4" xfId="7684"/>
    <cellStyle name="Normal 14 2 3 5 2 4 2" xfId="24964"/>
    <cellStyle name="Normal 14 2 3 5 2 5" xfId="13444"/>
    <cellStyle name="Normal 14 2 3 5 2 5 2" xfId="30724"/>
    <cellStyle name="Normal 14 2 3 5 2 6" xfId="19204"/>
    <cellStyle name="Normal 14 2 3 5 3" xfId="2644"/>
    <cellStyle name="Normal 14 2 3 5 3 2" xfId="5524"/>
    <cellStyle name="Normal 14 2 3 5 3 2 2" xfId="11284"/>
    <cellStyle name="Normal 14 2 3 5 3 2 2 2" xfId="28564"/>
    <cellStyle name="Normal 14 2 3 5 3 2 3" xfId="17044"/>
    <cellStyle name="Normal 14 2 3 5 3 2 3 2" xfId="34324"/>
    <cellStyle name="Normal 14 2 3 5 3 2 4" xfId="22804"/>
    <cellStyle name="Normal 14 2 3 5 3 3" xfId="8404"/>
    <cellStyle name="Normal 14 2 3 5 3 3 2" xfId="25684"/>
    <cellStyle name="Normal 14 2 3 5 3 4" xfId="14164"/>
    <cellStyle name="Normal 14 2 3 5 3 4 2" xfId="31444"/>
    <cellStyle name="Normal 14 2 3 5 3 5" xfId="19924"/>
    <cellStyle name="Normal 14 2 3 5 4" xfId="4084"/>
    <cellStyle name="Normal 14 2 3 5 4 2" xfId="9844"/>
    <cellStyle name="Normal 14 2 3 5 4 2 2" xfId="27124"/>
    <cellStyle name="Normal 14 2 3 5 4 3" xfId="15604"/>
    <cellStyle name="Normal 14 2 3 5 4 3 2" xfId="32884"/>
    <cellStyle name="Normal 14 2 3 5 4 4" xfId="21364"/>
    <cellStyle name="Normal 14 2 3 5 5" xfId="6964"/>
    <cellStyle name="Normal 14 2 3 5 5 2" xfId="24244"/>
    <cellStyle name="Normal 14 2 3 5 6" xfId="12724"/>
    <cellStyle name="Normal 14 2 3 5 6 2" xfId="30004"/>
    <cellStyle name="Normal 14 2 3 5 7" xfId="18484"/>
    <cellStyle name="Normal 14 2 3 6" xfId="1444"/>
    <cellStyle name="Normal 14 2 3 6 2" xfId="2164"/>
    <cellStyle name="Normal 14 2 3 6 2 2" xfId="3604"/>
    <cellStyle name="Normal 14 2 3 6 2 2 2" xfId="6484"/>
    <cellStyle name="Normal 14 2 3 6 2 2 2 2" xfId="12244"/>
    <cellStyle name="Normal 14 2 3 6 2 2 2 2 2" xfId="29524"/>
    <cellStyle name="Normal 14 2 3 6 2 2 2 3" xfId="18004"/>
    <cellStyle name="Normal 14 2 3 6 2 2 2 3 2" xfId="35284"/>
    <cellStyle name="Normal 14 2 3 6 2 2 2 4" xfId="23764"/>
    <cellStyle name="Normal 14 2 3 6 2 2 3" xfId="9364"/>
    <cellStyle name="Normal 14 2 3 6 2 2 3 2" xfId="26644"/>
    <cellStyle name="Normal 14 2 3 6 2 2 4" xfId="15124"/>
    <cellStyle name="Normal 14 2 3 6 2 2 4 2" xfId="32404"/>
    <cellStyle name="Normal 14 2 3 6 2 2 5" xfId="20884"/>
    <cellStyle name="Normal 14 2 3 6 2 3" xfId="5044"/>
    <cellStyle name="Normal 14 2 3 6 2 3 2" xfId="10804"/>
    <cellStyle name="Normal 14 2 3 6 2 3 2 2" xfId="28084"/>
    <cellStyle name="Normal 14 2 3 6 2 3 3" xfId="16564"/>
    <cellStyle name="Normal 14 2 3 6 2 3 3 2" xfId="33844"/>
    <cellStyle name="Normal 14 2 3 6 2 3 4" xfId="22324"/>
    <cellStyle name="Normal 14 2 3 6 2 4" xfId="7924"/>
    <cellStyle name="Normal 14 2 3 6 2 4 2" xfId="25204"/>
    <cellStyle name="Normal 14 2 3 6 2 5" xfId="13684"/>
    <cellStyle name="Normal 14 2 3 6 2 5 2" xfId="30964"/>
    <cellStyle name="Normal 14 2 3 6 2 6" xfId="19444"/>
    <cellStyle name="Normal 14 2 3 6 3" xfId="2884"/>
    <cellStyle name="Normal 14 2 3 6 3 2" xfId="5764"/>
    <cellStyle name="Normal 14 2 3 6 3 2 2" xfId="11524"/>
    <cellStyle name="Normal 14 2 3 6 3 2 2 2" xfId="28804"/>
    <cellStyle name="Normal 14 2 3 6 3 2 3" xfId="17284"/>
    <cellStyle name="Normal 14 2 3 6 3 2 3 2" xfId="34564"/>
    <cellStyle name="Normal 14 2 3 6 3 2 4" xfId="23044"/>
    <cellStyle name="Normal 14 2 3 6 3 3" xfId="8644"/>
    <cellStyle name="Normal 14 2 3 6 3 3 2" xfId="25924"/>
    <cellStyle name="Normal 14 2 3 6 3 4" xfId="14404"/>
    <cellStyle name="Normal 14 2 3 6 3 4 2" xfId="31684"/>
    <cellStyle name="Normal 14 2 3 6 3 5" xfId="20164"/>
    <cellStyle name="Normal 14 2 3 6 4" xfId="4324"/>
    <cellStyle name="Normal 14 2 3 6 4 2" xfId="10084"/>
    <cellStyle name="Normal 14 2 3 6 4 2 2" xfId="27364"/>
    <cellStyle name="Normal 14 2 3 6 4 3" xfId="15844"/>
    <cellStyle name="Normal 14 2 3 6 4 3 2" xfId="33124"/>
    <cellStyle name="Normal 14 2 3 6 4 4" xfId="21604"/>
    <cellStyle name="Normal 14 2 3 6 5" xfId="7204"/>
    <cellStyle name="Normal 14 2 3 6 5 2" xfId="24484"/>
    <cellStyle name="Normal 14 2 3 6 6" xfId="12964"/>
    <cellStyle name="Normal 14 2 3 6 6 2" xfId="30244"/>
    <cellStyle name="Normal 14 2 3 6 7" xfId="18724"/>
    <cellStyle name="Normal 14 2 3 7" xfId="1684"/>
    <cellStyle name="Normal 14 2 3 7 2" xfId="3124"/>
    <cellStyle name="Normal 14 2 3 7 2 2" xfId="6004"/>
    <cellStyle name="Normal 14 2 3 7 2 2 2" xfId="11764"/>
    <cellStyle name="Normal 14 2 3 7 2 2 2 2" xfId="29044"/>
    <cellStyle name="Normal 14 2 3 7 2 2 3" xfId="17524"/>
    <cellStyle name="Normal 14 2 3 7 2 2 3 2" xfId="34804"/>
    <cellStyle name="Normal 14 2 3 7 2 2 4" xfId="23284"/>
    <cellStyle name="Normal 14 2 3 7 2 3" xfId="8884"/>
    <cellStyle name="Normal 14 2 3 7 2 3 2" xfId="26164"/>
    <cellStyle name="Normal 14 2 3 7 2 4" xfId="14644"/>
    <cellStyle name="Normal 14 2 3 7 2 4 2" xfId="31924"/>
    <cellStyle name="Normal 14 2 3 7 2 5" xfId="20404"/>
    <cellStyle name="Normal 14 2 3 7 3" xfId="4564"/>
    <cellStyle name="Normal 14 2 3 7 3 2" xfId="10324"/>
    <cellStyle name="Normal 14 2 3 7 3 2 2" xfId="27604"/>
    <cellStyle name="Normal 14 2 3 7 3 3" xfId="16084"/>
    <cellStyle name="Normal 14 2 3 7 3 3 2" xfId="33364"/>
    <cellStyle name="Normal 14 2 3 7 3 4" xfId="21844"/>
    <cellStyle name="Normal 14 2 3 7 4" xfId="7444"/>
    <cellStyle name="Normal 14 2 3 7 4 2" xfId="24724"/>
    <cellStyle name="Normal 14 2 3 7 5" xfId="13204"/>
    <cellStyle name="Normal 14 2 3 7 5 2" xfId="30484"/>
    <cellStyle name="Normal 14 2 3 7 6" xfId="18964"/>
    <cellStyle name="Normal 14 2 3 8" xfId="2404"/>
    <cellStyle name="Normal 14 2 3 8 2" xfId="5284"/>
    <cellStyle name="Normal 14 2 3 8 2 2" xfId="11044"/>
    <cellStyle name="Normal 14 2 3 8 2 2 2" xfId="28324"/>
    <cellStyle name="Normal 14 2 3 8 2 3" xfId="16804"/>
    <cellStyle name="Normal 14 2 3 8 2 3 2" xfId="34084"/>
    <cellStyle name="Normal 14 2 3 8 2 4" xfId="22564"/>
    <cellStyle name="Normal 14 2 3 8 3" xfId="8164"/>
    <cellStyle name="Normal 14 2 3 8 3 2" xfId="25444"/>
    <cellStyle name="Normal 14 2 3 8 4" xfId="13924"/>
    <cellStyle name="Normal 14 2 3 8 4 2" xfId="31204"/>
    <cellStyle name="Normal 14 2 3 8 5" xfId="19684"/>
    <cellStyle name="Normal 14 2 3 9" xfId="3844"/>
    <cellStyle name="Normal 14 2 3 9 2" xfId="9604"/>
    <cellStyle name="Normal 14 2 3 9 2 2" xfId="26884"/>
    <cellStyle name="Normal 14 2 3 9 3" xfId="15364"/>
    <cellStyle name="Normal 14 2 3 9 3 2" xfId="32644"/>
    <cellStyle name="Normal 14 2 3 9 4" xfId="21124"/>
    <cellStyle name="Normal 14 2 4" xfId="1024"/>
    <cellStyle name="Normal 14 2 4 10" xfId="18304"/>
    <cellStyle name="Normal 14 2 4 2" xfId="1144"/>
    <cellStyle name="Normal 14 2 4 2 2" xfId="1384"/>
    <cellStyle name="Normal 14 2 4 2 2 2" xfId="2104"/>
    <cellStyle name="Normal 14 2 4 2 2 2 2" xfId="3544"/>
    <cellStyle name="Normal 14 2 4 2 2 2 2 2" xfId="6424"/>
    <cellStyle name="Normal 14 2 4 2 2 2 2 2 2" xfId="12184"/>
    <cellStyle name="Normal 14 2 4 2 2 2 2 2 2 2" xfId="29464"/>
    <cellStyle name="Normal 14 2 4 2 2 2 2 2 3" xfId="17944"/>
    <cellStyle name="Normal 14 2 4 2 2 2 2 2 3 2" xfId="35224"/>
    <cellStyle name="Normal 14 2 4 2 2 2 2 2 4" xfId="23704"/>
    <cellStyle name="Normal 14 2 4 2 2 2 2 3" xfId="9304"/>
    <cellStyle name="Normal 14 2 4 2 2 2 2 3 2" xfId="26584"/>
    <cellStyle name="Normal 14 2 4 2 2 2 2 4" xfId="15064"/>
    <cellStyle name="Normal 14 2 4 2 2 2 2 4 2" xfId="32344"/>
    <cellStyle name="Normal 14 2 4 2 2 2 2 5" xfId="20824"/>
    <cellStyle name="Normal 14 2 4 2 2 2 3" xfId="4984"/>
    <cellStyle name="Normal 14 2 4 2 2 2 3 2" xfId="10744"/>
    <cellStyle name="Normal 14 2 4 2 2 2 3 2 2" xfId="28024"/>
    <cellStyle name="Normal 14 2 4 2 2 2 3 3" xfId="16504"/>
    <cellStyle name="Normal 14 2 4 2 2 2 3 3 2" xfId="33784"/>
    <cellStyle name="Normal 14 2 4 2 2 2 3 4" xfId="22264"/>
    <cellStyle name="Normal 14 2 4 2 2 2 4" xfId="7864"/>
    <cellStyle name="Normal 14 2 4 2 2 2 4 2" xfId="25144"/>
    <cellStyle name="Normal 14 2 4 2 2 2 5" xfId="13624"/>
    <cellStyle name="Normal 14 2 4 2 2 2 5 2" xfId="30904"/>
    <cellStyle name="Normal 14 2 4 2 2 2 6" xfId="19384"/>
    <cellStyle name="Normal 14 2 4 2 2 3" xfId="2824"/>
    <cellStyle name="Normal 14 2 4 2 2 3 2" xfId="5704"/>
    <cellStyle name="Normal 14 2 4 2 2 3 2 2" xfId="11464"/>
    <cellStyle name="Normal 14 2 4 2 2 3 2 2 2" xfId="28744"/>
    <cellStyle name="Normal 14 2 4 2 2 3 2 3" xfId="17224"/>
    <cellStyle name="Normal 14 2 4 2 2 3 2 3 2" xfId="34504"/>
    <cellStyle name="Normal 14 2 4 2 2 3 2 4" xfId="22984"/>
    <cellStyle name="Normal 14 2 4 2 2 3 3" xfId="8584"/>
    <cellStyle name="Normal 14 2 4 2 2 3 3 2" xfId="25864"/>
    <cellStyle name="Normal 14 2 4 2 2 3 4" xfId="14344"/>
    <cellStyle name="Normal 14 2 4 2 2 3 4 2" xfId="31624"/>
    <cellStyle name="Normal 14 2 4 2 2 3 5" xfId="20104"/>
    <cellStyle name="Normal 14 2 4 2 2 4" xfId="4264"/>
    <cellStyle name="Normal 14 2 4 2 2 4 2" xfId="10024"/>
    <cellStyle name="Normal 14 2 4 2 2 4 2 2" xfId="27304"/>
    <cellStyle name="Normal 14 2 4 2 2 4 3" xfId="15784"/>
    <cellStyle name="Normal 14 2 4 2 2 4 3 2" xfId="33064"/>
    <cellStyle name="Normal 14 2 4 2 2 4 4" xfId="21544"/>
    <cellStyle name="Normal 14 2 4 2 2 5" xfId="7144"/>
    <cellStyle name="Normal 14 2 4 2 2 5 2" xfId="24424"/>
    <cellStyle name="Normal 14 2 4 2 2 6" xfId="12904"/>
    <cellStyle name="Normal 14 2 4 2 2 6 2" xfId="30184"/>
    <cellStyle name="Normal 14 2 4 2 2 7" xfId="18664"/>
    <cellStyle name="Normal 14 2 4 2 3" xfId="1624"/>
    <cellStyle name="Normal 14 2 4 2 3 2" xfId="2344"/>
    <cellStyle name="Normal 14 2 4 2 3 2 2" xfId="3784"/>
    <cellStyle name="Normal 14 2 4 2 3 2 2 2" xfId="6664"/>
    <cellStyle name="Normal 14 2 4 2 3 2 2 2 2" xfId="12424"/>
    <cellStyle name="Normal 14 2 4 2 3 2 2 2 2 2" xfId="29704"/>
    <cellStyle name="Normal 14 2 4 2 3 2 2 2 3" xfId="18184"/>
    <cellStyle name="Normal 14 2 4 2 3 2 2 2 3 2" xfId="35464"/>
    <cellStyle name="Normal 14 2 4 2 3 2 2 2 4" xfId="23944"/>
    <cellStyle name="Normal 14 2 4 2 3 2 2 3" xfId="9544"/>
    <cellStyle name="Normal 14 2 4 2 3 2 2 3 2" xfId="26824"/>
    <cellStyle name="Normal 14 2 4 2 3 2 2 4" xfId="15304"/>
    <cellStyle name="Normal 14 2 4 2 3 2 2 4 2" xfId="32584"/>
    <cellStyle name="Normal 14 2 4 2 3 2 2 5" xfId="21064"/>
    <cellStyle name="Normal 14 2 4 2 3 2 3" xfId="5224"/>
    <cellStyle name="Normal 14 2 4 2 3 2 3 2" xfId="10984"/>
    <cellStyle name="Normal 14 2 4 2 3 2 3 2 2" xfId="28264"/>
    <cellStyle name="Normal 14 2 4 2 3 2 3 3" xfId="16744"/>
    <cellStyle name="Normal 14 2 4 2 3 2 3 3 2" xfId="34024"/>
    <cellStyle name="Normal 14 2 4 2 3 2 3 4" xfId="22504"/>
    <cellStyle name="Normal 14 2 4 2 3 2 4" xfId="8104"/>
    <cellStyle name="Normal 14 2 4 2 3 2 4 2" xfId="25384"/>
    <cellStyle name="Normal 14 2 4 2 3 2 5" xfId="13864"/>
    <cellStyle name="Normal 14 2 4 2 3 2 5 2" xfId="31144"/>
    <cellStyle name="Normal 14 2 4 2 3 2 6" xfId="19624"/>
    <cellStyle name="Normal 14 2 4 2 3 3" xfId="3064"/>
    <cellStyle name="Normal 14 2 4 2 3 3 2" xfId="5944"/>
    <cellStyle name="Normal 14 2 4 2 3 3 2 2" xfId="11704"/>
    <cellStyle name="Normal 14 2 4 2 3 3 2 2 2" xfId="28984"/>
    <cellStyle name="Normal 14 2 4 2 3 3 2 3" xfId="17464"/>
    <cellStyle name="Normal 14 2 4 2 3 3 2 3 2" xfId="34744"/>
    <cellStyle name="Normal 14 2 4 2 3 3 2 4" xfId="23224"/>
    <cellStyle name="Normal 14 2 4 2 3 3 3" xfId="8824"/>
    <cellStyle name="Normal 14 2 4 2 3 3 3 2" xfId="26104"/>
    <cellStyle name="Normal 14 2 4 2 3 3 4" xfId="14584"/>
    <cellStyle name="Normal 14 2 4 2 3 3 4 2" xfId="31864"/>
    <cellStyle name="Normal 14 2 4 2 3 3 5" xfId="20344"/>
    <cellStyle name="Normal 14 2 4 2 3 4" xfId="4504"/>
    <cellStyle name="Normal 14 2 4 2 3 4 2" xfId="10264"/>
    <cellStyle name="Normal 14 2 4 2 3 4 2 2" xfId="27544"/>
    <cellStyle name="Normal 14 2 4 2 3 4 3" xfId="16024"/>
    <cellStyle name="Normal 14 2 4 2 3 4 3 2" xfId="33304"/>
    <cellStyle name="Normal 14 2 4 2 3 4 4" xfId="21784"/>
    <cellStyle name="Normal 14 2 4 2 3 5" xfId="7384"/>
    <cellStyle name="Normal 14 2 4 2 3 5 2" xfId="24664"/>
    <cellStyle name="Normal 14 2 4 2 3 6" xfId="13144"/>
    <cellStyle name="Normal 14 2 4 2 3 6 2" xfId="30424"/>
    <cellStyle name="Normal 14 2 4 2 3 7" xfId="18904"/>
    <cellStyle name="Normal 14 2 4 2 4" xfId="1864"/>
    <cellStyle name="Normal 14 2 4 2 4 2" xfId="3304"/>
    <cellStyle name="Normal 14 2 4 2 4 2 2" xfId="6184"/>
    <cellStyle name="Normal 14 2 4 2 4 2 2 2" xfId="11944"/>
    <cellStyle name="Normal 14 2 4 2 4 2 2 2 2" xfId="29224"/>
    <cellStyle name="Normal 14 2 4 2 4 2 2 3" xfId="17704"/>
    <cellStyle name="Normal 14 2 4 2 4 2 2 3 2" xfId="34984"/>
    <cellStyle name="Normal 14 2 4 2 4 2 2 4" xfId="23464"/>
    <cellStyle name="Normal 14 2 4 2 4 2 3" xfId="9064"/>
    <cellStyle name="Normal 14 2 4 2 4 2 3 2" xfId="26344"/>
    <cellStyle name="Normal 14 2 4 2 4 2 4" xfId="14824"/>
    <cellStyle name="Normal 14 2 4 2 4 2 4 2" xfId="32104"/>
    <cellStyle name="Normal 14 2 4 2 4 2 5" xfId="20584"/>
    <cellStyle name="Normal 14 2 4 2 4 3" xfId="4744"/>
    <cellStyle name="Normal 14 2 4 2 4 3 2" xfId="10504"/>
    <cellStyle name="Normal 14 2 4 2 4 3 2 2" xfId="27784"/>
    <cellStyle name="Normal 14 2 4 2 4 3 3" xfId="16264"/>
    <cellStyle name="Normal 14 2 4 2 4 3 3 2" xfId="33544"/>
    <cellStyle name="Normal 14 2 4 2 4 3 4" xfId="22024"/>
    <cellStyle name="Normal 14 2 4 2 4 4" xfId="7624"/>
    <cellStyle name="Normal 14 2 4 2 4 4 2" xfId="24904"/>
    <cellStyle name="Normal 14 2 4 2 4 5" xfId="13384"/>
    <cellStyle name="Normal 14 2 4 2 4 5 2" xfId="30664"/>
    <cellStyle name="Normal 14 2 4 2 4 6" xfId="19144"/>
    <cellStyle name="Normal 14 2 4 2 5" xfId="2584"/>
    <cellStyle name="Normal 14 2 4 2 5 2" xfId="5464"/>
    <cellStyle name="Normal 14 2 4 2 5 2 2" xfId="11224"/>
    <cellStyle name="Normal 14 2 4 2 5 2 2 2" xfId="28504"/>
    <cellStyle name="Normal 14 2 4 2 5 2 3" xfId="16984"/>
    <cellStyle name="Normal 14 2 4 2 5 2 3 2" xfId="34264"/>
    <cellStyle name="Normal 14 2 4 2 5 2 4" xfId="22744"/>
    <cellStyle name="Normal 14 2 4 2 5 3" xfId="8344"/>
    <cellStyle name="Normal 14 2 4 2 5 3 2" xfId="25624"/>
    <cellStyle name="Normal 14 2 4 2 5 4" xfId="14104"/>
    <cellStyle name="Normal 14 2 4 2 5 4 2" xfId="31384"/>
    <cellStyle name="Normal 14 2 4 2 5 5" xfId="19864"/>
    <cellStyle name="Normal 14 2 4 2 6" xfId="4024"/>
    <cellStyle name="Normal 14 2 4 2 6 2" xfId="9784"/>
    <cellStyle name="Normal 14 2 4 2 6 2 2" xfId="27064"/>
    <cellStyle name="Normal 14 2 4 2 6 3" xfId="15544"/>
    <cellStyle name="Normal 14 2 4 2 6 3 2" xfId="32824"/>
    <cellStyle name="Normal 14 2 4 2 6 4" xfId="21304"/>
    <cellStyle name="Normal 14 2 4 2 7" xfId="6904"/>
    <cellStyle name="Normal 14 2 4 2 7 2" xfId="24184"/>
    <cellStyle name="Normal 14 2 4 2 8" xfId="12664"/>
    <cellStyle name="Normal 14 2 4 2 8 2" xfId="29944"/>
    <cellStyle name="Normal 14 2 4 2 9" xfId="18424"/>
    <cellStyle name="Normal 14 2 4 3" xfId="1264"/>
    <cellStyle name="Normal 14 2 4 3 2" xfId="1984"/>
    <cellStyle name="Normal 14 2 4 3 2 2" xfId="3424"/>
    <cellStyle name="Normal 14 2 4 3 2 2 2" xfId="6304"/>
    <cellStyle name="Normal 14 2 4 3 2 2 2 2" xfId="12064"/>
    <cellStyle name="Normal 14 2 4 3 2 2 2 2 2" xfId="29344"/>
    <cellStyle name="Normal 14 2 4 3 2 2 2 3" xfId="17824"/>
    <cellStyle name="Normal 14 2 4 3 2 2 2 3 2" xfId="35104"/>
    <cellStyle name="Normal 14 2 4 3 2 2 2 4" xfId="23584"/>
    <cellStyle name="Normal 14 2 4 3 2 2 3" xfId="9184"/>
    <cellStyle name="Normal 14 2 4 3 2 2 3 2" xfId="26464"/>
    <cellStyle name="Normal 14 2 4 3 2 2 4" xfId="14944"/>
    <cellStyle name="Normal 14 2 4 3 2 2 4 2" xfId="32224"/>
    <cellStyle name="Normal 14 2 4 3 2 2 5" xfId="20704"/>
    <cellStyle name="Normal 14 2 4 3 2 3" xfId="4864"/>
    <cellStyle name="Normal 14 2 4 3 2 3 2" xfId="10624"/>
    <cellStyle name="Normal 14 2 4 3 2 3 2 2" xfId="27904"/>
    <cellStyle name="Normal 14 2 4 3 2 3 3" xfId="16384"/>
    <cellStyle name="Normal 14 2 4 3 2 3 3 2" xfId="33664"/>
    <cellStyle name="Normal 14 2 4 3 2 3 4" xfId="22144"/>
    <cellStyle name="Normal 14 2 4 3 2 4" xfId="7744"/>
    <cellStyle name="Normal 14 2 4 3 2 4 2" xfId="25024"/>
    <cellStyle name="Normal 14 2 4 3 2 5" xfId="13504"/>
    <cellStyle name="Normal 14 2 4 3 2 5 2" xfId="30784"/>
    <cellStyle name="Normal 14 2 4 3 2 6" xfId="19264"/>
    <cellStyle name="Normal 14 2 4 3 3" xfId="2704"/>
    <cellStyle name="Normal 14 2 4 3 3 2" xfId="5584"/>
    <cellStyle name="Normal 14 2 4 3 3 2 2" xfId="11344"/>
    <cellStyle name="Normal 14 2 4 3 3 2 2 2" xfId="28624"/>
    <cellStyle name="Normal 14 2 4 3 3 2 3" xfId="17104"/>
    <cellStyle name="Normal 14 2 4 3 3 2 3 2" xfId="34384"/>
    <cellStyle name="Normal 14 2 4 3 3 2 4" xfId="22864"/>
    <cellStyle name="Normal 14 2 4 3 3 3" xfId="8464"/>
    <cellStyle name="Normal 14 2 4 3 3 3 2" xfId="25744"/>
    <cellStyle name="Normal 14 2 4 3 3 4" xfId="14224"/>
    <cellStyle name="Normal 14 2 4 3 3 4 2" xfId="31504"/>
    <cellStyle name="Normal 14 2 4 3 3 5" xfId="19984"/>
    <cellStyle name="Normal 14 2 4 3 4" xfId="4144"/>
    <cellStyle name="Normal 14 2 4 3 4 2" xfId="9904"/>
    <cellStyle name="Normal 14 2 4 3 4 2 2" xfId="27184"/>
    <cellStyle name="Normal 14 2 4 3 4 3" xfId="15664"/>
    <cellStyle name="Normal 14 2 4 3 4 3 2" xfId="32944"/>
    <cellStyle name="Normal 14 2 4 3 4 4" xfId="21424"/>
    <cellStyle name="Normal 14 2 4 3 5" xfId="7024"/>
    <cellStyle name="Normal 14 2 4 3 5 2" xfId="24304"/>
    <cellStyle name="Normal 14 2 4 3 6" xfId="12784"/>
    <cellStyle name="Normal 14 2 4 3 6 2" xfId="30064"/>
    <cellStyle name="Normal 14 2 4 3 7" xfId="18544"/>
    <cellStyle name="Normal 14 2 4 4" xfId="1504"/>
    <cellStyle name="Normal 14 2 4 4 2" xfId="2224"/>
    <cellStyle name="Normal 14 2 4 4 2 2" xfId="3664"/>
    <cellStyle name="Normal 14 2 4 4 2 2 2" xfId="6544"/>
    <cellStyle name="Normal 14 2 4 4 2 2 2 2" xfId="12304"/>
    <cellStyle name="Normal 14 2 4 4 2 2 2 2 2" xfId="29584"/>
    <cellStyle name="Normal 14 2 4 4 2 2 2 3" xfId="18064"/>
    <cellStyle name="Normal 14 2 4 4 2 2 2 3 2" xfId="35344"/>
    <cellStyle name="Normal 14 2 4 4 2 2 2 4" xfId="23824"/>
    <cellStyle name="Normal 14 2 4 4 2 2 3" xfId="9424"/>
    <cellStyle name="Normal 14 2 4 4 2 2 3 2" xfId="26704"/>
    <cellStyle name="Normal 14 2 4 4 2 2 4" xfId="15184"/>
    <cellStyle name="Normal 14 2 4 4 2 2 4 2" xfId="32464"/>
    <cellStyle name="Normal 14 2 4 4 2 2 5" xfId="20944"/>
    <cellStyle name="Normal 14 2 4 4 2 3" xfId="5104"/>
    <cellStyle name="Normal 14 2 4 4 2 3 2" xfId="10864"/>
    <cellStyle name="Normal 14 2 4 4 2 3 2 2" xfId="28144"/>
    <cellStyle name="Normal 14 2 4 4 2 3 3" xfId="16624"/>
    <cellStyle name="Normal 14 2 4 4 2 3 3 2" xfId="33904"/>
    <cellStyle name="Normal 14 2 4 4 2 3 4" xfId="22384"/>
    <cellStyle name="Normal 14 2 4 4 2 4" xfId="7984"/>
    <cellStyle name="Normal 14 2 4 4 2 4 2" xfId="25264"/>
    <cellStyle name="Normal 14 2 4 4 2 5" xfId="13744"/>
    <cellStyle name="Normal 14 2 4 4 2 5 2" xfId="31024"/>
    <cellStyle name="Normal 14 2 4 4 2 6" xfId="19504"/>
    <cellStyle name="Normal 14 2 4 4 3" xfId="2944"/>
    <cellStyle name="Normal 14 2 4 4 3 2" xfId="5824"/>
    <cellStyle name="Normal 14 2 4 4 3 2 2" xfId="11584"/>
    <cellStyle name="Normal 14 2 4 4 3 2 2 2" xfId="28864"/>
    <cellStyle name="Normal 14 2 4 4 3 2 3" xfId="17344"/>
    <cellStyle name="Normal 14 2 4 4 3 2 3 2" xfId="34624"/>
    <cellStyle name="Normal 14 2 4 4 3 2 4" xfId="23104"/>
    <cellStyle name="Normal 14 2 4 4 3 3" xfId="8704"/>
    <cellStyle name="Normal 14 2 4 4 3 3 2" xfId="25984"/>
    <cellStyle name="Normal 14 2 4 4 3 4" xfId="14464"/>
    <cellStyle name="Normal 14 2 4 4 3 4 2" xfId="31744"/>
    <cellStyle name="Normal 14 2 4 4 3 5" xfId="20224"/>
    <cellStyle name="Normal 14 2 4 4 4" xfId="4384"/>
    <cellStyle name="Normal 14 2 4 4 4 2" xfId="10144"/>
    <cellStyle name="Normal 14 2 4 4 4 2 2" xfId="27424"/>
    <cellStyle name="Normal 14 2 4 4 4 3" xfId="15904"/>
    <cellStyle name="Normal 14 2 4 4 4 3 2" xfId="33184"/>
    <cellStyle name="Normal 14 2 4 4 4 4" xfId="21664"/>
    <cellStyle name="Normal 14 2 4 4 5" xfId="7264"/>
    <cellStyle name="Normal 14 2 4 4 5 2" xfId="24544"/>
    <cellStyle name="Normal 14 2 4 4 6" xfId="13024"/>
    <cellStyle name="Normal 14 2 4 4 6 2" xfId="30304"/>
    <cellStyle name="Normal 14 2 4 4 7" xfId="18784"/>
    <cellStyle name="Normal 14 2 4 5" xfId="1744"/>
    <cellStyle name="Normal 14 2 4 5 2" xfId="3184"/>
    <cellStyle name="Normal 14 2 4 5 2 2" xfId="6064"/>
    <cellStyle name="Normal 14 2 4 5 2 2 2" xfId="11824"/>
    <cellStyle name="Normal 14 2 4 5 2 2 2 2" xfId="29104"/>
    <cellStyle name="Normal 14 2 4 5 2 2 3" xfId="17584"/>
    <cellStyle name="Normal 14 2 4 5 2 2 3 2" xfId="34864"/>
    <cellStyle name="Normal 14 2 4 5 2 2 4" xfId="23344"/>
    <cellStyle name="Normal 14 2 4 5 2 3" xfId="8944"/>
    <cellStyle name="Normal 14 2 4 5 2 3 2" xfId="26224"/>
    <cellStyle name="Normal 14 2 4 5 2 4" xfId="14704"/>
    <cellStyle name="Normal 14 2 4 5 2 4 2" xfId="31984"/>
    <cellStyle name="Normal 14 2 4 5 2 5" xfId="20464"/>
    <cellStyle name="Normal 14 2 4 5 3" xfId="4624"/>
    <cellStyle name="Normal 14 2 4 5 3 2" xfId="10384"/>
    <cellStyle name="Normal 14 2 4 5 3 2 2" xfId="27664"/>
    <cellStyle name="Normal 14 2 4 5 3 3" xfId="16144"/>
    <cellStyle name="Normal 14 2 4 5 3 3 2" xfId="33424"/>
    <cellStyle name="Normal 14 2 4 5 3 4" xfId="21904"/>
    <cellStyle name="Normal 14 2 4 5 4" xfId="7504"/>
    <cellStyle name="Normal 14 2 4 5 4 2" xfId="24784"/>
    <cellStyle name="Normal 14 2 4 5 5" xfId="13264"/>
    <cellStyle name="Normal 14 2 4 5 5 2" xfId="30544"/>
    <cellStyle name="Normal 14 2 4 5 6" xfId="19024"/>
    <cellStyle name="Normal 14 2 4 6" xfId="2464"/>
    <cellStyle name="Normal 14 2 4 6 2" xfId="5344"/>
    <cellStyle name="Normal 14 2 4 6 2 2" xfId="11104"/>
    <cellStyle name="Normal 14 2 4 6 2 2 2" xfId="28384"/>
    <cellStyle name="Normal 14 2 4 6 2 3" xfId="16864"/>
    <cellStyle name="Normal 14 2 4 6 2 3 2" xfId="34144"/>
    <cellStyle name="Normal 14 2 4 6 2 4" xfId="22624"/>
    <cellStyle name="Normal 14 2 4 6 3" xfId="8224"/>
    <cellStyle name="Normal 14 2 4 6 3 2" xfId="25504"/>
    <cellStyle name="Normal 14 2 4 6 4" xfId="13984"/>
    <cellStyle name="Normal 14 2 4 6 4 2" xfId="31264"/>
    <cellStyle name="Normal 14 2 4 6 5" xfId="19744"/>
    <cellStyle name="Normal 14 2 4 7" xfId="3904"/>
    <cellStyle name="Normal 14 2 4 7 2" xfId="9664"/>
    <cellStyle name="Normal 14 2 4 7 2 2" xfId="26944"/>
    <cellStyle name="Normal 14 2 4 7 3" xfId="15424"/>
    <cellStyle name="Normal 14 2 4 7 3 2" xfId="32704"/>
    <cellStyle name="Normal 14 2 4 7 4" xfId="21184"/>
    <cellStyle name="Normal 14 2 4 8" xfId="6784"/>
    <cellStyle name="Normal 14 2 4 8 2" xfId="24064"/>
    <cellStyle name="Normal 14 2 4 9" xfId="12544"/>
    <cellStyle name="Normal 14 2 4 9 2" xfId="29824"/>
    <cellStyle name="Normal 14 2 5" xfId="984"/>
    <cellStyle name="Normal 14 2 5 10" xfId="18264"/>
    <cellStyle name="Normal 14 2 5 2" xfId="1104"/>
    <cellStyle name="Normal 14 2 5 2 2" xfId="1344"/>
    <cellStyle name="Normal 14 2 5 2 2 2" xfId="2064"/>
    <cellStyle name="Normal 14 2 5 2 2 2 2" xfId="3504"/>
    <cellStyle name="Normal 14 2 5 2 2 2 2 2" xfId="6384"/>
    <cellStyle name="Normal 14 2 5 2 2 2 2 2 2" xfId="12144"/>
    <cellStyle name="Normal 14 2 5 2 2 2 2 2 2 2" xfId="29424"/>
    <cellStyle name="Normal 14 2 5 2 2 2 2 2 3" xfId="17904"/>
    <cellStyle name="Normal 14 2 5 2 2 2 2 2 3 2" xfId="35184"/>
    <cellStyle name="Normal 14 2 5 2 2 2 2 2 4" xfId="23664"/>
    <cellStyle name="Normal 14 2 5 2 2 2 2 3" xfId="9264"/>
    <cellStyle name="Normal 14 2 5 2 2 2 2 3 2" xfId="26544"/>
    <cellStyle name="Normal 14 2 5 2 2 2 2 4" xfId="15024"/>
    <cellStyle name="Normal 14 2 5 2 2 2 2 4 2" xfId="32304"/>
    <cellStyle name="Normal 14 2 5 2 2 2 2 5" xfId="20784"/>
    <cellStyle name="Normal 14 2 5 2 2 2 3" xfId="4944"/>
    <cellStyle name="Normal 14 2 5 2 2 2 3 2" xfId="10704"/>
    <cellStyle name="Normal 14 2 5 2 2 2 3 2 2" xfId="27984"/>
    <cellStyle name="Normal 14 2 5 2 2 2 3 3" xfId="16464"/>
    <cellStyle name="Normal 14 2 5 2 2 2 3 3 2" xfId="33744"/>
    <cellStyle name="Normal 14 2 5 2 2 2 3 4" xfId="22224"/>
    <cellStyle name="Normal 14 2 5 2 2 2 4" xfId="7824"/>
    <cellStyle name="Normal 14 2 5 2 2 2 4 2" xfId="25104"/>
    <cellStyle name="Normal 14 2 5 2 2 2 5" xfId="13584"/>
    <cellStyle name="Normal 14 2 5 2 2 2 5 2" xfId="30864"/>
    <cellStyle name="Normal 14 2 5 2 2 2 6" xfId="19344"/>
    <cellStyle name="Normal 14 2 5 2 2 3" xfId="2784"/>
    <cellStyle name="Normal 14 2 5 2 2 3 2" xfId="5664"/>
    <cellStyle name="Normal 14 2 5 2 2 3 2 2" xfId="11424"/>
    <cellStyle name="Normal 14 2 5 2 2 3 2 2 2" xfId="28704"/>
    <cellStyle name="Normal 14 2 5 2 2 3 2 3" xfId="17184"/>
    <cellStyle name="Normal 14 2 5 2 2 3 2 3 2" xfId="34464"/>
    <cellStyle name="Normal 14 2 5 2 2 3 2 4" xfId="22944"/>
    <cellStyle name="Normal 14 2 5 2 2 3 3" xfId="8544"/>
    <cellStyle name="Normal 14 2 5 2 2 3 3 2" xfId="25824"/>
    <cellStyle name="Normal 14 2 5 2 2 3 4" xfId="14304"/>
    <cellStyle name="Normal 14 2 5 2 2 3 4 2" xfId="31584"/>
    <cellStyle name="Normal 14 2 5 2 2 3 5" xfId="20064"/>
    <cellStyle name="Normal 14 2 5 2 2 4" xfId="4224"/>
    <cellStyle name="Normal 14 2 5 2 2 4 2" xfId="9984"/>
    <cellStyle name="Normal 14 2 5 2 2 4 2 2" xfId="27264"/>
    <cellStyle name="Normal 14 2 5 2 2 4 3" xfId="15744"/>
    <cellStyle name="Normal 14 2 5 2 2 4 3 2" xfId="33024"/>
    <cellStyle name="Normal 14 2 5 2 2 4 4" xfId="21504"/>
    <cellStyle name="Normal 14 2 5 2 2 5" xfId="7104"/>
    <cellStyle name="Normal 14 2 5 2 2 5 2" xfId="24384"/>
    <cellStyle name="Normal 14 2 5 2 2 6" xfId="12864"/>
    <cellStyle name="Normal 14 2 5 2 2 6 2" xfId="30144"/>
    <cellStyle name="Normal 14 2 5 2 2 7" xfId="18624"/>
    <cellStyle name="Normal 14 2 5 2 3" xfId="1584"/>
    <cellStyle name="Normal 14 2 5 2 3 2" xfId="2304"/>
    <cellStyle name="Normal 14 2 5 2 3 2 2" xfId="3744"/>
    <cellStyle name="Normal 14 2 5 2 3 2 2 2" xfId="6624"/>
    <cellStyle name="Normal 14 2 5 2 3 2 2 2 2" xfId="12384"/>
    <cellStyle name="Normal 14 2 5 2 3 2 2 2 2 2" xfId="29664"/>
    <cellStyle name="Normal 14 2 5 2 3 2 2 2 3" xfId="18144"/>
    <cellStyle name="Normal 14 2 5 2 3 2 2 2 3 2" xfId="35424"/>
    <cellStyle name="Normal 14 2 5 2 3 2 2 2 4" xfId="23904"/>
    <cellStyle name="Normal 14 2 5 2 3 2 2 3" xfId="9504"/>
    <cellStyle name="Normal 14 2 5 2 3 2 2 3 2" xfId="26784"/>
    <cellStyle name="Normal 14 2 5 2 3 2 2 4" xfId="15264"/>
    <cellStyle name="Normal 14 2 5 2 3 2 2 4 2" xfId="32544"/>
    <cellStyle name="Normal 14 2 5 2 3 2 2 5" xfId="21024"/>
    <cellStyle name="Normal 14 2 5 2 3 2 3" xfId="5184"/>
    <cellStyle name="Normal 14 2 5 2 3 2 3 2" xfId="10944"/>
    <cellStyle name="Normal 14 2 5 2 3 2 3 2 2" xfId="28224"/>
    <cellStyle name="Normal 14 2 5 2 3 2 3 3" xfId="16704"/>
    <cellStyle name="Normal 14 2 5 2 3 2 3 3 2" xfId="33984"/>
    <cellStyle name="Normal 14 2 5 2 3 2 3 4" xfId="22464"/>
    <cellStyle name="Normal 14 2 5 2 3 2 4" xfId="8064"/>
    <cellStyle name="Normal 14 2 5 2 3 2 4 2" xfId="25344"/>
    <cellStyle name="Normal 14 2 5 2 3 2 5" xfId="13824"/>
    <cellStyle name="Normal 14 2 5 2 3 2 5 2" xfId="31104"/>
    <cellStyle name="Normal 14 2 5 2 3 2 6" xfId="19584"/>
    <cellStyle name="Normal 14 2 5 2 3 3" xfId="3024"/>
    <cellStyle name="Normal 14 2 5 2 3 3 2" xfId="5904"/>
    <cellStyle name="Normal 14 2 5 2 3 3 2 2" xfId="11664"/>
    <cellStyle name="Normal 14 2 5 2 3 3 2 2 2" xfId="28944"/>
    <cellStyle name="Normal 14 2 5 2 3 3 2 3" xfId="17424"/>
    <cellStyle name="Normal 14 2 5 2 3 3 2 3 2" xfId="34704"/>
    <cellStyle name="Normal 14 2 5 2 3 3 2 4" xfId="23184"/>
    <cellStyle name="Normal 14 2 5 2 3 3 3" xfId="8784"/>
    <cellStyle name="Normal 14 2 5 2 3 3 3 2" xfId="26064"/>
    <cellStyle name="Normal 14 2 5 2 3 3 4" xfId="14544"/>
    <cellStyle name="Normal 14 2 5 2 3 3 4 2" xfId="31824"/>
    <cellStyle name="Normal 14 2 5 2 3 3 5" xfId="20304"/>
    <cellStyle name="Normal 14 2 5 2 3 4" xfId="4464"/>
    <cellStyle name="Normal 14 2 5 2 3 4 2" xfId="10224"/>
    <cellStyle name="Normal 14 2 5 2 3 4 2 2" xfId="27504"/>
    <cellStyle name="Normal 14 2 5 2 3 4 3" xfId="15984"/>
    <cellStyle name="Normal 14 2 5 2 3 4 3 2" xfId="33264"/>
    <cellStyle name="Normal 14 2 5 2 3 4 4" xfId="21744"/>
    <cellStyle name="Normal 14 2 5 2 3 5" xfId="7344"/>
    <cellStyle name="Normal 14 2 5 2 3 5 2" xfId="24624"/>
    <cellStyle name="Normal 14 2 5 2 3 6" xfId="13104"/>
    <cellStyle name="Normal 14 2 5 2 3 6 2" xfId="30384"/>
    <cellStyle name="Normal 14 2 5 2 3 7" xfId="18864"/>
    <cellStyle name="Normal 14 2 5 2 4" xfId="1824"/>
    <cellStyle name="Normal 14 2 5 2 4 2" xfId="3264"/>
    <cellStyle name="Normal 14 2 5 2 4 2 2" xfId="6144"/>
    <cellStyle name="Normal 14 2 5 2 4 2 2 2" xfId="11904"/>
    <cellStyle name="Normal 14 2 5 2 4 2 2 2 2" xfId="29184"/>
    <cellStyle name="Normal 14 2 5 2 4 2 2 3" xfId="17664"/>
    <cellStyle name="Normal 14 2 5 2 4 2 2 3 2" xfId="34944"/>
    <cellStyle name="Normal 14 2 5 2 4 2 2 4" xfId="23424"/>
    <cellStyle name="Normal 14 2 5 2 4 2 3" xfId="9024"/>
    <cellStyle name="Normal 14 2 5 2 4 2 3 2" xfId="26304"/>
    <cellStyle name="Normal 14 2 5 2 4 2 4" xfId="14784"/>
    <cellStyle name="Normal 14 2 5 2 4 2 4 2" xfId="32064"/>
    <cellStyle name="Normal 14 2 5 2 4 2 5" xfId="20544"/>
    <cellStyle name="Normal 14 2 5 2 4 3" xfId="4704"/>
    <cellStyle name="Normal 14 2 5 2 4 3 2" xfId="10464"/>
    <cellStyle name="Normal 14 2 5 2 4 3 2 2" xfId="27744"/>
    <cellStyle name="Normal 14 2 5 2 4 3 3" xfId="16224"/>
    <cellStyle name="Normal 14 2 5 2 4 3 3 2" xfId="33504"/>
    <cellStyle name="Normal 14 2 5 2 4 3 4" xfId="21984"/>
    <cellStyle name="Normal 14 2 5 2 4 4" xfId="7584"/>
    <cellStyle name="Normal 14 2 5 2 4 4 2" xfId="24864"/>
    <cellStyle name="Normal 14 2 5 2 4 5" xfId="13344"/>
    <cellStyle name="Normal 14 2 5 2 4 5 2" xfId="30624"/>
    <cellStyle name="Normal 14 2 5 2 4 6" xfId="19104"/>
    <cellStyle name="Normal 14 2 5 2 5" xfId="2544"/>
    <cellStyle name="Normal 14 2 5 2 5 2" xfId="5424"/>
    <cellStyle name="Normal 14 2 5 2 5 2 2" xfId="11184"/>
    <cellStyle name="Normal 14 2 5 2 5 2 2 2" xfId="28464"/>
    <cellStyle name="Normal 14 2 5 2 5 2 3" xfId="16944"/>
    <cellStyle name="Normal 14 2 5 2 5 2 3 2" xfId="34224"/>
    <cellStyle name="Normal 14 2 5 2 5 2 4" xfId="22704"/>
    <cellStyle name="Normal 14 2 5 2 5 3" xfId="8304"/>
    <cellStyle name="Normal 14 2 5 2 5 3 2" xfId="25584"/>
    <cellStyle name="Normal 14 2 5 2 5 4" xfId="14064"/>
    <cellStyle name="Normal 14 2 5 2 5 4 2" xfId="31344"/>
    <cellStyle name="Normal 14 2 5 2 5 5" xfId="19824"/>
    <cellStyle name="Normal 14 2 5 2 6" xfId="3984"/>
    <cellStyle name="Normal 14 2 5 2 6 2" xfId="9744"/>
    <cellStyle name="Normal 14 2 5 2 6 2 2" xfId="27024"/>
    <cellStyle name="Normal 14 2 5 2 6 3" xfId="15504"/>
    <cellStyle name="Normal 14 2 5 2 6 3 2" xfId="32784"/>
    <cellStyle name="Normal 14 2 5 2 6 4" xfId="21264"/>
    <cellStyle name="Normal 14 2 5 2 7" xfId="6864"/>
    <cellStyle name="Normal 14 2 5 2 7 2" xfId="24144"/>
    <cellStyle name="Normal 14 2 5 2 8" xfId="12624"/>
    <cellStyle name="Normal 14 2 5 2 8 2" xfId="29904"/>
    <cellStyle name="Normal 14 2 5 2 9" xfId="18384"/>
    <cellStyle name="Normal 14 2 5 3" xfId="1224"/>
    <cellStyle name="Normal 14 2 5 3 2" xfId="1944"/>
    <cellStyle name="Normal 14 2 5 3 2 2" xfId="3384"/>
    <cellStyle name="Normal 14 2 5 3 2 2 2" xfId="6264"/>
    <cellStyle name="Normal 14 2 5 3 2 2 2 2" xfId="12024"/>
    <cellStyle name="Normal 14 2 5 3 2 2 2 2 2" xfId="29304"/>
    <cellStyle name="Normal 14 2 5 3 2 2 2 3" xfId="17784"/>
    <cellStyle name="Normal 14 2 5 3 2 2 2 3 2" xfId="35064"/>
    <cellStyle name="Normal 14 2 5 3 2 2 2 4" xfId="23544"/>
    <cellStyle name="Normal 14 2 5 3 2 2 3" xfId="9144"/>
    <cellStyle name="Normal 14 2 5 3 2 2 3 2" xfId="26424"/>
    <cellStyle name="Normal 14 2 5 3 2 2 4" xfId="14904"/>
    <cellStyle name="Normal 14 2 5 3 2 2 4 2" xfId="32184"/>
    <cellStyle name="Normal 14 2 5 3 2 2 5" xfId="20664"/>
    <cellStyle name="Normal 14 2 5 3 2 3" xfId="4824"/>
    <cellStyle name="Normal 14 2 5 3 2 3 2" xfId="10584"/>
    <cellStyle name="Normal 14 2 5 3 2 3 2 2" xfId="27864"/>
    <cellStyle name="Normal 14 2 5 3 2 3 3" xfId="16344"/>
    <cellStyle name="Normal 14 2 5 3 2 3 3 2" xfId="33624"/>
    <cellStyle name="Normal 14 2 5 3 2 3 4" xfId="22104"/>
    <cellStyle name="Normal 14 2 5 3 2 4" xfId="7704"/>
    <cellStyle name="Normal 14 2 5 3 2 4 2" xfId="24984"/>
    <cellStyle name="Normal 14 2 5 3 2 5" xfId="13464"/>
    <cellStyle name="Normal 14 2 5 3 2 5 2" xfId="30744"/>
    <cellStyle name="Normal 14 2 5 3 2 6" xfId="19224"/>
    <cellStyle name="Normal 14 2 5 3 3" xfId="2664"/>
    <cellStyle name="Normal 14 2 5 3 3 2" xfId="5544"/>
    <cellStyle name="Normal 14 2 5 3 3 2 2" xfId="11304"/>
    <cellStyle name="Normal 14 2 5 3 3 2 2 2" xfId="28584"/>
    <cellStyle name="Normal 14 2 5 3 3 2 3" xfId="17064"/>
    <cellStyle name="Normal 14 2 5 3 3 2 3 2" xfId="34344"/>
    <cellStyle name="Normal 14 2 5 3 3 2 4" xfId="22824"/>
    <cellStyle name="Normal 14 2 5 3 3 3" xfId="8424"/>
    <cellStyle name="Normal 14 2 5 3 3 3 2" xfId="25704"/>
    <cellStyle name="Normal 14 2 5 3 3 4" xfId="14184"/>
    <cellStyle name="Normal 14 2 5 3 3 4 2" xfId="31464"/>
    <cellStyle name="Normal 14 2 5 3 3 5" xfId="19944"/>
    <cellStyle name="Normal 14 2 5 3 4" xfId="4104"/>
    <cellStyle name="Normal 14 2 5 3 4 2" xfId="9864"/>
    <cellStyle name="Normal 14 2 5 3 4 2 2" xfId="27144"/>
    <cellStyle name="Normal 14 2 5 3 4 3" xfId="15624"/>
    <cellStyle name="Normal 14 2 5 3 4 3 2" xfId="32904"/>
    <cellStyle name="Normal 14 2 5 3 4 4" xfId="21384"/>
    <cellStyle name="Normal 14 2 5 3 5" xfId="6984"/>
    <cellStyle name="Normal 14 2 5 3 5 2" xfId="24264"/>
    <cellStyle name="Normal 14 2 5 3 6" xfId="12744"/>
    <cellStyle name="Normal 14 2 5 3 6 2" xfId="30024"/>
    <cellStyle name="Normal 14 2 5 3 7" xfId="18504"/>
    <cellStyle name="Normal 14 2 5 4" xfId="1464"/>
    <cellStyle name="Normal 14 2 5 4 2" xfId="2184"/>
    <cellStyle name="Normal 14 2 5 4 2 2" xfId="3624"/>
    <cellStyle name="Normal 14 2 5 4 2 2 2" xfId="6504"/>
    <cellStyle name="Normal 14 2 5 4 2 2 2 2" xfId="12264"/>
    <cellStyle name="Normal 14 2 5 4 2 2 2 2 2" xfId="29544"/>
    <cellStyle name="Normal 14 2 5 4 2 2 2 3" xfId="18024"/>
    <cellStyle name="Normal 14 2 5 4 2 2 2 3 2" xfId="35304"/>
    <cellStyle name="Normal 14 2 5 4 2 2 2 4" xfId="23784"/>
    <cellStyle name="Normal 14 2 5 4 2 2 3" xfId="9384"/>
    <cellStyle name="Normal 14 2 5 4 2 2 3 2" xfId="26664"/>
    <cellStyle name="Normal 14 2 5 4 2 2 4" xfId="15144"/>
    <cellStyle name="Normal 14 2 5 4 2 2 4 2" xfId="32424"/>
    <cellStyle name="Normal 14 2 5 4 2 2 5" xfId="20904"/>
    <cellStyle name="Normal 14 2 5 4 2 3" xfId="5064"/>
    <cellStyle name="Normal 14 2 5 4 2 3 2" xfId="10824"/>
    <cellStyle name="Normal 14 2 5 4 2 3 2 2" xfId="28104"/>
    <cellStyle name="Normal 14 2 5 4 2 3 3" xfId="16584"/>
    <cellStyle name="Normal 14 2 5 4 2 3 3 2" xfId="33864"/>
    <cellStyle name="Normal 14 2 5 4 2 3 4" xfId="22344"/>
    <cellStyle name="Normal 14 2 5 4 2 4" xfId="7944"/>
    <cellStyle name="Normal 14 2 5 4 2 4 2" xfId="25224"/>
    <cellStyle name="Normal 14 2 5 4 2 5" xfId="13704"/>
    <cellStyle name="Normal 14 2 5 4 2 5 2" xfId="30984"/>
    <cellStyle name="Normal 14 2 5 4 2 6" xfId="19464"/>
    <cellStyle name="Normal 14 2 5 4 3" xfId="2904"/>
    <cellStyle name="Normal 14 2 5 4 3 2" xfId="5784"/>
    <cellStyle name="Normal 14 2 5 4 3 2 2" xfId="11544"/>
    <cellStyle name="Normal 14 2 5 4 3 2 2 2" xfId="28824"/>
    <cellStyle name="Normal 14 2 5 4 3 2 3" xfId="17304"/>
    <cellStyle name="Normal 14 2 5 4 3 2 3 2" xfId="34584"/>
    <cellStyle name="Normal 14 2 5 4 3 2 4" xfId="23064"/>
    <cellStyle name="Normal 14 2 5 4 3 3" xfId="8664"/>
    <cellStyle name="Normal 14 2 5 4 3 3 2" xfId="25944"/>
    <cellStyle name="Normal 14 2 5 4 3 4" xfId="14424"/>
    <cellStyle name="Normal 14 2 5 4 3 4 2" xfId="31704"/>
    <cellStyle name="Normal 14 2 5 4 3 5" xfId="20184"/>
    <cellStyle name="Normal 14 2 5 4 4" xfId="4344"/>
    <cellStyle name="Normal 14 2 5 4 4 2" xfId="10104"/>
    <cellStyle name="Normal 14 2 5 4 4 2 2" xfId="27384"/>
    <cellStyle name="Normal 14 2 5 4 4 3" xfId="15864"/>
    <cellStyle name="Normal 14 2 5 4 4 3 2" xfId="33144"/>
    <cellStyle name="Normal 14 2 5 4 4 4" xfId="21624"/>
    <cellStyle name="Normal 14 2 5 4 5" xfId="7224"/>
    <cellStyle name="Normal 14 2 5 4 5 2" xfId="24504"/>
    <cellStyle name="Normal 14 2 5 4 6" xfId="12984"/>
    <cellStyle name="Normal 14 2 5 4 6 2" xfId="30264"/>
    <cellStyle name="Normal 14 2 5 4 7" xfId="18744"/>
    <cellStyle name="Normal 14 2 5 5" xfId="1704"/>
    <cellStyle name="Normal 14 2 5 5 2" xfId="3144"/>
    <cellStyle name="Normal 14 2 5 5 2 2" xfId="6024"/>
    <cellStyle name="Normal 14 2 5 5 2 2 2" xfId="11784"/>
    <cellStyle name="Normal 14 2 5 5 2 2 2 2" xfId="29064"/>
    <cellStyle name="Normal 14 2 5 5 2 2 3" xfId="17544"/>
    <cellStyle name="Normal 14 2 5 5 2 2 3 2" xfId="34824"/>
    <cellStyle name="Normal 14 2 5 5 2 2 4" xfId="23304"/>
    <cellStyle name="Normal 14 2 5 5 2 3" xfId="8904"/>
    <cellStyle name="Normal 14 2 5 5 2 3 2" xfId="26184"/>
    <cellStyle name="Normal 14 2 5 5 2 4" xfId="14664"/>
    <cellStyle name="Normal 14 2 5 5 2 4 2" xfId="31944"/>
    <cellStyle name="Normal 14 2 5 5 2 5" xfId="20424"/>
    <cellStyle name="Normal 14 2 5 5 3" xfId="4584"/>
    <cellStyle name="Normal 14 2 5 5 3 2" xfId="10344"/>
    <cellStyle name="Normal 14 2 5 5 3 2 2" xfId="27624"/>
    <cellStyle name="Normal 14 2 5 5 3 3" xfId="16104"/>
    <cellStyle name="Normal 14 2 5 5 3 3 2" xfId="33384"/>
    <cellStyle name="Normal 14 2 5 5 3 4" xfId="21864"/>
    <cellStyle name="Normal 14 2 5 5 4" xfId="7464"/>
    <cellStyle name="Normal 14 2 5 5 4 2" xfId="24744"/>
    <cellStyle name="Normal 14 2 5 5 5" xfId="13224"/>
    <cellStyle name="Normal 14 2 5 5 5 2" xfId="30504"/>
    <cellStyle name="Normal 14 2 5 5 6" xfId="18984"/>
    <cellStyle name="Normal 14 2 5 6" xfId="2424"/>
    <cellStyle name="Normal 14 2 5 6 2" xfId="5304"/>
    <cellStyle name="Normal 14 2 5 6 2 2" xfId="11064"/>
    <cellStyle name="Normal 14 2 5 6 2 2 2" xfId="28344"/>
    <cellStyle name="Normal 14 2 5 6 2 3" xfId="16824"/>
    <cellStyle name="Normal 14 2 5 6 2 3 2" xfId="34104"/>
    <cellStyle name="Normal 14 2 5 6 2 4" xfId="22584"/>
    <cellStyle name="Normal 14 2 5 6 3" xfId="8184"/>
    <cellStyle name="Normal 14 2 5 6 3 2" xfId="25464"/>
    <cellStyle name="Normal 14 2 5 6 4" xfId="13944"/>
    <cellStyle name="Normal 14 2 5 6 4 2" xfId="31224"/>
    <cellStyle name="Normal 14 2 5 6 5" xfId="19704"/>
    <cellStyle name="Normal 14 2 5 7" xfId="3864"/>
    <cellStyle name="Normal 14 2 5 7 2" xfId="9624"/>
    <cellStyle name="Normal 14 2 5 7 2 2" xfId="26904"/>
    <cellStyle name="Normal 14 2 5 7 3" xfId="15384"/>
    <cellStyle name="Normal 14 2 5 7 3 2" xfId="32664"/>
    <cellStyle name="Normal 14 2 5 7 4" xfId="21144"/>
    <cellStyle name="Normal 14 2 5 8" xfId="6744"/>
    <cellStyle name="Normal 14 2 5 8 2" xfId="24024"/>
    <cellStyle name="Normal 14 2 5 9" xfId="12504"/>
    <cellStyle name="Normal 14 2 5 9 2" xfId="29784"/>
    <cellStyle name="Normal 14 2 6" xfId="1064"/>
    <cellStyle name="Normal 14 2 6 2" xfId="1304"/>
    <cellStyle name="Normal 14 2 6 2 2" xfId="2024"/>
    <cellStyle name="Normal 14 2 6 2 2 2" xfId="3464"/>
    <cellStyle name="Normal 14 2 6 2 2 2 2" xfId="6344"/>
    <cellStyle name="Normal 14 2 6 2 2 2 2 2" xfId="12104"/>
    <cellStyle name="Normal 14 2 6 2 2 2 2 2 2" xfId="29384"/>
    <cellStyle name="Normal 14 2 6 2 2 2 2 3" xfId="17864"/>
    <cellStyle name="Normal 14 2 6 2 2 2 2 3 2" xfId="35144"/>
    <cellStyle name="Normal 14 2 6 2 2 2 2 4" xfId="23624"/>
    <cellStyle name="Normal 14 2 6 2 2 2 3" xfId="9224"/>
    <cellStyle name="Normal 14 2 6 2 2 2 3 2" xfId="26504"/>
    <cellStyle name="Normal 14 2 6 2 2 2 4" xfId="14984"/>
    <cellStyle name="Normal 14 2 6 2 2 2 4 2" xfId="32264"/>
    <cellStyle name="Normal 14 2 6 2 2 2 5" xfId="20744"/>
    <cellStyle name="Normal 14 2 6 2 2 3" xfId="4904"/>
    <cellStyle name="Normal 14 2 6 2 2 3 2" xfId="10664"/>
    <cellStyle name="Normal 14 2 6 2 2 3 2 2" xfId="27944"/>
    <cellStyle name="Normal 14 2 6 2 2 3 3" xfId="16424"/>
    <cellStyle name="Normal 14 2 6 2 2 3 3 2" xfId="33704"/>
    <cellStyle name="Normal 14 2 6 2 2 3 4" xfId="22184"/>
    <cellStyle name="Normal 14 2 6 2 2 4" xfId="7784"/>
    <cellStyle name="Normal 14 2 6 2 2 4 2" xfId="25064"/>
    <cellStyle name="Normal 14 2 6 2 2 5" xfId="13544"/>
    <cellStyle name="Normal 14 2 6 2 2 5 2" xfId="30824"/>
    <cellStyle name="Normal 14 2 6 2 2 6" xfId="19304"/>
    <cellStyle name="Normal 14 2 6 2 3" xfId="2744"/>
    <cellStyle name="Normal 14 2 6 2 3 2" xfId="5624"/>
    <cellStyle name="Normal 14 2 6 2 3 2 2" xfId="11384"/>
    <cellStyle name="Normal 14 2 6 2 3 2 2 2" xfId="28664"/>
    <cellStyle name="Normal 14 2 6 2 3 2 3" xfId="17144"/>
    <cellStyle name="Normal 14 2 6 2 3 2 3 2" xfId="34424"/>
    <cellStyle name="Normal 14 2 6 2 3 2 4" xfId="22904"/>
    <cellStyle name="Normal 14 2 6 2 3 3" xfId="8504"/>
    <cellStyle name="Normal 14 2 6 2 3 3 2" xfId="25784"/>
    <cellStyle name="Normal 14 2 6 2 3 4" xfId="14264"/>
    <cellStyle name="Normal 14 2 6 2 3 4 2" xfId="31544"/>
    <cellStyle name="Normal 14 2 6 2 3 5" xfId="20024"/>
    <cellStyle name="Normal 14 2 6 2 4" xfId="4184"/>
    <cellStyle name="Normal 14 2 6 2 4 2" xfId="9944"/>
    <cellStyle name="Normal 14 2 6 2 4 2 2" xfId="27224"/>
    <cellStyle name="Normal 14 2 6 2 4 3" xfId="15704"/>
    <cellStyle name="Normal 14 2 6 2 4 3 2" xfId="32984"/>
    <cellStyle name="Normal 14 2 6 2 4 4" xfId="21464"/>
    <cellStyle name="Normal 14 2 6 2 5" xfId="7064"/>
    <cellStyle name="Normal 14 2 6 2 5 2" xfId="24344"/>
    <cellStyle name="Normal 14 2 6 2 6" xfId="12824"/>
    <cellStyle name="Normal 14 2 6 2 6 2" xfId="30104"/>
    <cellStyle name="Normal 14 2 6 2 7" xfId="18584"/>
    <cellStyle name="Normal 14 2 6 3" xfId="1544"/>
    <cellStyle name="Normal 14 2 6 3 2" xfId="2264"/>
    <cellStyle name="Normal 14 2 6 3 2 2" xfId="3704"/>
    <cellStyle name="Normal 14 2 6 3 2 2 2" xfId="6584"/>
    <cellStyle name="Normal 14 2 6 3 2 2 2 2" xfId="12344"/>
    <cellStyle name="Normal 14 2 6 3 2 2 2 2 2" xfId="29624"/>
    <cellStyle name="Normal 14 2 6 3 2 2 2 3" xfId="18104"/>
    <cellStyle name="Normal 14 2 6 3 2 2 2 3 2" xfId="35384"/>
    <cellStyle name="Normal 14 2 6 3 2 2 2 4" xfId="23864"/>
    <cellStyle name="Normal 14 2 6 3 2 2 3" xfId="9464"/>
    <cellStyle name="Normal 14 2 6 3 2 2 3 2" xfId="26744"/>
    <cellStyle name="Normal 14 2 6 3 2 2 4" xfId="15224"/>
    <cellStyle name="Normal 14 2 6 3 2 2 4 2" xfId="32504"/>
    <cellStyle name="Normal 14 2 6 3 2 2 5" xfId="20984"/>
    <cellStyle name="Normal 14 2 6 3 2 3" xfId="5144"/>
    <cellStyle name="Normal 14 2 6 3 2 3 2" xfId="10904"/>
    <cellStyle name="Normal 14 2 6 3 2 3 2 2" xfId="28184"/>
    <cellStyle name="Normal 14 2 6 3 2 3 3" xfId="16664"/>
    <cellStyle name="Normal 14 2 6 3 2 3 3 2" xfId="33944"/>
    <cellStyle name="Normal 14 2 6 3 2 3 4" xfId="22424"/>
    <cellStyle name="Normal 14 2 6 3 2 4" xfId="8024"/>
    <cellStyle name="Normal 14 2 6 3 2 4 2" xfId="25304"/>
    <cellStyle name="Normal 14 2 6 3 2 5" xfId="13784"/>
    <cellStyle name="Normal 14 2 6 3 2 5 2" xfId="31064"/>
    <cellStyle name="Normal 14 2 6 3 2 6" xfId="19544"/>
    <cellStyle name="Normal 14 2 6 3 3" xfId="2984"/>
    <cellStyle name="Normal 14 2 6 3 3 2" xfId="5864"/>
    <cellStyle name="Normal 14 2 6 3 3 2 2" xfId="11624"/>
    <cellStyle name="Normal 14 2 6 3 3 2 2 2" xfId="28904"/>
    <cellStyle name="Normal 14 2 6 3 3 2 3" xfId="17384"/>
    <cellStyle name="Normal 14 2 6 3 3 2 3 2" xfId="34664"/>
    <cellStyle name="Normal 14 2 6 3 3 2 4" xfId="23144"/>
    <cellStyle name="Normal 14 2 6 3 3 3" xfId="8744"/>
    <cellStyle name="Normal 14 2 6 3 3 3 2" xfId="26024"/>
    <cellStyle name="Normal 14 2 6 3 3 4" xfId="14504"/>
    <cellStyle name="Normal 14 2 6 3 3 4 2" xfId="31784"/>
    <cellStyle name="Normal 14 2 6 3 3 5" xfId="20264"/>
    <cellStyle name="Normal 14 2 6 3 4" xfId="4424"/>
    <cellStyle name="Normal 14 2 6 3 4 2" xfId="10184"/>
    <cellStyle name="Normal 14 2 6 3 4 2 2" xfId="27464"/>
    <cellStyle name="Normal 14 2 6 3 4 3" xfId="15944"/>
    <cellStyle name="Normal 14 2 6 3 4 3 2" xfId="33224"/>
    <cellStyle name="Normal 14 2 6 3 4 4" xfId="21704"/>
    <cellStyle name="Normal 14 2 6 3 5" xfId="7304"/>
    <cellStyle name="Normal 14 2 6 3 5 2" xfId="24584"/>
    <cellStyle name="Normal 14 2 6 3 6" xfId="13064"/>
    <cellStyle name="Normal 14 2 6 3 6 2" xfId="30344"/>
    <cellStyle name="Normal 14 2 6 3 7" xfId="18824"/>
    <cellStyle name="Normal 14 2 6 4" xfId="1784"/>
    <cellStyle name="Normal 14 2 6 4 2" xfId="3224"/>
    <cellStyle name="Normal 14 2 6 4 2 2" xfId="6104"/>
    <cellStyle name="Normal 14 2 6 4 2 2 2" xfId="11864"/>
    <cellStyle name="Normal 14 2 6 4 2 2 2 2" xfId="29144"/>
    <cellStyle name="Normal 14 2 6 4 2 2 3" xfId="17624"/>
    <cellStyle name="Normal 14 2 6 4 2 2 3 2" xfId="34904"/>
    <cellStyle name="Normal 14 2 6 4 2 2 4" xfId="23384"/>
    <cellStyle name="Normal 14 2 6 4 2 3" xfId="8984"/>
    <cellStyle name="Normal 14 2 6 4 2 3 2" xfId="26264"/>
    <cellStyle name="Normal 14 2 6 4 2 4" xfId="14744"/>
    <cellStyle name="Normal 14 2 6 4 2 4 2" xfId="32024"/>
    <cellStyle name="Normal 14 2 6 4 2 5" xfId="20504"/>
    <cellStyle name="Normal 14 2 6 4 3" xfId="4664"/>
    <cellStyle name="Normal 14 2 6 4 3 2" xfId="10424"/>
    <cellStyle name="Normal 14 2 6 4 3 2 2" xfId="27704"/>
    <cellStyle name="Normal 14 2 6 4 3 3" xfId="16184"/>
    <cellStyle name="Normal 14 2 6 4 3 3 2" xfId="33464"/>
    <cellStyle name="Normal 14 2 6 4 3 4" xfId="21944"/>
    <cellStyle name="Normal 14 2 6 4 4" xfId="7544"/>
    <cellStyle name="Normal 14 2 6 4 4 2" xfId="24824"/>
    <cellStyle name="Normal 14 2 6 4 5" xfId="13304"/>
    <cellStyle name="Normal 14 2 6 4 5 2" xfId="30584"/>
    <cellStyle name="Normal 14 2 6 4 6" xfId="19064"/>
    <cellStyle name="Normal 14 2 6 5" xfId="2504"/>
    <cellStyle name="Normal 14 2 6 5 2" xfId="5384"/>
    <cellStyle name="Normal 14 2 6 5 2 2" xfId="11144"/>
    <cellStyle name="Normal 14 2 6 5 2 2 2" xfId="28424"/>
    <cellStyle name="Normal 14 2 6 5 2 3" xfId="16904"/>
    <cellStyle name="Normal 14 2 6 5 2 3 2" xfId="34184"/>
    <cellStyle name="Normal 14 2 6 5 2 4" xfId="22664"/>
    <cellStyle name="Normal 14 2 6 5 3" xfId="8264"/>
    <cellStyle name="Normal 14 2 6 5 3 2" xfId="25544"/>
    <cellStyle name="Normal 14 2 6 5 4" xfId="14024"/>
    <cellStyle name="Normal 14 2 6 5 4 2" xfId="31304"/>
    <cellStyle name="Normal 14 2 6 5 5" xfId="19784"/>
    <cellStyle name="Normal 14 2 6 6" xfId="3944"/>
    <cellStyle name="Normal 14 2 6 6 2" xfId="9704"/>
    <cellStyle name="Normal 14 2 6 6 2 2" xfId="26984"/>
    <cellStyle name="Normal 14 2 6 6 3" xfId="15464"/>
    <cellStyle name="Normal 14 2 6 6 3 2" xfId="32744"/>
    <cellStyle name="Normal 14 2 6 6 4" xfId="21224"/>
    <cellStyle name="Normal 14 2 6 7" xfId="6824"/>
    <cellStyle name="Normal 14 2 6 7 2" xfId="24104"/>
    <cellStyle name="Normal 14 2 6 8" xfId="12584"/>
    <cellStyle name="Normal 14 2 6 8 2" xfId="29864"/>
    <cellStyle name="Normal 14 2 6 9" xfId="18344"/>
    <cellStyle name="Normal 14 2 7" xfId="1184"/>
    <cellStyle name="Normal 14 2 7 2" xfId="1904"/>
    <cellStyle name="Normal 14 2 7 2 2" xfId="3344"/>
    <cellStyle name="Normal 14 2 7 2 2 2" xfId="6224"/>
    <cellStyle name="Normal 14 2 7 2 2 2 2" xfId="11984"/>
    <cellStyle name="Normal 14 2 7 2 2 2 2 2" xfId="29264"/>
    <cellStyle name="Normal 14 2 7 2 2 2 3" xfId="17744"/>
    <cellStyle name="Normal 14 2 7 2 2 2 3 2" xfId="35024"/>
    <cellStyle name="Normal 14 2 7 2 2 2 4" xfId="23504"/>
    <cellStyle name="Normal 14 2 7 2 2 3" xfId="9104"/>
    <cellStyle name="Normal 14 2 7 2 2 3 2" xfId="26384"/>
    <cellStyle name="Normal 14 2 7 2 2 4" xfId="14864"/>
    <cellStyle name="Normal 14 2 7 2 2 4 2" xfId="32144"/>
    <cellStyle name="Normal 14 2 7 2 2 5" xfId="20624"/>
    <cellStyle name="Normal 14 2 7 2 3" xfId="4784"/>
    <cellStyle name="Normal 14 2 7 2 3 2" xfId="10544"/>
    <cellStyle name="Normal 14 2 7 2 3 2 2" xfId="27824"/>
    <cellStyle name="Normal 14 2 7 2 3 3" xfId="16304"/>
    <cellStyle name="Normal 14 2 7 2 3 3 2" xfId="33584"/>
    <cellStyle name="Normal 14 2 7 2 3 4" xfId="22064"/>
    <cellStyle name="Normal 14 2 7 2 4" xfId="7664"/>
    <cellStyle name="Normal 14 2 7 2 4 2" xfId="24944"/>
    <cellStyle name="Normal 14 2 7 2 5" xfId="13424"/>
    <cellStyle name="Normal 14 2 7 2 5 2" xfId="30704"/>
    <cellStyle name="Normal 14 2 7 2 6" xfId="19184"/>
    <cellStyle name="Normal 14 2 7 3" xfId="2624"/>
    <cellStyle name="Normal 14 2 7 3 2" xfId="5504"/>
    <cellStyle name="Normal 14 2 7 3 2 2" xfId="11264"/>
    <cellStyle name="Normal 14 2 7 3 2 2 2" xfId="28544"/>
    <cellStyle name="Normal 14 2 7 3 2 3" xfId="17024"/>
    <cellStyle name="Normal 14 2 7 3 2 3 2" xfId="34304"/>
    <cellStyle name="Normal 14 2 7 3 2 4" xfId="22784"/>
    <cellStyle name="Normal 14 2 7 3 3" xfId="8384"/>
    <cellStyle name="Normal 14 2 7 3 3 2" xfId="25664"/>
    <cellStyle name="Normal 14 2 7 3 4" xfId="14144"/>
    <cellStyle name="Normal 14 2 7 3 4 2" xfId="31424"/>
    <cellStyle name="Normal 14 2 7 3 5" xfId="19904"/>
    <cellStyle name="Normal 14 2 7 4" xfId="4064"/>
    <cellStyle name="Normal 14 2 7 4 2" xfId="9824"/>
    <cellStyle name="Normal 14 2 7 4 2 2" xfId="27104"/>
    <cellStyle name="Normal 14 2 7 4 3" xfId="15584"/>
    <cellStyle name="Normal 14 2 7 4 3 2" xfId="32864"/>
    <cellStyle name="Normal 14 2 7 4 4" xfId="21344"/>
    <cellStyle name="Normal 14 2 7 5" xfId="6944"/>
    <cellStyle name="Normal 14 2 7 5 2" xfId="24224"/>
    <cellStyle name="Normal 14 2 7 6" xfId="12704"/>
    <cellStyle name="Normal 14 2 7 6 2" xfId="29984"/>
    <cellStyle name="Normal 14 2 7 7" xfId="18464"/>
    <cellStyle name="Normal 14 2 8" xfId="1424"/>
    <cellStyle name="Normal 14 2 8 2" xfId="2144"/>
    <cellStyle name="Normal 14 2 8 2 2" xfId="3584"/>
    <cellStyle name="Normal 14 2 8 2 2 2" xfId="6464"/>
    <cellStyle name="Normal 14 2 8 2 2 2 2" xfId="12224"/>
    <cellStyle name="Normal 14 2 8 2 2 2 2 2" xfId="29504"/>
    <cellStyle name="Normal 14 2 8 2 2 2 3" xfId="17984"/>
    <cellStyle name="Normal 14 2 8 2 2 2 3 2" xfId="35264"/>
    <cellStyle name="Normal 14 2 8 2 2 2 4" xfId="23744"/>
    <cellStyle name="Normal 14 2 8 2 2 3" xfId="9344"/>
    <cellStyle name="Normal 14 2 8 2 2 3 2" xfId="26624"/>
    <cellStyle name="Normal 14 2 8 2 2 4" xfId="15104"/>
    <cellStyle name="Normal 14 2 8 2 2 4 2" xfId="32384"/>
    <cellStyle name="Normal 14 2 8 2 2 5" xfId="20864"/>
    <cellStyle name="Normal 14 2 8 2 3" xfId="5024"/>
    <cellStyle name="Normal 14 2 8 2 3 2" xfId="10784"/>
    <cellStyle name="Normal 14 2 8 2 3 2 2" xfId="28064"/>
    <cellStyle name="Normal 14 2 8 2 3 3" xfId="16544"/>
    <cellStyle name="Normal 14 2 8 2 3 3 2" xfId="33824"/>
    <cellStyle name="Normal 14 2 8 2 3 4" xfId="22304"/>
    <cellStyle name="Normal 14 2 8 2 4" xfId="7904"/>
    <cellStyle name="Normal 14 2 8 2 4 2" xfId="25184"/>
    <cellStyle name="Normal 14 2 8 2 5" xfId="13664"/>
    <cellStyle name="Normal 14 2 8 2 5 2" xfId="30944"/>
    <cellStyle name="Normal 14 2 8 2 6" xfId="19424"/>
    <cellStyle name="Normal 14 2 8 3" xfId="2864"/>
    <cellStyle name="Normal 14 2 8 3 2" xfId="5744"/>
    <cellStyle name="Normal 14 2 8 3 2 2" xfId="11504"/>
    <cellStyle name="Normal 14 2 8 3 2 2 2" xfId="28784"/>
    <cellStyle name="Normal 14 2 8 3 2 3" xfId="17264"/>
    <cellStyle name="Normal 14 2 8 3 2 3 2" xfId="34544"/>
    <cellStyle name="Normal 14 2 8 3 2 4" xfId="23024"/>
    <cellStyle name="Normal 14 2 8 3 3" xfId="8624"/>
    <cellStyle name="Normal 14 2 8 3 3 2" xfId="25904"/>
    <cellStyle name="Normal 14 2 8 3 4" xfId="14384"/>
    <cellStyle name="Normal 14 2 8 3 4 2" xfId="31664"/>
    <cellStyle name="Normal 14 2 8 3 5" xfId="20144"/>
    <cellStyle name="Normal 14 2 8 4" xfId="4304"/>
    <cellStyle name="Normal 14 2 8 4 2" xfId="10064"/>
    <cellStyle name="Normal 14 2 8 4 2 2" xfId="27344"/>
    <cellStyle name="Normal 14 2 8 4 3" xfId="15824"/>
    <cellStyle name="Normal 14 2 8 4 3 2" xfId="33104"/>
    <cellStyle name="Normal 14 2 8 4 4" xfId="21584"/>
    <cellStyle name="Normal 14 2 8 5" xfId="7184"/>
    <cellStyle name="Normal 14 2 8 5 2" xfId="24464"/>
    <cellStyle name="Normal 14 2 8 6" xfId="12944"/>
    <cellStyle name="Normal 14 2 8 6 2" xfId="30224"/>
    <cellStyle name="Normal 14 2 8 7" xfId="18704"/>
    <cellStyle name="Normal 14 2 9" xfId="1664"/>
    <cellStyle name="Normal 14 2 9 2" xfId="3104"/>
    <cellStyle name="Normal 14 2 9 2 2" xfId="5984"/>
    <cellStyle name="Normal 14 2 9 2 2 2" xfId="11744"/>
    <cellStyle name="Normal 14 2 9 2 2 2 2" xfId="29024"/>
    <cellStyle name="Normal 14 2 9 2 2 3" xfId="17504"/>
    <cellStyle name="Normal 14 2 9 2 2 3 2" xfId="34784"/>
    <cellStyle name="Normal 14 2 9 2 2 4" xfId="23264"/>
    <cellStyle name="Normal 14 2 9 2 3" xfId="8864"/>
    <cellStyle name="Normal 14 2 9 2 3 2" xfId="26144"/>
    <cellStyle name="Normal 14 2 9 2 4" xfId="14624"/>
    <cellStyle name="Normal 14 2 9 2 4 2" xfId="31904"/>
    <cellStyle name="Normal 14 2 9 2 5" xfId="20384"/>
    <cellStyle name="Normal 14 2 9 3" xfId="4544"/>
    <cellStyle name="Normal 14 2 9 3 2" xfId="10304"/>
    <cellStyle name="Normal 14 2 9 3 2 2" xfId="27584"/>
    <cellStyle name="Normal 14 2 9 3 3" xfId="16064"/>
    <cellStyle name="Normal 14 2 9 3 3 2" xfId="33344"/>
    <cellStyle name="Normal 14 2 9 3 4" xfId="21824"/>
    <cellStyle name="Normal 14 2 9 4" xfId="7424"/>
    <cellStyle name="Normal 14 2 9 4 2" xfId="24704"/>
    <cellStyle name="Normal 14 2 9 5" xfId="13184"/>
    <cellStyle name="Normal 14 2 9 5 2" xfId="30464"/>
    <cellStyle name="Normal 14 2 9 6" xfId="18944"/>
    <cellStyle name="Normal 14 3" xfId="398"/>
    <cellStyle name="Normal 14 3 10" xfId="3829"/>
    <cellStyle name="Normal 14 3 10 2" xfId="9589"/>
    <cellStyle name="Normal 14 3 10 2 2" xfId="26869"/>
    <cellStyle name="Normal 14 3 10 3" xfId="15349"/>
    <cellStyle name="Normal 14 3 10 3 2" xfId="32629"/>
    <cellStyle name="Normal 14 3 10 4" xfId="21109"/>
    <cellStyle name="Normal 14 3 11" xfId="6709"/>
    <cellStyle name="Normal 14 3 11 2" xfId="23989"/>
    <cellStyle name="Normal 14 3 12" xfId="12469"/>
    <cellStyle name="Normal 14 3 12 2" xfId="29749"/>
    <cellStyle name="Normal 14 3 13" xfId="18229"/>
    <cellStyle name="Normal 14 3 2" xfId="418"/>
    <cellStyle name="Normal 14 3 2 10" xfId="6729"/>
    <cellStyle name="Normal 14 3 2 10 2" xfId="24009"/>
    <cellStyle name="Normal 14 3 2 11" xfId="12489"/>
    <cellStyle name="Normal 14 3 2 11 2" xfId="29769"/>
    <cellStyle name="Normal 14 3 2 12" xfId="18249"/>
    <cellStyle name="Normal 14 3 2 2" xfId="1049"/>
    <cellStyle name="Normal 14 3 2 2 10" xfId="18329"/>
    <cellStyle name="Normal 14 3 2 2 2" xfId="1169"/>
    <cellStyle name="Normal 14 3 2 2 2 2" xfId="1409"/>
    <cellStyle name="Normal 14 3 2 2 2 2 2" xfId="2129"/>
    <cellStyle name="Normal 14 3 2 2 2 2 2 2" xfId="3569"/>
    <cellStyle name="Normal 14 3 2 2 2 2 2 2 2" xfId="6449"/>
    <cellStyle name="Normal 14 3 2 2 2 2 2 2 2 2" xfId="12209"/>
    <cellStyle name="Normal 14 3 2 2 2 2 2 2 2 2 2" xfId="29489"/>
    <cellStyle name="Normal 14 3 2 2 2 2 2 2 2 3" xfId="17969"/>
    <cellStyle name="Normal 14 3 2 2 2 2 2 2 2 3 2" xfId="35249"/>
    <cellStyle name="Normal 14 3 2 2 2 2 2 2 2 4" xfId="23729"/>
    <cellStyle name="Normal 14 3 2 2 2 2 2 2 3" xfId="9329"/>
    <cellStyle name="Normal 14 3 2 2 2 2 2 2 3 2" xfId="26609"/>
    <cellStyle name="Normal 14 3 2 2 2 2 2 2 4" xfId="15089"/>
    <cellStyle name="Normal 14 3 2 2 2 2 2 2 4 2" xfId="32369"/>
    <cellStyle name="Normal 14 3 2 2 2 2 2 2 5" xfId="20849"/>
    <cellStyle name="Normal 14 3 2 2 2 2 2 3" xfId="5009"/>
    <cellStyle name="Normal 14 3 2 2 2 2 2 3 2" xfId="10769"/>
    <cellStyle name="Normal 14 3 2 2 2 2 2 3 2 2" xfId="28049"/>
    <cellStyle name="Normal 14 3 2 2 2 2 2 3 3" xfId="16529"/>
    <cellStyle name="Normal 14 3 2 2 2 2 2 3 3 2" xfId="33809"/>
    <cellStyle name="Normal 14 3 2 2 2 2 2 3 4" xfId="22289"/>
    <cellStyle name="Normal 14 3 2 2 2 2 2 4" xfId="7889"/>
    <cellStyle name="Normal 14 3 2 2 2 2 2 4 2" xfId="25169"/>
    <cellStyle name="Normal 14 3 2 2 2 2 2 5" xfId="13649"/>
    <cellStyle name="Normal 14 3 2 2 2 2 2 5 2" xfId="30929"/>
    <cellStyle name="Normal 14 3 2 2 2 2 2 6" xfId="19409"/>
    <cellStyle name="Normal 14 3 2 2 2 2 3" xfId="2849"/>
    <cellStyle name="Normal 14 3 2 2 2 2 3 2" xfId="5729"/>
    <cellStyle name="Normal 14 3 2 2 2 2 3 2 2" xfId="11489"/>
    <cellStyle name="Normal 14 3 2 2 2 2 3 2 2 2" xfId="28769"/>
    <cellStyle name="Normal 14 3 2 2 2 2 3 2 3" xfId="17249"/>
    <cellStyle name="Normal 14 3 2 2 2 2 3 2 3 2" xfId="34529"/>
    <cellStyle name="Normal 14 3 2 2 2 2 3 2 4" xfId="23009"/>
    <cellStyle name="Normal 14 3 2 2 2 2 3 3" xfId="8609"/>
    <cellStyle name="Normal 14 3 2 2 2 2 3 3 2" xfId="25889"/>
    <cellStyle name="Normal 14 3 2 2 2 2 3 4" xfId="14369"/>
    <cellStyle name="Normal 14 3 2 2 2 2 3 4 2" xfId="31649"/>
    <cellStyle name="Normal 14 3 2 2 2 2 3 5" xfId="20129"/>
    <cellStyle name="Normal 14 3 2 2 2 2 4" xfId="4289"/>
    <cellStyle name="Normal 14 3 2 2 2 2 4 2" xfId="10049"/>
    <cellStyle name="Normal 14 3 2 2 2 2 4 2 2" xfId="27329"/>
    <cellStyle name="Normal 14 3 2 2 2 2 4 3" xfId="15809"/>
    <cellStyle name="Normal 14 3 2 2 2 2 4 3 2" xfId="33089"/>
    <cellStyle name="Normal 14 3 2 2 2 2 4 4" xfId="21569"/>
    <cellStyle name="Normal 14 3 2 2 2 2 5" xfId="7169"/>
    <cellStyle name="Normal 14 3 2 2 2 2 5 2" xfId="24449"/>
    <cellStyle name="Normal 14 3 2 2 2 2 6" xfId="12929"/>
    <cellStyle name="Normal 14 3 2 2 2 2 6 2" xfId="30209"/>
    <cellStyle name="Normal 14 3 2 2 2 2 7" xfId="18689"/>
    <cellStyle name="Normal 14 3 2 2 2 3" xfId="1649"/>
    <cellStyle name="Normal 14 3 2 2 2 3 2" xfId="2369"/>
    <cellStyle name="Normal 14 3 2 2 2 3 2 2" xfId="3809"/>
    <cellStyle name="Normal 14 3 2 2 2 3 2 2 2" xfId="6689"/>
    <cellStyle name="Normal 14 3 2 2 2 3 2 2 2 2" xfId="12449"/>
    <cellStyle name="Normal 14 3 2 2 2 3 2 2 2 2 2" xfId="29729"/>
    <cellStyle name="Normal 14 3 2 2 2 3 2 2 2 3" xfId="18209"/>
    <cellStyle name="Normal 14 3 2 2 2 3 2 2 2 3 2" xfId="35489"/>
    <cellStyle name="Normal 14 3 2 2 2 3 2 2 2 4" xfId="23969"/>
    <cellStyle name="Normal 14 3 2 2 2 3 2 2 3" xfId="9569"/>
    <cellStyle name="Normal 14 3 2 2 2 3 2 2 3 2" xfId="26849"/>
    <cellStyle name="Normal 14 3 2 2 2 3 2 2 4" xfId="15329"/>
    <cellStyle name="Normal 14 3 2 2 2 3 2 2 4 2" xfId="32609"/>
    <cellStyle name="Normal 14 3 2 2 2 3 2 2 5" xfId="21089"/>
    <cellStyle name="Normal 14 3 2 2 2 3 2 3" xfId="5249"/>
    <cellStyle name="Normal 14 3 2 2 2 3 2 3 2" xfId="11009"/>
    <cellStyle name="Normal 14 3 2 2 2 3 2 3 2 2" xfId="28289"/>
    <cellStyle name="Normal 14 3 2 2 2 3 2 3 3" xfId="16769"/>
    <cellStyle name="Normal 14 3 2 2 2 3 2 3 3 2" xfId="34049"/>
    <cellStyle name="Normal 14 3 2 2 2 3 2 3 4" xfId="22529"/>
    <cellStyle name="Normal 14 3 2 2 2 3 2 4" xfId="8129"/>
    <cellStyle name="Normal 14 3 2 2 2 3 2 4 2" xfId="25409"/>
    <cellStyle name="Normal 14 3 2 2 2 3 2 5" xfId="13889"/>
    <cellStyle name="Normal 14 3 2 2 2 3 2 5 2" xfId="31169"/>
    <cellStyle name="Normal 14 3 2 2 2 3 2 6" xfId="19649"/>
    <cellStyle name="Normal 14 3 2 2 2 3 3" xfId="3089"/>
    <cellStyle name="Normal 14 3 2 2 2 3 3 2" xfId="5969"/>
    <cellStyle name="Normal 14 3 2 2 2 3 3 2 2" xfId="11729"/>
    <cellStyle name="Normal 14 3 2 2 2 3 3 2 2 2" xfId="29009"/>
    <cellStyle name="Normal 14 3 2 2 2 3 3 2 3" xfId="17489"/>
    <cellStyle name="Normal 14 3 2 2 2 3 3 2 3 2" xfId="34769"/>
    <cellStyle name="Normal 14 3 2 2 2 3 3 2 4" xfId="23249"/>
    <cellStyle name="Normal 14 3 2 2 2 3 3 3" xfId="8849"/>
    <cellStyle name="Normal 14 3 2 2 2 3 3 3 2" xfId="26129"/>
    <cellStyle name="Normal 14 3 2 2 2 3 3 4" xfId="14609"/>
    <cellStyle name="Normal 14 3 2 2 2 3 3 4 2" xfId="31889"/>
    <cellStyle name="Normal 14 3 2 2 2 3 3 5" xfId="20369"/>
    <cellStyle name="Normal 14 3 2 2 2 3 4" xfId="4529"/>
    <cellStyle name="Normal 14 3 2 2 2 3 4 2" xfId="10289"/>
    <cellStyle name="Normal 14 3 2 2 2 3 4 2 2" xfId="27569"/>
    <cellStyle name="Normal 14 3 2 2 2 3 4 3" xfId="16049"/>
    <cellStyle name="Normal 14 3 2 2 2 3 4 3 2" xfId="33329"/>
    <cellStyle name="Normal 14 3 2 2 2 3 4 4" xfId="21809"/>
    <cellStyle name="Normal 14 3 2 2 2 3 5" xfId="7409"/>
    <cellStyle name="Normal 14 3 2 2 2 3 5 2" xfId="24689"/>
    <cellStyle name="Normal 14 3 2 2 2 3 6" xfId="13169"/>
    <cellStyle name="Normal 14 3 2 2 2 3 6 2" xfId="30449"/>
    <cellStyle name="Normal 14 3 2 2 2 3 7" xfId="18929"/>
    <cellStyle name="Normal 14 3 2 2 2 4" xfId="1889"/>
    <cellStyle name="Normal 14 3 2 2 2 4 2" xfId="3329"/>
    <cellStyle name="Normal 14 3 2 2 2 4 2 2" xfId="6209"/>
    <cellStyle name="Normal 14 3 2 2 2 4 2 2 2" xfId="11969"/>
    <cellStyle name="Normal 14 3 2 2 2 4 2 2 2 2" xfId="29249"/>
    <cellStyle name="Normal 14 3 2 2 2 4 2 2 3" xfId="17729"/>
    <cellStyle name="Normal 14 3 2 2 2 4 2 2 3 2" xfId="35009"/>
    <cellStyle name="Normal 14 3 2 2 2 4 2 2 4" xfId="23489"/>
    <cellStyle name="Normal 14 3 2 2 2 4 2 3" xfId="9089"/>
    <cellStyle name="Normal 14 3 2 2 2 4 2 3 2" xfId="26369"/>
    <cellStyle name="Normal 14 3 2 2 2 4 2 4" xfId="14849"/>
    <cellStyle name="Normal 14 3 2 2 2 4 2 4 2" xfId="32129"/>
    <cellStyle name="Normal 14 3 2 2 2 4 2 5" xfId="20609"/>
    <cellStyle name="Normal 14 3 2 2 2 4 3" xfId="4769"/>
    <cellStyle name="Normal 14 3 2 2 2 4 3 2" xfId="10529"/>
    <cellStyle name="Normal 14 3 2 2 2 4 3 2 2" xfId="27809"/>
    <cellStyle name="Normal 14 3 2 2 2 4 3 3" xfId="16289"/>
    <cellStyle name="Normal 14 3 2 2 2 4 3 3 2" xfId="33569"/>
    <cellStyle name="Normal 14 3 2 2 2 4 3 4" xfId="22049"/>
    <cellStyle name="Normal 14 3 2 2 2 4 4" xfId="7649"/>
    <cellStyle name="Normal 14 3 2 2 2 4 4 2" xfId="24929"/>
    <cellStyle name="Normal 14 3 2 2 2 4 5" xfId="13409"/>
    <cellStyle name="Normal 14 3 2 2 2 4 5 2" xfId="30689"/>
    <cellStyle name="Normal 14 3 2 2 2 4 6" xfId="19169"/>
    <cellStyle name="Normal 14 3 2 2 2 5" xfId="2609"/>
    <cellStyle name="Normal 14 3 2 2 2 5 2" xfId="5489"/>
    <cellStyle name="Normal 14 3 2 2 2 5 2 2" xfId="11249"/>
    <cellStyle name="Normal 14 3 2 2 2 5 2 2 2" xfId="28529"/>
    <cellStyle name="Normal 14 3 2 2 2 5 2 3" xfId="17009"/>
    <cellStyle name="Normal 14 3 2 2 2 5 2 3 2" xfId="34289"/>
    <cellStyle name="Normal 14 3 2 2 2 5 2 4" xfId="22769"/>
    <cellStyle name="Normal 14 3 2 2 2 5 3" xfId="8369"/>
    <cellStyle name="Normal 14 3 2 2 2 5 3 2" xfId="25649"/>
    <cellStyle name="Normal 14 3 2 2 2 5 4" xfId="14129"/>
    <cellStyle name="Normal 14 3 2 2 2 5 4 2" xfId="31409"/>
    <cellStyle name="Normal 14 3 2 2 2 5 5" xfId="19889"/>
    <cellStyle name="Normal 14 3 2 2 2 6" xfId="4049"/>
    <cellStyle name="Normal 14 3 2 2 2 6 2" xfId="9809"/>
    <cellStyle name="Normal 14 3 2 2 2 6 2 2" xfId="27089"/>
    <cellStyle name="Normal 14 3 2 2 2 6 3" xfId="15569"/>
    <cellStyle name="Normal 14 3 2 2 2 6 3 2" xfId="32849"/>
    <cellStyle name="Normal 14 3 2 2 2 6 4" xfId="21329"/>
    <cellStyle name="Normal 14 3 2 2 2 7" xfId="6929"/>
    <cellStyle name="Normal 14 3 2 2 2 7 2" xfId="24209"/>
    <cellStyle name="Normal 14 3 2 2 2 8" xfId="12689"/>
    <cellStyle name="Normal 14 3 2 2 2 8 2" xfId="29969"/>
    <cellStyle name="Normal 14 3 2 2 2 9" xfId="18449"/>
    <cellStyle name="Normal 14 3 2 2 3" xfId="1289"/>
    <cellStyle name="Normal 14 3 2 2 3 2" xfId="2009"/>
    <cellStyle name="Normal 14 3 2 2 3 2 2" xfId="3449"/>
    <cellStyle name="Normal 14 3 2 2 3 2 2 2" xfId="6329"/>
    <cellStyle name="Normal 14 3 2 2 3 2 2 2 2" xfId="12089"/>
    <cellStyle name="Normal 14 3 2 2 3 2 2 2 2 2" xfId="29369"/>
    <cellStyle name="Normal 14 3 2 2 3 2 2 2 3" xfId="17849"/>
    <cellStyle name="Normal 14 3 2 2 3 2 2 2 3 2" xfId="35129"/>
    <cellStyle name="Normal 14 3 2 2 3 2 2 2 4" xfId="23609"/>
    <cellStyle name="Normal 14 3 2 2 3 2 2 3" xfId="9209"/>
    <cellStyle name="Normal 14 3 2 2 3 2 2 3 2" xfId="26489"/>
    <cellStyle name="Normal 14 3 2 2 3 2 2 4" xfId="14969"/>
    <cellStyle name="Normal 14 3 2 2 3 2 2 4 2" xfId="32249"/>
    <cellStyle name="Normal 14 3 2 2 3 2 2 5" xfId="20729"/>
    <cellStyle name="Normal 14 3 2 2 3 2 3" xfId="4889"/>
    <cellStyle name="Normal 14 3 2 2 3 2 3 2" xfId="10649"/>
    <cellStyle name="Normal 14 3 2 2 3 2 3 2 2" xfId="27929"/>
    <cellStyle name="Normal 14 3 2 2 3 2 3 3" xfId="16409"/>
    <cellStyle name="Normal 14 3 2 2 3 2 3 3 2" xfId="33689"/>
    <cellStyle name="Normal 14 3 2 2 3 2 3 4" xfId="22169"/>
    <cellStyle name="Normal 14 3 2 2 3 2 4" xfId="7769"/>
    <cellStyle name="Normal 14 3 2 2 3 2 4 2" xfId="25049"/>
    <cellStyle name="Normal 14 3 2 2 3 2 5" xfId="13529"/>
    <cellStyle name="Normal 14 3 2 2 3 2 5 2" xfId="30809"/>
    <cellStyle name="Normal 14 3 2 2 3 2 6" xfId="19289"/>
    <cellStyle name="Normal 14 3 2 2 3 3" xfId="2729"/>
    <cellStyle name="Normal 14 3 2 2 3 3 2" xfId="5609"/>
    <cellStyle name="Normal 14 3 2 2 3 3 2 2" xfId="11369"/>
    <cellStyle name="Normal 14 3 2 2 3 3 2 2 2" xfId="28649"/>
    <cellStyle name="Normal 14 3 2 2 3 3 2 3" xfId="17129"/>
    <cellStyle name="Normal 14 3 2 2 3 3 2 3 2" xfId="34409"/>
    <cellStyle name="Normal 14 3 2 2 3 3 2 4" xfId="22889"/>
    <cellStyle name="Normal 14 3 2 2 3 3 3" xfId="8489"/>
    <cellStyle name="Normal 14 3 2 2 3 3 3 2" xfId="25769"/>
    <cellStyle name="Normal 14 3 2 2 3 3 4" xfId="14249"/>
    <cellStyle name="Normal 14 3 2 2 3 3 4 2" xfId="31529"/>
    <cellStyle name="Normal 14 3 2 2 3 3 5" xfId="20009"/>
    <cellStyle name="Normal 14 3 2 2 3 4" xfId="4169"/>
    <cellStyle name="Normal 14 3 2 2 3 4 2" xfId="9929"/>
    <cellStyle name="Normal 14 3 2 2 3 4 2 2" xfId="27209"/>
    <cellStyle name="Normal 14 3 2 2 3 4 3" xfId="15689"/>
    <cellStyle name="Normal 14 3 2 2 3 4 3 2" xfId="32969"/>
    <cellStyle name="Normal 14 3 2 2 3 4 4" xfId="21449"/>
    <cellStyle name="Normal 14 3 2 2 3 5" xfId="7049"/>
    <cellStyle name="Normal 14 3 2 2 3 5 2" xfId="24329"/>
    <cellStyle name="Normal 14 3 2 2 3 6" xfId="12809"/>
    <cellStyle name="Normal 14 3 2 2 3 6 2" xfId="30089"/>
    <cellStyle name="Normal 14 3 2 2 3 7" xfId="18569"/>
    <cellStyle name="Normal 14 3 2 2 4" xfId="1529"/>
    <cellStyle name="Normal 14 3 2 2 4 2" xfId="2249"/>
    <cellStyle name="Normal 14 3 2 2 4 2 2" xfId="3689"/>
    <cellStyle name="Normal 14 3 2 2 4 2 2 2" xfId="6569"/>
    <cellStyle name="Normal 14 3 2 2 4 2 2 2 2" xfId="12329"/>
    <cellStyle name="Normal 14 3 2 2 4 2 2 2 2 2" xfId="29609"/>
    <cellStyle name="Normal 14 3 2 2 4 2 2 2 3" xfId="18089"/>
    <cellStyle name="Normal 14 3 2 2 4 2 2 2 3 2" xfId="35369"/>
    <cellStyle name="Normal 14 3 2 2 4 2 2 2 4" xfId="23849"/>
    <cellStyle name="Normal 14 3 2 2 4 2 2 3" xfId="9449"/>
    <cellStyle name="Normal 14 3 2 2 4 2 2 3 2" xfId="26729"/>
    <cellStyle name="Normal 14 3 2 2 4 2 2 4" xfId="15209"/>
    <cellStyle name="Normal 14 3 2 2 4 2 2 4 2" xfId="32489"/>
    <cellStyle name="Normal 14 3 2 2 4 2 2 5" xfId="20969"/>
    <cellStyle name="Normal 14 3 2 2 4 2 3" xfId="5129"/>
    <cellStyle name="Normal 14 3 2 2 4 2 3 2" xfId="10889"/>
    <cellStyle name="Normal 14 3 2 2 4 2 3 2 2" xfId="28169"/>
    <cellStyle name="Normal 14 3 2 2 4 2 3 3" xfId="16649"/>
    <cellStyle name="Normal 14 3 2 2 4 2 3 3 2" xfId="33929"/>
    <cellStyle name="Normal 14 3 2 2 4 2 3 4" xfId="22409"/>
    <cellStyle name="Normal 14 3 2 2 4 2 4" xfId="8009"/>
    <cellStyle name="Normal 14 3 2 2 4 2 4 2" xfId="25289"/>
    <cellStyle name="Normal 14 3 2 2 4 2 5" xfId="13769"/>
    <cellStyle name="Normal 14 3 2 2 4 2 5 2" xfId="31049"/>
    <cellStyle name="Normal 14 3 2 2 4 2 6" xfId="19529"/>
    <cellStyle name="Normal 14 3 2 2 4 3" xfId="2969"/>
    <cellStyle name="Normal 14 3 2 2 4 3 2" xfId="5849"/>
    <cellStyle name="Normal 14 3 2 2 4 3 2 2" xfId="11609"/>
    <cellStyle name="Normal 14 3 2 2 4 3 2 2 2" xfId="28889"/>
    <cellStyle name="Normal 14 3 2 2 4 3 2 3" xfId="17369"/>
    <cellStyle name="Normal 14 3 2 2 4 3 2 3 2" xfId="34649"/>
    <cellStyle name="Normal 14 3 2 2 4 3 2 4" xfId="23129"/>
    <cellStyle name="Normal 14 3 2 2 4 3 3" xfId="8729"/>
    <cellStyle name="Normal 14 3 2 2 4 3 3 2" xfId="26009"/>
    <cellStyle name="Normal 14 3 2 2 4 3 4" xfId="14489"/>
    <cellStyle name="Normal 14 3 2 2 4 3 4 2" xfId="31769"/>
    <cellStyle name="Normal 14 3 2 2 4 3 5" xfId="20249"/>
    <cellStyle name="Normal 14 3 2 2 4 4" xfId="4409"/>
    <cellStyle name="Normal 14 3 2 2 4 4 2" xfId="10169"/>
    <cellStyle name="Normal 14 3 2 2 4 4 2 2" xfId="27449"/>
    <cellStyle name="Normal 14 3 2 2 4 4 3" xfId="15929"/>
    <cellStyle name="Normal 14 3 2 2 4 4 3 2" xfId="33209"/>
    <cellStyle name="Normal 14 3 2 2 4 4 4" xfId="21689"/>
    <cellStyle name="Normal 14 3 2 2 4 5" xfId="7289"/>
    <cellStyle name="Normal 14 3 2 2 4 5 2" xfId="24569"/>
    <cellStyle name="Normal 14 3 2 2 4 6" xfId="13049"/>
    <cellStyle name="Normal 14 3 2 2 4 6 2" xfId="30329"/>
    <cellStyle name="Normal 14 3 2 2 4 7" xfId="18809"/>
    <cellStyle name="Normal 14 3 2 2 5" xfId="1769"/>
    <cellStyle name="Normal 14 3 2 2 5 2" xfId="3209"/>
    <cellStyle name="Normal 14 3 2 2 5 2 2" xfId="6089"/>
    <cellStyle name="Normal 14 3 2 2 5 2 2 2" xfId="11849"/>
    <cellStyle name="Normal 14 3 2 2 5 2 2 2 2" xfId="29129"/>
    <cellStyle name="Normal 14 3 2 2 5 2 2 3" xfId="17609"/>
    <cellStyle name="Normal 14 3 2 2 5 2 2 3 2" xfId="34889"/>
    <cellStyle name="Normal 14 3 2 2 5 2 2 4" xfId="23369"/>
    <cellStyle name="Normal 14 3 2 2 5 2 3" xfId="8969"/>
    <cellStyle name="Normal 14 3 2 2 5 2 3 2" xfId="26249"/>
    <cellStyle name="Normal 14 3 2 2 5 2 4" xfId="14729"/>
    <cellStyle name="Normal 14 3 2 2 5 2 4 2" xfId="32009"/>
    <cellStyle name="Normal 14 3 2 2 5 2 5" xfId="20489"/>
    <cellStyle name="Normal 14 3 2 2 5 3" xfId="4649"/>
    <cellStyle name="Normal 14 3 2 2 5 3 2" xfId="10409"/>
    <cellStyle name="Normal 14 3 2 2 5 3 2 2" xfId="27689"/>
    <cellStyle name="Normal 14 3 2 2 5 3 3" xfId="16169"/>
    <cellStyle name="Normal 14 3 2 2 5 3 3 2" xfId="33449"/>
    <cellStyle name="Normal 14 3 2 2 5 3 4" xfId="21929"/>
    <cellStyle name="Normal 14 3 2 2 5 4" xfId="7529"/>
    <cellStyle name="Normal 14 3 2 2 5 4 2" xfId="24809"/>
    <cellStyle name="Normal 14 3 2 2 5 5" xfId="13289"/>
    <cellStyle name="Normal 14 3 2 2 5 5 2" xfId="30569"/>
    <cellStyle name="Normal 14 3 2 2 5 6" xfId="19049"/>
    <cellStyle name="Normal 14 3 2 2 6" xfId="2489"/>
    <cellStyle name="Normal 14 3 2 2 6 2" xfId="5369"/>
    <cellStyle name="Normal 14 3 2 2 6 2 2" xfId="11129"/>
    <cellStyle name="Normal 14 3 2 2 6 2 2 2" xfId="28409"/>
    <cellStyle name="Normal 14 3 2 2 6 2 3" xfId="16889"/>
    <cellStyle name="Normal 14 3 2 2 6 2 3 2" xfId="34169"/>
    <cellStyle name="Normal 14 3 2 2 6 2 4" xfId="22649"/>
    <cellStyle name="Normal 14 3 2 2 6 3" xfId="8249"/>
    <cellStyle name="Normal 14 3 2 2 6 3 2" xfId="25529"/>
    <cellStyle name="Normal 14 3 2 2 6 4" xfId="14009"/>
    <cellStyle name="Normal 14 3 2 2 6 4 2" xfId="31289"/>
    <cellStyle name="Normal 14 3 2 2 6 5" xfId="19769"/>
    <cellStyle name="Normal 14 3 2 2 7" xfId="3929"/>
    <cellStyle name="Normal 14 3 2 2 7 2" xfId="9689"/>
    <cellStyle name="Normal 14 3 2 2 7 2 2" xfId="26969"/>
    <cellStyle name="Normal 14 3 2 2 7 3" xfId="15449"/>
    <cellStyle name="Normal 14 3 2 2 7 3 2" xfId="32729"/>
    <cellStyle name="Normal 14 3 2 2 7 4" xfId="21209"/>
    <cellStyle name="Normal 14 3 2 2 8" xfId="6809"/>
    <cellStyle name="Normal 14 3 2 2 8 2" xfId="24089"/>
    <cellStyle name="Normal 14 3 2 2 9" xfId="12569"/>
    <cellStyle name="Normal 14 3 2 2 9 2" xfId="29849"/>
    <cellStyle name="Normal 14 3 2 3" xfId="1009"/>
    <cellStyle name="Normal 14 3 2 3 10" xfId="18289"/>
    <cellStyle name="Normal 14 3 2 3 2" xfId="1129"/>
    <cellStyle name="Normal 14 3 2 3 2 2" xfId="1369"/>
    <cellStyle name="Normal 14 3 2 3 2 2 2" xfId="2089"/>
    <cellStyle name="Normal 14 3 2 3 2 2 2 2" xfId="3529"/>
    <cellStyle name="Normal 14 3 2 3 2 2 2 2 2" xfId="6409"/>
    <cellStyle name="Normal 14 3 2 3 2 2 2 2 2 2" xfId="12169"/>
    <cellStyle name="Normal 14 3 2 3 2 2 2 2 2 2 2" xfId="29449"/>
    <cellStyle name="Normal 14 3 2 3 2 2 2 2 2 3" xfId="17929"/>
    <cellStyle name="Normal 14 3 2 3 2 2 2 2 2 3 2" xfId="35209"/>
    <cellStyle name="Normal 14 3 2 3 2 2 2 2 2 4" xfId="23689"/>
    <cellStyle name="Normal 14 3 2 3 2 2 2 2 3" xfId="9289"/>
    <cellStyle name="Normal 14 3 2 3 2 2 2 2 3 2" xfId="26569"/>
    <cellStyle name="Normal 14 3 2 3 2 2 2 2 4" xfId="15049"/>
    <cellStyle name="Normal 14 3 2 3 2 2 2 2 4 2" xfId="32329"/>
    <cellStyle name="Normal 14 3 2 3 2 2 2 2 5" xfId="20809"/>
    <cellStyle name="Normal 14 3 2 3 2 2 2 3" xfId="4969"/>
    <cellStyle name="Normal 14 3 2 3 2 2 2 3 2" xfId="10729"/>
    <cellStyle name="Normal 14 3 2 3 2 2 2 3 2 2" xfId="28009"/>
    <cellStyle name="Normal 14 3 2 3 2 2 2 3 3" xfId="16489"/>
    <cellStyle name="Normal 14 3 2 3 2 2 2 3 3 2" xfId="33769"/>
    <cellStyle name="Normal 14 3 2 3 2 2 2 3 4" xfId="22249"/>
    <cellStyle name="Normal 14 3 2 3 2 2 2 4" xfId="7849"/>
    <cellStyle name="Normal 14 3 2 3 2 2 2 4 2" xfId="25129"/>
    <cellStyle name="Normal 14 3 2 3 2 2 2 5" xfId="13609"/>
    <cellStyle name="Normal 14 3 2 3 2 2 2 5 2" xfId="30889"/>
    <cellStyle name="Normal 14 3 2 3 2 2 2 6" xfId="19369"/>
    <cellStyle name="Normal 14 3 2 3 2 2 3" xfId="2809"/>
    <cellStyle name="Normal 14 3 2 3 2 2 3 2" xfId="5689"/>
    <cellStyle name="Normal 14 3 2 3 2 2 3 2 2" xfId="11449"/>
    <cellStyle name="Normal 14 3 2 3 2 2 3 2 2 2" xfId="28729"/>
    <cellStyle name="Normal 14 3 2 3 2 2 3 2 3" xfId="17209"/>
    <cellStyle name="Normal 14 3 2 3 2 2 3 2 3 2" xfId="34489"/>
    <cellStyle name="Normal 14 3 2 3 2 2 3 2 4" xfId="22969"/>
    <cellStyle name="Normal 14 3 2 3 2 2 3 3" xfId="8569"/>
    <cellStyle name="Normal 14 3 2 3 2 2 3 3 2" xfId="25849"/>
    <cellStyle name="Normal 14 3 2 3 2 2 3 4" xfId="14329"/>
    <cellStyle name="Normal 14 3 2 3 2 2 3 4 2" xfId="31609"/>
    <cellStyle name="Normal 14 3 2 3 2 2 3 5" xfId="20089"/>
    <cellStyle name="Normal 14 3 2 3 2 2 4" xfId="4249"/>
    <cellStyle name="Normal 14 3 2 3 2 2 4 2" xfId="10009"/>
    <cellStyle name="Normal 14 3 2 3 2 2 4 2 2" xfId="27289"/>
    <cellStyle name="Normal 14 3 2 3 2 2 4 3" xfId="15769"/>
    <cellStyle name="Normal 14 3 2 3 2 2 4 3 2" xfId="33049"/>
    <cellStyle name="Normal 14 3 2 3 2 2 4 4" xfId="21529"/>
    <cellStyle name="Normal 14 3 2 3 2 2 5" xfId="7129"/>
    <cellStyle name="Normal 14 3 2 3 2 2 5 2" xfId="24409"/>
    <cellStyle name="Normal 14 3 2 3 2 2 6" xfId="12889"/>
    <cellStyle name="Normal 14 3 2 3 2 2 6 2" xfId="30169"/>
    <cellStyle name="Normal 14 3 2 3 2 2 7" xfId="18649"/>
    <cellStyle name="Normal 14 3 2 3 2 3" xfId="1609"/>
    <cellStyle name="Normal 14 3 2 3 2 3 2" xfId="2329"/>
    <cellStyle name="Normal 14 3 2 3 2 3 2 2" xfId="3769"/>
    <cellStyle name="Normal 14 3 2 3 2 3 2 2 2" xfId="6649"/>
    <cellStyle name="Normal 14 3 2 3 2 3 2 2 2 2" xfId="12409"/>
    <cellStyle name="Normal 14 3 2 3 2 3 2 2 2 2 2" xfId="29689"/>
    <cellStyle name="Normal 14 3 2 3 2 3 2 2 2 3" xfId="18169"/>
    <cellStyle name="Normal 14 3 2 3 2 3 2 2 2 3 2" xfId="35449"/>
    <cellStyle name="Normal 14 3 2 3 2 3 2 2 2 4" xfId="23929"/>
    <cellStyle name="Normal 14 3 2 3 2 3 2 2 3" xfId="9529"/>
    <cellStyle name="Normal 14 3 2 3 2 3 2 2 3 2" xfId="26809"/>
    <cellStyle name="Normal 14 3 2 3 2 3 2 2 4" xfId="15289"/>
    <cellStyle name="Normal 14 3 2 3 2 3 2 2 4 2" xfId="32569"/>
    <cellStyle name="Normal 14 3 2 3 2 3 2 2 5" xfId="21049"/>
    <cellStyle name="Normal 14 3 2 3 2 3 2 3" xfId="5209"/>
    <cellStyle name="Normal 14 3 2 3 2 3 2 3 2" xfId="10969"/>
    <cellStyle name="Normal 14 3 2 3 2 3 2 3 2 2" xfId="28249"/>
    <cellStyle name="Normal 14 3 2 3 2 3 2 3 3" xfId="16729"/>
    <cellStyle name="Normal 14 3 2 3 2 3 2 3 3 2" xfId="34009"/>
    <cellStyle name="Normal 14 3 2 3 2 3 2 3 4" xfId="22489"/>
    <cellStyle name="Normal 14 3 2 3 2 3 2 4" xfId="8089"/>
    <cellStyle name="Normal 14 3 2 3 2 3 2 4 2" xfId="25369"/>
    <cellStyle name="Normal 14 3 2 3 2 3 2 5" xfId="13849"/>
    <cellStyle name="Normal 14 3 2 3 2 3 2 5 2" xfId="31129"/>
    <cellStyle name="Normal 14 3 2 3 2 3 2 6" xfId="19609"/>
    <cellStyle name="Normal 14 3 2 3 2 3 3" xfId="3049"/>
    <cellStyle name="Normal 14 3 2 3 2 3 3 2" xfId="5929"/>
    <cellStyle name="Normal 14 3 2 3 2 3 3 2 2" xfId="11689"/>
    <cellStyle name="Normal 14 3 2 3 2 3 3 2 2 2" xfId="28969"/>
    <cellStyle name="Normal 14 3 2 3 2 3 3 2 3" xfId="17449"/>
    <cellStyle name="Normal 14 3 2 3 2 3 3 2 3 2" xfId="34729"/>
    <cellStyle name="Normal 14 3 2 3 2 3 3 2 4" xfId="23209"/>
    <cellStyle name="Normal 14 3 2 3 2 3 3 3" xfId="8809"/>
    <cellStyle name="Normal 14 3 2 3 2 3 3 3 2" xfId="26089"/>
    <cellStyle name="Normal 14 3 2 3 2 3 3 4" xfId="14569"/>
    <cellStyle name="Normal 14 3 2 3 2 3 3 4 2" xfId="31849"/>
    <cellStyle name="Normal 14 3 2 3 2 3 3 5" xfId="20329"/>
    <cellStyle name="Normal 14 3 2 3 2 3 4" xfId="4489"/>
    <cellStyle name="Normal 14 3 2 3 2 3 4 2" xfId="10249"/>
    <cellStyle name="Normal 14 3 2 3 2 3 4 2 2" xfId="27529"/>
    <cellStyle name="Normal 14 3 2 3 2 3 4 3" xfId="16009"/>
    <cellStyle name="Normal 14 3 2 3 2 3 4 3 2" xfId="33289"/>
    <cellStyle name="Normal 14 3 2 3 2 3 4 4" xfId="21769"/>
    <cellStyle name="Normal 14 3 2 3 2 3 5" xfId="7369"/>
    <cellStyle name="Normal 14 3 2 3 2 3 5 2" xfId="24649"/>
    <cellStyle name="Normal 14 3 2 3 2 3 6" xfId="13129"/>
    <cellStyle name="Normal 14 3 2 3 2 3 6 2" xfId="30409"/>
    <cellStyle name="Normal 14 3 2 3 2 3 7" xfId="18889"/>
    <cellStyle name="Normal 14 3 2 3 2 4" xfId="1849"/>
    <cellStyle name="Normal 14 3 2 3 2 4 2" xfId="3289"/>
    <cellStyle name="Normal 14 3 2 3 2 4 2 2" xfId="6169"/>
    <cellStyle name="Normal 14 3 2 3 2 4 2 2 2" xfId="11929"/>
    <cellStyle name="Normal 14 3 2 3 2 4 2 2 2 2" xfId="29209"/>
    <cellStyle name="Normal 14 3 2 3 2 4 2 2 3" xfId="17689"/>
    <cellStyle name="Normal 14 3 2 3 2 4 2 2 3 2" xfId="34969"/>
    <cellStyle name="Normal 14 3 2 3 2 4 2 2 4" xfId="23449"/>
    <cellStyle name="Normal 14 3 2 3 2 4 2 3" xfId="9049"/>
    <cellStyle name="Normal 14 3 2 3 2 4 2 3 2" xfId="26329"/>
    <cellStyle name="Normal 14 3 2 3 2 4 2 4" xfId="14809"/>
    <cellStyle name="Normal 14 3 2 3 2 4 2 4 2" xfId="32089"/>
    <cellStyle name="Normal 14 3 2 3 2 4 2 5" xfId="20569"/>
    <cellStyle name="Normal 14 3 2 3 2 4 3" xfId="4729"/>
    <cellStyle name="Normal 14 3 2 3 2 4 3 2" xfId="10489"/>
    <cellStyle name="Normal 14 3 2 3 2 4 3 2 2" xfId="27769"/>
    <cellStyle name="Normal 14 3 2 3 2 4 3 3" xfId="16249"/>
    <cellStyle name="Normal 14 3 2 3 2 4 3 3 2" xfId="33529"/>
    <cellStyle name="Normal 14 3 2 3 2 4 3 4" xfId="22009"/>
    <cellStyle name="Normal 14 3 2 3 2 4 4" xfId="7609"/>
    <cellStyle name="Normal 14 3 2 3 2 4 4 2" xfId="24889"/>
    <cellStyle name="Normal 14 3 2 3 2 4 5" xfId="13369"/>
    <cellStyle name="Normal 14 3 2 3 2 4 5 2" xfId="30649"/>
    <cellStyle name="Normal 14 3 2 3 2 4 6" xfId="19129"/>
    <cellStyle name="Normal 14 3 2 3 2 5" xfId="2569"/>
    <cellStyle name="Normal 14 3 2 3 2 5 2" xfId="5449"/>
    <cellStyle name="Normal 14 3 2 3 2 5 2 2" xfId="11209"/>
    <cellStyle name="Normal 14 3 2 3 2 5 2 2 2" xfId="28489"/>
    <cellStyle name="Normal 14 3 2 3 2 5 2 3" xfId="16969"/>
    <cellStyle name="Normal 14 3 2 3 2 5 2 3 2" xfId="34249"/>
    <cellStyle name="Normal 14 3 2 3 2 5 2 4" xfId="22729"/>
    <cellStyle name="Normal 14 3 2 3 2 5 3" xfId="8329"/>
    <cellStyle name="Normal 14 3 2 3 2 5 3 2" xfId="25609"/>
    <cellStyle name="Normal 14 3 2 3 2 5 4" xfId="14089"/>
    <cellStyle name="Normal 14 3 2 3 2 5 4 2" xfId="31369"/>
    <cellStyle name="Normal 14 3 2 3 2 5 5" xfId="19849"/>
    <cellStyle name="Normal 14 3 2 3 2 6" xfId="4009"/>
    <cellStyle name="Normal 14 3 2 3 2 6 2" xfId="9769"/>
    <cellStyle name="Normal 14 3 2 3 2 6 2 2" xfId="27049"/>
    <cellStyle name="Normal 14 3 2 3 2 6 3" xfId="15529"/>
    <cellStyle name="Normal 14 3 2 3 2 6 3 2" xfId="32809"/>
    <cellStyle name="Normal 14 3 2 3 2 6 4" xfId="21289"/>
    <cellStyle name="Normal 14 3 2 3 2 7" xfId="6889"/>
    <cellStyle name="Normal 14 3 2 3 2 7 2" xfId="24169"/>
    <cellStyle name="Normal 14 3 2 3 2 8" xfId="12649"/>
    <cellStyle name="Normal 14 3 2 3 2 8 2" xfId="29929"/>
    <cellStyle name="Normal 14 3 2 3 2 9" xfId="18409"/>
    <cellStyle name="Normal 14 3 2 3 3" xfId="1249"/>
    <cellStyle name="Normal 14 3 2 3 3 2" xfId="1969"/>
    <cellStyle name="Normal 14 3 2 3 3 2 2" xfId="3409"/>
    <cellStyle name="Normal 14 3 2 3 3 2 2 2" xfId="6289"/>
    <cellStyle name="Normal 14 3 2 3 3 2 2 2 2" xfId="12049"/>
    <cellStyle name="Normal 14 3 2 3 3 2 2 2 2 2" xfId="29329"/>
    <cellStyle name="Normal 14 3 2 3 3 2 2 2 3" xfId="17809"/>
    <cellStyle name="Normal 14 3 2 3 3 2 2 2 3 2" xfId="35089"/>
    <cellStyle name="Normal 14 3 2 3 3 2 2 2 4" xfId="23569"/>
    <cellStyle name="Normal 14 3 2 3 3 2 2 3" xfId="9169"/>
    <cellStyle name="Normal 14 3 2 3 3 2 2 3 2" xfId="26449"/>
    <cellStyle name="Normal 14 3 2 3 3 2 2 4" xfId="14929"/>
    <cellStyle name="Normal 14 3 2 3 3 2 2 4 2" xfId="32209"/>
    <cellStyle name="Normal 14 3 2 3 3 2 2 5" xfId="20689"/>
    <cellStyle name="Normal 14 3 2 3 3 2 3" xfId="4849"/>
    <cellStyle name="Normal 14 3 2 3 3 2 3 2" xfId="10609"/>
    <cellStyle name="Normal 14 3 2 3 3 2 3 2 2" xfId="27889"/>
    <cellStyle name="Normal 14 3 2 3 3 2 3 3" xfId="16369"/>
    <cellStyle name="Normal 14 3 2 3 3 2 3 3 2" xfId="33649"/>
    <cellStyle name="Normal 14 3 2 3 3 2 3 4" xfId="22129"/>
    <cellStyle name="Normal 14 3 2 3 3 2 4" xfId="7729"/>
    <cellStyle name="Normal 14 3 2 3 3 2 4 2" xfId="25009"/>
    <cellStyle name="Normal 14 3 2 3 3 2 5" xfId="13489"/>
    <cellStyle name="Normal 14 3 2 3 3 2 5 2" xfId="30769"/>
    <cellStyle name="Normal 14 3 2 3 3 2 6" xfId="19249"/>
    <cellStyle name="Normal 14 3 2 3 3 3" xfId="2689"/>
    <cellStyle name="Normal 14 3 2 3 3 3 2" xfId="5569"/>
    <cellStyle name="Normal 14 3 2 3 3 3 2 2" xfId="11329"/>
    <cellStyle name="Normal 14 3 2 3 3 3 2 2 2" xfId="28609"/>
    <cellStyle name="Normal 14 3 2 3 3 3 2 3" xfId="17089"/>
    <cellStyle name="Normal 14 3 2 3 3 3 2 3 2" xfId="34369"/>
    <cellStyle name="Normal 14 3 2 3 3 3 2 4" xfId="22849"/>
    <cellStyle name="Normal 14 3 2 3 3 3 3" xfId="8449"/>
    <cellStyle name="Normal 14 3 2 3 3 3 3 2" xfId="25729"/>
    <cellStyle name="Normal 14 3 2 3 3 3 4" xfId="14209"/>
    <cellStyle name="Normal 14 3 2 3 3 3 4 2" xfId="31489"/>
    <cellStyle name="Normal 14 3 2 3 3 3 5" xfId="19969"/>
    <cellStyle name="Normal 14 3 2 3 3 4" xfId="4129"/>
    <cellStyle name="Normal 14 3 2 3 3 4 2" xfId="9889"/>
    <cellStyle name="Normal 14 3 2 3 3 4 2 2" xfId="27169"/>
    <cellStyle name="Normal 14 3 2 3 3 4 3" xfId="15649"/>
    <cellStyle name="Normal 14 3 2 3 3 4 3 2" xfId="32929"/>
    <cellStyle name="Normal 14 3 2 3 3 4 4" xfId="21409"/>
    <cellStyle name="Normal 14 3 2 3 3 5" xfId="7009"/>
    <cellStyle name="Normal 14 3 2 3 3 5 2" xfId="24289"/>
    <cellStyle name="Normal 14 3 2 3 3 6" xfId="12769"/>
    <cellStyle name="Normal 14 3 2 3 3 6 2" xfId="30049"/>
    <cellStyle name="Normal 14 3 2 3 3 7" xfId="18529"/>
    <cellStyle name="Normal 14 3 2 3 4" xfId="1489"/>
    <cellStyle name="Normal 14 3 2 3 4 2" xfId="2209"/>
    <cellStyle name="Normal 14 3 2 3 4 2 2" xfId="3649"/>
    <cellStyle name="Normal 14 3 2 3 4 2 2 2" xfId="6529"/>
    <cellStyle name="Normal 14 3 2 3 4 2 2 2 2" xfId="12289"/>
    <cellStyle name="Normal 14 3 2 3 4 2 2 2 2 2" xfId="29569"/>
    <cellStyle name="Normal 14 3 2 3 4 2 2 2 3" xfId="18049"/>
    <cellStyle name="Normal 14 3 2 3 4 2 2 2 3 2" xfId="35329"/>
    <cellStyle name="Normal 14 3 2 3 4 2 2 2 4" xfId="23809"/>
    <cellStyle name="Normal 14 3 2 3 4 2 2 3" xfId="9409"/>
    <cellStyle name="Normal 14 3 2 3 4 2 2 3 2" xfId="26689"/>
    <cellStyle name="Normal 14 3 2 3 4 2 2 4" xfId="15169"/>
    <cellStyle name="Normal 14 3 2 3 4 2 2 4 2" xfId="32449"/>
    <cellStyle name="Normal 14 3 2 3 4 2 2 5" xfId="20929"/>
    <cellStyle name="Normal 14 3 2 3 4 2 3" xfId="5089"/>
    <cellStyle name="Normal 14 3 2 3 4 2 3 2" xfId="10849"/>
    <cellStyle name="Normal 14 3 2 3 4 2 3 2 2" xfId="28129"/>
    <cellStyle name="Normal 14 3 2 3 4 2 3 3" xfId="16609"/>
    <cellStyle name="Normal 14 3 2 3 4 2 3 3 2" xfId="33889"/>
    <cellStyle name="Normal 14 3 2 3 4 2 3 4" xfId="22369"/>
    <cellStyle name="Normal 14 3 2 3 4 2 4" xfId="7969"/>
    <cellStyle name="Normal 14 3 2 3 4 2 4 2" xfId="25249"/>
    <cellStyle name="Normal 14 3 2 3 4 2 5" xfId="13729"/>
    <cellStyle name="Normal 14 3 2 3 4 2 5 2" xfId="31009"/>
    <cellStyle name="Normal 14 3 2 3 4 2 6" xfId="19489"/>
    <cellStyle name="Normal 14 3 2 3 4 3" xfId="2929"/>
    <cellStyle name="Normal 14 3 2 3 4 3 2" xfId="5809"/>
    <cellStyle name="Normal 14 3 2 3 4 3 2 2" xfId="11569"/>
    <cellStyle name="Normal 14 3 2 3 4 3 2 2 2" xfId="28849"/>
    <cellStyle name="Normal 14 3 2 3 4 3 2 3" xfId="17329"/>
    <cellStyle name="Normal 14 3 2 3 4 3 2 3 2" xfId="34609"/>
    <cellStyle name="Normal 14 3 2 3 4 3 2 4" xfId="23089"/>
    <cellStyle name="Normal 14 3 2 3 4 3 3" xfId="8689"/>
    <cellStyle name="Normal 14 3 2 3 4 3 3 2" xfId="25969"/>
    <cellStyle name="Normal 14 3 2 3 4 3 4" xfId="14449"/>
    <cellStyle name="Normal 14 3 2 3 4 3 4 2" xfId="31729"/>
    <cellStyle name="Normal 14 3 2 3 4 3 5" xfId="20209"/>
    <cellStyle name="Normal 14 3 2 3 4 4" xfId="4369"/>
    <cellStyle name="Normal 14 3 2 3 4 4 2" xfId="10129"/>
    <cellStyle name="Normal 14 3 2 3 4 4 2 2" xfId="27409"/>
    <cellStyle name="Normal 14 3 2 3 4 4 3" xfId="15889"/>
    <cellStyle name="Normal 14 3 2 3 4 4 3 2" xfId="33169"/>
    <cellStyle name="Normal 14 3 2 3 4 4 4" xfId="21649"/>
    <cellStyle name="Normal 14 3 2 3 4 5" xfId="7249"/>
    <cellStyle name="Normal 14 3 2 3 4 5 2" xfId="24529"/>
    <cellStyle name="Normal 14 3 2 3 4 6" xfId="13009"/>
    <cellStyle name="Normal 14 3 2 3 4 6 2" xfId="30289"/>
    <cellStyle name="Normal 14 3 2 3 4 7" xfId="18769"/>
    <cellStyle name="Normal 14 3 2 3 5" xfId="1729"/>
    <cellStyle name="Normal 14 3 2 3 5 2" xfId="3169"/>
    <cellStyle name="Normal 14 3 2 3 5 2 2" xfId="6049"/>
    <cellStyle name="Normal 14 3 2 3 5 2 2 2" xfId="11809"/>
    <cellStyle name="Normal 14 3 2 3 5 2 2 2 2" xfId="29089"/>
    <cellStyle name="Normal 14 3 2 3 5 2 2 3" xfId="17569"/>
    <cellStyle name="Normal 14 3 2 3 5 2 2 3 2" xfId="34849"/>
    <cellStyle name="Normal 14 3 2 3 5 2 2 4" xfId="23329"/>
    <cellStyle name="Normal 14 3 2 3 5 2 3" xfId="8929"/>
    <cellStyle name="Normal 14 3 2 3 5 2 3 2" xfId="26209"/>
    <cellStyle name="Normal 14 3 2 3 5 2 4" xfId="14689"/>
    <cellStyle name="Normal 14 3 2 3 5 2 4 2" xfId="31969"/>
    <cellStyle name="Normal 14 3 2 3 5 2 5" xfId="20449"/>
    <cellStyle name="Normal 14 3 2 3 5 3" xfId="4609"/>
    <cellStyle name="Normal 14 3 2 3 5 3 2" xfId="10369"/>
    <cellStyle name="Normal 14 3 2 3 5 3 2 2" xfId="27649"/>
    <cellStyle name="Normal 14 3 2 3 5 3 3" xfId="16129"/>
    <cellStyle name="Normal 14 3 2 3 5 3 3 2" xfId="33409"/>
    <cellStyle name="Normal 14 3 2 3 5 3 4" xfId="21889"/>
    <cellStyle name="Normal 14 3 2 3 5 4" xfId="7489"/>
    <cellStyle name="Normal 14 3 2 3 5 4 2" xfId="24769"/>
    <cellStyle name="Normal 14 3 2 3 5 5" xfId="13249"/>
    <cellStyle name="Normal 14 3 2 3 5 5 2" xfId="30529"/>
    <cellStyle name="Normal 14 3 2 3 5 6" xfId="19009"/>
    <cellStyle name="Normal 14 3 2 3 6" xfId="2449"/>
    <cellStyle name="Normal 14 3 2 3 6 2" xfId="5329"/>
    <cellStyle name="Normal 14 3 2 3 6 2 2" xfId="11089"/>
    <cellStyle name="Normal 14 3 2 3 6 2 2 2" xfId="28369"/>
    <cellStyle name="Normal 14 3 2 3 6 2 3" xfId="16849"/>
    <cellStyle name="Normal 14 3 2 3 6 2 3 2" xfId="34129"/>
    <cellStyle name="Normal 14 3 2 3 6 2 4" xfId="22609"/>
    <cellStyle name="Normal 14 3 2 3 6 3" xfId="8209"/>
    <cellStyle name="Normal 14 3 2 3 6 3 2" xfId="25489"/>
    <cellStyle name="Normal 14 3 2 3 6 4" xfId="13969"/>
    <cellStyle name="Normal 14 3 2 3 6 4 2" xfId="31249"/>
    <cellStyle name="Normal 14 3 2 3 6 5" xfId="19729"/>
    <cellStyle name="Normal 14 3 2 3 7" xfId="3889"/>
    <cellStyle name="Normal 14 3 2 3 7 2" xfId="9649"/>
    <cellStyle name="Normal 14 3 2 3 7 2 2" xfId="26929"/>
    <cellStyle name="Normal 14 3 2 3 7 3" xfId="15409"/>
    <cellStyle name="Normal 14 3 2 3 7 3 2" xfId="32689"/>
    <cellStyle name="Normal 14 3 2 3 7 4" xfId="21169"/>
    <cellStyle name="Normal 14 3 2 3 8" xfId="6769"/>
    <cellStyle name="Normal 14 3 2 3 8 2" xfId="24049"/>
    <cellStyle name="Normal 14 3 2 3 9" xfId="12529"/>
    <cellStyle name="Normal 14 3 2 3 9 2" xfId="29809"/>
    <cellStyle name="Normal 14 3 2 4" xfId="1089"/>
    <cellStyle name="Normal 14 3 2 4 2" xfId="1329"/>
    <cellStyle name="Normal 14 3 2 4 2 2" xfId="2049"/>
    <cellStyle name="Normal 14 3 2 4 2 2 2" xfId="3489"/>
    <cellStyle name="Normal 14 3 2 4 2 2 2 2" xfId="6369"/>
    <cellStyle name="Normal 14 3 2 4 2 2 2 2 2" xfId="12129"/>
    <cellStyle name="Normal 14 3 2 4 2 2 2 2 2 2" xfId="29409"/>
    <cellStyle name="Normal 14 3 2 4 2 2 2 2 3" xfId="17889"/>
    <cellStyle name="Normal 14 3 2 4 2 2 2 2 3 2" xfId="35169"/>
    <cellStyle name="Normal 14 3 2 4 2 2 2 2 4" xfId="23649"/>
    <cellStyle name="Normal 14 3 2 4 2 2 2 3" xfId="9249"/>
    <cellStyle name="Normal 14 3 2 4 2 2 2 3 2" xfId="26529"/>
    <cellStyle name="Normal 14 3 2 4 2 2 2 4" xfId="15009"/>
    <cellStyle name="Normal 14 3 2 4 2 2 2 4 2" xfId="32289"/>
    <cellStyle name="Normal 14 3 2 4 2 2 2 5" xfId="20769"/>
    <cellStyle name="Normal 14 3 2 4 2 2 3" xfId="4929"/>
    <cellStyle name="Normal 14 3 2 4 2 2 3 2" xfId="10689"/>
    <cellStyle name="Normal 14 3 2 4 2 2 3 2 2" xfId="27969"/>
    <cellStyle name="Normal 14 3 2 4 2 2 3 3" xfId="16449"/>
    <cellStyle name="Normal 14 3 2 4 2 2 3 3 2" xfId="33729"/>
    <cellStyle name="Normal 14 3 2 4 2 2 3 4" xfId="22209"/>
    <cellStyle name="Normal 14 3 2 4 2 2 4" xfId="7809"/>
    <cellStyle name="Normal 14 3 2 4 2 2 4 2" xfId="25089"/>
    <cellStyle name="Normal 14 3 2 4 2 2 5" xfId="13569"/>
    <cellStyle name="Normal 14 3 2 4 2 2 5 2" xfId="30849"/>
    <cellStyle name="Normal 14 3 2 4 2 2 6" xfId="19329"/>
    <cellStyle name="Normal 14 3 2 4 2 3" xfId="2769"/>
    <cellStyle name="Normal 14 3 2 4 2 3 2" xfId="5649"/>
    <cellStyle name="Normal 14 3 2 4 2 3 2 2" xfId="11409"/>
    <cellStyle name="Normal 14 3 2 4 2 3 2 2 2" xfId="28689"/>
    <cellStyle name="Normal 14 3 2 4 2 3 2 3" xfId="17169"/>
    <cellStyle name="Normal 14 3 2 4 2 3 2 3 2" xfId="34449"/>
    <cellStyle name="Normal 14 3 2 4 2 3 2 4" xfId="22929"/>
    <cellStyle name="Normal 14 3 2 4 2 3 3" xfId="8529"/>
    <cellStyle name="Normal 14 3 2 4 2 3 3 2" xfId="25809"/>
    <cellStyle name="Normal 14 3 2 4 2 3 4" xfId="14289"/>
    <cellStyle name="Normal 14 3 2 4 2 3 4 2" xfId="31569"/>
    <cellStyle name="Normal 14 3 2 4 2 3 5" xfId="20049"/>
    <cellStyle name="Normal 14 3 2 4 2 4" xfId="4209"/>
    <cellStyle name="Normal 14 3 2 4 2 4 2" xfId="9969"/>
    <cellStyle name="Normal 14 3 2 4 2 4 2 2" xfId="27249"/>
    <cellStyle name="Normal 14 3 2 4 2 4 3" xfId="15729"/>
    <cellStyle name="Normal 14 3 2 4 2 4 3 2" xfId="33009"/>
    <cellStyle name="Normal 14 3 2 4 2 4 4" xfId="21489"/>
    <cellStyle name="Normal 14 3 2 4 2 5" xfId="7089"/>
    <cellStyle name="Normal 14 3 2 4 2 5 2" xfId="24369"/>
    <cellStyle name="Normal 14 3 2 4 2 6" xfId="12849"/>
    <cellStyle name="Normal 14 3 2 4 2 6 2" xfId="30129"/>
    <cellStyle name="Normal 14 3 2 4 2 7" xfId="18609"/>
    <cellStyle name="Normal 14 3 2 4 3" xfId="1569"/>
    <cellStyle name="Normal 14 3 2 4 3 2" xfId="2289"/>
    <cellStyle name="Normal 14 3 2 4 3 2 2" xfId="3729"/>
    <cellStyle name="Normal 14 3 2 4 3 2 2 2" xfId="6609"/>
    <cellStyle name="Normal 14 3 2 4 3 2 2 2 2" xfId="12369"/>
    <cellStyle name="Normal 14 3 2 4 3 2 2 2 2 2" xfId="29649"/>
    <cellStyle name="Normal 14 3 2 4 3 2 2 2 3" xfId="18129"/>
    <cellStyle name="Normal 14 3 2 4 3 2 2 2 3 2" xfId="35409"/>
    <cellStyle name="Normal 14 3 2 4 3 2 2 2 4" xfId="23889"/>
    <cellStyle name="Normal 14 3 2 4 3 2 2 3" xfId="9489"/>
    <cellStyle name="Normal 14 3 2 4 3 2 2 3 2" xfId="26769"/>
    <cellStyle name="Normal 14 3 2 4 3 2 2 4" xfId="15249"/>
    <cellStyle name="Normal 14 3 2 4 3 2 2 4 2" xfId="32529"/>
    <cellStyle name="Normal 14 3 2 4 3 2 2 5" xfId="21009"/>
    <cellStyle name="Normal 14 3 2 4 3 2 3" xfId="5169"/>
    <cellStyle name="Normal 14 3 2 4 3 2 3 2" xfId="10929"/>
    <cellStyle name="Normal 14 3 2 4 3 2 3 2 2" xfId="28209"/>
    <cellStyle name="Normal 14 3 2 4 3 2 3 3" xfId="16689"/>
    <cellStyle name="Normal 14 3 2 4 3 2 3 3 2" xfId="33969"/>
    <cellStyle name="Normal 14 3 2 4 3 2 3 4" xfId="22449"/>
    <cellStyle name="Normal 14 3 2 4 3 2 4" xfId="8049"/>
    <cellStyle name="Normal 14 3 2 4 3 2 4 2" xfId="25329"/>
    <cellStyle name="Normal 14 3 2 4 3 2 5" xfId="13809"/>
    <cellStyle name="Normal 14 3 2 4 3 2 5 2" xfId="31089"/>
    <cellStyle name="Normal 14 3 2 4 3 2 6" xfId="19569"/>
    <cellStyle name="Normal 14 3 2 4 3 3" xfId="3009"/>
    <cellStyle name="Normal 14 3 2 4 3 3 2" xfId="5889"/>
    <cellStyle name="Normal 14 3 2 4 3 3 2 2" xfId="11649"/>
    <cellStyle name="Normal 14 3 2 4 3 3 2 2 2" xfId="28929"/>
    <cellStyle name="Normal 14 3 2 4 3 3 2 3" xfId="17409"/>
    <cellStyle name="Normal 14 3 2 4 3 3 2 3 2" xfId="34689"/>
    <cellStyle name="Normal 14 3 2 4 3 3 2 4" xfId="23169"/>
    <cellStyle name="Normal 14 3 2 4 3 3 3" xfId="8769"/>
    <cellStyle name="Normal 14 3 2 4 3 3 3 2" xfId="26049"/>
    <cellStyle name="Normal 14 3 2 4 3 3 4" xfId="14529"/>
    <cellStyle name="Normal 14 3 2 4 3 3 4 2" xfId="31809"/>
    <cellStyle name="Normal 14 3 2 4 3 3 5" xfId="20289"/>
    <cellStyle name="Normal 14 3 2 4 3 4" xfId="4449"/>
    <cellStyle name="Normal 14 3 2 4 3 4 2" xfId="10209"/>
    <cellStyle name="Normal 14 3 2 4 3 4 2 2" xfId="27489"/>
    <cellStyle name="Normal 14 3 2 4 3 4 3" xfId="15969"/>
    <cellStyle name="Normal 14 3 2 4 3 4 3 2" xfId="33249"/>
    <cellStyle name="Normal 14 3 2 4 3 4 4" xfId="21729"/>
    <cellStyle name="Normal 14 3 2 4 3 5" xfId="7329"/>
    <cellStyle name="Normal 14 3 2 4 3 5 2" xfId="24609"/>
    <cellStyle name="Normal 14 3 2 4 3 6" xfId="13089"/>
    <cellStyle name="Normal 14 3 2 4 3 6 2" xfId="30369"/>
    <cellStyle name="Normal 14 3 2 4 3 7" xfId="18849"/>
    <cellStyle name="Normal 14 3 2 4 4" xfId="1809"/>
    <cellStyle name="Normal 14 3 2 4 4 2" xfId="3249"/>
    <cellStyle name="Normal 14 3 2 4 4 2 2" xfId="6129"/>
    <cellStyle name="Normal 14 3 2 4 4 2 2 2" xfId="11889"/>
    <cellStyle name="Normal 14 3 2 4 4 2 2 2 2" xfId="29169"/>
    <cellStyle name="Normal 14 3 2 4 4 2 2 3" xfId="17649"/>
    <cellStyle name="Normal 14 3 2 4 4 2 2 3 2" xfId="34929"/>
    <cellStyle name="Normal 14 3 2 4 4 2 2 4" xfId="23409"/>
    <cellStyle name="Normal 14 3 2 4 4 2 3" xfId="9009"/>
    <cellStyle name="Normal 14 3 2 4 4 2 3 2" xfId="26289"/>
    <cellStyle name="Normal 14 3 2 4 4 2 4" xfId="14769"/>
    <cellStyle name="Normal 14 3 2 4 4 2 4 2" xfId="32049"/>
    <cellStyle name="Normal 14 3 2 4 4 2 5" xfId="20529"/>
    <cellStyle name="Normal 14 3 2 4 4 3" xfId="4689"/>
    <cellStyle name="Normal 14 3 2 4 4 3 2" xfId="10449"/>
    <cellStyle name="Normal 14 3 2 4 4 3 2 2" xfId="27729"/>
    <cellStyle name="Normal 14 3 2 4 4 3 3" xfId="16209"/>
    <cellStyle name="Normal 14 3 2 4 4 3 3 2" xfId="33489"/>
    <cellStyle name="Normal 14 3 2 4 4 3 4" xfId="21969"/>
    <cellStyle name="Normal 14 3 2 4 4 4" xfId="7569"/>
    <cellStyle name="Normal 14 3 2 4 4 4 2" xfId="24849"/>
    <cellStyle name="Normal 14 3 2 4 4 5" xfId="13329"/>
    <cellStyle name="Normal 14 3 2 4 4 5 2" xfId="30609"/>
    <cellStyle name="Normal 14 3 2 4 4 6" xfId="19089"/>
    <cellStyle name="Normal 14 3 2 4 5" xfId="2529"/>
    <cellStyle name="Normal 14 3 2 4 5 2" xfId="5409"/>
    <cellStyle name="Normal 14 3 2 4 5 2 2" xfId="11169"/>
    <cellStyle name="Normal 14 3 2 4 5 2 2 2" xfId="28449"/>
    <cellStyle name="Normal 14 3 2 4 5 2 3" xfId="16929"/>
    <cellStyle name="Normal 14 3 2 4 5 2 3 2" xfId="34209"/>
    <cellStyle name="Normal 14 3 2 4 5 2 4" xfId="22689"/>
    <cellStyle name="Normal 14 3 2 4 5 3" xfId="8289"/>
    <cellStyle name="Normal 14 3 2 4 5 3 2" xfId="25569"/>
    <cellStyle name="Normal 14 3 2 4 5 4" xfId="14049"/>
    <cellStyle name="Normal 14 3 2 4 5 4 2" xfId="31329"/>
    <cellStyle name="Normal 14 3 2 4 5 5" xfId="19809"/>
    <cellStyle name="Normal 14 3 2 4 6" xfId="3969"/>
    <cellStyle name="Normal 14 3 2 4 6 2" xfId="9729"/>
    <cellStyle name="Normal 14 3 2 4 6 2 2" xfId="27009"/>
    <cellStyle name="Normal 14 3 2 4 6 3" xfId="15489"/>
    <cellStyle name="Normal 14 3 2 4 6 3 2" xfId="32769"/>
    <cellStyle name="Normal 14 3 2 4 6 4" xfId="21249"/>
    <cellStyle name="Normal 14 3 2 4 7" xfId="6849"/>
    <cellStyle name="Normal 14 3 2 4 7 2" xfId="24129"/>
    <cellStyle name="Normal 14 3 2 4 8" xfId="12609"/>
    <cellStyle name="Normal 14 3 2 4 8 2" xfId="29889"/>
    <cellStyle name="Normal 14 3 2 4 9" xfId="18369"/>
    <cellStyle name="Normal 14 3 2 5" xfId="1209"/>
    <cellStyle name="Normal 14 3 2 5 2" xfId="1929"/>
    <cellStyle name="Normal 14 3 2 5 2 2" xfId="3369"/>
    <cellStyle name="Normal 14 3 2 5 2 2 2" xfId="6249"/>
    <cellStyle name="Normal 14 3 2 5 2 2 2 2" xfId="12009"/>
    <cellStyle name="Normal 14 3 2 5 2 2 2 2 2" xfId="29289"/>
    <cellStyle name="Normal 14 3 2 5 2 2 2 3" xfId="17769"/>
    <cellStyle name="Normal 14 3 2 5 2 2 2 3 2" xfId="35049"/>
    <cellStyle name="Normal 14 3 2 5 2 2 2 4" xfId="23529"/>
    <cellStyle name="Normal 14 3 2 5 2 2 3" xfId="9129"/>
    <cellStyle name="Normal 14 3 2 5 2 2 3 2" xfId="26409"/>
    <cellStyle name="Normal 14 3 2 5 2 2 4" xfId="14889"/>
    <cellStyle name="Normal 14 3 2 5 2 2 4 2" xfId="32169"/>
    <cellStyle name="Normal 14 3 2 5 2 2 5" xfId="20649"/>
    <cellStyle name="Normal 14 3 2 5 2 3" xfId="4809"/>
    <cellStyle name="Normal 14 3 2 5 2 3 2" xfId="10569"/>
    <cellStyle name="Normal 14 3 2 5 2 3 2 2" xfId="27849"/>
    <cellStyle name="Normal 14 3 2 5 2 3 3" xfId="16329"/>
    <cellStyle name="Normal 14 3 2 5 2 3 3 2" xfId="33609"/>
    <cellStyle name="Normal 14 3 2 5 2 3 4" xfId="22089"/>
    <cellStyle name="Normal 14 3 2 5 2 4" xfId="7689"/>
    <cellStyle name="Normal 14 3 2 5 2 4 2" xfId="24969"/>
    <cellStyle name="Normal 14 3 2 5 2 5" xfId="13449"/>
    <cellStyle name="Normal 14 3 2 5 2 5 2" xfId="30729"/>
    <cellStyle name="Normal 14 3 2 5 2 6" xfId="19209"/>
    <cellStyle name="Normal 14 3 2 5 3" xfId="2649"/>
    <cellStyle name="Normal 14 3 2 5 3 2" xfId="5529"/>
    <cellStyle name="Normal 14 3 2 5 3 2 2" xfId="11289"/>
    <cellStyle name="Normal 14 3 2 5 3 2 2 2" xfId="28569"/>
    <cellStyle name="Normal 14 3 2 5 3 2 3" xfId="17049"/>
    <cellStyle name="Normal 14 3 2 5 3 2 3 2" xfId="34329"/>
    <cellStyle name="Normal 14 3 2 5 3 2 4" xfId="22809"/>
    <cellStyle name="Normal 14 3 2 5 3 3" xfId="8409"/>
    <cellStyle name="Normal 14 3 2 5 3 3 2" xfId="25689"/>
    <cellStyle name="Normal 14 3 2 5 3 4" xfId="14169"/>
    <cellStyle name="Normal 14 3 2 5 3 4 2" xfId="31449"/>
    <cellStyle name="Normal 14 3 2 5 3 5" xfId="19929"/>
    <cellStyle name="Normal 14 3 2 5 4" xfId="4089"/>
    <cellStyle name="Normal 14 3 2 5 4 2" xfId="9849"/>
    <cellStyle name="Normal 14 3 2 5 4 2 2" xfId="27129"/>
    <cellStyle name="Normal 14 3 2 5 4 3" xfId="15609"/>
    <cellStyle name="Normal 14 3 2 5 4 3 2" xfId="32889"/>
    <cellStyle name="Normal 14 3 2 5 4 4" xfId="21369"/>
    <cellStyle name="Normal 14 3 2 5 5" xfId="6969"/>
    <cellStyle name="Normal 14 3 2 5 5 2" xfId="24249"/>
    <cellStyle name="Normal 14 3 2 5 6" xfId="12729"/>
    <cellStyle name="Normal 14 3 2 5 6 2" xfId="30009"/>
    <cellStyle name="Normal 14 3 2 5 7" xfId="18489"/>
    <cellStyle name="Normal 14 3 2 6" xfId="1449"/>
    <cellStyle name="Normal 14 3 2 6 2" xfId="2169"/>
    <cellStyle name="Normal 14 3 2 6 2 2" xfId="3609"/>
    <cellStyle name="Normal 14 3 2 6 2 2 2" xfId="6489"/>
    <cellStyle name="Normal 14 3 2 6 2 2 2 2" xfId="12249"/>
    <cellStyle name="Normal 14 3 2 6 2 2 2 2 2" xfId="29529"/>
    <cellStyle name="Normal 14 3 2 6 2 2 2 3" xfId="18009"/>
    <cellStyle name="Normal 14 3 2 6 2 2 2 3 2" xfId="35289"/>
    <cellStyle name="Normal 14 3 2 6 2 2 2 4" xfId="23769"/>
    <cellStyle name="Normal 14 3 2 6 2 2 3" xfId="9369"/>
    <cellStyle name="Normal 14 3 2 6 2 2 3 2" xfId="26649"/>
    <cellStyle name="Normal 14 3 2 6 2 2 4" xfId="15129"/>
    <cellStyle name="Normal 14 3 2 6 2 2 4 2" xfId="32409"/>
    <cellStyle name="Normal 14 3 2 6 2 2 5" xfId="20889"/>
    <cellStyle name="Normal 14 3 2 6 2 3" xfId="5049"/>
    <cellStyle name="Normal 14 3 2 6 2 3 2" xfId="10809"/>
    <cellStyle name="Normal 14 3 2 6 2 3 2 2" xfId="28089"/>
    <cellStyle name="Normal 14 3 2 6 2 3 3" xfId="16569"/>
    <cellStyle name="Normal 14 3 2 6 2 3 3 2" xfId="33849"/>
    <cellStyle name="Normal 14 3 2 6 2 3 4" xfId="22329"/>
    <cellStyle name="Normal 14 3 2 6 2 4" xfId="7929"/>
    <cellStyle name="Normal 14 3 2 6 2 4 2" xfId="25209"/>
    <cellStyle name="Normal 14 3 2 6 2 5" xfId="13689"/>
    <cellStyle name="Normal 14 3 2 6 2 5 2" xfId="30969"/>
    <cellStyle name="Normal 14 3 2 6 2 6" xfId="19449"/>
    <cellStyle name="Normal 14 3 2 6 3" xfId="2889"/>
    <cellStyle name="Normal 14 3 2 6 3 2" xfId="5769"/>
    <cellStyle name="Normal 14 3 2 6 3 2 2" xfId="11529"/>
    <cellStyle name="Normal 14 3 2 6 3 2 2 2" xfId="28809"/>
    <cellStyle name="Normal 14 3 2 6 3 2 3" xfId="17289"/>
    <cellStyle name="Normal 14 3 2 6 3 2 3 2" xfId="34569"/>
    <cellStyle name="Normal 14 3 2 6 3 2 4" xfId="23049"/>
    <cellStyle name="Normal 14 3 2 6 3 3" xfId="8649"/>
    <cellStyle name="Normal 14 3 2 6 3 3 2" xfId="25929"/>
    <cellStyle name="Normal 14 3 2 6 3 4" xfId="14409"/>
    <cellStyle name="Normal 14 3 2 6 3 4 2" xfId="31689"/>
    <cellStyle name="Normal 14 3 2 6 3 5" xfId="20169"/>
    <cellStyle name="Normal 14 3 2 6 4" xfId="4329"/>
    <cellStyle name="Normal 14 3 2 6 4 2" xfId="10089"/>
    <cellStyle name="Normal 14 3 2 6 4 2 2" xfId="27369"/>
    <cellStyle name="Normal 14 3 2 6 4 3" xfId="15849"/>
    <cellStyle name="Normal 14 3 2 6 4 3 2" xfId="33129"/>
    <cellStyle name="Normal 14 3 2 6 4 4" xfId="21609"/>
    <cellStyle name="Normal 14 3 2 6 5" xfId="7209"/>
    <cellStyle name="Normal 14 3 2 6 5 2" xfId="24489"/>
    <cellStyle name="Normal 14 3 2 6 6" xfId="12969"/>
    <cellStyle name="Normal 14 3 2 6 6 2" xfId="30249"/>
    <cellStyle name="Normal 14 3 2 6 7" xfId="18729"/>
    <cellStyle name="Normal 14 3 2 7" xfId="1689"/>
    <cellStyle name="Normal 14 3 2 7 2" xfId="3129"/>
    <cellStyle name="Normal 14 3 2 7 2 2" xfId="6009"/>
    <cellStyle name="Normal 14 3 2 7 2 2 2" xfId="11769"/>
    <cellStyle name="Normal 14 3 2 7 2 2 2 2" xfId="29049"/>
    <cellStyle name="Normal 14 3 2 7 2 2 3" xfId="17529"/>
    <cellStyle name="Normal 14 3 2 7 2 2 3 2" xfId="34809"/>
    <cellStyle name="Normal 14 3 2 7 2 2 4" xfId="23289"/>
    <cellStyle name="Normal 14 3 2 7 2 3" xfId="8889"/>
    <cellStyle name="Normal 14 3 2 7 2 3 2" xfId="26169"/>
    <cellStyle name="Normal 14 3 2 7 2 4" xfId="14649"/>
    <cellStyle name="Normal 14 3 2 7 2 4 2" xfId="31929"/>
    <cellStyle name="Normal 14 3 2 7 2 5" xfId="20409"/>
    <cellStyle name="Normal 14 3 2 7 3" xfId="4569"/>
    <cellStyle name="Normal 14 3 2 7 3 2" xfId="10329"/>
    <cellStyle name="Normal 14 3 2 7 3 2 2" xfId="27609"/>
    <cellStyle name="Normal 14 3 2 7 3 3" xfId="16089"/>
    <cellStyle name="Normal 14 3 2 7 3 3 2" xfId="33369"/>
    <cellStyle name="Normal 14 3 2 7 3 4" xfId="21849"/>
    <cellStyle name="Normal 14 3 2 7 4" xfId="7449"/>
    <cellStyle name="Normal 14 3 2 7 4 2" xfId="24729"/>
    <cellStyle name="Normal 14 3 2 7 5" xfId="13209"/>
    <cellStyle name="Normal 14 3 2 7 5 2" xfId="30489"/>
    <cellStyle name="Normal 14 3 2 7 6" xfId="18969"/>
    <cellStyle name="Normal 14 3 2 8" xfId="2409"/>
    <cellStyle name="Normal 14 3 2 8 2" xfId="5289"/>
    <cellStyle name="Normal 14 3 2 8 2 2" xfId="11049"/>
    <cellStyle name="Normal 14 3 2 8 2 2 2" xfId="28329"/>
    <cellStyle name="Normal 14 3 2 8 2 3" xfId="16809"/>
    <cellStyle name="Normal 14 3 2 8 2 3 2" xfId="34089"/>
    <cellStyle name="Normal 14 3 2 8 2 4" xfId="22569"/>
    <cellStyle name="Normal 14 3 2 8 3" xfId="8169"/>
    <cellStyle name="Normal 14 3 2 8 3 2" xfId="25449"/>
    <cellStyle name="Normal 14 3 2 8 4" xfId="13929"/>
    <cellStyle name="Normal 14 3 2 8 4 2" xfId="31209"/>
    <cellStyle name="Normal 14 3 2 8 5" xfId="19689"/>
    <cellStyle name="Normal 14 3 2 9" xfId="3849"/>
    <cellStyle name="Normal 14 3 2 9 2" xfId="9609"/>
    <cellStyle name="Normal 14 3 2 9 2 2" xfId="26889"/>
    <cellStyle name="Normal 14 3 2 9 3" xfId="15369"/>
    <cellStyle name="Normal 14 3 2 9 3 2" xfId="32649"/>
    <cellStyle name="Normal 14 3 2 9 4" xfId="21129"/>
    <cellStyle name="Normal 14 3 3" xfId="1029"/>
    <cellStyle name="Normal 14 3 3 10" xfId="18309"/>
    <cellStyle name="Normal 14 3 3 2" xfId="1149"/>
    <cellStyle name="Normal 14 3 3 2 2" xfId="1389"/>
    <cellStyle name="Normal 14 3 3 2 2 2" xfId="2109"/>
    <cellStyle name="Normal 14 3 3 2 2 2 2" xfId="3549"/>
    <cellStyle name="Normal 14 3 3 2 2 2 2 2" xfId="6429"/>
    <cellStyle name="Normal 14 3 3 2 2 2 2 2 2" xfId="12189"/>
    <cellStyle name="Normal 14 3 3 2 2 2 2 2 2 2" xfId="29469"/>
    <cellStyle name="Normal 14 3 3 2 2 2 2 2 3" xfId="17949"/>
    <cellStyle name="Normal 14 3 3 2 2 2 2 2 3 2" xfId="35229"/>
    <cellStyle name="Normal 14 3 3 2 2 2 2 2 4" xfId="23709"/>
    <cellStyle name="Normal 14 3 3 2 2 2 2 3" xfId="9309"/>
    <cellStyle name="Normal 14 3 3 2 2 2 2 3 2" xfId="26589"/>
    <cellStyle name="Normal 14 3 3 2 2 2 2 4" xfId="15069"/>
    <cellStyle name="Normal 14 3 3 2 2 2 2 4 2" xfId="32349"/>
    <cellStyle name="Normal 14 3 3 2 2 2 2 5" xfId="20829"/>
    <cellStyle name="Normal 14 3 3 2 2 2 3" xfId="4989"/>
    <cellStyle name="Normal 14 3 3 2 2 2 3 2" xfId="10749"/>
    <cellStyle name="Normal 14 3 3 2 2 2 3 2 2" xfId="28029"/>
    <cellStyle name="Normal 14 3 3 2 2 2 3 3" xfId="16509"/>
    <cellStyle name="Normal 14 3 3 2 2 2 3 3 2" xfId="33789"/>
    <cellStyle name="Normal 14 3 3 2 2 2 3 4" xfId="22269"/>
    <cellStyle name="Normal 14 3 3 2 2 2 4" xfId="7869"/>
    <cellStyle name="Normal 14 3 3 2 2 2 4 2" xfId="25149"/>
    <cellStyle name="Normal 14 3 3 2 2 2 5" xfId="13629"/>
    <cellStyle name="Normal 14 3 3 2 2 2 5 2" xfId="30909"/>
    <cellStyle name="Normal 14 3 3 2 2 2 6" xfId="19389"/>
    <cellStyle name="Normal 14 3 3 2 2 3" xfId="2829"/>
    <cellStyle name="Normal 14 3 3 2 2 3 2" xfId="5709"/>
    <cellStyle name="Normal 14 3 3 2 2 3 2 2" xfId="11469"/>
    <cellStyle name="Normal 14 3 3 2 2 3 2 2 2" xfId="28749"/>
    <cellStyle name="Normal 14 3 3 2 2 3 2 3" xfId="17229"/>
    <cellStyle name="Normal 14 3 3 2 2 3 2 3 2" xfId="34509"/>
    <cellStyle name="Normal 14 3 3 2 2 3 2 4" xfId="22989"/>
    <cellStyle name="Normal 14 3 3 2 2 3 3" xfId="8589"/>
    <cellStyle name="Normal 14 3 3 2 2 3 3 2" xfId="25869"/>
    <cellStyle name="Normal 14 3 3 2 2 3 4" xfId="14349"/>
    <cellStyle name="Normal 14 3 3 2 2 3 4 2" xfId="31629"/>
    <cellStyle name="Normal 14 3 3 2 2 3 5" xfId="20109"/>
    <cellStyle name="Normal 14 3 3 2 2 4" xfId="4269"/>
    <cellStyle name="Normal 14 3 3 2 2 4 2" xfId="10029"/>
    <cellStyle name="Normal 14 3 3 2 2 4 2 2" xfId="27309"/>
    <cellStyle name="Normal 14 3 3 2 2 4 3" xfId="15789"/>
    <cellStyle name="Normal 14 3 3 2 2 4 3 2" xfId="33069"/>
    <cellStyle name="Normal 14 3 3 2 2 4 4" xfId="21549"/>
    <cellStyle name="Normal 14 3 3 2 2 5" xfId="7149"/>
    <cellStyle name="Normal 14 3 3 2 2 5 2" xfId="24429"/>
    <cellStyle name="Normal 14 3 3 2 2 6" xfId="12909"/>
    <cellStyle name="Normal 14 3 3 2 2 6 2" xfId="30189"/>
    <cellStyle name="Normal 14 3 3 2 2 7" xfId="18669"/>
    <cellStyle name="Normal 14 3 3 2 3" xfId="1629"/>
    <cellStyle name="Normal 14 3 3 2 3 2" xfId="2349"/>
    <cellStyle name="Normal 14 3 3 2 3 2 2" xfId="3789"/>
    <cellStyle name="Normal 14 3 3 2 3 2 2 2" xfId="6669"/>
    <cellStyle name="Normal 14 3 3 2 3 2 2 2 2" xfId="12429"/>
    <cellStyle name="Normal 14 3 3 2 3 2 2 2 2 2" xfId="29709"/>
    <cellStyle name="Normal 14 3 3 2 3 2 2 2 3" xfId="18189"/>
    <cellStyle name="Normal 14 3 3 2 3 2 2 2 3 2" xfId="35469"/>
    <cellStyle name="Normal 14 3 3 2 3 2 2 2 4" xfId="23949"/>
    <cellStyle name="Normal 14 3 3 2 3 2 2 3" xfId="9549"/>
    <cellStyle name="Normal 14 3 3 2 3 2 2 3 2" xfId="26829"/>
    <cellStyle name="Normal 14 3 3 2 3 2 2 4" xfId="15309"/>
    <cellStyle name="Normal 14 3 3 2 3 2 2 4 2" xfId="32589"/>
    <cellStyle name="Normal 14 3 3 2 3 2 2 5" xfId="21069"/>
    <cellStyle name="Normal 14 3 3 2 3 2 3" xfId="5229"/>
    <cellStyle name="Normal 14 3 3 2 3 2 3 2" xfId="10989"/>
    <cellStyle name="Normal 14 3 3 2 3 2 3 2 2" xfId="28269"/>
    <cellStyle name="Normal 14 3 3 2 3 2 3 3" xfId="16749"/>
    <cellStyle name="Normal 14 3 3 2 3 2 3 3 2" xfId="34029"/>
    <cellStyle name="Normal 14 3 3 2 3 2 3 4" xfId="22509"/>
    <cellStyle name="Normal 14 3 3 2 3 2 4" xfId="8109"/>
    <cellStyle name="Normal 14 3 3 2 3 2 4 2" xfId="25389"/>
    <cellStyle name="Normal 14 3 3 2 3 2 5" xfId="13869"/>
    <cellStyle name="Normal 14 3 3 2 3 2 5 2" xfId="31149"/>
    <cellStyle name="Normal 14 3 3 2 3 2 6" xfId="19629"/>
    <cellStyle name="Normal 14 3 3 2 3 3" xfId="3069"/>
    <cellStyle name="Normal 14 3 3 2 3 3 2" xfId="5949"/>
    <cellStyle name="Normal 14 3 3 2 3 3 2 2" xfId="11709"/>
    <cellStyle name="Normal 14 3 3 2 3 3 2 2 2" xfId="28989"/>
    <cellStyle name="Normal 14 3 3 2 3 3 2 3" xfId="17469"/>
    <cellStyle name="Normal 14 3 3 2 3 3 2 3 2" xfId="34749"/>
    <cellStyle name="Normal 14 3 3 2 3 3 2 4" xfId="23229"/>
    <cellStyle name="Normal 14 3 3 2 3 3 3" xfId="8829"/>
    <cellStyle name="Normal 14 3 3 2 3 3 3 2" xfId="26109"/>
    <cellStyle name="Normal 14 3 3 2 3 3 4" xfId="14589"/>
    <cellStyle name="Normal 14 3 3 2 3 3 4 2" xfId="31869"/>
    <cellStyle name="Normal 14 3 3 2 3 3 5" xfId="20349"/>
    <cellStyle name="Normal 14 3 3 2 3 4" xfId="4509"/>
    <cellStyle name="Normal 14 3 3 2 3 4 2" xfId="10269"/>
    <cellStyle name="Normal 14 3 3 2 3 4 2 2" xfId="27549"/>
    <cellStyle name="Normal 14 3 3 2 3 4 3" xfId="16029"/>
    <cellStyle name="Normal 14 3 3 2 3 4 3 2" xfId="33309"/>
    <cellStyle name="Normal 14 3 3 2 3 4 4" xfId="21789"/>
    <cellStyle name="Normal 14 3 3 2 3 5" xfId="7389"/>
    <cellStyle name="Normal 14 3 3 2 3 5 2" xfId="24669"/>
    <cellStyle name="Normal 14 3 3 2 3 6" xfId="13149"/>
    <cellStyle name="Normal 14 3 3 2 3 6 2" xfId="30429"/>
    <cellStyle name="Normal 14 3 3 2 3 7" xfId="18909"/>
    <cellStyle name="Normal 14 3 3 2 4" xfId="1869"/>
    <cellStyle name="Normal 14 3 3 2 4 2" xfId="3309"/>
    <cellStyle name="Normal 14 3 3 2 4 2 2" xfId="6189"/>
    <cellStyle name="Normal 14 3 3 2 4 2 2 2" xfId="11949"/>
    <cellStyle name="Normal 14 3 3 2 4 2 2 2 2" xfId="29229"/>
    <cellStyle name="Normal 14 3 3 2 4 2 2 3" xfId="17709"/>
    <cellStyle name="Normal 14 3 3 2 4 2 2 3 2" xfId="34989"/>
    <cellStyle name="Normal 14 3 3 2 4 2 2 4" xfId="23469"/>
    <cellStyle name="Normal 14 3 3 2 4 2 3" xfId="9069"/>
    <cellStyle name="Normal 14 3 3 2 4 2 3 2" xfId="26349"/>
    <cellStyle name="Normal 14 3 3 2 4 2 4" xfId="14829"/>
    <cellStyle name="Normal 14 3 3 2 4 2 4 2" xfId="32109"/>
    <cellStyle name="Normal 14 3 3 2 4 2 5" xfId="20589"/>
    <cellStyle name="Normal 14 3 3 2 4 3" xfId="4749"/>
    <cellStyle name="Normal 14 3 3 2 4 3 2" xfId="10509"/>
    <cellStyle name="Normal 14 3 3 2 4 3 2 2" xfId="27789"/>
    <cellStyle name="Normal 14 3 3 2 4 3 3" xfId="16269"/>
    <cellStyle name="Normal 14 3 3 2 4 3 3 2" xfId="33549"/>
    <cellStyle name="Normal 14 3 3 2 4 3 4" xfId="22029"/>
    <cellStyle name="Normal 14 3 3 2 4 4" xfId="7629"/>
    <cellStyle name="Normal 14 3 3 2 4 4 2" xfId="24909"/>
    <cellStyle name="Normal 14 3 3 2 4 5" xfId="13389"/>
    <cellStyle name="Normal 14 3 3 2 4 5 2" xfId="30669"/>
    <cellStyle name="Normal 14 3 3 2 4 6" xfId="19149"/>
    <cellStyle name="Normal 14 3 3 2 5" xfId="2589"/>
    <cellStyle name="Normal 14 3 3 2 5 2" xfId="5469"/>
    <cellStyle name="Normal 14 3 3 2 5 2 2" xfId="11229"/>
    <cellStyle name="Normal 14 3 3 2 5 2 2 2" xfId="28509"/>
    <cellStyle name="Normal 14 3 3 2 5 2 3" xfId="16989"/>
    <cellStyle name="Normal 14 3 3 2 5 2 3 2" xfId="34269"/>
    <cellStyle name="Normal 14 3 3 2 5 2 4" xfId="22749"/>
    <cellStyle name="Normal 14 3 3 2 5 3" xfId="8349"/>
    <cellStyle name="Normal 14 3 3 2 5 3 2" xfId="25629"/>
    <cellStyle name="Normal 14 3 3 2 5 4" xfId="14109"/>
    <cellStyle name="Normal 14 3 3 2 5 4 2" xfId="31389"/>
    <cellStyle name="Normal 14 3 3 2 5 5" xfId="19869"/>
    <cellStyle name="Normal 14 3 3 2 6" xfId="4029"/>
    <cellStyle name="Normal 14 3 3 2 6 2" xfId="9789"/>
    <cellStyle name="Normal 14 3 3 2 6 2 2" xfId="27069"/>
    <cellStyle name="Normal 14 3 3 2 6 3" xfId="15549"/>
    <cellStyle name="Normal 14 3 3 2 6 3 2" xfId="32829"/>
    <cellStyle name="Normal 14 3 3 2 6 4" xfId="21309"/>
    <cellStyle name="Normal 14 3 3 2 7" xfId="6909"/>
    <cellStyle name="Normal 14 3 3 2 7 2" xfId="24189"/>
    <cellStyle name="Normal 14 3 3 2 8" xfId="12669"/>
    <cellStyle name="Normal 14 3 3 2 8 2" xfId="29949"/>
    <cellStyle name="Normal 14 3 3 2 9" xfId="18429"/>
    <cellStyle name="Normal 14 3 3 3" xfId="1269"/>
    <cellStyle name="Normal 14 3 3 3 2" xfId="1989"/>
    <cellStyle name="Normal 14 3 3 3 2 2" xfId="3429"/>
    <cellStyle name="Normal 14 3 3 3 2 2 2" xfId="6309"/>
    <cellStyle name="Normal 14 3 3 3 2 2 2 2" xfId="12069"/>
    <cellStyle name="Normal 14 3 3 3 2 2 2 2 2" xfId="29349"/>
    <cellStyle name="Normal 14 3 3 3 2 2 2 3" xfId="17829"/>
    <cellStyle name="Normal 14 3 3 3 2 2 2 3 2" xfId="35109"/>
    <cellStyle name="Normal 14 3 3 3 2 2 2 4" xfId="23589"/>
    <cellStyle name="Normal 14 3 3 3 2 2 3" xfId="9189"/>
    <cellStyle name="Normal 14 3 3 3 2 2 3 2" xfId="26469"/>
    <cellStyle name="Normal 14 3 3 3 2 2 4" xfId="14949"/>
    <cellStyle name="Normal 14 3 3 3 2 2 4 2" xfId="32229"/>
    <cellStyle name="Normal 14 3 3 3 2 2 5" xfId="20709"/>
    <cellStyle name="Normal 14 3 3 3 2 3" xfId="4869"/>
    <cellStyle name="Normal 14 3 3 3 2 3 2" xfId="10629"/>
    <cellStyle name="Normal 14 3 3 3 2 3 2 2" xfId="27909"/>
    <cellStyle name="Normal 14 3 3 3 2 3 3" xfId="16389"/>
    <cellStyle name="Normal 14 3 3 3 2 3 3 2" xfId="33669"/>
    <cellStyle name="Normal 14 3 3 3 2 3 4" xfId="22149"/>
    <cellStyle name="Normal 14 3 3 3 2 4" xfId="7749"/>
    <cellStyle name="Normal 14 3 3 3 2 4 2" xfId="25029"/>
    <cellStyle name="Normal 14 3 3 3 2 5" xfId="13509"/>
    <cellStyle name="Normal 14 3 3 3 2 5 2" xfId="30789"/>
    <cellStyle name="Normal 14 3 3 3 2 6" xfId="19269"/>
    <cellStyle name="Normal 14 3 3 3 3" xfId="2709"/>
    <cellStyle name="Normal 14 3 3 3 3 2" xfId="5589"/>
    <cellStyle name="Normal 14 3 3 3 3 2 2" xfId="11349"/>
    <cellStyle name="Normal 14 3 3 3 3 2 2 2" xfId="28629"/>
    <cellStyle name="Normal 14 3 3 3 3 2 3" xfId="17109"/>
    <cellStyle name="Normal 14 3 3 3 3 2 3 2" xfId="34389"/>
    <cellStyle name="Normal 14 3 3 3 3 2 4" xfId="22869"/>
    <cellStyle name="Normal 14 3 3 3 3 3" xfId="8469"/>
    <cellStyle name="Normal 14 3 3 3 3 3 2" xfId="25749"/>
    <cellStyle name="Normal 14 3 3 3 3 4" xfId="14229"/>
    <cellStyle name="Normal 14 3 3 3 3 4 2" xfId="31509"/>
    <cellStyle name="Normal 14 3 3 3 3 5" xfId="19989"/>
    <cellStyle name="Normal 14 3 3 3 4" xfId="4149"/>
    <cellStyle name="Normal 14 3 3 3 4 2" xfId="9909"/>
    <cellStyle name="Normal 14 3 3 3 4 2 2" xfId="27189"/>
    <cellStyle name="Normal 14 3 3 3 4 3" xfId="15669"/>
    <cellStyle name="Normal 14 3 3 3 4 3 2" xfId="32949"/>
    <cellStyle name="Normal 14 3 3 3 4 4" xfId="21429"/>
    <cellStyle name="Normal 14 3 3 3 5" xfId="7029"/>
    <cellStyle name="Normal 14 3 3 3 5 2" xfId="24309"/>
    <cellStyle name="Normal 14 3 3 3 6" xfId="12789"/>
    <cellStyle name="Normal 14 3 3 3 6 2" xfId="30069"/>
    <cellStyle name="Normal 14 3 3 3 7" xfId="18549"/>
    <cellStyle name="Normal 14 3 3 4" xfId="1509"/>
    <cellStyle name="Normal 14 3 3 4 2" xfId="2229"/>
    <cellStyle name="Normal 14 3 3 4 2 2" xfId="3669"/>
    <cellStyle name="Normal 14 3 3 4 2 2 2" xfId="6549"/>
    <cellStyle name="Normal 14 3 3 4 2 2 2 2" xfId="12309"/>
    <cellStyle name="Normal 14 3 3 4 2 2 2 2 2" xfId="29589"/>
    <cellStyle name="Normal 14 3 3 4 2 2 2 3" xfId="18069"/>
    <cellStyle name="Normal 14 3 3 4 2 2 2 3 2" xfId="35349"/>
    <cellStyle name="Normal 14 3 3 4 2 2 2 4" xfId="23829"/>
    <cellStyle name="Normal 14 3 3 4 2 2 3" xfId="9429"/>
    <cellStyle name="Normal 14 3 3 4 2 2 3 2" xfId="26709"/>
    <cellStyle name="Normal 14 3 3 4 2 2 4" xfId="15189"/>
    <cellStyle name="Normal 14 3 3 4 2 2 4 2" xfId="32469"/>
    <cellStyle name="Normal 14 3 3 4 2 2 5" xfId="20949"/>
    <cellStyle name="Normal 14 3 3 4 2 3" xfId="5109"/>
    <cellStyle name="Normal 14 3 3 4 2 3 2" xfId="10869"/>
    <cellStyle name="Normal 14 3 3 4 2 3 2 2" xfId="28149"/>
    <cellStyle name="Normal 14 3 3 4 2 3 3" xfId="16629"/>
    <cellStyle name="Normal 14 3 3 4 2 3 3 2" xfId="33909"/>
    <cellStyle name="Normal 14 3 3 4 2 3 4" xfId="22389"/>
    <cellStyle name="Normal 14 3 3 4 2 4" xfId="7989"/>
    <cellStyle name="Normal 14 3 3 4 2 4 2" xfId="25269"/>
    <cellStyle name="Normal 14 3 3 4 2 5" xfId="13749"/>
    <cellStyle name="Normal 14 3 3 4 2 5 2" xfId="31029"/>
    <cellStyle name="Normal 14 3 3 4 2 6" xfId="19509"/>
    <cellStyle name="Normal 14 3 3 4 3" xfId="2949"/>
    <cellStyle name="Normal 14 3 3 4 3 2" xfId="5829"/>
    <cellStyle name="Normal 14 3 3 4 3 2 2" xfId="11589"/>
    <cellStyle name="Normal 14 3 3 4 3 2 2 2" xfId="28869"/>
    <cellStyle name="Normal 14 3 3 4 3 2 3" xfId="17349"/>
    <cellStyle name="Normal 14 3 3 4 3 2 3 2" xfId="34629"/>
    <cellStyle name="Normal 14 3 3 4 3 2 4" xfId="23109"/>
    <cellStyle name="Normal 14 3 3 4 3 3" xfId="8709"/>
    <cellStyle name="Normal 14 3 3 4 3 3 2" xfId="25989"/>
    <cellStyle name="Normal 14 3 3 4 3 4" xfId="14469"/>
    <cellStyle name="Normal 14 3 3 4 3 4 2" xfId="31749"/>
    <cellStyle name="Normal 14 3 3 4 3 5" xfId="20229"/>
    <cellStyle name="Normal 14 3 3 4 4" xfId="4389"/>
    <cellStyle name="Normal 14 3 3 4 4 2" xfId="10149"/>
    <cellStyle name="Normal 14 3 3 4 4 2 2" xfId="27429"/>
    <cellStyle name="Normal 14 3 3 4 4 3" xfId="15909"/>
    <cellStyle name="Normal 14 3 3 4 4 3 2" xfId="33189"/>
    <cellStyle name="Normal 14 3 3 4 4 4" xfId="21669"/>
    <cellStyle name="Normal 14 3 3 4 5" xfId="7269"/>
    <cellStyle name="Normal 14 3 3 4 5 2" xfId="24549"/>
    <cellStyle name="Normal 14 3 3 4 6" xfId="13029"/>
    <cellStyle name="Normal 14 3 3 4 6 2" xfId="30309"/>
    <cellStyle name="Normal 14 3 3 4 7" xfId="18789"/>
    <cellStyle name="Normal 14 3 3 5" xfId="1749"/>
    <cellStyle name="Normal 14 3 3 5 2" xfId="3189"/>
    <cellStyle name="Normal 14 3 3 5 2 2" xfId="6069"/>
    <cellStyle name="Normal 14 3 3 5 2 2 2" xfId="11829"/>
    <cellStyle name="Normal 14 3 3 5 2 2 2 2" xfId="29109"/>
    <cellStyle name="Normal 14 3 3 5 2 2 3" xfId="17589"/>
    <cellStyle name="Normal 14 3 3 5 2 2 3 2" xfId="34869"/>
    <cellStyle name="Normal 14 3 3 5 2 2 4" xfId="23349"/>
    <cellStyle name="Normal 14 3 3 5 2 3" xfId="8949"/>
    <cellStyle name="Normal 14 3 3 5 2 3 2" xfId="26229"/>
    <cellStyle name="Normal 14 3 3 5 2 4" xfId="14709"/>
    <cellStyle name="Normal 14 3 3 5 2 4 2" xfId="31989"/>
    <cellStyle name="Normal 14 3 3 5 2 5" xfId="20469"/>
    <cellStyle name="Normal 14 3 3 5 3" xfId="4629"/>
    <cellStyle name="Normal 14 3 3 5 3 2" xfId="10389"/>
    <cellStyle name="Normal 14 3 3 5 3 2 2" xfId="27669"/>
    <cellStyle name="Normal 14 3 3 5 3 3" xfId="16149"/>
    <cellStyle name="Normal 14 3 3 5 3 3 2" xfId="33429"/>
    <cellStyle name="Normal 14 3 3 5 3 4" xfId="21909"/>
    <cellStyle name="Normal 14 3 3 5 4" xfId="7509"/>
    <cellStyle name="Normal 14 3 3 5 4 2" xfId="24789"/>
    <cellStyle name="Normal 14 3 3 5 5" xfId="13269"/>
    <cellStyle name="Normal 14 3 3 5 5 2" xfId="30549"/>
    <cellStyle name="Normal 14 3 3 5 6" xfId="19029"/>
    <cellStyle name="Normal 14 3 3 6" xfId="2469"/>
    <cellStyle name="Normal 14 3 3 6 2" xfId="5349"/>
    <cellStyle name="Normal 14 3 3 6 2 2" xfId="11109"/>
    <cellStyle name="Normal 14 3 3 6 2 2 2" xfId="28389"/>
    <cellStyle name="Normal 14 3 3 6 2 3" xfId="16869"/>
    <cellStyle name="Normal 14 3 3 6 2 3 2" xfId="34149"/>
    <cellStyle name="Normal 14 3 3 6 2 4" xfId="22629"/>
    <cellStyle name="Normal 14 3 3 6 3" xfId="8229"/>
    <cellStyle name="Normal 14 3 3 6 3 2" xfId="25509"/>
    <cellStyle name="Normal 14 3 3 6 4" xfId="13989"/>
    <cellStyle name="Normal 14 3 3 6 4 2" xfId="31269"/>
    <cellStyle name="Normal 14 3 3 6 5" xfId="19749"/>
    <cellStyle name="Normal 14 3 3 7" xfId="3909"/>
    <cellStyle name="Normal 14 3 3 7 2" xfId="9669"/>
    <cellStyle name="Normal 14 3 3 7 2 2" xfId="26949"/>
    <cellStyle name="Normal 14 3 3 7 3" xfId="15429"/>
    <cellStyle name="Normal 14 3 3 7 3 2" xfId="32709"/>
    <cellStyle name="Normal 14 3 3 7 4" xfId="21189"/>
    <cellStyle name="Normal 14 3 3 8" xfId="6789"/>
    <cellStyle name="Normal 14 3 3 8 2" xfId="24069"/>
    <cellStyle name="Normal 14 3 3 9" xfId="12549"/>
    <cellStyle name="Normal 14 3 3 9 2" xfId="29829"/>
    <cellStyle name="Normal 14 3 4" xfId="989"/>
    <cellStyle name="Normal 14 3 4 10" xfId="18269"/>
    <cellStyle name="Normal 14 3 4 2" xfId="1109"/>
    <cellStyle name="Normal 14 3 4 2 2" xfId="1349"/>
    <cellStyle name="Normal 14 3 4 2 2 2" xfId="2069"/>
    <cellStyle name="Normal 14 3 4 2 2 2 2" xfId="3509"/>
    <cellStyle name="Normal 14 3 4 2 2 2 2 2" xfId="6389"/>
    <cellStyle name="Normal 14 3 4 2 2 2 2 2 2" xfId="12149"/>
    <cellStyle name="Normal 14 3 4 2 2 2 2 2 2 2" xfId="29429"/>
    <cellStyle name="Normal 14 3 4 2 2 2 2 2 3" xfId="17909"/>
    <cellStyle name="Normal 14 3 4 2 2 2 2 2 3 2" xfId="35189"/>
    <cellStyle name="Normal 14 3 4 2 2 2 2 2 4" xfId="23669"/>
    <cellStyle name="Normal 14 3 4 2 2 2 2 3" xfId="9269"/>
    <cellStyle name="Normal 14 3 4 2 2 2 2 3 2" xfId="26549"/>
    <cellStyle name="Normal 14 3 4 2 2 2 2 4" xfId="15029"/>
    <cellStyle name="Normal 14 3 4 2 2 2 2 4 2" xfId="32309"/>
    <cellStyle name="Normal 14 3 4 2 2 2 2 5" xfId="20789"/>
    <cellStyle name="Normal 14 3 4 2 2 2 3" xfId="4949"/>
    <cellStyle name="Normal 14 3 4 2 2 2 3 2" xfId="10709"/>
    <cellStyle name="Normal 14 3 4 2 2 2 3 2 2" xfId="27989"/>
    <cellStyle name="Normal 14 3 4 2 2 2 3 3" xfId="16469"/>
    <cellStyle name="Normal 14 3 4 2 2 2 3 3 2" xfId="33749"/>
    <cellStyle name="Normal 14 3 4 2 2 2 3 4" xfId="22229"/>
    <cellStyle name="Normal 14 3 4 2 2 2 4" xfId="7829"/>
    <cellStyle name="Normal 14 3 4 2 2 2 4 2" xfId="25109"/>
    <cellStyle name="Normal 14 3 4 2 2 2 5" xfId="13589"/>
    <cellStyle name="Normal 14 3 4 2 2 2 5 2" xfId="30869"/>
    <cellStyle name="Normal 14 3 4 2 2 2 6" xfId="19349"/>
    <cellStyle name="Normal 14 3 4 2 2 3" xfId="2789"/>
    <cellStyle name="Normal 14 3 4 2 2 3 2" xfId="5669"/>
    <cellStyle name="Normal 14 3 4 2 2 3 2 2" xfId="11429"/>
    <cellStyle name="Normal 14 3 4 2 2 3 2 2 2" xfId="28709"/>
    <cellStyle name="Normal 14 3 4 2 2 3 2 3" xfId="17189"/>
    <cellStyle name="Normal 14 3 4 2 2 3 2 3 2" xfId="34469"/>
    <cellStyle name="Normal 14 3 4 2 2 3 2 4" xfId="22949"/>
    <cellStyle name="Normal 14 3 4 2 2 3 3" xfId="8549"/>
    <cellStyle name="Normal 14 3 4 2 2 3 3 2" xfId="25829"/>
    <cellStyle name="Normal 14 3 4 2 2 3 4" xfId="14309"/>
    <cellStyle name="Normal 14 3 4 2 2 3 4 2" xfId="31589"/>
    <cellStyle name="Normal 14 3 4 2 2 3 5" xfId="20069"/>
    <cellStyle name="Normal 14 3 4 2 2 4" xfId="4229"/>
    <cellStyle name="Normal 14 3 4 2 2 4 2" xfId="9989"/>
    <cellStyle name="Normal 14 3 4 2 2 4 2 2" xfId="27269"/>
    <cellStyle name="Normal 14 3 4 2 2 4 3" xfId="15749"/>
    <cellStyle name="Normal 14 3 4 2 2 4 3 2" xfId="33029"/>
    <cellStyle name="Normal 14 3 4 2 2 4 4" xfId="21509"/>
    <cellStyle name="Normal 14 3 4 2 2 5" xfId="7109"/>
    <cellStyle name="Normal 14 3 4 2 2 5 2" xfId="24389"/>
    <cellStyle name="Normal 14 3 4 2 2 6" xfId="12869"/>
    <cellStyle name="Normal 14 3 4 2 2 6 2" xfId="30149"/>
    <cellStyle name="Normal 14 3 4 2 2 7" xfId="18629"/>
    <cellStyle name="Normal 14 3 4 2 3" xfId="1589"/>
    <cellStyle name="Normal 14 3 4 2 3 2" xfId="2309"/>
    <cellStyle name="Normal 14 3 4 2 3 2 2" xfId="3749"/>
    <cellStyle name="Normal 14 3 4 2 3 2 2 2" xfId="6629"/>
    <cellStyle name="Normal 14 3 4 2 3 2 2 2 2" xfId="12389"/>
    <cellStyle name="Normal 14 3 4 2 3 2 2 2 2 2" xfId="29669"/>
    <cellStyle name="Normal 14 3 4 2 3 2 2 2 3" xfId="18149"/>
    <cellStyle name="Normal 14 3 4 2 3 2 2 2 3 2" xfId="35429"/>
    <cellStyle name="Normal 14 3 4 2 3 2 2 2 4" xfId="23909"/>
    <cellStyle name="Normal 14 3 4 2 3 2 2 3" xfId="9509"/>
    <cellStyle name="Normal 14 3 4 2 3 2 2 3 2" xfId="26789"/>
    <cellStyle name="Normal 14 3 4 2 3 2 2 4" xfId="15269"/>
    <cellStyle name="Normal 14 3 4 2 3 2 2 4 2" xfId="32549"/>
    <cellStyle name="Normal 14 3 4 2 3 2 2 5" xfId="21029"/>
    <cellStyle name="Normal 14 3 4 2 3 2 3" xfId="5189"/>
    <cellStyle name="Normal 14 3 4 2 3 2 3 2" xfId="10949"/>
    <cellStyle name="Normal 14 3 4 2 3 2 3 2 2" xfId="28229"/>
    <cellStyle name="Normal 14 3 4 2 3 2 3 3" xfId="16709"/>
    <cellStyle name="Normal 14 3 4 2 3 2 3 3 2" xfId="33989"/>
    <cellStyle name="Normal 14 3 4 2 3 2 3 4" xfId="22469"/>
    <cellStyle name="Normal 14 3 4 2 3 2 4" xfId="8069"/>
    <cellStyle name="Normal 14 3 4 2 3 2 4 2" xfId="25349"/>
    <cellStyle name="Normal 14 3 4 2 3 2 5" xfId="13829"/>
    <cellStyle name="Normal 14 3 4 2 3 2 5 2" xfId="31109"/>
    <cellStyle name="Normal 14 3 4 2 3 2 6" xfId="19589"/>
    <cellStyle name="Normal 14 3 4 2 3 3" xfId="3029"/>
    <cellStyle name="Normal 14 3 4 2 3 3 2" xfId="5909"/>
    <cellStyle name="Normal 14 3 4 2 3 3 2 2" xfId="11669"/>
    <cellStyle name="Normal 14 3 4 2 3 3 2 2 2" xfId="28949"/>
    <cellStyle name="Normal 14 3 4 2 3 3 2 3" xfId="17429"/>
    <cellStyle name="Normal 14 3 4 2 3 3 2 3 2" xfId="34709"/>
    <cellStyle name="Normal 14 3 4 2 3 3 2 4" xfId="23189"/>
    <cellStyle name="Normal 14 3 4 2 3 3 3" xfId="8789"/>
    <cellStyle name="Normal 14 3 4 2 3 3 3 2" xfId="26069"/>
    <cellStyle name="Normal 14 3 4 2 3 3 4" xfId="14549"/>
    <cellStyle name="Normal 14 3 4 2 3 3 4 2" xfId="31829"/>
    <cellStyle name="Normal 14 3 4 2 3 3 5" xfId="20309"/>
    <cellStyle name="Normal 14 3 4 2 3 4" xfId="4469"/>
    <cellStyle name="Normal 14 3 4 2 3 4 2" xfId="10229"/>
    <cellStyle name="Normal 14 3 4 2 3 4 2 2" xfId="27509"/>
    <cellStyle name="Normal 14 3 4 2 3 4 3" xfId="15989"/>
    <cellStyle name="Normal 14 3 4 2 3 4 3 2" xfId="33269"/>
    <cellStyle name="Normal 14 3 4 2 3 4 4" xfId="21749"/>
    <cellStyle name="Normal 14 3 4 2 3 5" xfId="7349"/>
    <cellStyle name="Normal 14 3 4 2 3 5 2" xfId="24629"/>
    <cellStyle name="Normal 14 3 4 2 3 6" xfId="13109"/>
    <cellStyle name="Normal 14 3 4 2 3 6 2" xfId="30389"/>
    <cellStyle name="Normal 14 3 4 2 3 7" xfId="18869"/>
    <cellStyle name="Normal 14 3 4 2 4" xfId="1829"/>
    <cellStyle name="Normal 14 3 4 2 4 2" xfId="3269"/>
    <cellStyle name="Normal 14 3 4 2 4 2 2" xfId="6149"/>
    <cellStyle name="Normal 14 3 4 2 4 2 2 2" xfId="11909"/>
    <cellStyle name="Normal 14 3 4 2 4 2 2 2 2" xfId="29189"/>
    <cellStyle name="Normal 14 3 4 2 4 2 2 3" xfId="17669"/>
    <cellStyle name="Normal 14 3 4 2 4 2 2 3 2" xfId="34949"/>
    <cellStyle name="Normal 14 3 4 2 4 2 2 4" xfId="23429"/>
    <cellStyle name="Normal 14 3 4 2 4 2 3" xfId="9029"/>
    <cellStyle name="Normal 14 3 4 2 4 2 3 2" xfId="26309"/>
    <cellStyle name="Normal 14 3 4 2 4 2 4" xfId="14789"/>
    <cellStyle name="Normal 14 3 4 2 4 2 4 2" xfId="32069"/>
    <cellStyle name="Normal 14 3 4 2 4 2 5" xfId="20549"/>
    <cellStyle name="Normal 14 3 4 2 4 3" xfId="4709"/>
    <cellStyle name="Normal 14 3 4 2 4 3 2" xfId="10469"/>
    <cellStyle name="Normal 14 3 4 2 4 3 2 2" xfId="27749"/>
    <cellStyle name="Normal 14 3 4 2 4 3 3" xfId="16229"/>
    <cellStyle name="Normal 14 3 4 2 4 3 3 2" xfId="33509"/>
    <cellStyle name="Normal 14 3 4 2 4 3 4" xfId="21989"/>
    <cellStyle name="Normal 14 3 4 2 4 4" xfId="7589"/>
    <cellStyle name="Normal 14 3 4 2 4 4 2" xfId="24869"/>
    <cellStyle name="Normal 14 3 4 2 4 5" xfId="13349"/>
    <cellStyle name="Normal 14 3 4 2 4 5 2" xfId="30629"/>
    <cellStyle name="Normal 14 3 4 2 4 6" xfId="19109"/>
    <cellStyle name="Normal 14 3 4 2 5" xfId="2549"/>
    <cellStyle name="Normal 14 3 4 2 5 2" xfId="5429"/>
    <cellStyle name="Normal 14 3 4 2 5 2 2" xfId="11189"/>
    <cellStyle name="Normal 14 3 4 2 5 2 2 2" xfId="28469"/>
    <cellStyle name="Normal 14 3 4 2 5 2 3" xfId="16949"/>
    <cellStyle name="Normal 14 3 4 2 5 2 3 2" xfId="34229"/>
    <cellStyle name="Normal 14 3 4 2 5 2 4" xfId="22709"/>
    <cellStyle name="Normal 14 3 4 2 5 3" xfId="8309"/>
    <cellStyle name="Normal 14 3 4 2 5 3 2" xfId="25589"/>
    <cellStyle name="Normal 14 3 4 2 5 4" xfId="14069"/>
    <cellStyle name="Normal 14 3 4 2 5 4 2" xfId="31349"/>
    <cellStyle name="Normal 14 3 4 2 5 5" xfId="19829"/>
    <cellStyle name="Normal 14 3 4 2 6" xfId="3989"/>
    <cellStyle name="Normal 14 3 4 2 6 2" xfId="9749"/>
    <cellStyle name="Normal 14 3 4 2 6 2 2" xfId="27029"/>
    <cellStyle name="Normal 14 3 4 2 6 3" xfId="15509"/>
    <cellStyle name="Normal 14 3 4 2 6 3 2" xfId="32789"/>
    <cellStyle name="Normal 14 3 4 2 6 4" xfId="21269"/>
    <cellStyle name="Normal 14 3 4 2 7" xfId="6869"/>
    <cellStyle name="Normal 14 3 4 2 7 2" xfId="24149"/>
    <cellStyle name="Normal 14 3 4 2 8" xfId="12629"/>
    <cellStyle name="Normal 14 3 4 2 8 2" xfId="29909"/>
    <cellStyle name="Normal 14 3 4 2 9" xfId="18389"/>
    <cellStyle name="Normal 14 3 4 3" xfId="1229"/>
    <cellStyle name="Normal 14 3 4 3 2" xfId="1949"/>
    <cellStyle name="Normal 14 3 4 3 2 2" xfId="3389"/>
    <cellStyle name="Normal 14 3 4 3 2 2 2" xfId="6269"/>
    <cellStyle name="Normal 14 3 4 3 2 2 2 2" xfId="12029"/>
    <cellStyle name="Normal 14 3 4 3 2 2 2 2 2" xfId="29309"/>
    <cellStyle name="Normal 14 3 4 3 2 2 2 3" xfId="17789"/>
    <cellStyle name="Normal 14 3 4 3 2 2 2 3 2" xfId="35069"/>
    <cellStyle name="Normal 14 3 4 3 2 2 2 4" xfId="23549"/>
    <cellStyle name="Normal 14 3 4 3 2 2 3" xfId="9149"/>
    <cellStyle name="Normal 14 3 4 3 2 2 3 2" xfId="26429"/>
    <cellStyle name="Normal 14 3 4 3 2 2 4" xfId="14909"/>
    <cellStyle name="Normal 14 3 4 3 2 2 4 2" xfId="32189"/>
    <cellStyle name="Normal 14 3 4 3 2 2 5" xfId="20669"/>
    <cellStyle name="Normal 14 3 4 3 2 3" xfId="4829"/>
    <cellStyle name="Normal 14 3 4 3 2 3 2" xfId="10589"/>
    <cellStyle name="Normal 14 3 4 3 2 3 2 2" xfId="27869"/>
    <cellStyle name="Normal 14 3 4 3 2 3 3" xfId="16349"/>
    <cellStyle name="Normal 14 3 4 3 2 3 3 2" xfId="33629"/>
    <cellStyle name="Normal 14 3 4 3 2 3 4" xfId="22109"/>
    <cellStyle name="Normal 14 3 4 3 2 4" xfId="7709"/>
    <cellStyle name="Normal 14 3 4 3 2 4 2" xfId="24989"/>
    <cellStyle name="Normal 14 3 4 3 2 5" xfId="13469"/>
    <cellStyle name="Normal 14 3 4 3 2 5 2" xfId="30749"/>
    <cellStyle name="Normal 14 3 4 3 2 6" xfId="19229"/>
    <cellStyle name="Normal 14 3 4 3 3" xfId="2669"/>
    <cellStyle name="Normal 14 3 4 3 3 2" xfId="5549"/>
    <cellStyle name="Normal 14 3 4 3 3 2 2" xfId="11309"/>
    <cellStyle name="Normal 14 3 4 3 3 2 2 2" xfId="28589"/>
    <cellStyle name="Normal 14 3 4 3 3 2 3" xfId="17069"/>
    <cellStyle name="Normal 14 3 4 3 3 2 3 2" xfId="34349"/>
    <cellStyle name="Normal 14 3 4 3 3 2 4" xfId="22829"/>
    <cellStyle name="Normal 14 3 4 3 3 3" xfId="8429"/>
    <cellStyle name="Normal 14 3 4 3 3 3 2" xfId="25709"/>
    <cellStyle name="Normal 14 3 4 3 3 4" xfId="14189"/>
    <cellStyle name="Normal 14 3 4 3 3 4 2" xfId="31469"/>
    <cellStyle name="Normal 14 3 4 3 3 5" xfId="19949"/>
    <cellStyle name="Normal 14 3 4 3 4" xfId="4109"/>
    <cellStyle name="Normal 14 3 4 3 4 2" xfId="9869"/>
    <cellStyle name="Normal 14 3 4 3 4 2 2" xfId="27149"/>
    <cellStyle name="Normal 14 3 4 3 4 3" xfId="15629"/>
    <cellStyle name="Normal 14 3 4 3 4 3 2" xfId="32909"/>
    <cellStyle name="Normal 14 3 4 3 4 4" xfId="21389"/>
    <cellStyle name="Normal 14 3 4 3 5" xfId="6989"/>
    <cellStyle name="Normal 14 3 4 3 5 2" xfId="24269"/>
    <cellStyle name="Normal 14 3 4 3 6" xfId="12749"/>
    <cellStyle name="Normal 14 3 4 3 6 2" xfId="30029"/>
    <cellStyle name="Normal 14 3 4 3 7" xfId="18509"/>
    <cellStyle name="Normal 14 3 4 4" xfId="1469"/>
    <cellStyle name="Normal 14 3 4 4 2" xfId="2189"/>
    <cellStyle name="Normal 14 3 4 4 2 2" xfId="3629"/>
    <cellStyle name="Normal 14 3 4 4 2 2 2" xfId="6509"/>
    <cellStyle name="Normal 14 3 4 4 2 2 2 2" xfId="12269"/>
    <cellStyle name="Normal 14 3 4 4 2 2 2 2 2" xfId="29549"/>
    <cellStyle name="Normal 14 3 4 4 2 2 2 3" xfId="18029"/>
    <cellStyle name="Normal 14 3 4 4 2 2 2 3 2" xfId="35309"/>
    <cellStyle name="Normal 14 3 4 4 2 2 2 4" xfId="23789"/>
    <cellStyle name="Normal 14 3 4 4 2 2 3" xfId="9389"/>
    <cellStyle name="Normal 14 3 4 4 2 2 3 2" xfId="26669"/>
    <cellStyle name="Normal 14 3 4 4 2 2 4" xfId="15149"/>
    <cellStyle name="Normal 14 3 4 4 2 2 4 2" xfId="32429"/>
    <cellStyle name="Normal 14 3 4 4 2 2 5" xfId="20909"/>
    <cellStyle name="Normal 14 3 4 4 2 3" xfId="5069"/>
    <cellStyle name="Normal 14 3 4 4 2 3 2" xfId="10829"/>
    <cellStyle name="Normal 14 3 4 4 2 3 2 2" xfId="28109"/>
    <cellStyle name="Normal 14 3 4 4 2 3 3" xfId="16589"/>
    <cellStyle name="Normal 14 3 4 4 2 3 3 2" xfId="33869"/>
    <cellStyle name="Normal 14 3 4 4 2 3 4" xfId="22349"/>
    <cellStyle name="Normal 14 3 4 4 2 4" xfId="7949"/>
    <cellStyle name="Normal 14 3 4 4 2 4 2" xfId="25229"/>
    <cellStyle name="Normal 14 3 4 4 2 5" xfId="13709"/>
    <cellStyle name="Normal 14 3 4 4 2 5 2" xfId="30989"/>
    <cellStyle name="Normal 14 3 4 4 2 6" xfId="19469"/>
    <cellStyle name="Normal 14 3 4 4 3" xfId="2909"/>
    <cellStyle name="Normal 14 3 4 4 3 2" xfId="5789"/>
    <cellStyle name="Normal 14 3 4 4 3 2 2" xfId="11549"/>
    <cellStyle name="Normal 14 3 4 4 3 2 2 2" xfId="28829"/>
    <cellStyle name="Normal 14 3 4 4 3 2 3" xfId="17309"/>
    <cellStyle name="Normal 14 3 4 4 3 2 3 2" xfId="34589"/>
    <cellStyle name="Normal 14 3 4 4 3 2 4" xfId="23069"/>
    <cellStyle name="Normal 14 3 4 4 3 3" xfId="8669"/>
    <cellStyle name="Normal 14 3 4 4 3 3 2" xfId="25949"/>
    <cellStyle name="Normal 14 3 4 4 3 4" xfId="14429"/>
    <cellStyle name="Normal 14 3 4 4 3 4 2" xfId="31709"/>
    <cellStyle name="Normal 14 3 4 4 3 5" xfId="20189"/>
    <cellStyle name="Normal 14 3 4 4 4" xfId="4349"/>
    <cellStyle name="Normal 14 3 4 4 4 2" xfId="10109"/>
    <cellStyle name="Normal 14 3 4 4 4 2 2" xfId="27389"/>
    <cellStyle name="Normal 14 3 4 4 4 3" xfId="15869"/>
    <cellStyle name="Normal 14 3 4 4 4 3 2" xfId="33149"/>
    <cellStyle name="Normal 14 3 4 4 4 4" xfId="21629"/>
    <cellStyle name="Normal 14 3 4 4 5" xfId="7229"/>
    <cellStyle name="Normal 14 3 4 4 5 2" xfId="24509"/>
    <cellStyle name="Normal 14 3 4 4 6" xfId="12989"/>
    <cellStyle name="Normal 14 3 4 4 6 2" xfId="30269"/>
    <cellStyle name="Normal 14 3 4 4 7" xfId="18749"/>
    <cellStyle name="Normal 14 3 4 5" xfId="1709"/>
    <cellStyle name="Normal 14 3 4 5 2" xfId="3149"/>
    <cellStyle name="Normal 14 3 4 5 2 2" xfId="6029"/>
    <cellStyle name="Normal 14 3 4 5 2 2 2" xfId="11789"/>
    <cellStyle name="Normal 14 3 4 5 2 2 2 2" xfId="29069"/>
    <cellStyle name="Normal 14 3 4 5 2 2 3" xfId="17549"/>
    <cellStyle name="Normal 14 3 4 5 2 2 3 2" xfId="34829"/>
    <cellStyle name="Normal 14 3 4 5 2 2 4" xfId="23309"/>
    <cellStyle name="Normal 14 3 4 5 2 3" xfId="8909"/>
    <cellStyle name="Normal 14 3 4 5 2 3 2" xfId="26189"/>
    <cellStyle name="Normal 14 3 4 5 2 4" xfId="14669"/>
    <cellStyle name="Normal 14 3 4 5 2 4 2" xfId="31949"/>
    <cellStyle name="Normal 14 3 4 5 2 5" xfId="20429"/>
    <cellStyle name="Normal 14 3 4 5 3" xfId="4589"/>
    <cellStyle name="Normal 14 3 4 5 3 2" xfId="10349"/>
    <cellStyle name="Normal 14 3 4 5 3 2 2" xfId="27629"/>
    <cellStyle name="Normal 14 3 4 5 3 3" xfId="16109"/>
    <cellStyle name="Normal 14 3 4 5 3 3 2" xfId="33389"/>
    <cellStyle name="Normal 14 3 4 5 3 4" xfId="21869"/>
    <cellStyle name="Normal 14 3 4 5 4" xfId="7469"/>
    <cellStyle name="Normal 14 3 4 5 4 2" xfId="24749"/>
    <cellStyle name="Normal 14 3 4 5 5" xfId="13229"/>
    <cellStyle name="Normal 14 3 4 5 5 2" xfId="30509"/>
    <cellStyle name="Normal 14 3 4 5 6" xfId="18989"/>
    <cellStyle name="Normal 14 3 4 6" xfId="2429"/>
    <cellStyle name="Normal 14 3 4 6 2" xfId="5309"/>
    <cellStyle name="Normal 14 3 4 6 2 2" xfId="11069"/>
    <cellStyle name="Normal 14 3 4 6 2 2 2" xfId="28349"/>
    <cellStyle name="Normal 14 3 4 6 2 3" xfId="16829"/>
    <cellStyle name="Normal 14 3 4 6 2 3 2" xfId="34109"/>
    <cellStyle name="Normal 14 3 4 6 2 4" xfId="22589"/>
    <cellStyle name="Normal 14 3 4 6 3" xfId="8189"/>
    <cellStyle name="Normal 14 3 4 6 3 2" xfId="25469"/>
    <cellStyle name="Normal 14 3 4 6 4" xfId="13949"/>
    <cellStyle name="Normal 14 3 4 6 4 2" xfId="31229"/>
    <cellStyle name="Normal 14 3 4 6 5" xfId="19709"/>
    <cellStyle name="Normal 14 3 4 7" xfId="3869"/>
    <cellStyle name="Normal 14 3 4 7 2" xfId="9629"/>
    <cellStyle name="Normal 14 3 4 7 2 2" xfId="26909"/>
    <cellStyle name="Normal 14 3 4 7 3" xfId="15389"/>
    <cellStyle name="Normal 14 3 4 7 3 2" xfId="32669"/>
    <cellStyle name="Normal 14 3 4 7 4" xfId="21149"/>
    <cellStyle name="Normal 14 3 4 8" xfId="6749"/>
    <cellStyle name="Normal 14 3 4 8 2" xfId="24029"/>
    <cellStyle name="Normal 14 3 4 9" xfId="12509"/>
    <cellStyle name="Normal 14 3 4 9 2" xfId="29789"/>
    <cellStyle name="Normal 14 3 5" xfId="1069"/>
    <cellStyle name="Normal 14 3 5 2" xfId="1309"/>
    <cellStyle name="Normal 14 3 5 2 2" xfId="2029"/>
    <cellStyle name="Normal 14 3 5 2 2 2" xfId="3469"/>
    <cellStyle name="Normal 14 3 5 2 2 2 2" xfId="6349"/>
    <cellStyle name="Normal 14 3 5 2 2 2 2 2" xfId="12109"/>
    <cellStyle name="Normal 14 3 5 2 2 2 2 2 2" xfId="29389"/>
    <cellStyle name="Normal 14 3 5 2 2 2 2 3" xfId="17869"/>
    <cellStyle name="Normal 14 3 5 2 2 2 2 3 2" xfId="35149"/>
    <cellStyle name="Normal 14 3 5 2 2 2 2 4" xfId="23629"/>
    <cellStyle name="Normal 14 3 5 2 2 2 3" xfId="9229"/>
    <cellStyle name="Normal 14 3 5 2 2 2 3 2" xfId="26509"/>
    <cellStyle name="Normal 14 3 5 2 2 2 4" xfId="14989"/>
    <cellStyle name="Normal 14 3 5 2 2 2 4 2" xfId="32269"/>
    <cellStyle name="Normal 14 3 5 2 2 2 5" xfId="20749"/>
    <cellStyle name="Normal 14 3 5 2 2 3" xfId="4909"/>
    <cellStyle name="Normal 14 3 5 2 2 3 2" xfId="10669"/>
    <cellStyle name="Normal 14 3 5 2 2 3 2 2" xfId="27949"/>
    <cellStyle name="Normal 14 3 5 2 2 3 3" xfId="16429"/>
    <cellStyle name="Normal 14 3 5 2 2 3 3 2" xfId="33709"/>
    <cellStyle name="Normal 14 3 5 2 2 3 4" xfId="22189"/>
    <cellStyle name="Normal 14 3 5 2 2 4" xfId="7789"/>
    <cellStyle name="Normal 14 3 5 2 2 4 2" xfId="25069"/>
    <cellStyle name="Normal 14 3 5 2 2 5" xfId="13549"/>
    <cellStyle name="Normal 14 3 5 2 2 5 2" xfId="30829"/>
    <cellStyle name="Normal 14 3 5 2 2 6" xfId="19309"/>
    <cellStyle name="Normal 14 3 5 2 3" xfId="2749"/>
    <cellStyle name="Normal 14 3 5 2 3 2" xfId="5629"/>
    <cellStyle name="Normal 14 3 5 2 3 2 2" xfId="11389"/>
    <cellStyle name="Normal 14 3 5 2 3 2 2 2" xfId="28669"/>
    <cellStyle name="Normal 14 3 5 2 3 2 3" xfId="17149"/>
    <cellStyle name="Normal 14 3 5 2 3 2 3 2" xfId="34429"/>
    <cellStyle name="Normal 14 3 5 2 3 2 4" xfId="22909"/>
    <cellStyle name="Normal 14 3 5 2 3 3" xfId="8509"/>
    <cellStyle name="Normal 14 3 5 2 3 3 2" xfId="25789"/>
    <cellStyle name="Normal 14 3 5 2 3 4" xfId="14269"/>
    <cellStyle name="Normal 14 3 5 2 3 4 2" xfId="31549"/>
    <cellStyle name="Normal 14 3 5 2 3 5" xfId="20029"/>
    <cellStyle name="Normal 14 3 5 2 4" xfId="4189"/>
    <cellStyle name="Normal 14 3 5 2 4 2" xfId="9949"/>
    <cellStyle name="Normal 14 3 5 2 4 2 2" xfId="27229"/>
    <cellStyle name="Normal 14 3 5 2 4 3" xfId="15709"/>
    <cellStyle name="Normal 14 3 5 2 4 3 2" xfId="32989"/>
    <cellStyle name="Normal 14 3 5 2 4 4" xfId="21469"/>
    <cellStyle name="Normal 14 3 5 2 5" xfId="7069"/>
    <cellStyle name="Normal 14 3 5 2 5 2" xfId="24349"/>
    <cellStyle name="Normal 14 3 5 2 6" xfId="12829"/>
    <cellStyle name="Normal 14 3 5 2 6 2" xfId="30109"/>
    <cellStyle name="Normal 14 3 5 2 7" xfId="18589"/>
    <cellStyle name="Normal 14 3 5 3" xfId="1549"/>
    <cellStyle name="Normal 14 3 5 3 2" xfId="2269"/>
    <cellStyle name="Normal 14 3 5 3 2 2" xfId="3709"/>
    <cellStyle name="Normal 14 3 5 3 2 2 2" xfId="6589"/>
    <cellStyle name="Normal 14 3 5 3 2 2 2 2" xfId="12349"/>
    <cellStyle name="Normal 14 3 5 3 2 2 2 2 2" xfId="29629"/>
    <cellStyle name="Normal 14 3 5 3 2 2 2 3" xfId="18109"/>
    <cellStyle name="Normal 14 3 5 3 2 2 2 3 2" xfId="35389"/>
    <cellStyle name="Normal 14 3 5 3 2 2 2 4" xfId="23869"/>
    <cellStyle name="Normal 14 3 5 3 2 2 3" xfId="9469"/>
    <cellStyle name="Normal 14 3 5 3 2 2 3 2" xfId="26749"/>
    <cellStyle name="Normal 14 3 5 3 2 2 4" xfId="15229"/>
    <cellStyle name="Normal 14 3 5 3 2 2 4 2" xfId="32509"/>
    <cellStyle name="Normal 14 3 5 3 2 2 5" xfId="20989"/>
    <cellStyle name="Normal 14 3 5 3 2 3" xfId="5149"/>
    <cellStyle name="Normal 14 3 5 3 2 3 2" xfId="10909"/>
    <cellStyle name="Normal 14 3 5 3 2 3 2 2" xfId="28189"/>
    <cellStyle name="Normal 14 3 5 3 2 3 3" xfId="16669"/>
    <cellStyle name="Normal 14 3 5 3 2 3 3 2" xfId="33949"/>
    <cellStyle name="Normal 14 3 5 3 2 3 4" xfId="22429"/>
    <cellStyle name="Normal 14 3 5 3 2 4" xfId="8029"/>
    <cellStyle name="Normal 14 3 5 3 2 4 2" xfId="25309"/>
    <cellStyle name="Normal 14 3 5 3 2 5" xfId="13789"/>
    <cellStyle name="Normal 14 3 5 3 2 5 2" xfId="31069"/>
    <cellStyle name="Normal 14 3 5 3 2 6" xfId="19549"/>
    <cellStyle name="Normal 14 3 5 3 3" xfId="2989"/>
    <cellStyle name="Normal 14 3 5 3 3 2" xfId="5869"/>
    <cellStyle name="Normal 14 3 5 3 3 2 2" xfId="11629"/>
    <cellStyle name="Normal 14 3 5 3 3 2 2 2" xfId="28909"/>
    <cellStyle name="Normal 14 3 5 3 3 2 3" xfId="17389"/>
    <cellStyle name="Normal 14 3 5 3 3 2 3 2" xfId="34669"/>
    <cellStyle name="Normal 14 3 5 3 3 2 4" xfId="23149"/>
    <cellStyle name="Normal 14 3 5 3 3 3" xfId="8749"/>
    <cellStyle name="Normal 14 3 5 3 3 3 2" xfId="26029"/>
    <cellStyle name="Normal 14 3 5 3 3 4" xfId="14509"/>
    <cellStyle name="Normal 14 3 5 3 3 4 2" xfId="31789"/>
    <cellStyle name="Normal 14 3 5 3 3 5" xfId="20269"/>
    <cellStyle name="Normal 14 3 5 3 4" xfId="4429"/>
    <cellStyle name="Normal 14 3 5 3 4 2" xfId="10189"/>
    <cellStyle name="Normal 14 3 5 3 4 2 2" xfId="27469"/>
    <cellStyle name="Normal 14 3 5 3 4 3" xfId="15949"/>
    <cellStyle name="Normal 14 3 5 3 4 3 2" xfId="33229"/>
    <cellStyle name="Normal 14 3 5 3 4 4" xfId="21709"/>
    <cellStyle name="Normal 14 3 5 3 5" xfId="7309"/>
    <cellStyle name="Normal 14 3 5 3 5 2" xfId="24589"/>
    <cellStyle name="Normal 14 3 5 3 6" xfId="13069"/>
    <cellStyle name="Normal 14 3 5 3 6 2" xfId="30349"/>
    <cellStyle name="Normal 14 3 5 3 7" xfId="18829"/>
    <cellStyle name="Normal 14 3 5 4" xfId="1789"/>
    <cellStyle name="Normal 14 3 5 4 2" xfId="3229"/>
    <cellStyle name="Normal 14 3 5 4 2 2" xfId="6109"/>
    <cellStyle name="Normal 14 3 5 4 2 2 2" xfId="11869"/>
    <cellStyle name="Normal 14 3 5 4 2 2 2 2" xfId="29149"/>
    <cellStyle name="Normal 14 3 5 4 2 2 3" xfId="17629"/>
    <cellStyle name="Normal 14 3 5 4 2 2 3 2" xfId="34909"/>
    <cellStyle name="Normal 14 3 5 4 2 2 4" xfId="23389"/>
    <cellStyle name="Normal 14 3 5 4 2 3" xfId="8989"/>
    <cellStyle name="Normal 14 3 5 4 2 3 2" xfId="26269"/>
    <cellStyle name="Normal 14 3 5 4 2 4" xfId="14749"/>
    <cellStyle name="Normal 14 3 5 4 2 4 2" xfId="32029"/>
    <cellStyle name="Normal 14 3 5 4 2 5" xfId="20509"/>
    <cellStyle name="Normal 14 3 5 4 3" xfId="4669"/>
    <cellStyle name="Normal 14 3 5 4 3 2" xfId="10429"/>
    <cellStyle name="Normal 14 3 5 4 3 2 2" xfId="27709"/>
    <cellStyle name="Normal 14 3 5 4 3 3" xfId="16189"/>
    <cellStyle name="Normal 14 3 5 4 3 3 2" xfId="33469"/>
    <cellStyle name="Normal 14 3 5 4 3 4" xfId="21949"/>
    <cellStyle name="Normal 14 3 5 4 4" xfId="7549"/>
    <cellStyle name="Normal 14 3 5 4 4 2" xfId="24829"/>
    <cellStyle name="Normal 14 3 5 4 5" xfId="13309"/>
    <cellStyle name="Normal 14 3 5 4 5 2" xfId="30589"/>
    <cellStyle name="Normal 14 3 5 4 6" xfId="19069"/>
    <cellStyle name="Normal 14 3 5 5" xfId="2509"/>
    <cellStyle name="Normal 14 3 5 5 2" xfId="5389"/>
    <cellStyle name="Normal 14 3 5 5 2 2" xfId="11149"/>
    <cellStyle name="Normal 14 3 5 5 2 2 2" xfId="28429"/>
    <cellStyle name="Normal 14 3 5 5 2 3" xfId="16909"/>
    <cellStyle name="Normal 14 3 5 5 2 3 2" xfId="34189"/>
    <cellStyle name="Normal 14 3 5 5 2 4" xfId="22669"/>
    <cellStyle name="Normal 14 3 5 5 3" xfId="8269"/>
    <cellStyle name="Normal 14 3 5 5 3 2" xfId="25549"/>
    <cellStyle name="Normal 14 3 5 5 4" xfId="14029"/>
    <cellStyle name="Normal 14 3 5 5 4 2" xfId="31309"/>
    <cellStyle name="Normal 14 3 5 5 5" xfId="19789"/>
    <cellStyle name="Normal 14 3 5 6" xfId="3949"/>
    <cellStyle name="Normal 14 3 5 6 2" xfId="9709"/>
    <cellStyle name="Normal 14 3 5 6 2 2" xfId="26989"/>
    <cellStyle name="Normal 14 3 5 6 3" xfId="15469"/>
    <cellStyle name="Normal 14 3 5 6 3 2" xfId="32749"/>
    <cellStyle name="Normal 14 3 5 6 4" xfId="21229"/>
    <cellStyle name="Normal 14 3 5 7" xfId="6829"/>
    <cellStyle name="Normal 14 3 5 7 2" xfId="24109"/>
    <cellStyle name="Normal 14 3 5 8" xfId="12589"/>
    <cellStyle name="Normal 14 3 5 8 2" xfId="29869"/>
    <cellStyle name="Normal 14 3 5 9" xfId="18349"/>
    <cellStyle name="Normal 14 3 6" xfId="1189"/>
    <cellStyle name="Normal 14 3 6 2" xfId="1909"/>
    <cellStyle name="Normal 14 3 6 2 2" xfId="3349"/>
    <cellStyle name="Normal 14 3 6 2 2 2" xfId="6229"/>
    <cellStyle name="Normal 14 3 6 2 2 2 2" xfId="11989"/>
    <cellStyle name="Normal 14 3 6 2 2 2 2 2" xfId="29269"/>
    <cellStyle name="Normal 14 3 6 2 2 2 3" xfId="17749"/>
    <cellStyle name="Normal 14 3 6 2 2 2 3 2" xfId="35029"/>
    <cellStyle name="Normal 14 3 6 2 2 2 4" xfId="23509"/>
    <cellStyle name="Normal 14 3 6 2 2 3" xfId="9109"/>
    <cellStyle name="Normal 14 3 6 2 2 3 2" xfId="26389"/>
    <cellStyle name="Normal 14 3 6 2 2 4" xfId="14869"/>
    <cellStyle name="Normal 14 3 6 2 2 4 2" xfId="32149"/>
    <cellStyle name="Normal 14 3 6 2 2 5" xfId="20629"/>
    <cellStyle name="Normal 14 3 6 2 3" xfId="4789"/>
    <cellStyle name="Normal 14 3 6 2 3 2" xfId="10549"/>
    <cellStyle name="Normal 14 3 6 2 3 2 2" xfId="27829"/>
    <cellStyle name="Normal 14 3 6 2 3 3" xfId="16309"/>
    <cellStyle name="Normal 14 3 6 2 3 3 2" xfId="33589"/>
    <cellStyle name="Normal 14 3 6 2 3 4" xfId="22069"/>
    <cellStyle name="Normal 14 3 6 2 4" xfId="7669"/>
    <cellStyle name="Normal 14 3 6 2 4 2" xfId="24949"/>
    <cellStyle name="Normal 14 3 6 2 5" xfId="13429"/>
    <cellStyle name="Normal 14 3 6 2 5 2" xfId="30709"/>
    <cellStyle name="Normal 14 3 6 2 6" xfId="19189"/>
    <cellStyle name="Normal 14 3 6 3" xfId="2629"/>
    <cellStyle name="Normal 14 3 6 3 2" xfId="5509"/>
    <cellStyle name="Normal 14 3 6 3 2 2" xfId="11269"/>
    <cellStyle name="Normal 14 3 6 3 2 2 2" xfId="28549"/>
    <cellStyle name="Normal 14 3 6 3 2 3" xfId="17029"/>
    <cellStyle name="Normal 14 3 6 3 2 3 2" xfId="34309"/>
    <cellStyle name="Normal 14 3 6 3 2 4" xfId="22789"/>
    <cellStyle name="Normal 14 3 6 3 3" xfId="8389"/>
    <cellStyle name="Normal 14 3 6 3 3 2" xfId="25669"/>
    <cellStyle name="Normal 14 3 6 3 4" xfId="14149"/>
    <cellStyle name="Normal 14 3 6 3 4 2" xfId="31429"/>
    <cellStyle name="Normal 14 3 6 3 5" xfId="19909"/>
    <cellStyle name="Normal 14 3 6 4" xfId="4069"/>
    <cellStyle name="Normal 14 3 6 4 2" xfId="9829"/>
    <cellStyle name="Normal 14 3 6 4 2 2" xfId="27109"/>
    <cellStyle name="Normal 14 3 6 4 3" xfId="15589"/>
    <cellStyle name="Normal 14 3 6 4 3 2" xfId="32869"/>
    <cellStyle name="Normal 14 3 6 4 4" xfId="21349"/>
    <cellStyle name="Normal 14 3 6 5" xfId="6949"/>
    <cellStyle name="Normal 14 3 6 5 2" xfId="24229"/>
    <cellStyle name="Normal 14 3 6 6" xfId="12709"/>
    <cellStyle name="Normal 14 3 6 6 2" xfId="29989"/>
    <cellStyle name="Normal 14 3 6 7" xfId="18469"/>
    <cellStyle name="Normal 14 3 7" xfId="1429"/>
    <cellStyle name="Normal 14 3 7 2" xfId="2149"/>
    <cellStyle name="Normal 14 3 7 2 2" xfId="3589"/>
    <cellStyle name="Normal 14 3 7 2 2 2" xfId="6469"/>
    <cellStyle name="Normal 14 3 7 2 2 2 2" xfId="12229"/>
    <cellStyle name="Normal 14 3 7 2 2 2 2 2" xfId="29509"/>
    <cellStyle name="Normal 14 3 7 2 2 2 3" xfId="17989"/>
    <cellStyle name="Normal 14 3 7 2 2 2 3 2" xfId="35269"/>
    <cellStyle name="Normal 14 3 7 2 2 2 4" xfId="23749"/>
    <cellStyle name="Normal 14 3 7 2 2 3" xfId="9349"/>
    <cellStyle name="Normal 14 3 7 2 2 3 2" xfId="26629"/>
    <cellStyle name="Normal 14 3 7 2 2 4" xfId="15109"/>
    <cellStyle name="Normal 14 3 7 2 2 4 2" xfId="32389"/>
    <cellStyle name="Normal 14 3 7 2 2 5" xfId="20869"/>
    <cellStyle name="Normal 14 3 7 2 3" xfId="5029"/>
    <cellStyle name="Normal 14 3 7 2 3 2" xfId="10789"/>
    <cellStyle name="Normal 14 3 7 2 3 2 2" xfId="28069"/>
    <cellStyle name="Normal 14 3 7 2 3 3" xfId="16549"/>
    <cellStyle name="Normal 14 3 7 2 3 3 2" xfId="33829"/>
    <cellStyle name="Normal 14 3 7 2 3 4" xfId="22309"/>
    <cellStyle name="Normal 14 3 7 2 4" xfId="7909"/>
    <cellStyle name="Normal 14 3 7 2 4 2" xfId="25189"/>
    <cellStyle name="Normal 14 3 7 2 5" xfId="13669"/>
    <cellStyle name="Normal 14 3 7 2 5 2" xfId="30949"/>
    <cellStyle name="Normal 14 3 7 2 6" xfId="19429"/>
    <cellStyle name="Normal 14 3 7 3" xfId="2869"/>
    <cellStyle name="Normal 14 3 7 3 2" xfId="5749"/>
    <cellStyle name="Normal 14 3 7 3 2 2" xfId="11509"/>
    <cellStyle name="Normal 14 3 7 3 2 2 2" xfId="28789"/>
    <cellStyle name="Normal 14 3 7 3 2 3" xfId="17269"/>
    <cellStyle name="Normal 14 3 7 3 2 3 2" xfId="34549"/>
    <cellStyle name="Normal 14 3 7 3 2 4" xfId="23029"/>
    <cellStyle name="Normal 14 3 7 3 3" xfId="8629"/>
    <cellStyle name="Normal 14 3 7 3 3 2" xfId="25909"/>
    <cellStyle name="Normal 14 3 7 3 4" xfId="14389"/>
    <cellStyle name="Normal 14 3 7 3 4 2" xfId="31669"/>
    <cellStyle name="Normal 14 3 7 3 5" xfId="20149"/>
    <cellStyle name="Normal 14 3 7 4" xfId="4309"/>
    <cellStyle name="Normal 14 3 7 4 2" xfId="10069"/>
    <cellStyle name="Normal 14 3 7 4 2 2" xfId="27349"/>
    <cellStyle name="Normal 14 3 7 4 3" xfId="15829"/>
    <cellStyle name="Normal 14 3 7 4 3 2" xfId="33109"/>
    <cellStyle name="Normal 14 3 7 4 4" xfId="21589"/>
    <cellStyle name="Normal 14 3 7 5" xfId="7189"/>
    <cellStyle name="Normal 14 3 7 5 2" xfId="24469"/>
    <cellStyle name="Normal 14 3 7 6" xfId="12949"/>
    <cellStyle name="Normal 14 3 7 6 2" xfId="30229"/>
    <cellStyle name="Normal 14 3 7 7" xfId="18709"/>
    <cellStyle name="Normal 14 3 8" xfId="1669"/>
    <cellStyle name="Normal 14 3 8 2" xfId="3109"/>
    <cellStyle name="Normal 14 3 8 2 2" xfId="5989"/>
    <cellStyle name="Normal 14 3 8 2 2 2" xfId="11749"/>
    <cellStyle name="Normal 14 3 8 2 2 2 2" xfId="29029"/>
    <cellStyle name="Normal 14 3 8 2 2 3" xfId="17509"/>
    <cellStyle name="Normal 14 3 8 2 2 3 2" xfId="34789"/>
    <cellStyle name="Normal 14 3 8 2 2 4" xfId="23269"/>
    <cellStyle name="Normal 14 3 8 2 3" xfId="8869"/>
    <cellStyle name="Normal 14 3 8 2 3 2" xfId="26149"/>
    <cellStyle name="Normal 14 3 8 2 4" xfId="14629"/>
    <cellStyle name="Normal 14 3 8 2 4 2" xfId="31909"/>
    <cellStyle name="Normal 14 3 8 2 5" xfId="20389"/>
    <cellStyle name="Normal 14 3 8 3" xfId="4549"/>
    <cellStyle name="Normal 14 3 8 3 2" xfId="10309"/>
    <cellStyle name="Normal 14 3 8 3 2 2" xfId="27589"/>
    <cellStyle name="Normal 14 3 8 3 3" xfId="16069"/>
    <cellStyle name="Normal 14 3 8 3 3 2" xfId="33349"/>
    <cellStyle name="Normal 14 3 8 3 4" xfId="21829"/>
    <cellStyle name="Normal 14 3 8 4" xfId="7429"/>
    <cellStyle name="Normal 14 3 8 4 2" xfId="24709"/>
    <cellStyle name="Normal 14 3 8 5" xfId="13189"/>
    <cellStyle name="Normal 14 3 8 5 2" xfId="30469"/>
    <cellStyle name="Normal 14 3 8 6" xfId="18949"/>
    <cellStyle name="Normal 14 3 9" xfId="2389"/>
    <cellStyle name="Normal 14 3 9 2" xfId="5269"/>
    <cellStyle name="Normal 14 3 9 2 2" xfId="11029"/>
    <cellStyle name="Normal 14 3 9 2 2 2" xfId="28309"/>
    <cellStyle name="Normal 14 3 9 2 3" xfId="16789"/>
    <cellStyle name="Normal 14 3 9 2 3 2" xfId="34069"/>
    <cellStyle name="Normal 14 3 9 2 4" xfId="22549"/>
    <cellStyle name="Normal 14 3 9 3" xfId="8149"/>
    <cellStyle name="Normal 14 3 9 3 2" xfId="25429"/>
    <cellStyle name="Normal 14 3 9 4" xfId="13909"/>
    <cellStyle name="Normal 14 3 9 4 2" xfId="31189"/>
    <cellStyle name="Normal 14 3 9 5" xfId="19669"/>
    <cellStyle name="Normal 14 4" xfId="408"/>
    <cellStyle name="Normal 14 4 10" xfId="6719"/>
    <cellStyle name="Normal 14 4 10 2" xfId="23999"/>
    <cellStyle name="Normal 14 4 11" xfId="12479"/>
    <cellStyle name="Normal 14 4 11 2" xfId="29759"/>
    <cellStyle name="Normal 14 4 12" xfId="18239"/>
    <cellStyle name="Normal 14 4 2" xfId="1039"/>
    <cellStyle name="Normal 14 4 2 10" xfId="18319"/>
    <cellStyle name="Normal 14 4 2 2" xfId="1159"/>
    <cellStyle name="Normal 14 4 2 2 2" xfId="1399"/>
    <cellStyle name="Normal 14 4 2 2 2 2" xfId="2119"/>
    <cellStyle name="Normal 14 4 2 2 2 2 2" xfId="3559"/>
    <cellStyle name="Normal 14 4 2 2 2 2 2 2" xfId="6439"/>
    <cellStyle name="Normal 14 4 2 2 2 2 2 2 2" xfId="12199"/>
    <cellStyle name="Normal 14 4 2 2 2 2 2 2 2 2" xfId="29479"/>
    <cellStyle name="Normal 14 4 2 2 2 2 2 2 3" xfId="17959"/>
    <cellStyle name="Normal 14 4 2 2 2 2 2 2 3 2" xfId="35239"/>
    <cellStyle name="Normal 14 4 2 2 2 2 2 2 4" xfId="23719"/>
    <cellStyle name="Normal 14 4 2 2 2 2 2 3" xfId="9319"/>
    <cellStyle name="Normal 14 4 2 2 2 2 2 3 2" xfId="26599"/>
    <cellStyle name="Normal 14 4 2 2 2 2 2 4" xfId="15079"/>
    <cellStyle name="Normal 14 4 2 2 2 2 2 4 2" xfId="32359"/>
    <cellStyle name="Normal 14 4 2 2 2 2 2 5" xfId="20839"/>
    <cellStyle name="Normal 14 4 2 2 2 2 3" xfId="4999"/>
    <cellStyle name="Normal 14 4 2 2 2 2 3 2" xfId="10759"/>
    <cellStyle name="Normal 14 4 2 2 2 2 3 2 2" xfId="28039"/>
    <cellStyle name="Normal 14 4 2 2 2 2 3 3" xfId="16519"/>
    <cellStyle name="Normal 14 4 2 2 2 2 3 3 2" xfId="33799"/>
    <cellStyle name="Normal 14 4 2 2 2 2 3 4" xfId="22279"/>
    <cellStyle name="Normal 14 4 2 2 2 2 4" xfId="7879"/>
    <cellStyle name="Normal 14 4 2 2 2 2 4 2" xfId="25159"/>
    <cellStyle name="Normal 14 4 2 2 2 2 5" xfId="13639"/>
    <cellStyle name="Normal 14 4 2 2 2 2 5 2" xfId="30919"/>
    <cellStyle name="Normal 14 4 2 2 2 2 6" xfId="19399"/>
    <cellStyle name="Normal 14 4 2 2 2 3" xfId="2839"/>
    <cellStyle name="Normal 14 4 2 2 2 3 2" xfId="5719"/>
    <cellStyle name="Normal 14 4 2 2 2 3 2 2" xfId="11479"/>
    <cellStyle name="Normal 14 4 2 2 2 3 2 2 2" xfId="28759"/>
    <cellStyle name="Normal 14 4 2 2 2 3 2 3" xfId="17239"/>
    <cellStyle name="Normal 14 4 2 2 2 3 2 3 2" xfId="34519"/>
    <cellStyle name="Normal 14 4 2 2 2 3 2 4" xfId="22999"/>
    <cellStyle name="Normal 14 4 2 2 2 3 3" xfId="8599"/>
    <cellStyle name="Normal 14 4 2 2 2 3 3 2" xfId="25879"/>
    <cellStyle name="Normal 14 4 2 2 2 3 4" xfId="14359"/>
    <cellStyle name="Normal 14 4 2 2 2 3 4 2" xfId="31639"/>
    <cellStyle name="Normal 14 4 2 2 2 3 5" xfId="20119"/>
    <cellStyle name="Normal 14 4 2 2 2 4" xfId="4279"/>
    <cellStyle name="Normal 14 4 2 2 2 4 2" xfId="10039"/>
    <cellStyle name="Normal 14 4 2 2 2 4 2 2" xfId="27319"/>
    <cellStyle name="Normal 14 4 2 2 2 4 3" xfId="15799"/>
    <cellStyle name="Normal 14 4 2 2 2 4 3 2" xfId="33079"/>
    <cellStyle name="Normal 14 4 2 2 2 4 4" xfId="21559"/>
    <cellStyle name="Normal 14 4 2 2 2 5" xfId="7159"/>
    <cellStyle name="Normal 14 4 2 2 2 5 2" xfId="24439"/>
    <cellStyle name="Normal 14 4 2 2 2 6" xfId="12919"/>
    <cellStyle name="Normal 14 4 2 2 2 6 2" xfId="30199"/>
    <cellStyle name="Normal 14 4 2 2 2 7" xfId="18679"/>
    <cellStyle name="Normal 14 4 2 2 3" xfId="1639"/>
    <cellStyle name="Normal 14 4 2 2 3 2" xfId="2359"/>
    <cellStyle name="Normal 14 4 2 2 3 2 2" xfId="3799"/>
    <cellStyle name="Normal 14 4 2 2 3 2 2 2" xfId="6679"/>
    <cellStyle name="Normal 14 4 2 2 3 2 2 2 2" xfId="12439"/>
    <cellStyle name="Normal 14 4 2 2 3 2 2 2 2 2" xfId="29719"/>
    <cellStyle name="Normal 14 4 2 2 3 2 2 2 3" xfId="18199"/>
    <cellStyle name="Normal 14 4 2 2 3 2 2 2 3 2" xfId="35479"/>
    <cellStyle name="Normal 14 4 2 2 3 2 2 2 4" xfId="23959"/>
    <cellStyle name="Normal 14 4 2 2 3 2 2 3" xfId="9559"/>
    <cellStyle name="Normal 14 4 2 2 3 2 2 3 2" xfId="26839"/>
    <cellStyle name="Normal 14 4 2 2 3 2 2 4" xfId="15319"/>
    <cellStyle name="Normal 14 4 2 2 3 2 2 4 2" xfId="32599"/>
    <cellStyle name="Normal 14 4 2 2 3 2 2 5" xfId="21079"/>
    <cellStyle name="Normal 14 4 2 2 3 2 3" xfId="5239"/>
    <cellStyle name="Normal 14 4 2 2 3 2 3 2" xfId="10999"/>
    <cellStyle name="Normal 14 4 2 2 3 2 3 2 2" xfId="28279"/>
    <cellStyle name="Normal 14 4 2 2 3 2 3 3" xfId="16759"/>
    <cellStyle name="Normal 14 4 2 2 3 2 3 3 2" xfId="34039"/>
    <cellStyle name="Normal 14 4 2 2 3 2 3 4" xfId="22519"/>
    <cellStyle name="Normal 14 4 2 2 3 2 4" xfId="8119"/>
    <cellStyle name="Normal 14 4 2 2 3 2 4 2" xfId="25399"/>
    <cellStyle name="Normal 14 4 2 2 3 2 5" xfId="13879"/>
    <cellStyle name="Normal 14 4 2 2 3 2 5 2" xfId="31159"/>
    <cellStyle name="Normal 14 4 2 2 3 2 6" xfId="19639"/>
    <cellStyle name="Normal 14 4 2 2 3 3" xfId="3079"/>
    <cellStyle name="Normal 14 4 2 2 3 3 2" xfId="5959"/>
    <cellStyle name="Normal 14 4 2 2 3 3 2 2" xfId="11719"/>
    <cellStyle name="Normal 14 4 2 2 3 3 2 2 2" xfId="28999"/>
    <cellStyle name="Normal 14 4 2 2 3 3 2 3" xfId="17479"/>
    <cellStyle name="Normal 14 4 2 2 3 3 2 3 2" xfId="34759"/>
    <cellStyle name="Normal 14 4 2 2 3 3 2 4" xfId="23239"/>
    <cellStyle name="Normal 14 4 2 2 3 3 3" xfId="8839"/>
    <cellStyle name="Normal 14 4 2 2 3 3 3 2" xfId="26119"/>
    <cellStyle name="Normal 14 4 2 2 3 3 4" xfId="14599"/>
    <cellStyle name="Normal 14 4 2 2 3 3 4 2" xfId="31879"/>
    <cellStyle name="Normal 14 4 2 2 3 3 5" xfId="20359"/>
    <cellStyle name="Normal 14 4 2 2 3 4" xfId="4519"/>
    <cellStyle name="Normal 14 4 2 2 3 4 2" xfId="10279"/>
    <cellStyle name="Normal 14 4 2 2 3 4 2 2" xfId="27559"/>
    <cellStyle name="Normal 14 4 2 2 3 4 3" xfId="16039"/>
    <cellStyle name="Normal 14 4 2 2 3 4 3 2" xfId="33319"/>
    <cellStyle name="Normal 14 4 2 2 3 4 4" xfId="21799"/>
    <cellStyle name="Normal 14 4 2 2 3 5" xfId="7399"/>
    <cellStyle name="Normal 14 4 2 2 3 5 2" xfId="24679"/>
    <cellStyle name="Normal 14 4 2 2 3 6" xfId="13159"/>
    <cellStyle name="Normal 14 4 2 2 3 6 2" xfId="30439"/>
    <cellStyle name="Normal 14 4 2 2 3 7" xfId="18919"/>
    <cellStyle name="Normal 14 4 2 2 4" xfId="1879"/>
    <cellStyle name="Normal 14 4 2 2 4 2" xfId="3319"/>
    <cellStyle name="Normal 14 4 2 2 4 2 2" xfId="6199"/>
    <cellStyle name="Normal 14 4 2 2 4 2 2 2" xfId="11959"/>
    <cellStyle name="Normal 14 4 2 2 4 2 2 2 2" xfId="29239"/>
    <cellStyle name="Normal 14 4 2 2 4 2 2 3" xfId="17719"/>
    <cellStyle name="Normal 14 4 2 2 4 2 2 3 2" xfId="34999"/>
    <cellStyle name="Normal 14 4 2 2 4 2 2 4" xfId="23479"/>
    <cellStyle name="Normal 14 4 2 2 4 2 3" xfId="9079"/>
    <cellStyle name="Normal 14 4 2 2 4 2 3 2" xfId="26359"/>
    <cellStyle name="Normal 14 4 2 2 4 2 4" xfId="14839"/>
    <cellStyle name="Normal 14 4 2 2 4 2 4 2" xfId="32119"/>
    <cellStyle name="Normal 14 4 2 2 4 2 5" xfId="20599"/>
    <cellStyle name="Normal 14 4 2 2 4 3" xfId="4759"/>
    <cellStyle name="Normal 14 4 2 2 4 3 2" xfId="10519"/>
    <cellStyle name="Normal 14 4 2 2 4 3 2 2" xfId="27799"/>
    <cellStyle name="Normal 14 4 2 2 4 3 3" xfId="16279"/>
    <cellStyle name="Normal 14 4 2 2 4 3 3 2" xfId="33559"/>
    <cellStyle name="Normal 14 4 2 2 4 3 4" xfId="22039"/>
    <cellStyle name="Normal 14 4 2 2 4 4" xfId="7639"/>
    <cellStyle name="Normal 14 4 2 2 4 4 2" xfId="24919"/>
    <cellStyle name="Normal 14 4 2 2 4 5" xfId="13399"/>
    <cellStyle name="Normal 14 4 2 2 4 5 2" xfId="30679"/>
    <cellStyle name="Normal 14 4 2 2 4 6" xfId="19159"/>
    <cellStyle name="Normal 14 4 2 2 5" xfId="2599"/>
    <cellStyle name="Normal 14 4 2 2 5 2" xfId="5479"/>
    <cellStyle name="Normal 14 4 2 2 5 2 2" xfId="11239"/>
    <cellStyle name="Normal 14 4 2 2 5 2 2 2" xfId="28519"/>
    <cellStyle name="Normal 14 4 2 2 5 2 3" xfId="16999"/>
    <cellStyle name="Normal 14 4 2 2 5 2 3 2" xfId="34279"/>
    <cellStyle name="Normal 14 4 2 2 5 2 4" xfId="22759"/>
    <cellStyle name="Normal 14 4 2 2 5 3" xfId="8359"/>
    <cellStyle name="Normal 14 4 2 2 5 3 2" xfId="25639"/>
    <cellStyle name="Normal 14 4 2 2 5 4" xfId="14119"/>
    <cellStyle name="Normal 14 4 2 2 5 4 2" xfId="31399"/>
    <cellStyle name="Normal 14 4 2 2 5 5" xfId="19879"/>
    <cellStyle name="Normal 14 4 2 2 6" xfId="4039"/>
    <cellStyle name="Normal 14 4 2 2 6 2" xfId="9799"/>
    <cellStyle name="Normal 14 4 2 2 6 2 2" xfId="27079"/>
    <cellStyle name="Normal 14 4 2 2 6 3" xfId="15559"/>
    <cellStyle name="Normal 14 4 2 2 6 3 2" xfId="32839"/>
    <cellStyle name="Normal 14 4 2 2 6 4" xfId="21319"/>
    <cellStyle name="Normal 14 4 2 2 7" xfId="6919"/>
    <cellStyle name="Normal 14 4 2 2 7 2" xfId="24199"/>
    <cellStyle name="Normal 14 4 2 2 8" xfId="12679"/>
    <cellStyle name="Normal 14 4 2 2 8 2" xfId="29959"/>
    <cellStyle name="Normal 14 4 2 2 9" xfId="18439"/>
    <cellStyle name="Normal 14 4 2 3" xfId="1279"/>
    <cellStyle name="Normal 14 4 2 3 2" xfId="1999"/>
    <cellStyle name="Normal 14 4 2 3 2 2" xfId="3439"/>
    <cellStyle name="Normal 14 4 2 3 2 2 2" xfId="6319"/>
    <cellStyle name="Normal 14 4 2 3 2 2 2 2" xfId="12079"/>
    <cellStyle name="Normal 14 4 2 3 2 2 2 2 2" xfId="29359"/>
    <cellStyle name="Normal 14 4 2 3 2 2 2 3" xfId="17839"/>
    <cellStyle name="Normal 14 4 2 3 2 2 2 3 2" xfId="35119"/>
    <cellStyle name="Normal 14 4 2 3 2 2 2 4" xfId="23599"/>
    <cellStyle name="Normal 14 4 2 3 2 2 3" xfId="9199"/>
    <cellStyle name="Normal 14 4 2 3 2 2 3 2" xfId="26479"/>
    <cellStyle name="Normal 14 4 2 3 2 2 4" xfId="14959"/>
    <cellStyle name="Normal 14 4 2 3 2 2 4 2" xfId="32239"/>
    <cellStyle name="Normal 14 4 2 3 2 2 5" xfId="20719"/>
    <cellStyle name="Normal 14 4 2 3 2 3" xfId="4879"/>
    <cellStyle name="Normal 14 4 2 3 2 3 2" xfId="10639"/>
    <cellStyle name="Normal 14 4 2 3 2 3 2 2" xfId="27919"/>
    <cellStyle name="Normal 14 4 2 3 2 3 3" xfId="16399"/>
    <cellStyle name="Normal 14 4 2 3 2 3 3 2" xfId="33679"/>
    <cellStyle name="Normal 14 4 2 3 2 3 4" xfId="22159"/>
    <cellStyle name="Normal 14 4 2 3 2 4" xfId="7759"/>
    <cellStyle name="Normal 14 4 2 3 2 4 2" xfId="25039"/>
    <cellStyle name="Normal 14 4 2 3 2 5" xfId="13519"/>
    <cellStyle name="Normal 14 4 2 3 2 5 2" xfId="30799"/>
    <cellStyle name="Normal 14 4 2 3 2 6" xfId="19279"/>
    <cellStyle name="Normal 14 4 2 3 3" xfId="2719"/>
    <cellStyle name="Normal 14 4 2 3 3 2" xfId="5599"/>
    <cellStyle name="Normal 14 4 2 3 3 2 2" xfId="11359"/>
    <cellStyle name="Normal 14 4 2 3 3 2 2 2" xfId="28639"/>
    <cellStyle name="Normal 14 4 2 3 3 2 3" xfId="17119"/>
    <cellStyle name="Normal 14 4 2 3 3 2 3 2" xfId="34399"/>
    <cellStyle name="Normal 14 4 2 3 3 2 4" xfId="22879"/>
    <cellStyle name="Normal 14 4 2 3 3 3" xfId="8479"/>
    <cellStyle name="Normal 14 4 2 3 3 3 2" xfId="25759"/>
    <cellStyle name="Normal 14 4 2 3 3 4" xfId="14239"/>
    <cellStyle name="Normal 14 4 2 3 3 4 2" xfId="31519"/>
    <cellStyle name="Normal 14 4 2 3 3 5" xfId="19999"/>
    <cellStyle name="Normal 14 4 2 3 4" xfId="4159"/>
    <cellStyle name="Normal 14 4 2 3 4 2" xfId="9919"/>
    <cellStyle name="Normal 14 4 2 3 4 2 2" xfId="27199"/>
    <cellStyle name="Normal 14 4 2 3 4 3" xfId="15679"/>
    <cellStyle name="Normal 14 4 2 3 4 3 2" xfId="32959"/>
    <cellStyle name="Normal 14 4 2 3 4 4" xfId="21439"/>
    <cellStyle name="Normal 14 4 2 3 5" xfId="7039"/>
    <cellStyle name="Normal 14 4 2 3 5 2" xfId="24319"/>
    <cellStyle name="Normal 14 4 2 3 6" xfId="12799"/>
    <cellStyle name="Normal 14 4 2 3 6 2" xfId="30079"/>
    <cellStyle name="Normal 14 4 2 3 7" xfId="18559"/>
    <cellStyle name="Normal 14 4 2 4" xfId="1519"/>
    <cellStyle name="Normal 14 4 2 4 2" xfId="2239"/>
    <cellStyle name="Normal 14 4 2 4 2 2" xfId="3679"/>
    <cellStyle name="Normal 14 4 2 4 2 2 2" xfId="6559"/>
    <cellStyle name="Normal 14 4 2 4 2 2 2 2" xfId="12319"/>
    <cellStyle name="Normal 14 4 2 4 2 2 2 2 2" xfId="29599"/>
    <cellStyle name="Normal 14 4 2 4 2 2 2 3" xfId="18079"/>
    <cellStyle name="Normal 14 4 2 4 2 2 2 3 2" xfId="35359"/>
    <cellStyle name="Normal 14 4 2 4 2 2 2 4" xfId="23839"/>
    <cellStyle name="Normal 14 4 2 4 2 2 3" xfId="9439"/>
    <cellStyle name="Normal 14 4 2 4 2 2 3 2" xfId="26719"/>
    <cellStyle name="Normal 14 4 2 4 2 2 4" xfId="15199"/>
    <cellStyle name="Normal 14 4 2 4 2 2 4 2" xfId="32479"/>
    <cellStyle name="Normal 14 4 2 4 2 2 5" xfId="20959"/>
    <cellStyle name="Normal 14 4 2 4 2 3" xfId="5119"/>
    <cellStyle name="Normal 14 4 2 4 2 3 2" xfId="10879"/>
    <cellStyle name="Normal 14 4 2 4 2 3 2 2" xfId="28159"/>
    <cellStyle name="Normal 14 4 2 4 2 3 3" xfId="16639"/>
    <cellStyle name="Normal 14 4 2 4 2 3 3 2" xfId="33919"/>
    <cellStyle name="Normal 14 4 2 4 2 3 4" xfId="22399"/>
    <cellStyle name="Normal 14 4 2 4 2 4" xfId="7999"/>
    <cellStyle name="Normal 14 4 2 4 2 4 2" xfId="25279"/>
    <cellStyle name="Normal 14 4 2 4 2 5" xfId="13759"/>
    <cellStyle name="Normal 14 4 2 4 2 5 2" xfId="31039"/>
    <cellStyle name="Normal 14 4 2 4 2 6" xfId="19519"/>
    <cellStyle name="Normal 14 4 2 4 3" xfId="2959"/>
    <cellStyle name="Normal 14 4 2 4 3 2" xfId="5839"/>
    <cellStyle name="Normal 14 4 2 4 3 2 2" xfId="11599"/>
    <cellStyle name="Normal 14 4 2 4 3 2 2 2" xfId="28879"/>
    <cellStyle name="Normal 14 4 2 4 3 2 3" xfId="17359"/>
    <cellStyle name="Normal 14 4 2 4 3 2 3 2" xfId="34639"/>
    <cellStyle name="Normal 14 4 2 4 3 2 4" xfId="23119"/>
    <cellStyle name="Normal 14 4 2 4 3 3" xfId="8719"/>
    <cellStyle name="Normal 14 4 2 4 3 3 2" xfId="25999"/>
    <cellStyle name="Normal 14 4 2 4 3 4" xfId="14479"/>
    <cellStyle name="Normal 14 4 2 4 3 4 2" xfId="31759"/>
    <cellStyle name="Normal 14 4 2 4 3 5" xfId="20239"/>
    <cellStyle name="Normal 14 4 2 4 4" xfId="4399"/>
    <cellStyle name="Normal 14 4 2 4 4 2" xfId="10159"/>
    <cellStyle name="Normal 14 4 2 4 4 2 2" xfId="27439"/>
    <cellStyle name="Normal 14 4 2 4 4 3" xfId="15919"/>
    <cellStyle name="Normal 14 4 2 4 4 3 2" xfId="33199"/>
    <cellStyle name="Normal 14 4 2 4 4 4" xfId="21679"/>
    <cellStyle name="Normal 14 4 2 4 5" xfId="7279"/>
    <cellStyle name="Normal 14 4 2 4 5 2" xfId="24559"/>
    <cellStyle name="Normal 14 4 2 4 6" xfId="13039"/>
    <cellStyle name="Normal 14 4 2 4 6 2" xfId="30319"/>
    <cellStyle name="Normal 14 4 2 4 7" xfId="18799"/>
    <cellStyle name="Normal 14 4 2 5" xfId="1759"/>
    <cellStyle name="Normal 14 4 2 5 2" xfId="3199"/>
    <cellStyle name="Normal 14 4 2 5 2 2" xfId="6079"/>
    <cellStyle name="Normal 14 4 2 5 2 2 2" xfId="11839"/>
    <cellStyle name="Normal 14 4 2 5 2 2 2 2" xfId="29119"/>
    <cellStyle name="Normal 14 4 2 5 2 2 3" xfId="17599"/>
    <cellStyle name="Normal 14 4 2 5 2 2 3 2" xfId="34879"/>
    <cellStyle name="Normal 14 4 2 5 2 2 4" xfId="23359"/>
    <cellStyle name="Normal 14 4 2 5 2 3" xfId="8959"/>
    <cellStyle name="Normal 14 4 2 5 2 3 2" xfId="26239"/>
    <cellStyle name="Normal 14 4 2 5 2 4" xfId="14719"/>
    <cellStyle name="Normal 14 4 2 5 2 4 2" xfId="31999"/>
    <cellStyle name="Normal 14 4 2 5 2 5" xfId="20479"/>
    <cellStyle name="Normal 14 4 2 5 3" xfId="4639"/>
    <cellStyle name="Normal 14 4 2 5 3 2" xfId="10399"/>
    <cellStyle name="Normal 14 4 2 5 3 2 2" xfId="27679"/>
    <cellStyle name="Normal 14 4 2 5 3 3" xfId="16159"/>
    <cellStyle name="Normal 14 4 2 5 3 3 2" xfId="33439"/>
    <cellStyle name="Normal 14 4 2 5 3 4" xfId="21919"/>
    <cellStyle name="Normal 14 4 2 5 4" xfId="7519"/>
    <cellStyle name="Normal 14 4 2 5 4 2" xfId="24799"/>
    <cellStyle name="Normal 14 4 2 5 5" xfId="13279"/>
    <cellStyle name="Normal 14 4 2 5 5 2" xfId="30559"/>
    <cellStyle name="Normal 14 4 2 5 6" xfId="19039"/>
    <cellStyle name="Normal 14 4 2 6" xfId="2479"/>
    <cellStyle name="Normal 14 4 2 6 2" xfId="5359"/>
    <cellStyle name="Normal 14 4 2 6 2 2" xfId="11119"/>
    <cellStyle name="Normal 14 4 2 6 2 2 2" xfId="28399"/>
    <cellStyle name="Normal 14 4 2 6 2 3" xfId="16879"/>
    <cellStyle name="Normal 14 4 2 6 2 3 2" xfId="34159"/>
    <cellStyle name="Normal 14 4 2 6 2 4" xfId="22639"/>
    <cellStyle name="Normal 14 4 2 6 3" xfId="8239"/>
    <cellStyle name="Normal 14 4 2 6 3 2" xfId="25519"/>
    <cellStyle name="Normal 14 4 2 6 4" xfId="13999"/>
    <cellStyle name="Normal 14 4 2 6 4 2" xfId="31279"/>
    <cellStyle name="Normal 14 4 2 6 5" xfId="19759"/>
    <cellStyle name="Normal 14 4 2 7" xfId="3919"/>
    <cellStyle name="Normal 14 4 2 7 2" xfId="9679"/>
    <cellStyle name="Normal 14 4 2 7 2 2" xfId="26959"/>
    <cellStyle name="Normal 14 4 2 7 3" xfId="15439"/>
    <cellStyle name="Normal 14 4 2 7 3 2" xfId="32719"/>
    <cellStyle name="Normal 14 4 2 7 4" xfId="21199"/>
    <cellStyle name="Normal 14 4 2 8" xfId="6799"/>
    <cellStyle name="Normal 14 4 2 8 2" xfId="24079"/>
    <cellStyle name="Normal 14 4 2 9" xfId="12559"/>
    <cellStyle name="Normal 14 4 2 9 2" xfId="29839"/>
    <cellStyle name="Normal 14 4 3" xfId="999"/>
    <cellStyle name="Normal 14 4 3 10" xfId="18279"/>
    <cellStyle name="Normal 14 4 3 2" xfId="1119"/>
    <cellStyle name="Normal 14 4 3 2 2" xfId="1359"/>
    <cellStyle name="Normal 14 4 3 2 2 2" xfId="2079"/>
    <cellStyle name="Normal 14 4 3 2 2 2 2" xfId="3519"/>
    <cellStyle name="Normal 14 4 3 2 2 2 2 2" xfId="6399"/>
    <cellStyle name="Normal 14 4 3 2 2 2 2 2 2" xfId="12159"/>
    <cellStyle name="Normal 14 4 3 2 2 2 2 2 2 2" xfId="29439"/>
    <cellStyle name="Normal 14 4 3 2 2 2 2 2 3" xfId="17919"/>
    <cellStyle name="Normal 14 4 3 2 2 2 2 2 3 2" xfId="35199"/>
    <cellStyle name="Normal 14 4 3 2 2 2 2 2 4" xfId="23679"/>
    <cellStyle name="Normal 14 4 3 2 2 2 2 3" xfId="9279"/>
    <cellStyle name="Normal 14 4 3 2 2 2 2 3 2" xfId="26559"/>
    <cellStyle name="Normal 14 4 3 2 2 2 2 4" xfId="15039"/>
    <cellStyle name="Normal 14 4 3 2 2 2 2 4 2" xfId="32319"/>
    <cellStyle name="Normal 14 4 3 2 2 2 2 5" xfId="20799"/>
    <cellStyle name="Normal 14 4 3 2 2 2 3" xfId="4959"/>
    <cellStyle name="Normal 14 4 3 2 2 2 3 2" xfId="10719"/>
    <cellStyle name="Normal 14 4 3 2 2 2 3 2 2" xfId="27999"/>
    <cellStyle name="Normal 14 4 3 2 2 2 3 3" xfId="16479"/>
    <cellStyle name="Normal 14 4 3 2 2 2 3 3 2" xfId="33759"/>
    <cellStyle name="Normal 14 4 3 2 2 2 3 4" xfId="22239"/>
    <cellStyle name="Normal 14 4 3 2 2 2 4" xfId="7839"/>
    <cellStyle name="Normal 14 4 3 2 2 2 4 2" xfId="25119"/>
    <cellStyle name="Normal 14 4 3 2 2 2 5" xfId="13599"/>
    <cellStyle name="Normal 14 4 3 2 2 2 5 2" xfId="30879"/>
    <cellStyle name="Normal 14 4 3 2 2 2 6" xfId="19359"/>
    <cellStyle name="Normal 14 4 3 2 2 3" xfId="2799"/>
    <cellStyle name="Normal 14 4 3 2 2 3 2" xfId="5679"/>
    <cellStyle name="Normal 14 4 3 2 2 3 2 2" xfId="11439"/>
    <cellStyle name="Normal 14 4 3 2 2 3 2 2 2" xfId="28719"/>
    <cellStyle name="Normal 14 4 3 2 2 3 2 3" xfId="17199"/>
    <cellStyle name="Normal 14 4 3 2 2 3 2 3 2" xfId="34479"/>
    <cellStyle name="Normal 14 4 3 2 2 3 2 4" xfId="22959"/>
    <cellStyle name="Normal 14 4 3 2 2 3 3" xfId="8559"/>
    <cellStyle name="Normal 14 4 3 2 2 3 3 2" xfId="25839"/>
    <cellStyle name="Normal 14 4 3 2 2 3 4" xfId="14319"/>
    <cellStyle name="Normal 14 4 3 2 2 3 4 2" xfId="31599"/>
    <cellStyle name="Normal 14 4 3 2 2 3 5" xfId="20079"/>
    <cellStyle name="Normal 14 4 3 2 2 4" xfId="4239"/>
    <cellStyle name="Normal 14 4 3 2 2 4 2" xfId="9999"/>
    <cellStyle name="Normal 14 4 3 2 2 4 2 2" xfId="27279"/>
    <cellStyle name="Normal 14 4 3 2 2 4 3" xfId="15759"/>
    <cellStyle name="Normal 14 4 3 2 2 4 3 2" xfId="33039"/>
    <cellStyle name="Normal 14 4 3 2 2 4 4" xfId="21519"/>
    <cellStyle name="Normal 14 4 3 2 2 5" xfId="7119"/>
    <cellStyle name="Normal 14 4 3 2 2 5 2" xfId="24399"/>
    <cellStyle name="Normal 14 4 3 2 2 6" xfId="12879"/>
    <cellStyle name="Normal 14 4 3 2 2 6 2" xfId="30159"/>
    <cellStyle name="Normal 14 4 3 2 2 7" xfId="18639"/>
    <cellStyle name="Normal 14 4 3 2 3" xfId="1599"/>
    <cellStyle name="Normal 14 4 3 2 3 2" xfId="2319"/>
    <cellStyle name="Normal 14 4 3 2 3 2 2" xfId="3759"/>
    <cellStyle name="Normal 14 4 3 2 3 2 2 2" xfId="6639"/>
    <cellStyle name="Normal 14 4 3 2 3 2 2 2 2" xfId="12399"/>
    <cellStyle name="Normal 14 4 3 2 3 2 2 2 2 2" xfId="29679"/>
    <cellStyle name="Normal 14 4 3 2 3 2 2 2 3" xfId="18159"/>
    <cellStyle name="Normal 14 4 3 2 3 2 2 2 3 2" xfId="35439"/>
    <cellStyle name="Normal 14 4 3 2 3 2 2 2 4" xfId="23919"/>
    <cellStyle name="Normal 14 4 3 2 3 2 2 3" xfId="9519"/>
    <cellStyle name="Normal 14 4 3 2 3 2 2 3 2" xfId="26799"/>
    <cellStyle name="Normal 14 4 3 2 3 2 2 4" xfId="15279"/>
    <cellStyle name="Normal 14 4 3 2 3 2 2 4 2" xfId="32559"/>
    <cellStyle name="Normal 14 4 3 2 3 2 2 5" xfId="21039"/>
    <cellStyle name="Normal 14 4 3 2 3 2 3" xfId="5199"/>
    <cellStyle name="Normal 14 4 3 2 3 2 3 2" xfId="10959"/>
    <cellStyle name="Normal 14 4 3 2 3 2 3 2 2" xfId="28239"/>
    <cellStyle name="Normal 14 4 3 2 3 2 3 3" xfId="16719"/>
    <cellStyle name="Normal 14 4 3 2 3 2 3 3 2" xfId="33999"/>
    <cellStyle name="Normal 14 4 3 2 3 2 3 4" xfId="22479"/>
    <cellStyle name="Normal 14 4 3 2 3 2 4" xfId="8079"/>
    <cellStyle name="Normal 14 4 3 2 3 2 4 2" xfId="25359"/>
    <cellStyle name="Normal 14 4 3 2 3 2 5" xfId="13839"/>
    <cellStyle name="Normal 14 4 3 2 3 2 5 2" xfId="31119"/>
    <cellStyle name="Normal 14 4 3 2 3 2 6" xfId="19599"/>
    <cellStyle name="Normal 14 4 3 2 3 3" xfId="3039"/>
    <cellStyle name="Normal 14 4 3 2 3 3 2" xfId="5919"/>
    <cellStyle name="Normal 14 4 3 2 3 3 2 2" xfId="11679"/>
    <cellStyle name="Normal 14 4 3 2 3 3 2 2 2" xfId="28959"/>
    <cellStyle name="Normal 14 4 3 2 3 3 2 3" xfId="17439"/>
    <cellStyle name="Normal 14 4 3 2 3 3 2 3 2" xfId="34719"/>
    <cellStyle name="Normal 14 4 3 2 3 3 2 4" xfId="23199"/>
    <cellStyle name="Normal 14 4 3 2 3 3 3" xfId="8799"/>
    <cellStyle name="Normal 14 4 3 2 3 3 3 2" xfId="26079"/>
    <cellStyle name="Normal 14 4 3 2 3 3 4" xfId="14559"/>
    <cellStyle name="Normal 14 4 3 2 3 3 4 2" xfId="31839"/>
    <cellStyle name="Normal 14 4 3 2 3 3 5" xfId="20319"/>
    <cellStyle name="Normal 14 4 3 2 3 4" xfId="4479"/>
    <cellStyle name="Normal 14 4 3 2 3 4 2" xfId="10239"/>
    <cellStyle name="Normal 14 4 3 2 3 4 2 2" xfId="27519"/>
    <cellStyle name="Normal 14 4 3 2 3 4 3" xfId="15999"/>
    <cellStyle name="Normal 14 4 3 2 3 4 3 2" xfId="33279"/>
    <cellStyle name="Normal 14 4 3 2 3 4 4" xfId="21759"/>
    <cellStyle name="Normal 14 4 3 2 3 5" xfId="7359"/>
    <cellStyle name="Normal 14 4 3 2 3 5 2" xfId="24639"/>
    <cellStyle name="Normal 14 4 3 2 3 6" xfId="13119"/>
    <cellStyle name="Normal 14 4 3 2 3 6 2" xfId="30399"/>
    <cellStyle name="Normal 14 4 3 2 3 7" xfId="18879"/>
    <cellStyle name="Normal 14 4 3 2 4" xfId="1839"/>
    <cellStyle name="Normal 14 4 3 2 4 2" xfId="3279"/>
    <cellStyle name="Normal 14 4 3 2 4 2 2" xfId="6159"/>
    <cellStyle name="Normal 14 4 3 2 4 2 2 2" xfId="11919"/>
    <cellStyle name="Normal 14 4 3 2 4 2 2 2 2" xfId="29199"/>
    <cellStyle name="Normal 14 4 3 2 4 2 2 3" xfId="17679"/>
    <cellStyle name="Normal 14 4 3 2 4 2 2 3 2" xfId="34959"/>
    <cellStyle name="Normal 14 4 3 2 4 2 2 4" xfId="23439"/>
    <cellStyle name="Normal 14 4 3 2 4 2 3" xfId="9039"/>
    <cellStyle name="Normal 14 4 3 2 4 2 3 2" xfId="26319"/>
    <cellStyle name="Normal 14 4 3 2 4 2 4" xfId="14799"/>
    <cellStyle name="Normal 14 4 3 2 4 2 4 2" xfId="32079"/>
    <cellStyle name="Normal 14 4 3 2 4 2 5" xfId="20559"/>
    <cellStyle name="Normal 14 4 3 2 4 3" xfId="4719"/>
    <cellStyle name="Normal 14 4 3 2 4 3 2" xfId="10479"/>
    <cellStyle name="Normal 14 4 3 2 4 3 2 2" xfId="27759"/>
    <cellStyle name="Normal 14 4 3 2 4 3 3" xfId="16239"/>
    <cellStyle name="Normal 14 4 3 2 4 3 3 2" xfId="33519"/>
    <cellStyle name="Normal 14 4 3 2 4 3 4" xfId="21999"/>
    <cellStyle name="Normal 14 4 3 2 4 4" xfId="7599"/>
    <cellStyle name="Normal 14 4 3 2 4 4 2" xfId="24879"/>
    <cellStyle name="Normal 14 4 3 2 4 5" xfId="13359"/>
    <cellStyle name="Normal 14 4 3 2 4 5 2" xfId="30639"/>
    <cellStyle name="Normal 14 4 3 2 4 6" xfId="19119"/>
    <cellStyle name="Normal 14 4 3 2 5" xfId="2559"/>
    <cellStyle name="Normal 14 4 3 2 5 2" xfId="5439"/>
    <cellStyle name="Normal 14 4 3 2 5 2 2" xfId="11199"/>
    <cellStyle name="Normal 14 4 3 2 5 2 2 2" xfId="28479"/>
    <cellStyle name="Normal 14 4 3 2 5 2 3" xfId="16959"/>
    <cellStyle name="Normal 14 4 3 2 5 2 3 2" xfId="34239"/>
    <cellStyle name="Normal 14 4 3 2 5 2 4" xfId="22719"/>
    <cellStyle name="Normal 14 4 3 2 5 3" xfId="8319"/>
    <cellStyle name="Normal 14 4 3 2 5 3 2" xfId="25599"/>
    <cellStyle name="Normal 14 4 3 2 5 4" xfId="14079"/>
    <cellStyle name="Normal 14 4 3 2 5 4 2" xfId="31359"/>
    <cellStyle name="Normal 14 4 3 2 5 5" xfId="19839"/>
    <cellStyle name="Normal 14 4 3 2 6" xfId="3999"/>
    <cellStyle name="Normal 14 4 3 2 6 2" xfId="9759"/>
    <cellStyle name="Normal 14 4 3 2 6 2 2" xfId="27039"/>
    <cellStyle name="Normal 14 4 3 2 6 3" xfId="15519"/>
    <cellStyle name="Normal 14 4 3 2 6 3 2" xfId="32799"/>
    <cellStyle name="Normal 14 4 3 2 6 4" xfId="21279"/>
    <cellStyle name="Normal 14 4 3 2 7" xfId="6879"/>
    <cellStyle name="Normal 14 4 3 2 7 2" xfId="24159"/>
    <cellStyle name="Normal 14 4 3 2 8" xfId="12639"/>
    <cellStyle name="Normal 14 4 3 2 8 2" xfId="29919"/>
    <cellStyle name="Normal 14 4 3 2 9" xfId="18399"/>
    <cellStyle name="Normal 14 4 3 3" xfId="1239"/>
    <cellStyle name="Normal 14 4 3 3 2" xfId="1959"/>
    <cellStyle name="Normal 14 4 3 3 2 2" xfId="3399"/>
    <cellStyle name="Normal 14 4 3 3 2 2 2" xfId="6279"/>
    <cellStyle name="Normal 14 4 3 3 2 2 2 2" xfId="12039"/>
    <cellStyle name="Normal 14 4 3 3 2 2 2 2 2" xfId="29319"/>
    <cellStyle name="Normal 14 4 3 3 2 2 2 3" xfId="17799"/>
    <cellStyle name="Normal 14 4 3 3 2 2 2 3 2" xfId="35079"/>
    <cellStyle name="Normal 14 4 3 3 2 2 2 4" xfId="23559"/>
    <cellStyle name="Normal 14 4 3 3 2 2 3" xfId="9159"/>
    <cellStyle name="Normal 14 4 3 3 2 2 3 2" xfId="26439"/>
    <cellStyle name="Normal 14 4 3 3 2 2 4" xfId="14919"/>
    <cellStyle name="Normal 14 4 3 3 2 2 4 2" xfId="32199"/>
    <cellStyle name="Normal 14 4 3 3 2 2 5" xfId="20679"/>
    <cellStyle name="Normal 14 4 3 3 2 3" xfId="4839"/>
    <cellStyle name="Normal 14 4 3 3 2 3 2" xfId="10599"/>
    <cellStyle name="Normal 14 4 3 3 2 3 2 2" xfId="27879"/>
    <cellStyle name="Normal 14 4 3 3 2 3 3" xfId="16359"/>
    <cellStyle name="Normal 14 4 3 3 2 3 3 2" xfId="33639"/>
    <cellStyle name="Normal 14 4 3 3 2 3 4" xfId="22119"/>
    <cellStyle name="Normal 14 4 3 3 2 4" xfId="7719"/>
    <cellStyle name="Normal 14 4 3 3 2 4 2" xfId="24999"/>
    <cellStyle name="Normal 14 4 3 3 2 5" xfId="13479"/>
    <cellStyle name="Normal 14 4 3 3 2 5 2" xfId="30759"/>
    <cellStyle name="Normal 14 4 3 3 2 6" xfId="19239"/>
    <cellStyle name="Normal 14 4 3 3 3" xfId="2679"/>
    <cellStyle name="Normal 14 4 3 3 3 2" xfId="5559"/>
    <cellStyle name="Normal 14 4 3 3 3 2 2" xfId="11319"/>
    <cellStyle name="Normal 14 4 3 3 3 2 2 2" xfId="28599"/>
    <cellStyle name="Normal 14 4 3 3 3 2 3" xfId="17079"/>
    <cellStyle name="Normal 14 4 3 3 3 2 3 2" xfId="34359"/>
    <cellStyle name="Normal 14 4 3 3 3 2 4" xfId="22839"/>
    <cellStyle name="Normal 14 4 3 3 3 3" xfId="8439"/>
    <cellStyle name="Normal 14 4 3 3 3 3 2" xfId="25719"/>
    <cellStyle name="Normal 14 4 3 3 3 4" xfId="14199"/>
    <cellStyle name="Normal 14 4 3 3 3 4 2" xfId="31479"/>
    <cellStyle name="Normal 14 4 3 3 3 5" xfId="19959"/>
    <cellStyle name="Normal 14 4 3 3 4" xfId="4119"/>
    <cellStyle name="Normal 14 4 3 3 4 2" xfId="9879"/>
    <cellStyle name="Normal 14 4 3 3 4 2 2" xfId="27159"/>
    <cellStyle name="Normal 14 4 3 3 4 3" xfId="15639"/>
    <cellStyle name="Normal 14 4 3 3 4 3 2" xfId="32919"/>
    <cellStyle name="Normal 14 4 3 3 4 4" xfId="21399"/>
    <cellStyle name="Normal 14 4 3 3 5" xfId="6999"/>
    <cellStyle name="Normal 14 4 3 3 5 2" xfId="24279"/>
    <cellStyle name="Normal 14 4 3 3 6" xfId="12759"/>
    <cellStyle name="Normal 14 4 3 3 6 2" xfId="30039"/>
    <cellStyle name="Normal 14 4 3 3 7" xfId="18519"/>
    <cellStyle name="Normal 14 4 3 4" xfId="1479"/>
    <cellStyle name="Normal 14 4 3 4 2" xfId="2199"/>
    <cellStyle name="Normal 14 4 3 4 2 2" xfId="3639"/>
    <cellStyle name="Normal 14 4 3 4 2 2 2" xfId="6519"/>
    <cellStyle name="Normal 14 4 3 4 2 2 2 2" xfId="12279"/>
    <cellStyle name="Normal 14 4 3 4 2 2 2 2 2" xfId="29559"/>
    <cellStyle name="Normal 14 4 3 4 2 2 2 3" xfId="18039"/>
    <cellStyle name="Normal 14 4 3 4 2 2 2 3 2" xfId="35319"/>
    <cellStyle name="Normal 14 4 3 4 2 2 2 4" xfId="23799"/>
    <cellStyle name="Normal 14 4 3 4 2 2 3" xfId="9399"/>
    <cellStyle name="Normal 14 4 3 4 2 2 3 2" xfId="26679"/>
    <cellStyle name="Normal 14 4 3 4 2 2 4" xfId="15159"/>
    <cellStyle name="Normal 14 4 3 4 2 2 4 2" xfId="32439"/>
    <cellStyle name="Normal 14 4 3 4 2 2 5" xfId="20919"/>
    <cellStyle name="Normal 14 4 3 4 2 3" xfId="5079"/>
    <cellStyle name="Normal 14 4 3 4 2 3 2" xfId="10839"/>
    <cellStyle name="Normal 14 4 3 4 2 3 2 2" xfId="28119"/>
    <cellStyle name="Normal 14 4 3 4 2 3 3" xfId="16599"/>
    <cellStyle name="Normal 14 4 3 4 2 3 3 2" xfId="33879"/>
    <cellStyle name="Normal 14 4 3 4 2 3 4" xfId="22359"/>
    <cellStyle name="Normal 14 4 3 4 2 4" xfId="7959"/>
    <cellStyle name="Normal 14 4 3 4 2 4 2" xfId="25239"/>
    <cellStyle name="Normal 14 4 3 4 2 5" xfId="13719"/>
    <cellStyle name="Normal 14 4 3 4 2 5 2" xfId="30999"/>
    <cellStyle name="Normal 14 4 3 4 2 6" xfId="19479"/>
    <cellStyle name="Normal 14 4 3 4 3" xfId="2919"/>
    <cellStyle name="Normal 14 4 3 4 3 2" xfId="5799"/>
    <cellStyle name="Normal 14 4 3 4 3 2 2" xfId="11559"/>
    <cellStyle name="Normal 14 4 3 4 3 2 2 2" xfId="28839"/>
    <cellStyle name="Normal 14 4 3 4 3 2 3" xfId="17319"/>
    <cellStyle name="Normal 14 4 3 4 3 2 3 2" xfId="34599"/>
    <cellStyle name="Normal 14 4 3 4 3 2 4" xfId="23079"/>
    <cellStyle name="Normal 14 4 3 4 3 3" xfId="8679"/>
    <cellStyle name="Normal 14 4 3 4 3 3 2" xfId="25959"/>
    <cellStyle name="Normal 14 4 3 4 3 4" xfId="14439"/>
    <cellStyle name="Normal 14 4 3 4 3 4 2" xfId="31719"/>
    <cellStyle name="Normal 14 4 3 4 3 5" xfId="20199"/>
    <cellStyle name="Normal 14 4 3 4 4" xfId="4359"/>
    <cellStyle name="Normal 14 4 3 4 4 2" xfId="10119"/>
    <cellStyle name="Normal 14 4 3 4 4 2 2" xfId="27399"/>
    <cellStyle name="Normal 14 4 3 4 4 3" xfId="15879"/>
    <cellStyle name="Normal 14 4 3 4 4 3 2" xfId="33159"/>
    <cellStyle name="Normal 14 4 3 4 4 4" xfId="21639"/>
    <cellStyle name="Normal 14 4 3 4 5" xfId="7239"/>
    <cellStyle name="Normal 14 4 3 4 5 2" xfId="24519"/>
    <cellStyle name="Normal 14 4 3 4 6" xfId="12999"/>
    <cellStyle name="Normal 14 4 3 4 6 2" xfId="30279"/>
    <cellStyle name="Normal 14 4 3 4 7" xfId="18759"/>
    <cellStyle name="Normal 14 4 3 5" xfId="1719"/>
    <cellStyle name="Normal 14 4 3 5 2" xfId="3159"/>
    <cellStyle name="Normal 14 4 3 5 2 2" xfId="6039"/>
    <cellStyle name="Normal 14 4 3 5 2 2 2" xfId="11799"/>
    <cellStyle name="Normal 14 4 3 5 2 2 2 2" xfId="29079"/>
    <cellStyle name="Normal 14 4 3 5 2 2 3" xfId="17559"/>
    <cellStyle name="Normal 14 4 3 5 2 2 3 2" xfId="34839"/>
    <cellStyle name="Normal 14 4 3 5 2 2 4" xfId="23319"/>
    <cellStyle name="Normal 14 4 3 5 2 3" xfId="8919"/>
    <cellStyle name="Normal 14 4 3 5 2 3 2" xfId="26199"/>
    <cellStyle name="Normal 14 4 3 5 2 4" xfId="14679"/>
    <cellStyle name="Normal 14 4 3 5 2 4 2" xfId="31959"/>
    <cellStyle name="Normal 14 4 3 5 2 5" xfId="20439"/>
    <cellStyle name="Normal 14 4 3 5 3" xfId="4599"/>
    <cellStyle name="Normal 14 4 3 5 3 2" xfId="10359"/>
    <cellStyle name="Normal 14 4 3 5 3 2 2" xfId="27639"/>
    <cellStyle name="Normal 14 4 3 5 3 3" xfId="16119"/>
    <cellStyle name="Normal 14 4 3 5 3 3 2" xfId="33399"/>
    <cellStyle name="Normal 14 4 3 5 3 4" xfId="21879"/>
    <cellStyle name="Normal 14 4 3 5 4" xfId="7479"/>
    <cellStyle name="Normal 14 4 3 5 4 2" xfId="24759"/>
    <cellStyle name="Normal 14 4 3 5 5" xfId="13239"/>
    <cellStyle name="Normal 14 4 3 5 5 2" xfId="30519"/>
    <cellStyle name="Normal 14 4 3 5 6" xfId="18999"/>
    <cellStyle name="Normal 14 4 3 6" xfId="2439"/>
    <cellStyle name="Normal 14 4 3 6 2" xfId="5319"/>
    <cellStyle name="Normal 14 4 3 6 2 2" xfId="11079"/>
    <cellStyle name="Normal 14 4 3 6 2 2 2" xfId="28359"/>
    <cellStyle name="Normal 14 4 3 6 2 3" xfId="16839"/>
    <cellStyle name="Normal 14 4 3 6 2 3 2" xfId="34119"/>
    <cellStyle name="Normal 14 4 3 6 2 4" xfId="22599"/>
    <cellStyle name="Normal 14 4 3 6 3" xfId="8199"/>
    <cellStyle name="Normal 14 4 3 6 3 2" xfId="25479"/>
    <cellStyle name="Normal 14 4 3 6 4" xfId="13959"/>
    <cellStyle name="Normal 14 4 3 6 4 2" xfId="31239"/>
    <cellStyle name="Normal 14 4 3 6 5" xfId="19719"/>
    <cellStyle name="Normal 14 4 3 7" xfId="3879"/>
    <cellStyle name="Normal 14 4 3 7 2" xfId="9639"/>
    <cellStyle name="Normal 14 4 3 7 2 2" xfId="26919"/>
    <cellStyle name="Normal 14 4 3 7 3" xfId="15399"/>
    <cellStyle name="Normal 14 4 3 7 3 2" xfId="32679"/>
    <cellStyle name="Normal 14 4 3 7 4" xfId="21159"/>
    <cellStyle name="Normal 14 4 3 8" xfId="6759"/>
    <cellStyle name="Normal 14 4 3 8 2" xfId="24039"/>
    <cellStyle name="Normal 14 4 3 9" xfId="12519"/>
    <cellStyle name="Normal 14 4 3 9 2" xfId="29799"/>
    <cellStyle name="Normal 14 4 4" xfId="1079"/>
    <cellStyle name="Normal 14 4 4 2" xfId="1319"/>
    <cellStyle name="Normal 14 4 4 2 2" xfId="2039"/>
    <cellStyle name="Normal 14 4 4 2 2 2" xfId="3479"/>
    <cellStyle name="Normal 14 4 4 2 2 2 2" xfId="6359"/>
    <cellStyle name="Normal 14 4 4 2 2 2 2 2" xfId="12119"/>
    <cellStyle name="Normal 14 4 4 2 2 2 2 2 2" xfId="29399"/>
    <cellStyle name="Normal 14 4 4 2 2 2 2 3" xfId="17879"/>
    <cellStyle name="Normal 14 4 4 2 2 2 2 3 2" xfId="35159"/>
    <cellStyle name="Normal 14 4 4 2 2 2 2 4" xfId="23639"/>
    <cellStyle name="Normal 14 4 4 2 2 2 3" xfId="9239"/>
    <cellStyle name="Normal 14 4 4 2 2 2 3 2" xfId="26519"/>
    <cellStyle name="Normal 14 4 4 2 2 2 4" xfId="14999"/>
    <cellStyle name="Normal 14 4 4 2 2 2 4 2" xfId="32279"/>
    <cellStyle name="Normal 14 4 4 2 2 2 5" xfId="20759"/>
    <cellStyle name="Normal 14 4 4 2 2 3" xfId="4919"/>
    <cellStyle name="Normal 14 4 4 2 2 3 2" xfId="10679"/>
    <cellStyle name="Normal 14 4 4 2 2 3 2 2" xfId="27959"/>
    <cellStyle name="Normal 14 4 4 2 2 3 3" xfId="16439"/>
    <cellStyle name="Normal 14 4 4 2 2 3 3 2" xfId="33719"/>
    <cellStyle name="Normal 14 4 4 2 2 3 4" xfId="22199"/>
    <cellStyle name="Normal 14 4 4 2 2 4" xfId="7799"/>
    <cellStyle name="Normal 14 4 4 2 2 4 2" xfId="25079"/>
    <cellStyle name="Normal 14 4 4 2 2 5" xfId="13559"/>
    <cellStyle name="Normal 14 4 4 2 2 5 2" xfId="30839"/>
    <cellStyle name="Normal 14 4 4 2 2 6" xfId="19319"/>
    <cellStyle name="Normal 14 4 4 2 3" xfId="2759"/>
    <cellStyle name="Normal 14 4 4 2 3 2" xfId="5639"/>
    <cellStyle name="Normal 14 4 4 2 3 2 2" xfId="11399"/>
    <cellStyle name="Normal 14 4 4 2 3 2 2 2" xfId="28679"/>
    <cellStyle name="Normal 14 4 4 2 3 2 3" xfId="17159"/>
    <cellStyle name="Normal 14 4 4 2 3 2 3 2" xfId="34439"/>
    <cellStyle name="Normal 14 4 4 2 3 2 4" xfId="22919"/>
    <cellStyle name="Normal 14 4 4 2 3 3" xfId="8519"/>
    <cellStyle name="Normal 14 4 4 2 3 3 2" xfId="25799"/>
    <cellStyle name="Normal 14 4 4 2 3 4" xfId="14279"/>
    <cellStyle name="Normal 14 4 4 2 3 4 2" xfId="31559"/>
    <cellStyle name="Normal 14 4 4 2 3 5" xfId="20039"/>
    <cellStyle name="Normal 14 4 4 2 4" xfId="4199"/>
    <cellStyle name="Normal 14 4 4 2 4 2" xfId="9959"/>
    <cellStyle name="Normal 14 4 4 2 4 2 2" xfId="27239"/>
    <cellStyle name="Normal 14 4 4 2 4 3" xfId="15719"/>
    <cellStyle name="Normal 14 4 4 2 4 3 2" xfId="32999"/>
    <cellStyle name="Normal 14 4 4 2 4 4" xfId="21479"/>
    <cellStyle name="Normal 14 4 4 2 5" xfId="7079"/>
    <cellStyle name="Normal 14 4 4 2 5 2" xfId="24359"/>
    <cellStyle name="Normal 14 4 4 2 6" xfId="12839"/>
    <cellStyle name="Normal 14 4 4 2 6 2" xfId="30119"/>
    <cellStyle name="Normal 14 4 4 2 7" xfId="18599"/>
    <cellStyle name="Normal 14 4 4 3" xfId="1559"/>
    <cellStyle name="Normal 14 4 4 3 2" xfId="2279"/>
    <cellStyle name="Normal 14 4 4 3 2 2" xfId="3719"/>
    <cellStyle name="Normal 14 4 4 3 2 2 2" xfId="6599"/>
    <cellStyle name="Normal 14 4 4 3 2 2 2 2" xfId="12359"/>
    <cellStyle name="Normal 14 4 4 3 2 2 2 2 2" xfId="29639"/>
    <cellStyle name="Normal 14 4 4 3 2 2 2 3" xfId="18119"/>
    <cellStyle name="Normal 14 4 4 3 2 2 2 3 2" xfId="35399"/>
    <cellStyle name="Normal 14 4 4 3 2 2 2 4" xfId="23879"/>
    <cellStyle name="Normal 14 4 4 3 2 2 3" xfId="9479"/>
    <cellStyle name="Normal 14 4 4 3 2 2 3 2" xfId="26759"/>
    <cellStyle name="Normal 14 4 4 3 2 2 4" xfId="15239"/>
    <cellStyle name="Normal 14 4 4 3 2 2 4 2" xfId="32519"/>
    <cellStyle name="Normal 14 4 4 3 2 2 5" xfId="20999"/>
    <cellStyle name="Normal 14 4 4 3 2 3" xfId="5159"/>
    <cellStyle name="Normal 14 4 4 3 2 3 2" xfId="10919"/>
    <cellStyle name="Normal 14 4 4 3 2 3 2 2" xfId="28199"/>
    <cellStyle name="Normal 14 4 4 3 2 3 3" xfId="16679"/>
    <cellStyle name="Normal 14 4 4 3 2 3 3 2" xfId="33959"/>
    <cellStyle name="Normal 14 4 4 3 2 3 4" xfId="22439"/>
    <cellStyle name="Normal 14 4 4 3 2 4" xfId="8039"/>
    <cellStyle name="Normal 14 4 4 3 2 4 2" xfId="25319"/>
    <cellStyle name="Normal 14 4 4 3 2 5" xfId="13799"/>
    <cellStyle name="Normal 14 4 4 3 2 5 2" xfId="31079"/>
    <cellStyle name="Normal 14 4 4 3 2 6" xfId="19559"/>
    <cellStyle name="Normal 14 4 4 3 3" xfId="2999"/>
    <cellStyle name="Normal 14 4 4 3 3 2" xfId="5879"/>
    <cellStyle name="Normal 14 4 4 3 3 2 2" xfId="11639"/>
    <cellStyle name="Normal 14 4 4 3 3 2 2 2" xfId="28919"/>
    <cellStyle name="Normal 14 4 4 3 3 2 3" xfId="17399"/>
    <cellStyle name="Normal 14 4 4 3 3 2 3 2" xfId="34679"/>
    <cellStyle name="Normal 14 4 4 3 3 2 4" xfId="23159"/>
    <cellStyle name="Normal 14 4 4 3 3 3" xfId="8759"/>
    <cellStyle name="Normal 14 4 4 3 3 3 2" xfId="26039"/>
    <cellStyle name="Normal 14 4 4 3 3 4" xfId="14519"/>
    <cellStyle name="Normal 14 4 4 3 3 4 2" xfId="31799"/>
    <cellStyle name="Normal 14 4 4 3 3 5" xfId="20279"/>
    <cellStyle name="Normal 14 4 4 3 4" xfId="4439"/>
    <cellStyle name="Normal 14 4 4 3 4 2" xfId="10199"/>
    <cellStyle name="Normal 14 4 4 3 4 2 2" xfId="27479"/>
    <cellStyle name="Normal 14 4 4 3 4 3" xfId="15959"/>
    <cellStyle name="Normal 14 4 4 3 4 3 2" xfId="33239"/>
    <cellStyle name="Normal 14 4 4 3 4 4" xfId="21719"/>
    <cellStyle name="Normal 14 4 4 3 5" xfId="7319"/>
    <cellStyle name="Normal 14 4 4 3 5 2" xfId="24599"/>
    <cellStyle name="Normal 14 4 4 3 6" xfId="13079"/>
    <cellStyle name="Normal 14 4 4 3 6 2" xfId="30359"/>
    <cellStyle name="Normal 14 4 4 3 7" xfId="18839"/>
    <cellStyle name="Normal 14 4 4 4" xfId="1799"/>
    <cellStyle name="Normal 14 4 4 4 2" xfId="3239"/>
    <cellStyle name="Normal 14 4 4 4 2 2" xfId="6119"/>
    <cellStyle name="Normal 14 4 4 4 2 2 2" xfId="11879"/>
    <cellStyle name="Normal 14 4 4 4 2 2 2 2" xfId="29159"/>
    <cellStyle name="Normal 14 4 4 4 2 2 3" xfId="17639"/>
    <cellStyle name="Normal 14 4 4 4 2 2 3 2" xfId="34919"/>
    <cellStyle name="Normal 14 4 4 4 2 2 4" xfId="23399"/>
    <cellStyle name="Normal 14 4 4 4 2 3" xfId="8999"/>
    <cellStyle name="Normal 14 4 4 4 2 3 2" xfId="26279"/>
    <cellStyle name="Normal 14 4 4 4 2 4" xfId="14759"/>
    <cellStyle name="Normal 14 4 4 4 2 4 2" xfId="32039"/>
    <cellStyle name="Normal 14 4 4 4 2 5" xfId="20519"/>
    <cellStyle name="Normal 14 4 4 4 3" xfId="4679"/>
    <cellStyle name="Normal 14 4 4 4 3 2" xfId="10439"/>
    <cellStyle name="Normal 14 4 4 4 3 2 2" xfId="27719"/>
    <cellStyle name="Normal 14 4 4 4 3 3" xfId="16199"/>
    <cellStyle name="Normal 14 4 4 4 3 3 2" xfId="33479"/>
    <cellStyle name="Normal 14 4 4 4 3 4" xfId="21959"/>
    <cellStyle name="Normal 14 4 4 4 4" xfId="7559"/>
    <cellStyle name="Normal 14 4 4 4 4 2" xfId="24839"/>
    <cellStyle name="Normal 14 4 4 4 5" xfId="13319"/>
    <cellStyle name="Normal 14 4 4 4 5 2" xfId="30599"/>
    <cellStyle name="Normal 14 4 4 4 6" xfId="19079"/>
    <cellStyle name="Normal 14 4 4 5" xfId="2519"/>
    <cellStyle name="Normal 14 4 4 5 2" xfId="5399"/>
    <cellStyle name="Normal 14 4 4 5 2 2" xfId="11159"/>
    <cellStyle name="Normal 14 4 4 5 2 2 2" xfId="28439"/>
    <cellStyle name="Normal 14 4 4 5 2 3" xfId="16919"/>
    <cellStyle name="Normal 14 4 4 5 2 3 2" xfId="34199"/>
    <cellStyle name="Normal 14 4 4 5 2 4" xfId="22679"/>
    <cellStyle name="Normal 14 4 4 5 3" xfId="8279"/>
    <cellStyle name="Normal 14 4 4 5 3 2" xfId="25559"/>
    <cellStyle name="Normal 14 4 4 5 4" xfId="14039"/>
    <cellStyle name="Normal 14 4 4 5 4 2" xfId="31319"/>
    <cellStyle name="Normal 14 4 4 5 5" xfId="19799"/>
    <cellStyle name="Normal 14 4 4 6" xfId="3959"/>
    <cellStyle name="Normal 14 4 4 6 2" xfId="9719"/>
    <cellStyle name="Normal 14 4 4 6 2 2" xfId="26999"/>
    <cellStyle name="Normal 14 4 4 6 3" xfId="15479"/>
    <cellStyle name="Normal 14 4 4 6 3 2" xfId="32759"/>
    <cellStyle name="Normal 14 4 4 6 4" xfId="21239"/>
    <cellStyle name="Normal 14 4 4 7" xfId="6839"/>
    <cellStyle name="Normal 14 4 4 7 2" xfId="24119"/>
    <cellStyle name="Normal 14 4 4 8" xfId="12599"/>
    <cellStyle name="Normal 14 4 4 8 2" xfId="29879"/>
    <cellStyle name="Normal 14 4 4 9" xfId="18359"/>
    <cellStyle name="Normal 14 4 5" xfId="1199"/>
    <cellStyle name="Normal 14 4 5 2" xfId="1919"/>
    <cellStyle name="Normal 14 4 5 2 2" xfId="3359"/>
    <cellStyle name="Normal 14 4 5 2 2 2" xfId="6239"/>
    <cellStyle name="Normal 14 4 5 2 2 2 2" xfId="11999"/>
    <cellStyle name="Normal 14 4 5 2 2 2 2 2" xfId="29279"/>
    <cellStyle name="Normal 14 4 5 2 2 2 3" xfId="17759"/>
    <cellStyle name="Normal 14 4 5 2 2 2 3 2" xfId="35039"/>
    <cellStyle name="Normal 14 4 5 2 2 2 4" xfId="23519"/>
    <cellStyle name="Normal 14 4 5 2 2 3" xfId="9119"/>
    <cellStyle name="Normal 14 4 5 2 2 3 2" xfId="26399"/>
    <cellStyle name="Normal 14 4 5 2 2 4" xfId="14879"/>
    <cellStyle name="Normal 14 4 5 2 2 4 2" xfId="32159"/>
    <cellStyle name="Normal 14 4 5 2 2 5" xfId="20639"/>
    <cellStyle name="Normal 14 4 5 2 3" xfId="4799"/>
    <cellStyle name="Normal 14 4 5 2 3 2" xfId="10559"/>
    <cellStyle name="Normal 14 4 5 2 3 2 2" xfId="27839"/>
    <cellStyle name="Normal 14 4 5 2 3 3" xfId="16319"/>
    <cellStyle name="Normal 14 4 5 2 3 3 2" xfId="33599"/>
    <cellStyle name="Normal 14 4 5 2 3 4" xfId="22079"/>
    <cellStyle name="Normal 14 4 5 2 4" xfId="7679"/>
    <cellStyle name="Normal 14 4 5 2 4 2" xfId="24959"/>
    <cellStyle name="Normal 14 4 5 2 5" xfId="13439"/>
    <cellStyle name="Normal 14 4 5 2 5 2" xfId="30719"/>
    <cellStyle name="Normal 14 4 5 2 6" xfId="19199"/>
    <cellStyle name="Normal 14 4 5 3" xfId="2639"/>
    <cellStyle name="Normal 14 4 5 3 2" xfId="5519"/>
    <cellStyle name="Normal 14 4 5 3 2 2" xfId="11279"/>
    <cellStyle name="Normal 14 4 5 3 2 2 2" xfId="28559"/>
    <cellStyle name="Normal 14 4 5 3 2 3" xfId="17039"/>
    <cellStyle name="Normal 14 4 5 3 2 3 2" xfId="34319"/>
    <cellStyle name="Normal 14 4 5 3 2 4" xfId="22799"/>
    <cellStyle name="Normal 14 4 5 3 3" xfId="8399"/>
    <cellStyle name="Normal 14 4 5 3 3 2" xfId="25679"/>
    <cellStyle name="Normal 14 4 5 3 4" xfId="14159"/>
    <cellStyle name="Normal 14 4 5 3 4 2" xfId="31439"/>
    <cellStyle name="Normal 14 4 5 3 5" xfId="19919"/>
    <cellStyle name="Normal 14 4 5 4" xfId="4079"/>
    <cellStyle name="Normal 14 4 5 4 2" xfId="9839"/>
    <cellStyle name="Normal 14 4 5 4 2 2" xfId="27119"/>
    <cellStyle name="Normal 14 4 5 4 3" xfId="15599"/>
    <cellStyle name="Normal 14 4 5 4 3 2" xfId="32879"/>
    <cellStyle name="Normal 14 4 5 4 4" xfId="21359"/>
    <cellStyle name="Normal 14 4 5 5" xfId="6959"/>
    <cellStyle name="Normal 14 4 5 5 2" xfId="24239"/>
    <cellStyle name="Normal 14 4 5 6" xfId="12719"/>
    <cellStyle name="Normal 14 4 5 6 2" xfId="29999"/>
    <cellStyle name="Normal 14 4 5 7" xfId="18479"/>
    <cellStyle name="Normal 14 4 6" xfId="1439"/>
    <cellStyle name="Normal 14 4 6 2" xfId="2159"/>
    <cellStyle name="Normal 14 4 6 2 2" xfId="3599"/>
    <cellStyle name="Normal 14 4 6 2 2 2" xfId="6479"/>
    <cellStyle name="Normal 14 4 6 2 2 2 2" xfId="12239"/>
    <cellStyle name="Normal 14 4 6 2 2 2 2 2" xfId="29519"/>
    <cellStyle name="Normal 14 4 6 2 2 2 3" xfId="17999"/>
    <cellStyle name="Normal 14 4 6 2 2 2 3 2" xfId="35279"/>
    <cellStyle name="Normal 14 4 6 2 2 2 4" xfId="23759"/>
    <cellStyle name="Normal 14 4 6 2 2 3" xfId="9359"/>
    <cellStyle name="Normal 14 4 6 2 2 3 2" xfId="26639"/>
    <cellStyle name="Normal 14 4 6 2 2 4" xfId="15119"/>
    <cellStyle name="Normal 14 4 6 2 2 4 2" xfId="32399"/>
    <cellStyle name="Normal 14 4 6 2 2 5" xfId="20879"/>
    <cellStyle name="Normal 14 4 6 2 3" xfId="5039"/>
    <cellStyle name="Normal 14 4 6 2 3 2" xfId="10799"/>
    <cellStyle name="Normal 14 4 6 2 3 2 2" xfId="28079"/>
    <cellStyle name="Normal 14 4 6 2 3 3" xfId="16559"/>
    <cellStyle name="Normal 14 4 6 2 3 3 2" xfId="33839"/>
    <cellStyle name="Normal 14 4 6 2 3 4" xfId="22319"/>
    <cellStyle name="Normal 14 4 6 2 4" xfId="7919"/>
    <cellStyle name="Normal 14 4 6 2 4 2" xfId="25199"/>
    <cellStyle name="Normal 14 4 6 2 5" xfId="13679"/>
    <cellStyle name="Normal 14 4 6 2 5 2" xfId="30959"/>
    <cellStyle name="Normal 14 4 6 2 6" xfId="19439"/>
    <cellStyle name="Normal 14 4 6 3" xfId="2879"/>
    <cellStyle name="Normal 14 4 6 3 2" xfId="5759"/>
    <cellStyle name="Normal 14 4 6 3 2 2" xfId="11519"/>
    <cellStyle name="Normal 14 4 6 3 2 2 2" xfId="28799"/>
    <cellStyle name="Normal 14 4 6 3 2 3" xfId="17279"/>
    <cellStyle name="Normal 14 4 6 3 2 3 2" xfId="34559"/>
    <cellStyle name="Normal 14 4 6 3 2 4" xfId="23039"/>
    <cellStyle name="Normal 14 4 6 3 3" xfId="8639"/>
    <cellStyle name="Normal 14 4 6 3 3 2" xfId="25919"/>
    <cellStyle name="Normal 14 4 6 3 4" xfId="14399"/>
    <cellStyle name="Normal 14 4 6 3 4 2" xfId="31679"/>
    <cellStyle name="Normal 14 4 6 3 5" xfId="20159"/>
    <cellStyle name="Normal 14 4 6 4" xfId="4319"/>
    <cellStyle name="Normal 14 4 6 4 2" xfId="10079"/>
    <cellStyle name="Normal 14 4 6 4 2 2" xfId="27359"/>
    <cellStyle name="Normal 14 4 6 4 3" xfId="15839"/>
    <cellStyle name="Normal 14 4 6 4 3 2" xfId="33119"/>
    <cellStyle name="Normal 14 4 6 4 4" xfId="21599"/>
    <cellStyle name="Normal 14 4 6 5" xfId="7199"/>
    <cellStyle name="Normal 14 4 6 5 2" xfId="24479"/>
    <cellStyle name="Normal 14 4 6 6" xfId="12959"/>
    <cellStyle name="Normal 14 4 6 6 2" xfId="30239"/>
    <cellStyle name="Normal 14 4 6 7" xfId="18719"/>
    <cellStyle name="Normal 14 4 7" xfId="1679"/>
    <cellStyle name="Normal 14 4 7 2" xfId="3119"/>
    <cellStyle name="Normal 14 4 7 2 2" xfId="5999"/>
    <cellStyle name="Normal 14 4 7 2 2 2" xfId="11759"/>
    <cellStyle name="Normal 14 4 7 2 2 2 2" xfId="29039"/>
    <cellStyle name="Normal 14 4 7 2 2 3" xfId="17519"/>
    <cellStyle name="Normal 14 4 7 2 2 3 2" xfId="34799"/>
    <cellStyle name="Normal 14 4 7 2 2 4" xfId="23279"/>
    <cellStyle name="Normal 14 4 7 2 3" xfId="8879"/>
    <cellStyle name="Normal 14 4 7 2 3 2" xfId="26159"/>
    <cellStyle name="Normal 14 4 7 2 4" xfId="14639"/>
    <cellStyle name="Normal 14 4 7 2 4 2" xfId="31919"/>
    <cellStyle name="Normal 14 4 7 2 5" xfId="20399"/>
    <cellStyle name="Normal 14 4 7 3" xfId="4559"/>
    <cellStyle name="Normal 14 4 7 3 2" xfId="10319"/>
    <cellStyle name="Normal 14 4 7 3 2 2" xfId="27599"/>
    <cellStyle name="Normal 14 4 7 3 3" xfId="16079"/>
    <cellStyle name="Normal 14 4 7 3 3 2" xfId="33359"/>
    <cellStyle name="Normal 14 4 7 3 4" xfId="21839"/>
    <cellStyle name="Normal 14 4 7 4" xfId="7439"/>
    <cellStyle name="Normal 14 4 7 4 2" xfId="24719"/>
    <cellStyle name="Normal 14 4 7 5" xfId="13199"/>
    <cellStyle name="Normal 14 4 7 5 2" xfId="30479"/>
    <cellStyle name="Normal 14 4 7 6" xfId="18959"/>
    <cellStyle name="Normal 14 4 8" xfId="2399"/>
    <cellStyle name="Normal 14 4 8 2" xfId="5279"/>
    <cellStyle name="Normal 14 4 8 2 2" xfId="11039"/>
    <cellStyle name="Normal 14 4 8 2 2 2" xfId="28319"/>
    <cellStyle name="Normal 14 4 8 2 3" xfId="16799"/>
    <cellStyle name="Normal 14 4 8 2 3 2" xfId="34079"/>
    <cellStyle name="Normal 14 4 8 2 4" xfId="22559"/>
    <cellStyle name="Normal 14 4 8 3" xfId="8159"/>
    <cellStyle name="Normal 14 4 8 3 2" xfId="25439"/>
    <cellStyle name="Normal 14 4 8 4" xfId="13919"/>
    <cellStyle name="Normal 14 4 8 4 2" xfId="31199"/>
    <cellStyle name="Normal 14 4 8 5" xfId="19679"/>
    <cellStyle name="Normal 14 4 9" xfId="3839"/>
    <cellStyle name="Normal 14 4 9 2" xfId="9599"/>
    <cellStyle name="Normal 14 4 9 2 2" xfId="26879"/>
    <cellStyle name="Normal 14 4 9 3" xfId="15359"/>
    <cellStyle name="Normal 14 4 9 3 2" xfId="32639"/>
    <cellStyle name="Normal 14 4 9 4" xfId="21119"/>
    <cellStyle name="Normal 14 5" xfId="1019"/>
    <cellStyle name="Normal 14 5 10" xfId="18299"/>
    <cellStyle name="Normal 14 5 2" xfId="1139"/>
    <cellStyle name="Normal 14 5 2 2" xfId="1379"/>
    <cellStyle name="Normal 14 5 2 2 2" xfId="2099"/>
    <cellStyle name="Normal 14 5 2 2 2 2" xfId="3539"/>
    <cellStyle name="Normal 14 5 2 2 2 2 2" xfId="6419"/>
    <cellStyle name="Normal 14 5 2 2 2 2 2 2" xfId="12179"/>
    <cellStyle name="Normal 14 5 2 2 2 2 2 2 2" xfId="29459"/>
    <cellStyle name="Normal 14 5 2 2 2 2 2 3" xfId="17939"/>
    <cellStyle name="Normal 14 5 2 2 2 2 2 3 2" xfId="35219"/>
    <cellStyle name="Normal 14 5 2 2 2 2 2 4" xfId="23699"/>
    <cellStyle name="Normal 14 5 2 2 2 2 3" xfId="9299"/>
    <cellStyle name="Normal 14 5 2 2 2 2 3 2" xfId="26579"/>
    <cellStyle name="Normal 14 5 2 2 2 2 4" xfId="15059"/>
    <cellStyle name="Normal 14 5 2 2 2 2 4 2" xfId="32339"/>
    <cellStyle name="Normal 14 5 2 2 2 2 5" xfId="20819"/>
    <cellStyle name="Normal 14 5 2 2 2 3" xfId="4979"/>
    <cellStyle name="Normal 14 5 2 2 2 3 2" xfId="10739"/>
    <cellStyle name="Normal 14 5 2 2 2 3 2 2" xfId="28019"/>
    <cellStyle name="Normal 14 5 2 2 2 3 3" xfId="16499"/>
    <cellStyle name="Normal 14 5 2 2 2 3 3 2" xfId="33779"/>
    <cellStyle name="Normal 14 5 2 2 2 3 4" xfId="22259"/>
    <cellStyle name="Normal 14 5 2 2 2 4" xfId="7859"/>
    <cellStyle name="Normal 14 5 2 2 2 4 2" xfId="25139"/>
    <cellStyle name="Normal 14 5 2 2 2 5" xfId="13619"/>
    <cellStyle name="Normal 14 5 2 2 2 5 2" xfId="30899"/>
    <cellStyle name="Normal 14 5 2 2 2 6" xfId="19379"/>
    <cellStyle name="Normal 14 5 2 2 3" xfId="2819"/>
    <cellStyle name="Normal 14 5 2 2 3 2" xfId="5699"/>
    <cellStyle name="Normal 14 5 2 2 3 2 2" xfId="11459"/>
    <cellStyle name="Normal 14 5 2 2 3 2 2 2" xfId="28739"/>
    <cellStyle name="Normal 14 5 2 2 3 2 3" xfId="17219"/>
    <cellStyle name="Normal 14 5 2 2 3 2 3 2" xfId="34499"/>
    <cellStyle name="Normal 14 5 2 2 3 2 4" xfId="22979"/>
    <cellStyle name="Normal 14 5 2 2 3 3" xfId="8579"/>
    <cellStyle name="Normal 14 5 2 2 3 3 2" xfId="25859"/>
    <cellStyle name="Normal 14 5 2 2 3 4" xfId="14339"/>
    <cellStyle name="Normal 14 5 2 2 3 4 2" xfId="31619"/>
    <cellStyle name="Normal 14 5 2 2 3 5" xfId="20099"/>
    <cellStyle name="Normal 14 5 2 2 4" xfId="4259"/>
    <cellStyle name="Normal 14 5 2 2 4 2" xfId="10019"/>
    <cellStyle name="Normal 14 5 2 2 4 2 2" xfId="27299"/>
    <cellStyle name="Normal 14 5 2 2 4 3" xfId="15779"/>
    <cellStyle name="Normal 14 5 2 2 4 3 2" xfId="33059"/>
    <cellStyle name="Normal 14 5 2 2 4 4" xfId="21539"/>
    <cellStyle name="Normal 14 5 2 2 5" xfId="7139"/>
    <cellStyle name="Normal 14 5 2 2 5 2" xfId="24419"/>
    <cellStyle name="Normal 14 5 2 2 6" xfId="12899"/>
    <cellStyle name="Normal 14 5 2 2 6 2" xfId="30179"/>
    <cellStyle name="Normal 14 5 2 2 7" xfId="18659"/>
    <cellStyle name="Normal 14 5 2 3" xfId="1619"/>
    <cellStyle name="Normal 14 5 2 3 2" xfId="2339"/>
    <cellStyle name="Normal 14 5 2 3 2 2" xfId="3779"/>
    <cellStyle name="Normal 14 5 2 3 2 2 2" xfId="6659"/>
    <cellStyle name="Normal 14 5 2 3 2 2 2 2" xfId="12419"/>
    <cellStyle name="Normal 14 5 2 3 2 2 2 2 2" xfId="29699"/>
    <cellStyle name="Normal 14 5 2 3 2 2 2 3" xfId="18179"/>
    <cellStyle name="Normal 14 5 2 3 2 2 2 3 2" xfId="35459"/>
    <cellStyle name="Normal 14 5 2 3 2 2 2 4" xfId="23939"/>
    <cellStyle name="Normal 14 5 2 3 2 2 3" xfId="9539"/>
    <cellStyle name="Normal 14 5 2 3 2 2 3 2" xfId="26819"/>
    <cellStyle name="Normal 14 5 2 3 2 2 4" xfId="15299"/>
    <cellStyle name="Normal 14 5 2 3 2 2 4 2" xfId="32579"/>
    <cellStyle name="Normal 14 5 2 3 2 2 5" xfId="21059"/>
    <cellStyle name="Normal 14 5 2 3 2 3" xfId="5219"/>
    <cellStyle name="Normal 14 5 2 3 2 3 2" xfId="10979"/>
    <cellStyle name="Normal 14 5 2 3 2 3 2 2" xfId="28259"/>
    <cellStyle name="Normal 14 5 2 3 2 3 3" xfId="16739"/>
    <cellStyle name="Normal 14 5 2 3 2 3 3 2" xfId="34019"/>
    <cellStyle name="Normal 14 5 2 3 2 3 4" xfId="22499"/>
    <cellStyle name="Normal 14 5 2 3 2 4" xfId="8099"/>
    <cellStyle name="Normal 14 5 2 3 2 4 2" xfId="25379"/>
    <cellStyle name="Normal 14 5 2 3 2 5" xfId="13859"/>
    <cellStyle name="Normal 14 5 2 3 2 5 2" xfId="31139"/>
    <cellStyle name="Normal 14 5 2 3 2 6" xfId="19619"/>
    <cellStyle name="Normal 14 5 2 3 3" xfId="3059"/>
    <cellStyle name="Normal 14 5 2 3 3 2" xfId="5939"/>
    <cellStyle name="Normal 14 5 2 3 3 2 2" xfId="11699"/>
    <cellStyle name="Normal 14 5 2 3 3 2 2 2" xfId="28979"/>
    <cellStyle name="Normal 14 5 2 3 3 2 3" xfId="17459"/>
    <cellStyle name="Normal 14 5 2 3 3 2 3 2" xfId="34739"/>
    <cellStyle name="Normal 14 5 2 3 3 2 4" xfId="23219"/>
    <cellStyle name="Normal 14 5 2 3 3 3" xfId="8819"/>
    <cellStyle name="Normal 14 5 2 3 3 3 2" xfId="26099"/>
    <cellStyle name="Normal 14 5 2 3 3 4" xfId="14579"/>
    <cellStyle name="Normal 14 5 2 3 3 4 2" xfId="31859"/>
    <cellStyle name="Normal 14 5 2 3 3 5" xfId="20339"/>
    <cellStyle name="Normal 14 5 2 3 4" xfId="4499"/>
    <cellStyle name="Normal 14 5 2 3 4 2" xfId="10259"/>
    <cellStyle name="Normal 14 5 2 3 4 2 2" xfId="27539"/>
    <cellStyle name="Normal 14 5 2 3 4 3" xfId="16019"/>
    <cellStyle name="Normal 14 5 2 3 4 3 2" xfId="33299"/>
    <cellStyle name="Normal 14 5 2 3 4 4" xfId="21779"/>
    <cellStyle name="Normal 14 5 2 3 5" xfId="7379"/>
    <cellStyle name="Normal 14 5 2 3 5 2" xfId="24659"/>
    <cellStyle name="Normal 14 5 2 3 6" xfId="13139"/>
    <cellStyle name="Normal 14 5 2 3 6 2" xfId="30419"/>
    <cellStyle name="Normal 14 5 2 3 7" xfId="18899"/>
    <cellStyle name="Normal 14 5 2 4" xfId="1859"/>
    <cellStyle name="Normal 14 5 2 4 2" xfId="3299"/>
    <cellStyle name="Normal 14 5 2 4 2 2" xfId="6179"/>
    <cellStyle name="Normal 14 5 2 4 2 2 2" xfId="11939"/>
    <cellStyle name="Normal 14 5 2 4 2 2 2 2" xfId="29219"/>
    <cellStyle name="Normal 14 5 2 4 2 2 3" xfId="17699"/>
    <cellStyle name="Normal 14 5 2 4 2 2 3 2" xfId="34979"/>
    <cellStyle name="Normal 14 5 2 4 2 2 4" xfId="23459"/>
    <cellStyle name="Normal 14 5 2 4 2 3" xfId="9059"/>
    <cellStyle name="Normal 14 5 2 4 2 3 2" xfId="26339"/>
    <cellStyle name="Normal 14 5 2 4 2 4" xfId="14819"/>
    <cellStyle name="Normal 14 5 2 4 2 4 2" xfId="32099"/>
    <cellStyle name="Normal 14 5 2 4 2 5" xfId="20579"/>
    <cellStyle name="Normal 14 5 2 4 3" xfId="4739"/>
    <cellStyle name="Normal 14 5 2 4 3 2" xfId="10499"/>
    <cellStyle name="Normal 14 5 2 4 3 2 2" xfId="27779"/>
    <cellStyle name="Normal 14 5 2 4 3 3" xfId="16259"/>
    <cellStyle name="Normal 14 5 2 4 3 3 2" xfId="33539"/>
    <cellStyle name="Normal 14 5 2 4 3 4" xfId="22019"/>
    <cellStyle name="Normal 14 5 2 4 4" xfId="7619"/>
    <cellStyle name="Normal 14 5 2 4 4 2" xfId="24899"/>
    <cellStyle name="Normal 14 5 2 4 5" xfId="13379"/>
    <cellStyle name="Normal 14 5 2 4 5 2" xfId="30659"/>
    <cellStyle name="Normal 14 5 2 4 6" xfId="19139"/>
    <cellStyle name="Normal 14 5 2 5" xfId="2579"/>
    <cellStyle name="Normal 14 5 2 5 2" xfId="5459"/>
    <cellStyle name="Normal 14 5 2 5 2 2" xfId="11219"/>
    <cellStyle name="Normal 14 5 2 5 2 2 2" xfId="28499"/>
    <cellStyle name="Normal 14 5 2 5 2 3" xfId="16979"/>
    <cellStyle name="Normal 14 5 2 5 2 3 2" xfId="34259"/>
    <cellStyle name="Normal 14 5 2 5 2 4" xfId="22739"/>
    <cellStyle name="Normal 14 5 2 5 3" xfId="8339"/>
    <cellStyle name="Normal 14 5 2 5 3 2" xfId="25619"/>
    <cellStyle name="Normal 14 5 2 5 4" xfId="14099"/>
    <cellStyle name="Normal 14 5 2 5 4 2" xfId="31379"/>
    <cellStyle name="Normal 14 5 2 5 5" xfId="19859"/>
    <cellStyle name="Normal 14 5 2 6" xfId="4019"/>
    <cellStyle name="Normal 14 5 2 6 2" xfId="9779"/>
    <cellStyle name="Normal 14 5 2 6 2 2" xfId="27059"/>
    <cellStyle name="Normal 14 5 2 6 3" xfId="15539"/>
    <cellStyle name="Normal 14 5 2 6 3 2" xfId="32819"/>
    <cellStyle name="Normal 14 5 2 6 4" xfId="21299"/>
    <cellStyle name="Normal 14 5 2 7" xfId="6899"/>
    <cellStyle name="Normal 14 5 2 7 2" xfId="24179"/>
    <cellStyle name="Normal 14 5 2 8" xfId="12659"/>
    <cellStyle name="Normal 14 5 2 8 2" xfId="29939"/>
    <cellStyle name="Normal 14 5 2 9" xfId="18419"/>
    <cellStyle name="Normal 14 5 3" xfId="1259"/>
    <cellStyle name="Normal 14 5 3 2" xfId="1979"/>
    <cellStyle name="Normal 14 5 3 2 2" xfId="3419"/>
    <cellStyle name="Normal 14 5 3 2 2 2" xfId="6299"/>
    <cellStyle name="Normal 14 5 3 2 2 2 2" xfId="12059"/>
    <cellStyle name="Normal 14 5 3 2 2 2 2 2" xfId="29339"/>
    <cellStyle name="Normal 14 5 3 2 2 2 3" xfId="17819"/>
    <cellStyle name="Normal 14 5 3 2 2 2 3 2" xfId="35099"/>
    <cellStyle name="Normal 14 5 3 2 2 2 4" xfId="23579"/>
    <cellStyle name="Normal 14 5 3 2 2 3" xfId="9179"/>
    <cellStyle name="Normal 14 5 3 2 2 3 2" xfId="26459"/>
    <cellStyle name="Normal 14 5 3 2 2 4" xfId="14939"/>
    <cellStyle name="Normal 14 5 3 2 2 4 2" xfId="32219"/>
    <cellStyle name="Normal 14 5 3 2 2 5" xfId="20699"/>
    <cellStyle name="Normal 14 5 3 2 3" xfId="4859"/>
    <cellStyle name="Normal 14 5 3 2 3 2" xfId="10619"/>
    <cellStyle name="Normal 14 5 3 2 3 2 2" xfId="27899"/>
    <cellStyle name="Normal 14 5 3 2 3 3" xfId="16379"/>
    <cellStyle name="Normal 14 5 3 2 3 3 2" xfId="33659"/>
    <cellStyle name="Normal 14 5 3 2 3 4" xfId="22139"/>
    <cellStyle name="Normal 14 5 3 2 4" xfId="7739"/>
    <cellStyle name="Normal 14 5 3 2 4 2" xfId="25019"/>
    <cellStyle name="Normal 14 5 3 2 5" xfId="13499"/>
    <cellStyle name="Normal 14 5 3 2 5 2" xfId="30779"/>
    <cellStyle name="Normal 14 5 3 2 6" xfId="19259"/>
    <cellStyle name="Normal 14 5 3 3" xfId="2699"/>
    <cellStyle name="Normal 14 5 3 3 2" xfId="5579"/>
    <cellStyle name="Normal 14 5 3 3 2 2" xfId="11339"/>
    <cellStyle name="Normal 14 5 3 3 2 2 2" xfId="28619"/>
    <cellStyle name="Normal 14 5 3 3 2 3" xfId="17099"/>
    <cellStyle name="Normal 14 5 3 3 2 3 2" xfId="34379"/>
    <cellStyle name="Normal 14 5 3 3 2 4" xfId="22859"/>
    <cellStyle name="Normal 14 5 3 3 3" xfId="8459"/>
    <cellStyle name="Normal 14 5 3 3 3 2" xfId="25739"/>
    <cellStyle name="Normal 14 5 3 3 4" xfId="14219"/>
    <cellStyle name="Normal 14 5 3 3 4 2" xfId="31499"/>
    <cellStyle name="Normal 14 5 3 3 5" xfId="19979"/>
    <cellStyle name="Normal 14 5 3 4" xfId="4139"/>
    <cellStyle name="Normal 14 5 3 4 2" xfId="9899"/>
    <cellStyle name="Normal 14 5 3 4 2 2" xfId="27179"/>
    <cellStyle name="Normal 14 5 3 4 3" xfId="15659"/>
    <cellStyle name="Normal 14 5 3 4 3 2" xfId="32939"/>
    <cellStyle name="Normal 14 5 3 4 4" xfId="21419"/>
    <cellStyle name="Normal 14 5 3 5" xfId="7019"/>
    <cellStyle name="Normal 14 5 3 5 2" xfId="24299"/>
    <cellStyle name="Normal 14 5 3 6" xfId="12779"/>
    <cellStyle name="Normal 14 5 3 6 2" xfId="30059"/>
    <cellStyle name="Normal 14 5 3 7" xfId="18539"/>
    <cellStyle name="Normal 14 5 4" xfId="1499"/>
    <cellStyle name="Normal 14 5 4 2" xfId="2219"/>
    <cellStyle name="Normal 14 5 4 2 2" xfId="3659"/>
    <cellStyle name="Normal 14 5 4 2 2 2" xfId="6539"/>
    <cellStyle name="Normal 14 5 4 2 2 2 2" xfId="12299"/>
    <cellStyle name="Normal 14 5 4 2 2 2 2 2" xfId="29579"/>
    <cellStyle name="Normal 14 5 4 2 2 2 3" xfId="18059"/>
    <cellStyle name="Normal 14 5 4 2 2 2 3 2" xfId="35339"/>
    <cellStyle name="Normal 14 5 4 2 2 2 4" xfId="23819"/>
    <cellStyle name="Normal 14 5 4 2 2 3" xfId="9419"/>
    <cellStyle name="Normal 14 5 4 2 2 3 2" xfId="26699"/>
    <cellStyle name="Normal 14 5 4 2 2 4" xfId="15179"/>
    <cellStyle name="Normal 14 5 4 2 2 4 2" xfId="32459"/>
    <cellStyle name="Normal 14 5 4 2 2 5" xfId="20939"/>
    <cellStyle name="Normal 14 5 4 2 3" xfId="5099"/>
    <cellStyle name="Normal 14 5 4 2 3 2" xfId="10859"/>
    <cellStyle name="Normal 14 5 4 2 3 2 2" xfId="28139"/>
    <cellStyle name="Normal 14 5 4 2 3 3" xfId="16619"/>
    <cellStyle name="Normal 14 5 4 2 3 3 2" xfId="33899"/>
    <cellStyle name="Normal 14 5 4 2 3 4" xfId="22379"/>
    <cellStyle name="Normal 14 5 4 2 4" xfId="7979"/>
    <cellStyle name="Normal 14 5 4 2 4 2" xfId="25259"/>
    <cellStyle name="Normal 14 5 4 2 5" xfId="13739"/>
    <cellStyle name="Normal 14 5 4 2 5 2" xfId="31019"/>
    <cellStyle name="Normal 14 5 4 2 6" xfId="19499"/>
    <cellStyle name="Normal 14 5 4 3" xfId="2939"/>
    <cellStyle name="Normal 14 5 4 3 2" xfId="5819"/>
    <cellStyle name="Normal 14 5 4 3 2 2" xfId="11579"/>
    <cellStyle name="Normal 14 5 4 3 2 2 2" xfId="28859"/>
    <cellStyle name="Normal 14 5 4 3 2 3" xfId="17339"/>
    <cellStyle name="Normal 14 5 4 3 2 3 2" xfId="34619"/>
    <cellStyle name="Normal 14 5 4 3 2 4" xfId="23099"/>
    <cellStyle name="Normal 14 5 4 3 3" xfId="8699"/>
    <cellStyle name="Normal 14 5 4 3 3 2" xfId="25979"/>
    <cellStyle name="Normal 14 5 4 3 4" xfId="14459"/>
    <cellStyle name="Normal 14 5 4 3 4 2" xfId="31739"/>
    <cellStyle name="Normal 14 5 4 3 5" xfId="20219"/>
    <cellStyle name="Normal 14 5 4 4" xfId="4379"/>
    <cellStyle name="Normal 14 5 4 4 2" xfId="10139"/>
    <cellStyle name="Normal 14 5 4 4 2 2" xfId="27419"/>
    <cellStyle name="Normal 14 5 4 4 3" xfId="15899"/>
    <cellStyle name="Normal 14 5 4 4 3 2" xfId="33179"/>
    <cellStyle name="Normal 14 5 4 4 4" xfId="21659"/>
    <cellStyle name="Normal 14 5 4 5" xfId="7259"/>
    <cellStyle name="Normal 14 5 4 5 2" xfId="24539"/>
    <cellStyle name="Normal 14 5 4 6" xfId="13019"/>
    <cellStyle name="Normal 14 5 4 6 2" xfId="30299"/>
    <cellStyle name="Normal 14 5 4 7" xfId="18779"/>
    <cellStyle name="Normal 14 5 5" xfId="1739"/>
    <cellStyle name="Normal 14 5 5 2" xfId="3179"/>
    <cellStyle name="Normal 14 5 5 2 2" xfId="6059"/>
    <cellStyle name="Normal 14 5 5 2 2 2" xfId="11819"/>
    <cellStyle name="Normal 14 5 5 2 2 2 2" xfId="29099"/>
    <cellStyle name="Normal 14 5 5 2 2 3" xfId="17579"/>
    <cellStyle name="Normal 14 5 5 2 2 3 2" xfId="34859"/>
    <cellStyle name="Normal 14 5 5 2 2 4" xfId="23339"/>
    <cellStyle name="Normal 14 5 5 2 3" xfId="8939"/>
    <cellStyle name="Normal 14 5 5 2 3 2" xfId="26219"/>
    <cellStyle name="Normal 14 5 5 2 4" xfId="14699"/>
    <cellStyle name="Normal 14 5 5 2 4 2" xfId="31979"/>
    <cellStyle name="Normal 14 5 5 2 5" xfId="20459"/>
    <cellStyle name="Normal 14 5 5 3" xfId="4619"/>
    <cellStyle name="Normal 14 5 5 3 2" xfId="10379"/>
    <cellStyle name="Normal 14 5 5 3 2 2" xfId="27659"/>
    <cellStyle name="Normal 14 5 5 3 3" xfId="16139"/>
    <cellStyle name="Normal 14 5 5 3 3 2" xfId="33419"/>
    <cellStyle name="Normal 14 5 5 3 4" xfId="21899"/>
    <cellStyle name="Normal 14 5 5 4" xfId="7499"/>
    <cellStyle name="Normal 14 5 5 4 2" xfId="24779"/>
    <cellStyle name="Normal 14 5 5 5" xfId="13259"/>
    <cellStyle name="Normal 14 5 5 5 2" xfId="30539"/>
    <cellStyle name="Normal 14 5 5 6" xfId="19019"/>
    <cellStyle name="Normal 14 5 6" xfId="2459"/>
    <cellStyle name="Normal 14 5 6 2" xfId="5339"/>
    <cellStyle name="Normal 14 5 6 2 2" xfId="11099"/>
    <cellStyle name="Normal 14 5 6 2 2 2" xfId="28379"/>
    <cellStyle name="Normal 14 5 6 2 3" xfId="16859"/>
    <cellStyle name="Normal 14 5 6 2 3 2" xfId="34139"/>
    <cellStyle name="Normal 14 5 6 2 4" xfId="22619"/>
    <cellStyle name="Normal 14 5 6 3" xfId="8219"/>
    <cellStyle name="Normal 14 5 6 3 2" xfId="25499"/>
    <cellStyle name="Normal 14 5 6 4" xfId="13979"/>
    <cellStyle name="Normal 14 5 6 4 2" xfId="31259"/>
    <cellStyle name="Normal 14 5 6 5" xfId="19739"/>
    <cellStyle name="Normal 14 5 7" xfId="3899"/>
    <cellStyle name="Normal 14 5 7 2" xfId="9659"/>
    <cellStyle name="Normal 14 5 7 2 2" xfId="26939"/>
    <cellStyle name="Normal 14 5 7 3" xfId="15419"/>
    <cellStyle name="Normal 14 5 7 3 2" xfId="32699"/>
    <cellStyle name="Normal 14 5 7 4" xfId="21179"/>
    <cellStyle name="Normal 14 5 8" xfId="6779"/>
    <cellStyle name="Normal 14 5 8 2" xfId="24059"/>
    <cellStyle name="Normal 14 5 9" xfId="12539"/>
    <cellStyle name="Normal 14 5 9 2" xfId="29819"/>
    <cellStyle name="Normal 14 6" xfId="979"/>
    <cellStyle name="Normal 14 6 10" xfId="18259"/>
    <cellStyle name="Normal 14 6 2" xfId="1099"/>
    <cellStyle name="Normal 14 6 2 2" xfId="1339"/>
    <cellStyle name="Normal 14 6 2 2 2" xfId="2059"/>
    <cellStyle name="Normal 14 6 2 2 2 2" xfId="3499"/>
    <cellStyle name="Normal 14 6 2 2 2 2 2" xfId="6379"/>
    <cellStyle name="Normal 14 6 2 2 2 2 2 2" xfId="12139"/>
    <cellStyle name="Normal 14 6 2 2 2 2 2 2 2" xfId="29419"/>
    <cellStyle name="Normal 14 6 2 2 2 2 2 3" xfId="17899"/>
    <cellStyle name="Normal 14 6 2 2 2 2 2 3 2" xfId="35179"/>
    <cellStyle name="Normal 14 6 2 2 2 2 2 4" xfId="23659"/>
    <cellStyle name="Normal 14 6 2 2 2 2 3" xfId="9259"/>
    <cellStyle name="Normal 14 6 2 2 2 2 3 2" xfId="26539"/>
    <cellStyle name="Normal 14 6 2 2 2 2 4" xfId="15019"/>
    <cellStyle name="Normal 14 6 2 2 2 2 4 2" xfId="32299"/>
    <cellStyle name="Normal 14 6 2 2 2 2 5" xfId="20779"/>
    <cellStyle name="Normal 14 6 2 2 2 3" xfId="4939"/>
    <cellStyle name="Normal 14 6 2 2 2 3 2" xfId="10699"/>
    <cellStyle name="Normal 14 6 2 2 2 3 2 2" xfId="27979"/>
    <cellStyle name="Normal 14 6 2 2 2 3 3" xfId="16459"/>
    <cellStyle name="Normal 14 6 2 2 2 3 3 2" xfId="33739"/>
    <cellStyle name="Normal 14 6 2 2 2 3 4" xfId="22219"/>
    <cellStyle name="Normal 14 6 2 2 2 4" xfId="7819"/>
    <cellStyle name="Normal 14 6 2 2 2 4 2" xfId="25099"/>
    <cellStyle name="Normal 14 6 2 2 2 5" xfId="13579"/>
    <cellStyle name="Normal 14 6 2 2 2 5 2" xfId="30859"/>
    <cellStyle name="Normal 14 6 2 2 2 6" xfId="19339"/>
    <cellStyle name="Normal 14 6 2 2 3" xfId="2779"/>
    <cellStyle name="Normal 14 6 2 2 3 2" xfId="5659"/>
    <cellStyle name="Normal 14 6 2 2 3 2 2" xfId="11419"/>
    <cellStyle name="Normal 14 6 2 2 3 2 2 2" xfId="28699"/>
    <cellStyle name="Normal 14 6 2 2 3 2 3" xfId="17179"/>
    <cellStyle name="Normal 14 6 2 2 3 2 3 2" xfId="34459"/>
    <cellStyle name="Normal 14 6 2 2 3 2 4" xfId="22939"/>
    <cellStyle name="Normal 14 6 2 2 3 3" xfId="8539"/>
    <cellStyle name="Normal 14 6 2 2 3 3 2" xfId="25819"/>
    <cellStyle name="Normal 14 6 2 2 3 4" xfId="14299"/>
    <cellStyle name="Normal 14 6 2 2 3 4 2" xfId="31579"/>
    <cellStyle name="Normal 14 6 2 2 3 5" xfId="20059"/>
    <cellStyle name="Normal 14 6 2 2 4" xfId="4219"/>
    <cellStyle name="Normal 14 6 2 2 4 2" xfId="9979"/>
    <cellStyle name="Normal 14 6 2 2 4 2 2" xfId="27259"/>
    <cellStyle name="Normal 14 6 2 2 4 3" xfId="15739"/>
    <cellStyle name="Normal 14 6 2 2 4 3 2" xfId="33019"/>
    <cellStyle name="Normal 14 6 2 2 4 4" xfId="21499"/>
    <cellStyle name="Normal 14 6 2 2 5" xfId="7099"/>
    <cellStyle name="Normal 14 6 2 2 5 2" xfId="24379"/>
    <cellStyle name="Normal 14 6 2 2 6" xfId="12859"/>
    <cellStyle name="Normal 14 6 2 2 6 2" xfId="30139"/>
    <cellStyle name="Normal 14 6 2 2 7" xfId="18619"/>
    <cellStyle name="Normal 14 6 2 3" xfId="1579"/>
    <cellStyle name="Normal 14 6 2 3 2" xfId="2299"/>
    <cellStyle name="Normal 14 6 2 3 2 2" xfId="3739"/>
    <cellStyle name="Normal 14 6 2 3 2 2 2" xfId="6619"/>
    <cellStyle name="Normal 14 6 2 3 2 2 2 2" xfId="12379"/>
    <cellStyle name="Normal 14 6 2 3 2 2 2 2 2" xfId="29659"/>
    <cellStyle name="Normal 14 6 2 3 2 2 2 3" xfId="18139"/>
    <cellStyle name="Normal 14 6 2 3 2 2 2 3 2" xfId="35419"/>
    <cellStyle name="Normal 14 6 2 3 2 2 2 4" xfId="23899"/>
    <cellStyle name="Normal 14 6 2 3 2 2 3" xfId="9499"/>
    <cellStyle name="Normal 14 6 2 3 2 2 3 2" xfId="26779"/>
    <cellStyle name="Normal 14 6 2 3 2 2 4" xfId="15259"/>
    <cellStyle name="Normal 14 6 2 3 2 2 4 2" xfId="32539"/>
    <cellStyle name="Normal 14 6 2 3 2 2 5" xfId="21019"/>
    <cellStyle name="Normal 14 6 2 3 2 3" xfId="5179"/>
    <cellStyle name="Normal 14 6 2 3 2 3 2" xfId="10939"/>
    <cellStyle name="Normal 14 6 2 3 2 3 2 2" xfId="28219"/>
    <cellStyle name="Normal 14 6 2 3 2 3 3" xfId="16699"/>
    <cellStyle name="Normal 14 6 2 3 2 3 3 2" xfId="33979"/>
    <cellStyle name="Normal 14 6 2 3 2 3 4" xfId="22459"/>
    <cellStyle name="Normal 14 6 2 3 2 4" xfId="8059"/>
    <cellStyle name="Normal 14 6 2 3 2 4 2" xfId="25339"/>
    <cellStyle name="Normal 14 6 2 3 2 5" xfId="13819"/>
    <cellStyle name="Normal 14 6 2 3 2 5 2" xfId="31099"/>
    <cellStyle name="Normal 14 6 2 3 2 6" xfId="19579"/>
    <cellStyle name="Normal 14 6 2 3 3" xfId="3019"/>
    <cellStyle name="Normal 14 6 2 3 3 2" xfId="5899"/>
    <cellStyle name="Normal 14 6 2 3 3 2 2" xfId="11659"/>
    <cellStyle name="Normal 14 6 2 3 3 2 2 2" xfId="28939"/>
    <cellStyle name="Normal 14 6 2 3 3 2 3" xfId="17419"/>
    <cellStyle name="Normal 14 6 2 3 3 2 3 2" xfId="34699"/>
    <cellStyle name="Normal 14 6 2 3 3 2 4" xfId="23179"/>
    <cellStyle name="Normal 14 6 2 3 3 3" xfId="8779"/>
    <cellStyle name="Normal 14 6 2 3 3 3 2" xfId="26059"/>
    <cellStyle name="Normal 14 6 2 3 3 4" xfId="14539"/>
    <cellStyle name="Normal 14 6 2 3 3 4 2" xfId="31819"/>
    <cellStyle name="Normal 14 6 2 3 3 5" xfId="20299"/>
    <cellStyle name="Normal 14 6 2 3 4" xfId="4459"/>
    <cellStyle name="Normal 14 6 2 3 4 2" xfId="10219"/>
    <cellStyle name="Normal 14 6 2 3 4 2 2" xfId="27499"/>
    <cellStyle name="Normal 14 6 2 3 4 3" xfId="15979"/>
    <cellStyle name="Normal 14 6 2 3 4 3 2" xfId="33259"/>
    <cellStyle name="Normal 14 6 2 3 4 4" xfId="21739"/>
    <cellStyle name="Normal 14 6 2 3 5" xfId="7339"/>
    <cellStyle name="Normal 14 6 2 3 5 2" xfId="24619"/>
    <cellStyle name="Normal 14 6 2 3 6" xfId="13099"/>
    <cellStyle name="Normal 14 6 2 3 6 2" xfId="30379"/>
    <cellStyle name="Normal 14 6 2 3 7" xfId="18859"/>
    <cellStyle name="Normal 14 6 2 4" xfId="1819"/>
    <cellStyle name="Normal 14 6 2 4 2" xfId="3259"/>
    <cellStyle name="Normal 14 6 2 4 2 2" xfId="6139"/>
    <cellStyle name="Normal 14 6 2 4 2 2 2" xfId="11899"/>
    <cellStyle name="Normal 14 6 2 4 2 2 2 2" xfId="29179"/>
    <cellStyle name="Normal 14 6 2 4 2 2 3" xfId="17659"/>
    <cellStyle name="Normal 14 6 2 4 2 2 3 2" xfId="34939"/>
    <cellStyle name="Normal 14 6 2 4 2 2 4" xfId="23419"/>
    <cellStyle name="Normal 14 6 2 4 2 3" xfId="9019"/>
    <cellStyle name="Normal 14 6 2 4 2 3 2" xfId="26299"/>
    <cellStyle name="Normal 14 6 2 4 2 4" xfId="14779"/>
    <cellStyle name="Normal 14 6 2 4 2 4 2" xfId="32059"/>
    <cellStyle name="Normal 14 6 2 4 2 5" xfId="20539"/>
    <cellStyle name="Normal 14 6 2 4 3" xfId="4699"/>
    <cellStyle name="Normal 14 6 2 4 3 2" xfId="10459"/>
    <cellStyle name="Normal 14 6 2 4 3 2 2" xfId="27739"/>
    <cellStyle name="Normal 14 6 2 4 3 3" xfId="16219"/>
    <cellStyle name="Normal 14 6 2 4 3 3 2" xfId="33499"/>
    <cellStyle name="Normal 14 6 2 4 3 4" xfId="21979"/>
    <cellStyle name="Normal 14 6 2 4 4" xfId="7579"/>
    <cellStyle name="Normal 14 6 2 4 4 2" xfId="24859"/>
    <cellStyle name="Normal 14 6 2 4 5" xfId="13339"/>
    <cellStyle name="Normal 14 6 2 4 5 2" xfId="30619"/>
    <cellStyle name="Normal 14 6 2 4 6" xfId="19099"/>
    <cellStyle name="Normal 14 6 2 5" xfId="2539"/>
    <cellStyle name="Normal 14 6 2 5 2" xfId="5419"/>
    <cellStyle name="Normal 14 6 2 5 2 2" xfId="11179"/>
    <cellStyle name="Normal 14 6 2 5 2 2 2" xfId="28459"/>
    <cellStyle name="Normal 14 6 2 5 2 3" xfId="16939"/>
    <cellStyle name="Normal 14 6 2 5 2 3 2" xfId="34219"/>
    <cellStyle name="Normal 14 6 2 5 2 4" xfId="22699"/>
    <cellStyle name="Normal 14 6 2 5 3" xfId="8299"/>
    <cellStyle name="Normal 14 6 2 5 3 2" xfId="25579"/>
    <cellStyle name="Normal 14 6 2 5 4" xfId="14059"/>
    <cellStyle name="Normal 14 6 2 5 4 2" xfId="31339"/>
    <cellStyle name="Normal 14 6 2 5 5" xfId="19819"/>
    <cellStyle name="Normal 14 6 2 6" xfId="3979"/>
    <cellStyle name="Normal 14 6 2 6 2" xfId="9739"/>
    <cellStyle name="Normal 14 6 2 6 2 2" xfId="27019"/>
    <cellStyle name="Normal 14 6 2 6 3" xfId="15499"/>
    <cellStyle name="Normal 14 6 2 6 3 2" xfId="32779"/>
    <cellStyle name="Normal 14 6 2 6 4" xfId="21259"/>
    <cellStyle name="Normal 14 6 2 7" xfId="6859"/>
    <cellStyle name="Normal 14 6 2 7 2" xfId="24139"/>
    <cellStyle name="Normal 14 6 2 8" xfId="12619"/>
    <cellStyle name="Normal 14 6 2 8 2" xfId="29899"/>
    <cellStyle name="Normal 14 6 2 9" xfId="18379"/>
    <cellStyle name="Normal 14 6 3" xfId="1219"/>
    <cellStyle name="Normal 14 6 3 2" xfId="1939"/>
    <cellStyle name="Normal 14 6 3 2 2" xfId="3379"/>
    <cellStyle name="Normal 14 6 3 2 2 2" xfId="6259"/>
    <cellStyle name="Normal 14 6 3 2 2 2 2" xfId="12019"/>
    <cellStyle name="Normal 14 6 3 2 2 2 2 2" xfId="29299"/>
    <cellStyle name="Normal 14 6 3 2 2 2 3" xfId="17779"/>
    <cellStyle name="Normal 14 6 3 2 2 2 3 2" xfId="35059"/>
    <cellStyle name="Normal 14 6 3 2 2 2 4" xfId="23539"/>
    <cellStyle name="Normal 14 6 3 2 2 3" xfId="9139"/>
    <cellStyle name="Normal 14 6 3 2 2 3 2" xfId="26419"/>
    <cellStyle name="Normal 14 6 3 2 2 4" xfId="14899"/>
    <cellStyle name="Normal 14 6 3 2 2 4 2" xfId="32179"/>
    <cellStyle name="Normal 14 6 3 2 2 5" xfId="20659"/>
    <cellStyle name="Normal 14 6 3 2 3" xfId="4819"/>
    <cellStyle name="Normal 14 6 3 2 3 2" xfId="10579"/>
    <cellStyle name="Normal 14 6 3 2 3 2 2" xfId="27859"/>
    <cellStyle name="Normal 14 6 3 2 3 3" xfId="16339"/>
    <cellStyle name="Normal 14 6 3 2 3 3 2" xfId="33619"/>
    <cellStyle name="Normal 14 6 3 2 3 4" xfId="22099"/>
    <cellStyle name="Normal 14 6 3 2 4" xfId="7699"/>
    <cellStyle name="Normal 14 6 3 2 4 2" xfId="24979"/>
    <cellStyle name="Normal 14 6 3 2 5" xfId="13459"/>
    <cellStyle name="Normal 14 6 3 2 5 2" xfId="30739"/>
    <cellStyle name="Normal 14 6 3 2 6" xfId="19219"/>
    <cellStyle name="Normal 14 6 3 3" xfId="2659"/>
    <cellStyle name="Normal 14 6 3 3 2" xfId="5539"/>
    <cellStyle name="Normal 14 6 3 3 2 2" xfId="11299"/>
    <cellStyle name="Normal 14 6 3 3 2 2 2" xfId="28579"/>
    <cellStyle name="Normal 14 6 3 3 2 3" xfId="17059"/>
    <cellStyle name="Normal 14 6 3 3 2 3 2" xfId="34339"/>
    <cellStyle name="Normal 14 6 3 3 2 4" xfId="22819"/>
    <cellStyle name="Normal 14 6 3 3 3" xfId="8419"/>
    <cellStyle name="Normal 14 6 3 3 3 2" xfId="25699"/>
    <cellStyle name="Normal 14 6 3 3 4" xfId="14179"/>
    <cellStyle name="Normal 14 6 3 3 4 2" xfId="31459"/>
    <cellStyle name="Normal 14 6 3 3 5" xfId="19939"/>
    <cellStyle name="Normal 14 6 3 4" xfId="4099"/>
    <cellStyle name="Normal 14 6 3 4 2" xfId="9859"/>
    <cellStyle name="Normal 14 6 3 4 2 2" xfId="27139"/>
    <cellStyle name="Normal 14 6 3 4 3" xfId="15619"/>
    <cellStyle name="Normal 14 6 3 4 3 2" xfId="32899"/>
    <cellStyle name="Normal 14 6 3 4 4" xfId="21379"/>
    <cellStyle name="Normal 14 6 3 5" xfId="6979"/>
    <cellStyle name="Normal 14 6 3 5 2" xfId="24259"/>
    <cellStyle name="Normal 14 6 3 6" xfId="12739"/>
    <cellStyle name="Normal 14 6 3 6 2" xfId="30019"/>
    <cellStyle name="Normal 14 6 3 7" xfId="18499"/>
    <cellStyle name="Normal 14 6 4" xfId="1459"/>
    <cellStyle name="Normal 14 6 4 2" xfId="2179"/>
    <cellStyle name="Normal 14 6 4 2 2" xfId="3619"/>
    <cellStyle name="Normal 14 6 4 2 2 2" xfId="6499"/>
    <cellStyle name="Normal 14 6 4 2 2 2 2" xfId="12259"/>
    <cellStyle name="Normal 14 6 4 2 2 2 2 2" xfId="29539"/>
    <cellStyle name="Normal 14 6 4 2 2 2 3" xfId="18019"/>
    <cellStyle name="Normal 14 6 4 2 2 2 3 2" xfId="35299"/>
    <cellStyle name="Normal 14 6 4 2 2 2 4" xfId="23779"/>
    <cellStyle name="Normal 14 6 4 2 2 3" xfId="9379"/>
    <cellStyle name="Normal 14 6 4 2 2 3 2" xfId="26659"/>
    <cellStyle name="Normal 14 6 4 2 2 4" xfId="15139"/>
    <cellStyle name="Normal 14 6 4 2 2 4 2" xfId="32419"/>
    <cellStyle name="Normal 14 6 4 2 2 5" xfId="20899"/>
    <cellStyle name="Normal 14 6 4 2 3" xfId="5059"/>
    <cellStyle name="Normal 14 6 4 2 3 2" xfId="10819"/>
    <cellStyle name="Normal 14 6 4 2 3 2 2" xfId="28099"/>
    <cellStyle name="Normal 14 6 4 2 3 3" xfId="16579"/>
    <cellStyle name="Normal 14 6 4 2 3 3 2" xfId="33859"/>
    <cellStyle name="Normal 14 6 4 2 3 4" xfId="22339"/>
    <cellStyle name="Normal 14 6 4 2 4" xfId="7939"/>
    <cellStyle name="Normal 14 6 4 2 4 2" xfId="25219"/>
    <cellStyle name="Normal 14 6 4 2 5" xfId="13699"/>
    <cellStyle name="Normal 14 6 4 2 5 2" xfId="30979"/>
    <cellStyle name="Normal 14 6 4 2 6" xfId="19459"/>
    <cellStyle name="Normal 14 6 4 3" xfId="2899"/>
    <cellStyle name="Normal 14 6 4 3 2" xfId="5779"/>
    <cellStyle name="Normal 14 6 4 3 2 2" xfId="11539"/>
    <cellStyle name="Normal 14 6 4 3 2 2 2" xfId="28819"/>
    <cellStyle name="Normal 14 6 4 3 2 3" xfId="17299"/>
    <cellStyle name="Normal 14 6 4 3 2 3 2" xfId="34579"/>
    <cellStyle name="Normal 14 6 4 3 2 4" xfId="23059"/>
    <cellStyle name="Normal 14 6 4 3 3" xfId="8659"/>
    <cellStyle name="Normal 14 6 4 3 3 2" xfId="25939"/>
    <cellStyle name="Normal 14 6 4 3 4" xfId="14419"/>
    <cellStyle name="Normal 14 6 4 3 4 2" xfId="31699"/>
    <cellStyle name="Normal 14 6 4 3 5" xfId="20179"/>
    <cellStyle name="Normal 14 6 4 4" xfId="4339"/>
    <cellStyle name="Normal 14 6 4 4 2" xfId="10099"/>
    <cellStyle name="Normal 14 6 4 4 2 2" xfId="27379"/>
    <cellStyle name="Normal 14 6 4 4 3" xfId="15859"/>
    <cellStyle name="Normal 14 6 4 4 3 2" xfId="33139"/>
    <cellStyle name="Normal 14 6 4 4 4" xfId="21619"/>
    <cellStyle name="Normal 14 6 4 5" xfId="7219"/>
    <cellStyle name="Normal 14 6 4 5 2" xfId="24499"/>
    <cellStyle name="Normal 14 6 4 6" xfId="12979"/>
    <cellStyle name="Normal 14 6 4 6 2" xfId="30259"/>
    <cellStyle name="Normal 14 6 4 7" xfId="18739"/>
    <cellStyle name="Normal 14 6 5" xfId="1699"/>
    <cellStyle name="Normal 14 6 5 2" xfId="3139"/>
    <cellStyle name="Normal 14 6 5 2 2" xfId="6019"/>
    <cellStyle name="Normal 14 6 5 2 2 2" xfId="11779"/>
    <cellStyle name="Normal 14 6 5 2 2 2 2" xfId="29059"/>
    <cellStyle name="Normal 14 6 5 2 2 3" xfId="17539"/>
    <cellStyle name="Normal 14 6 5 2 2 3 2" xfId="34819"/>
    <cellStyle name="Normal 14 6 5 2 2 4" xfId="23299"/>
    <cellStyle name="Normal 14 6 5 2 3" xfId="8899"/>
    <cellStyle name="Normal 14 6 5 2 3 2" xfId="26179"/>
    <cellStyle name="Normal 14 6 5 2 4" xfId="14659"/>
    <cellStyle name="Normal 14 6 5 2 4 2" xfId="31939"/>
    <cellStyle name="Normal 14 6 5 2 5" xfId="20419"/>
    <cellStyle name="Normal 14 6 5 3" xfId="4579"/>
    <cellStyle name="Normal 14 6 5 3 2" xfId="10339"/>
    <cellStyle name="Normal 14 6 5 3 2 2" xfId="27619"/>
    <cellStyle name="Normal 14 6 5 3 3" xfId="16099"/>
    <cellStyle name="Normal 14 6 5 3 3 2" xfId="33379"/>
    <cellStyle name="Normal 14 6 5 3 4" xfId="21859"/>
    <cellStyle name="Normal 14 6 5 4" xfId="7459"/>
    <cellStyle name="Normal 14 6 5 4 2" xfId="24739"/>
    <cellStyle name="Normal 14 6 5 5" xfId="13219"/>
    <cellStyle name="Normal 14 6 5 5 2" xfId="30499"/>
    <cellStyle name="Normal 14 6 5 6" xfId="18979"/>
    <cellStyle name="Normal 14 6 6" xfId="2419"/>
    <cellStyle name="Normal 14 6 6 2" xfId="5299"/>
    <cellStyle name="Normal 14 6 6 2 2" xfId="11059"/>
    <cellStyle name="Normal 14 6 6 2 2 2" xfId="28339"/>
    <cellStyle name="Normal 14 6 6 2 3" xfId="16819"/>
    <cellStyle name="Normal 14 6 6 2 3 2" xfId="34099"/>
    <cellStyle name="Normal 14 6 6 2 4" xfId="22579"/>
    <cellStyle name="Normal 14 6 6 3" xfId="8179"/>
    <cellStyle name="Normal 14 6 6 3 2" xfId="25459"/>
    <cellStyle name="Normal 14 6 6 4" xfId="13939"/>
    <cellStyle name="Normal 14 6 6 4 2" xfId="31219"/>
    <cellStyle name="Normal 14 6 6 5" xfId="19699"/>
    <cellStyle name="Normal 14 6 7" xfId="3859"/>
    <cellStyle name="Normal 14 6 7 2" xfId="9619"/>
    <cellStyle name="Normal 14 6 7 2 2" xfId="26899"/>
    <cellStyle name="Normal 14 6 7 3" xfId="15379"/>
    <cellStyle name="Normal 14 6 7 3 2" xfId="32659"/>
    <cellStyle name="Normal 14 6 7 4" xfId="21139"/>
    <cellStyle name="Normal 14 6 8" xfId="6739"/>
    <cellStyle name="Normal 14 6 8 2" xfId="24019"/>
    <cellStyle name="Normal 14 6 9" xfId="12499"/>
    <cellStyle name="Normal 14 6 9 2" xfId="29779"/>
    <cellStyle name="Normal 14 7" xfId="1059"/>
    <cellStyle name="Normal 14 7 2" xfId="1299"/>
    <cellStyle name="Normal 14 7 2 2" xfId="2019"/>
    <cellStyle name="Normal 14 7 2 2 2" xfId="3459"/>
    <cellStyle name="Normal 14 7 2 2 2 2" xfId="6339"/>
    <cellStyle name="Normal 14 7 2 2 2 2 2" xfId="12099"/>
    <cellStyle name="Normal 14 7 2 2 2 2 2 2" xfId="29379"/>
    <cellStyle name="Normal 14 7 2 2 2 2 3" xfId="17859"/>
    <cellStyle name="Normal 14 7 2 2 2 2 3 2" xfId="35139"/>
    <cellStyle name="Normal 14 7 2 2 2 2 4" xfId="23619"/>
    <cellStyle name="Normal 14 7 2 2 2 3" xfId="9219"/>
    <cellStyle name="Normal 14 7 2 2 2 3 2" xfId="26499"/>
    <cellStyle name="Normal 14 7 2 2 2 4" xfId="14979"/>
    <cellStyle name="Normal 14 7 2 2 2 4 2" xfId="32259"/>
    <cellStyle name="Normal 14 7 2 2 2 5" xfId="20739"/>
    <cellStyle name="Normal 14 7 2 2 3" xfId="4899"/>
    <cellStyle name="Normal 14 7 2 2 3 2" xfId="10659"/>
    <cellStyle name="Normal 14 7 2 2 3 2 2" xfId="27939"/>
    <cellStyle name="Normal 14 7 2 2 3 3" xfId="16419"/>
    <cellStyle name="Normal 14 7 2 2 3 3 2" xfId="33699"/>
    <cellStyle name="Normal 14 7 2 2 3 4" xfId="22179"/>
    <cellStyle name="Normal 14 7 2 2 4" xfId="7779"/>
    <cellStyle name="Normal 14 7 2 2 4 2" xfId="25059"/>
    <cellStyle name="Normal 14 7 2 2 5" xfId="13539"/>
    <cellStyle name="Normal 14 7 2 2 5 2" xfId="30819"/>
    <cellStyle name="Normal 14 7 2 2 6" xfId="19299"/>
    <cellStyle name="Normal 14 7 2 3" xfId="2739"/>
    <cellStyle name="Normal 14 7 2 3 2" xfId="5619"/>
    <cellStyle name="Normal 14 7 2 3 2 2" xfId="11379"/>
    <cellStyle name="Normal 14 7 2 3 2 2 2" xfId="28659"/>
    <cellStyle name="Normal 14 7 2 3 2 3" xfId="17139"/>
    <cellStyle name="Normal 14 7 2 3 2 3 2" xfId="34419"/>
    <cellStyle name="Normal 14 7 2 3 2 4" xfId="22899"/>
    <cellStyle name="Normal 14 7 2 3 3" xfId="8499"/>
    <cellStyle name="Normal 14 7 2 3 3 2" xfId="25779"/>
    <cellStyle name="Normal 14 7 2 3 4" xfId="14259"/>
    <cellStyle name="Normal 14 7 2 3 4 2" xfId="31539"/>
    <cellStyle name="Normal 14 7 2 3 5" xfId="20019"/>
    <cellStyle name="Normal 14 7 2 4" xfId="4179"/>
    <cellStyle name="Normal 14 7 2 4 2" xfId="9939"/>
    <cellStyle name="Normal 14 7 2 4 2 2" xfId="27219"/>
    <cellStyle name="Normal 14 7 2 4 3" xfId="15699"/>
    <cellStyle name="Normal 14 7 2 4 3 2" xfId="32979"/>
    <cellStyle name="Normal 14 7 2 4 4" xfId="21459"/>
    <cellStyle name="Normal 14 7 2 5" xfId="7059"/>
    <cellStyle name="Normal 14 7 2 5 2" xfId="24339"/>
    <cellStyle name="Normal 14 7 2 6" xfId="12819"/>
    <cellStyle name="Normal 14 7 2 6 2" xfId="30099"/>
    <cellStyle name="Normal 14 7 2 7" xfId="18579"/>
    <cellStyle name="Normal 14 7 3" xfId="1539"/>
    <cellStyle name="Normal 14 7 3 2" xfId="2259"/>
    <cellStyle name="Normal 14 7 3 2 2" xfId="3699"/>
    <cellStyle name="Normal 14 7 3 2 2 2" xfId="6579"/>
    <cellStyle name="Normal 14 7 3 2 2 2 2" xfId="12339"/>
    <cellStyle name="Normal 14 7 3 2 2 2 2 2" xfId="29619"/>
    <cellStyle name="Normal 14 7 3 2 2 2 3" xfId="18099"/>
    <cellStyle name="Normal 14 7 3 2 2 2 3 2" xfId="35379"/>
    <cellStyle name="Normal 14 7 3 2 2 2 4" xfId="23859"/>
    <cellStyle name="Normal 14 7 3 2 2 3" xfId="9459"/>
    <cellStyle name="Normal 14 7 3 2 2 3 2" xfId="26739"/>
    <cellStyle name="Normal 14 7 3 2 2 4" xfId="15219"/>
    <cellStyle name="Normal 14 7 3 2 2 4 2" xfId="32499"/>
    <cellStyle name="Normal 14 7 3 2 2 5" xfId="20979"/>
    <cellStyle name="Normal 14 7 3 2 3" xfId="5139"/>
    <cellStyle name="Normal 14 7 3 2 3 2" xfId="10899"/>
    <cellStyle name="Normal 14 7 3 2 3 2 2" xfId="28179"/>
    <cellStyle name="Normal 14 7 3 2 3 3" xfId="16659"/>
    <cellStyle name="Normal 14 7 3 2 3 3 2" xfId="33939"/>
    <cellStyle name="Normal 14 7 3 2 3 4" xfId="22419"/>
    <cellStyle name="Normal 14 7 3 2 4" xfId="8019"/>
    <cellStyle name="Normal 14 7 3 2 4 2" xfId="25299"/>
    <cellStyle name="Normal 14 7 3 2 5" xfId="13779"/>
    <cellStyle name="Normal 14 7 3 2 5 2" xfId="31059"/>
    <cellStyle name="Normal 14 7 3 2 6" xfId="19539"/>
    <cellStyle name="Normal 14 7 3 3" xfId="2979"/>
    <cellStyle name="Normal 14 7 3 3 2" xfId="5859"/>
    <cellStyle name="Normal 14 7 3 3 2 2" xfId="11619"/>
    <cellStyle name="Normal 14 7 3 3 2 2 2" xfId="28899"/>
    <cellStyle name="Normal 14 7 3 3 2 3" xfId="17379"/>
    <cellStyle name="Normal 14 7 3 3 2 3 2" xfId="34659"/>
    <cellStyle name="Normal 14 7 3 3 2 4" xfId="23139"/>
    <cellStyle name="Normal 14 7 3 3 3" xfId="8739"/>
    <cellStyle name="Normal 14 7 3 3 3 2" xfId="26019"/>
    <cellStyle name="Normal 14 7 3 3 4" xfId="14499"/>
    <cellStyle name="Normal 14 7 3 3 4 2" xfId="31779"/>
    <cellStyle name="Normal 14 7 3 3 5" xfId="20259"/>
    <cellStyle name="Normal 14 7 3 4" xfId="4419"/>
    <cellStyle name="Normal 14 7 3 4 2" xfId="10179"/>
    <cellStyle name="Normal 14 7 3 4 2 2" xfId="27459"/>
    <cellStyle name="Normal 14 7 3 4 3" xfId="15939"/>
    <cellStyle name="Normal 14 7 3 4 3 2" xfId="33219"/>
    <cellStyle name="Normal 14 7 3 4 4" xfId="21699"/>
    <cellStyle name="Normal 14 7 3 5" xfId="7299"/>
    <cellStyle name="Normal 14 7 3 5 2" xfId="24579"/>
    <cellStyle name="Normal 14 7 3 6" xfId="13059"/>
    <cellStyle name="Normal 14 7 3 6 2" xfId="30339"/>
    <cellStyle name="Normal 14 7 3 7" xfId="18819"/>
    <cellStyle name="Normal 14 7 4" xfId="1779"/>
    <cellStyle name="Normal 14 7 4 2" xfId="3219"/>
    <cellStyle name="Normal 14 7 4 2 2" xfId="6099"/>
    <cellStyle name="Normal 14 7 4 2 2 2" xfId="11859"/>
    <cellStyle name="Normal 14 7 4 2 2 2 2" xfId="29139"/>
    <cellStyle name="Normal 14 7 4 2 2 3" xfId="17619"/>
    <cellStyle name="Normal 14 7 4 2 2 3 2" xfId="34899"/>
    <cellStyle name="Normal 14 7 4 2 2 4" xfId="23379"/>
    <cellStyle name="Normal 14 7 4 2 3" xfId="8979"/>
    <cellStyle name="Normal 14 7 4 2 3 2" xfId="26259"/>
    <cellStyle name="Normal 14 7 4 2 4" xfId="14739"/>
    <cellStyle name="Normal 14 7 4 2 4 2" xfId="32019"/>
    <cellStyle name="Normal 14 7 4 2 5" xfId="20499"/>
    <cellStyle name="Normal 14 7 4 3" xfId="4659"/>
    <cellStyle name="Normal 14 7 4 3 2" xfId="10419"/>
    <cellStyle name="Normal 14 7 4 3 2 2" xfId="27699"/>
    <cellStyle name="Normal 14 7 4 3 3" xfId="16179"/>
    <cellStyle name="Normal 14 7 4 3 3 2" xfId="33459"/>
    <cellStyle name="Normal 14 7 4 3 4" xfId="21939"/>
    <cellStyle name="Normal 14 7 4 4" xfId="7539"/>
    <cellStyle name="Normal 14 7 4 4 2" xfId="24819"/>
    <cellStyle name="Normal 14 7 4 5" xfId="13299"/>
    <cellStyle name="Normal 14 7 4 5 2" xfId="30579"/>
    <cellStyle name="Normal 14 7 4 6" xfId="19059"/>
    <cellStyle name="Normal 14 7 5" xfId="2499"/>
    <cellStyle name="Normal 14 7 5 2" xfId="5379"/>
    <cellStyle name="Normal 14 7 5 2 2" xfId="11139"/>
    <cellStyle name="Normal 14 7 5 2 2 2" xfId="28419"/>
    <cellStyle name="Normal 14 7 5 2 3" xfId="16899"/>
    <cellStyle name="Normal 14 7 5 2 3 2" xfId="34179"/>
    <cellStyle name="Normal 14 7 5 2 4" xfId="22659"/>
    <cellStyle name="Normal 14 7 5 3" xfId="8259"/>
    <cellStyle name="Normal 14 7 5 3 2" xfId="25539"/>
    <cellStyle name="Normal 14 7 5 4" xfId="14019"/>
    <cellStyle name="Normal 14 7 5 4 2" xfId="31299"/>
    <cellStyle name="Normal 14 7 5 5" xfId="19779"/>
    <cellStyle name="Normal 14 7 6" xfId="3939"/>
    <cellStyle name="Normal 14 7 6 2" xfId="9699"/>
    <cellStyle name="Normal 14 7 6 2 2" xfId="26979"/>
    <cellStyle name="Normal 14 7 6 3" xfId="15459"/>
    <cellStyle name="Normal 14 7 6 3 2" xfId="32739"/>
    <cellStyle name="Normal 14 7 6 4" xfId="21219"/>
    <cellStyle name="Normal 14 7 7" xfId="6819"/>
    <cellStyle name="Normal 14 7 7 2" xfId="24099"/>
    <cellStyle name="Normal 14 7 8" xfId="12579"/>
    <cellStyle name="Normal 14 7 8 2" xfId="29859"/>
    <cellStyle name="Normal 14 7 9" xfId="18339"/>
    <cellStyle name="Normal 14 8" xfId="1179"/>
    <cellStyle name="Normal 14 8 2" xfId="1899"/>
    <cellStyle name="Normal 14 8 2 2" xfId="3339"/>
    <cellStyle name="Normal 14 8 2 2 2" xfId="6219"/>
    <cellStyle name="Normal 14 8 2 2 2 2" xfId="11979"/>
    <cellStyle name="Normal 14 8 2 2 2 2 2" xfId="29259"/>
    <cellStyle name="Normal 14 8 2 2 2 3" xfId="17739"/>
    <cellStyle name="Normal 14 8 2 2 2 3 2" xfId="35019"/>
    <cellStyle name="Normal 14 8 2 2 2 4" xfId="23499"/>
    <cellStyle name="Normal 14 8 2 2 3" xfId="9099"/>
    <cellStyle name="Normal 14 8 2 2 3 2" xfId="26379"/>
    <cellStyle name="Normal 14 8 2 2 4" xfId="14859"/>
    <cellStyle name="Normal 14 8 2 2 4 2" xfId="32139"/>
    <cellStyle name="Normal 14 8 2 2 5" xfId="20619"/>
    <cellStyle name="Normal 14 8 2 3" xfId="4779"/>
    <cellStyle name="Normal 14 8 2 3 2" xfId="10539"/>
    <cellStyle name="Normal 14 8 2 3 2 2" xfId="27819"/>
    <cellStyle name="Normal 14 8 2 3 3" xfId="16299"/>
    <cellStyle name="Normal 14 8 2 3 3 2" xfId="33579"/>
    <cellStyle name="Normal 14 8 2 3 4" xfId="22059"/>
    <cellStyle name="Normal 14 8 2 4" xfId="7659"/>
    <cellStyle name="Normal 14 8 2 4 2" xfId="24939"/>
    <cellStyle name="Normal 14 8 2 5" xfId="13419"/>
    <cellStyle name="Normal 14 8 2 5 2" xfId="30699"/>
    <cellStyle name="Normal 14 8 2 6" xfId="19179"/>
    <cellStyle name="Normal 14 8 3" xfId="2619"/>
    <cellStyle name="Normal 14 8 3 2" xfId="5499"/>
    <cellStyle name="Normal 14 8 3 2 2" xfId="11259"/>
    <cellStyle name="Normal 14 8 3 2 2 2" xfId="28539"/>
    <cellStyle name="Normal 14 8 3 2 3" xfId="17019"/>
    <cellStyle name="Normal 14 8 3 2 3 2" xfId="34299"/>
    <cellStyle name="Normal 14 8 3 2 4" xfId="22779"/>
    <cellStyle name="Normal 14 8 3 3" xfId="8379"/>
    <cellStyle name="Normal 14 8 3 3 2" xfId="25659"/>
    <cellStyle name="Normal 14 8 3 4" xfId="14139"/>
    <cellStyle name="Normal 14 8 3 4 2" xfId="31419"/>
    <cellStyle name="Normal 14 8 3 5" xfId="19899"/>
    <cellStyle name="Normal 14 8 4" xfId="4059"/>
    <cellStyle name="Normal 14 8 4 2" xfId="9819"/>
    <cellStyle name="Normal 14 8 4 2 2" xfId="27099"/>
    <cellStyle name="Normal 14 8 4 3" xfId="15579"/>
    <cellStyle name="Normal 14 8 4 3 2" xfId="32859"/>
    <cellStyle name="Normal 14 8 4 4" xfId="21339"/>
    <cellStyle name="Normal 14 8 5" xfId="6939"/>
    <cellStyle name="Normal 14 8 5 2" xfId="24219"/>
    <cellStyle name="Normal 14 8 6" xfId="12699"/>
    <cellStyle name="Normal 14 8 6 2" xfId="29979"/>
    <cellStyle name="Normal 14 8 7" xfId="18459"/>
    <cellStyle name="Normal 14 9" xfId="1419"/>
    <cellStyle name="Normal 14 9 2" xfId="2139"/>
    <cellStyle name="Normal 14 9 2 2" xfId="3579"/>
    <cellStyle name="Normal 14 9 2 2 2" xfId="6459"/>
    <cellStyle name="Normal 14 9 2 2 2 2" xfId="12219"/>
    <cellStyle name="Normal 14 9 2 2 2 2 2" xfId="29499"/>
    <cellStyle name="Normal 14 9 2 2 2 3" xfId="17979"/>
    <cellStyle name="Normal 14 9 2 2 2 3 2" xfId="35259"/>
    <cellStyle name="Normal 14 9 2 2 2 4" xfId="23739"/>
    <cellStyle name="Normal 14 9 2 2 3" xfId="9339"/>
    <cellStyle name="Normal 14 9 2 2 3 2" xfId="26619"/>
    <cellStyle name="Normal 14 9 2 2 4" xfId="15099"/>
    <cellStyle name="Normal 14 9 2 2 4 2" xfId="32379"/>
    <cellStyle name="Normal 14 9 2 2 5" xfId="20859"/>
    <cellStyle name="Normal 14 9 2 3" xfId="5019"/>
    <cellStyle name="Normal 14 9 2 3 2" xfId="10779"/>
    <cellStyle name="Normal 14 9 2 3 2 2" xfId="28059"/>
    <cellStyle name="Normal 14 9 2 3 3" xfId="16539"/>
    <cellStyle name="Normal 14 9 2 3 3 2" xfId="33819"/>
    <cellStyle name="Normal 14 9 2 3 4" xfId="22299"/>
    <cellStyle name="Normal 14 9 2 4" xfId="7899"/>
    <cellStyle name="Normal 14 9 2 4 2" xfId="25179"/>
    <cellStyle name="Normal 14 9 2 5" xfId="13659"/>
    <cellStyle name="Normal 14 9 2 5 2" xfId="30939"/>
    <cellStyle name="Normal 14 9 2 6" xfId="19419"/>
    <cellStyle name="Normal 14 9 3" xfId="2859"/>
    <cellStyle name="Normal 14 9 3 2" xfId="5739"/>
    <cellStyle name="Normal 14 9 3 2 2" xfId="11499"/>
    <cellStyle name="Normal 14 9 3 2 2 2" xfId="28779"/>
    <cellStyle name="Normal 14 9 3 2 3" xfId="17259"/>
    <cellStyle name="Normal 14 9 3 2 3 2" xfId="34539"/>
    <cellStyle name="Normal 14 9 3 2 4" xfId="23019"/>
    <cellStyle name="Normal 14 9 3 3" xfId="8619"/>
    <cellStyle name="Normal 14 9 3 3 2" xfId="25899"/>
    <cellStyle name="Normal 14 9 3 4" xfId="14379"/>
    <cellStyle name="Normal 14 9 3 4 2" xfId="31659"/>
    <cellStyle name="Normal 14 9 3 5" xfId="20139"/>
    <cellStyle name="Normal 14 9 4" xfId="4299"/>
    <cellStyle name="Normal 14 9 4 2" xfId="10059"/>
    <cellStyle name="Normal 14 9 4 2 2" xfId="27339"/>
    <cellStyle name="Normal 14 9 4 3" xfId="15819"/>
    <cellStyle name="Normal 14 9 4 3 2" xfId="33099"/>
    <cellStyle name="Normal 14 9 4 4" xfId="21579"/>
    <cellStyle name="Normal 14 9 5" xfId="7179"/>
    <cellStyle name="Normal 14 9 5 2" xfId="24459"/>
    <cellStyle name="Normal 14 9 6" xfId="12939"/>
    <cellStyle name="Normal 14 9 6 2" xfId="30219"/>
    <cellStyle name="Normal 14 9 7" xfId="18699"/>
    <cellStyle name="Normal 15" xfId="69"/>
    <cellStyle name="Normal 15 2" xfId="35495"/>
    <cellStyle name="Normal 16" xfId="70"/>
    <cellStyle name="Normal 16 2" xfId="108"/>
    <cellStyle name="Normal 16 3" xfId="35511"/>
    <cellStyle name="Normal 17" xfId="71"/>
    <cellStyle name="Normal 17 2" xfId="35512"/>
    <cellStyle name="Normal 18" xfId="72"/>
    <cellStyle name="Normal 18 2" xfId="35513"/>
    <cellStyle name="Normal 19" xfId="73"/>
    <cellStyle name="Normal 19 2" xfId="35514"/>
    <cellStyle name="Normal 2" xfId="1"/>
    <cellStyle name="Normal 2 2" xfId="75"/>
    <cellStyle name="Normal 2 2 10" xfId="337"/>
    <cellStyle name="Normal 2 2 11" xfId="315"/>
    <cellStyle name="Normal 2 2 12" xfId="374"/>
    <cellStyle name="Normal 2 2 13" xfId="316"/>
    <cellStyle name="Normal 2 2 14" xfId="114"/>
    <cellStyle name="Normal 2 2 2" xfId="147"/>
    <cellStyle name="Normal 2 2 3" xfId="149"/>
    <cellStyle name="Normal 2 2 4" xfId="146"/>
    <cellStyle name="Normal 2 2 5" xfId="155"/>
    <cellStyle name="Normal 2 2 6" xfId="175"/>
    <cellStyle name="Normal 2 2 7" xfId="293"/>
    <cellStyle name="Normal 2 2 8" xfId="310"/>
    <cellStyle name="Normal 2 2 9" xfId="325"/>
    <cellStyle name="Normal 2 3" xfId="74"/>
    <cellStyle name="Normal 2 3 2" xfId="113"/>
    <cellStyle name="Normal 2 3 3" xfId="35515"/>
    <cellStyle name="Normal 20" xfId="76"/>
    <cellStyle name="Normal 20 2" xfId="35516"/>
    <cellStyle name="Normal 21" xfId="77"/>
    <cellStyle name="Normal 21 2" xfId="35517"/>
    <cellStyle name="Normal 22" xfId="78"/>
    <cellStyle name="Normal 22 2" xfId="35518"/>
    <cellStyle name="Normal 23" xfId="79"/>
    <cellStyle name="Normal 23 2" xfId="35519"/>
    <cellStyle name="Normal 24" xfId="80"/>
    <cellStyle name="Normal 24 2" xfId="35520"/>
    <cellStyle name="Normal 25" xfId="81"/>
    <cellStyle name="Normal 25 2" xfId="35521"/>
    <cellStyle name="Normal 26" xfId="82"/>
    <cellStyle name="Normal 26 2" xfId="35522"/>
    <cellStyle name="Normal 27" xfId="83"/>
    <cellStyle name="Normal 27 2" xfId="35523"/>
    <cellStyle name="Normal 28" xfId="84"/>
    <cellStyle name="Normal 28 2" xfId="35524"/>
    <cellStyle name="Normal 29" xfId="85"/>
    <cellStyle name="Normal 29 2" xfId="35525"/>
    <cellStyle name="Normal 3" xfId="20"/>
    <cellStyle name="Normal 3 2" xfId="116"/>
    <cellStyle name="Normal 3 3" xfId="115"/>
    <cellStyle name="Normal 30" xfId="86"/>
    <cellStyle name="Normal 30 2" xfId="35526"/>
    <cellStyle name="Normal 31" xfId="87"/>
    <cellStyle name="Normal 31 2" xfId="35527"/>
    <cellStyle name="Normal 32" xfId="88"/>
    <cellStyle name="Normal 32 2" xfId="35528"/>
    <cellStyle name="Normal 33" xfId="89"/>
    <cellStyle name="Normal 33 2" xfId="35529"/>
    <cellStyle name="Normal 34" xfId="90"/>
    <cellStyle name="Normal 34 2" xfId="35530"/>
    <cellStyle name="Normal 35" xfId="91"/>
    <cellStyle name="Normal 35 2" xfId="35531"/>
    <cellStyle name="Normal 36" xfId="92"/>
    <cellStyle name="Normal 36 2" xfId="35532"/>
    <cellStyle name="Normal 37" xfId="93"/>
    <cellStyle name="Normal 37 2" xfId="35533"/>
    <cellStyle name="Normal 38" xfId="94"/>
    <cellStyle name="Normal 38 2" xfId="35534"/>
    <cellStyle name="Normal 39" xfId="95"/>
    <cellStyle name="Normal 39 2" xfId="35535"/>
    <cellStyle name="Normal 4" xfId="21"/>
    <cellStyle name="Normal 4 2" xfId="118"/>
    <cellStyle name="Normal 4 3" xfId="117"/>
    <cellStyle name="Normal 40" xfId="96"/>
    <cellStyle name="Normal 40 2" xfId="35536"/>
    <cellStyle name="Normal 41" xfId="97"/>
    <cellStyle name="Normal 41 2" xfId="35537"/>
    <cellStyle name="Normal 42" xfId="98"/>
    <cellStyle name="Normal 42 2" xfId="35538"/>
    <cellStyle name="Normal 43" xfId="99"/>
    <cellStyle name="Normal 43 2" xfId="35539"/>
    <cellStyle name="Normal 44" xfId="100"/>
    <cellStyle name="Normal 44 2" xfId="35540"/>
    <cellStyle name="Normal 45" xfId="101"/>
    <cellStyle name="Normal 45 2" xfId="35541"/>
    <cellStyle name="Normal 46" xfId="102"/>
    <cellStyle name="Normal 46 2" xfId="35542"/>
    <cellStyle name="Normal 47" xfId="51"/>
    <cellStyle name="Normal 48" xfId="107"/>
    <cellStyle name="Normal 48 2" xfId="35543"/>
    <cellStyle name="Normal 49" xfId="35544"/>
    <cellStyle name="Normal 5" xfId="22"/>
    <cellStyle name="Normal 5 10" xfId="336"/>
    <cellStyle name="Normal 5 11" xfId="375"/>
    <cellStyle name="Normal 5 12" xfId="379"/>
    <cellStyle name="Normal 5 13" xfId="382"/>
    <cellStyle name="Normal 5 14" xfId="119"/>
    <cellStyle name="Normal 5 2" xfId="150"/>
    <cellStyle name="Normal 5 3" xfId="145"/>
    <cellStyle name="Normal 5 4" xfId="160"/>
    <cellStyle name="Normal 5 5" xfId="180"/>
    <cellStyle name="Normal 5 6" xfId="199"/>
    <cellStyle name="Normal 5 7" xfId="291"/>
    <cellStyle name="Normal 5 8" xfId="308"/>
    <cellStyle name="Normal 5 9" xfId="324"/>
    <cellStyle name="Normal 50" xfId="35545"/>
    <cellStyle name="Normal 51" xfId="35546"/>
    <cellStyle name="Normal 52" xfId="35547"/>
    <cellStyle name="Normal 53" xfId="35548"/>
    <cellStyle name="Normal 54" xfId="35498"/>
    <cellStyle name="Normal 6" xfId="23"/>
    <cellStyle name="Normal 6 10" xfId="261"/>
    <cellStyle name="Normal 6 11" xfId="359"/>
    <cellStyle name="Normal 6 12" xfId="321"/>
    <cellStyle name="Normal 6 13" xfId="348"/>
    <cellStyle name="Normal 6 14" xfId="120"/>
    <cellStyle name="Normal 6 2" xfId="151"/>
    <cellStyle name="Normal 6 3" xfId="171"/>
    <cellStyle name="Normal 6 4" xfId="191"/>
    <cellStyle name="Normal 6 5" xfId="210"/>
    <cellStyle name="Normal 6 6" xfId="228"/>
    <cellStyle name="Normal 6 7" xfId="279"/>
    <cellStyle name="Normal 6 8" xfId="275"/>
    <cellStyle name="Normal 6 9" xfId="265"/>
    <cellStyle name="Normal 7" xfId="24"/>
    <cellStyle name="Normal 7 10" xfId="148"/>
    <cellStyle name="Normal 7 11" xfId="349"/>
    <cellStyle name="Normal 7 12" xfId="368"/>
    <cellStyle name="Normal 7 13" xfId="317"/>
    <cellStyle name="Normal 7 14" xfId="121"/>
    <cellStyle name="Normal 7 2" xfId="152"/>
    <cellStyle name="Normal 7 3" xfId="172"/>
    <cellStyle name="Normal 7 4" xfId="192"/>
    <cellStyle name="Normal 7 5" xfId="211"/>
    <cellStyle name="Normal 7 6" xfId="229"/>
    <cellStyle name="Normal 7 7" xfId="264"/>
    <cellStyle name="Normal 7 8" xfId="295"/>
    <cellStyle name="Normal 7 9" xfId="258"/>
    <cellStyle name="Normal 8" xfId="25"/>
    <cellStyle name="Normal 8 10" xfId="342"/>
    <cellStyle name="Normal 8 11" xfId="346"/>
    <cellStyle name="Normal 8 12" xfId="354"/>
    <cellStyle name="Normal 8 13" xfId="380"/>
    <cellStyle name="Normal 8 14" xfId="122"/>
    <cellStyle name="Normal 8 2" xfId="103"/>
    <cellStyle name="Normal 8 2 2" xfId="153"/>
    <cellStyle name="Normal 8 3" xfId="173"/>
    <cellStyle name="Normal 8 4" xfId="193"/>
    <cellStyle name="Normal 8 5" xfId="212"/>
    <cellStyle name="Normal 8 6" xfId="230"/>
    <cellStyle name="Normal 8 7" xfId="304"/>
    <cellStyle name="Normal 8 8" xfId="320"/>
    <cellStyle name="Normal 8 9" xfId="333"/>
    <cellStyle name="Normal 9" xfId="26"/>
    <cellStyle name="Normal 9 10" xfId="335"/>
    <cellStyle name="Normal 9 11" xfId="297"/>
    <cellStyle name="Normal 9 12" xfId="356"/>
    <cellStyle name="Normal 9 13" xfId="370"/>
    <cellStyle name="Normal 9 14" xfId="123"/>
    <cellStyle name="Normal 9 2" xfId="104"/>
    <cellStyle name="Normal 9 2 2" xfId="154"/>
    <cellStyle name="Normal 9 3" xfId="105"/>
    <cellStyle name="Normal 9 3 2" xfId="174"/>
    <cellStyle name="Normal 9 3 3" xfId="35549"/>
    <cellStyle name="Normal 9 4" xfId="194"/>
    <cellStyle name="Normal 9 5" xfId="213"/>
    <cellStyle name="Normal 9 6" xfId="231"/>
    <cellStyle name="Normal 9 7" xfId="290"/>
    <cellStyle name="Normal 9 8" xfId="307"/>
    <cellStyle name="Normal 9 9" xfId="323"/>
    <cellStyle name="Percent 2" xfId="49"/>
    <cellStyle name="Percent 2 10" xfId="250"/>
    <cellStyle name="Percent 2 11" xfId="269"/>
    <cellStyle name="Percent 2 12" xfId="257"/>
    <cellStyle name="Percent 2 13" xfId="366"/>
    <cellStyle name="Percent 2 14" xfId="282"/>
    <cellStyle name="Percent 2 15" xfId="124"/>
    <cellStyle name="Percent 2 2" xfId="125"/>
    <cellStyle name="Percent 2 2 10" xfId="284"/>
    <cellStyle name="Percent 2 2 11" xfId="355"/>
    <cellStyle name="Percent 2 2 12" xfId="298"/>
    <cellStyle name="Percent 2 2 13" xfId="292"/>
    <cellStyle name="Percent 2 2 2" xfId="157"/>
    <cellStyle name="Percent 2 2 3" xfId="177"/>
    <cellStyle name="Percent 2 2 4" xfId="196"/>
    <cellStyle name="Percent 2 2 5" xfId="215"/>
    <cellStyle name="Percent 2 2 6" xfId="234"/>
    <cellStyle name="Percent 2 2 7" xfId="240"/>
    <cellStyle name="Percent 2 2 8" xfId="276"/>
    <cellStyle name="Percent 2 2 9" xfId="248"/>
    <cellStyle name="Percent 2 3" xfId="156"/>
    <cellStyle name="Percent 2 4" xfId="176"/>
    <cellStyle name="Percent 2 5" xfId="195"/>
    <cellStyle name="Percent 2 6" xfId="214"/>
    <cellStyle name="Percent 2 7" xfId="233"/>
    <cellStyle name="Percent 2 8" xfId="263"/>
    <cellStyle name="Percent 2 9" xfId="254"/>
    <cellStyle name="Percent 3" xfId="126"/>
    <cellStyle name="Percent 3 10" xfId="314"/>
    <cellStyle name="Percent 3 11" xfId="372"/>
    <cellStyle name="Percent 3 12" xfId="268"/>
    <cellStyle name="Percent 3 13" xfId="330"/>
    <cellStyle name="Percent 3 14" xfId="35550"/>
    <cellStyle name="Percent 3 2" xfId="158"/>
    <cellStyle name="Percent 3 3" xfId="178"/>
    <cellStyle name="Percent 3 4" xfId="197"/>
    <cellStyle name="Percent 3 5" xfId="216"/>
    <cellStyle name="Percent 3 6" xfId="235"/>
    <cellStyle name="Percent 3 7" xfId="303"/>
    <cellStyle name="Percent 3 8" xfId="300"/>
    <cellStyle name="Percent 3 9" xfId="286"/>
    <cellStyle name="Percent 4" xfId="127"/>
    <cellStyle name="Percent 4 10" xfId="341"/>
    <cellStyle name="Percent 4 11" xfId="357"/>
    <cellStyle name="Percent 4 12" xfId="253"/>
    <cellStyle name="Percent 4 13" xfId="339"/>
    <cellStyle name="Percent 4 2" xfId="159"/>
    <cellStyle name="Percent 4 3" xfId="179"/>
    <cellStyle name="Percent 4 4" xfId="198"/>
    <cellStyle name="Percent 4 5" xfId="217"/>
    <cellStyle name="Percent 4 6" xfId="236"/>
    <cellStyle name="Percent 4 7" xfId="289"/>
    <cellStyle name="Percent 4 8" xfId="319"/>
    <cellStyle name="Percent 4 9" xfId="332"/>
    <cellStyle name="Percent 5" xfId="35496"/>
    <cellStyle name="Percent 6" xfId="129"/>
    <cellStyle name="Style 1" xfId="27"/>
    <cellStyle name="Total 2" xfId="28"/>
    <cellStyle name="アクセント 1 2" xfId="583"/>
    <cellStyle name="アクセント 1 3" xfId="582"/>
    <cellStyle name="アクセント 2 2" xfId="585"/>
    <cellStyle name="アクセント 2 3" xfId="584"/>
    <cellStyle name="アクセント 3 2" xfId="587"/>
    <cellStyle name="アクセント 3 3" xfId="586"/>
    <cellStyle name="アクセント 4 2" xfId="589"/>
    <cellStyle name="アクセント 4 3" xfId="588"/>
    <cellStyle name="アクセント 5 2" xfId="591"/>
    <cellStyle name="アクセント 5 3" xfId="590"/>
    <cellStyle name="アクセント 6 2" xfId="593"/>
    <cellStyle name="アクセント 6 3" xfId="592"/>
    <cellStyle name="スタイル 1" xfId="128"/>
    <cellStyle name="スタイル 1 2" xfId="594"/>
    <cellStyle name="タイトル 2" xfId="596"/>
    <cellStyle name="タイトル 3" xfId="595"/>
    <cellStyle name="チェック セル 2" xfId="598"/>
    <cellStyle name="チェック セル 3" xfId="597"/>
    <cellStyle name="どちらでもない 2" xfId="600"/>
    <cellStyle name="どちらでもない 3" xfId="599"/>
    <cellStyle name="パーセント 2" xfId="601"/>
    <cellStyle name="パーセント 2 2" xfId="602"/>
    <cellStyle name="パーセント 3" xfId="603"/>
    <cellStyle name="ハイパーリンク 2" xfId="604"/>
    <cellStyle name="メモ 2" xfId="606"/>
    <cellStyle name="メモ 2 2" xfId="607"/>
    <cellStyle name="メモ 3" xfId="605"/>
    <cellStyle name="リンク セル 2" xfId="609"/>
    <cellStyle name="リンク セル 3" xfId="608"/>
    <cellStyle name="똿뗦먛귟 [0.00]_PRODUCT DETAIL Q1" xfId="29"/>
    <cellStyle name="똿뗦먛귟_PRODUCT DETAIL Q1" xfId="30"/>
    <cellStyle name="믅됞 [0.00]_PRODUCT DETAIL Q1" xfId="31"/>
    <cellStyle name="믅됞_PRODUCT DETAIL Q1" xfId="32"/>
    <cellStyle name="백분율_HOBONG" xfId="33"/>
    <cellStyle name="뷭?_BOOKSHIP" xfId="34"/>
    <cellStyle name="콤마 [0]_1202" xfId="35"/>
    <cellStyle name="콤마_1202" xfId="36"/>
    <cellStyle name="통화 [0]_1202" xfId="37"/>
    <cellStyle name="통화_1202" xfId="38"/>
    <cellStyle name="표준_(정보부문)월별인원계획" xfId="39"/>
    <cellStyle name="僴??乕儕??" xfId="708"/>
    <cellStyle name="僴僀僷乕儕儞僋" xfId="709"/>
    <cellStyle name="入力 2" xfId="651"/>
    <cellStyle name="入力 3" xfId="650"/>
    <cellStyle name="出力 2" xfId="640"/>
    <cellStyle name="出力 3" xfId="639"/>
    <cellStyle name="常?_050630 OMEXEY 検訴鷙霆__" xfId="641"/>
    <cellStyle name="常规_050630 OMEXEY 検訴鷙霆__" xfId="642"/>
    <cellStyle name="悪い 2" xfId="611"/>
    <cellStyle name="悪い 3" xfId="610"/>
    <cellStyle name="明朝" xfId="703"/>
    <cellStyle name="明朝(602R)" xfId="704"/>
    <cellStyle name="明朝強調(602R)" xfId="705"/>
    <cellStyle name="昞????僴??乕儕??" xfId="710"/>
    <cellStyle name="昞帵嵪傒偺僴僀僷乕儕儞僋" xfId="711"/>
    <cellStyle name="未定義" xfId="139"/>
    <cellStyle name="未定義 2" xfId="140"/>
    <cellStyle name="未定義 2 10" xfId="249"/>
    <cellStyle name="未定義 2 11" xfId="252"/>
    <cellStyle name="未定義 2 12" xfId="362"/>
    <cellStyle name="未定義 2 13" xfId="287"/>
    <cellStyle name="未定義 2 2" xfId="170"/>
    <cellStyle name="未定義 2 3" xfId="190"/>
    <cellStyle name="未定義 2 4" xfId="209"/>
    <cellStyle name="未定義 2 5" xfId="227"/>
    <cellStyle name="未定義 2 6" xfId="245"/>
    <cellStyle name="未定義 2 7" xfId="260"/>
    <cellStyle name="未定義 2 8" xfId="256"/>
    <cellStyle name="未定義 2 9" xfId="281"/>
    <cellStyle name="桁区切り [0.00]_Book1" xfId="40"/>
    <cellStyle name="桁区切り 2" xfId="46"/>
    <cellStyle name="桁区切り 2 2" xfId="393"/>
    <cellStyle name="桁区切り 2 2 2" xfId="623"/>
    <cellStyle name="桁区切り 2 3" xfId="624"/>
    <cellStyle name="桁区切り 2 4" xfId="622"/>
    <cellStyle name="桁区切り 3" xfId="625"/>
    <cellStyle name="桁区切り 4" xfId="626"/>
    <cellStyle name="桁区切り 4 2" xfId="627"/>
    <cellStyle name="桁区切り 5" xfId="628"/>
    <cellStyle name="桁区切り 6" xfId="621"/>
    <cellStyle name="桁区切り_DR9708.xls グラフ 1" xfId="41"/>
    <cellStyle name="桁蟻唇Ｆ [0.00]_pldt" xfId="619"/>
    <cellStyle name="桁蟻唇Ｆ_pldt" xfId="620"/>
    <cellStyle name="標準 10" xfId="652"/>
    <cellStyle name="標準 11" xfId="653"/>
    <cellStyle name="標準 12" xfId="654"/>
    <cellStyle name="標準 13" xfId="655"/>
    <cellStyle name="標準 14" xfId="656"/>
    <cellStyle name="標準 15" xfId="657"/>
    <cellStyle name="標準 16" xfId="658"/>
    <cellStyle name="標準 17" xfId="659"/>
    <cellStyle name="標準 18" xfId="660"/>
    <cellStyle name="標準 19" xfId="661"/>
    <cellStyle name="標準 2" xfId="4"/>
    <cellStyle name="標準 2 2" xfId="132"/>
    <cellStyle name="標準 2 2 10" xfId="328"/>
    <cellStyle name="標準 2 2 11" xfId="344"/>
    <cellStyle name="標準 2 2 12" xfId="376"/>
    <cellStyle name="標準 2 2 13" xfId="381"/>
    <cellStyle name="標準 2 2 14" xfId="663"/>
    <cellStyle name="標準 2 2 2" xfId="162"/>
    <cellStyle name="標準 2 2 2 2" xfId="664"/>
    <cellStyle name="標準 2 2 3" xfId="182"/>
    <cellStyle name="標準 2 2 4" xfId="201"/>
    <cellStyle name="標準 2 2 5" xfId="219"/>
    <cellStyle name="標準 2 2 6" xfId="238"/>
    <cellStyle name="標準 2 2 7" xfId="302"/>
    <cellStyle name="標準 2 2 8" xfId="285"/>
    <cellStyle name="標準 2 2 9" xfId="313"/>
    <cellStyle name="標準 2 3" xfId="133"/>
    <cellStyle name="標準 2 3 10" xfId="340"/>
    <cellStyle name="標準 2 3 11" xfId="266"/>
    <cellStyle name="標準 2 3 12" xfId="367"/>
    <cellStyle name="標準 2 3 13" xfId="343"/>
    <cellStyle name="標準 2 3 14" xfId="665"/>
    <cellStyle name="標準 2 3 2" xfId="163"/>
    <cellStyle name="標準 2 3 3" xfId="183"/>
    <cellStyle name="標準 2 3 4" xfId="202"/>
    <cellStyle name="標準 2 3 5" xfId="220"/>
    <cellStyle name="標準 2 3 6" xfId="239"/>
    <cellStyle name="標準 2 3 7" xfId="288"/>
    <cellStyle name="標準 2 3 8" xfId="318"/>
    <cellStyle name="標準 2 3 9" xfId="331"/>
    <cellStyle name="標準 2 4" xfId="246"/>
    <cellStyle name="標準 2 5" xfId="329"/>
    <cellStyle name="標準 2 6" xfId="662"/>
    <cellStyle name="標準 2 7" xfId="131"/>
    <cellStyle name="標準 2_【NIFS_家具対応】NIFSポータブル（通常版）" xfId="666"/>
    <cellStyle name="標準 20" xfId="667"/>
    <cellStyle name="標準 21" xfId="668"/>
    <cellStyle name="標準 22" xfId="669"/>
    <cellStyle name="標準 23" xfId="670"/>
    <cellStyle name="標準 24" xfId="671"/>
    <cellStyle name="標準 25" xfId="672"/>
    <cellStyle name="標準 26" xfId="673"/>
    <cellStyle name="標準 27" xfId="674"/>
    <cellStyle name="標準 28" xfId="675"/>
    <cellStyle name="標準 29" xfId="676"/>
    <cellStyle name="標準 3" xfId="45"/>
    <cellStyle name="標準 3 2" xfId="135"/>
    <cellStyle name="標準 3 2 10" xfId="270"/>
    <cellStyle name="標準 3 2 11" xfId="373"/>
    <cellStyle name="標準 3 2 12" xfId="377"/>
    <cellStyle name="標準 3 2 13" xfId="378"/>
    <cellStyle name="標準 3 2 2" xfId="165"/>
    <cellStyle name="標準 3 2 3" xfId="185"/>
    <cellStyle name="標準 3 2 4" xfId="204"/>
    <cellStyle name="標準 3 2 5" xfId="222"/>
    <cellStyle name="標準 3 2 6" xfId="241"/>
    <cellStyle name="標準 3 2 7" xfId="262"/>
    <cellStyle name="標準 3 2 8" xfId="251"/>
    <cellStyle name="標準 3 2 9" xfId="299"/>
    <cellStyle name="標準 3 3" xfId="136"/>
    <cellStyle name="標準 3 3 10" xfId="255"/>
    <cellStyle name="標準 3 3 11" xfId="363"/>
    <cellStyle name="標準 3 3 12" xfId="369"/>
    <cellStyle name="標準 3 3 13" xfId="347"/>
    <cellStyle name="標準 3 3 2" xfId="166"/>
    <cellStyle name="標準 3 3 3" xfId="186"/>
    <cellStyle name="標準 3 3 4" xfId="205"/>
    <cellStyle name="標準 3 3 5" xfId="223"/>
    <cellStyle name="標準 3 3 6" xfId="242"/>
    <cellStyle name="標準 3 3 7" xfId="237"/>
    <cellStyle name="標準 3 3 8" xfId="296"/>
    <cellStyle name="標準 3 3 9" xfId="232"/>
    <cellStyle name="標準 3 4" xfId="134"/>
    <cellStyle name="標準 3_●12月度　家具過剰ｱｲﾃﾑ　一覧　(送信用）　01.12改定" xfId="677"/>
    <cellStyle name="標準 30" xfId="678"/>
    <cellStyle name="標準 31" xfId="679"/>
    <cellStyle name="標準 32" xfId="680"/>
    <cellStyle name="標準 33" xfId="681"/>
    <cellStyle name="標準 34" xfId="682"/>
    <cellStyle name="標準 35" xfId="683"/>
    <cellStyle name="標準 36" xfId="684"/>
    <cellStyle name="標準 37" xfId="685"/>
    <cellStyle name="標準 38" xfId="686"/>
    <cellStyle name="標準 39" xfId="687"/>
    <cellStyle name="標準 4" xfId="137"/>
    <cellStyle name="標準 4 2" xfId="138"/>
    <cellStyle name="標準 4 2 10" xfId="272"/>
    <cellStyle name="標準 4 2 11" xfId="358"/>
    <cellStyle name="標準 4 2 12" xfId="351"/>
    <cellStyle name="標準 4 2 13" xfId="345"/>
    <cellStyle name="標準 4 2 2" xfId="168"/>
    <cellStyle name="標準 4 2 3" xfId="188"/>
    <cellStyle name="標準 4 2 4" xfId="207"/>
    <cellStyle name="標準 4 2 5" xfId="225"/>
    <cellStyle name="標準 4 2 6" xfId="243"/>
    <cellStyle name="標準 4 2 7" xfId="301"/>
    <cellStyle name="標準 4 2 8" xfId="277"/>
    <cellStyle name="標準 4 2 9" xfId="305"/>
    <cellStyle name="標準 4 3" xfId="688"/>
    <cellStyle name="標準 40" xfId="689"/>
    <cellStyle name="標準 41" xfId="690"/>
    <cellStyle name="標準 42" xfId="691"/>
    <cellStyle name="標準 43" xfId="692"/>
    <cellStyle name="標準 44" xfId="693"/>
    <cellStyle name="標準 45" xfId="694"/>
    <cellStyle name="標準 46" xfId="695"/>
    <cellStyle name="標準 47" xfId="696"/>
    <cellStyle name="標準 5" xfId="697"/>
    <cellStyle name="標準 6" xfId="698"/>
    <cellStyle name="標準 7" xfId="699"/>
    <cellStyle name="標準 8" xfId="700"/>
    <cellStyle name="標準 9" xfId="701"/>
    <cellStyle name="標準_Book1" xfId="42"/>
    <cellStyle name="横倍角(602R)" xfId="612"/>
    <cellStyle name="磨葬e義" xfId="702"/>
    <cellStyle name="罫線１" xfId="613"/>
    <cellStyle name="罫線１ 2" xfId="614"/>
    <cellStyle name="脱浦 [0.00]_1124" xfId="645"/>
    <cellStyle name="脱浦_1124" xfId="646"/>
    <cellStyle name="良い 2" xfId="707"/>
    <cellStyle name="良い 3" xfId="706"/>
    <cellStyle name="見出し 1 2" xfId="630"/>
    <cellStyle name="見出し 1 3" xfId="629"/>
    <cellStyle name="見出し 2 2" xfId="632"/>
    <cellStyle name="見出し 2 3" xfId="631"/>
    <cellStyle name="見出し 3 2" xfId="634"/>
    <cellStyle name="見出し 3 3" xfId="633"/>
    <cellStyle name="見出し 4 2" xfId="636"/>
    <cellStyle name="見出し 4 3" xfId="635"/>
    <cellStyle name="計算 2" xfId="616"/>
    <cellStyle name="計算 3" xfId="615"/>
    <cellStyle name="説明文 2" xfId="644"/>
    <cellStyle name="説明文 3" xfId="643"/>
    <cellStyle name="警告文 2" xfId="618"/>
    <cellStyle name="警告文 3" xfId="617"/>
    <cellStyle name="通貨 [0.00]_DR9708.xls グラフ 1" xfId="43"/>
    <cellStyle name="通貨 2" xfId="647"/>
    <cellStyle name="通貨 2 2" xfId="648"/>
    <cellStyle name="通貨 3" xfId="649"/>
    <cellStyle name="通貨_DR9708.xls グラフ 1" xfId="44"/>
    <cellStyle name="集計 2" xfId="638"/>
    <cellStyle name="集計 3" xfId="637"/>
    <cellStyle name="㼿" xfId="712"/>
    <cellStyle name="㼿?" xfId="713"/>
    <cellStyle name="㼿_【NIFS_Hfaスルー対応】NIFSポータブル（スルー用）" xfId="714"/>
    <cellStyle name="㼿_【NIFS_Hfaスルー対応】NIFSポータブル（スルー用）_1" xfId="715"/>
    <cellStyle name="㼿_【NIFS_Hfaスルー対応】NIFSポータブル_【NIFS_Hfaスルー対応】要件定義資料" xfId="716"/>
    <cellStyle name="㼿_【NIFS_Hfaスルー対応】NIFSポータブル_【NIFS優先課題⑤-1】要件定義資料" xfId="717"/>
    <cellStyle name="㼿_【NIFS_Hfaスルー対応】NIFSポータブル_1" xfId="718"/>
    <cellStyle name="㼿_【NIFS_Hfaスルー対応】NIFSポータブル_1_【NIFS_Hfaスルー対応】NIFSポータブルレイアウト" xfId="719"/>
    <cellStyle name="㼿_【NIFS_Hfaスルー対応】NIFSポータブル_1_【NIFS優先課題⑤-1】NIFSポータブル" xfId="720"/>
    <cellStyle name="㼿_【NIFS_Hfaスルー対応】NIFSポータブルレイアウト" xfId="721"/>
    <cellStyle name="㼿_【NIFS_Hfaスルー対応】スルー用NIFSポータブル2" xfId="722"/>
    <cellStyle name="㼿_【NIFS_Hfaスルー対応】要件定義資料" xfId="723"/>
    <cellStyle name="㼿_【NIFS_Hfaスルー対応】要件定義資料_【NIFS_Hfaスルー対応】NIFSポータブル" xfId="724"/>
    <cellStyle name="㼿_【NIFS_Hfaスルー対応】要件定義資料_2" xfId="725"/>
    <cellStyle name="㼿_【NIFS_Hfaスルー対応】要件定義資料_2 2" xfId="726"/>
    <cellStyle name="㼿_【NIFS_Hfaスルー対応】要件定義資料_3" xfId="727"/>
    <cellStyle name="㼿_【NIFS_Hfaスルー対応】要件定義資料BKUP" xfId="728"/>
    <cellStyle name="㼿_【NIFS_ハード対応(上海対応)】NIFSポータブル（スルー用）_1" xfId="729"/>
    <cellStyle name="㼿_【NIFS_ハード対応(上海対応)】NIFSポータブル（スルー用）２" xfId="730"/>
    <cellStyle name="㼿_【NIFS_ハード対応(上海対応)】NIFSポータブル（通常版）" xfId="731"/>
    <cellStyle name="㼿_【NIFS_ハード対応】NIFSポータブル（通常版）" xfId="732"/>
    <cellStyle name="㼿_【NIFS_ハード対応】NIFSポータブル（通常版）　　IN_印刷" xfId="733"/>
    <cellStyle name="㼿_【NIFS_ハード対応】NIFSポータブル（通常版）_【NIFS_ハード対応(上海対応)】NIFSポータブル（スルー用）２" xfId="734"/>
    <cellStyle name="㼿_【NIFS_ハード対応】NIFSポータブル（通常版）_1" xfId="735"/>
    <cellStyle name="㼿_【NIFS_ハード対応】NIFSポータブル（通常版）_1_【NIFS_ハード対応(上海対応)】NIFSポータブル（通常版）" xfId="736"/>
    <cellStyle name="㼿_【NIFS_フェーズ２】NIFSポータブル（通常版）" xfId="737"/>
    <cellStyle name="㼿_【NIFS_優先課題⑦】NIFSポータブル（スルー用）" xfId="740"/>
    <cellStyle name="㼿_【NIFS_優先課題⑦】NIFSポータブル（通常版）_1" xfId="741"/>
    <cellStyle name="㼿_【NIFS_家具対応】NIFSポータブル（通常版）" xfId="738"/>
    <cellStyle name="㼿_【NIFS_家具対応】NIFSポータブル（通常版）_1" xfId="739"/>
    <cellStyle name="㼿_【NIFS優先課題④】NIFSポータブル" xfId="742"/>
    <cellStyle name="㼿_【NIFS優先課題⑤-1】NIFSポータブル_1" xfId="743"/>
    <cellStyle name="㼿_【NIFS優先課題⑤-1】要件定義資料" xfId="744"/>
    <cellStyle name="㼿_【NIFS優先課題⑤-1】要件定義資料 2" xfId="745"/>
    <cellStyle name="㼿_【暫定版】スルー用NIFSポータブル2_1" xfId="746"/>
    <cellStyle name="㼿_【暫定版】スルー用NIFSポータブル4" xfId="747"/>
    <cellStyle name="㼿_【暫定版】スルー用NIFSポータブル6" xfId="748"/>
    <cellStyle name="㼿_【暫定版】スルー用NIFSポータブル9改" xfId="749"/>
    <cellStyle name="㼿_【詳細設計】NIFSポータブル" xfId="750"/>
    <cellStyle name="㼿_【詳細設計書】NIFSポータブル（スルー版）" xfId="751"/>
    <cellStyle name="㼿_【詳細設計書】NIFSポータブル（通常版）" xfId="752"/>
    <cellStyle name="㼿_030_課題確認事項一覧" xfId="753"/>
    <cellStyle name="㼿_03分類床割表【共有】【作業中さわるな】_1" xfId="754"/>
    <cellStyle name="㼿_20090820_スルー方針説明（印刷用）" xfId="755"/>
    <cellStyle name="㼿_20090820_スルー方針説明_1" xfId="756"/>
    <cellStyle name="㼿_2010_07_04_NIFSポータブル_1" xfId="757"/>
    <cellStyle name="㼿_20100623NIFSポータブル_1" xfId="758"/>
    <cellStyle name="㼿_20100624NIFSポータブル_1" xfId="759"/>
    <cellStyle name="㼿_20100625NIFSポータブル_2" xfId="760"/>
    <cellStyle name="㼿_20100625NIFSポータブル_旧_1" xfId="761"/>
    <cellStyle name="㼿_20100629NIFSポータブル" xfId="762"/>
    <cellStyle name="㼿_20100630NIFSポータブル" xfId="763"/>
    <cellStyle name="㼿_20100630NIFSポータブル横持ち" xfId="764"/>
    <cellStyle name="㼿_20100702NIFSポータブル横持ち_修正_1" xfId="765"/>
    <cellStyle name="㼿_20100706NIFSポータブル横持ち_修正_1" xfId="766"/>
    <cellStyle name="㼿_6月新規 ver.9" xfId="767"/>
    <cellStyle name="㼿_6月新規 ver.9 2" xfId="768"/>
    <cellStyle name="㼿_Ｂ637" xfId="769"/>
    <cellStyle name="㼿_Ｂ637 2" xfId="770"/>
    <cellStyle name="㼿_filter_NIFSポータブル(通常版)" xfId="771"/>
    <cellStyle name="㼿_I-247" xfId="772"/>
    <cellStyle name="㼿_I-247 2" xfId="773"/>
    <cellStyle name="㼿_Index" xfId="774"/>
    <cellStyle name="㼿_Index_2" xfId="775"/>
    <cellStyle name="㼿_Index_3" xfId="776"/>
    <cellStyle name="㼿_Index_3_Index" xfId="777"/>
    <cellStyle name="㼿_Index_Index" xfId="778"/>
    <cellStyle name="㼿_Index_ニューリサ" xfId="779"/>
    <cellStyle name="㼿_Index_商品投入スケジュール" xfId="782"/>
    <cellStyle name="㼿_Index_商品投入スケジュール 2" xfId="783"/>
    <cellStyle name="㼿_Index_横Vor-2" xfId="780"/>
    <cellStyle name="㼿_Index_横Vor-2 2" xfId="781"/>
    <cellStyle name="㼿_IT_1" xfId="784"/>
    <cellStyle name="㼿_IT_1 2" xfId="785"/>
    <cellStyle name="㼿_LVL　ＮＲＴ-Ｂ" xfId="786"/>
    <cellStyle name="㼿_LVL　ＮＲＴ-Ｂ 2" xfId="787"/>
    <cellStyle name="㼿_Ｎ9999 　3月新規" xfId="788"/>
    <cellStyle name="㼿_Ｎ9999 　4月新規" xfId="789"/>
    <cellStyle name="㼿_Ｎ9999 　4月新規_1" xfId="790"/>
    <cellStyle name="㼿_Ｎ9999 　タイ マレーシア_1" xfId="791"/>
    <cellStyle name="㼿_Ｎ9999 　中国" xfId="792"/>
    <cellStyle name="㼿_Ｎ9999 　中国 0409" xfId="793"/>
    <cellStyle name="㼿_Ｎ9999 　中国 0409 2" xfId="794"/>
    <cellStyle name="㼿_Ｎ9999 　中国 34_2" xfId="795"/>
    <cellStyle name="㼿_Ｎ9999 　中国 34_2 2" xfId="796"/>
    <cellStyle name="㼿_Ｎ9999 　中国 40_2" xfId="797"/>
    <cellStyle name="㼿_Ｎ9999 　中国 40_2 2" xfId="798"/>
    <cellStyle name="㼿_Ｎ9999 　中国 ver.9" xfId="799"/>
    <cellStyle name="㼿_Ｎ9999 　中国 ver.9 2" xfId="800"/>
    <cellStyle name="㼿_Ｎ9999 　中国 ver.9 20" xfId="801"/>
    <cellStyle name="㼿_Ｎ9999 　中国 ver.9 20 2" xfId="802"/>
    <cellStyle name="㼿_Ｎ9999 　中国 ver.9 27" xfId="803"/>
    <cellStyle name="㼿_Ｎ9999 　中国 ver.9 27 2" xfId="804"/>
    <cellStyle name="㼿_Ｎ9999 　中国 ver.9 27N" xfId="805"/>
    <cellStyle name="㼿_Ｎ9999 　中国 ver.9 27N 2" xfId="806"/>
    <cellStyle name="㼿_Ｎ9999 　中国 ver.9 27N2" xfId="807"/>
    <cellStyle name="㼿_Ｎ9999 　中国 ver.9 27N2 2" xfId="808"/>
    <cellStyle name="㼿_Ｎ9999 　中国_1" xfId="809"/>
    <cellStyle name="㼿_Ｎ9999 　中国_2" xfId="810"/>
    <cellStyle name="㼿_Ｎ9999 　中国_2 2" xfId="811"/>
    <cellStyle name="㼿_Ｎ9999 　中国_4" xfId="812"/>
    <cellStyle name="㼿_Ｎ9999 　中国_4 2" xfId="813"/>
    <cellStyle name="㼿_Ｎ9999 　東南アジア" xfId="814"/>
    <cellStyle name="㼿_Ｎ9999 　東南アジア 20" xfId="815"/>
    <cellStyle name="㼿_Ｎ9999 　東南アジア 20 2" xfId="816"/>
    <cellStyle name="㼿_Ｎ9999 　東南アジア 21" xfId="817"/>
    <cellStyle name="㼿_Ｎ9999 　東南アジア 21 2" xfId="818"/>
    <cellStyle name="㼿_Ｎ9999 　東南アジア 21N" xfId="819"/>
    <cellStyle name="㼿_Ｎ9999 　東南アジア 21N 2" xfId="820"/>
    <cellStyle name="㼿_Ｎ9999 　東南アジア 34" xfId="821"/>
    <cellStyle name="㼿_Ｎ9999 　東南アジア 34 2" xfId="822"/>
    <cellStyle name="㼿_Ｎ9999 　東南アジア 40" xfId="823"/>
    <cellStyle name="㼿_Ｎ9999 　東南アジア 40 2" xfId="824"/>
    <cellStyle name="㼿_Ｎ9999 　東南アジア ver.9" xfId="825"/>
    <cellStyle name="㼿_Ｎ9999 　東南アジア ver.9 2" xfId="826"/>
    <cellStyle name="㼿_Ｎ9999 　東南アジア_1" xfId="827"/>
    <cellStyle name="㼿_Ｎ9999 　東南アジア_2" xfId="828"/>
    <cellStyle name="㼿_Ｎ9999 　東南アジア_2 2" xfId="829"/>
    <cellStyle name="㼿_Ｎ9999 　東南アジア_3" xfId="830"/>
    <cellStyle name="㼿_Ｎ9999 　東南アジア_3 2" xfId="831"/>
    <cellStyle name="㼿_NIFS-P発注数計算仕様書_1" xfId="834"/>
    <cellStyle name="㼿_NIFS-P詳細設計書（Indexシート）_1" xfId="832"/>
    <cellStyle name="㼿_NIFS-P詳細設計書(発注データ作成ボタン押下)" xfId="833"/>
    <cellStyle name="㼿_NIFSポータブル(Hi-Speed)_1" xfId="835"/>
    <cellStyle name="㼿_NIFSポータブル(スルｰ版)" xfId="836"/>
    <cellStyle name="㼿_NIFSポータブル(通常版)" xfId="837"/>
    <cellStyle name="㼿_NIFSポータブル(通常版)_1_【NIFS_家具対応】NIFSポータブル（通常版）" xfId="838"/>
    <cellStyle name="㼿_NIFSポータブル(通常版)_1_NIFS-P詳細設計書（Indexシート）" xfId="839"/>
    <cellStyle name="㼿_NIFSポータブル(通常版)_20100706NIFSポータブル横持ち_修正" xfId="840"/>
    <cellStyle name="㼿_NIFSポータブル(通常版)_NIFS-P詳細設計書(発注データ作成ボタン押下)" xfId="841"/>
    <cellStyle name="㼿_NIFSポータブル(通常版)_NIFSポータブル" xfId="842"/>
    <cellStyle name="㼿_NIFSポータブル(通常版)_家具参考用２" xfId="843"/>
    <cellStyle name="㼿_NIFSポータブル(通常版)_家具資料用" xfId="844"/>
    <cellStyle name="㼿_NIFSポータブル(通常版X)" xfId="845"/>
    <cellStyle name="㼿_NIFSポータブル_1_NIFSポータブル" xfId="846"/>
    <cellStyle name="㼿_NIFSポータブル_2" xfId="847"/>
    <cellStyle name="㼿_NIFSポータブル0909" xfId="848"/>
    <cellStyle name="㼿_NIFSポータブル0909_1" xfId="849"/>
    <cellStyle name="㼿_NIFSポータブル2_1" xfId="850"/>
    <cellStyle name="㼿_NIFSポータブルβ版_1" xfId="851"/>
    <cellStyle name="㼿_NIFSポータブル第3フェーズ" xfId="852"/>
    <cellStyle name="㼿_Nｷｬｯｽﾙ_2" xfId="853"/>
    <cellStyle name="㼿_Nｷｬｯｽﾙ_2 2" xfId="854"/>
    <cellStyle name="㼿_Sheet1_1" xfId="855"/>
    <cellStyle name="㼿_Sheet1_1 2" xfId="856"/>
    <cellStyle name="㼿_Sheet3_1" xfId="857"/>
    <cellStyle name="㼿_Sheet3_1 2" xfId="858"/>
    <cellStyle name="㼿_ＳＫ601 J" xfId="859"/>
    <cellStyle name="㼿_ＳＫ601 J 2" xfId="860"/>
    <cellStyle name="㼿_ｱﾂｶﾞﾜ ﾁｪﾘｰBK_1" xfId="861"/>
    <cellStyle name="㼿_ｱﾂｶﾞﾜ ﾁｪﾘｰBK_1 2" xfId="862"/>
    <cellStyle name="㼿_エルモアIV BK プライム_1" xfId="863"/>
    <cellStyle name="㼿_エルモアIV BK_1" xfId="864"/>
    <cellStyle name="㼿_エルモアIV BK_1 2" xfId="865"/>
    <cellStyle name="㼿_エルモア布_1" xfId="866"/>
    <cellStyle name="㼿_ｵｱｼｽKD_1" xfId="867"/>
    <cellStyle name="㼿_ｵｱｼｽKD_1 2" xfId="868"/>
    <cellStyle name="㼿_ｵｰスチン_1" xfId="869"/>
    <cellStyle name="㼿_ｵｰスチン_1 2" xfId="870"/>
    <cellStyle name="㼿_ｵｿﾞﾝ 1P" xfId="871"/>
    <cellStyle name="㼿_ｵｿﾞﾝ 1P 2" xfId="872"/>
    <cellStyle name="㼿_ｵｿﾞﾝ　ｼｪｰｽﾞ" xfId="873"/>
    <cellStyle name="㼿_ｵｿﾞﾝ　ｼｪｰｽﾞ 2" xfId="874"/>
    <cellStyle name="㼿_ｵｿﾞﾝBK IV DBR" xfId="875"/>
    <cellStyle name="㼿_ｵｿﾞﾝBK IV DBR 2" xfId="876"/>
    <cellStyle name="㼿_ｵｿﾞﾝBK IV_2" xfId="877"/>
    <cellStyle name="㼿_ｵｿﾞﾝ布　BR BE" xfId="878"/>
    <cellStyle name="㼿_ｵｿﾞﾝ布　BR BE 2" xfId="879"/>
    <cellStyle name="㼿_カバー" xfId="880"/>
    <cellStyle name="㼿_カバー 2" xfId="881"/>
    <cellStyle name="㼿_ｶﾙﾒﾝ_2" xfId="882"/>
    <cellStyle name="㼿_ｶﾙﾒﾝ_2 2" xfId="883"/>
    <cellStyle name="㼿_ｸｲｯｸ　ｲﾌﾞ" xfId="884"/>
    <cellStyle name="㼿_ｸｲｯｸ　ｲﾌﾞ 2" xfId="885"/>
    <cellStyle name="㼿_コーナー3点ﾌﾗﾝ_1" xfId="886"/>
    <cellStyle name="㼿_コーナー3点ﾌﾗﾝ_1 2" xfId="887"/>
    <cellStyle name="㼿_コピー ～ 【NIFS_ハード対応】NIFSポータブル（通常版）" xfId="888"/>
    <cellStyle name="㼿_コピー ～ NIFSポータブル_1" xfId="889"/>
    <cellStyle name="㼿_コピーＮ9999 　中国3_2" xfId="890"/>
    <cellStyle name="㼿_コピーＮ9999 　東南アジア2_1" xfId="891"/>
    <cellStyle name="㼿_ｺﾝﾌｫｰﾄ・ｴﾐｭｰ残3cnt_1" xfId="892"/>
    <cellStyle name="㼿_スケジュール" xfId="893"/>
    <cellStyle name="㼿_ｽﾂｰﾙ ｽﾄｱ ﾁｪｰﾝ ﾋﾟｸｼｰ" xfId="894"/>
    <cellStyle name="㼿_ｽﾂｰﾙ ｽﾄｱ ﾁｪｰﾝ ﾋﾟｸｼｰ 2" xfId="895"/>
    <cellStyle name="㼿_ｽﾃｲﾂ_1" xfId="896"/>
    <cellStyle name="㼿_ｽﾃｲﾂ_2" xfId="897"/>
    <cellStyle name="㼿_ｽﾃｲﾂ_2 2" xfId="898"/>
    <cellStyle name="㼿_セレブ_1" xfId="899"/>
    <cellStyle name="㼿_ﾄﾗｽﾄ" xfId="900"/>
    <cellStyle name="㼿_ﾄﾗｽﾄ 2" xfId="901"/>
    <cellStyle name="㼿_ﾄﾚｰﾄﾞ_1" xfId="902"/>
    <cellStyle name="㼿_ﾄﾚｰﾄﾞ_1 2" xfId="903"/>
    <cellStyle name="㼿_ニューリサ" xfId="904"/>
    <cellStyle name="㼿_ニューリサ 2" xfId="905"/>
    <cellStyle name="㼿_ﾊﾝﾏｰ" xfId="906"/>
    <cellStyle name="㼿_ﾊﾝﾏｰ 2" xfId="907"/>
    <cellStyle name="㼿_ヒカリG BE_1" xfId="908"/>
    <cellStyle name="㼿_ヒカリG BE_2" xfId="909"/>
    <cellStyle name="㼿_ヒカリG BE_2 2" xfId="910"/>
    <cellStyle name="㼿_ビット BK DBR" xfId="911"/>
    <cellStyle name="㼿_ビット BK DBR 2" xfId="912"/>
    <cellStyle name="㼿_ビット他" xfId="913"/>
    <cellStyle name="㼿_ビット他 2" xfId="914"/>
    <cellStyle name="㼿_ﾋﾞﾘｰﾊﾞ電動" xfId="915"/>
    <cellStyle name="㼿_ﾋﾞﾘｰﾊﾞ電動 2" xfId="916"/>
    <cellStyle name="㼿_ﾌｰｶﾞ" xfId="917"/>
    <cellStyle name="㼿_ﾌﾗﾝ_1" xfId="918"/>
    <cellStyle name="㼿_ﾌﾗﾝ_1 2" xfId="919"/>
    <cellStyle name="㼿_ﾌﾘｰﾄﾞIV BK_2" xfId="920"/>
    <cellStyle name="㼿_ベスト２０" xfId="921"/>
    <cellStyle name="㼿_ﾏｲﾎﾞｲｽ２" xfId="922"/>
    <cellStyle name="㼿_ﾏｲﾎﾞｲｽ２ 2" xfId="923"/>
    <cellStyle name="㼿_ミリア イーニー" xfId="924"/>
    <cellStyle name="㼿_ミリア イーニー 2" xfId="925"/>
    <cellStyle name="㼿_参考【NIFS_ハード対応】NIFSポータブル（通常版）" xfId="944"/>
    <cellStyle name="㼿_商品投入スケジュール_1" xfId="946"/>
    <cellStyle name="㼿_商品投入スケジュール_1 2" xfId="947"/>
    <cellStyle name="㼿_商品投入スケジュール_2" xfId="948"/>
    <cellStyle name="㼿_家具参考用２_1" xfId="935"/>
    <cellStyle name="㼿_家具検索2_フリータイム版_1" xfId="934"/>
    <cellStyle name="㼿_家具資料用" xfId="936"/>
    <cellStyle name="㼿_店 (2)_2" xfId="957"/>
    <cellStyle name="㼿_抽出" xfId="953"/>
    <cellStyle name="㼿_抽出 2" xfId="954"/>
    <cellStyle name="㼿_抽出_2" xfId="955"/>
    <cellStyle name="㼿_抽出_2 2" xfId="956"/>
    <cellStyle name="㼿_新店中止残投入" xfId="949"/>
    <cellStyle name="㼿_新店中止残投入 2" xfId="950"/>
    <cellStyle name="㼿_新店中止残投入_1" xfId="951"/>
    <cellStyle name="㼿_新店中止残投入_1 2" xfId="952"/>
    <cellStyle name="㼿_検索_2" xfId="937"/>
    <cellStyle name="㼿_検索_2_1" xfId="938"/>
    <cellStyle name="㼿_検索_2_サンプル管理表" xfId="939"/>
    <cellStyle name="㼿_検索_2_横Vor-1" xfId="940"/>
    <cellStyle name="㼿_検索_2_横Vor-1 2" xfId="941"/>
    <cellStyle name="㼿_検索_2_横Vor-2" xfId="942"/>
    <cellStyle name="㼿_検索_2_横Vor-2 2" xfId="943"/>
    <cellStyle name="㼿_横Vor-1_1" xfId="926"/>
    <cellStyle name="㼿_横Vor-1_1 2" xfId="927"/>
    <cellStyle name="㼿_横Vor-1_2" xfId="928"/>
    <cellStyle name="㼿_横Vor-1_3" xfId="929"/>
    <cellStyle name="㼿_横Vor-2_1" xfId="930"/>
    <cellStyle name="㼿_横Vor-2_2" xfId="931"/>
    <cellStyle name="㼿_横Vor-2_3" xfId="932"/>
    <cellStyle name="㼿_横Vor-2_3 2" xfId="933"/>
    <cellStyle name="㼿_試販発注" xfId="945"/>
    <cellStyle name="㼿_販売数量週別実績_2" xfId="958"/>
    <cellStyle name="㼿_販売数量週別実績_2 2" xfId="959"/>
    <cellStyle name="㼿_販売数量週別実績_2_サンプル管理表" xfId="960"/>
    <cellStyle name="㼿_販売数量週別実績_2_サンプル管理表 2" xfId="961"/>
    <cellStyle name="㼿_販売数量週別実績_2_ベスト２０" xfId="962"/>
    <cellStyle name="㼿_販売数量週別実績_2_ベスト２０ 2" xfId="963"/>
    <cellStyle name="㼿_販売数量週別実績_2_横Vor-1" xfId="964"/>
    <cellStyle name="㼿_販売数量週別実績_2_横Vor-1 2" xfId="965"/>
    <cellStyle name="㼿_販売数量週別実績_2_横Vor-2" xfId="966"/>
    <cellStyle name="㼿_販売数量週別実績_2_横Vor-2 2" xfId="967"/>
    <cellStyle name="㼿㼿" xfId="968"/>
    <cellStyle name="㼿㼿?" xfId="969"/>
    <cellStyle name="㼿㼿_【NIFS_Hfaスルー対応】NIFSポータブル（スルー用）_2" xfId="970"/>
    <cellStyle name="㼿㼿㼿" xfId="971"/>
    <cellStyle name="㼿㼿㼿?" xfId="972"/>
    <cellStyle name="㼿㼿㼿_【NIFS_Hfaスルー対応】NIFSポータブル" xfId="973"/>
    <cellStyle name="㼿㼿㼿㼿㼿㼿?" xfId="974"/>
  </cellStyles>
  <dxfs count="894">
    <dxf>
      <font>
        <color theme="0"/>
      </font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00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3"/>
        </patternFill>
      </fill>
    </dxf>
    <dxf>
      <font>
        <color theme="0"/>
      </font>
      <fill>
        <patternFill>
          <bgColor rgb="FF009900"/>
        </patternFill>
      </fill>
    </dxf>
    <dxf>
      <font>
        <color auto="1"/>
      </font>
      <fill>
        <patternFill>
          <bgColor rgb="FFFFCC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CC00"/>
      <color rgb="FF00CCFF"/>
      <color rgb="FF009900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10584</xdr:colOff>
      <xdr:row>0</xdr:row>
      <xdr:rowOff>10584</xdr:rowOff>
    </xdr:from>
    <xdr:to>
      <xdr:col>1</xdr:col>
      <xdr:colOff>11906</xdr:colOff>
      <xdr:row>1</xdr:row>
      <xdr:rowOff>10584</xdr:rowOff>
    </xdr:to>
    <xdr:pic macro="[0]!SCOLLECT"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630" b="28395"/>
        <a:stretch/>
      </xdr:blipFill>
      <xdr:spPr>
        <a:xfrm>
          <a:off x="10584" y="10584"/>
          <a:ext cx="1108603" cy="357188"/>
        </a:xfrm>
        <a:prstGeom prst="rect">
          <a:avLst/>
        </a:prstGeom>
      </xdr:spPr>
    </xdr:pic>
    <xdr:clientData/>
  </xdr:twoCellAnchor>
  <xdr:twoCellAnchor editAs="oneCell">
    <xdr:from>
      <xdr:col>19</xdr:col>
      <xdr:colOff>11941</xdr:colOff>
      <xdr:row>0</xdr:row>
      <xdr:rowOff>29105</xdr:rowOff>
    </xdr:from>
    <xdr:to>
      <xdr:col>19</xdr:col>
      <xdr:colOff>559594</xdr:colOff>
      <xdr:row>1</xdr:row>
      <xdr:rowOff>0</xdr:rowOff>
    </xdr:to>
    <xdr:pic macro="[0]!SSU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60" y="29105"/>
          <a:ext cx="547653" cy="328083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vn-file\Data\EUC%20PO%20Sheet\CVN_P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is613.NITORI\Desktop\UPDATE%20BILL%20NGUYET%20S43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9.11.230\Exim\BOOKING\ALL-IN-ONE%20FILE%20%20MAI%20S593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VENDOR"/>
      <sheetName val="PAGE1"/>
      <sheetName val="PAGE2"/>
      <sheetName val="A530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PDATE BILL"/>
      <sheetName val="UPDATE BILL 2017"/>
      <sheetName val="LIST BOOK"/>
      <sheetName val="UPDATE BILL 2018"/>
      <sheetName val="Sheet1"/>
    </sheetNames>
    <sheetDataSet>
      <sheetData sheetId="0"/>
      <sheetData sheetId="1"/>
      <sheetData sheetId="2"/>
      <sheetData sheetId="3">
        <row r="1">
          <cell r="B1"/>
          <cell r="C1"/>
          <cell r="D1"/>
          <cell r="E1"/>
          <cell r="F1"/>
          <cell r="G1"/>
          <cell r="H1"/>
          <cell r="I1"/>
          <cell r="J1"/>
          <cell r="K1" t="str">
            <v>checked DLV</v>
          </cell>
          <cell r="L1" t="str">
            <v>DRAFT</v>
          </cell>
          <cell r="M1" t="str">
            <v>GỬI SI</v>
          </cell>
          <cell r="N1" t="str">
            <v>CONFIRM BILL</v>
          </cell>
          <cell r="O1"/>
          <cell r="P1" t="str">
            <v>BILL</v>
          </cell>
          <cell r="Q1" t="str">
            <v>POD</v>
          </cell>
          <cell r="R1" t="str">
            <v>SHIPPING LINE</v>
          </cell>
          <cell r="S1"/>
          <cell r="T1" t="str">
            <v>ETD</v>
          </cell>
          <cell r="U1"/>
          <cell r="V1" t="str">
            <v>VESSEL</v>
          </cell>
        </row>
        <row r="2">
          <cell r="B2" t="str">
            <v>V172025</v>
          </cell>
          <cell r="C2" t="str">
            <v>V172029</v>
          </cell>
          <cell r="D2" t="str">
            <v>V172033</v>
          </cell>
          <cell r="E2" t="str">
            <v>V180005</v>
          </cell>
          <cell r="M2" t="str">
            <v>X</v>
          </cell>
          <cell r="N2" t="str">
            <v>X</v>
          </cell>
          <cell r="O2"/>
          <cell r="P2" t="str">
            <v>1007X00626</v>
          </cell>
          <cell r="Q2" t="str">
            <v>TYO</v>
          </cell>
          <cell r="R2" t="str">
            <v>WHL</v>
          </cell>
          <cell r="S2"/>
          <cell r="T2">
            <v>43104</v>
          </cell>
          <cell r="U2">
            <v>264</v>
          </cell>
          <cell r="V2" t="str">
            <v>WAN HAI 266 N386</v>
          </cell>
        </row>
        <row r="3">
          <cell r="B3" t="str">
            <v>V172026</v>
          </cell>
          <cell r="C3" t="str">
            <v>V172030</v>
          </cell>
          <cell r="D3" t="str">
            <v>V172031</v>
          </cell>
          <cell r="E3" t="str">
            <v>V172038</v>
          </cell>
          <cell r="F3" t="str">
            <v>V172043</v>
          </cell>
          <cell r="G3"/>
          <cell r="H3"/>
          <cell r="I3"/>
          <cell r="J3"/>
          <cell r="K3"/>
          <cell r="L3"/>
          <cell r="M3" t="str">
            <v>X</v>
          </cell>
          <cell r="N3" t="str">
            <v>X</v>
          </cell>
          <cell r="O3"/>
          <cell r="P3" t="str">
            <v>SITWHPKW150581</v>
          </cell>
          <cell r="Q3" t="str">
            <v>KWS</v>
          </cell>
          <cell r="R3" t="str">
            <v>SITC</v>
          </cell>
          <cell r="S3"/>
          <cell r="T3">
            <v>43104</v>
          </cell>
          <cell r="U3">
            <v>264</v>
          </cell>
          <cell r="V3" t="str">
            <v>GLORY SHANGHAI 1801N</v>
          </cell>
        </row>
        <row r="4">
          <cell r="B4" t="str">
            <v>V172027</v>
          </cell>
          <cell r="C4" t="str">
            <v>V172028</v>
          </cell>
          <cell r="D4"/>
          <cell r="E4"/>
          <cell r="F4"/>
          <cell r="G4"/>
          <cell r="H4"/>
          <cell r="I4"/>
          <cell r="J4"/>
          <cell r="K4"/>
          <cell r="L4"/>
          <cell r="M4" t="str">
            <v>X</v>
          </cell>
          <cell r="N4" t="str">
            <v>X</v>
          </cell>
          <cell r="O4"/>
          <cell r="P4" t="str">
            <v>1007X00629</v>
          </cell>
          <cell r="Q4" t="str">
            <v>OSK</v>
          </cell>
          <cell r="R4" t="str">
            <v>WHL</v>
          </cell>
          <cell r="S4"/>
          <cell r="T4">
            <v>43103</v>
          </cell>
          <cell r="U4">
            <v>265</v>
          </cell>
          <cell r="V4" t="str">
            <v>WAN HAI 282 N060</v>
          </cell>
        </row>
        <row r="5">
          <cell r="B5" t="str">
            <v>V172032</v>
          </cell>
          <cell r="C5" t="str">
            <v>V172035</v>
          </cell>
          <cell r="D5"/>
          <cell r="E5"/>
          <cell r="F5"/>
          <cell r="G5"/>
          <cell r="H5"/>
          <cell r="I5"/>
          <cell r="J5"/>
          <cell r="K5"/>
          <cell r="L5"/>
          <cell r="M5" t="str">
            <v>X</v>
          </cell>
          <cell r="N5" t="str">
            <v>X</v>
          </cell>
          <cell r="O5"/>
          <cell r="P5">
            <v>350710133209</v>
          </cell>
          <cell r="Q5" t="str">
            <v>OSK</v>
          </cell>
          <cell r="R5" t="str">
            <v>TSL</v>
          </cell>
          <cell r="S5"/>
          <cell r="T5">
            <v>43103</v>
          </cell>
          <cell r="U5">
            <v>265</v>
          </cell>
          <cell r="V5" t="str">
            <v>MARCARRIER 17047N</v>
          </cell>
        </row>
        <row r="6">
          <cell r="B6" t="str">
            <v>V172034</v>
          </cell>
          <cell r="C6" t="str">
            <v>V172041</v>
          </cell>
          <cell r="D6" t="str">
            <v>V180004</v>
          </cell>
          <cell r="E6"/>
          <cell r="F6"/>
          <cell r="G6"/>
          <cell r="H6"/>
          <cell r="I6"/>
          <cell r="J6"/>
          <cell r="K6"/>
          <cell r="L6"/>
          <cell r="M6" t="str">
            <v>X</v>
          </cell>
          <cell r="N6" t="str">
            <v>X</v>
          </cell>
          <cell r="O6"/>
          <cell r="P6" t="str">
            <v>EGLV237700269667</v>
          </cell>
          <cell r="Q6" t="str">
            <v>TYO</v>
          </cell>
          <cell r="R6" t="str">
            <v>EGLV</v>
          </cell>
          <cell r="S6"/>
          <cell r="T6">
            <v>43107</v>
          </cell>
          <cell r="U6">
            <v>261</v>
          </cell>
          <cell r="V6" t="str">
            <v>BOX EXPRESS 0532-044N</v>
          </cell>
        </row>
        <row r="7">
          <cell r="B7" t="str">
            <v>V172036</v>
          </cell>
          <cell r="C7" t="str">
            <v>V172046</v>
          </cell>
          <cell r="D7" t="str">
            <v>V180008</v>
          </cell>
          <cell r="E7" t="str">
            <v>V180014</v>
          </cell>
          <cell r="F7"/>
          <cell r="G7"/>
          <cell r="H7"/>
          <cell r="I7"/>
          <cell r="J7"/>
          <cell r="K7"/>
          <cell r="L7"/>
          <cell r="M7" t="str">
            <v>X</v>
          </cell>
          <cell r="N7" t="str">
            <v>X</v>
          </cell>
          <cell r="O7"/>
          <cell r="P7" t="str">
            <v>1007X00628</v>
          </cell>
          <cell r="Q7" t="str">
            <v>HKT</v>
          </cell>
          <cell r="R7" t="str">
            <v>WHL</v>
          </cell>
          <cell r="S7"/>
          <cell r="T7">
            <v>43107</v>
          </cell>
          <cell r="U7">
            <v>261</v>
          </cell>
          <cell r="V7" t="str">
            <v>IAL 001 N303</v>
          </cell>
        </row>
        <row r="8">
          <cell r="B8" t="str">
            <v>V172037</v>
          </cell>
          <cell r="C8" t="str">
            <v>V180002</v>
          </cell>
          <cell r="D8" t="str">
            <v>V180010</v>
          </cell>
          <cell r="E8" t="str">
            <v>V180016</v>
          </cell>
          <cell r="F8" t="str">
            <v>V180019</v>
          </cell>
          <cell r="G8" t="str">
            <v>V180020</v>
          </cell>
          <cell r="H8"/>
          <cell r="I8"/>
          <cell r="J8"/>
          <cell r="K8"/>
          <cell r="L8"/>
          <cell r="M8" t="str">
            <v>X</v>
          </cell>
          <cell r="N8" t="str">
            <v>X</v>
          </cell>
          <cell r="O8"/>
          <cell r="P8" t="str">
            <v>SITWHPTK151269</v>
          </cell>
          <cell r="Q8" t="str">
            <v>TYO</v>
          </cell>
          <cell r="R8" t="str">
            <v>SITC</v>
          </cell>
          <cell r="S8"/>
          <cell r="T8">
            <v>43107</v>
          </cell>
          <cell r="U8">
            <v>261</v>
          </cell>
          <cell r="V8" t="str">
            <v>RESURGENCE 1801N</v>
          </cell>
        </row>
        <row r="9">
          <cell r="B9" t="str">
            <v>V172039</v>
          </cell>
          <cell r="C9"/>
          <cell r="D9"/>
          <cell r="E9"/>
          <cell r="F9"/>
          <cell r="G9"/>
          <cell r="H9"/>
          <cell r="I9"/>
          <cell r="J9"/>
          <cell r="K9"/>
          <cell r="L9"/>
          <cell r="M9" t="str">
            <v>X</v>
          </cell>
          <cell r="N9" t="str">
            <v>X</v>
          </cell>
          <cell r="O9"/>
          <cell r="P9" t="str">
            <v>EGLV237700269683</v>
          </cell>
          <cell r="Q9" t="str">
            <v>OSK</v>
          </cell>
          <cell r="R9" t="str">
            <v>EGLV</v>
          </cell>
          <cell r="S9"/>
          <cell r="T9">
            <v>43107</v>
          </cell>
          <cell r="U9">
            <v>261</v>
          </cell>
          <cell r="V9" t="str">
            <v>BOX EXPRESS 0532-044N</v>
          </cell>
        </row>
        <row r="10">
          <cell r="B10" t="str">
            <v>V172040</v>
          </cell>
          <cell r="C10" t="str">
            <v>V180009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 t="str">
            <v>X</v>
          </cell>
          <cell r="N10" t="str">
            <v>X</v>
          </cell>
          <cell r="O10"/>
          <cell r="P10" t="str">
            <v>HASL51EHC7000500</v>
          </cell>
          <cell r="Q10" t="str">
            <v>ISH</v>
          </cell>
          <cell r="R10" t="str">
            <v>HEUNG-A</v>
          </cell>
          <cell r="S10"/>
          <cell r="T10">
            <v>43106</v>
          </cell>
          <cell r="U10">
            <v>262</v>
          </cell>
          <cell r="V10" t="str">
            <v>HEUNG-A SARAH 0102N</v>
          </cell>
        </row>
        <row r="11">
          <cell r="B11" t="str">
            <v>V172044</v>
          </cell>
          <cell r="C11"/>
          <cell r="D11"/>
          <cell r="E11"/>
          <cell r="F11"/>
          <cell r="G11"/>
          <cell r="H11"/>
          <cell r="I11"/>
          <cell r="J11"/>
          <cell r="K11"/>
          <cell r="L11"/>
          <cell r="M11" t="str">
            <v>X</v>
          </cell>
          <cell r="N11" t="str">
            <v>X</v>
          </cell>
          <cell r="O11"/>
          <cell r="P11" t="str">
            <v>1007X00693</v>
          </cell>
          <cell r="Q11" t="str">
            <v>NGO</v>
          </cell>
          <cell r="R11" t="str">
            <v>WHL</v>
          </cell>
          <cell r="S11"/>
          <cell r="T11">
            <v>43107</v>
          </cell>
          <cell r="U11">
            <v>261</v>
          </cell>
          <cell r="V11" t="str">
            <v>IAL 001 N303</v>
          </cell>
        </row>
        <row r="12">
          <cell r="B12" t="str">
            <v>V172045</v>
          </cell>
          <cell r="C12"/>
          <cell r="D12"/>
          <cell r="E12"/>
          <cell r="F12"/>
          <cell r="G12"/>
          <cell r="H12"/>
          <cell r="I12"/>
          <cell r="J12"/>
          <cell r="K12"/>
          <cell r="L12"/>
          <cell r="M12" t="str">
            <v>X</v>
          </cell>
          <cell r="N12" t="str">
            <v>X</v>
          </cell>
          <cell r="O12"/>
          <cell r="P12" t="str">
            <v>1007X00696</v>
          </cell>
          <cell r="Q12" t="str">
            <v>OSK</v>
          </cell>
          <cell r="R12" t="str">
            <v>WHL</v>
          </cell>
          <cell r="S12"/>
          <cell r="T12">
            <v>43104</v>
          </cell>
          <cell r="U12">
            <v>264</v>
          </cell>
          <cell r="V12" t="str">
            <v>WAN HAI 266 N386</v>
          </cell>
        </row>
        <row r="13">
          <cell r="B13" t="str">
            <v>V180001</v>
          </cell>
          <cell r="C13"/>
          <cell r="D13"/>
          <cell r="E13"/>
          <cell r="F13"/>
          <cell r="G13"/>
          <cell r="H13"/>
          <cell r="I13"/>
          <cell r="J13"/>
          <cell r="K13"/>
          <cell r="L13"/>
          <cell r="M13" t="str">
            <v>X</v>
          </cell>
          <cell r="N13" t="str">
            <v>X</v>
          </cell>
          <cell r="O13"/>
          <cell r="P13" t="str">
            <v>HASL51EHC7000600</v>
          </cell>
          <cell r="Q13" t="str">
            <v>SGM</v>
          </cell>
          <cell r="R13" t="str">
            <v>HEUNG-A</v>
          </cell>
          <cell r="S13"/>
          <cell r="T13">
            <v>43106</v>
          </cell>
          <cell r="U13">
            <v>262</v>
          </cell>
          <cell r="V13" t="str">
            <v>HEUNG-A SARAH 0102N</v>
          </cell>
        </row>
        <row r="14">
          <cell r="B14" t="str">
            <v>V180003</v>
          </cell>
          <cell r="C14" t="str">
            <v>V180011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 t="str">
            <v>X</v>
          </cell>
          <cell r="N14" t="str">
            <v>X</v>
          </cell>
          <cell r="O14"/>
          <cell r="P14" t="str">
            <v>1007X00692</v>
          </cell>
          <cell r="Q14" t="str">
            <v>TYO</v>
          </cell>
          <cell r="R14" t="str">
            <v>WHL</v>
          </cell>
          <cell r="S14"/>
          <cell r="T14">
            <v>43107</v>
          </cell>
          <cell r="U14">
            <v>261</v>
          </cell>
          <cell r="V14" t="str">
            <v>IAL 001 N303</v>
          </cell>
        </row>
        <row r="15">
          <cell r="B15" t="str">
            <v>V180006</v>
          </cell>
          <cell r="C15" t="str">
            <v>V180012</v>
          </cell>
          <cell r="D15" t="str">
            <v>V180017</v>
          </cell>
          <cell r="E15"/>
          <cell r="F15"/>
          <cell r="G15"/>
          <cell r="H15"/>
          <cell r="I15"/>
          <cell r="J15"/>
          <cell r="K15"/>
          <cell r="L15"/>
          <cell r="M15" t="str">
            <v>X</v>
          </cell>
          <cell r="N15" t="str">
            <v>X</v>
          </cell>
          <cell r="O15"/>
          <cell r="P15" t="str">
            <v>SITWHPKW151274</v>
          </cell>
          <cell r="Q15" t="str">
            <v>KWS</v>
          </cell>
          <cell r="R15" t="str">
            <v>SITC</v>
          </cell>
          <cell r="S15"/>
          <cell r="T15">
            <v>43107</v>
          </cell>
          <cell r="U15">
            <v>261</v>
          </cell>
          <cell r="V15" t="str">
            <v>RESURGENCE 1801N</v>
          </cell>
        </row>
        <row r="16">
          <cell r="B16" t="str">
            <v>V180007</v>
          </cell>
          <cell r="C16" t="str">
            <v>V180013</v>
          </cell>
          <cell r="D16" t="str">
            <v>V180015</v>
          </cell>
          <cell r="E16" t="str">
            <v>V180018</v>
          </cell>
          <cell r="F16"/>
          <cell r="G16"/>
          <cell r="H16"/>
          <cell r="I16"/>
          <cell r="J16"/>
          <cell r="K16"/>
          <cell r="L16"/>
          <cell r="M16" t="str">
            <v>X</v>
          </cell>
          <cell r="N16" t="str">
            <v>X</v>
          </cell>
          <cell r="O16"/>
          <cell r="P16" t="str">
            <v>SITWHPOS151270</v>
          </cell>
          <cell r="Q16" t="str">
            <v>OSK</v>
          </cell>
          <cell r="R16" t="str">
            <v>SITC</v>
          </cell>
          <cell r="S16"/>
          <cell r="T16">
            <v>43108</v>
          </cell>
          <cell r="U16">
            <v>260</v>
          </cell>
          <cell r="V16" t="str">
            <v>SITC WEIHAI 1803N</v>
          </cell>
        </row>
        <row r="17">
          <cell r="B17" t="str">
            <v>V172060</v>
          </cell>
          <cell r="C17"/>
          <cell r="D17"/>
          <cell r="E17"/>
          <cell r="F17"/>
          <cell r="G17"/>
          <cell r="H17"/>
          <cell r="I17"/>
          <cell r="J17"/>
          <cell r="K17"/>
          <cell r="L17"/>
          <cell r="M17" t="str">
            <v>X</v>
          </cell>
          <cell r="N17" t="str">
            <v>X</v>
          </cell>
          <cell r="O17"/>
          <cell r="P17" t="str">
            <v>SNL7HPCL001994</v>
          </cell>
          <cell r="Q17" t="str">
            <v>SHA</v>
          </cell>
          <cell r="R17" t="str">
            <v>SNL</v>
          </cell>
          <cell r="S17"/>
          <cell r="T17">
            <v>43104</v>
          </cell>
          <cell r="U17">
            <v>264</v>
          </cell>
          <cell r="V17" t="str">
            <v>KUO LUNG 1752N</v>
          </cell>
        </row>
        <row r="18">
          <cell r="B18" t="str">
            <v>V180021</v>
          </cell>
          <cell r="C18"/>
          <cell r="D18"/>
          <cell r="E18"/>
          <cell r="F18"/>
          <cell r="G18"/>
          <cell r="H18"/>
          <cell r="I18"/>
          <cell r="J18"/>
          <cell r="K18"/>
          <cell r="L18"/>
          <cell r="M18" t="str">
            <v>X</v>
          </cell>
          <cell r="N18" t="str">
            <v>X</v>
          </cell>
          <cell r="O18"/>
          <cell r="P18" t="str">
            <v>SITWHPHT151873</v>
          </cell>
          <cell r="Q18" t="str">
            <v>HKT</v>
          </cell>
          <cell r="R18" t="str">
            <v>SITC</v>
          </cell>
          <cell r="S18"/>
          <cell r="T18">
            <v>43108</v>
          </cell>
          <cell r="U18">
            <v>260</v>
          </cell>
          <cell r="V18" t="str">
            <v>SITC WEIHAI 1803N</v>
          </cell>
        </row>
        <row r="19">
          <cell r="B19" t="str">
            <v>V180022</v>
          </cell>
          <cell r="C19"/>
          <cell r="D19"/>
          <cell r="E19"/>
          <cell r="F19"/>
          <cell r="G19"/>
          <cell r="H19"/>
          <cell r="I19"/>
          <cell r="J19"/>
          <cell r="K19"/>
          <cell r="L19"/>
          <cell r="M19" t="str">
            <v>X</v>
          </cell>
          <cell r="N19" t="str">
            <v>X</v>
          </cell>
          <cell r="O19"/>
          <cell r="P19">
            <v>350810000548</v>
          </cell>
          <cell r="Q19" t="str">
            <v>TPE</v>
          </cell>
          <cell r="R19" t="str">
            <v>TSL</v>
          </cell>
          <cell r="S19"/>
          <cell r="T19">
            <v>43110</v>
          </cell>
          <cell r="U19">
            <v>258</v>
          </cell>
          <cell r="V19" t="str">
            <v>LANTAU BEE 17025N</v>
          </cell>
        </row>
        <row r="20">
          <cell r="B20" t="str">
            <v>V180023</v>
          </cell>
          <cell r="C20" t="str">
            <v>V180027</v>
          </cell>
          <cell r="M20" t="str">
            <v>X</v>
          </cell>
          <cell r="N20" t="str">
            <v>X</v>
          </cell>
          <cell r="O20"/>
          <cell r="P20">
            <v>350810000517</v>
          </cell>
          <cell r="Q20" t="str">
            <v>TYO</v>
          </cell>
          <cell r="R20" t="str">
            <v>TSL</v>
          </cell>
          <cell r="S20"/>
          <cell r="T20">
            <v>43110</v>
          </cell>
          <cell r="U20">
            <v>258</v>
          </cell>
          <cell r="V20" t="str">
            <v>LANTAU BEE 17025N</v>
          </cell>
        </row>
        <row r="21">
          <cell r="B21" t="str">
            <v>V180024</v>
          </cell>
          <cell r="C21" t="str">
            <v>V180032</v>
          </cell>
          <cell r="D21" t="str">
            <v>V180035</v>
          </cell>
          <cell r="E21" t="str">
            <v>V180042</v>
          </cell>
          <cell r="F21"/>
          <cell r="G21"/>
          <cell r="H21"/>
          <cell r="I21"/>
          <cell r="J21"/>
          <cell r="K21"/>
          <cell r="L21"/>
          <cell r="M21" t="str">
            <v>X</v>
          </cell>
          <cell r="N21" t="str">
            <v>X</v>
          </cell>
          <cell r="O21"/>
          <cell r="P21" t="str">
            <v>SITWHPKW151922</v>
          </cell>
          <cell r="Q21" t="str">
            <v>KWS</v>
          </cell>
          <cell r="R21" t="str">
            <v>SITC</v>
          </cell>
          <cell r="S21"/>
          <cell r="T21">
            <v>43111</v>
          </cell>
          <cell r="U21">
            <v>257</v>
          </cell>
          <cell r="V21" t="str">
            <v>HANSE ENERGY 1803N</v>
          </cell>
        </row>
        <row r="22">
          <cell r="B22" t="str">
            <v>V180025</v>
          </cell>
          <cell r="C22"/>
          <cell r="D22"/>
          <cell r="E22"/>
          <cell r="F22"/>
          <cell r="G22"/>
          <cell r="H22"/>
          <cell r="I22"/>
          <cell r="J22"/>
          <cell r="K22"/>
          <cell r="L22"/>
          <cell r="M22" t="str">
            <v>X</v>
          </cell>
          <cell r="N22" t="str">
            <v>X</v>
          </cell>
          <cell r="O22"/>
          <cell r="P22">
            <v>350810000531</v>
          </cell>
          <cell r="Q22" t="str">
            <v>OSK</v>
          </cell>
          <cell r="R22" t="str">
            <v>TSL</v>
          </cell>
          <cell r="S22"/>
          <cell r="T22">
            <v>43110</v>
          </cell>
          <cell r="U22">
            <v>258</v>
          </cell>
          <cell r="V22" t="str">
            <v>LANTAU BEE 17025N</v>
          </cell>
        </row>
        <row r="23">
          <cell r="B23" t="str">
            <v>V180026</v>
          </cell>
          <cell r="C23" t="str">
            <v>V180039</v>
          </cell>
          <cell r="D23" t="str">
            <v>V180052</v>
          </cell>
          <cell r="E23"/>
          <cell r="F23"/>
          <cell r="G23"/>
          <cell r="H23"/>
          <cell r="I23"/>
          <cell r="J23"/>
          <cell r="K23"/>
          <cell r="L23"/>
          <cell r="M23" t="str">
            <v>X</v>
          </cell>
          <cell r="N23" t="str">
            <v>X</v>
          </cell>
          <cell r="O23"/>
          <cell r="P23" t="str">
            <v>HASL51EH18000100</v>
          </cell>
          <cell r="Q23" t="str">
            <v>ISH</v>
          </cell>
          <cell r="R23" t="str">
            <v>HEUNG-A</v>
          </cell>
          <cell r="S23"/>
          <cell r="T23">
            <v>43113</v>
          </cell>
          <cell r="U23">
            <v>255</v>
          </cell>
          <cell r="V23" t="str">
            <v>HEUNG-A YOUNG 0098N</v>
          </cell>
        </row>
        <row r="24">
          <cell r="B24" t="str">
            <v>V180028</v>
          </cell>
          <cell r="C24"/>
          <cell r="D24"/>
          <cell r="E24"/>
          <cell r="F24"/>
          <cell r="G24"/>
          <cell r="H24"/>
          <cell r="I24"/>
          <cell r="J24"/>
          <cell r="K24"/>
          <cell r="L24"/>
          <cell r="M24" t="str">
            <v>X</v>
          </cell>
          <cell r="N24" t="str">
            <v>X</v>
          </cell>
          <cell r="O24"/>
          <cell r="P24" t="str">
            <v>HAN0126593</v>
          </cell>
          <cell r="Q24" t="str">
            <v>TYO</v>
          </cell>
          <cell r="R24" t="str">
            <v>NYK</v>
          </cell>
          <cell r="S24"/>
          <cell r="T24">
            <v>43110</v>
          </cell>
          <cell r="U24">
            <v>258</v>
          </cell>
          <cell r="V24" t="str">
            <v>SUZURAN 380N</v>
          </cell>
        </row>
        <row r="25">
          <cell r="B25" t="str">
            <v>V180029</v>
          </cell>
          <cell r="C25" t="str">
            <v>V180033</v>
          </cell>
          <cell r="D25"/>
          <cell r="E25"/>
          <cell r="F25"/>
          <cell r="G25"/>
          <cell r="H25"/>
          <cell r="I25"/>
          <cell r="J25"/>
          <cell r="K25"/>
          <cell r="L25"/>
          <cell r="M25" t="str">
            <v>X</v>
          </cell>
          <cell r="N25" t="str">
            <v>X</v>
          </cell>
          <cell r="O25"/>
          <cell r="P25" t="str">
            <v>EGLV237800050870</v>
          </cell>
          <cell r="Q25" t="str">
            <v>OSK</v>
          </cell>
          <cell r="R25" t="str">
            <v>EGLV</v>
          </cell>
          <cell r="S25"/>
          <cell r="T25">
            <v>43110</v>
          </cell>
          <cell r="U25">
            <v>258</v>
          </cell>
          <cell r="V25" t="str">
            <v>MOONCHILD N016</v>
          </cell>
        </row>
        <row r="26">
          <cell r="B26" t="str">
            <v>V180030</v>
          </cell>
          <cell r="C26" t="str">
            <v>V180038</v>
          </cell>
          <cell r="D26" t="str">
            <v>V180044</v>
          </cell>
          <cell r="E26"/>
          <cell r="F26"/>
          <cell r="G26"/>
          <cell r="H26"/>
          <cell r="I26"/>
          <cell r="J26"/>
          <cell r="K26"/>
          <cell r="L26"/>
          <cell r="M26" t="str">
            <v>X</v>
          </cell>
          <cell r="N26" t="str">
            <v>X</v>
          </cell>
          <cell r="O26"/>
          <cell r="P26" t="str">
            <v>1008X00012</v>
          </cell>
          <cell r="Q26" t="str">
            <v>HKT</v>
          </cell>
          <cell r="R26" t="str">
            <v>WHL</v>
          </cell>
          <cell r="S26"/>
          <cell r="T26">
            <v>43113</v>
          </cell>
          <cell r="U26">
            <v>255</v>
          </cell>
          <cell r="V26" t="str">
            <v>IAL 001 N304</v>
          </cell>
        </row>
        <row r="27">
          <cell r="B27" t="str">
            <v>V180031</v>
          </cell>
          <cell r="C27" t="str">
            <v>V180034</v>
          </cell>
          <cell r="D27" t="str">
            <v>V180047</v>
          </cell>
          <cell r="E27"/>
          <cell r="F27"/>
          <cell r="G27"/>
          <cell r="H27"/>
          <cell r="I27"/>
          <cell r="J27"/>
          <cell r="K27"/>
          <cell r="L27"/>
          <cell r="M27" t="str">
            <v>X</v>
          </cell>
          <cell r="N27" t="str">
            <v>X</v>
          </cell>
          <cell r="O27"/>
          <cell r="P27" t="str">
            <v>1008X00020</v>
          </cell>
          <cell r="Q27" t="str">
            <v>TYO</v>
          </cell>
          <cell r="R27" t="str">
            <v>WHL</v>
          </cell>
          <cell r="S27"/>
          <cell r="T27">
            <v>43112</v>
          </cell>
          <cell r="U27">
            <v>256</v>
          </cell>
          <cell r="V27" t="str">
            <v>WAN HAI 171 S232</v>
          </cell>
        </row>
        <row r="28">
          <cell r="B28" t="str">
            <v>V180036</v>
          </cell>
          <cell r="C28"/>
          <cell r="D28"/>
          <cell r="E28"/>
          <cell r="F28"/>
          <cell r="G28"/>
          <cell r="H28"/>
          <cell r="I28"/>
          <cell r="J28"/>
          <cell r="K28"/>
          <cell r="L28"/>
          <cell r="M28" t="str">
            <v>X</v>
          </cell>
          <cell r="N28" t="str">
            <v>X</v>
          </cell>
          <cell r="O28"/>
          <cell r="P28" t="str">
            <v>1008X00013</v>
          </cell>
          <cell r="Q28" t="str">
            <v>NGO</v>
          </cell>
          <cell r="R28" t="str">
            <v>WHL</v>
          </cell>
          <cell r="S28"/>
          <cell r="T28">
            <v>43112</v>
          </cell>
          <cell r="U28">
            <v>256</v>
          </cell>
          <cell r="V28" t="str">
            <v>WAN HAI 171 S232</v>
          </cell>
        </row>
        <row r="29">
          <cell r="B29" t="str">
            <v>V180037</v>
          </cell>
          <cell r="C29" t="str">
            <v>V180043</v>
          </cell>
          <cell r="D29"/>
          <cell r="E29"/>
          <cell r="F29"/>
          <cell r="G29"/>
          <cell r="H29"/>
          <cell r="I29"/>
          <cell r="J29"/>
          <cell r="K29"/>
          <cell r="L29"/>
          <cell r="M29" t="str">
            <v>X</v>
          </cell>
          <cell r="N29" t="str">
            <v>X</v>
          </cell>
          <cell r="O29"/>
          <cell r="P29" t="str">
            <v>1008X00019</v>
          </cell>
          <cell r="Q29" t="str">
            <v>OSK</v>
          </cell>
          <cell r="R29" t="str">
            <v>WHL</v>
          </cell>
          <cell r="S29"/>
          <cell r="T29">
            <v>43111</v>
          </cell>
          <cell r="U29">
            <v>257</v>
          </cell>
          <cell r="V29" t="str">
            <v>ONYX 1 N032</v>
          </cell>
        </row>
        <row r="30">
          <cell r="B30" t="str">
            <v>V180040</v>
          </cell>
          <cell r="C30" t="str">
            <v>V180041</v>
          </cell>
          <cell r="D30" t="str">
            <v>V180049</v>
          </cell>
          <cell r="E30"/>
          <cell r="F30"/>
          <cell r="G30"/>
          <cell r="H30"/>
          <cell r="I30"/>
          <cell r="J30"/>
          <cell r="K30"/>
          <cell r="L30"/>
          <cell r="M30" t="str">
            <v>X</v>
          </cell>
          <cell r="N30" t="str">
            <v>X</v>
          </cell>
          <cell r="O30"/>
          <cell r="P30" t="str">
            <v>1008X00014</v>
          </cell>
          <cell r="Q30" t="str">
            <v>TYO</v>
          </cell>
          <cell r="R30" t="str">
            <v>WHL</v>
          </cell>
          <cell r="S30"/>
          <cell r="T30">
            <v>43110</v>
          </cell>
          <cell r="U30">
            <v>258</v>
          </cell>
          <cell r="V30" t="str">
            <v>MOONCHILD N016</v>
          </cell>
        </row>
        <row r="31">
          <cell r="B31" t="str">
            <v>V180045</v>
          </cell>
          <cell r="C31"/>
          <cell r="D31"/>
          <cell r="E31"/>
          <cell r="F31"/>
          <cell r="G31"/>
          <cell r="H31"/>
          <cell r="I31"/>
          <cell r="J31"/>
          <cell r="K31"/>
          <cell r="L31"/>
          <cell r="M31" t="str">
            <v>X</v>
          </cell>
          <cell r="N31" t="str">
            <v>X</v>
          </cell>
          <cell r="O31"/>
          <cell r="P31" t="str">
            <v>APLU715178830</v>
          </cell>
          <cell r="Q31" t="str">
            <v>NAHA</v>
          </cell>
          <cell r="R31" t="str">
            <v>APL</v>
          </cell>
          <cell r="S31"/>
          <cell r="T31">
            <v>43113</v>
          </cell>
          <cell r="U31">
            <v>255</v>
          </cell>
          <cell r="V31" t="str">
            <v>SINAR BITUNG 005E</v>
          </cell>
        </row>
        <row r="32">
          <cell r="B32" t="str">
            <v>V180046</v>
          </cell>
          <cell r="C32"/>
          <cell r="D32"/>
          <cell r="E32"/>
          <cell r="F32"/>
          <cell r="G32"/>
          <cell r="H32"/>
          <cell r="I32"/>
          <cell r="J32"/>
          <cell r="K32"/>
          <cell r="L32"/>
          <cell r="M32" t="str">
            <v>X</v>
          </cell>
          <cell r="N32" t="str">
            <v>X</v>
          </cell>
          <cell r="O32"/>
          <cell r="P32" t="str">
            <v>HASL51HY18000100</v>
          </cell>
          <cell r="Q32" t="str">
            <v>SGM</v>
          </cell>
          <cell r="R32" t="str">
            <v>HEUNG-A</v>
          </cell>
          <cell r="S32"/>
          <cell r="T32">
            <v>43113</v>
          </cell>
          <cell r="U32">
            <v>255</v>
          </cell>
          <cell r="V32" t="str">
            <v>HEUNG-A YOUNG 0098N</v>
          </cell>
        </row>
        <row r="33">
          <cell r="B33" t="str">
            <v>V180048</v>
          </cell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 t="str">
            <v>X</v>
          </cell>
          <cell r="N33" t="str">
            <v>X</v>
          </cell>
          <cell r="O33"/>
          <cell r="P33" t="str">
            <v>EGLV237800050861</v>
          </cell>
          <cell r="Q33" t="str">
            <v>TYO</v>
          </cell>
          <cell r="R33" t="str">
            <v>EGLV</v>
          </cell>
          <cell r="S33"/>
          <cell r="T33">
            <v>43114</v>
          </cell>
          <cell r="U33">
            <v>254</v>
          </cell>
          <cell r="V33" t="str">
            <v>BOX EXPRESS 0534-045N</v>
          </cell>
        </row>
        <row r="34">
          <cell r="B34" t="str">
            <v>V180050</v>
          </cell>
          <cell r="C34" t="str">
            <v>V180055</v>
          </cell>
          <cell r="D34" t="str">
            <v>V180063</v>
          </cell>
          <cell r="E34"/>
          <cell r="F34"/>
          <cell r="G34"/>
          <cell r="H34"/>
          <cell r="I34"/>
          <cell r="J34"/>
          <cell r="K34"/>
          <cell r="L34"/>
          <cell r="M34" t="str">
            <v>X</v>
          </cell>
          <cell r="N34" t="str">
            <v>X</v>
          </cell>
          <cell r="O34"/>
          <cell r="P34" t="str">
            <v>SITWHPKW151924</v>
          </cell>
          <cell r="Q34" t="str">
            <v>KWS</v>
          </cell>
          <cell r="R34" t="str">
            <v>SITC</v>
          </cell>
          <cell r="S34"/>
          <cell r="T34">
            <v>43114</v>
          </cell>
          <cell r="U34">
            <v>254</v>
          </cell>
          <cell r="V34" t="str">
            <v>FORMOSA CONTAINER NO.4 1803N</v>
          </cell>
        </row>
        <row r="35">
          <cell r="B35" t="str">
            <v>V180051</v>
          </cell>
          <cell r="C35"/>
          <cell r="D35"/>
          <cell r="E35"/>
          <cell r="F35"/>
          <cell r="G35"/>
          <cell r="H35"/>
          <cell r="I35"/>
          <cell r="J35"/>
          <cell r="K35"/>
          <cell r="L35"/>
          <cell r="M35" t="str">
            <v>X</v>
          </cell>
          <cell r="N35" t="str">
            <v>X</v>
          </cell>
          <cell r="O35"/>
          <cell r="P35" t="str">
            <v>SITWHPOS151919</v>
          </cell>
          <cell r="Q35" t="str">
            <v>OSK</v>
          </cell>
          <cell r="R35" t="str">
            <v>SITC</v>
          </cell>
          <cell r="S35"/>
          <cell r="T35">
            <v>43112</v>
          </cell>
          <cell r="U35">
            <v>256</v>
          </cell>
          <cell r="V35" t="str">
            <v>SITC NAGOYA 1801N</v>
          </cell>
        </row>
        <row r="36">
          <cell r="B36" t="str">
            <v>V180053</v>
          </cell>
          <cell r="C36" t="str">
            <v>V180054</v>
          </cell>
          <cell r="D36" t="str">
            <v>V180060</v>
          </cell>
          <cell r="E36" t="str">
            <v>V180061</v>
          </cell>
          <cell r="F36" t="str">
            <v>V180062</v>
          </cell>
          <cell r="G36"/>
          <cell r="H36"/>
          <cell r="I36"/>
          <cell r="J36"/>
          <cell r="K36"/>
          <cell r="L36"/>
          <cell r="M36" t="str">
            <v>X</v>
          </cell>
          <cell r="N36" t="str">
            <v>X</v>
          </cell>
          <cell r="O36"/>
          <cell r="P36" t="str">
            <v>SITWHPTK151917</v>
          </cell>
          <cell r="Q36" t="str">
            <v>TYO</v>
          </cell>
          <cell r="R36" t="str">
            <v>SITC</v>
          </cell>
          <cell r="S36"/>
          <cell r="T36">
            <v>43114</v>
          </cell>
          <cell r="U36">
            <v>254</v>
          </cell>
          <cell r="V36" t="str">
            <v>FORMOSA CONTAINER NO.4 1803N</v>
          </cell>
        </row>
        <row r="37">
          <cell r="B37" t="str">
            <v>V180056</v>
          </cell>
          <cell r="C37" t="str">
            <v>V180059</v>
          </cell>
          <cell r="D37" t="str">
            <v>V180064</v>
          </cell>
          <cell r="E37"/>
          <cell r="F37"/>
          <cell r="G37"/>
          <cell r="H37"/>
          <cell r="I37"/>
          <cell r="J37"/>
          <cell r="K37"/>
          <cell r="L37"/>
          <cell r="M37" t="str">
            <v>X</v>
          </cell>
          <cell r="N37" t="str">
            <v>X</v>
          </cell>
          <cell r="O37"/>
          <cell r="P37" t="str">
            <v>SITWHPOS151920</v>
          </cell>
          <cell r="Q37" t="str">
            <v>OSK</v>
          </cell>
          <cell r="R37" t="str">
            <v>SITC</v>
          </cell>
          <cell r="S37"/>
          <cell r="T37">
            <v>43114</v>
          </cell>
          <cell r="U37">
            <v>254</v>
          </cell>
          <cell r="V37" t="str">
            <v>SITC YOKKAICHI 1803N</v>
          </cell>
        </row>
        <row r="38">
          <cell r="B38" t="str">
            <v>V180057</v>
          </cell>
          <cell r="C38" t="str">
            <v>V180065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 t="str">
            <v>X</v>
          </cell>
          <cell r="N38" t="str">
            <v>X</v>
          </cell>
          <cell r="O38"/>
          <cell r="P38" t="str">
            <v>SITWHPHT151921</v>
          </cell>
          <cell r="Q38" t="str">
            <v>HKT</v>
          </cell>
          <cell r="R38" t="str">
            <v>SITC</v>
          </cell>
          <cell r="S38"/>
          <cell r="T38">
            <v>43114</v>
          </cell>
          <cell r="U38">
            <v>254</v>
          </cell>
          <cell r="V38" t="str">
            <v>SITC YOKKAICHI 1803N</v>
          </cell>
        </row>
        <row r="39">
          <cell r="B39" t="str">
            <v>V180058</v>
          </cell>
          <cell r="C39"/>
          <cell r="D39"/>
          <cell r="E39"/>
          <cell r="F39"/>
          <cell r="G39"/>
          <cell r="H39"/>
          <cell r="I39"/>
          <cell r="J39"/>
          <cell r="K39"/>
          <cell r="L39"/>
          <cell r="M39" t="str">
            <v>X</v>
          </cell>
          <cell r="N39" t="str">
            <v>X</v>
          </cell>
          <cell r="O39"/>
          <cell r="P39">
            <v>350810002771</v>
          </cell>
          <cell r="Q39" t="str">
            <v>TPE</v>
          </cell>
          <cell r="R39" t="str">
            <v>TSL</v>
          </cell>
          <cell r="S39"/>
          <cell r="T39">
            <v>43118</v>
          </cell>
          <cell r="U39">
            <v>250</v>
          </cell>
          <cell r="V39" t="str">
            <v>ITALIAN EXPRESS 18001B</v>
          </cell>
        </row>
        <row r="40">
          <cell r="B40" t="str">
            <v>V180066</v>
          </cell>
          <cell r="C40" t="str">
            <v>V180079</v>
          </cell>
          <cell r="M40" t="str">
            <v>X</v>
          </cell>
          <cell r="N40" t="str">
            <v>X</v>
          </cell>
          <cell r="O40"/>
          <cell r="P40" t="str">
            <v>HASL51EH18000200</v>
          </cell>
          <cell r="Q40" t="str">
            <v>ISH</v>
          </cell>
          <cell r="R40" t="str">
            <v>HEUNG-A</v>
          </cell>
          <cell r="S40"/>
          <cell r="T40">
            <v>43118</v>
          </cell>
          <cell r="U40">
            <v>250</v>
          </cell>
          <cell r="V40" t="str">
            <v>LANTAU BAY 1801N</v>
          </cell>
        </row>
        <row r="41">
          <cell r="B41" t="str">
            <v>V180067</v>
          </cell>
          <cell r="C41" t="str">
            <v>V180073</v>
          </cell>
          <cell r="D41" t="str">
            <v>V180085</v>
          </cell>
          <cell r="E41" t="str">
            <v>V180087</v>
          </cell>
          <cell r="F41"/>
          <cell r="G41"/>
          <cell r="H41"/>
          <cell r="I41"/>
          <cell r="J41"/>
          <cell r="K41"/>
          <cell r="L41" t="str">
            <v>X</v>
          </cell>
          <cell r="M41" t="str">
            <v>X</v>
          </cell>
          <cell r="N41" t="str">
            <v>X</v>
          </cell>
          <cell r="O41"/>
          <cell r="P41">
            <v>350810003211</v>
          </cell>
          <cell r="Q41" t="str">
            <v>TYO</v>
          </cell>
          <cell r="R41" t="str">
            <v>TSL</v>
          </cell>
          <cell r="S41"/>
          <cell r="T41">
            <v>43123</v>
          </cell>
          <cell r="U41">
            <v>245</v>
          </cell>
          <cell r="V41" t="str">
            <v>MARCLIFF 18001N</v>
          </cell>
        </row>
        <row r="42">
          <cell r="B42" t="str">
            <v>V180068</v>
          </cell>
          <cell r="C42" t="str">
            <v>V180075</v>
          </cell>
          <cell r="D42" t="str">
            <v>V180077</v>
          </cell>
          <cell r="E42" t="str">
            <v>V180088</v>
          </cell>
          <cell r="F42" t="str">
            <v>V180093</v>
          </cell>
          <cell r="G42" t="str">
            <v>V180099</v>
          </cell>
          <cell r="H42"/>
          <cell r="I42"/>
          <cell r="J42"/>
          <cell r="K42"/>
          <cell r="L42"/>
          <cell r="M42" t="str">
            <v>X</v>
          </cell>
          <cell r="N42" t="str">
            <v>X</v>
          </cell>
          <cell r="O42"/>
          <cell r="P42" t="str">
            <v>SITWHPKW152622</v>
          </cell>
          <cell r="Q42" t="str">
            <v>KWS</v>
          </cell>
          <cell r="R42" t="str">
            <v>SITC</v>
          </cell>
          <cell r="S42"/>
          <cell r="T42">
            <v>43118</v>
          </cell>
          <cell r="U42">
            <v>250</v>
          </cell>
          <cell r="V42" t="str">
            <v>REFLECTION V.1803N</v>
          </cell>
        </row>
        <row r="43">
          <cell r="B43" t="str">
            <v>V180069</v>
          </cell>
          <cell r="C43"/>
          <cell r="D43"/>
          <cell r="E43"/>
          <cell r="F43"/>
          <cell r="G43"/>
          <cell r="H43"/>
          <cell r="I43"/>
          <cell r="J43"/>
          <cell r="K43"/>
          <cell r="L43"/>
          <cell r="M43" t="str">
            <v>X</v>
          </cell>
          <cell r="N43" t="str">
            <v>X</v>
          </cell>
          <cell r="O43"/>
          <cell r="P43" t="str">
            <v>SITWHPTK152510</v>
          </cell>
          <cell r="Q43" t="str">
            <v>TYO</v>
          </cell>
          <cell r="R43" t="str">
            <v>SITC</v>
          </cell>
          <cell r="S43"/>
          <cell r="T43">
            <v>43118</v>
          </cell>
          <cell r="U43">
            <v>250</v>
          </cell>
          <cell r="V43" t="str">
            <v>REFLECTION V.1803N</v>
          </cell>
        </row>
        <row r="44">
          <cell r="B44" t="str">
            <v>V180070</v>
          </cell>
          <cell r="C44"/>
          <cell r="D44"/>
          <cell r="E44"/>
          <cell r="F44"/>
          <cell r="G44"/>
          <cell r="H44"/>
          <cell r="I44"/>
          <cell r="J44"/>
          <cell r="K44"/>
          <cell r="L44"/>
          <cell r="M44" t="str">
            <v>X</v>
          </cell>
          <cell r="N44" t="str">
            <v>X</v>
          </cell>
          <cell r="O44"/>
          <cell r="P44" t="str">
            <v>SITWHPOS152511</v>
          </cell>
          <cell r="Q44" t="str">
            <v>OSK</v>
          </cell>
          <cell r="R44" t="str">
            <v>SITC</v>
          </cell>
          <cell r="S44"/>
          <cell r="T44">
            <v>43121</v>
          </cell>
          <cell r="U44">
            <v>247</v>
          </cell>
          <cell r="V44" t="str">
            <v>AVRA C V.1803N</v>
          </cell>
        </row>
        <row r="45">
          <cell r="B45" t="str">
            <v>V180071</v>
          </cell>
          <cell r="C45" t="str">
            <v>V180076</v>
          </cell>
          <cell r="D45" t="str">
            <v>V180078</v>
          </cell>
          <cell r="E45" t="str">
            <v>V180089</v>
          </cell>
          <cell r="F45" t="str">
            <v>V180095</v>
          </cell>
          <cell r="G45"/>
          <cell r="H45"/>
          <cell r="I45"/>
          <cell r="J45"/>
          <cell r="K45"/>
          <cell r="L45"/>
          <cell r="M45" t="str">
            <v>X</v>
          </cell>
          <cell r="N45" t="str">
            <v>X</v>
          </cell>
          <cell r="O45"/>
          <cell r="P45" t="str">
            <v>1008X00095</v>
          </cell>
          <cell r="Q45" t="str">
            <v>OSK</v>
          </cell>
          <cell r="R45" t="str">
            <v>WHL</v>
          </cell>
          <cell r="S45"/>
          <cell r="T45">
            <v>43118</v>
          </cell>
          <cell r="U45">
            <v>250</v>
          </cell>
          <cell r="V45" t="str">
            <v>WAN HAI 231 N269</v>
          </cell>
        </row>
        <row r="46">
          <cell r="B46" t="str">
            <v>V180072</v>
          </cell>
          <cell r="C46" t="str">
            <v>V180083</v>
          </cell>
          <cell r="D46" t="str">
            <v>V180096</v>
          </cell>
          <cell r="E46"/>
          <cell r="F46"/>
          <cell r="G46"/>
          <cell r="H46"/>
          <cell r="I46"/>
          <cell r="J46"/>
          <cell r="K46"/>
          <cell r="L46"/>
          <cell r="M46" t="str">
            <v>X</v>
          </cell>
          <cell r="N46" t="str">
            <v>X</v>
          </cell>
          <cell r="O46"/>
          <cell r="P46" t="str">
            <v>1008X00099</v>
          </cell>
          <cell r="Q46" t="str">
            <v>HKT</v>
          </cell>
          <cell r="R46" t="str">
            <v>WHL</v>
          </cell>
          <cell r="S46"/>
          <cell r="T46">
            <v>43120</v>
          </cell>
          <cell r="U46">
            <v>248</v>
          </cell>
          <cell r="V46" t="str">
            <v>IAL 001 N305</v>
          </cell>
        </row>
        <row r="47">
          <cell r="B47" t="str">
            <v>V180074</v>
          </cell>
          <cell r="C47"/>
          <cell r="D47"/>
          <cell r="E47"/>
          <cell r="F47"/>
          <cell r="G47"/>
          <cell r="H47"/>
          <cell r="I47"/>
          <cell r="J47"/>
          <cell r="K47"/>
          <cell r="L47"/>
          <cell r="M47" t="str">
            <v>X</v>
          </cell>
          <cell r="N47" t="str">
            <v>X</v>
          </cell>
          <cell r="O47"/>
          <cell r="P47" t="str">
            <v>EGLV237800056401</v>
          </cell>
          <cell r="Q47" t="str">
            <v>TYO</v>
          </cell>
          <cell r="R47" t="str">
            <v>EGLV</v>
          </cell>
          <cell r="S47"/>
          <cell r="T47">
            <v>43118</v>
          </cell>
          <cell r="U47">
            <v>250</v>
          </cell>
          <cell r="V47" t="str">
            <v>WAN HAI 267 N260</v>
          </cell>
        </row>
        <row r="48">
          <cell r="B48" t="str">
            <v>V180084</v>
          </cell>
          <cell r="C48"/>
          <cell r="D48"/>
          <cell r="E48"/>
          <cell r="F48"/>
          <cell r="G48"/>
          <cell r="H48"/>
          <cell r="I48"/>
          <cell r="J48"/>
          <cell r="K48"/>
          <cell r="L48"/>
          <cell r="M48" t="str">
            <v>X</v>
          </cell>
          <cell r="N48" t="str">
            <v>X</v>
          </cell>
          <cell r="O48"/>
          <cell r="P48" t="str">
            <v>HASL51HY18000200</v>
          </cell>
          <cell r="Q48" t="str">
            <v>SGM</v>
          </cell>
          <cell r="R48" t="str">
            <v>HEUNG-A</v>
          </cell>
          <cell r="S48"/>
          <cell r="T48">
            <v>43118</v>
          </cell>
          <cell r="U48">
            <v>250</v>
          </cell>
          <cell r="V48" t="str">
            <v>LANTAU BAY 1801N</v>
          </cell>
        </row>
        <row r="49">
          <cell r="B49" t="str">
            <v>V180080</v>
          </cell>
          <cell r="C49" t="str">
            <v>V180086</v>
          </cell>
          <cell r="D49"/>
          <cell r="E49"/>
          <cell r="F49"/>
          <cell r="G49"/>
          <cell r="H49"/>
          <cell r="I49"/>
          <cell r="J49"/>
          <cell r="K49"/>
          <cell r="L49"/>
          <cell r="M49" t="str">
            <v>X</v>
          </cell>
          <cell r="N49" t="str">
            <v>X</v>
          </cell>
          <cell r="O49"/>
          <cell r="P49" t="str">
            <v>1008X00144</v>
          </cell>
          <cell r="Q49" t="str">
            <v>TYO</v>
          </cell>
          <cell r="R49" t="str">
            <v>WHL</v>
          </cell>
          <cell r="S49"/>
          <cell r="T49">
            <v>43118</v>
          </cell>
          <cell r="U49">
            <v>250</v>
          </cell>
          <cell r="V49" t="str">
            <v>WAN HAI 267 N260</v>
          </cell>
        </row>
        <row r="50">
          <cell r="B50" t="str">
            <v>V180090</v>
          </cell>
          <cell r="C50"/>
          <cell r="D50"/>
          <cell r="E50"/>
          <cell r="F50"/>
          <cell r="G50"/>
          <cell r="H50"/>
          <cell r="I50"/>
          <cell r="J50"/>
          <cell r="K50"/>
          <cell r="L50"/>
          <cell r="M50" t="str">
            <v>X</v>
          </cell>
          <cell r="N50" t="str">
            <v>X</v>
          </cell>
          <cell r="O50"/>
          <cell r="P50" t="str">
            <v>APLU715180681</v>
          </cell>
          <cell r="Q50" t="str">
            <v>NAH</v>
          </cell>
          <cell r="R50" t="str">
            <v>APL</v>
          </cell>
          <cell r="S50"/>
          <cell r="T50">
            <v>43119</v>
          </cell>
          <cell r="U50">
            <v>249</v>
          </cell>
          <cell r="V50" t="str">
            <v>ASIATIC DAWN 030E</v>
          </cell>
        </row>
        <row r="51">
          <cell r="B51" t="str">
            <v>V180091</v>
          </cell>
          <cell r="C51"/>
          <cell r="D51"/>
          <cell r="E51"/>
          <cell r="F51"/>
          <cell r="G51"/>
          <cell r="H51"/>
          <cell r="I51"/>
          <cell r="J51"/>
          <cell r="K51"/>
          <cell r="L51"/>
          <cell r="M51" t="str">
            <v>X</v>
          </cell>
          <cell r="N51" t="str">
            <v>X</v>
          </cell>
          <cell r="O51"/>
          <cell r="P51" t="str">
            <v>HASL51EH18000300</v>
          </cell>
          <cell r="Q51" t="str">
            <v>ISH</v>
          </cell>
          <cell r="R51" t="str">
            <v>HEUNG-A</v>
          </cell>
          <cell r="S51"/>
          <cell r="T51">
            <v>43120</v>
          </cell>
          <cell r="U51">
            <v>248</v>
          </cell>
          <cell r="V51" t="str">
            <v>HEUNG-A SARAH 0103N</v>
          </cell>
        </row>
        <row r="52">
          <cell r="B52" t="str">
            <v>V180094</v>
          </cell>
          <cell r="C52"/>
          <cell r="D52"/>
          <cell r="E52"/>
          <cell r="F52"/>
          <cell r="G52"/>
          <cell r="H52"/>
          <cell r="I52"/>
          <cell r="J52"/>
          <cell r="K52"/>
          <cell r="L52"/>
          <cell r="M52" t="str">
            <v>X</v>
          </cell>
          <cell r="N52" t="str">
            <v>X</v>
          </cell>
          <cell r="O52"/>
          <cell r="P52" t="str">
            <v>1008X00094</v>
          </cell>
          <cell r="Q52" t="str">
            <v>NGO</v>
          </cell>
          <cell r="R52" t="str">
            <v>WHL</v>
          </cell>
          <cell r="S52"/>
          <cell r="T52">
            <v>43120</v>
          </cell>
          <cell r="U52">
            <v>248</v>
          </cell>
          <cell r="V52" t="str">
            <v>IAL 001 N305</v>
          </cell>
        </row>
        <row r="53">
          <cell r="B53" t="str">
            <v>V180092</v>
          </cell>
          <cell r="C53" t="str">
            <v>V180097</v>
          </cell>
          <cell r="D53" t="str">
            <v>V180098</v>
          </cell>
          <cell r="E53" t="str">
            <v>V180103</v>
          </cell>
          <cell r="F53" t="str">
            <v>V180106</v>
          </cell>
          <cell r="G53" t="str">
            <v>V180107</v>
          </cell>
          <cell r="H53" t="str">
            <v>V180108</v>
          </cell>
          <cell r="I53"/>
          <cell r="J53"/>
          <cell r="K53"/>
          <cell r="L53"/>
          <cell r="M53" t="str">
            <v>X</v>
          </cell>
          <cell r="N53" t="str">
            <v>X</v>
          </cell>
          <cell r="O53"/>
          <cell r="P53" t="str">
            <v>SITWHPTK153014</v>
          </cell>
          <cell r="Q53" t="str">
            <v>TYO</v>
          </cell>
          <cell r="R53" t="str">
            <v>SITC</v>
          </cell>
          <cell r="S53"/>
          <cell r="T53">
            <v>43123</v>
          </cell>
          <cell r="U53">
            <v>245</v>
          </cell>
          <cell r="V53" t="str">
            <v>SITC KAOHSIUNG 1803N</v>
          </cell>
        </row>
        <row r="54">
          <cell r="B54" t="str">
            <v>V180082</v>
          </cell>
          <cell r="C54" t="str">
            <v>V180100</v>
          </cell>
          <cell r="D54" t="str">
            <v>V180105</v>
          </cell>
          <cell r="E54" t="str">
            <v>V180110</v>
          </cell>
          <cell r="F54"/>
          <cell r="G54"/>
          <cell r="H54"/>
          <cell r="I54"/>
          <cell r="J54"/>
          <cell r="K54"/>
          <cell r="L54"/>
          <cell r="M54" t="str">
            <v>X</v>
          </cell>
          <cell r="N54" t="str">
            <v>X</v>
          </cell>
          <cell r="O54"/>
          <cell r="P54" t="str">
            <v>SITWHPOS152618</v>
          </cell>
          <cell r="Q54" t="str">
            <v>OSK</v>
          </cell>
          <cell r="R54" t="str">
            <v>SITC</v>
          </cell>
          <cell r="S54"/>
          <cell r="T54">
            <v>43122</v>
          </cell>
          <cell r="U54">
            <v>246</v>
          </cell>
          <cell r="V54" t="str">
            <v>SITC YANTAI 1803N</v>
          </cell>
        </row>
        <row r="55">
          <cell r="B55" t="str">
            <v>V180101</v>
          </cell>
          <cell r="C55" t="str">
            <v>V180111</v>
          </cell>
          <cell r="D55" t="str">
            <v>V180145</v>
          </cell>
          <cell r="E55"/>
          <cell r="F55"/>
          <cell r="G55"/>
          <cell r="H55"/>
          <cell r="I55"/>
          <cell r="J55"/>
          <cell r="K55"/>
          <cell r="L55"/>
          <cell r="M55" t="str">
            <v>X</v>
          </cell>
          <cell r="N55" t="str">
            <v>X</v>
          </cell>
          <cell r="O55"/>
          <cell r="P55" t="str">
            <v>SITWHPHT152619</v>
          </cell>
          <cell r="Q55" t="str">
            <v>HKT</v>
          </cell>
          <cell r="R55" t="str">
            <v>SITC</v>
          </cell>
          <cell r="S55"/>
          <cell r="T55">
            <v>43122</v>
          </cell>
          <cell r="U55">
            <v>246</v>
          </cell>
          <cell r="V55" t="str">
            <v>SITC YANTAI 1803N</v>
          </cell>
        </row>
        <row r="56">
          <cell r="B56" t="str">
            <v>V180102</v>
          </cell>
          <cell r="C56"/>
          <cell r="D56"/>
          <cell r="E56"/>
          <cell r="F56"/>
          <cell r="G56"/>
          <cell r="H56"/>
          <cell r="I56"/>
          <cell r="J56"/>
          <cell r="K56"/>
          <cell r="L56"/>
          <cell r="M56" t="str">
            <v>X</v>
          </cell>
          <cell r="N56" t="str">
            <v>X</v>
          </cell>
          <cell r="O56"/>
          <cell r="P56">
            <v>350810005383</v>
          </cell>
          <cell r="Q56" t="str">
            <v>TPE</v>
          </cell>
          <cell r="R56" t="str">
            <v>TSL</v>
          </cell>
          <cell r="S56"/>
          <cell r="T56">
            <v>43126</v>
          </cell>
          <cell r="U56">
            <v>242</v>
          </cell>
          <cell r="V56" t="str">
            <v>MAERSK ATLANTIC 801B</v>
          </cell>
        </row>
        <row r="57">
          <cell r="B57" t="str">
            <v>V180081</v>
          </cell>
          <cell r="C57" t="str">
            <v>V180104</v>
          </cell>
          <cell r="D57" t="str">
            <v>V180109</v>
          </cell>
          <cell r="E57"/>
          <cell r="F57"/>
          <cell r="G57"/>
          <cell r="H57"/>
          <cell r="I57"/>
          <cell r="J57"/>
          <cell r="K57"/>
          <cell r="L57"/>
          <cell r="M57" t="str">
            <v>X</v>
          </cell>
          <cell r="N57" t="str">
            <v>X</v>
          </cell>
          <cell r="O57"/>
          <cell r="P57" t="str">
            <v>SITWHPKW153369</v>
          </cell>
          <cell r="Q57" t="str">
            <v>KWS</v>
          </cell>
          <cell r="R57" t="str">
            <v>SITC</v>
          </cell>
          <cell r="S57"/>
          <cell r="T57">
            <v>43123</v>
          </cell>
          <cell r="U57">
            <v>245</v>
          </cell>
          <cell r="V57" t="str">
            <v>SITC KAOHSIUNG 1803N</v>
          </cell>
        </row>
        <row r="58">
          <cell r="B58" t="str">
            <v>V180112</v>
          </cell>
          <cell r="C58" t="str">
            <v>V180114</v>
          </cell>
          <cell r="D58" t="str">
            <v>V180121</v>
          </cell>
          <cell r="E58" t="str">
            <v>V180125</v>
          </cell>
          <cell r="F58" t="str">
            <v>V180131</v>
          </cell>
          <cell r="G58" t="str">
            <v>V180137</v>
          </cell>
          <cell r="M58" t="str">
            <v>X</v>
          </cell>
          <cell r="N58" t="str">
            <v>X</v>
          </cell>
          <cell r="O58"/>
          <cell r="P58" t="str">
            <v>SITWHPKW153103</v>
          </cell>
          <cell r="Q58" t="str">
            <v>KWS</v>
          </cell>
          <cell r="R58" t="str">
            <v>SITC</v>
          </cell>
          <cell r="S58"/>
          <cell r="T58">
            <v>43125</v>
          </cell>
          <cell r="U58">
            <v>243</v>
          </cell>
          <cell r="V58" t="str">
            <v>FPMC CONTAINER 9 1805N</v>
          </cell>
        </row>
        <row r="59">
          <cell r="B59" t="str">
            <v>V180115</v>
          </cell>
          <cell r="C59" t="str">
            <v>V180117</v>
          </cell>
          <cell r="D59" t="str">
            <v>V180138</v>
          </cell>
          <cell r="E59" t="str">
            <v>V180144</v>
          </cell>
          <cell r="F59"/>
          <cell r="G59"/>
          <cell r="H59"/>
          <cell r="I59"/>
          <cell r="J59"/>
          <cell r="K59"/>
          <cell r="L59"/>
          <cell r="M59" t="str">
            <v>X</v>
          </cell>
          <cell r="N59" t="str">
            <v>X</v>
          </cell>
          <cell r="O59"/>
          <cell r="P59" t="str">
            <v>1008X00160</v>
          </cell>
          <cell r="Q59" t="str">
            <v>OSK</v>
          </cell>
          <cell r="R59" t="str">
            <v>WHL</v>
          </cell>
          <cell r="S59"/>
          <cell r="T59">
            <v>43125</v>
          </cell>
          <cell r="U59">
            <v>243</v>
          </cell>
          <cell r="V59" t="str">
            <v>WANHAI 282 N061</v>
          </cell>
        </row>
        <row r="60">
          <cell r="B60" t="str">
            <v>V180116</v>
          </cell>
          <cell r="C60"/>
          <cell r="D60"/>
          <cell r="E60"/>
          <cell r="F60"/>
          <cell r="G60"/>
          <cell r="H60"/>
          <cell r="I60"/>
          <cell r="J60"/>
          <cell r="K60"/>
          <cell r="L60"/>
          <cell r="M60" t="str">
            <v>X</v>
          </cell>
          <cell r="N60" t="str">
            <v>X</v>
          </cell>
          <cell r="O60"/>
          <cell r="P60" t="str">
            <v>SITWHPTK153228</v>
          </cell>
          <cell r="Q60" t="str">
            <v>TYO</v>
          </cell>
          <cell r="R60" t="str">
            <v>SITC</v>
          </cell>
          <cell r="S60"/>
          <cell r="T60">
            <v>43125</v>
          </cell>
          <cell r="U60">
            <v>243</v>
          </cell>
          <cell r="V60" t="str">
            <v>FPMC CONTAINER 9 1805N</v>
          </cell>
        </row>
        <row r="61">
          <cell r="B61" t="str">
            <v>V180118</v>
          </cell>
          <cell r="C61" t="str">
            <v>V180126</v>
          </cell>
          <cell r="D61" t="str">
            <v>V180134</v>
          </cell>
          <cell r="E61"/>
          <cell r="F61"/>
          <cell r="G61"/>
          <cell r="H61"/>
          <cell r="I61"/>
          <cell r="J61"/>
          <cell r="K61"/>
          <cell r="L61"/>
          <cell r="M61" t="str">
            <v>X</v>
          </cell>
          <cell r="N61" t="str">
            <v>X</v>
          </cell>
          <cell r="O61"/>
          <cell r="P61" t="str">
            <v>1008X00186</v>
          </cell>
          <cell r="Q61" t="str">
            <v>HKT</v>
          </cell>
          <cell r="R61" t="str">
            <v>WHL</v>
          </cell>
          <cell r="S61"/>
          <cell r="T61">
            <v>43127</v>
          </cell>
          <cell r="U61">
            <v>241</v>
          </cell>
          <cell r="V61" t="str">
            <v>IAL 001 N306</v>
          </cell>
        </row>
        <row r="62">
          <cell r="B62" t="str">
            <v>V180119</v>
          </cell>
          <cell r="C62" t="str">
            <v>V180135</v>
          </cell>
          <cell r="D62" t="str">
            <v>V180146</v>
          </cell>
          <cell r="E62"/>
          <cell r="F62"/>
          <cell r="G62"/>
          <cell r="H62"/>
          <cell r="I62"/>
          <cell r="J62"/>
          <cell r="K62"/>
          <cell r="L62"/>
          <cell r="M62" t="str">
            <v>X</v>
          </cell>
          <cell r="N62" t="str">
            <v>X</v>
          </cell>
          <cell r="O62"/>
          <cell r="P62" t="str">
            <v>HASL51EH18000500</v>
          </cell>
          <cell r="Q62" t="str">
            <v>ISH</v>
          </cell>
          <cell r="R62" t="str">
            <v>HEUNG-A</v>
          </cell>
          <cell r="S62"/>
          <cell r="T62">
            <v>43127</v>
          </cell>
          <cell r="U62">
            <v>241</v>
          </cell>
          <cell r="V62" t="str">
            <v>HEUNG-A YOUNG / 0099N</v>
          </cell>
        </row>
        <row r="63">
          <cell r="B63" t="str">
            <v>V180120</v>
          </cell>
          <cell r="C63" t="str">
            <v>V180124</v>
          </cell>
          <cell r="D63" t="str">
            <v>V180140</v>
          </cell>
          <cell r="E63" t="str">
            <v>V180141</v>
          </cell>
          <cell r="F63" t="str">
            <v>V180153</v>
          </cell>
          <cell r="G63"/>
          <cell r="H63"/>
          <cell r="I63"/>
          <cell r="J63"/>
          <cell r="K63"/>
          <cell r="L63"/>
          <cell r="M63" t="str">
            <v>X</v>
          </cell>
          <cell r="N63" t="str">
            <v>X</v>
          </cell>
          <cell r="O63"/>
          <cell r="P63">
            <v>350810005352</v>
          </cell>
          <cell r="Q63" t="str">
            <v>TYO</v>
          </cell>
          <cell r="R63" t="str">
            <v>TSL</v>
          </cell>
          <cell r="S63"/>
          <cell r="T63">
            <v>43128</v>
          </cell>
          <cell r="U63">
            <v>240</v>
          </cell>
          <cell r="V63" t="str">
            <v>HANSE ENDURANCE 18002N</v>
          </cell>
        </row>
        <row r="64">
          <cell r="B64" t="str">
            <v>V180122</v>
          </cell>
          <cell r="C64" t="str">
            <v>V180127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 t="str">
            <v>X</v>
          </cell>
          <cell r="N64" t="str">
            <v>X</v>
          </cell>
          <cell r="O64"/>
          <cell r="P64" t="str">
            <v>EGLV237800061715</v>
          </cell>
          <cell r="Q64" t="str">
            <v>OSK</v>
          </cell>
          <cell r="R64" t="str">
            <v>EGLV</v>
          </cell>
          <cell r="S64"/>
          <cell r="T64">
            <v>43124</v>
          </cell>
          <cell r="U64">
            <v>244</v>
          </cell>
          <cell r="V64" t="str">
            <v>PADMA 0537-046N</v>
          </cell>
        </row>
        <row r="65">
          <cell r="B65" t="str">
            <v>V180123</v>
          </cell>
          <cell r="C65" t="str">
            <v>V180128</v>
          </cell>
          <cell r="D65" t="str">
            <v>V180129</v>
          </cell>
          <cell r="E65" t="str">
            <v>V180132</v>
          </cell>
          <cell r="F65" t="str">
            <v>V180130</v>
          </cell>
          <cell r="G65" t="str">
            <v>V180136</v>
          </cell>
          <cell r="H65"/>
          <cell r="I65"/>
          <cell r="J65"/>
          <cell r="K65"/>
          <cell r="L65"/>
          <cell r="M65" t="str">
            <v>X</v>
          </cell>
          <cell r="N65" t="str">
            <v>X</v>
          </cell>
          <cell r="O65"/>
          <cell r="P65" t="str">
            <v>1008X00196</v>
          </cell>
          <cell r="Q65" t="str">
            <v>TYO</v>
          </cell>
          <cell r="R65" t="str">
            <v>WHL</v>
          </cell>
          <cell r="S65"/>
          <cell r="T65">
            <v>43125</v>
          </cell>
          <cell r="U65">
            <v>243</v>
          </cell>
          <cell r="V65" t="str">
            <v xml:space="preserve"> WAN HAI 266 N387</v>
          </cell>
        </row>
        <row r="66">
          <cell r="B66" t="str">
            <v>V180133</v>
          </cell>
          <cell r="C66" t="str">
            <v>V180147</v>
          </cell>
          <cell r="D66" t="str">
            <v>V180148</v>
          </cell>
          <cell r="E66" t="str">
            <v>V180154</v>
          </cell>
          <cell r="F66"/>
          <cell r="G66"/>
          <cell r="H66"/>
          <cell r="I66"/>
          <cell r="J66"/>
          <cell r="K66"/>
          <cell r="L66"/>
          <cell r="M66" t="str">
            <v>X</v>
          </cell>
          <cell r="N66" t="str">
            <v>X</v>
          </cell>
          <cell r="O66"/>
          <cell r="P66" t="str">
            <v>SITWHPTK153424</v>
          </cell>
          <cell r="Q66" t="str">
            <v>TYO</v>
          </cell>
          <cell r="R66" t="str">
            <v>SITC</v>
          </cell>
          <cell r="S66"/>
          <cell r="T66">
            <v>43129</v>
          </cell>
          <cell r="U66">
            <v>239</v>
          </cell>
          <cell r="V66" t="str">
            <v>RESURGENCE 1803N</v>
          </cell>
        </row>
        <row r="67">
          <cell r="B67" t="str">
            <v>V180139</v>
          </cell>
          <cell r="C67"/>
          <cell r="D67"/>
          <cell r="E67"/>
          <cell r="F67"/>
          <cell r="G67"/>
          <cell r="H67"/>
          <cell r="I67"/>
          <cell r="J67"/>
          <cell r="K67"/>
          <cell r="L67"/>
          <cell r="M67" t="str">
            <v>X</v>
          </cell>
          <cell r="N67" t="str">
            <v>X</v>
          </cell>
          <cell r="O67"/>
          <cell r="P67" t="str">
            <v>HASL51HY18000400</v>
          </cell>
          <cell r="Q67" t="str">
            <v>SGM</v>
          </cell>
          <cell r="R67" t="str">
            <v>HEUNG-A</v>
          </cell>
          <cell r="S67"/>
          <cell r="T67">
            <v>43127</v>
          </cell>
          <cell r="U67">
            <v>241</v>
          </cell>
          <cell r="V67" t="str">
            <v>HEUNG-A YOUNG / 0099N</v>
          </cell>
        </row>
        <row r="68">
          <cell r="B68" t="str">
            <v>V180142</v>
          </cell>
          <cell r="C68" t="str">
            <v>V180149</v>
          </cell>
          <cell r="D68" t="str">
            <v>V180155</v>
          </cell>
          <cell r="E68"/>
          <cell r="F68"/>
          <cell r="G68"/>
          <cell r="H68"/>
          <cell r="I68"/>
          <cell r="J68"/>
          <cell r="K68"/>
          <cell r="L68"/>
          <cell r="M68" t="str">
            <v>X</v>
          </cell>
          <cell r="N68" t="str">
            <v>X</v>
          </cell>
          <cell r="O68"/>
          <cell r="P68" t="str">
            <v>SITWHPKW153430</v>
          </cell>
          <cell r="Q68" t="str">
            <v>KWS</v>
          </cell>
          <cell r="R68" t="str">
            <v>SITC</v>
          </cell>
          <cell r="S68"/>
          <cell r="T68">
            <v>43129</v>
          </cell>
          <cell r="U68">
            <v>239</v>
          </cell>
          <cell r="V68" t="str">
            <v>RESURGENCE 1803N</v>
          </cell>
        </row>
        <row r="69">
          <cell r="B69" t="str">
            <v>V180143</v>
          </cell>
          <cell r="C69"/>
          <cell r="D69"/>
          <cell r="E69"/>
          <cell r="F69"/>
          <cell r="G69"/>
          <cell r="H69"/>
          <cell r="I69"/>
          <cell r="J69"/>
          <cell r="K69"/>
          <cell r="L69"/>
          <cell r="M69" t="str">
            <v>X</v>
          </cell>
          <cell r="N69" t="str">
            <v>X</v>
          </cell>
          <cell r="O69"/>
          <cell r="P69" t="str">
            <v>1008X00193</v>
          </cell>
          <cell r="Q69" t="str">
            <v>NGO</v>
          </cell>
          <cell r="R69" t="str">
            <v>WHL</v>
          </cell>
          <cell r="S69"/>
          <cell r="T69">
            <v>43127</v>
          </cell>
          <cell r="U69">
            <v>241</v>
          </cell>
          <cell r="V69" t="str">
            <v>IAL 001N 306</v>
          </cell>
        </row>
        <row r="70">
          <cell r="B70" t="str">
            <v>V180150</v>
          </cell>
          <cell r="C70"/>
          <cell r="D70"/>
          <cell r="E70"/>
          <cell r="F70"/>
          <cell r="G70"/>
          <cell r="H70"/>
          <cell r="I70"/>
          <cell r="J70"/>
          <cell r="K70"/>
          <cell r="L70"/>
          <cell r="M70" t="str">
            <v>X</v>
          </cell>
          <cell r="N70" t="str">
            <v>X</v>
          </cell>
          <cell r="O70"/>
          <cell r="P70" t="str">
            <v>SITWHPOS153426</v>
          </cell>
          <cell r="Q70" t="str">
            <v>OSK</v>
          </cell>
          <cell r="R70" t="str">
            <v>SITC</v>
          </cell>
          <cell r="S70"/>
          <cell r="T70">
            <v>43127</v>
          </cell>
          <cell r="U70">
            <v>241</v>
          </cell>
          <cell r="V70" t="str">
            <v>SITC TIANJIN 1803N</v>
          </cell>
        </row>
        <row r="71">
          <cell r="B71" t="str">
            <v>V180151</v>
          </cell>
          <cell r="C71" t="str">
            <v>V180157</v>
          </cell>
          <cell r="D71"/>
          <cell r="E71"/>
          <cell r="F71"/>
          <cell r="G71"/>
          <cell r="H71"/>
          <cell r="I71"/>
          <cell r="J71"/>
          <cell r="K71"/>
          <cell r="L71"/>
          <cell r="M71" t="str">
            <v>X</v>
          </cell>
          <cell r="N71" t="str">
            <v>X</v>
          </cell>
          <cell r="O71"/>
          <cell r="P71" t="str">
            <v>SITWHPHT153427</v>
          </cell>
          <cell r="Q71" t="str">
            <v>HKT</v>
          </cell>
          <cell r="R71" t="str">
            <v>SITC</v>
          </cell>
          <cell r="S71"/>
          <cell r="T71">
            <v>43128</v>
          </cell>
          <cell r="U71">
            <v>240</v>
          </cell>
          <cell r="V71" t="str">
            <v>SITC OSAKA 1803N</v>
          </cell>
        </row>
        <row r="72">
          <cell r="B72" t="str">
            <v>V180152</v>
          </cell>
          <cell r="C72"/>
          <cell r="D72"/>
          <cell r="E72"/>
          <cell r="F72"/>
          <cell r="G72"/>
          <cell r="H72"/>
          <cell r="I72"/>
          <cell r="J72"/>
          <cell r="K72"/>
          <cell r="L72"/>
          <cell r="M72" t="str">
            <v>X</v>
          </cell>
          <cell r="N72" t="str">
            <v>X</v>
          </cell>
          <cell r="O72"/>
          <cell r="P72" t="str">
            <v>HASL51EH18000700</v>
          </cell>
          <cell r="Q72" t="str">
            <v>ISH</v>
          </cell>
          <cell r="R72" t="str">
            <v>HEUNG-A</v>
          </cell>
          <cell r="S72"/>
          <cell r="T72">
            <v>43130</v>
          </cell>
          <cell r="U72">
            <v>238</v>
          </cell>
          <cell r="V72" t="str">
            <v>SUNNY CAMELLIA / 1802N</v>
          </cell>
        </row>
        <row r="73">
          <cell r="B73" t="str">
            <v>V180156</v>
          </cell>
          <cell r="C73" t="str">
            <v>V180158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 t="str">
            <v>X</v>
          </cell>
          <cell r="N73" t="str">
            <v>X</v>
          </cell>
          <cell r="O73"/>
          <cell r="P73" t="str">
            <v>SITWHPOS154245</v>
          </cell>
          <cell r="Q73" t="str">
            <v>OSK</v>
          </cell>
          <cell r="R73" t="str">
            <v>SITC</v>
          </cell>
          <cell r="S73"/>
          <cell r="T73">
            <v>43128</v>
          </cell>
          <cell r="U73">
            <v>240</v>
          </cell>
          <cell r="V73" t="str">
            <v>SITC OSAKA 1803N</v>
          </cell>
        </row>
        <row r="74">
          <cell r="B74" t="str">
            <v>V180159</v>
          </cell>
          <cell r="C74" t="str">
            <v>V180163</v>
          </cell>
          <cell r="D74" t="str">
            <v>V180170</v>
          </cell>
          <cell r="E74" t="str">
            <v>V180174</v>
          </cell>
          <cell r="F74" t="str">
            <v>V180181</v>
          </cell>
          <cell r="G74" t="str">
            <v>V180185</v>
          </cell>
          <cell r="M74" t="str">
            <v>X</v>
          </cell>
          <cell r="N74" t="str">
            <v>X</v>
          </cell>
          <cell r="O74"/>
          <cell r="P74" t="str">
            <v>SITWHPKW154373</v>
          </cell>
          <cell r="Q74" t="str">
            <v>KWS</v>
          </cell>
          <cell r="R74" t="str">
            <v>SITC</v>
          </cell>
          <cell r="S74"/>
          <cell r="T74">
            <v>43135</v>
          </cell>
          <cell r="U74">
            <v>233</v>
          </cell>
          <cell r="V74" t="str">
            <v>HANSE ENERGY 1805N</v>
          </cell>
        </row>
        <row r="75">
          <cell r="B75" t="str">
            <v>V180160</v>
          </cell>
          <cell r="C75" t="str">
            <v>V180165</v>
          </cell>
          <cell r="D75" t="str">
            <v>V180168</v>
          </cell>
          <cell r="E75" t="str">
            <v>V180175</v>
          </cell>
          <cell r="F75" t="str">
            <v>V180182</v>
          </cell>
          <cell r="G75" t="str">
            <v>V180187</v>
          </cell>
          <cell r="H75" t="str">
            <v>V180191</v>
          </cell>
          <cell r="I75"/>
          <cell r="J75"/>
          <cell r="K75"/>
          <cell r="L75"/>
          <cell r="M75" t="str">
            <v>X</v>
          </cell>
          <cell r="N75" t="str">
            <v>X</v>
          </cell>
          <cell r="O75"/>
          <cell r="P75" t="str">
            <v>1008X00197</v>
          </cell>
          <cell r="Q75" t="str">
            <v>OSK</v>
          </cell>
          <cell r="R75" t="str">
            <v>WHL</v>
          </cell>
          <cell r="S75"/>
          <cell r="T75">
            <v>43132</v>
          </cell>
          <cell r="U75">
            <v>236</v>
          </cell>
          <cell r="V75" t="str">
            <v>ONYX 1  N033</v>
          </cell>
        </row>
        <row r="76">
          <cell r="B76" t="str">
            <v>V180161</v>
          </cell>
          <cell r="C76" t="str">
            <v>V180176</v>
          </cell>
          <cell r="D76" t="str">
            <v>V180188</v>
          </cell>
          <cell r="E76" t="str">
            <v>V180192</v>
          </cell>
          <cell r="F76"/>
          <cell r="G76"/>
          <cell r="H76"/>
          <cell r="I76"/>
          <cell r="J76"/>
          <cell r="K76"/>
          <cell r="L76"/>
          <cell r="M76" t="str">
            <v>X</v>
          </cell>
          <cell r="N76" t="str">
            <v>X</v>
          </cell>
          <cell r="O76"/>
          <cell r="P76" t="str">
            <v>HASL51EH18000600</v>
          </cell>
          <cell r="Q76" t="str">
            <v>ISH</v>
          </cell>
          <cell r="R76" t="str">
            <v>HEUNG-A</v>
          </cell>
          <cell r="S76"/>
          <cell r="T76">
            <v>43134</v>
          </cell>
          <cell r="U76">
            <v>234</v>
          </cell>
          <cell r="V76" t="str">
            <v>HEUNG-A SARAH / 0104N</v>
          </cell>
        </row>
        <row r="77">
          <cell r="B77" t="str">
            <v>V180162</v>
          </cell>
          <cell r="C77" t="str">
            <v>V180166</v>
          </cell>
          <cell r="D77" t="str">
            <v>V180167</v>
          </cell>
          <cell r="E77" t="str">
            <v>V180177</v>
          </cell>
          <cell r="F77" t="str">
            <v>V180180</v>
          </cell>
          <cell r="G77" t="str">
            <v>V180183</v>
          </cell>
          <cell r="H77" t="str">
            <v>V180189</v>
          </cell>
          <cell r="I77" t="str">
            <v>V180194</v>
          </cell>
          <cell r="J77"/>
          <cell r="K77"/>
          <cell r="L77"/>
          <cell r="M77" t="str">
            <v>X</v>
          </cell>
          <cell r="N77" t="str">
            <v>X</v>
          </cell>
          <cell r="O77"/>
          <cell r="P77" t="str">
            <v>1008X00307</v>
          </cell>
          <cell r="Q77" t="str">
            <v>TYO</v>
          </cell>
          <cell r="R77" t="str">
            <v>WHL</v>
          </cell>
          <cell r="S77"/>
          <cell r="T77">
            <v>43132</v>
          </cell>
          <cell r="U77">
            <v>236</v>
          </cell>
          <cell r="V77" t="str">
            <v>MOONCHILD  N017</v>
          </cell>
        </row>
        <row r="78">
          <cell r="B78" t="str">
            <v>V180164</v>
          </cell>
          <cell r="C78" t="str">
            <v>V180172</v>
          </cell>
          <cell r="D78" t="str">
            <v>V180179</v>
          </cell>
          <cell r="E78"/>
          <cell r="F78"/>
          <cell r="G78"/>
          <cell r="H78"/>
          <cell r="I78"/>
          <cell r="J78"/>
          <cell r="K78"/>
          <cell r="L78"/>
          <cell r="M78" t="str">
            <v>X</v>
          </cell>
          <cell r="N78" t="str">
            <v>X</v>
          </cell>
          <cell r="O78"/>
          <cell r="P78" t="str">
            <v>1008X00191</v>
          </cell>
          <cell r="Q78" t="str">
            <v>HKT</v>
          </cell>
          <cell r="R78" t="str">
            <v>WHL</v>
          </cell>
          <cell r="S78"/>
          <cell r="T78">
            <v>43134</v>
          </cell>
          <cell r="U78">
            <v>234</v>
          </cell>
          <cell r="V78" t="str">
            <v>IAL 001 N307</v>
          </cell>
        </row>
        <row r="79">
          <cell r="B79" t="str">
            <v>V180169</v>
          </cell>
          <cell r="C79" t="str">
            <v>V180184</v>
          </cell>
          <cell r="D79"/>
          <cell r="E79"/>
          <cell r="F79"/>
          <cell r="G79"/>
          <cell r="H79"/>
          <cell r="I79"/>
          <cell r="J79"/>
          <cell r="K79"/>
          <cell r="L79"/>
          <cell r="M79" t="str">
            <v>X</v>
          </cell>
          <cell r="N79" t="str">
            <v>X</v>
          </cell>
          <cell r="O79"/>
          <cell r="P79">
            <v>350810008070</v>
          </cell>
          <cell r="Q79" t="str">
            <v>TYO</v>
          </cell>
          <cell r="R79" t="str">
            <v>TSL</v>
          </cell>
          <cell r="S79"/>
          <cell r="T79">
            <v>43136</v>
          </cell>
          <cell r="U79">
            <v>232</v>
          </cell>
          <cell r="V79" t="str">
            <v>LANTAU BEE 18002N</v>
          </cell>
        </row>
        <row r="80">
          <cell r="B80" t="str">
            <v>V180171</v>
          </cell>
          <cell r="C80"/>
          <cell r="D80"/>
          <cell r="E80"/>
          <cell r="F80"/>
          <cell r="G80"/>
          <cell r="H80"/>
          <cell r="I80"/>
          <cell r="J80"/>
          <cell r="K80"/>
          <cell r="L80"/>
          <cell r="M80" t="str">
            <v>X</v>
          </cell>
          <cell r="N80" t="str">
            <v>X</v>
          </cell>
          <cell r="O80"/>
          <cell r="P80" t="str">
            <v>SITWHPOS154492</v>
          </cell>
          <cell r="Q80" t="str">
            <v>OSK</v>
          </cell>
          <cell r="R80" t="str">
            <v>SITC</v>
          </cell>
          <cell r="S80"/>
          <cell r="T80">
            <v>43135</v>
          </cell>
          <cell r="U80">
            <v>233</v>
          </cell>
          <cell r="V80" t="str">
            <v>SITC NAGOYA 1803N</v>
          </cell>
        </row>
        <row r="81">
          <cell r="B81" t="str">
            <v>V180173</v>
          </cell>
          <cell r="C81" t="str">
            <v>V180193</v>
          </cell>
          <cell r="D81" t="str">
            <v>V180195</v>
          </cell>
          <cell r="E81" t="str">
            <v>V180200</v>
          </cell>
          <cell r="F81" t="str">
            <v>V180201</v>
          </cell>
          <cell r="G81" t="str">
            <v>V180205</v>
          </cell>
          <cell r="H81"/>
          <cell r="I81"/>
          <cell r="J81"/>
          <cell r="K81"/>
          <cell r="L81"/>
          <cell r="M81" t="str">
            <v>x</v>
          </cell>
          <cell r="N81" t="str">
            <v>X</v>
          </cell>
          <cell r="O81"/>
          <cell r="P81" t="str">
            <v>SITWHPTK154361</v>
          </cell>
          <cell r="Q81" t="str">
            <v>TYO</v>
          </cell>
          <cell r="R81" t="str">
            <v>SITC</v>
          </cell>
          <cell r="S81"/>
          <cell r="T81">
            <v>43135</v>
          </cell>
          <cell r="U81">
            <v>233</v>
          </cell>
          <cell r="V81" t="str">
            <v>HANSE ENERGY 1805N</v>
          </cell>
        </row>
        <row r="82">
          <cell r="B82" t="str">
            <v>V180178</v>
          </cell>
          <cell r="C82"/>
          <cell r="D82"/>
          <cell r="E82"/>
          <cell r="F82"/>
          <cell r="G82"/>
          <cell r="H82"/>
          <cell r="I82"/>
          <cell r="J82"/>
          <cell r="K82"/>
          <cell r="L82"/>
          <cell r="M82" t="str">
            <v>X</v>
          </cell>
          <cell r="N82" t="str">
            <v>X</v>
          </cell>
          <cell r="O82"/>
          <cell r="P82" t="str">
            <v>EGLV237800065397</v>
          </cell>
          <cell r="Q82" t="str">
            <v>OSK</v>
          </cell>
          <cell r="R82" t="str">
            <v>EGLV</v>
          </cell>
          <cell r="S82"/>
          <cell r="T82">
            <v>43132</v>
          </cell>
          <cell r="U82">
            <v>236</v>
          </cell>
          <cell r="V82" t="str">
            <v>MOONCHILD N017</v>
          </cell>
        </row>
        <row r="83">
          <cell r="B83" t="str">
            <v>V180186</v>
          </cell>
          <cell r="C83"/>
          <cell r="D83"/>
          <cell r="E83"/>
          <cell r="F83"/>
          <cell r="G83"/>
          <cell r="H83"/>
          <cell r="I83"/>
          <cell r="J83"/>
          <cell r="K83"/>
          <cell r="L83"/>
          <cell r="M83" t="str">
            <v>X</v>
          </cell>
          <cell r="N83" t="str">
            <v>X</v>
          </cell>
          <cell r="O83"/>
          <cell r="P83" t="str">
            <v>1008X00303</v>
          </cell>
          <cell r="Q83" t="str">
            <v>NGO</v>
          </cell>
          <cell r="R83" t="str">
            <v>WHL</v>
          </cell>
          <cell r="S83"/>
          <cell r="T83">
            <v>43134</v>
          </cell>
          <cell r="U83">
            <v>234</v>
          </cell>
          <cell r="V83" t="str">
            <v>WAN HAI 172  S284</v>
          </cell>
        </row>
        <row r="84">
          <cell r="B84" t="str">
            <v>V180190</v>
          </cell>
          <cell r="C84" t="str">
            <v>V180196</v>
          </cell>
          <cell r="D84" t="str">
            <v>V180202</v>
          </cell>
          <cell r="E84"/>
          <cell r="F84"/>
          <cell r="G84"/>
          <cell r="H84"/>
          <cell r="I84"/>
          <cell r="J84"/>
          <cell r="K84"/>
          <cell r="L84"/>
          <cell r="M84" t="str">
            <v>x</v>
          </cell>
          <cell r="N84" t="str">
            <v>x</v>
          </cell>
          <cell r="O84"/>
          <cell r="P84" t="str">
            <v>SITWHPKW154371</v>
          </cell>
          <cell r="Q84" t="str">
            <v>KWS</v>
          </cell>
          <cell r="R84" t="str">
            <v>SITC</v>
          </cell>
          <cell r="S84"/>
          <cell r="T84">
            <v>43136</v>
          </cell>
          <cell r="U84">
            <v>232</v>
          </cell>
          <cell r="V84" t="str">
            <v>FORMOSA CONTAINER NO.4 1805N</v>
          </cell>
        </row>
        <row r="85">
          <cell r="B85" t="str">
            <v>V180197</v>
          </cell>
          <cell r="C85" t="str">
            <v>V180203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 t="str">
            <v>x</v>
          </cell>
          <cell r="N85" t="str">
            <v>x</v>
          </cell>
          <cell r="O85"/>
          <cell r="P85" t="str">
            <v>SITWHPOS154366</v>
          </cell>
          <cell r="Q85" t="str">
            <v>OSK</v>
          </cell>
          <cell r="R85" t="str">
            <v>SITC</v>
          </cell>
          <cell r="S85"/>
          <cell r="T85">
            <v>43135</v>
          </cell>
          <cell r="U85">
            <v>233</v>
          </cell>
          <cell r="V85" t="str">
            <v>SITC WEIHAI 1805N</v>
          </cell>
        </row>
        <row r="86">
          <cell r="B86" t="str">
            <v>V180198</v>
          </cell>
          <cell r="C86" t="str">
            <v>V180204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 t="str">
            <v>x</v>
          </cell>
          <cell r="N86" t="str">
            <v>x</v>
          </cell>
          <cell r="O86"/>
          <cell r="P86" t="str">
            <v>SITWHPHT154367</v>
          </cell>
          <cell r="Q86" t="str">
            <v>HKT</v>
          </cell>
          <cell r="R86" t="str">
            <v>SITC</v>
          </cell>
          <cell r="S86"/>
          <cell r="T86">
            <v>43135</v>
          </cell>
          <cell r="U86">
            <v>233</v>
          </cell>
          <cell r="V86" t="str">
            <v>SITC WEIHAI 1805N</v>
          </cell>
        </row>
        <row r="87">
          <cell r="B87" t="str">
            <v>V180199</v>
          </cell>
          <cell r="C87"/>
          <cell r="D87"/>
          <cell r="E87"/>
          <cell r="F87"/>
          <cell r="G87"/>
          <cell r="H87"/>
          <cell r="I87"/>
          <cell r="J87"/>
          <cell r="K87"/>
          <cell r="L87"/>
          <cell r="M87" t="str">
            <v>X</v>
          </cell>
          <cell r="N87" t="str">
            <v>X</v>
          </cell>
          <cell r="O87"/>
          <cell r="P87">
            <v>350810008087</v>
          </cell>
          <cell r="Q87" t="str">
            <v>TPE</v>
          </cell>
          <cell r="R87" t="str">
            <v>TSL</v>
          </cell>
          <cell r="S87"/>
          <cell r="T87">
            <v>43137</v>
          </cell>
          <cell r="U87">
            <v>231</v>
          </cell>
          <cell r="V87" t="str">
            <v>LANTAU BEE 18002N</v>
          </cell>
        </row>
        <row r="88">
          <cell r="B88" t="str">
            <v>V180206</v>
          </cell>
          <cell r="C88" t="str">
            <v>V180217</v>
          </cell>
          <cell r="D88" t="str">
            <v>V180235</v>
          </cell>
          <cell r="M88" t="str">
            <v>X</v>
          </cell>
          <cell r="N88" t="str">
            <v>X</v>
          </cell>
          <cell r="O88"/>
          <cell r="P88" t="str">
            <v>HASL51EH18000800</v>
          </cell>
          <cell r="Q88" t="str">
            <v>ISH</v>
          </cell>
          <cell r="R88" t="str">
            <v>HEUNG-A</v>
          </cell>
          <cell r="S88"/>
          <cell r="T88">
            <v>43141</v>
          </cell>
          <cell r="U88">
            <v>227</v>
          </cell>
          <cell r="V88" t="str">
            <v>HEUNG-A YOUNG / 0100N</v>
          </cell>
        </row>
        <row r="89">
          <cell r="B89" t="str">
            <v>V180207</v>
          </cell>
          <cell r="C89" t="str">
            <v>V180210</v>
          </cell>
          <cell r="D89" t="str">
            <v>V180218</v>
          </cell>
          <cell r="E89" t="str">
            <v>V180229</v>
          </cell>
          <cell r="F89"/>
          <cell r="G89"/>
          <cell r="H89"/>
          <cell r="I89"/>
          <cell r="J89"/>
          <cell r="K89"/>
          <cell r="L89"/>
          <cell r="M89" t="str">
            <v>X</v>
          </cell>
          <cell r="N89" t="str">
            <v>X</v>
          </cell>
          <cell r="O89"/>
          <cell r="P89" t="str">
            <v>1008X00403</v>
          </cell>
          <cell r="Q89" t="str">
            <v>TYO</v>
          </cell>
          <cell r="R89" t="str">
            <v>WHL</v>
          </cell>
          <cell r="S89"/>
          <cell r="T89">
            <v>43138</v>
          </cell>
          <cell r="U89">
            <v>230</v>
          </cell>
          <cell r="V89" t="str">
            <v>WAN HAI 267  N261</v>
          </cell>
        </row>
        <row r="90">
          <cell r="B90" t="str">
            <v>V180208</v>
          </cell>
          <cell r="C90" t="str">
            <v>V180222</v>
          </cell>
          <cell r="D90" t="str">
            <v>V180230</v>
          </cell>
          <cell r="E90" t="str">
            <v>V180242</v>
          </cell>
          <cell r="F90"/>
          <cell r="G90"/>
          <cell r="H90"/>
          <cell r="I90"/>
          <cell r="J90"/>
          <cell r="K90"/>
          <cell r="L90"/>
          <cell r="M90" t="str">
            <v>X</v>
          </cell>
          <cell r="N90" t="str">
            <v>X</v>
          </cell>
          <cell r="O90"/>
          <cell r="P90">
            <v>350810010592</v>
          </cell>
          <cell r="Q90" t="str">
            <v>TYO</v>
          </cell>
          <cell r="R90" t="str">
            <v>TSL</v>
          </cell>
          <cell r="S90"/>
          <cell r="T90">
            <v>43143</v>
          </cell>
          <cell r="U90">
            <v>225</v>
          </cell>
          <cell r="V90" t="str">
            <v>MARCLIFF 18002N</v>
          </cell>
        </row>
        <row r="91">
          <cell r="B91" t="str">
            <v>V180209</v>
          </cell>
          <cell r="C91" t="str">
            <v>V180212</v>
          </cell>
          <cell r="D91" t="str">
            <v>V180213</v>
          </cell>
          <cell r="E91" t="str">
            <v>V180219</v>
          </cell>
          <cell r="F91" t="str">
            <v>V180224</v>
          </cell>
          <cell r="G91"/>
          <cell r="H91"/>
          <cell r="I91"/>
          <cell r="J91"/>
          <cell r="K91"/>
          <cell r="L91"/>
          <cell r="M91" t="str">
            <v>X</v>
          </cell>
          <cell r="N91" t="str">
            <v>X</v>
          </cell>
          <cell r="O91"/>
          <cell r="P91" t="str">
            <v>SITWHPKW154369</v>
          </cell>
          <cell r="Q91" t="str">
            <v>KWS</v>
          </cell>
          <cell r="R91" t="str">
            <v>SITC</v>
          </cell>
          <cell r="S91"/>
          <cell r="T91">
            <v>43140</v>
          </cell>
          <cell r="U91">
            <v>228</v>
          </cell>
          <cell r="V91" t="str">
            <v>REFLECTION 1805N</v>
          </cell>
        </row>
        <row r="92">
          <cell r="B92" t="str">
            <v>V180211</v>
          </cell>
          <cell r="C92" t="str">
            <v>V180220</v>
          </cell>
          <cell r="D92" t="str">
            <v>V180225</v>
          </cell>
          <cell r="E92"/>
          <cell r="F92"/>
          <cell r="G92"/>
          <cell r="H92"/>
          <cell r="I92"/>
          <cell r="J92"/>
          <cell r="K92"/>
          <cell r="L92"/>
          <cell r="M92" t="str">
            <v>X</v>
          </cell>
          <cell r="N92" t="str">
            <v>X</v>
          </cell>
          <cell r="O92"/>
          <cell r="P92" t="str">
            <v>1008X00301</v>
          </cell>
          <cell r="Q92" t="str">
            <v>OSK</v>
          </cell>
          <cell r="R92" t="str">
            <v>WHL</v>
          </cell>
          <cell r="S92"/>
          <cell r="T92">
            <v>43139</v>
          </cell>
          <cell r="U92">
            <v>229</v>
          </cell>
          <cell r="V92" t="str">
            <v>WAN HAI 231  N270</v>
          </cell>
        </row>
        <row r="93">
          <cell r="B93" t="str">
            <v>V180214</v>
          </cell>
          <cell r="C93"/>
          <cell r="D93"/>
          <cell r="E93"/>
          <cell r="F93"/>
          <cell r="G93"/>
          <cell r="H93"/>
          <cell r="I93"/>
          <cell r="J93"/>
          <cell r="K93"/>
          <cell r="L93"/>
          <cell r="M93" t="str">
            <v>X</v>
          </cell>
          <cell r="N93" t="str">
            <v>X</v>
          </cell>
          <cell r="O93"/>
          <cell r="P93" t="str">
            <v>EGLV237800069945</v>
          </cell>
          <cell r="Q93" t="str">
            <v>OSK</v>
          </cell>
          <cell r="R93" t="str">
            <v>EGLV</v>
          </cell>
          <cell r="S93"/>
          <cell r="T93">
            <v>43139</v>
          </cell>
          <cell r="U93">
            <v>229</v>
          </cell>
          <cell r="V93" t="str">
            <v>WAN HAI 267 N261</v>
          </cell>
        </row>
        <row r="94">
          <cell r="B94" t="str">
            <v>V180215</v>
          </cell>
          <cell r="C94" t="str">
            <v>V180223</v>
          </cell>
          <cell r="D94"/>
          <cell r="E94"/>
          <cell r="F94"/>
          <cell r="G94"/>
          <cell r="H94"/>
          <cell r="I94"/>
          <cell r="J94"/>
          <cell r="K94"/>
          <cell r="L94"/>
          <cell r="M94" t="str">
            <v>X</v>
          </cell>
          <cell r="N94" t="str">
            <v>X</v>
          </cell>
          <cell r="O94"/>
          <cell r="P94" t="str">
            <v>OOLU2600169260</v>
          </cell>
          <cell r="Q94" t="str">
            <v>TYO</v>
          </cell>
          <cell r="R94" t="str">
            <v>OOCL</v>
          </cell>
          <cell r="S94"/>
          <cell r="T94">
            <v>43139</v>
          </cell>
          <cell r="U94">
            <v>229</v>
          </cell>
          <cell r="V94" t="str">
            <v>AS RICCARDA 099N</v>
          </cell>
        </row>
        <row r="95">
          <cell r="B95" t="str">
            <v>V180216</v>
          </cell>
          <cell r="C95"/>
          <cell r="D95"/>
          <cell r="E95"/>
          <cell r="F95"/>
          <cell r="G95"/>
          <cell r="H95"/>
          <cell r="I95"/>
          <cell r="J95"/>
          <cell r="K95"/>
          <cell r="L95"/>
          <cell r="M95" t="str">
            <v>X</v>
          </cell>
          <cell r="N95" t="str">
            <v>X</v>
          </cell>
          <cell r="O95"/>
          <cell r="P95" t="str">
            <v>EGLV237800069961</v>
          </cell>
          <cell r="Q95" t="str">
            <v>HKT</v>
          </cell>
          <cell r="R95" t="str">
            <v>EGLV</v>
          </cell>
          <cell r="S95"/>
          <cell r="T95">
            <v>43138</v>
          </cell>
          <cell r="U95">
            <v>230</v>
          </cell>
          <cell r="V95" t="str">
            <v>PADMA 0541-048N</v>
          </cell>
        </row>
        <row r="96">
          <cell r="B96" t="str">
            <v>V180221</v>
          </cell>
          <cell r="C96" t="str">
            <v>V180226</v>
          </cell>
          <cell r="D96"/>
          <cell r="E96"/>
          <cell r="F96"/>
          <cell r="G96"/>
          <cell r="H96"/>
          <cell r="I96"/>
          <cell r="J96"/>
          <cell r="K96"/>
          <cell r="L96"/>
          <cell r="M96" t="str">
            <v>X</v>
          </cell>
          <cell r="N96" t="str">
            <v>X</v>
          </cell>
          <cell r="O96"/>
          <cell r="P96" t="str">
            <v>1008X00407</v>
          </cell>
          <cell r="Q96" t="str">
            <v>HKT</v>
          </cell>
          <cell r="R96" t="str">
            <v>WHL</v>
          </cell>
          <cell r="S96"/>
          <cell r="T96">
            <v>43141</v>
          </cell>
          <cell r="U96">
            <v>227</v>
          </cell>
          <cell r="V96" t="str">
            <v>IAL 001  N308</v>
          </cell>
        </row>
        <row r="97">
          <cell r="B97" t="str">
            <v>V180227</v>
          </cell>
          <cell r="C97"/>
          <cell r="D97"/>
          <cell r="E97"/>
          <cell r="F97"/>
          <cell r="G97"/>
          <cell r="H97"/>
          <cell r="I97"/>
          <cell r="J97"/>
          <cell r="K97"/>
          <cell r="L97"/>
          <cell r="M97" t="str">
            <v>X</v>
          </cell>
          <cell r="N97" t="str">
            <v>X</v>
          </cell>
          <cell r="O97"/>
          <cell r="P97" t="str">
            <v>APLU 715186285</v>
          </cell>
          <cell r="Q97" t="str">
            <v>NAHA</v>
          </cell>
          <cell r="R97" t="str">
            <v>APL</v>
          </cell>
          <cell r="S97"/>
          <cell r="T97">
            <v>43140</v>
          </cell>
          <cell r="U97">
            <v>228</v>
          </cell>
          <cell r="V97" t="str">
            <v>ASIATIC DAWN 031E</v>
          </cell>
        </row>
        <row r="98">
          <cell r="B98" t="str">
            <v>V180228</v>
          </cell>
          <cell r="C98"/>
          <cell r="D98"/>
          <cell r="E98"/>
          <cell r="F98"/>
          <cell r="G98"/>
          <cell r="H98"/>
          <cell r="I98"/>
          <cell r="J98"/>
          <cell r="K98"/>
          <cell r="L98"/>
          <cell r="M98" t="str">
            <v>X</v>
          </cell>
          <cell r="N98" t="str">
            <v>X</v>
          </cell>
          <cell r="O98"/>
          <cell r="P98" t="str">
            <v>51HY28000200</v>
          </cell>
          <cell r="Q98" t="str">
            <v>SGM</v>
          </cell>
          <cell r="R98" t="str">
            <v>HEUNG-A</v>
          </cell>
          <cell r="S98"/>
          <cell r="T98">
            <v>43144</v>
          </cell>
          <cell r="U98">
            <v>224</v>
          </cell>
          <cell r="V98" t="str">
            <v>SUNNY CAMELLIA / 1803N</v>
          </cell>
        </row>
        <row r="99">
          <cell r="B99" t="str">
            <v>V180231</v>
          </cell>
          <cell r="C99"/>
          <cell r="D99"/>
          <cell r="E99"/>
          <cell r="F99"/>
          <cell r="G99"/>
          <cell r="H99"/>
          <cell r="I99"/>
          <cell r="J99"/>
          <cell r="K99"/>
          <cell r="L99"/>
          <cell r="M99" t="str">
            <v>X</v>
          </cell>
          <cell r="N99" t="str">
            <v>X</v>
          </cell>
          <cell r="O99"/>
          <cell r="P99" t="str">
            <v>EGLV237800072733</v>
          </cell>
          <cell r="Q99" t="str">
            <v>TYO</v>
          </cell>
          <cell r="R99" t="str">
            <v>EGLV</v>
          </cell>
          <cell r="S99"/>
          <cell r="T99">
            <v>43142</v>
          </cell>
          <cell r="U99">
            <v>226</v>
          </cell>
          <cell r="V99" t="str">
            <v>BOX EXPRESS 0542-049N</v>
          </cell>
        </row>
        <row r="100">
          <cell r="B100" t="str">
            <v>V180232</v>
          </cell>
          <cell r="C100" t="str">
            <v>V180239</v>
          </cell>
          <cell r="D100" t="str">
            <v>V180243</v>
          </cell>
          <cell r="E100" t="str">
            <v>V180247</v>
          </cell>
          <cell r="F100"/>
          <cell r="G100"/>
          <cell r="H100"/>
          <cell r="I100"/>
          <cell r="J100"/>
          <cell r="K100"/>
          <cell r="L100"/>
          <cell r="M100" t="str">
            <v>X</v>
          </cell>
          <cell r="N100" t="str">
            <v>X</v>
          </cell>
          <cell r="O100"/>
          <cell r="P100" t="str">
            <v>SITWHPKW155220</v>
          </cell>
          <cell r="Q100" t="str">
            <v>KWS</v>
          </cell>
          <cell r="R100" t="str">
            <v>SITC</v>
          </cell>
          <cell r="S100"/>
          <cell r="T100">
            <v>43146</v>
          </cell>
          <cell r="U100">
            <v>222</v>
          </cell>
          <cell r="V100" t="str">
            <v>SITC KAOHSIUNG 1805N</v>
          </cell>
        </row>
        <row r="101">
          <cell r="B101" t="str">
            <v>V180233</v>
          </cell>
          <cell r="C101"/>
          <cell r="D101"/>
          <cell r="E101"/>
          <cell r="F101"/>
          <cell r="G101"/>
          <cell r="H101"/>
          <cell r="I101"/>
          <cell r="J101"/>
          <cell r="K101"/>
          <cell r="L101"/>
          <cell r="M101" t="str">
            <v>X</v>
          </cell>
          <cell r="N101" t="str">
            <v>X</v>
          </cell>
          <cell r="O101"/>
          <cell r="P101" t="str">
            <v>1008X00405</v>
          </cell>
          <cell r="Q101" t="str">
            <v>NGO</v>
          </cell>
          <cell r="R101" t="str">
            <v>WHL</v>
          </cell>
          <cell r="S101"/>
          <cell r="T101">
            <v>43141</v>
          </cell>
          <cell r="U101">
            <v>227</v>
          </cell>
          <cell r="V101" t="str">
            <v>IAL 001  N308</v>
          </cell>
        </row>
        <row r="102">
          <cell r="B102" t="str">
            <v>V180234</v>
          </cell>
          <cell r="C102"/>
          <cell r="D102"/>
          <cell r="E102"/>
          <cell r="F102"/>
          <cell r="G102"/>
          <cell r="H102"/>
          <cell r="I102"/>
          <cell r="J102"/>
          <cell r="K102"/>
          <cell r="L102"/>
          <cell r="M102" t="str">
            <v>X</v>
          </cell>
          <cell r="N102" t="str">
            <v>X</v>
          </cell>
          <cell r="O102"/>
          <cell r="P102" t="str">
            <v>1008X00412</v>
          </cell>
          <cell r="Q102" t="str">
            <v>OSK</v>
          </cell>
          <cell r="R102" t="str">
            <v>WHL</v>
          </cell>
          <cell r="S102"/>
          <cell r="T102">
            <v>43139</v>
          </cell>
          <cell r="U102">
            <v>229</v>
          </cell>
          <cell r="V102" t="str">
            <v>WAN HAI 267  N261</v>
          </cell>
        </row>
        <row r="103">
          <cell r="B103" t="str">
            <v>V180236</v>
          </cell>
          <cell r="C103" t="str">
            <v>V180237</v>
          </cell>
          <cell r="D103" t="str">
            <v>V180238</v>
          </cell>
          <cell r="E103" t="str">
            <v>V180246</v>
          </cell>
          <cell r="F103"/>
          <cell r="G103"/>
          <cell r="H103"/>
          <cell r="I103"/>
          <cell r="J103"/>
          <cell r="K103"/>
          <cell r="L103"/>
          <cell r="M103" t="str">
            <v>X</v>
          </cell>
          <cell r="N103" t="str">
            <v>X</v>
          </cell>
          <cell r="O103"/>
          <cell r="P103" t="str">
            <v>SITWHPTK155226</v>
          </cell>
          <cell r="Q103" t="str">
            <v>TYO</v>
          </cell>
          <cell r="R103" t="str">
            <v>SITC</v>
          </cell>
          <cell r="S103"/>
          <cell r="T103">
            <v>43146</v>
          </cell>
          <cell r="U103">
            <v>222</v>
          </cell>
          <cell r="V103" t="str">
            <v>SITC KAOHSIUNG 1805N</v>
          </cell>
        </row>
        <row r="104">
          <cell r="B104" t="str">
            <v>V180240</v>
          </cell>
          <cell r="C104" t="str">
            <v>V180244</v>
          </cell>
          <cell r="D104" t="str">
            <v>V180248</v>
          </cell>
          <cell r="E104"/>
          <cell r="F104"/>
          <cell r="G104"/>
          <cell r="H104"/>
          <cell r="I104"/>
          <cell r="J104"/>
          <cell r="K104"/>
          <cell r="L104"/>
          <cell r="M104" t="str">
            <v>X</v>
          </cell>
          <cell r="N104" t="str">
            <v>X</v>
          </cell>
          <cell r="O104"/>
          <cell r="P104" t="str">
            <v>SITWHPOS155223</v>
          </cell>
          <cell r="Q104" t="str">
            <v>OSK</v>
          </cell>
          <cell r="R104" t="str">
            <v>SITC</v>
          </cell>
          <cell r="S104"/>
          <cell r="T104">
            <v>43144</v>
          </cell>
          <cell r="U104">
            <v>224</v>
          </cell>
          <cell r="V104" t="str">
            <v>SITC YOKKAICHI 1805N</v>
          </cell>
        </row>
        <row r="105">
          <cell r="B105" t="str">
            <v>V180241</v>
          </cell>
          <cell r="C105" t="str">
            <v>V180245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 t="str">
            <v>X</v>
          </cell>
          <cell r="N105" t="str">
            <v>X</v>
          </cell>
          <cell r="O105"/>
          <cell r="P105" t="str">
            <v>SITWHPHT155225</v>
          </cell>
          <cell r="Q105" t="str">
            <v>HKT</v>
          </cell>
          <cell r="R105" t="str">
            <v>SITC</v>
          </cell>
          <cell r="S105"/>
          <cell r="T105">
            <v>43144</v>
          </cell>
          <cell r="U105">
            <v>224</v>
          </cell>
          <cell r="V105" t="str">
            <v>SITC YOKKAICHI 1805N</v>
          </cell>
        </row>
        <row r="106">
          <cell r="B106" t="str">
            <v>V180249</v>
          </cell>
          <cell r="M106" t="str">
            <v>X</v>
          </cell>
          <cell r="N106" t="str">
            <v>X</v>
          </cell>
          <cell r="O106"/>
          <cell r="P106" t="str">
            <v>KMTCHPH0506192</v>
          </cell>
          <cell r="Q106" t="str">
            <v>ISH</v>
          </cell>
          <cell r="R106" t="str">
            <v>KMTC</v>
          </cell>
          <cell r="S106"/>
          <cell r="T106">
            <v>43147</v>
          </cell>
          <cell r="U106">
            <v>221</v>
          </cell>
          <cell r="V106" t="str">
            <v>SUNNY LOTUS 1803N</v>
          </cell>
        </row>
        <row r="107">
          <cell r="B107" t="str">
            <v>V180250</v>
          </cell>
          <cell r="C107" t="str">
            <v>V180267</v>
          </cell>
          <cell r="D107" t="str">
            <v>V180273</v>
          </cell>
          <cell r="E107"/>
          <cell r="F107"/>
          <cell r="G107"/>
          <cell r="H107"/>
          <cell r="I107"/>
          <cell r="J107"/>
          <cell r="K107"/>
          <cell r="L107"/>
          <cell r="M107" t="str">
            <v>X</v>
          </cell>
          <cell r="N107" t="str">
            <v>X</v>
          </cell>
          <cell r="O107"/>
          <cell r="P107" t="str">
            <v>1008X00495</v>
          </cell>
          <cell r="Q107" t="str">
            <v>TYO</v>
          </cell>
          <cell r="R107" t="str">
            <v>WHL</v>
          </cell>
          <cell r="S107"/>
          <cell r="T107">
            <v>43146</v>
          </cell>
          <cell r="U107">
            <v>222</v>
          </cell>
          <cell r="V107" t="str">
            <v xml:space="preserve">WAN HAI 266   N388  </v>
          </cell>
        </row>
        <row r="108">
          <cell r="B108" t="str">
            <v>V180251</v>
          </cell>
          <cell r="C108" t="str">
            <v>V180261</v>
          </cell>
          <cell r="D108" t="str">
            <v>V180268</v>
          </cell>
          <cell r="E108"/>
          <cell r="F108"/>
          <cell r="G108"/>
          <cell r="H108"/>
          <cell r="I108"/>
          <cell r="J108"/>
          <cell r="K108"/>
          <cell r="L108"/>
          <cell r="M108" t="str">
            <v>X</v>
          </cell>
          <cell r="N108" t="str">
            <v>X</v>
          </cell>
          <cell r="O108"/>
          <cell r="P108" t="str">
            <v>OOLU2600439630</v>
          </cell>
          <cell r="Q108" t="str">
            <v>TYO</v>
          </cell>
          <cell r="R108" t="str">
            <v>OOCL</v>
          </cell>
          <cell r="S108"/>
          <cell r="T108">
            <v>43147</v>
          </cell>
          <cell r="U108">
            <v>221</v>
          </cell>
          <cell r="V108" t="str">
            <v>SAN LORENZO 108N</v>
          </cell>
        </row>
        <row r="109">
          <cell r="B109" t="str">
            <v>V180252</v>
          </cell>
          <cell r="C109" t="str">
            <v>V180254</v>
          </cell>
          <cell r="D109" t="str">
            <v>V180258</v>
          </cell>
          <cell r="E109" t="str">
            <v>V180264</v>
          </cell>
          <cell r="F109" t="str">
            <v>V180275</v>
          </cell>
          <cell r="G109" t="str">
            <v>V180283</v>
          </cell>
          <cell r="H109"/>
          <cell r="I109"/>
          <cell r="J109"/>
          <cell r="K109"/>
          <cell r="L109"/>
          <cell r="M109" t="str">
            <v>X</v>
          </cell>
          <cell r="N109" t="str">
            <v>X</v>
          </cell>
          <cell r="O109"/>
          <cell r="P109" t="str">
            <v>SITWHPKW155629</v>
          </cell>
          <cell r="Q109" t="str">
            <v>KWS</v>
          </cell>
          <cell r="R109" t="str">
            <v>SITC</v>
          </cell>
          <cell r="S109"/>
          <cell r="T109">
            <v>43150</v>
          </cell>
          <cell r="U109">
            <v>218</v>
          </cell>
          <cell r="V109" t="str">
            <v>SITC TIANJIN 1805N</v>
          </cell>
        </row>
        <row r="110">
          <cell r="B110" t="str">
            <v>V180253</v>
          </cell>
          <cell r="C110" t="str">
            <v>V180255</v>
          </cell>
          <cell r="D110" t="str">
            <v>V180257</v>
          </cell>
          <cell r="E110" t="str">
            <v>V180259</v>
          </cell>
          <cell r="F110" t="str">
            <v>V180262</v>
          </cell>
          <cell r="G110" t="str">
            <v>V180265</v>
          </cell>
          <cell r="H110"/>
          <cell r="I110"/>
          <cell r="J110"/>
          <cell r="K110"/>
          <cell r="L110"/>
          <cell r="M110" t="str">
            <v>X</v>
          </cell>
          <cell r="N110" t="str">
            <v>X</v>
          </cell>
          <cell r="O110"/>
          <cell r="P110" t="str">
            <v>1008X00453</v>
          </cell>
          <cell r="Q110" t="str">
            <v>OSK</v>
          </cell>
          <cell r="R110" t="str">
            <v>WHL</v>
          </cell>
          <cell r="S110"/>
          <cell r="T110">
            <v>43145</v>
          </cell>
          <cell r="U110">
            <v>223</v>
          </cell>
          <cell r="V110" t="str">
            <v>WAN HAI 282 N062</v>
          </cell>
        </row>
        <row r="111">
          <cell r="B111" t="str">
            <v>V180260</v>
          </cell>
          <cell r="C111" t="str">
            <v>V180263</v>
          </cell>
          <cell r="D111" t="str">
            <v>V180272</v>
          </cell>
          <cell r="E111"/>
          <cell r="F111"/>
          <cell r="G111"/>
          <cell r="H111"/>
          <cell r="I111"/>
          <cell r="J111"/>
          <cell r="K111"/>
          <cell r="L111"/>
          <cell r="M111" t="str">
            <v>X</v>
          </cell>
          <cell r="N111" t="str">
            <v>X</v>
          </cell>
          <cell r="O111"/>
          <cell r="P111" t="str">
            <v>1008X00502</v>
          </cell>
          <cell r="Q111" t="str">
            <v>HKT</v>
          </cell>
          <cell r="R111" t="str">
            <v>WHL</v>
          </cell>
          <cell r="S111"/>
          <cell r="T111">
            <v>43148</v>
          </cell>
          <cell r="U111">
            <v>220</v>
          </cell>
          <cell r="V111" t="str">
            <v xml:space="preserve">IAL 001  N309  </v>
          </cell>
        </row>
        <row r="112">
          <cell r="B112" t="str">
            <v>V180266</v>
          </cell>
          <cell r="C112" t="str">
            <v>V180279</v>
          </cell>
          <cell r="D112"/>
          <cell r="E112"/>
          <cell r="F112"/>
          <cell r="G112"/>
          <cell r="H112"/>
          <cell r="I112"/>
          <cell r="J112"/>
          <cell r="K112"/>
          <cell r="L112"/>
          <cell r="M112" t="str">
            <v>X</v>
          </cell>
          <cell r="N112" t="str">
            <v>X</v>
          </cell>
          <cell r="O112"/>
          <cell r="P112" t="str">
            <v>KMTCHPH0501420</v>
          </cell>
          <cell r="Q112" t="str">
            <v>ISH</v>
          </cell>
          <cell r="R112" t="str">
            <v>KMTC</v>
          </cell>
          <cell r="S112"/>
          <cell r="T112">
            <v>43152</v>
          </cell>
          <cell r="U112">
            <v>216</v>
          </cell>
          <cell r="V112" t="str">
            <v>HEUNG-A HAIPHONG 0082N</v>
          </cell>
        </row>
        <row r="113">
          <cell r="B113" t="str">
            <v>V180256</v>
          </cell>
          <cell r="C113" t="str">
            <v>V180269</v>
          </cell>
          <cell r="D113" t="str">
            <v>V180274</v>
          </cell>
          <cell r="E113" t="str">
            <v>V180280</v>
          </cell>
          <cell r="F113" t="str">
            <v>V180281</v>
          </cell>
          <cell r="G113" t="str">
            <v>V180282</v>
          </cell>
          <cell r="H113"/>
          <cell r="I113"/>
          <cell r="J113"/>
          <cell r="K113"/>
          <cell r="L113"/>
          <cell r="M113" t="str">
            <v>X</v>
          </cell>
          <cell r="N113" t="str">
            <v>X</v>
          </cell>
          <cell r="O113"/>
          <cell r="P113" t="str">
            <v>SITWHPTK155951</v>
          </cell>
          <cell r="Q113" t="str">
            <v>TYO</v>
          </cell>
          <cell r="R113" t="str">
            <v>SITC</v>
          </cell>
          <cell r="S113"/>
          <cell r="T113">
            <v>43146</v>
          </cell>
          <cell r="U113">
            <v>222</v>
          </cell>
          <cell r="V113" t="str">
            <v>SITC KAOHSIUNG 1805N</v>
          </cell>
        </row>
        <row r="114">
          <cell r="B114" t="str">
            <v>V180271</v>
          </cell>
          <cell r="C114" t="str">
            <v>V180276</v>
          </cell>
          <cell r="D114" t="str">
            <v>V180285</v>
          </cell>
          <cell r="E114"/>
          <cell r="F114"/>
          <cell r="G114"/>
          <cell r="H114"/>
          <cell r="I114"/>
          <cell r="J114"/>
          <cell r="K114"/>
          <cell r="L114"/>
          <cell r="M114" t="str">
            <v>X</v>
          </cell>
          <cell r="N114" t="str">
            <v>X</v>
          </cell>
          <cell r="O114"/>
          <cell r="P114" t="str">
            <v>SITWHPOS155974</v>
          </cell>
          <cell r="Q114" t="str">
            <v>OSK</v>
          </cell>
          <cell r="R114" t="str">
            <v>SITC</v>
          </cell>
          <cell r="S114"/>
          <cell r="T114">
            <v>43150</v>
          </cell>
          <cell r="U114">
            <v>218</v>
          </cell>
          <cell r="V114" t="str">
            <v>SITC TIANJIN 1805N</v>
          </cell>
        </row>
        <row r="115">
          <cell r="B115" t="str">
            <v>V180277</v>
          </cell>
          <cell r="C115"/>
          <cell r="D115"/>
          <cell r="E115"/>
          <cell r="F115"/>
          <cell r="G115"/>
          <cell r="H115"/>
          <cell r="I115"/>
          <cell r="J115"/>
          <cell r="K115"/>
          <cell r="L115"/>
          <cell r="M115" t="str">
            <v>X</v>
          </cell>
          <cell r="N115" t="str">
            <v>X</v>
          </cell>
          <cell r="O115"/>
          <cell r="P115" t="str">
            <v>SITWHPHT155973</v>
          </cell>
          <cell r="Q115" t="str">
            <v>HKT</v>
          </cell>
          <cell r="R115" t="str">
            <v>SITC</v>
          </cell>
          <cell r="S115"/>
          <cell r="T115">
            <v>43150</v>
          </cell>
          <cell r="U115">
            <v>218</v>
          </cell>
          <cell r="V115" t="str">
            <v>SITC TIANJIN 1805N</v>
          </cell>
        </row>
        <row r="116">
          <cell r="B116" t="str">
            <v>V180278</v>
          </cell>
          <cell r="C116"/>
          <cell r="D116"/>
          <cell r="E116"/>
          <cell r="F116"/>
          <cell r="G116"/>
          <cell r="H116"/>
          <cell r="I116"/>
          <cell r="J116"/>
          <cell r="K116"/>
          <cell r="L116"/>
          <cell r="M116" t="str">
            <v>X</v>
          </cell>
          <cell r="N116" t="str">
            <v>X</v>
          </cell>
          <cell r="O116"/>
          <cell r="P116" t="str">
            <v>APLU 715187862</v>
          </cell>
          <cell r="Q116" t="str">
            <v>NAHA</v>
          </cell>
          <cell r="R116" t="str">
            <v>APL</v>
          </cell>
          <cell r="S116"/>
          <cell r="T116">
            <v>43154</v>
          </cell>
          <cell r="U116">
            <v>214</v>
          </cell>
          <cell r="V116" t="str">
            <v>ASIATIC ECLIPSE 129E</v>
          </cell>
        </row>
        <row r="117">
          <cell r="B117" t="str">
            <v>V180284</v>
          </cell>
          <cell r="C117"/>
          <cell r="D117"/>
          <cell r="E117"/>
          <cell r="F117"/>
          <cell r="G117"/>
          <cell r="H117"/>
          <cell r="I117"/>
          <cell r="J117"/>
          <cell r="K117"/>
          <cell r="L117"/>
          <cell r="M117" t="str">
            <v>X</v>
          </cell>
          <cell r="N117" t="str">
            <v>X</v>
          </cell>
          <cell r="O117"/>
          <cell r="P117" t="str">
            <v>1008X00494</v>
          </cell>
          <cell r="Q117" t="str">
            <v>NGO</v>
          </cell>
          <cell r="R117" t="str">
            <v>WHL</v>
          </cell>
          <cell r="S117"/>
          <cell r="T117">
            <v>43148</v>
          </cell>
          <cell r="U117">
            <v>220</v>
          </cell>
          <cell r="V117" t="str">
            <v xml:space="preserve">IAL 001  N309  </v>
          </cell>
        </row>
        <row r="118">
          <cell r="B118" t="str">
            <v>V180270</v>
          </cell>
          <cell r="C118"/>
          <cell r="D118"/>
          <cell r="E118"/>
          <cell r="F118"/>
          <cell r="G118"/>
          <cell r="H118"/>
          <cell r="I118"/>
          <cell r="J118"/>
          <cell r="K118"/>
          <cell r="L118"/>
          <cell r="M118" t="str">
            <v>X</v>
          </cell>
          <cell r="N118" t="str">
            <v>X</v>
          </cell>
          <cell r="O118"/>
          <cell r="P118" t="str">
            <v>EGLV237800076020</v>
          </cell>
          <cell r="Q118" t="str">
            <v>TPE</v>
          </cell>
          <cell r="R118" t="str">
            <v>EGLV</v>
          </cell>
          <cell r="S118"/>
          <cell r="T118">
            <v>43145</v>
          </cell>
          <cell r="U118">
            <v>223</v>
          </cell>
          <cell r="V118" t="str">
            <v>PADMA 0543-049N</v>
          </cell>
        </row>
        <row r="119">
          <cell r="B119" t="str">
            <v>V180286</v>
          </cell>
          <cell r="C119"/>
          <cell r="D119"/>
          <cell r="E119"/>
          <cell r="F119"/>
          <cell r="G119"/>
          <cell r="H119"/>
          <cell r="I119"/>
          <cell r="J119"/>
          <cell r="K119"/>
          <cell r="L119"/>
          <cell r="M119" t="str">
            <v>X</v>
          </cell>
          <cell r="N119" t="str">
            <v>X</v>
          </cell>
          <cell r="O119"/>
          <cell r="P119" t="str">
            <v>KMTCHPH0504329</v>
          </cell>
          <cell r="Q119" t="str">
            <v>SGM</v>
          </cell>
          <cell r="R119" t="str">
            <v>KMTC</v>
          </cell>
          <cell r="S119"/>
          <cell r="T119">
            <v>43147</v>
          </cell>
          <cell r="U119">
            <v>221</v>
          </cell>
          <cell r="V119" t="str">
            <v>SUNNY LOTUS 1803N</v>
          </cell>
        </row>
        <row r="120">
          <cell r="B120" t="str">
            <v>V180287</v>
          </cell>
          <cell r="M120" t="str">
            <v>X</v>
          </cell>
          <cell r="N120" t="str">
            <v>X</v>
          </cell>
          <cell r="O120"/>
          <cell r="P120" t="str">
            <v>KMTCHPH0509533</v>
          </cell>
          <cell r="Q120" t="str">
            <v>ISH</v>
          </cell>
          <cell r="R120" t="str">
            <v>KMTC</v>
          </cell>
          <cell r="S120"/>
          <cell r="T120">
            <v>43157</v>
          </cell>
          <cell r="U120">
            <v>211</v>
          </cell>
          <cell r="V120" t="str">
            <v>HONGKONG VOYAGER 0069N</v>
          </cell>
        </row>
        <row r="121">
          <cell r="B121" t="str">
            <v>V180288</v>
          </cell>
          <cell r="C121"/>
          <cell r="D121"/>
          <cell r="E121"/>
          <cell r="F121"/>
          <cell r="G121"/>
          <cell r="H121"/>
          <cell r="I121"/>
          <cell r="J121"/>
          <cell r="K121"/>
          <cell r="L121"/>
          <cell r="M121" t="str">
            <v>X</v>
          </cell>
          <cell r="N121" t="str">
            <v>X</v>
          </cell>
          <cell r="O121"/>
          <cell r="P121" t="str">
            <v>SITWHPKW156316</v>
          </cell>
          <cell r="Q121" t="str">
            <v>KWS</v>
          </cell>
          <cell r="R121" t="str">
            <v>SITC</v>
          </cell>
          <cell r="S121"/>
          <cell r="T121">
            <v>43156</v>
          </cell>
          <cell r="U121">
            <v>212</v>
          </cell>
          <cell r="V121" t="str">
            <v>SITC NAGOYA 1805N</v>
          </cell>
        </row>
        <row r="122">
          <cell r="B122" t="str">
            <v>V180289</v>
          </cell>
          <cell r="C122"/>
          <cell r="D122"/>
          <cell r="E122"/>
          <cell r="F122"/>
          <cell r="G122"/>
          <cell r="H122"/>
          <cell r="I122"/>
          <cell r="J122"/>
          <cell r="K122"/>
          <cell r="L122"/>
          <cell r="M122" t="str">
            <v>X</v>
          </cell>
          <cell r="N122" t="str">
            <v>X</v>
          </cell>
          <cell r="O122"/>
          <cell r="P122" t="str">
            <v>SITWHPOS156317</v>
          </cell>
          <cell r="Q122" t="str">
            <v>OSK</v>
          </cell>
          <cell r="R122" t="str">
            <v>SITC</v>
          </cell>
          <cell r="S122"/>
          <cell r="T122">
            <v>43156</v>
          </cell>
          <cell r="U122">
            <v>212</v>
          </cell>
          <cell r="V122" t="str">
            <v>SITC NAGOYA 1805N</v>
          </cell>
        </row>
        <row r="123">
          <cell r="B123" t="str">
            <v>V180290</v>
          </cell>
          <cell r="C123"/>
          <cell r="D123"/>
          <cell r="E123"/>
          <cell r="F123"/>
          <cell r="G123"/>
          <cell r="H123"/>
          <cell r="I123"/>
          <cell r="J123"/>
          <cell r="K123"/>
          <cell r="L123"/>
          <cell r="M123" t="str">
            <v>X</v>
          </cell>
          <cell r="N123" t="str">
            <v>X</v>
          </cell>
          <cell r="O123"/>
          <cell r="P123" t="str">
            <v>SITWHPHT156320</v>
          </cell>
          <cell r="Q123" t="str">
            <v>HKT</v>
          </cell>
          <cell r="R123" t="str">
            <v>SITC</v>
          </cell>
          <cell r="S123"/>
          <cell r="T123">
            <v>43156</v>
          </cell>
          <cell r="U123">
            <v>212</v>
          </cell>
          <cell r="V123" t="str">
            <v>SITC NAGOYA 1805N</v>
          </cell>
        </row>
        <row r="124">
          <cell r="B124" t="str">
            <v>V180291</v>
          </cell>
          <cell r="C124" t="str">
            <v>V180292</v>
          </cell>
          <cell r="D124" t="str">
            <v>V180298</v>
          </cell>
          <cell r="E124"/>
          <cell r="F124"/>
          <cell r="G124"/>
          <cell r="H124"/>
          <cell r="I124"/>
          <cell r="J124"/>
          <cell r="K124"/>
          <cell r="L124"/>
          <cell r="M124" t="str">
            <v>X</v>
          </cell>
          <cell r="N124" t="str">
            <v>X</v>
          </cell>
          <cell r="O124"/>
          <cell r="P124" t="str">
            <v>SITWHPTK156318</v>
          </cell>
          <cell r="Q124" t="str">
            <v>TYO</v>
          </cell>
          <cell r="R124" t="str">
            <v>SITC</v>
          </cell>
          <cell r="S124"/>
          <cell r="T124">
            <v>43156</v>
          </cell>
          <cell r="U124">
            <v>212</v>
          </cell>
          <cell r="V124" t="str">
            <v>SITC NAGOYA 1805N</v>
          </cell>
        </row>
        <row r="125">
          <cell r="B125" t="str">
            <v>V180293</v>
          </cell>
          <cell r="C125" t="str">
            <v>V180294</v>
          </cell>
          <cell r="D125" t="str">
            <v>V180297</v>
          </cell>
          <cell r="M125" t="str">
            <v>X</v>
          </cell>
          <cell r="N125" t="str">
            <v>X</v>
          </cell>
          <cell r="O125"/>
          <cell r="P125" t="str">
            <v>1008A00930</v>
          </cell>
          <cell r="Q125" t="str">
            <v>OSK</v>
          </cell>
          <cell r="R125" t="str">
            <v>WHL</v>
          </cell>
          <cell r="S125"/>
          <cell r="T125">
            <v>43160</v>
          </cell>
          <cell r="U125">
            <v>208</v>
          </cell>
          <cell r="V125" t="str">
            <v>WAN HAI 267 N262</v>
          </cell>
        </row>
        <row r="126">
          <cell r="B126" t="str">
            <v>V180295</v>
          </cell>
          <cell r="C126" t="str">
            <v>V180303</v>
          </cell>
          <cell r="D126" t="str">
            <v>V180312</v>
          </cell>
          <cell r="E126"/>
          <cell r="F126"/>
          <cell r="G126"/>
          <cell r="H126"/>
          <cell r="I126"/>
          <cell r="J126"/>
          <cell r="K126"/>
          <cell r="L126"/>
          <cell r="M126" t="str">
            <v>X</v>
          </cell>
          <cell r="N126" t="str">
            <v>X</v>
          </cell>
          <cell r="O126"/>
          <cell r="P126" t="str">
            <v>1008X00553</v>
          </cell>
          <cell r="Q126" t="str">
            <v>TYO</v>
          </cell>
          <cell r="R126" t="str">
            <v>WHL</v>
          </cell>
          <cell r="S126"/>
          <cell r="T126">
            <v>43160</v>
          </cell>
          <cell r="U126">
            <v>208</v>
          </cell>
          <cell r="V126" t="str">
            <v xml:space="preserve"> WAN HAI 267   N262  </v>
          </cell>
        </row>
        <row r="127">
          <cell r="B127" t="str">
            <v>V180296</v>
          </cell>
          <cell r="C127" t="str">
            <v>V180300</v>
          </cell>
          <cell r="D127" t="str">
            <v>V180307</v>
          </cell>
          <cell r="E127"/>
          <cell r="F127"/>
          <cell r="G127"/>
          <cell r="H127"/>
          <cell r="I127"/>
          <cell r="J127"/>
          <cell r="K127"/>
          <cell r="L127"/>
          <cell r="M127" t="str">
            <v>X</v>
          </cell>
          <cell r="N127" t="str">
            <v>X</v>
          </cell>
          <cell r="O127"/>
          <cell r="P127" t="str">
            <v>SITWHPKW156324</v>
          </cell>
          <cell r="Q127" t="str">
            <v>KWS</v>
          </cell>
          <cell r="R127" t="str">
            <v>SITC</v>
          </cell>
          <cell r="S127"/>
          <cell r="T127">
            <v>43160</v>
          </cell>
          <cell r="U127">
            <v>208</v>
          </cell>
          <cell r="V127" t="str">
            <v>HANSE ENERGY 1807N</v>
          </cell>
        </row>
        <row r="128">
          <cell r="B128" t="str">
            <v>V180299</v>
          </cell>
          <cell r="C128" t="str">
            <v>V180304</v>
          </cell>
          <cell r="D128" t="str">
            <v>V180306</v>
          </cell>
          <cell r="E128" t="str">
            <v>V180319</v>
          </cell>
          <cell r="F128"/>
          <cell r="G128"/>
          <cell r="H128"/>
          <cell r="I128"/>
          <cell r="J128"/>
          <cell r="K128"/>
          <cell r="L128" t="str">
            <v>X</v>
          </cell>
          <cell r="M128" t="str">
            <v>X</v>
          </cell>
          <cell r="N128" t="str">
            <v>X</v>
          </cell>
          <cell r="O128"/>
          <cell r="P128">
            <v>350810014224</v>
          </cell>
          <cell r="Q128" t="str">
            <v>TYO</v>
          </cell>
          <cell r="R128" t="str">
            <v>TSL</v>
          </cell>
          <cell r="S128"/>
          <cell r="T128">
            <v>43166</v>
          </cell>
          <cell r="U128">
            <v>202</v>
          </cell>
          <cell r="V128" t="str">
            <v>MARCLIFF 18003N</v>
          </cell>
        </row>
        <row r="129">
          <cell r="B129" t="str">
            <v>V180301</v>
          </cell>
          <cell r="C129" t="str">
            <v>V180308</v>
          </cell>
          <cell r="D129"/>
          <cell r="E129"/>
          <cell r="F129"/>
          <cell r="G129"/>
          <cell r="H129"/>
          <cell r="I129"/>
          <cell r="J129"/>
          <cell r="K129"/>
          <cell r="L129"/>
          <cell r="M129" t="str">
            <v>X</v>
          </cell>
          <cell r="N129" t="str">
            <v>X</v>
          </cell>
          <cell r="O129"/>
          <cell r="P129" t="str">
            <v>EGLV237800077727</v>
          </cell>
          <cell r="Q129" t="str">
            <v>OSK</v>
          </cell>
          <cell r="R129" t="str">
            <v>EGLV</v>
          </cell>
          <cell r="S129"/>
          <cell r="T129">
            <v>43160</v>
          </cell>
          <cell r="U129">
            <v>208</v>
          </cell>
          <cell r="V129" t="str">
            <v>WAN HAI 267 N262</v>
          </cell>
        </row>
        <row r="130">
          <cell r="B130" t="str">
            <v>V180302</v>
          </cell>
          <cell r="C130" t="str">
            <v>V180309</v>
          </cell>
          <cell r="D130" t="str">
            <v>V180316</v>
          </cell>
          <cell r="E130" t="str">
            <v>V180323</v>
          </cell>
          <cell r="F130" t="str">
            <v>V180330</v>
          </cell>
          <cell r="G130"/>
          <cell r="H130"/>
          <cell r="I130"/>
          <cell r="J130"/>
          <cell r="K130"/>
          <cell r="L130" t="str">
            <v>X</v>
          </cell>
          <cell r="M130" t="str">
            <v>X</v>
          </cell>
          <cell r="N130" t="str">
            <v>X</v>
          </cell>
          <cell r="O130"/>
          <cell r="P130" t="str">
            <v>SITWHPHT156330</v>
          </cell>
          <cell r="Q130" t="str">
            <v>HKT</v>
          </cell>
          <cell r="R130" t="str">
            <v>SITC</v>
          </cell>
          <cell r="S130"/>
          <cell r="T130">
            <v>43163</v>
          </cell>
          <cell r="U130">
            <v>205</v>
          </cell>
          <cell r="V130" t="str">
            <v>SITC WEIHAI 1807N</v>
          </cell>
        </row>
        <row r="131">
          <cell r="B131" t="str">
            <v>V180305</v>
          </cell>
          <cell r="C131" t="str">
            <v>V180313</v>
          </cell>
          <cell r="D131" t="str">
            <v>V180320</v>
          </cell>
          <cell r="E131" t="str">
            <v>V180332</v>
          </cell>
          <cell r="F131"/>
          <cell r="G131"/>
          <cell r="H131"/>
          <cell r="I131"/>
          <cell r="J131"/>
          <cell r="K131"/>
          <cell r="L131" t="str">
            <v>X</v>
          </cell>
          <cell r="M131" t="str">
            <v>X</v>
          </cell>
          <cell r="N131" t="str">
            <v>X</v>
          </cell>
          <cell r="O131"/>
          <cell r="P131" t="str">
            <v>OOLU2600595820</v>
          </cell>
          <cell r="Q131" t="str">
            <v>TYO</v>
          </cell>
          <cell r="R131" t="str">
            <v>OOCL</v>
          </cell>
          <cell r="S131"/>
          <cell r="T131">
            <v>43166</v>
          </cell>
          <cell r="U131">
            <v>202</v>
          </cell>
          <cell r="V131" t="str">
            <v>SAN LORENZO 109N</v>
          </cell>
        </row>
        <row r="132">
          <cell r="B132" t="str">
            <v>V180310</v>
          </cell>
          <cell r="C132"/>
          <cell r="D132"/>
          <cell r="E132"/>
          <cell r="F132"/>
          <cell r="G132"/>
          <cell r="H132"/>
          <cell r="I132"/>
          <cell r="J132"/>
          <cell r="K132"/>
          <cell r="L132"/>
          <cell r="M132" t="str">
            <v>X</v>
          </cell>
          <cell r="N132" t="str">
            <v>X</v>
          </cell>
          <cell r="O132"/>
          <cell r="P132" t="str">
            <v>APLU 715188626</v>
          </cell>
          <cell r="Q132" t="str">
            <v>NAHA</v>
          </cell>
          <cell r="R132" t="str">
            <v>APL</v>
          </cell>
          <cell r="S132"/>
          <cell r="T132">
            <v>43163</v>
          </cell>
          <cell r="U132">
            <v>205</v>
          </cell>
          <cell r="V132" t="str">
            <v>ASIATIC DAWN 032E</v>
          </cell>
        </row>
        <row r="133">
          <cell r="B133" t="str">
            <v>V180311</v>
          </cell>
          <cell r="C133"/>
          <cell r="D133"/>
          <cell r="E133"/>
          <cell r="F133"/>
          <cell r="G133"/>
          <cell r="H133"/>
          <cell r="I133"/>
          <cell r="J133"/>
          <cell r="K133"/>
          <cell r="L133"/>
          <cell r="M133" t="str">
            <v>X</v>
          </cell>
          <cell r="N133" t="str">
            <v>X</v>
          </cell>
          <cell r="O133"/>
          <cell r="P133" t="str">
            <v>KMTCHPH0506765</v>
          </cell>
          <cell r="Q133" t="str">
            <v>SGM</v>
          </cell>
          <cell r="R133" t="str">
            <v>KMTC</v>
          </cell>
          <cell r="S133"/>
          <cell r="T133">
            <v>43163</v>
          </cell>
          <cell r="U133">
            <v>205</v>
          </cell>
          <cell r="V133" t="str">
            <v>SUNNY CANNA 1804N</v>
          </cell>
        </row>
        <row r="134">
          <cell r="B134" t="str">
            <v>V180314</v>
          </cell>
          <cell r="C134" t="str">
            <v>V180321</v>
          </cell>
          <cell r="D134"/>
          <cell r="E134"/>
          <cell r="F134"/>
          <cell r="G134"/>
          <cell r="H134"/>
          <cell r="I134"/>
          <cell r="J134"/>
          <cell r="K134"/>
          <cell r="L134"/>
          <cell r="M134" t="str">
            <v>X</v>
          </cell>
          <cell r="N134" t="str">
            <v>X</v>
          </cell>
          <cell r="O134"/>
          <cell r="P134" t="str">
            <v>SITWHPKW156325</v>
          </cell>
          <cell r="Q134" t="str">
            <v>KWS</v>
          </cell>
          <cell r="R134" t="str">
            <v>SITC</v>
          </cell>
          <cell r="S134"/>
          <cell r="T134">
            <v>43163</v>
          </cell>
          <cell r="U134">
            <v>205</v>
          </cell>
          <cell r="V134" t="str">
            <v>SITC KAOHSIUNG 1807N</v>
          </cell>
        </row>
        <row r="135">
          <cell r="B135" t="str">
            <v>V180315</v>
          </cell>
          <cell r="C135" t="str">
            <v>V180322</v>
          </cell>
          <cell r="D135"/>
          <cell r="E135"/>
          <cell r="F135"/>
          <cell r="G135"/>
          <cell r="H135"/>
          <cell r="I135"/>
          <cell r="J135"/>
          <cell r="K135"/>
          <cell r="L135"/>
          <cell r="M135" t="str">
            <v>X</v>
          </cell>
          <cell r="N135" t="str">
            <v>X</v>
          </cell>
          <cell r="O135"/>
          <cell r="P135" t="str">
            <v>SITWHPOS156328</v>
          </cell>
          <cell r="Q135" t="str">
            <v>OSK</v>
          </cell>
          <cell r="R135" t="str">
            <v>SITC</v>
          </cell>
          <cell r="S135"/>
          <cell r="T135">
            <v>43163</v>
          </cell>
          <cell r="U135">
            <v>205</v>
          </cell>
          <cell r="V135" t="str">
            <v>SITC WEIHAI 1807N</v>
          </cell>
        </row>
        <row r="136">
          <cell r="B136" t="str">
            <v>V180317</v>
          </cell>
          <cell r="C136" t="str">
            <v>V180327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 t="str">
            <v>X</v>
          </cell>
          <cell r="N136" t="str">
            <v>X</v>
          </cell>
          <cell r="O136"/>
          <cell r="P136" t="str">
            <v>KMTCHPH0505761</v>
          </cell>
          <cell r="Q136" t="str">
            <v>ISH</v>
          </cell>
          <cell r="R136" t="str">
            <v>KMTC</v>
          </cell>
          <cell r="S136"/>
          <cell r="T136">
            <v>43163</v>
          </cell>
          <cell r="U136">
            <v>205</v>
          </cell>
          <cell r="V136" t="str">
            <v>SUNNY CANNA 1804N</v>
          </cell>
        </row>
        <row r="137">
          <cell r="B137" t="str">
            <v>V180318</v>
          </cell>
          <cell r="C137"/>
          <cell r="D137"/>
          <cell r="E137"/>
          <cell r="F137"/>
          <cell r="G137"/>
          <cell r="H137"/>
          <cell r="I137"/>
          <cell r="J137"/>
          <cell r="K137"/>
          <cell r="L137"/>
          <cell r="M137" t="str">
            <v>X</v>
          </cell>
          <cell r="N137" t="str">
            <v>X</v>
          </cell>
          <cell r="O137"/>
          <cell r="P137" t="str">
            <v>1008X00551</v>
          </cell>
          <cell r="Q137" t="str">
            <v>OSK</v>
          </cell>
          <cell r="R137" t="str">
            <v>WHL</v>
          </cell>
          <cell r="S137"/>
          <cell r="T137">
            <v>43163</v>
          </cell>
          <cell r="U137">
            <v>205</v>
          </cell>
          <cell r="V137" t="str">
            <v xml:space="preserve">IAL 001  N311  </v>
          </cell>
        </row>
        <row r="138">
          <cell r="B138" t="str">
            <v>V180324</v>
          </cell>
          <cell r="C138" t="str">
            <v>V180331</v>
          </cell>
          <cell r="D138"/>
          <cell r="E138"/>
          <cell r="F138"/>
          <cell r="G138"/>
          <cell r="H138"/>
          <cell r="I138"/>
          <cell r="J138"/>
          <cell r="K138"/>
          <cell r="L138"/>
          <cell r="M138" t="str">
            <v>X</v>
          </cell>
          <cell r="N138" t="str">
            <v>X</v>
          </cell>
          <cell r="O138"/>
          <cell r="P138" t="str">
            <v>SITWHPTK156327</v>
          </cell>
          <cell r="Q138" t="str">
            <v>TYO</v>
          </cell>
          <cell r="R138" t="str">
            <v>SITC</v>
          </cell>
          <cell r="S138"/>
          <cell r="T138">
            <v>43163</v>
          </cell>
          <cell r="U138">
            <v>205</v>
          </cell>
          <cell r="V138" t="str">
            <v>SITC KAOHSIUNG 1807N</v>
          </cell>
        </row>
        <row r="139">
          <cell r="B139" t="str">
            <v>V180328</v>
          </cell>
          <cell r="C139"/>
          <cell r="D139"/>
          <cell r="E139"/>
          <cell r="F139"/>
          <cell r="G139"/>
          <cell r="H139"/>
          <cell r="I139"/>
          <cell r="J139"/>
          <cell r="K139"/>
          <cell r="L139"/>
          <cell r="M139" t="str">
            <v>X</v>
          </cell>
          <cell r="N139" t="str">
            <v>X</v>
          </cell>
          <cell r="O139"/>
          <cell r="P139" t="str">
            <v>KMTCHPH0500563</v>
          </cell>
          <cell r="Q139" t="str">
            <v>ISH</v>
          </cell>
          <cell r="R139" t="str">
            <v>KMTC</v>
          </cell>
          <cell r="S139"/>
          <cell r="T139">
            <v>43157</v>
          </cell>
          <cell r="U139">
            <v>211</v>
          </cell>
          <cell r="V139" t="str">
            <v>HONGKONG VOYAGER 0069N</v>
          </cell>
        </row>
        <row r="140">
          <cell r="B140" t="str">
            <v>V180329</v>
          </cell>
          <cell r="C140"/>
          <cell r="D140"/>
          <cell r="E140"/>
          <cell r="F140"/>
          <cell r="G140"/>
          <cell r="H140"/>
          <cell r="I140"/>
          <cell r="J140"/>
          <cell r="K140"/>
          <cell r="L140"/>
          <cell r="M140" t="str">
            <v>X</v>
          </cell>
          <cell r="N140" t="str">
            <v>X</v>
          </cell>
          <cell r="O140"/>
          <cell r="P140" t="str">
            <v>SITWHPKW156964</v>
          </cell>
          <cell r="Q140" t="str">
            <v>KWS</v>
          </cell>
          <cell r="R140" t="str">
            <v>SITC</v>
          </cell>
          <cell r="S140"/>
          <cell r="T140">
            <v>43160</v>
          </cell>
          <cell r="U140">
            <v>208</v>
          </cell>
          <cell r="V140" t="str">
            <v>HANSE ENERGY 1807N</v>
          </cell>
        </row>
        <row r="141">
          <cell r="B141" t="str">
            <v>V180325</v>
          </cell>
          <cell r="C141" t="str">
            <v>V180333</v>
          </cell>
          <cell r="D141"/>
          <cell r="E141"/>
          <cell r="F141"/>
          <cell r="G141"/>
          <cell r="H141"/>
          <cell r="I141"/>
          <cell r="J141"/>
          <cell r="K141"/>
          <cell r="L141"/>
          <cell r="M141" t="str">
            <v>X</v>
          </cell>
          <cell r="N141" t="str">
            <v>X</v>
          </cell>
          <cell r="O141"/>
          <cell r="P141" t="str">
            <v>SITWHPKW156326</v>
          </cell>
          <cell r="Q141" t="str">
            <v>KWS</v>
          </cell>
          <cell r="R141" t="str">
            <v>SITC</v>
          </cell>
          <cell r="S141"/>
          <cell r="T141">
            <v>43163</v>
          </cell>
          <cell r="U141">
            <v>205</v>
          </cell>
          <cell r="V141" t="str">
            <v>SITC KAOHSIUNG 1807N</v>
          </cell>
        </row>
        <row r="142">
          <cell r="B142" t="str">
            <v>V180326</v>
          </cell>
          <cell r="C142" t="str">
            <v>V180334</v>
          </cell>
          <cell r="D142" t="str">
            <v>V180338</v>
          </cell>
          <cell r="E142"/>
          <cell r="F142"/>
          <cell r="G142"/>
          <cell r="H142"/>
          <cell r="I142"/>
          <cell r="J142"/>
          <cell r="K142"/>
          <cell r="L142" t="str">
            <v>X</v>
          </cell>
          <cell r="M142" t="str">
            <v>X</v>
          </cell>
          <cell r="N142" t="str">
            <v>X</v>
          </cell>
          <cell r="O142"/>
          <cell r="P142" t="str">
            <v>SITWHPOS156329</v>
          </cell>
          <cell r="Q142" t="str">
            <v>OSK</v>
          </cell>
          <cell r="R142" t="str">
            <v>SITC</v>
          </cell>
          <cell r="S142"/>
          <cell r="T142">
            <v>43163</v>
          </cell>
          <cell r="U142">
            <v>205</v>
          </cell>
          <cell r="V142" t="str">
            <v>SITC WEIHAI 1807N</v>
          </cell>
        </row>
        <row r="143">
          <cell r="B143" t="str">
            <v>V180345</v>
          </cell>
          <cell r="C143"/>
          <cell r="D143"/>
          <cell r="E143"/>
          <cell r="F143"/>
          <cell r="G143"/>
          <cell r="H143"/>
          <cell r="I143"/>
          <cell r="J143"/>
          <cell r="K143"/>
          <cell r="L143"/>
          <cell r="M143" t="str">
            <v>X</v>
          </cell>
          <cell r="N143" t="str">
            <v>X</v>
          </cell>
          <cell r="O143"/>
          <cell r="P143" t="str">
            <v>SITWHPTK157692</v>
          </cell>
          <cell r="Q143" t="str">
            <v>TYO</v>
          </cell>
          <cell r="R143" t="str">
            <v>SITC</v>
          </cell>
          <cell r="S143"/>
          <cell r="T143">
            <v>43163</v>
          </cell>
          <cell r="U143">
            <v>205</v>
          </cell>
          <cell r="V143" t="str">
            <v>SITC WEIHAI 1807N</v>
          </cell>
        </row>
        <row r="144">
          <cell r="B144" t="str">
            <v>V180346</v>
          </cell>
          <cell r="C144" t="str">
            <v>V180352</v>
          </cell>
          <cell r="I144" t="str">
            <v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M144" t="str">
            <v>X</v>
          </cell>
          <cell r="N144" t="str">
            <v>X</v>
          </cell>
          <cell r="O144"/>
          <cell r="P144" t="str">
            <v>OOLU2601041570</v>
          </cell>
          <cell r="Q144" t="str">
            <v>TYO</v>
          </cell>
          <cell r="R144" t="str">
            <v>OOCL</v>
          </cell>
          <cell r="S144"/>
          <cell r="T144">
            <v>43166</v>
          </cell>
          <cell r="U144">
            <v>202</v>
          </cell>
          <cell r="V144" t="str">
            <v>SAN LORENZO 109N</v>
          </cell>
        </row>
        <row r="145">
          <cell r="B145" t="str">
            <v>V180335</v>
          </cell>
          <cell r="C145" t="str">
            <v>V180342</v>
          </cell>
          <cell r="D145" t="str">
            <v>V180351</v>
          </cell>
          <cell r="E145"/>
          <cell r="F145"/>
          <cell r="G145"/>
          <cell r="H145"/>
          <cell r="I145"/>
          <cell r="J145"/>
          <cell r="K145"/>
          <cell r="L145" t="str">
            <v>X</v>
          </cell>
          <cell r="M145" t="str">
            <v>X</v>
          </cell>
          <cell r="N145" t="str">
            <v>X</v>
          </cell>
          <cell r="O145"/>
          <cell r="P145" t="str">
            <v>1008X00679</v>
          </cell>
          <cell r="Q145" t="str">
            <v>TYO</v>
          </cell>
          <cell r="R145" t="str">
            <v>WHL</v>
          </cell>
          <cell r="S145"/>
          <cell r="T145">
            <v>43166</v>
          </cell>
          <cell r="U145">
            <v>202</v>
          </cell>
          <cell r="V145" t="str">
            <v xml:space="preserve">WAN HAI 266  N389  </v>
          </cell>
        </row>
        <row r="146">
          <cell r="B146" t="str">
            <v>V180336</v>
          </cell>
          <cell r="C146" t="str">
            <v>V180343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 t="str">
            <v>X</v>
          </cell>
          <cell r="N146" t="str">
            <v>X</v>
          </cell>
          <cell r="O146"/>
          <cell r="P146" t="str">
            <v>SITWHPKW157280</v>
          </cell>
          <cell r="Q146" t="str">
            <v>KWS</v>
          </cell>
          <cell r="R146" t="str">
            <v>SITC</v>
          </cell>
          <cell r="S146"/>
          <cell r="T146">
            <v>43167</v>
          </cell>
          <cell r="U146">
            <v>201</v>
          </cell>
          <cell r="V146" t="str">
            <v>SITC TIANJIN 1807N</v>
          </cell>
        </row>
        <row r="147">
          <cell r="B147" t="str">
            <v>V180337</v>
          </cell>
          <cell r="C147"/>
          <cell r="D147"/>
          <cell r="E147"/>
          <cell r="F147"/>
          <cell r="G147"/>
          <cell r="H147"/>
          <cell r="I147"/>
          <cell r="J147"/>
          <cell r="K147"/>
          <cell r="L147"/>
          <cell r="M147" t="str">
            <v>X</v>
          </cell>
          <cell r="N147" t="str">
            <v>X</v>
          </cell>
          <cell r="O147"/>
          <cell r="P147" t="str">
            <v>EGLV237800082241</v>
          </cell>
          <cell r="Q147" t="str">
            <v>OSK</v>
          </cell>
          <cell r="R147" t="str">
            <v>EGLV</v>
          </cell>
          <cell r="S147"/>
          <cell r="T147">
            <v>43166</v>
          </cell>
          <cell r="U147">
            <v>202</v>
          </cell>
          <cell r="V147" t="str">
            <v>WAN HAI 266 N389</v>
          </cell>
        </row>
        <row r="148">
          <cell r="B148" t="str">
            <v>V180339</v>
          </cell>
          <cell r="C148" t="str">
            <v>V180349</v>
          </cell>
          <cell r="D148" t="str">
            <v>V180356</v>
          </cell>
          <cell r="E148" t="str">
            <v>V180365</v>
          </cell>
          <cell r="F148"/>
          <cell r="G148"/>
          <cell r="H148"/>
          <cell r="I148"/>
          <cell r="J148"/>
          <cell r="K148"/>
          <cell r="L148"/>
          <cell r="M148" t="str">
            <v>X</v>
          </cell>
          <cell r="N148" t="str">
            <v>X</v>
          </cell>
          <cell r="O148"/>
          <cell r="P148" t="str">
            <v>1008X00669</v>
          </cell>
          <cell r="Q148" t="str">
            <v>HKT</v>
          </cell>
          <cell r="R148" t="str">
            <v>WHL</v>
          </cell>
          <cell r="S148"/>
          <cell r="T148">
            <v>43169</v>
          </cell>
          <cell r="U148">
            <v>199</v>
          </cell>
          <cell r="V148" t="str">
            <v xml:space="preserve">IAL 001  N312  </v>
          </cell>
        </row>
        <row r="149">
          <cell r="B149" t="str">
            <v>V180340</v>
          </cell>
          <cell r="C149" t="str">
            <v>V180341</v>
          </cell>
          <cell r="D149" t="str">
            <v>V180355</v>
          </cell>
          <cell r="E149"/>
          <cell r="F149"/>
          <cell r="G149"/>
          <cell r="H149"/>
          <cell r="I149"/>
          <cell r="J149"/>
          <cell r="K149"/>
          <cell r="L149"/>
          <cell r="M149" t="str">
            <v>X</v>
          </cell>
          <cell r="N149" t="str">
            <v>X</v>
          </cell>
          <cell r="O149"/>
          <cell r="P149" t="str">
            <v>SITWHPOS157155</v>
          </cell>
          <cell r="Q149" t="str">
            <v>OSK</v>
          </cell>
          <cell r="R149" t="str">
            <v>SITC</v>
          </cell>
          <cell r="S149"/>
          <cell r="T149">
            <v>43168</v>
          </cell>
          <cell r="U149">
            <v>200</v>
          </cell>
          <cell r="V149" t="str">
            <v>SITC KOBE 1815N</v>
          </cell>
        </row>
        <row r="150">
          <cell r="B150" t="str">
            <v>V180344</v>
          </cell>
          <cell r="C150" t="str">
            <v>V180358</v>
          </cell>
          <cell r="D150" t="str">
            <v>V180367</v>
          </cell>
          <cell r="E150"/>
          <cell r="F150"/>
          <cell r="G150"/>
          <cell r="H150"/>
          <cell r="I150"/>
          <cell r="J150"/>
          <cell r="K150"/>
          <cell r="L150"/>
          <cell r="M150" t="str">
            <v>X</v>
          </cell>
          <cell r="N150" t="str">
            <v>X</v>
          </cell>
          <cell r="O150"/>
          <cell r="P150" t="str">
            <v>KMTCHPH0511075</v>
          </cell>
          <cell r="Q150" t="str">
            <v>ISH</v>
          </cell>
          <cell r="R150" t="str">
            <v>KMTC</v>
          </cell>
          <cell r="S150"/>
          <cell r="T150">
            <v>43171</v>
          </cell>
          <cell r="U150">
            <v>197</v>
          </cell>
          <cell r="V150" t="str">
            <v>HONGKONG VOYAGER 0070N</v>
          </cell>
        </row>
        <row r="151">
          <cell r="B151" t="str">
            <v>V180347</v>
          </cell>
          <cell r="C151" t="str">
            <v>V180354</v>
          </cell>
          <cell r="D151" t="str">
            <v>V180362</v>
          </cell>
          <cell r="E151" t="str">
            <v>V180372</v>
          </cell>
          <cell r="F151"/>
          <cell r="G151"/>
          <cell r="H151"/>
          <cell r="I151"/>
          <cell r="J151"/>
          <cell r="K151"/>
          <cell r="L151"/>
          <cell r="M151" t="str">
            <v>X</v>
          </cell>
          <cell r="N151" t="str">
            <v>X</v>
          </cell>
          <cell r="O151"/>
          <cell r="P151" t="str">
            <v>SITWHPKW157414</v>
          </cell>
          <cell r="Q151" t="str">
            <v>KWS</v>
          </cell>
          <cell r="R151" t="str">
            <v>SITC</v>
          </cell>
          <cell r="S151"/>
          <cell r="T151">
            <v>43171</v>
          </cell>
          <cell r="U151">
            <v>197</v>
          </cell>
          <cell r="V151" t="str">
            <v>REFLECTION 1809N</v>
          </cell>
        </row>
        <row r="152">
          <cell r="B152" t="str">
            <v>V180348</v>
          </cell>
          <cell r="C152"/>
          <cell r="D152"/>
          <cell r="E152"/>
          <cell r="F152"/>
          <cell r="G152"/>
          <cell r="H152"/>
          <cell r="I152"/>
          <cell r="J152"/>
          <cell r="K152"/>
          <cell r="L152"/>
          <cell r="M152" t="str">
            <v>X</v>
          </cell>
          <cell r="N152" t="str">
            <v>X</v>
          </cell>
          <cell r="O152"/>
          <cell r="P152" t="str">
            <v>1008X00664</v>
          </cell>
          <cell r="Q152" t="str">
            <v>OSK</v>
          </cell>
          <cell r="R152" t="str">
            <v>WHL</v>
          </cell>
          <cell r="S152"/>
          <cell r="T152">
            <v>43166</v>
          </cell>
          <cell r="U152">
            <v>202</v>
          </cell>
          <cell r="V152" t="str">
            <v xml:space="preserve">WAN HAI 266  N389  </v>
          </cell>
        </row>
        <row r="153">
          <cell r="B153" t="str">
            <v>V180350</v>
          </cell>
          <cell r="C153"/>
          <cell r="D153"/>
          <cell r="E153"/>
          <cell r="F153"/>
          <cell r="G153"/>
          <cell r="H153"/>
          <cell r="I153"/>
          <cell r="J153"/>
          <cell r="K153"/>
          <cell r="L153"/>
          <cell r="M153" t="str">
            <v>X</v>
          </cell>
          <cell r="N153" t="str">
            <v>X</v>
          </cell>
          <cell r="O153"/>
          <cell r="P153" t="str">
            <v>KMTCHPH0501937</v>
          </cell>
          <cell r="Q153" t="str">
            <v>SGM</v>
          </cell>
          <cell r="R153" t="str">
            <v>KMTC</v>
          </cell>
          <cell r="S153"/>
          <cell r="T153">
            <v>43168</v>
          </cell>
          <cell r="U153">
            <v>200</v>
          </cell>
          <cell r="V153" t="str">
            <v>TRIDENT 1805N</v>
          </cell>
        </row>
        <row r="154">
          <cell r="B154" t="str">
            <v>V180353</v>
          </cell>
          <cell r="C154" t="str">
            <v>V180359</v>
          </cell>
          <cell r="D154" t="str">
            <v>V180360</v>
          </cell>
          <cell r="E154" t="str">
            <v>V180361</v>
          </cell>
          <cell r="F154"/>
          <cell r="G154"/>
          <cell r="H154"/>
          <cell r="I154"/>
          <cell r="J154"/>
          <cell r="K154"/>
          <cell r="L154"/>
          <cell r="M154" t="str">
            <v>X</v>
          </cell>
          <cell r="N154" t="str">
            <v>X</v>
          </cell>
          <cell r="O154"/>
          <cell r="P154" t="str">
            <v>1008X00665</v>
          </cell>
          <cell r="Q154" t="str">
            <v>TYO</v>
          </cell>
          <cell r="R154" t="str">
            <v>WHL</v>
          </cell>
          <cell r="S154"/>
          <cell r="T154">
            <v>43169</v>
          </cell>
          <cell r="U154">
            <v>199</v>
          </cell>
          <cell r="V154" t="str">
            <v>IAL 001 N312</v>
          </cell>
        </row>
        <row r="155">
          <cell r="B155" t="str">
            <v>V180357</v>
          </cell>
          <cell r="C155" t="str">
            <v>V180398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 t="str">
            <v>X</v>
          </cell>
          <cell r="N155" t="str">
            <v>X</v>
          </cell>
          <cell r="O155"/>
          <cell r="P155" t="str">
            <v>APLU 074553082</v>
          </cell>
          <cell r="Q155" t="str">
            <v>NAHA</v>
          </cell>
          <cell r="R155" t="str">
            <v>APL</v>
          </cell>
          <cell r="S155"/>
          <cell r="T155">
            <v>43175</v>
          </cell>
          <cell r="U155">
            <v>193</v>
          </cell>
          <cell r="V155" t="str">
            <v>SINAR BITUNG 008E</v>
          </cell>
        </row>
        <row r="156">
          <cell r="B156" t="str">
            <v>V180363</v>
          </cell>
          <cell r="C156"/>
          <cell r="D156"/>
          <cell r="E156"/>
          <cell r="F156"/>
          <cell r="G156"/>
          <cell r="H156"/>
          <cell r="I156"/>
          <cell r="J156"/>
          <cell r="K156"/>
          <cell r="L156"/>
          <cell r="M156" t="str">
            <v>X</v>
          </cell>
          <cell r="N156" t="str">
            <v>X</v>
          </cell>
          <cell r="O156"/>
          <cell r="P156" t="str">
            <v>1008X00662</v>
          </cell>
          <cell r="Q156" t="str">
            <v>NGO</v>
          </cell>
          <cell r="R156" t="str">
            <v>WHL</v>
          </cell>
          <cell r="S156"/>
          <cell r="T156">
            <v>43169</v>
          </cell>
          <cell r="U156">
            <v>199</v>
          </cell>
          <cell r="V156" t="str">
            <v xml:space="preserve"> IAL 001  N312  </v>
          </cell>
        </row>
        <row r="157">
          <cell r="B157" t="str">
            <v>V180364</v>
          </cell>
          <cell r="C157"/>
          <cell r="D157"/>
          <cell r="E157"/>
          <cell r="F157"/>
          <cell r="G157"/>
          <cell r="H157"/>
          <cell r="I157"/>
          <cell r="J157"/>
          <cell r="K157"/>
          <cell r="L157"/>
          <cell r="M157" t="str">
            <v>X</v>
          </cell>
          <cell r="N157" t="str">
            <v>X</v>
          </cell>
          <cell r="O157"/>
          <cell r="P157" t="str">
            <v>1008X00661</v>
          </cell>
          <cell r="Q157" t="str">
            <v>OSK</v>
          </cell>
          <cell r="R157" t="str">
            <v>WHL</v>
          </cell>
          <cell r="S157"/>
          <cell r="T157">
            <v>43169</v>
          </cell>
          <cell r="U157">
            <v>199</v>
          </cell>
          <cell r="V157" t="str">
            <v xml:space="preserve">IAL 001  N312  </v>
          </cell>
        </row>
        <row r="158">
          <cell r="B158" t="str">
            <v>V180366</v>
          </cell>
          <cell r="C158"/>
          <cell r="D158"/>
          <cell r="E158"/>
          <cell r="F158"/>
          <cell r="G158"/>
          <cell r="H158"/>
          <cell r="I158"/>
          <cell r="J158"/>
          <cell r="K158"/>
          <cell r="L158"/>
          <cell r="M158" t="str">
            <v>X</v>
          </cell>
          <cell r="N158" t="str">
            <v>X</v>
          </cell>
          <cell r="O158"/>
          <cell r="P158" t="str">
            <v>SNL8HPCL000318</v>
          </cell>
          <cell r="Q158" t="str">
            <v>SHA</v>
          </cell>
          <cell r="R158" t="str">
            <v>SNL</v>
          </cell>
          <cell r="S158"/>
          <cell r="T158">
            <v>43172</v>
          </cell>
          <cell r="U158">
            <v>196</v>
          </cell>
          <cell r="V158" t="str">
            <v>WISDOM GRACE 1809N</v>
          </cell>
        </row>
        <row r="159">
          <cell r="B159" t="str">
            <v>V180368</v>
          </cell>
          <cell r="C159" t="str">
            <v>V180370</v>
          </cell>
          <cell r="D159" t="str">
            <v>V180371</v>
          </cell>
          <cell r="E159" t="str">
            <v>V180375</v>
          </cell>
          <cell r="F159"/>
          <cell r="G159"/>
          <cell r="H159"/>
          <cell r="I159"/>
          <cell r="J159"/>
          <cell r="K159"/>
          <cell r="L159"/>
          <cell r="M159" t="str">
            <v>X</v>
          </cell>
          <cell r="N159" t="str">
            <v>X</v>
          </cell>
          <cell r="O159"/>
          <cell r="P159" t="str">
            <v>SITWHPTK158135</v>
          </cell>
          <cell r="Q159" t="str">
            <v>TYO</v>
          </cell>
          <cell r="R159" t="str">
            <v>SITC</v>
          </cell>
          <cell r="S159"/>
          <cell r="T159">
            <v>43171</v>
          </cell>
          <cell r="U159">
            <v>197</v>
          </cell>
          <cell r="V159" t="str">
            <v>REFLECTION 1809N</v>
          </cell>
        </row>
        <row r="160">
          <cell r="B160" t="str">
            <v>V180369</v>
          </cell>
          <cell r="C160" t="str">
            <v>V180373</v>
          </cell>
          <cell r="D160" t="str">
            <v>V180376</v>
          </cell>
          <cell r="E160"/>
          <cell r="F160"/>
          <cell r="G160"/>
          <cell r="H160"/>
          <cell r="I160"/>
          <cell r="J160"/>
          <cell r="K160"/>
          <cell r="L160"/>
          <cell r="M160" t="str">
            <v>X</v>
          </cell>
          <cell r="N160" t="str">
            <v>X</v>
          </cell>
          <cell r="O160"/>
          <cell r="P160" t="str">
            <v>SITWHPOS158171</v>
          </cell>
          <cell r="Q160" t="str">
            <v>OSK</v>
          </cell>
          <cell r="R160" t="str">
            <v>SITC</v>
          </cell>
          <cell r="S160"/>
          <cell r="T160">
            <v>43171</v>
          </cell>
          <cell r="U160">
            <v>197</v>
          </cell>
          <cell r="V160" t="str">
            <v>SITC YANTAI 1807N</v>
          </cell>
        </row>
        <row r="161">
          <cell r="B161" t="str">
            <v>V180374</v>
          </cell>
          <cell r="C161"/>
          <cell r="D161"/>
          <cell r="E161"/>
          <cell r="F161"/>
          <cell r="G161"/>
          <cell r="H161"/>
          <cell r="I161"/>
          <cell r="J161"/>
          <cell r="K161"/>
          <cell r="L161"/>
          <cell r="M161" t="str">
            <v>X</v>
          </cell>
          <cell r="N161" t="str">
            <v>X</v>
          </cell>
          <cell r="O161"/>
          <cell r="P161" t="str">
            <v>SITWHPHT158172</v>
          </cell>
          <cell r="Q161" t="str">
            <v>HKT</v>
          </cell>
          <cell r="R161" t="str">
            <v>SITC</v>
          </cell>
          <cell r="S161"/>
          <cell r="T161">
            <v>43171</v>
          </cell>
          <cell r="U161">
            <v>197</v>
          </cell>
          <cell r="V161" t="str">
            <v>SITC YANTAI 1807N</v>
          </cell>
        </row>
        <row r="162">
          <cell r="B162" t="str">
            <v>V180406</v>
          </cell>
          <cell r="C162"/>
          <cell r="D162"/>
          <cell r="E162"/>
          <cell r="F162"/>
          <cell r="G162"/>
          <cell r="H162"/>
          <cell r="I162"/>
          <cell r="J162"/>
          <cell r="K162"/>
          <cell r="L162"/>
          <cell r="M162" t="str">
            <v>X</v>
          </cell>
          <cell r="N162" t="str">
            <v>X</v>
          </cell>
          <cell r="O162"/>
          <cell r="P162" t="str">
            <v>1008A01239</v>
          </cell>
          <cell r="Q162" t="str">
            <v>TYO</v>
          </cell>
          <cell r="R162" t="str">
            <v>WHL</v>
          </cell>
          <cell r="S162"/>
          <cell r="T162">
            <v>43167</v>
          </cell>
          <cell r="U162">
            <v>201</v>
          </cell>
          <cell r="V162" t="str">
            <v>WAN HAI 171 S236</v>
          </cell>
        </row>
        <row r="163">
          <cell r="B163" t="str">
            <v>V180408</v>
          </cell>
          <cell r="C163"/>
          <cell r="D163"/>
          <cell r="E163"/>
          <cell r="F163"/>
          <cell r="G163"/>
          <cell r="H163"/>
          <cell r="I163"/>
          <cell r="J163"/>
          <cell r="K163"/>
          <cell r="L163"/>
          <cell r="M163" t="str">
            <v>X</v>
          </cell>
          <cell r="N163" t="str">
            <v>X</v>
          </cell>
          <cell r="O163"/>
          <cell r="P163" t="str">
            <v>1008X00859</v>
          </cell>
          <cell r="Q163" t="str">
            <v>OSK</v>
          </cell>
          <cell r="R163" t="str">
            <v>WHL</v>
          </cell>
          <cell r="S163"/>
          <cell r="T163">
            <v>43174</v>
          </cell>
          <cell r="U163">
            <v>194</v>
          </cell>
          <cell r="V163" t="str">
            <v xml:space="preserve">MOONCHILD  N019  </v>
          </cell>
        </row>
        <row r="164">
          <cell r="B164" t="str">
            <v>V180377</v>
          </cell>
          <cell r="C164" t="str">
            <v>V180380</v>
          </cell>
          <cell r="D164" t="str">
            <v>V180382</v>
          </cell>
          <cell r="M164" t="str">
            <v>X</v>
          </cell>
          <cell r="N164" t="str">
            <v>X</v>
          </cell>
          <cell r="O164"/>
          <cell r="P164" t="str">
            <v>OOLU2601321760</v>
          </cell>
          <cell r="Q164" t="str">
            <v>TYO</v>
          </cell>
          <cell r="R164" t="str">
            <v>OOCL</v>
          </cell>
          <cell r="S164"/>
          <cell r="T164">
            <v>43173</v>
          </cell>
          <cell r="U164">
            <v>195</v>
          </cell>
          <cell r="V164" t="str">
            <v>OLIVIA 103N</v>
          </cell>
        </row>
        <row r="165">
          <cell r="B165" t="str">
            <v>V180378</v>
          </cell>
          <cell r="C165" t="str">
            <v>V180381</v>
          </cell>
          <cell r="D165" t="str">
            <v>V180383</v>
          </cell>
          <cell r="E165" t="str">
            <v>V180389</v>
          </cell>
          <cell r="F165" t="str">
            <v>V180407</v>
          </cell>
          <cell r="G165"/>
          <cell r="H165"/>
          <cell r="I165"/>
          <cell r="J165"/>
          <cell r="K165"/>
          <cell r="L165"/>
          <cell r="M165" t="str">
            <v>X</v>
          </cell>
          <cell r="N165" t="str">
            <v>X</v>
          </cell>
          <cell r="O165"/>
          <cell r="P165" t="str">
            <v>SITWHPKW158139</v>
          </cell>
          <cell r="Q165" t="str">
            <v>KWS</v>
          </cell>
          <cell r="R165" t="str">
            <v>SITC</v>
          </cell>
          <cell r="S165"/>
          <cell r="T165">
            <v>43176</v>
          </cell>
          <cell r="U165">
            <v>192</v>
          </cell>
          <cell r="V165" t="str">
            <v>AVRA C 1809N</v>
          </cell>
        </row>
        <row r="166">
          <cell r="B166" t="str">
            <v>V180379</v>
          </cell>
          <cell r="C166" t="str">
            <v>V180384</v>
          </cell>
          <cell r="D166"/>
          <cell r="E166"/>
          <cell r="F166"/>
          <cell r="G166"/>
          <cell r="H166"/>
          <cell r="I166"/>
          <cell r="J166"/>
          <cell r="K166"/>
          <cell r="L166"/>
          <cell r="M166" t="str">
            <v>X</v>
          </cell>
          <cell r="N166" t="str">
            <v>X</v>
          </cell>
          <cell r="O166"/>
          <cell r="P166" t="str">
            <v>EGLV237800087226</v>
          </cell>
          <cell r="Q166" t="str">
            <v>OSK</v>
          </cell>
          <cell r="R166" t="str">
            <v>EGLV</v>
          </cell>
          <cell r="S166"/>
          <cell r="T166">
            <v>43174</v>
          </cell>
          <cell r="U166">
            <v>194</v>
          </cell>
          <cell r="V166" t="str">
            <v>MOONCHILD N019</v>
          </cell>
        </row>
        <row r="167">
          <cell r="B167" t="str">
            <v>V180385</v>
          </cell>
          <cell r="C167" t="str">
            <v>V180400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 t="str">
            <v>X</v>
          </cell>
          <cell r="N167" t="str">
            <v>X</v>
          </cell>
          <cell r="O167"/>
          <cell r="P167" t="str">
            <v>KMTCHPH0510295</v>
          </cell>
          <cell r="Q167" t="str">
            <v>ISH</v>
          </cell>
          <cell r="R167" t="str">
            <v>KMTC</v>
          </cell>
          <cell r="S167"/>
          <cell r="T167">
            <v>43178</v>
          </cell>
          <cell r="U167">
            <v>190</v>
          </cell>
          <cell r="V167" t="str">
            <v>SUNNY CANNA 1805N</v>
          </cell>
        </row>
        <row r="168">
          <cell r="B168" t="str">
            <v>V180386</v>
          </cell>
          <cell r="C168" t="str">
            <v>V180393</v>
          </cell>
          <cell r="D168" t="str">
            <v>V180401</v>
          </cell>
          <cell r="E168"/>
          <cell r="F168"/>
          <cell r="G168"/>
          <cell r="H168"/>
          <cell r="I168"/>
          <cell r="J168"/>
          <cell r="K168"/>
          <cell r="L168"/>
          <cell r="M168" t="str">
            <v>X</v>
          </cell>
          <cell r="N168" t="str">
            <v>X</v>
          </cell>
          <cell r="O168"/>
          <cell r="P168">
            <v>350810018727</v>
          </cell>
          <cell r="Q168" t="str">
            <v>TYO</v>
          </cell>
          <cell r="R168" t="str">
            <v>TSL</v>
          </cell>
          <cell r="S168"/>
          <cell r="T168">
            <v>43177</v>
          </cell>
          <cell r="U168">
            <v>191</v>
          </cell>
          <cell r="V168" t="str">
            <v>LANTAU BEE 18004N</v>
          </cell>
        </row>
        <row r="169">
          <cell r="B169" t="str">
            <v>V180387</v>
          </cell>
          <cell r="C169" t="str">
            <v>V180388</v>
          </cell>
          <cell r="D169" t="str">
            <v>V180394</v>
          </cell>
          <cell r="E169"/>
          <cell r="F169"/>
          <cell r="G169"/>
          <cell r="H169"/>
          <cell r="I169"/>
          <cell r="J169"/>
          <cell r="K169"/>
          <cell r="L169"/>
          <cell r="M169" t="str">
            <v>X</v>
          </cell>
          <cell r="N169" t="str">
            <v>X</v>
          </cell>
          <cell r="O169"/>
          <cell r="P169" t="str">
            <v>1008X00793</v>
          </cell>
          <cell r="Q169" t="str">
            <v>TYO</v>
          </cell>
          <cell r="R169" t="str">
            <v>WHL</v>
          </cell>
          <cell r="S169"/>
          <cell r="T169">
            <v>43174</v>
          </cell>
          <cell r="U169">
            <v>194</v>
          </cell>
          <cell r="V169" t="str">
            <v xml:space="preserve"> MOONCHILD  N019</v>
          </cell>
        </row>
        <row r="170">
          <cell r="B170" t="str">
            <v>V180390</v>
          </cell>
          <cell r="C170" t="str">
            <v>V180397</v>
          </cell>
          <cell r="D170" t="str">
            <v>V180404</v>
          </cell>
          <cell r="E170"/>
          <cell r="F170"/>
          <cell r="G170"/>
          <cell r="H170"/>
          <cell r="I170"/>
          <cell r="J170"/>
          <cell r="K170"/>
          <cell r="L170"/>
          <cell r="M170" t="str">
            <v>X</v>
          </cell>
          <cell r="N170" t="str">
            <v>X</v>
          </cell>
          <cell r="O170"/>
          <cell r="P170" t="str">
            <v>1008X00797</v>
          </cell>
          <cell r="Q170" t="str">
            <v>OSK</v>
          </cell>
          <cell r="R170" t="str">
            <v>WHL</v>
          </cell>
          <cell r="S170"/>
          <cell r="T170">
            <v>43177</v>
          </cell>
          <cell r="U170">
            <v>191</v>
          </cell>
          <cell r="V170" t="str">
            <v xml:space="preserve">IAL 001  N313   </v>
          </cell>
        </row>
        <row r="171">
          <cell r="B171" t="str">
            <v>V180391</v>
          </cell>
          <cell r="C171" t="str">
            <v>V180405</v>
          </cell>
          <cell r="D171"/>
          <cell r="E171"/>
          <cell r="F171"/>
          <cell r="G171"/>
          <cell r="H171"/>
          <cell r="I171"/>
          <cell r="J171"/>
          <cell r="K171"/>
          <cell r="L171"/>
          <cell r="M171" t="str">
            <v>X</v>
          </cell>
          <cell r="N171" t="str">
            <v>X</v>
          </cell>
          <cell r="O171"/>
          <cell r="P171" t="str">
            <v>1008X00808</v>
          </cell>
          <cell r="Q171" t="str">
            <v>HKT</v>
          </cell>
          <cell r="R171" t="str">
            <v>WHL</v>
          </cell>
          <cell r="S171"/>
          <cell r="T171">
            <v>43177</v>
          </cell>
          <cell r="U171">
            <v>191</v>
          </cell>
          <cell r="V171" t="str">
            <v xml:space="preserve"> IAL 001  N313    </v>
          </cell>
        </row>
        <row r="172">
          <cell r="B172" t="str">
            <v>V180392</v>
          </cell>
          <cell r="C172"/>
          <cell r="D172"/>
          <cell r="E172"/>
          <cell r="F172"/>
          <cell r="G172"/>
          <cell r="H172"/>
          <cell r="I172"/>
          <cell r="J172"/>
          <cell r="K172"/>
          <cell r="L172"/>
          <cell r="M172" t="str">
            <v>X</v>
          </cell>
          <cell r="N172" t="str">
            <v>X</v>
          </cell>
          <cell r="O172"/>
          <cell r="P172" t="str">
            <v>KMTCHPH0511240</v>
          </cell>
          <cell r="Q172" t="str">
            <v>SGM</v>
          </cell>
          <cell r="R172" t="str">
            <v>KMTC</v>
          </cell>
          <cell r="S172"/>
          <cell r="T172">
            <v>43177</v>
          </cell>
          <cell r="U172">
            <v>191</v>
          </cell>
          <cell r="V172" t="str">
            <v>SUNNY LOTUS 1805N</v>
          </cell>
        </row>
        <row r="173">
          <cell r="B173" t="str">
            <v>V180395</v>
          </cell>
          <cell r="C173" t="str">
            <v>V180403</v>
          </cell>
          <cell r="D173"/>
          <cell r="E173"/>
          <cell r="F173"/>
          <cell r="G173"/>
          <cell r="H173"/>
          <cell r="I173"/>
          <cell r="J173"/>
          <cell r="K173"/>
          <cell r="L173"/>
          <cell r="M173" t="str">
            <v>X</v>
          </cell>
          <cell r="N173" t="str">
            <v>X</v>
          </cell>
          <cell r="O173"/>
          <cell r="P173" t="str">
            <v>SITWHPKW158143</v>
          </cell>
          <cell r="Q173" t="str">
            <v>KWS</v>
          </cell>
          <cell r="R173" t="str">
            <v>SITC</v>
          </cell>
          <cell r="S173"/>
          <cell r="T173">
            <v>43176</v>
          </cell>
          <cell r="U173">
            <v>192</v>
          </cell>
          <cell r="V173" t="str">
            <v>AVRA C 1809N</v>
          </cell>
        </row>
        <row r="174">
          <cell r="B174" t="str">
            <v>V180396</v>
          </cell>
          <cell r="C174"/>
          <cell r="D174"/>
          <cell r="E174"/>
          <cell r="F174"/>
          <cell r="G174"/>
          <cell r="H174"/>
          <cell r="I174"/>
          <cell r="J174"/>
          <cell r="K174"/>
          <cell r="L174"/>
          <cell r="M174" t="str">
            <v>X</v>
          </cell>
          <cell r="N174" t="str">
            <v>X</v>
          </cell>
          <cell r="O174"/>
          <cell r="P174" t="str">
            <v>1008X00796</v>
          </cell>
          <cell r="Q174" t="str">
            <v>NGO</v>
          </cell>
          <cell r="R174" t="str">
            <v>WHL</v>
          </cell>
          <cell r="S174"/>
          <cell r="T174">
            <v>43177</v>
          </cell>
          <cell r="U174">
            <v>191</v>
          </cell>
          <cell r="V174" t="str">
            <v xml:space="preserve">IAL 001  N313   </v>
          </cell>
        </row>
        <row r="175">
          <cell r="B175" t="str">
            <v>V180399</v>
          </cell>
          <cell r="C175"/>
          <cell r="D175"/>
          <cell r="E175"/>
          <cell r="F175"/>
          <cell r="G175"/>
          <cell r="H175"/>
          <cell r="I175"/>
          <cell r="J175"/>
          <cell r="K175"/>
          <cell r="L175"/>
          <cell r="M175" t="str">
            <v>X</v>
          </cell>
          <cell r="N175" t="str">
            <v>X</v>
          </cell>
          <cell r="O175"/>
          <cell r="P175">
            <v>350810020188</v>
          </cell>
          <cell r="Q175" t="str">
            <v>TPE</v>
          </cell>
          <cell r="R175" t="str">
            <v>TSL</v>
          </cell>
          <cell r="S175"/>
          <cell r="T175">
            <v>43177</v>
          </cell>
          <cell r="U175">
            <v>191</v>
          </cell>
          <cell r="V175" t="str">
            <v>LANTAU BEE 18004N</v>
          </cell>
        </row>
        <row r="176">
          <cell r="B176" t="str">
            <v>V180402</v>
          </cell>
          <cell r="C176" t="str">
            <v>V180410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 t="str">
            <v>X</v>
          </cell>
          <cell r="N176" t="str">
            <v>X</v>
          </cell>
          <cell r="O176"/>
          <cell r="P176" t="str">
            <v>SITWHPTK158134</v>
          </cell>
          <cell r="Q176" t="str">
            <v>TYO</v>
          </cell>
          <cell r="R176" t="str">
            <v>SITC</v>
          </cell>
          <cell r="S176"/>
          <cell r="T176">
            <v>43176</v>
          </cell>
          <cell r="U176">
            <v>192</v>
          </cell>
          <cell r="V176" t="str">
            <v>AVRA C 1809N</v>
          </cell>
        </row>
        <row r="177">
          <cell r="B177" t="str">
            <v>V180409</v>
          </cell>
          <cell r="C177"/>
          <cell r="D177"/>
          <cell r="E177"/>
          <cell r="F177"/>
          <cell r="G177"/>
          <cell r="H177"/>
          <cell r="I177"/>
          <cell r="J177"/>
          <cell r="K177"/>
          <cell r="L177"/>
          <cell r="M177" t="str">
            <v>X</v>
          </cell>
          <cell r="N177" t="str">
            <v>X</v>
          </cell>
          <cell r="O177"/>
          <cell r="P177" t="str">
            <v>SITWHPTK159027</v>
          </cell>
          <cell r="Q177" t="str">
            <v>TYO</v>
          </cell>
          <cell r="R177" t="str">
            <v>SITC</v>
          </cell>
          <cell r="S177"/>
          <cell r="T177">
            <v>43177</v>
          </cell>
          <cell r="U177">
            <v>191</v>
          </cell>
          <cell r="V177" t="str">
            <v>SITC NAGOYA 1807N</v>
          </cell>
        </row>
        <row r="178">
          <cell r="B178" t="str">
            <v>V180411</v>
          </cell>
          <cell r="C178"/>
          <cell r="D178"/>
          <cell r="E178"/>
          <cell r="F178"/>
          <cell r="G178"/>
          <cell r="H178"/>
          <cell r="I178"/>
          <cell r="J178"/>
          <cell r="K178"/>
          <cell r="L178"/>
          <cell r="M178" t="str">
            <v>X</v>
          </cell>
          <cell r="N178" t="str">
            <v>X</v>
          </cell>
          <cell r="O178"/>
          <cell r="P178" t="str">
            <v>SITWHPKW159253</v>
          </cell>
          <cell r="Q178" t="str">
            <v>KWS</v>
          </cell>
          <cell r="R178" t="str">
            <v>SITC</v>
          </cell>
          <cell r="S178"/>
          <cell r="T178">
            <v>43177</v>
          </cell>
          <cell r="U178">
            <v>191</v>
          </cell>
          <cell r="V178" t="str">
            <v>SITC NAGOYA 1807N</v>
          </cell>
        </row>
        <row r="179">
          <cell r="B179" t="str">
            <v>V180412</v>
          </cell>
          <cell r="C179"/>
          <cell r="D179"/>
          <cell r="E179"/>
          <cell r="F179"/>
          <cell r="G179"/>
          <cell r="H179"/>
          <cell r="I179"/>
          <cell r="J179"/>
          <cell r="K179"/>
          <cell r="L179"/>
          <cell r="M179" t="str">
            <v>X</v>
          </cell>
          <cell r="N179" t="str">
            <v>X</v>
          </cell>
          <cell r="O179"/>
          <cell r="P179" t="str">
            <v>SITWHPOS159028</v>
          </cell>
          <cell r="Q179" t="str">
            <v>OSK</v>
          </cell>
          <cell r="R179" t="str">
            <v>SITC</v>
          </cell>
          <cell r="S179"/>
          <cell r="T179">
            <v>43178</v>
          </cell>
          <cell r="U179">
            <v>190</v>
          </cell>
          <cell r="V179" t="str">
            <v>SITC YOKKAICHI 1807N</v>
          </cell>
        </row>
        <row r="180">
          <cell r="B180" t="str">
            <v>V180413</v>
          </cell>
          <cell r="C180"/>
          <cell r="D180"/>
          <cell r="E180"/>
          <cell r="F180"/>
          <cell r="G180"/>
          <cell r="H180"/>
          <cell r="I180"/>
          <cell r="J180"/>
          <cell r="K180"/>
          <cell r="L180"/>
          <cell r="M180" t="str">
            <v>X</v>
          </cell>
          <cell r="N180" t="str">
            <v>X</v>
          </cell>
          <cell r="O180"/>
          <cell r="P180" t="str">
            <v>SITWHPHT159068</v>
          </cell>
          <cell r="Q180" t="str">
            <v>HKT</v>
          </cell>
          <cell r="R180" t="str">
            <v>SITC</v>
          </cell>
          <cell r="S180"/>
          <cell r="T180">
            <v>43178</v>
          </cell>
          <cell r="U180">
            <v>190</v>
          </cell>
          <cell r="V180" t="str">
            <v>SITC YOKKAICHI 1807N</v>
          </cell>
        </row>
        <row r="181">
          <cell r="B181" t="str">
            <v>V180414</v>
          </cell>
          <cell r="C181" t="str">
            <v>V180424</v>
          </cell>
          <cell r="M181" t="str">
            <v>X</v>
          </cell>
          <cell r="N181" t="str">
            <v>X</v>
          </cell>
          <cell r="O181"/>
          <cell r="P181" t="str">
            <v>OOLU2601635750</v>
          </cell>
          <cell r="Q181" t="str">
            <v>TYO</v>
          </cell>
          <cell r="R181" t="str">
            <v>OOCL</v>
          </cell>
          <cell r="S181"/>
          <cell r="T181">
            <v>43180</v>
          </cell>
          <cell r="U181">
            <v>188</v>
          </cell>
          <cell r="V181" t="str">
            <v>AS RICCARDA 101N</v>
          </cell>
        </row>
        <row r="182">
          <cell r="B182" t="str">
            <v>V180415</v>
          </cell>
          <cell r="C182" t="str">
            <v>V180417</v>
          </cell>
          <cell r="D182" t="str">
            <v>V180420</v>
          </cell>
          <cell r="E182" t="str">
            <v>V180426</v>
          </cell>
          <cell r="F182"/>
          <cell r="G182"/>
          <cell r="H182"/>
          <cell r="I182"/>
          <cell r="J182"/>
          <cell r="K182"/>
          <cell r="L182"/>
          <cell r="M182" t="str">
            <v>X</v>
          </cell>
          <cell r="N182" t="str">
            <v>X</v>
          </cell>
          <cell r="O182"/>
          <cell r="P182" t="str">
            <v>SITWHPKW158978</v>
          </cell>
          <cell r="Q182" t="str">
            <v>KWS</v>
          </cell>
          <cell r="R182" t="str">
            <v>SITC</v>
          </cell>
          <cell r="S182"/>
          <cell r="T182">
            <v>43181</v>
          </cell>
          <cell r="U182">
            <v>187</v>
          </cell>
          <cell r="V182" t="str">
            <v>HANSE ENERGY 1809N</v>
          </cell>
        </row>
        <row r="183">
          <cell r="B183" t="str">
            <v>V180416</v>
          </cell>
          <cell r="C183"/>
          <cell r="D183"/>
          <cell r="E183"/>
          <cell r="F183"/>
          <cell r="G183"/>
          <cell r="H183"/>
          <cell r="I183"/>
          <cell r="J183"/>
          <cell r="K183"/>
          <cell r="L183"/>
          <cell r="M183" t="str">
            <v>X</v>
          </cell>
          <cell r="N183" t="str">
            <v>X</v>
          </cell>
          <cell r="O183"/>
          <cell r="P183" t="str">
            <v>1008X00908</v>
          </cell>
          <cell r="Q183" t="str">
            <v>OSK</v>
          </cell>
          <cell r="R183" t="str">
            <v>WHL</v>
          </cell>
          <cell r="S183"/>
          <cell r="T183">
            <v>43181</v>
          </cell>
          <cell r="U183">
            <v>187</v>
          </cell>
          <cell r="V183" t="str">
            <v xml:space="preserve">WAN HAI 267  N263  </v>
          </cell>
        </row>
        <row r="184">
          <cell r="B184" t="str">
            <v>V180418</v>
          </cell>
          <cell r="C184" t="str">
            <v>V180421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 t="str">
            <v>X</v>
          </cell>
          <cell r="N184" t="str">
            <v>X</v>
          </cell>
          <cell r="O184"/>
          <cell r="P184" t="str">
            <v>EGLV237800091916</v>
          </cell>
          <cell r="Q184" t="str">
            <v>OSK</v>
          </cell>
          <cell r="R184" t="str">
            <v>EGLV</v>
          </cell>
          <cell r="S184"/>
          <cell r="T184">
            <v>43181</v>
          </cell>
          <cell r="U184">
            <v>187</v>
          </cell>
          <cell r="V184" t="str">
            <v>WAN HAI 267 N263</v>
          </cell>
        </row>
        <row r="185">
          <cell r="B185" t="str">
            <v>V180419</v>
          </cell>
          <cell r="C185" t="str">
            <v>V180432</v>
          </cell>
          <cell r="D185"/>
          <cell r="E185"/>
          <cell r="F185"/>
          <cell r="G185"/>
          <cell r="H185"/>
          <cell r="I185"/>
          <cell r="J185"/>
          <cell r="K185"/>
          <cell r="L185"/>
          <cell r="M185" t="str">
            <v>X</v>
          </cell>
          <cell r="N185" t="str">
            <v>X</v>
          </cell>
          <cell r="O185"/>
          <cell r="P185" t="str">
            <v>1008X00911</v>
          </cell>
          <cell r="Q185" t="str">
            <v>TYO</v>
          </cell>
          <cell r="R185" t="str">
            <v>WHL</v>
          </cell>
          <cell r="S185"/>
          <cell r="T185">
            <v>43181</v>
          </cell>
          <cell r="U185">
            <v>187</v>
          </cell>
          <cell r="V185" t="str">
            <v xml:space="preserve"> WAN HAI 267  N263 </v>
          </cell>
        </row>
        <row r="186">
          <cell r="B186" t="str">
            <v>V180422</v>
          </cell>
          <cell r="C186" t="str">
            <v>V180429</v>
          </cell>
          <cell r="D186" t="str">
            <v>V180442</v>
          </cell>
          <cell r="E186" t="str">
            <v>V180447</v>
          </cell>
          <cell r="F186"/>
          <cell r="G186"/>
          <cell r="H186"/>
          <cell r="I186"/>
          <cell r="J186"/>
          <cell r="K186"/>
          <cell r="L186"/>
          <cell r="M186" t="str">
            <v>X</v>
          </cell>
          <cell r="N186" t="str">
            <v>X</v>
          </cell>
          <cell r="O186"/>
          <cell r="P186" t="str">
            <v>SITWHPHT159029</v>
          </cell>
          <cell r="Q186" t="str">
            <v>HKT</v>
          </cell>
          <cell r="R186" t="str">
            <v>SITC</v>
          </cell>
          <cell r="S186"/>
          <cell r="T186">
            <v>43186</v>
          </cell>
          <cell r="U186">
            <v>182</v>
          </cell>
          <cell r="V186" t="str">
            <v>SITC OSAKA 1809N</v>
          </cell>
        </row>
        <row r="187">
          <cell r="B187" t="str">
            <v>V180423</v>
          </cell>
          <cell r="C187" t="str">
            <v>V180437</v>
          </cell>
          <cell r="D187"/>
          <cell r="E187"/>
          <cell r="F187"/>
          <cell r="G187"/>
          <cell r="H187"/>
          <cell r="I187"/>
          <cell r="J187"/>
          <cell r="K187"/>
          <cell r="L187"/>
          <cell r="M187" t="str">
            <v>X</v>
          </cell>
          <cell r="N187" t="str">
            <v>X</v>
          </cell>
          <cell r="O187"/>
          <cell r="P187" t="str">
            <v>KMTCHPH0519650</v>
          </cell>
          <cell r="Q187" t="str">
            <v>ISH</v>
          </cell>
          <cell r="R187" t="str">
            <v>KMTC</v>
          </cell>
          <cell r="S187"/>
          <cell r="T187">
            <v>43185</v>
          </cell>
          <cell r="U187">
            <v>183</v>
          </cell>
          <cell r="V187" t="str">
            <v>HONGKONG VOYAGER 0071N</v>
          </cell>
        </row>
        <row r="188">
          <cell r="B188" t="str">
            <v>V180425</v>
          </cell>
          <cell r="C188"/>
          <cell r="D188"/>
          <cell r="E188"/>
          <cell r="F188"/>
          <cell r="G188"/>
          <cell r="H188"/>
          <cell r="I188"/>
          <cell r="J188"/>
          <cell r="K188"/>
          <cell r="L188"/>
          <cell r="M188" t="str">
            <v>X</v>
          </cell>
          <cell r="N188" t="str">
            <v>X</v>
          </cell>
          <cell r="O188"/>
          <cell r="P188" t="str">
            <v>1008X00912</v>
          </cell>
          <cell r="Q188" t="str">
            <v>TYO</v>
          </cell>
          <cell r="R188" t="str">
            <v>WHL</v>
          </cell>
          <cell r="S188"/>
          <cell r="T188">
            <v>43183</v>
          </cell>
          <cell r="U188">
            <v>185</v>
          </cell>
          <cell r="V188" t="str">
            <v xml:space="preserve"> IAL 001  N314    </v>
          </cell>
        </row>
        <row r="189">
          <cell r="B189" t="str">
            <v>V180427</v>
          </cell>
          <cell r="C189"/>
          <cell r="D189"/>
          <cell r="E189"/>
          <cell r="F189"/>
          <cell r="G189"/>
          <cell r="H189"/>
          <cell r="I189"/>
          <cell r="J189"/>
          <cell r="K189"/>
          <cell r="L189"/>
          <cell r="M189" t="str">
            <v>X</v>
          </cell>
          <cell r="N189" t="str">
            <v>X</v>
          </cell>
          <cell r="O189"/>
          <cell r="P189" t="str">
            <v>1008X00914</v>
          </cell>
          <cell r="Q189" t="str">
            <v>NGO</v>
          </cell>
          <cell r="R189" t="str">
            <v>WHL</v>
          </cell>
          <cell r="S189"/>
          <cell r="T189">
            <v>43181</v>
          </cell>
          <cell r="U189">
            <v>187</v>
          </cell>
          <cell r="V189" t="str">
            <v xml:space="preserve">WAN HAI 171  S237 </v>
          </cell>
        </row>
        <row r="190">
          <cell r="B190" t="str">
            <v>V180428</v>
          </cell>
          <cell r="C190" t="str">
            <v>V180434</v>
          </cell>
          <cell r="D190" t="str">
            <v>V180441</v>
          </cell>
          <cell r="E190"/>
          <cell r="F190"/>
          <cell r="G190"/>
          <cell r="H190"/>
          <cell r="I190"/>
          <cell r="J190"/>
          <cell r="K190"/>
          <cell r="L190"/>
          <cell r="M190" t="str">
            <v>X</v>
          </cell>
          <cell r="N190" t="str">
            <v>X</v>
          </cell>
          <cell r="O190"/>
          <cell r="P190" t="str">
            <v>1008X00915</v>
          </cell>
          <cell r="Q190" t="str">
            <v>OSK</v>
          </cell>
          <cell r="R190" t="str">
            <v>WHL</v>
          </cell>
          <cell r="S190"/>
          <cell r="T190">
            <v>43183</v>
          </cell>
          <cell r="U190">
            <v>185</v>
          </cell>
          <cell r="V190" t="str">
            <v xml:space="preserve">IAL 001  N314  </v>
          </cell>
        </row>
        <row r="191">
          <cell r="B191" t="str">
            <v>V180430</v>
          </cell>
          <cell r="C191"/>
          <cell r="D191"/>
          <cell r="E191"/>
          <cell r="F191"/>
          <cell r="G191"/>
          <cell r="H191"/>
          <cell r="I191"/>
          <cell r="J191"/>
          <cell r="K191"/>
          <cell r="L191"/>
          <cell r="M191" t="str">
            <v>X</v>
          </cell>
          <cell r="N191" t="str">
            <v>X</v>
          </cell>
          <cell r="O191"/>
          <cell r="P191" t="str">
            <v>KMTCHPH0513480</v>
          </cell>
          <cell r="Q191" t="str">
            <v>SGM</v>
          </cell>
          <cell r="R191" t="str">
            <v>KMTC</v>
          </cell>
          <cell r="S191"/>
          <cell r="T191">
            <v>43185</v>
          </cell>
          <cell r="U191">
            <v>183</v>
          </cell>
          <cell r="V191" t="str">
            <v>HONGKONG VOYAGER 0071N</v>
          </cell>
        </row>
        <row r="192">
          <cell r="B192" t="str">
            <v>V180431</v>
          </cell>
          <cell r="C192"/>
          <cell r="D192"/>
          <cell r="E192"/>
          <cell r="F192"/>
          <cell r="G192"/>
          <cell r="H192"/>
          <cell r="I192"/>
          <cell r="J192"/>
          <cell r="K192"/>
          <cell r="L192"/>
          <cell r="M192" t="str">
            <v>X</v>
          </cell>
          <cell r="N192" t="str">
            <v>X</v>
          </cell>
          <cell r="O192"/>
          <cell r="P192">
            <v>350810020812</v>
          </cell>
          <cell r="Q192" t="str">
            <v>TYO</v>
          </cell>
          <cell r="R192" t="str">
            <v>TSL</v>
          </cell>
          <cell r="S192"/>
          <cell r="T192">
            <v>43184</v>
          </cell>
          <cell r="U192">
            <v>184</v>
          </cell>
          <cell r="V192" t="str">
            <v>LANTAU BRIDE 18007N</v>
          </cell>
        </row>
        <row r="193">
          <cell r="B193" t="str">
            <v>V180433</v>
          </cell>
          <cell r="C193" t="str">
            <v>V180440</v>
          </cell>
          <cell r="D193" t="str">
            <v>V180445</v>
          </cell>
          <cell r="E193"/>
          <cell r="F193"/>
          <cell r="G193"/>
          <cell r="H193"/>
          <cell r="I193"/>
          <cell r="J193"/>
          <cell r="K193"/>
          <cell r="L193"/>
          <cell r="M193" t="str">
            <v>X</v>
          </cell>
          <cell r="N193" t="str">
            <v>X</v>
          </cell>
          <cell r="O193"/>
          <cell r="P193" t="str">
            <v>SITWHPKW159025</v>
          </cell>
          <cell r="Q193" t="str">
            <v>KWS</v>
          </cell>
          <cell r="R193" t="str">
            <v>SITC</v>
          </cell>
          <cell r="S193"/>
          <cell r="T193">
            <v>43185</v>
          </cell>
          <cell r="U193">
            <v>183</v>
          </cell>
          <cell r="V193" t="str">
            <v>SITC KAOHSIUNG 1809N</v>
          </cell>
        </row>
        <row r="194">
          <cell r="B194" t="str">
            <v>V180435</v>
          </cell>
          <cell r="C194"/>
          <cell r="D194"/>
          <cell r="E194"/>
          <cell r="F194"/>
          <cell r="G194"/>
          <cell r="H194"/>
          <cell r="I194"/>
          <cell r="J194"/>
          <cell r="K194"/>
          <cell r="L194"/>
          <cell r="M194" t="str">
            <v>X</v>
          </cell>
          <cell r="N194" t="str">
            <v>X</v>
          </cell>
          <cell r="O194"/>
          <cell r="P194">
            <v>350810023608</v>
          </cell>
          <cell r="Q194" t="str">
            <v>TPE</v>
          </cell>
          <cell r="R194" t="str">
            <v>TSL</v>
          </cell>
          <cell r="S194"/>
          <cell r="T194">
            <v>43184</v>
          </cell>
          <cell r="U194">
            <v>184</v>
          </cell>
          <cell r="V194" t="str">
            <v>LANTAU BRIDE 18007N</v>
          </cell>
        </row>
        <row r="195">
          <cell r="B195" t="str">
            <v>V180436</v>
          </cell>
          <cell r="C195"/>
          <cell r="D195"/>
          <cell r="E195"/>
          <cell r="F195"/>
          <cell r="G195"/>
          <cell r="H195"/>
          <cell r="I195"/>
          <cell r="J195"/>
          <cell r="K195"/>
          <cell r="L195"/>
          <cell r="M195" t="str">
            <v>X</v>
          </cell>
          <cell r="N195" t="str">
            <v>X</v>
          </cell>
          <cell r="O195"/>
          <cell r="P195" t="str">
            <v>SNL8HPCL000359</v>
          </cell>
          <cell r="Q195" t="str">
            <v>SHA</v>
          </cell>
          <cell r="R195" t="str">
            <v>SNL</v>
          </cell>
          <cell r="S195"/>
          <cell r="T195">
            <v>43179</v>
          </cell>
          <cell r="U195">
            <v>189</v>
          </cell>
          <cell r="V195" t="str">
            <v>KUO LUNG 1810N</v>
          </cell>
        </row>
        <row r="196">
          <cell r="B196" t="str">
            <v>V180438</v>
          </cell>
          <cell r="C196" t="str">
            <v>V180439</v>
          </cell>
          <cell r="D196" t="str">
            <v>V180444</v>
          </cell>
          <cell r="E196" t="str">
            <v>V180481</v>
          </cell>
          <cell r="F196"/>
          <cell r="G196"/>
          <cell r="H196"/>
          <cell r="I196"/>
          <cell r="J196"/>
          <cell r="K196"/>
          <cell r="L196"/>
          <cell r="M196" t="str">
            <v>X</v>
          </cell>
          <cell r="N196" t="str">
            <v>X</v>
          </cell>
          <cell r="O196"/>
          <cell r="P196" t="str">
            <v>SITWHPTK159026</v>
          </cell>
          <cell r="Q196" t="str">
            <v>TYO</v>
          </cell>
          <cell r="R196" t="str">
            <v>SITC</v>
          </cell>
          <cell r="S196"/>
          <cell r="T196">
            <v>43185</v>
          </cell>
          <cell r="U196">
            <v>183</v>
          </cell>
          <cell r="V196" t="str">
            <v>SITC KAOHSIUNG 1809N</v>
          </cell>
        </row>
        <row r="197">
          <cell r="B197" t="str">
            <v>V180443</v>
          </cell>
          <cell r="C197"/>
          <cell r="D197"/>
          <cell r="E197"/>
          <cell r="F197"/>
          <cell r="G197"/>
          <cell r="H197"/>
          <cell r="I197"/>
          <cell r="J197"/>
          <cell r="K197"/>
          <cell r="L197"/>
          <cell r="M197" t="str">
            <v>X</v>
          </cell>
          <cell r="N197" t="str">
            <v>X</v>
          </cell>
          <cell r="O197"/>
          <cell r="P197" t="str">
            <v>APLU074553481</v>
          </cell>
          <cell r="Q197" t="str">
            <v>NAHA</v>
          </cell>
          <cell r="R197" t="str">
            <v>APL</v>
          </cell>
          <cell r="S197"/>
          <cell r="T197">
            <v>43182</v>
          </cell>
          <cell r="U197">
            <v>186</v>
          </cell>
          <cell r="V197" t="str">
            <v>ASIATIC DAWN 033E</v>
          </cell>
        </row>
        <row r="198">
          <cell r="B198" t="str">
            <v>V180446</v>
          </cell>
          <cell r="C198"/>
          <cell r="D198"/>
          <cell r="E198"/>
          <cell r="F198"/>
          <cell r="G198"/>
          <cell r="H198"/>
          <cell r="I198"/>
          <cell r="J198"/>
          <cell r="K198"/>
          <cell r="L198"/>
          <cell r="M198" t="str">
            <v>X</v>
          </cell>
          <cell r="N198" t="str">
            <v>X</v>
          </cell>
          <cell r="O198"/>
          <cell r="P198" t="str">
            <v>SITWHPOS159762</v>
          </cell>
          <cell r="Q198" t="str">
            <v>OSK</v>
          </cell>
          <cell r="R198" t="str">
            <v>SITC</v>
          </cell>
          <cell r="S198"/>
          <cell r="T198">
            <v>43186</v>
          </cell>
          <cell r="U198">
            <v>182</v>
          </cell>
          <cell r="V198" t="str">
            <v>SITC OSAKA 1809N</v>
          </cell>
        </row>
        <row r="199">
          <cell r="B199" t="str">
            <v>V180448</v>
          </cell>
          <cell r="C199" t="str">
            <v>V180461</v>
          </cell>
          <cell r="D199" t="str">
            <v>V180470</v>
          </cell>
          <cell r="M199" t="str">
            <v>X</v>
          </cell>
          <cell r="N199" t="str">
            <v>X</v>
          </cell>
          <cell r="O199"/>
          <cell r="P199" t="str">
            <v xml:space="preserve"> OOLU2601998100</v>
          </cell>
          <cell r="Q199" t="str">
            <v>TYO</v>
          </cell>
          <cell r="R199" t="str">
            <v>OOCL</v>
          </cell>
          <cell r="S199"/>
          <cell r="T199">
            <v>43187</v>
          </cell>
          <cell r="U199">
            <v>181</v>
          </cell>
          <cell r="V199" t="str">
            <v>SAN LORENZO 110N</v>
          </cell>
        </row>
        <row r="200">
          <cell r="B200" t="str">
            <v>V180449</v>
          </cell>
          <cell r="C200" t="str">
            <v>V180452</v>
          </cell>
          <cell r="D200" t="str">
            <v>V180453</v>
          </cell>
          <cell r="E200" t="str">
            <v>V180457</v>
          </cell>
          <cell r="F200" t="str">
            <v>V180462</v>
          </cell>
          <cell r="G200" t="str">
            <v>V180472</v>
          </cell>
          <cell r="H200"/>
          <cell r="I200"/>
          <cell r="J200"/>
          <cell r="K200"/>
          <cell r="L200"/>
          <cell r="M200" t="str">
            <v>X</v>
          </cell>
          <cell r="N200" t="str">
            <v>X</v>
          </cell>
          <cell r="O200"/>
          <cell r="P200" t="str">
            <v>SITWHPKW159569</v>
          </cell>
          <cell r="Q200" t="str">
            <v>KWS</v>
          </cell>
          <cell r="R200" t="str">
            <v>SITC</v>
          </cell>
          <cell r="S200"/>
          <cell r="T200">
            <v>43191</v>
          </cell>
          <cell r="U200">
            <v>177</v>
          </cell>
          <cell r="V200" t="str">
            <v>SITC TIANJIN 1809N</v>
          </cell>
        </row>
        <row r="201">
          <cell r="B201" t="str">
            <v>V180450</v>
          </cell>
          <cell r="C201" t="str">
            <v>V180455</v>
          </cell>
          <cell r="D201" t="str">
            <v>V180459</v>
          </cell>
          <cell r="E201" t="str">
            <v>V180468</v>
          </cell>
          <cell r="F201" t="str">
            <v>V180479</v>
          </cell>
          <cell r="G201"/>
          <cell r="H201"/>
          <cell r="I201"/>
          <cell r="J201"/>
          <cell r="K201"/>
          <cell r="L201"/>
          <cell r="M201" t="str">
            <v>X</v>
          </cell>
          <cell r="N201" t="str">
            <v>X</v>
          </cell>
          <cell r="O201"/>
          <cell r="P201" t="str">
            <v>1008X01026</v>
          </cell>
          <cell r="Q201" t="str">
            <v>OSK</v>
          </cell>
          <cell r="R201" t="str">
            <v>WHL</v>
          </cell>
          <cell r="S201"/>
          <cell r="T201">
            <v>43190</v>
          </cell>
          <cell r="U201">
            <v>178</v>
          </cell>
          <cell r="V201" t="str">
            <v xml:space="preserve">WAN HAI 282  N064 </v>
          </cell>
        </row>
        <row r="202">
          <cell r="B202" t="str">
            <v>V180451</v>
          </cell>
          <cell r="C202" t="str">
            <v>V180476</v>
          </cell>
          <cell r="D202"/>
          <cell r="E202"/>
          <cell r="F202"/>
          <cell r="G202"/>
          <cell r="H202"/>
          <cell r="I202"/>
          <cell r="J202"/>
          <cell r="K202"/>
          <cell r="L202"/>
          <cell r="M202" t="str">
            <v>X</v>
          </cell>
          <cell r="N202" t="str">
            <v>X</v>
          </cell>
          <cell r="O202"/>
          <cell r="P202" t="str">
            <v>KMTCHPH0518852</v>
          </cell>
          <cell r="Q202" t="str">
            <v>ISH</v>
          </cell>
          <cell r="R202" t="str">
            <v>KMTC</v>
          </cell>
          <cell r="S202"/>
          <cell r="T202">
            <v>43191</v>
          </cell>
          <cell r="U202">
            <v>177</v>
          </cell>
          <cell r="V202" t="str">
            <v>SUNNY LOTUS 1806N</v>
          </cell>
        </row>
        <row r="203">
          <cell r="B203" t="str">
            <v>V180454</v>
          </cell>
          <cell r="C203" t="str">
            <v>V180456</v>
          </cell>
          <cell r="D203" t="str">
            <v>V180458</v>
          </cell>
          <cell r="E203" t="str">
            <v>V180473</v>
          </cell>
          <cell r="F203"/>
          <cell r="G203"/>
          <cell r="H203"/>
          <cell r="I203"/>
          <cell r="J203"/>
          <cell r="K203"/>
          <cell r="L203"/>
          <cell r="M203" t="str">
            <v>X</v>
          </cell>
          <cell r="N203" t="str">
            <v>X</v>
          </cell>
          <cell r="O203"/>
          <cell r="P203" t="str">
            <v>SITWHPOS159570</v>
          </cell>
          <cell r="Q203" t="str">
            <v>OSK</v>
          </cell>
          <cell r="R203" t="str">
            <v>SITC</v>
          </cell>
          <cell r="S203"/>
          <cell r="T203">
            <v>43194</v>
          </cell>
          <cell r="U203">
            <v>174</v>
          </cell>
          <cell r="V203" t="str">
            <v>SITC WEIHAI 1809N</v>
          </cell>
        </row>
        <row r="204">
          <cell r="B204" t="str">
            <v>V180460</v>
          </cell>
          <cell r="C204" t="str">
            <v>V180469</v>
          </cell>
          <cell r="D204" t="str">
            <v>V180480</v>
          </cell>
          <cell r="E204"/>
          <cell r="F204"/>
          <cell r="G204"/>
          <cell r="H204"/>
          <cell r="I204"/>
          <cell r="J204"/>
          <cell r="K204"/>
          <cell r="L204"/>
          <cell r="M204" t="str">
            <v>X</v>
          </cell>
          <cell r="N204" t="str">
            <v>X</v>
          </cell>
          <cell r="O204"/>
          <cell r="P204" t="str">
            <v>1008X01024</v>
          </cell>
          <cell r="Q204" t="str">
            <v>HKT</v>
          </cell>
          <cell r="R204" t="str">
            <v>WHL</v>
          </cell>
          <cell r="S204"/>
          <cell r="T204">
            <v>43190</v>
          </cell>
          <cell r="U204">
            <v>178</v>
          </cell>
          <cell r="V204" t="str">
            <v xml:space="preserve"> IAL 001  N315  </v>
          </cell>
        </row>
        <row r="205">
          <cell r="B205" t="str">
            <v>V180463</v>
          </cell>
          <cell r="C205"/>
          <cell r="D205"/>
          <cell r="E205"/>
          <cell r="F205"/>
          <cell r="G205"/>
          <cell r="H205"/>
          <cell r="I205"/>
          <cell r="J205"/>
          <cell r="K205"/>
          <cell r="L205"/>
          <cell r="M205" t="str">
            <v>X</v>
          </cell>
          <cell r="N205" t="str">
            <v>X</v>
          </cell>
          <cell r="O205"/>
          <cell r="P205" t="str">
            <v>EGLV237800097965</v>
          </cell>
          <cell r="Q205" t="str">
            <v>OSK</v>
          </cell>
          <cell r="R205" t="str">
            <v>EGLV</v>
          </cell>
          <cell r="S205"/>
          <cell r="T205">
            <v>43187</v>
          </cell>
          <cell r="U205">
            <v>181</v>
          </cell>
          <cell r="V205" t="str">
            <v>UNI-ACCORD 0555-544N</v>
          </cell>
        </row>
        <row r="206">
          <cell r="B206" t="str">
            <v>V180464</v>
          </cell>
          <cell r="C206" t="str">
            <v>V180471</v>
          </cell>
          <cell r="D206" t="str">
            <v>V180477</v>
          </cell>
          <cell r="E206"/>
          <cell r="F206"/>
          <cell r="G206"/>
          <cell r="H206"/>
          <cell r="I206"/>
          <cell r="J206"/>
          <cell r="K206"/>
          <cell r="L206"/>
          <cell r="M206" t="str">
            <v>X</v>
          </cell>
          <cell r="N206" t="str">
            <v>X</v>
          </cell>
          <cell r="O206"/>
          <cell r="P206" t="str">
            <v>1008X01033</v>
          </cell>
          <cell r="Q206" t="str">
            <v>TYO</v>
          </cell>
          <cell r="R206" t="str">
            <v>WHL</v>
          </cell>
          <cell r="S206"/>
          <cell r="T206">
            <v>43190</v>
          </cell>
          <cell r="U206">
            <v>178</v>
          </cell>
          <cell r="V206" t="str">
            <v xml:space="preserve">IAL 001 N315  </v>
          </cell>
        </row>
        <row r="207">
          <cell r="B207" t="str">
            <v>V180465</v>
          </cell>
          <cell r="C207"/>
          <cell r="D207"/>
          <cell r="E207"/>
          <cell r="F207"/>
          <cell r="G207"/>
          <cell r="H207"/>
          <cell r="I207"/>
          <cell r="J207"/>
          <cell r="K207"/>
          <cell r="L207"/>
          <cell r="M207" t="str">
            <v>X</v>
          </cell>
          <cell r="N207" t="str">
            <v>X</v>
          </cell>
          <cell r="O207"/>
          <cell r="P207" t="str">
            <v>1008X01028</v>
          </cell>
          <cell r="Q207" t="str">
            <v>TYO</v>
          </cell>
          <cell r="R207" t="str">
            <v>WHL</v>
          </cell>
          <cell r="S207"/>
          <cell r="T207">
            <v>43188</v>
          </cell>
          <cell r="U207">
            <v>180</v>
          </cell>
          <cell r="V207" t="str">
            <v xml:space="preserve">WAN HAI 266 N390 </v>
          </cell>
        </row>
        <row r="208">
          <cell r="B208" t="str">
            <v>V180466</v>
          </cell>
          <cell r="C208" t="str">
            <v>V180478</v>
          </cell>
          <cell r="D208" t="str">
            <v>V180485</v>
          </cell>
          <cell r="E208"/>
          <cell r="F208"/>
          <cell r="G208"/>
          <cell r="H208"/>
          <cell r="I208"/>
          <cell r="J208"/>
          <cell r="K208"/>
          <cell r="L208"/>
          <cell r="M208" t="str">
            <v>X</v>
          </cell>
          <cell r="N208" t="str">
            <v>X</v>
          </cell>
          <cell r="O208"/>
          <cell r="P208" t="str">
            <v>SITWHPKW159760</v>
          </cell>
          <cell r="Q208" t="str">
            <v>KWS</v>
          </cell>
          <cell r="R208" t="str">
            <v>SITC</v>
          </cell>
          <cell r="S208"/>
          <cell r="T208">
            <v>43192</v>
          </cell>
          <cell r="U208">
            <v>176</v>
          </cell>
          <cell r="V208" t="str">
            <v>REFLECTION 1811N</v>
          </cell>
        </row>
        <row r="209">
          <cell r="B209" t="str">
            <v>V180467</v>
          </cell>
          <cell r="C209"/>
          <cell r="D209"/>
          <cell r="E209"/>
          <cell r="F209"/>
          <cell r="G209"/>
          <cell r="H209"/>
          <cell r="I209"/>
          <cell r="J209"/>
          <cell r="K209"/>
          <cell r="L209"/>
          <cell r="M209" t="str">
            <v>X</v>
          </cell>
          <cell r="N209" t="str">
            <v>X</v>
          </cell>
          <cell r="O209"/>
          <cell r="P209" t="str">
            <v>1008X01022</v>
          </cell>
          <cell r="Q209" t="str">
            <v>NGO</v>
          </cell>
          <cell r="R209" t="str">
            <v>WHL</v>
          </cell>
          <cell r="S209"/>
          <cell r="T209">
            <v>43189</v>
          </cell>
          <cell r="U209">
            <v>179</v>
          </cell>
          <cell r="V209" t="str">
            <v xml:space="preserve">WAN HAI 172  S288  </v>
          </cell>
        </row>
        <row r="210">
          <cell r="B210" t="str">
            <v>V180474</v>
          </cell>
          <cell r="C210"/>
          <cell r="D210"/>
          <cell r="E210"/>
          <cell r="F210"/>
          <cell r="G210"/>
          <cell r="H210"/>
          <cell r="I210"/>
          <cell r="J210"/>
          <cell r="K210"/>
          <cell r="L210"/>
          <cell r="M210" t="str">
            <v>X</v>
          </cell>
          <cell r="N210" t="str">
            <v>X</v>
          </cell>
          <cell r="O210"/>
          <cell r="P210">
            <v>350810027637</v>
          </cell>
          <cell r="Q210" t="str">
            <v>TPE</v>
          </cell>
          <cell r="R210" t="str">
            <v>TSL</v>
          </cell>
          <cell r="S210"/>
          <cell r="T210">
            <v>43191</v>
          </cell>
          <cell r="U210">
            <v>177</v>
          </cell>
          <cell r="V210" t="str">
            <v>HANSE ENDURANCE 18006N</v>
          </cell>
        </row>
        <row r="211">
          <cell r="B211" t="str">
            <v>V180475</v>
          </cell>
          <cell r="C211"/>
          <cell r="D211"/>
          <cell r="E211"/>
          <cell r="F211"/>
          <cell r="G211"/>
          <cell r="H211"/>
          <cell r="I211"/>
          <cell r="J211"/>
          <cell r="K211"/>
          <cell r="L211"/>
          <cell r="M211" t="str">
            <v>X</v>
          </cell>
          <cell r="N211" t="str">
            <v>X</v>
          </cell>
          <cell r="O211"/>
          <cell r="P211" t="str">
            <v>SNL8HPCL000395</v>
          </cell>
          <cell r="Q211" t="str">
            <v>SHA</v>
          </cell>
          <cell r="R211" t="str">
            <v>SNL</v>
          </cell>
          <cell r="S211"/>
          <cell r="T211">
            <v>43186</v>
          </cell>
          <cell r="U211">
            <v>182</v>
          </cell>
          <cell r="V211" t="str">
            <v>WISDOM GRACE 1811N</v>
          </cell>
        </row>
        <row r="212">
          <cell r="B212" t="str">
            <v>V180482</v>
          </cell>
          <cell r="C212"/>
          <cell r="D212"/>
          <cell r="E212"/>
          <cell r="F212"/>
          <cell r="G212"/>
          <cell r="H212"/>
          <cell r="I212"/>
          <cell r="J212"/>
          <cell r="K212"/>
          <cell r="L212"/>
          <cell r="M212" t="str">
            <v>X</v>
          </cell>
          <cell r="N212" t="str">
            <v>X</v>
          </cell>
          <cell r="O212"/>
          <cell r="P212" t="str">
            <v>SITWHPTK160750</v>
          </cell>
          <cell r="Q212" t="str">
            <v>TYO</v>
          </cell>
          <cell r="R212" t="str">
            <v>SITC</v>
          </cell>
          <cell r="S212"/>
          <cell r="T212">
            <v>43192</v>
          </cell>
          <cell r="U212">
            <v>176</v>
          </cell>
          <cell r="V212" t="str">
            <v>REFLECTION 1811N</v>
          </cell>
        </row>
        <row r="213">
          <cell r="B213" t="str">
            <v>V180483</v>
          </cell>
          <cell r="C213"/>
          <cell r="D213"/>
          <cell r="E213"/>
          <cell r="F213"/>
          <cell r="G213"/>
          <cell r="H213"/>
          <cell r="I213"/>
          <cell r="J213"/>
          <cell r="K213"/>
          <cell r="L213"/>
          <cell r="M213" t="str">
            <v>X</v>
          </cell>
          <cell r="N213" t="str">
            <v>X</v>
          </cell>
          <cell r="O213"/>
          <cell r="P213" t="str">
            <v>KMTCHPH0518987</v>
          </cell>
          <cell r="Q213" t="str">
            <v>ISH</v>
          </cell>
          <cell r="R213" t="str">
            <v>KMTC</v>
          </cell>
          <cell r="S213"/>
          <cell r="T213">
            <v>43192</v>
          </cell>
          <cell r="U213">
            <v>176</v>
          </cell>
          <cell r="V213" t="str">
            <v>SUNNY CANNA 1806N</v>
          </cell>
        </row>
        <row r="214">
          <cell r="B214" t="str">
            <v>V180486</v>
          </cell>
          <cell r="C214"/>
          <cell r="D214"/>
          <cell r="E214"/>
          <cell r="F214"/>
          <cell r="G214"/>
          <cell r="H214"/>
          <cell r="I214"/>
          <cell r="J214"/>
          <cell r="K214"/>
          <cell r="L214"/>
          <cell r="M214" t="str">
            <v>X</v>
          </cell>
          <cell r="N214" t="str">
            <v>X</v>
          </cell>
          <cell r="O214"/>
          <cell r="P214" t="str">
            <v>SITWHPOS160748</v>
          </cell>
          <cell r="Q214" t="str">
            <v>OSK</v>
          </cell>
          <cell r="R214" t="str">
            <v>SITC</v>
          </cell>
          <cell r="S214"/>
          <cell r="T214">
            <v>43194</v>
          </cell>
          <cell r="U214">
            <v>174</v>
          </cell>
          <cell r="V214" t="str">
            <v>SITC WEIHAI 1809N</v>
          </cell>
        </row>
        <row r="215">
          <cell r="B215" t="str">
            <v>V180487</v>
          </cell>
          <cell r="C215"/>
          <cell r="D215"/>
          <cell r="E215"/>
          <cell r="F215"/>
          <cell r="G215"/>
          <cell r="H215"/>
          <cell r="I215"/>
          <cell r="J215"/>
          <cell r="K215"/>
          <cell r="L215"/>
          <cell r="M215" t="str">
            <v>X</v>
          </cell>
          <cell r="N215" t="str">
            <v>X</v>
          </cell>
          <cell r="O215"/>
          <cell r="P215" t="str">
            <v>SITWHPHT160749</v>
          </cell>
          <cell r="Q215" t="str">
            <v>HKT</v>
          </cell>
          <cell r="R215" t="str">
            <v>SITC</v>
          </cell>
          <cell r="S215"/>
          <cell r="T215">
            <v>43194</v>
          </cell>
          <cell r="U215">
            <v>174</v>
          </cell>
          <cell r="V215" t="str">
            <v>SITC WEIHAI 1809N</v>
          </cell>
        </row>
        <row r="216">
          <cell r="B216" t="str">
            <v>V180488</v>
          </cell>
          <cell r="C216" t="str">
            <v>V180490</v>
          </cell>
          <cell r="D216" t="str">
            <v>V180495</v>
          </cell>
          <cell r="E216" t="str">
            <v>V180503</v>
          </cell>
          <cell r="F216" t="str">
            <v>V180507</v>
          </cell>
          <cell r="M216" t="str">
            <v>X</v>
          </cell>
          <cell r="N216" t="str">
            <v>X</v>
          </cell>
          <cell r="O216"/>
          <cell r="P216" t="str">
            <v>SITWHPKW160362</v>
          </cell>
          <cell r="Q216" t="str">
            <v>KWS</v>
          </cell>
          <cell r="R216" t="str">
            <v>SITC</v>
          </cell>
          <cell r="S216"/>
          <cell r="T216">
            <v>43195</v>
          </cell>
          <cell r="U216">
            <v>173</v>
          </cell>
          <cell r="V216" t="str">
            <v>SITC KOBE 1817N</v>
          </cell>
        </row>
        <row r="217">
          <cell r="B217" t="str">
            <v>V180489</v>
          </cell>
          <cell r="C217" t="str">
            <v>V180491</v>
          </cell>
          <cell r="D217"/>
          <cell r="E217"/>
          <cell r="F217"/>
          <cell r="G217"/>
          <cell r="H217"/>
          <cell r="I217"/>
          <cell r="J217"/>
          <cell r="K217"/>
          <cell r="L217"/>
          <cell r="M217" t="str">
            <v>X</v>
          </cell>
          <cell r="N217" t="str">
            <v>X</v>
          </cell>
          <cell r="O217"/>
          <cell r="P217" t="str">
            <v>1008X01140</v>
          </cell>
          <cell r="Q217" t="str">
            <v>OSK</v>
          </cell>
          <cell r="R217" t="str">
            <v>WHL</v>
          </cell>
          <cell r="S217"/>
          <cell r="T217">
            <v>43194</v>
          </cell>
          <cell r="U217">
            <v>174</v>
          </cell>
          <cell r="V217" t="str">
            <v xml:space="preserve">WHITE DRAGON N002 </v>
          </cell>
        </row>
        <row r="218">
          <cell r="B218" t="str">
            <v>V180492</v>
          </cell>
          <cell r="C218" t="str">
            <v>V180502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 t="str">
            <v>X</v>
          </cell>
          <cell r="N218" t="str">
            <v>X</v>
          </cell>
          <cell r="O218"/>
          <cell r="P218" t="str">
            <v>OOLU2602299520</v>
          </cell>
          <cell r="Q218" t="str">
            <v>TYO</v>
          </cell>
          <cell r="R218" t="str">
            <v>OOCL</v>
          </cell>
          <cell r="S218"/>
          <cell r="T218">
            <v>43196</v>
          </cell>
          <cell r="U218">
            <v>172</v>
          </cell>
          <cell r="V218" t="str">
            <v>OLIVIA 104N</v>
          </cell>
        </row>
        <row r="219">
          <cell r="B219" t="str">
            <v>V180493</v>
          </cell>
          <cell r="C219" t="str">
            <v>V180494</v>
          </cell>
          <cell r="D219" t="str">
            <v>V180506</v>
          </cell>
          <cell r="E219"/>
          <cell r="F219"/>
          <cell r="G219"/>
          <cell r="H219"/>
          <cell r="I219"/>
          <cell r="J219"/>
          <cell r="K219"/>
          <cell r="L219"/>
          <cell r="M219" t="str">
            <v>X</v>
          </cell>
          <cell r="N219" t="str">
            <v>X</v>
          </cell>
          <cell r="O219"/>
          <cell r="P219" t="str">
            <v>1008X01149</v>
          </cell>
          <cell r="Q219" t="str">
            <v>TYO</v>
          </cell>
          <cell r="R219" t="str">
            <v>WHL</v>
          </cell>
          <cell r="S219"/>
          <cell r="T219">
            <v>43194</v>
          </cell>
          <cell r="U219">
            <v>174</v>
          </cell>
          <cell r="V219" t="str">
            <v>MOONCHILD N025</v>
          </cell>
        </row>
        <row r="220">
          <cell r="B220" t="str">
            <v>V180496</v>
          </cell>
          <cell r="C220"/>
          <cell r="D220"/>
          <cell r="E220"/>
          <cell r="F220"/>
          <cell r="G220"/>
          <cell r="H220"/>
          <cell r="I220"/>
          <cell r="J220"/>
          <cell r="K220"/>
          <cell r="L220"/>
          <cell r="M220" t="str">
            <v>X</v>
          </cell>
          <cell r="N220" t="str">
            <v>X</v>
          </cell>
          <cell r="O220"/>
          <cell r="P220" t="str">
            <v>EGLV237800100222</v>
          </cell>
          <cell r="Q220" t="str">
            <v>OSK</v>
          </cell>
          <cell r="R220" t="str">
            <v>EGLV</v>
          </cell>
          <cell r="S220"/>
          <cell r="T220">
            <v>43194</v>
          </cell>
          <cell r="U220">
            <v>174</v>
          </cell>
          <cell r="V220" t="str">
            <v>MOONCHILD N025</v>
          </cell>
        </row>
        <row r="221">
          <cell r="B221" t="str">
            <v>V180497</v>
          </cell>
          <cell r="C221" t="str">
            <v>V180510</v>
          </cell>
          <cell r="D221"/>
          <cell r="E221"/>
          <cell r="F221"/>
          <cell r="G221"/>
          <cell r="H221"/>
          <cell r="I221"/>
          <cell r="J221"/>
          <cell r="K221"/>
          <cell r="L221"/>
          <cell r="M221" t="str">
            <v>X</v>
          </cell>
          <cell r="N221" t="str">
            <v>X</v>
          </cell>
          <cell r="O221"/>
          <cell r="P221" t="str">
            <v>KMTCHPH0526212</v>
          </cell>
          <cell r="Q221" t="str">
            <v>ISH</v>
          </cell>
          <cell r="R221" t="str">
            <v>KMTC</v>
          </cell>
          <cell r="S221"/>
          <cell r="T221">
            <v>43199</v>
          </cell>
          <cell r="U221">
            <v>169</v>
          </cell>
          <cell r="V221" t="str">
            <v>HONGKONG VOYAGER 0072N</v>
          </cell>
        </row>
        <row r="222">
          <cell r="B222" t="str">
            <v>V180498</v>
          </cell>
          <cell r="C222" t="str">
            <v>V180505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 t="str">
            <v>X</v>
          </cell>
          <cell r="N222" t="str">
            <v>X</v>
          </cell>
          <cell r="O222"/>
          <cell r="P222" t="str">
            <v>EGLV237800100214</v>
          </cell>
          <cell r="Q222" t="str">
            <v>TYO</v>
          </cell>
          <cell r="R222" t="str">
            <v>EGLV</v>
          </cell>
          <cell r="S222"/>
          <cell r="T222">
            <v>43194</v>
          </cell>
          <cell r="U222">
            <v>174</v>
          </cell>
          <cell r="V222" t="str">
            <v>MOONCHILD N025</v>
          </cell>
        </row>
        <row r="223">
          <cell r="B223" t="str">
            <v>V180499</v>
          </cell>
          <cell r="C223"/>
          <cell r="D223"/>
          <cell r="E223"/>
          <cell r="F223"/>
          <cell r="G223"/>
          <cell r="H223"/>
          <cell r="I223"/>
          <cell r="J223"/>
          <cell r="K223"/>
          <cell r="L223"/>
          <cell r="M223" t="str">
            <v>X</v>
          </cell>
          <cell r="N223" t="str">
            <v>X</v>
          </cell>
          <cell r="O223"/>
          <cell r="P223" t="str">
            <v>1008X01145</v>
          </cell>
          <cell r="Q223" t="str">
            <v>NGO</v>
          </cell>
          <cell r="R223" t="str">
            <v>WHL</v>
          </cell>
          <cell r="S223"/>
          <cell r="T223">
            <v>43194</v>
          </cell>
          <cell r="U223">
            <v>174</v>
          </cell>
          <cell r="V223" t="str">
            <v xml:space="preserve">WHITE DRAGON N002 </v>
          </cell>
        </row>
        <row r="224">
          <cell r="B224" t="str">
            <v>V180500</v>
          </cell>
          <cell r="C224" t="str">
            <v>V180504</v>
          </cell>
          <cell r="D224" t="str">
            <v>V180514</v>
          </cell>
          <cell r="E224"/>
          <cell r="F224"/>
          <cell r="G224"/>
          <cell r="H224"/>
          <cell r="I224"/>
          <cell r="J224"/>
          <cell r="K224"/>
          <cell r="L224"/>
          <cell r="M224" t="str">
            <v>X</v>
          </cell>
          <cell r="N224" t="str">
            <v>X</v>
          </cell>
          <cell r="O224"/>
          <cell r="P224" t="str">
            <v>1008X01147</v>
          </cell>
          <cell r="Q224" t="str">
            <v>OSK</v>
          </cell>
          <cell r="R224" t="str">
            <v>WHL</v>
          </cell>
          <cell r="S224"/>
          <cell r="T224">
            <v>43194</v>
          </cell>
          <cell r="U224">
            <v>174</v>
          </cell>
          <cell r="V224" t="str">
            <v>MOONCHILD N025</v>
          </cell>
        </row>
        <row r="225">
          <cell r="B225" t="str">
            <v>V180501</v>
          </cell>
          <cell r="C225" t="str">
            <v>V180509</v>
          </cell>
          <cell r="D225"/>
          <cell r="E225"/>
          <cell r="F225"/>
          <cell r="G225"/>
          <cell r="H225"/>
          <cell r="I225"/>
          <cell r="J225"/>
          <cell r="K225"/>
          <cell r="L225"/>
          <cell r="M225" t="str">
            <v>X</v>
          </cell>
          <cell r="N225" t="str">
            <v>X</v>
          </cell>
          <cell r="O225"/>
          <cell r="P225" t="str">
            <v>1008X01151</v>
          </cell>
          <cell r="Q225" t="str">
            <v>HKT</v>
          </cell>
          <cell r="R225" t="str">
            <v>WHL</v>
          </cell>
          <cell r="S225"/>
          <cell r="T225">
            <v>43197</v>
          </cell>
          <cell r="U225">
            <v>171</v>
          </cell>
          <cell r="V225" t="str">
            <v xml:space="preserve"> IAL 001 N316  </v>
          </cell>
        </row>
        <row r="226">
          <cell r="B226" t="str">
            <v>V180508</v>
          </cell>
          <cell r="C226"/>
          <cell r="D226"/>
          <cell r="E226"/>
          <cell r="F226"/>
          <cell r="G226"/>
          <cell r="H226"/>
          <cell r="I226"/>
          <cell r="J226"/>
          <cell r="K226"/>
          <cell r="L226"/>
          <cell r="M226" t="str">
            <v>X</v>
          </cell>
          <cell r="N226" t="str">
            <v>X</v>
          </cell>
          <cell r="O226"/>
          <cell r="P226" t="str">
            <v>1008X01282</v>
          </cell>
          <cell r="Q226" t="str">
            <v>OSK</v>
          </cell>
          <cell r="R226" t="str">
            <v>WHL</v>
          </cell>
          <cell r="S226"/>
          <cell r="T226">
            <v>43194</v>
          </cell>
          <cell r="U226">
            <v>174</v>
          </cell>
          <cell r="V226" t="str">
            <v xml:space="preserve">WHITE DRAGON N002 </v>
          </cell>
        </row>
        <row r="227">
          <cell r="B227" t="str">
            <v>V180511</v>
          </cell>
          <cell r="C227" t="str">
            <v>V180512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 t="str">
            <v>X</v>
          </cell>
          <cell r="N227" t="str">
            <v>X</v>
          </cell>
          <cell r="O227"/>
          <cell r="P227">
            <v>350810027583</v>
          </cell>
          <cell r="Q227" t="str">
            <v>TYO</v>
          </cell>
          <cell r="R227" t="str">
            <v>TSL</v>
          </cell>
          <cell r="S227"/>
          <cell r="T227">
            <v>43198</v>
          </cell>
          <cell r="U227">
            <v>170</v>
          </cell>
          <cell r="V227" t="str">
            <v>LANTAU BEE 18005N</v>
          </cell>
        </row>
        <row r="228">
          <cell r="B228" t="str">
            <v>V180513</v>
          </cell>
          <cell r="C228" t="str">
            <v>V180518</v>
          </cell>
          <cell r="D228" t="str">
            <v>V180523</v>
          </cell>
          <cell r="E228"/>
          <cell r="F228"/>
          <cell r="G228"/>
          <cell r="H228"/>
          <cell r="I228"/>
          <cell r="J228"/>
          <cell r="K228"/>
          <cell r="L228"/>
          <cell r="M228" t="str">
            <v>X</v>
          </cell>
          <cell r="N228" t="str">
            <v>X</v>
          </cell>
          <cell r="O228"/>
          <cell r="P228" t="str">
            <v>SITWHPKW160606</v>
          </cell>
          <cell r="Q228" t="str">
            <v>KWS</v>
          </cell>
          <cell r="R228" t="str">
            <v>SITC</v>
          </cell>
          <cell r="S228"/>
          <cell r="T228">
            <v>43199</v>
          </cell>
          <cell r="U228">
            <v>169</v>
          </cell>
          <cell r="V228" t="str">
            <v>EPONYMA 1811N</v>
          </cell>
        </row>
        <row r="229">
          <cell r="B229" t="str">
            <v>V180515</v>
          </cell>
          <cell r="C229"/>
          <cell r="D229"/>
          <cell r="E229"/>
          <cell r="F229"/>
          <cell r="G229"/>
          <cell r="H229"/>
          <cell r="I229"/>
          <cell r="J229"/>
          <cell r="K229"/>
          <cell r="L229"/>
          <cell r="M229" t="str">
            <v>X</v>
          </cell>
          <cell r="N229" t="str">
            <v>X</v>
          </cell>
          <cell r="O229"/>
          <cell r="P229">
            <v>350810029464</v>
          </cell>
          <cell r="Q229" t="str">
            <v>TPE</v>
          </cell>
          <cell r="R229" t="str">
            <v>TSL</v>
          </cell>
          <cell r="S229"/>
          <cell r="T229">
            <v>43198</v>
          </cell>
          <cell r="U229">
            <v>170</v>
          </cell>
          <cell r="V229" t="str">
            <v>LANTAU BEE 18005N</v>
          </cell>
        </row>
        <row r="230">
          <cell r="B230" t="str">
            <v>V180516</v>
          </cell>
          <cell r="C230" t="str">
            <v>V180522</v>
          </cell>
          <cell r="D230" t="str">
            <v>V180554</v>
          </cell>
          <cell r="E230"/>
          <cell r="F230"/>
          <cell r="G230"/>
          <cell r="H230"/>
          <cell r="I230"/>
          <cell r="J230"/>
          <cell r="K230"/>
          <cell r="L230"/>
          <cell r="M230" t="str">
            <v>X</v>
          </cell>
          <cell r="N230" t="str">
            <v>X</v>
          </cell>
          <cell r="O230"/>
          <cell r="P230" t="str">
            <v>SITWHPTK160610</v>
          </cell>
          <cell r="Q230" t="str">
            <v>TYO</v>
          </cell>
          <cell r="R230" t="str">
            <v>SITC</v>
          </cell>
          <cell r="S230"/>
          <cell r="T230">
            <v>43199</v>
          </cell>
          <cell r="U230">
            <v>169</v>
          </cell>
          <cell r="V230" t="str">
            <v>EPONYMA 1811N</v>
          </cell>
        </row>
        <row r="231">
          <cell r="B231" t="str">
            <v>V180517</v>
          </cell>
          <cell r="C231"/>
          <cell r="D231"/>
          <cell r="E231"/>
          <cell r="F231"/>
          <cell r="G231"/>
          <cell r="H231"/>
          <cell r="I231"/>
          <cell r="J231"/>
          <cell r="K231"/>
          <cell r="L231"/>
          <cell r="M231" t="str">
            <v>X</v>
          </cell>
          <cell r="N231" t="str">
            <v>X</v>
          </cell>
          <cell r="O231"/>
          <cell r="P231" t="str">
            <v>1008X01146</v>
          </cell>
          <cell r="Q231" t="str">
            <v>TYO</v>
          </cell>
          <cell r="R231" t="str">
            <v>WHL</v>
          </cell>
          <cell r="S231"/>
          <cell r="T231">
            <v>43197</v>
          </cell>
          <cell r="U231">
            <v>171</v>
          </cell>
          <cell r="V231" t="str">
            <v xml:space="preserve"> IAL 001 N316  </v>
          </cell>
        </row>
        <row r="232">
          <cell r="B232" t="str">
            <v>V180519</v>
          </cell>
          <cell r="C232" t="str">
            <v>V180524</v>
          </cell>
          <cell r="D232"/>
          <cell r="E232"/>
          <cell r="F232"/>
          <cell r="G232"/>
          <cell r="H232"/>
          <cell r="I232"/>
          <cell r="J232"/>
          <cell r="K232"/>
          <cell r="L232"/>
          <cell r="M232" t="str">
            <v>X</v>
          </cell>
          <cell r="N232" t="str">
            <v>X</v>
          </cell>
          <cell r="O232"/>
          <cell r="P232" t="str">
            <v>SITWHPOS160607</v>
          </cell>
          <cell r="Q232" t="str">
            <v>OSK</v>
          </cell>
          <cell r="R232" t="str">
            <v>SITC</v>
          </cell>
          <cell r="S232"/>
          <cell r="T232">
            <v>43200</v>
          </cell>
          <cell r="U232">
            <v>168</v>
          </cell>
          <cell r="V232" t="str">
            <v>SITC YANTAI 1809N</v>
          </cell>
        </row>
        <row r="233">
          <cell r="B233" t="str">
            <v>V180520</v>
          </cell>
          <cell r="C233"/>
          <cell r="D233"/>
          <cell r="E233"/>
          <cell r="F233"/>
          <cell r="G233"/>
          <cell r="H233"/>
          <cell r="I233"/>
          <cell r="J233"/>
          <cell r="K233"/>
          <cell r="L233"/>
          <cell r="M233" t="str">
            <v>X</v>
          </cell>
          <cell r="N233" t="str">
            <v>X</v>
          </cell>
          <cell r="O233"/>
          <cell r="P233" t="str">
            <v>SITWHPHT160608</v>
          </cell>
          <cell r="Q233" t="str">
            <v>HKT</v>
          </cell>
          <cell r="R233" t="str">
            <v>SITC</v>
          </cell>
          <cell r="S233"/>
          <cell r="T233">
            <v>43200</v>
          </cell>
          <cell r="U233">
            <v>168</v>
          </cell>
          <cell r="V233" t="str">
            <v>SITC YANTAI 1809N</v>
          </cell>
        </row>
        <row r="234">
          <cell r="B234" t="str">
            <v>V180521</v>
          </cell>
          <cell r="C234"/>
          <cell r="D234"/>
          <cell r="E234"/>
          <cell r="F234"/>
          <cell r="G234"/>
          <cell r="H234"/>
          <cell r="I234"/>
          <cell r="J234"/>
          <cell r="K234"/>
          <cell r="L234"/>
          <cell r="M234" t="str">
            <v>X</v>
          </cell>
          <cell r="N234" t="str">
            <v>X</v>
          </cell>
          <cell r="O234"/>
          <cell r="P234" t="str">
            <v>1008X01269</v>
          </cell>
          <cell r="Q234" t="str">
            <v>OSK</v>
          </cell>
          <cell r="R234" t="str">
            <v>WHL</v>
          </cell>
          <cell r="S234"/>
          <cell r="T234">
            <v>43197</v>
          </cell>
          <cell r="U234">
            <v>171</v>
          </cell>
          <cell r="V234" t="str">
            <v xml:space="preserve">IAL 001 N316 </v>
          </cell>
        </row>
        <row r="235">
          <cell r="B235" t="str">
            <v>V180484</v>
          </cell>
          <cell r="M235" t="str">
            <v>X</v>
          </cell>
          <cell r="N235" t="str">
            <v>X</v>
          </cell>
          <cell r="O235"/>
          <cell r="P235" t="str">
            <v>SNL8HPCL000485</v>
          </cell>
          <cell r="Q235" t="str">
            <v>SHA</v>
          </cell>
          <cell r="R235" t="str">
            <v>SNL</v>
          </cell>
          <cell r="S235"/>
          <cell r="T235">
            <v>43203</v>
          </cell>
          <cell r="U235">
            <v>165</v>
          </cell>
          <cell r="V235" t="str">
            <v>WISDOM GRACE 1813N</v>
          </cell>
        </row>
        <row r="236">
          <cell r="B236" t="str">
            <v>V180525</v>
          </cell>
          <cell r="C236" t="str">
            <v>V180531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 t="str">
            <v>X</v>
          </cell>
          <cell r="N236" t="str">
            <v>X</v>
          </cell>
          <cell r="O236"/>
          <cell r="P236" t="str">
            <v>1008X01297</v>
          </cell>
          <cell r="Q236" t="str">
            <v>TYO</v>
          </cell>
          <cell r="R236" t="str">
            <v>WHL</v>
          </cell>
          <cell r="S236"/>
          <cell r="T236">
            <v>43202</v>
          </cell>
          <cell r="U236">
            <v>166</v>
          </cell>
          <cell r="V236" t="str">
            <v>WAN HAI 267 N264</v>
          </cell>
        </row>
        <row r="237">
          <cell r="B237" t="str">
            <v>V180526</v>
          </cell>
          <cell r="C237" t="str">
            <v>V180535</v>
          </cell>
          <cell r="D237"/>
          <cell r="E237"/>
          <cell r="F237"/>
          <cell r="G237"/>
          <cell r="H237"/>
          <cell r="I237"/>
          <cell r="J237"/>
          <cell r="K237"/>
          <cell r="L237"/>
          <cell r="M237" t="str">
            <v>X</v>
          </cell>
          <cell r="N237" t="str">
            <v>X</v>
          </cell>
          <cell r="O237"/>
          <cell r="P237" t="str">
            <v>OOLU2602614150</v>
          </cell>
          <cell r="Q237" t="str">
            <v>TYO</v>
          </cell>
          <cell r="R237" t="str">
            <v>OOCL</v>
          </cell>
          <cell r="S237"/>
          <cell r="T237">
            <v>43200</v>
          </cell>
          <cell r="U237">
            <v>168</v>
          </cell>
          <cell r="V237" t="str">
            <v>AS RICCARDA 102N</v>
          </cell>
        </row>
        <row r="238">
          <cell r="B238" t="str">
            <v>V180527</v>
          </cell>
          <cell r="C238" t="str">
            <v>V180533</v>
          </cell>
          <cell r="D238" t="str">
            <v>V180536</v>
          </cell>
          <cell r="E238" t="str">
            <v>V180541</v>
          </cell>
          <cell r="F238"/>
          <cell r="G238"/>
          <cell r="H238"/>
          <cell r="I238"/>
          <cell r="J238"/>
          <cell r="K238"/>
          <cell r="L238"/>
          <cell r="M238" t="str">
            <v>X</v>
          </cell>
          <cell r="N238" t="str">
            <v>X</v>
          </cell>
          <cell r="O238"/>
          <cell r="P238" t="str">
            <v>SITWHPKW161425</v>
          </cell>
          <cell r="Q238" t="str">
            <v>KWS</v>
          </cell>
          <cell r="R238" t="str">
            <v>SITC</v>
          </cell>
          <cell r="S238"/>
          <cell r="T238">
            <v>43203</v>
          </cell>
          <cell r="U238">
            <v>165</v>
          </cell>
          <cell r="V238" t="str">
            <v>SITC NAGOYA 1811N</v>
          </cell>
        </row>
        <row r="239">
          <cell r="B239" t="str">
            <v>V180528</v>
          </cell>
          <cell r="C239"/>
          <cell r="D239"/>
          <cell r="E239"/>
          <cell r="F239"/>
          <cell r="G239"/>
          <cell r="H239"/>
          <cell r="I239"/>
          <cell r="J239"/>
          <cell r="K239"/>
          <cell r="L239"/>
          <cell r="M239" t="str">
            <v>X</v>
          </cell>
          <cell r="N239" t="str">
            <v>X</v>
          </cell>
          <cell r="O239"/>
          <cell r="P239" t="str">
            <v>EGLV237800105411</v>
          </cell>
          <cell r="Q239" t="str">
            <v>OSK</v>
          </cell>
          <cell r="R239" t="str">
            <v>EGLV</v>
          </cell>
          <cell r="S239"/>
          <cell r="T239">
            <v>43202</v>
          </cell>
          <cell r="U239">
            <v>166</v>
          </cell>
          <cell r="V239" t="str">
            <v>WAN HAI 267 N264</v>
          </cell>
        </row>
        <row r="240">
          <cell r="B240" t="str">
            <v>V180529</v>
          </cell>
          <cell r="C240" t="str">
            <v>V180538</v>
          </cell>
          <cell r="D240" t="str">
            <v>V180547</v>
          </cell>
          <cell r="E240"/>
          <cell r="F240"/>
          <cell r="G240"/>
          <cell r="H240"/>
          <cell r="I240"/>
          <cell r="J240"/>
          <cell r="K240"/>
          <cell r="L240"/>
          <cell r="M240" t="str">
            <v>X</v>
          </cell>
          <cell r="N240" t="str">
            <v>X</v>
          </cell>
          <cell r="O240"/>
          <cell r="P240" t="str">
            <v>1008X01306</v>
          </cell>
          <cell r="Q240" t="str">
            <v>HKT</v>
          </cell>
          <cell r="R240" t="str">
            <v>WHL</v>
          </cell>
          <cell r="S240"/>
          <cell r="T240">
            <v>43204</v>
          </cell>
          <cell r="U240">
            <v>164</v>
          </cell>
          <cell r="V240" t="str">
            <v>IAL 001 N317</v>
          </cell>
        </row>
        <row r="241">
          <cell r="B241" t="str">
            <v>V180530</v>
          </cell>
          <cell r="C241" t="str">
            <v>V180548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 t="str">
            <v>X</v>
          </cell>
          <cell r="N241" t="str">
            <v>X</v>
          </cell>
          <cell r="O241"/>
          <cell r="P241" t="str">
            <v>KMTCHPH0521527</v>
          </cell>
          <cell r="Q241" t="str">
            <v>ISH</v>
          </cell>
          <cell r="R241" t="str">
            <v>KMTC</v>
          </cell>
          <cell r="S241"/>
          <cell r="T241">
            <v>43205</v>
          </cell>
          <cell r="U241">
            <v>163</v>
          </cell>
          <cell r="V241" t="str">
            <v>ST.MARY 1806N</v>
          </cell>
        </row>
        <row r="242">
          <cell r="B242" t="str">
            <v>V180532</v>
          </cell>
          <cell r="C242" t="str">
            <v>V180539</v>
          </cell>
          <cell r="D242" t="str">
            <v>V180540</v>
          </cell>
          <cell r="E242"/>
          <cell r="F242"/>
          <cell r="G242"/>
          <cell r="H242"/>
          <cell r="I242"/>
          <cell r="J242"/>
          <cell r="K242"/>
          <cell r="L242"/>
          <cell r="M242" t="str">
            <v>X</v>
          </cell>
          <cell r="N242" t="str">
            <v>X</v>
          </cell>
          <cell r="O242"/>
          <cell r="P242" t="str">
            <v>EGLV237800105402</v>
          </cell>
          <cell r="Q242" t="str">
            <v>TYO</v>
          </cell>
          <cell r="R242" t="str">
            <v>EGLV</v>
          </cell>
          <cell r="S242"/>
          <cell r="T242">
            <v>43202</v>
          </cell>
          <cell r="U242">
            <v>166</v>
          </cell>
          <cell r="V242" t="str">
            <v>WAN HAI 267 N264</v>
          </cell>
        </row>
        <row r="243">
          <cell r="B243" t="str">
            <v>V180534</v>
          </cell>
          <cell r="C243" t="str">
            <v>V180543</v>
          </cell>
          <cell r="D243" t="str">
            <v>V180556</v>
          </cell>
          <cell r="E243"/>
          <cell r="F243"/>
          <cell r="G243"/>
          <cell r="H243"/>
          <cell r="I243"/>
          <cell r="J243"/>
          <cell r="K243"/>
          <cell r="L243"/>
          <cell r="M243" t="str">
            <v>X</v>
          </cell>
          <cell r="N243" t="str">
            <v>X</v>
          </cell>
          <cell r="O243"/>
          <cell r="P243" t="str">
            <v>1008X01309</v>
          </cell>
          <cell r="Q243" t="str">
            <v>OSK</v>
          </cell>
          <cell r="R243" t="str">
            <v>WHL</v>
          </cell>
          <cell r="S243"/>
          <cell r="T243">
            <v>43201</v>
          </cell>
          <cell r="U243">
            <v>167</v>
          </cell>
          <cell r="V243" t="str">
            <v xml:space="preserve">AS FIONA  N002  </v>
          </cell>
        </row>
        <row r="244">
          <cell r="B244" t="str">
            <v>V180537</v>
          </cell>
          <cell r="C244"/>
          <cell r="D244"/>
          <cell r="E244"/>
          <cell r="F244"/>
          <cell r="G244"/>
          <cell r="H244"/>
          <cell r="I244"/>
          <cell r="J244"/>
          <cell r="K244"/>
          <cell r="L244"/>
          <cell r="M244" t="str">
            <v>X</v>
          </cell>
          <cell r="N244" t="str">
            <v>X</v>
          </cell>
          <cell r="O244"/>
          <cell r="P244" t="str">
            <v>SITWHPOS161421</v>
          </cell>
          <cell r="Q244" t="str">
            <v>OSK</v>
          </cell>
          <cell r="R244" t="str">
            <v>SITC</v>
          </cell>
          <cell r="S244"/>
          <cell r="T244">
            <v>43203</v>
          </cell>
          <cell r="U244">
            <v>165</v>
          </cell>
          <cell r="V244" t="str">
            <v>HANSE ENERGY 1811N</v>
          </cell>
        </row>
        <row r="245">
          <cell r="B245" t="str">
            <v>V180542</v>
          </cell>
          <cell r="C245"/>
          <cell r="D245"/>
          <cell r="E245"/>
          <cell r="F245"/>
          <cell r="G245"/>
          <cell r="H245"/>
          <cell r="I245"/>
          <cell r="J245"/>
          <cell r="K245"/>
          <cell r="L245"/>
          <cell r="M245" t="str">
            <v>X</v>
          </cell>
          <cell r="N245" t="str">
            <v>X</v>
          </cell>
          <cell r="O245"/>
          <cell r="P245" t="str">
            <v>1008X01299</v>
          </cell>
          <cell r="Q245" t="str">
            <v>NGO</v>
          </cell>
          <cell r="R245" t="str">
            <v>WHL</v>
          </cell>
          <cell r="S245"/>
          <cell r="T245">
            <v>43202</v>
          </cell>
          <cell r="U245">
            <v>166</v>
          </cell>
          <cell r="V245" t="str">
            <v>WAN HAI 172  S289</v>
          </cell>
        </row>
        <row r="246">
          <cell r="B246" t="str">
            <v>V180544</v>
          </cell>
          <cell r="C246" t="str">
            <v>V180549</v>
          </cell>
          <cell r="D246" t="str">
            <v>V180557</v>
          </cell>
          <cell r="E246" t="str">
            <v>V180558</v>
          </cell>
          <cell r="F246"/>
          <cell r="G246"/>
          <cell r="H246"/>
          <cell r="I246"/>
          <cell r="J246"/>
          <cell r="K246"/>
          <cell r="L246"/>
          <cell r="M246" t="str">
            <v>X</v>
          </cell>
          <cell r="N246" t="str">
            <v>X</v>
          </cell>
          <cell r="O246"/>
          <cell r="P246" t="str">
            <v>SITWHPTK161417</v>
          </cell>
          <cell r="Q246" t="str">
            <v>TYO</v>
          </cell>
          <cell r="R246" t="str">
            <v>SITC</v>
          </cell>
          <cell r="S246"/>
          <cell r="T246">
            <v>43210</v>
          </cell>
          <cell r="U246">
            <v>158</v>
          </cell>
          <cell r="V246" t="str">
            <v>RESURGENCE 1809N</v>
          </cell>
        </row>
        <row r="247">
          <cell r="B247" t="str">
            <v>V180545</v>
          </cell>
          <cell r="C247" t="str">
            <v>V180551</v>
          </cell>
          <cell r="D247" t="str">
            <v>V180559</v>
          </cell>
          <cell r="E247" t="str">
            <v>V180562</v>
          </cell>
          <cell r="F247"/>
          <cell r="G247"/>
          <cell r="H247"/>
          <cell r="I247"/>
          <cell r="J247"/>
          <cell r="K247"/>
          <cell r="L247"/>
          <cell r="M247" t="str">
            <v>X</v>
          </cell>
          <cell r="N247" t="str">
            <v>X</v>
          </cell>
          <cell r="O247"/>
          <cell r="P247" t="str">
            <v>SITWHPKW161424</v>
          </cell>
          <cell r="Q247" t="str">
            <v>KWS</v>
          </cell>
          <cell r="R247" t="str">
            <v>SITC</v>
          </cell>
          <cell r="S247"/>
          <cell r="T247">
            <v>43210</v>
          </cell>
          <cell r="U247">
            <v>158</v>
          </cell>
          <cell r="V247" t="str">
            <v>RESURGENCE 1809N</v>
          </cell>
        </row>
        <row r="248">
          <cell r="B248" t="str">
            <v>V180546</v>
          </cell>
          <cell r="C248"/>
          <cell r="D248"/>
          <cell r="E248"/>
          <cell r="F248"/>
          <cell r="G248"/>
          <cell r="H248"/>
          <cell r="I248"/>
          <cell r="J248"/>
          <cell r="K248"/>
          <cell r="L248"/>
          <cell r="M248" t="str">
            <v>X</v>
          </cell>
          <cell r="N248" t="str">
            <v>X</v>
          </cell>
          <cell r="O248"/>
          <cell r="P248" t="str">
            <v>1008X01310</v>
          </cell>
          <cell r="Q248" t="str">
            <v>OSK</v>
          </cell>
          <cell r="R248" t="str">
            <v>WHL</v>
          </cell>
          <cell r="S248"/>
          <cell r="T248">
            <v>43202</v>
          </cell>
          <cell r="U248">
            <v>166</v>
          </cell>
          <cell r="V248" t="str">
            <v>WAN HAI 267 N264</v>
          </cell>
        </row>
        <row r="249">
          <cell r="B249" t="str">
            <v>V180550</v>
          </cell>
          <cell r="C249"/>
          <cell r="D249"/>
          <cell r="E249"/>
          <cell r="F249"/>
          <cell r="G249"/>
          <cell r="H249"/>
          <cell r="I249"/>
          <cell r="J249"/>
          <cell r="K249"/>
          <cell r="L249"/>
          <cell r="M249" t="str">
            <v>X</v>
          </cell>
          <cell r="N249" t="str">
            <v>X</v>
          </cell>
          <cell r="O249"/>
          <cell r="P249">
            <v>350810032877</v>
          </cell>
          <cell r="Q249" t="str">
            <v>TPE</v>
          </cell>
          <cell r="R249" t="str">
            <v>TSL</v>
          </cell>
          <cell r="S249"/>
          <cell r="T249">
            <v>43205</v>
          </cell>
          <cell r="U249">
            <v>163</v>
          </cell>
          <cell r="V249" t="str">
            <v>LANTAU BRIDE 18008N</v>
          </cell>
        </row>
        <row r="250">
          <cell r="B250" t="str">
            <v>V180552</v>
          </cell>
          <cell r="C250"/>
          <cell r="D250"/>
          <cell r="E250"/>
          <cell r="F250"/>
          <cell r="G250"/>
          <cell r="H250"/>
          <cell r="I250"/>
          <cell r="J250"/>
          <cell r="K250"/>
          <cell r="L250"/>
          <cell r="M250" t="str">
            <v>X</v>
          </cell>
          <cell r="N250" t="str">
            <v>X</v>
          </cell>
          <cell r="O250"/>
          <cell r="P250">
            <v>350810032860</v>
          </cell>
          <cell r="Q250" t="str">
            <v>OSK</v>
          </cell>
          <cell r="R250" t="str">
            <v>TSL</v>
          </cell>
          <cell r="S250"/>
          <cell r="T250">
            <v>43205</v>
          </cell>
          <cell r="U250">
            <v>163</v>
          </cell>
          <cell r="V250" t="str">
            <v>LANTAU BRIDE 18008N</v>
          </cell>
        </row>
        <row r="251">
          <cell r="B251" t="str">
            <v>V180553</v>
          </cell>
          <cell r="C251"/>
          <cell r="D251"/>
          <cell r="E251"/>
          <cell r="F251"/>
          <cell r="G251"/>
          <cell r="H251"/>
          <cell r="I251"/>
          <cell r="J251"/>
          <cell r="K251"/>
          <cell r="L251"/>
          <cell r="M251" t="str">
            <v>X</v>
          </cell>
          <cell r="N251" t="str">
            <v>X</v>
          </cell>
          <cell r="O251"/>
          <cell r="P251" t="str">
            <v>SNL8HPCL000518</v>
          </cell>
          <cell r="Q251" t="str">
            <v>SHA</v>
          </cell>
          <cell r="R251" t="str">
            <v>SNL</v>
          </cell>
          <cell r="S251"/>
          <cell r="T251">
            <v>43214</v>
          </cell>
          <cell r="U251">
            <v>154</v>
          </cell>
          <cell r="V251" t="str">
            <v>KUO LUNG 1814N</v>
          </cell>
        </row>
        <row r="252">
          <cell r="B252" t="str">
            <v>V180555</v>
          </cell>
          <cell r="C252"/>
          <cell r="D252"/>
          <cell r="E252"/>
          <cell r="F252"/>
          <cell r="G252"/>
          <cell r="H252"/>
          <cell r="I252"/>
          <cell r="J252"/>
          <cell r="K252"/>
          <cell r="L252"/>
          <cell r="M252" t="str">
            <v>X</v>
          </cell>
          <cell r="N252" t="str">
            <v>X</v>
          </cell>
          <cell r="O252"/>
          <cell r="P252" t="str">
            <v>APLU074554086</v>
          </cell>
          <cell r="Q252" t="str">
            <v>NAHA</v>
          </cell>
          <cell r="R252" t="str">
            <v>APL</v>
          </cell>
          <cell r="S252"/>
          <cell r="T252">
            <v>43203</v>
          </cell>
          <cell r="U252">
            <v>165</v>
          </cell>
          <cell r="V252" t="str">
            <v>ASIATIC DAWN 034E</v>
          </cell>
        </row>
        <row r="253">
          <cell r="B253" t="str">
            <v>V180560</v>
          </cell>
          <cell r="C253"/>
          <cell r="D253"/>
          <cell r="E253"/>
          <cell r="F253"/>
          <cell r="G253"/>
          <cell r="H253"/>
          <cell r="I253"/>
          <cell r="J253"/>
          <cell r="K253"/>
          <cell r="L253"/>
          <cell r="M253" t="str">
            <v>X</v>
          </cell>
          <cell r="N253" t="str">
            <v>X</v>
          </cell>
          <cell r="O253"/>
          <cell r="P253" t="str">
            <v>SITWHPOS161422</v>
          </cell>
          <cell r="Q253" t="str">
            <v>OSK</v>
          </cell>
          <cell r="R253" t="str">
            <v>SITC</v>
          </cell>
          <cell r="S253"/>
          <cell r="T253">
            <v>43206</v>
          </cell>
          <cell r="U253">
            <v>162</v>
          </cell>
          <cell r="V253" t="str">
            <v>SITC YOKKAICHI 1809N</v>
          </cell>
        </row>
        <row r="254">
          <cell r="B254" t="str">
            <v>V180561</v>
          </cell>
          <cell r="C254"/>
          <cell r="D254"/>
          <cell r="E254"/>
          <cell r="F254"/>
          <cell r="G254"/>
          <cell r="H254"/>
          <cell r="I254"/>
          <cell r="J254"/>
          <cell r="K254"/>
          <cell r="L254"/>
          <cell r="M254" t="str">
            <v>X</v>
          </cell>
          <cell r="N254" t="str">
            <v>X</v>
          </cell>
          <cell r="O254"/>
          <cell r="P254" t="str">
            <v>SITWHPHT162113</v>
          </cell>
          <cell r="Q254" t="str">
            <v>HKT</v>
          </cell>
          <cell r="R254" t="str">
            <v>SITC</v>
          </cell>
          <cell r="S254"/>
          <cell r="T254">
            <v>43206</v>
          </cell>
          <cell r="U254">
            <v>162</v>
          </cell>
          <cell r="V254" t="str">
            <v>SITC YOKKAICHI 1809N</v>
          </cell>
        </row>
        <row r="255">
          <cell r="B255" t="str">
            <v>V180563</v>
          </cell>
          <cell r="C255" t="str">
            <v>V180564</v>
          </cell>
          <cell r="D255" t="str">
            <v>V180583</v>
          </cell>
          <cell r="L255"/>
          <cell r="M255" t="str">
            <v>X</v>
          </cell>
          <cell r="N255" t="str">
            <v>X</v>
          </cell>
          <cell r="O255"/>
          <cell r="P255" t="str">
            <v>1008X01413</v>
          </cell>
          <cell r="Q255" t="str">
            <v>OSK</v>
          </cell>
          <cell r="R255" t="str">
            <v>WHL</v>
          </cell>
          <cell r="S255"/>
          <cell r="T255">
            <v>43209</v>
          </cell>
          <cell r="U255">
            <v>159</v>
          </cell>
          <cell r="V255" t="str">
            <v>WAN HAI 282 N065</v>
          </cell>
        </row>
        <row r="256">
          <cell r="B256" t="str">
            <v>V180565</v>
          </cell>
          <cell r="C256" t="str">
            <v>V180581</v>
          </cell>
          <cell r="D256"/>
          <cell r="E256"/>
          <cell r="F256"/>
          <cell r="G256"/>
          <cell r="H256"/>
          <cell r="I256"/>
          <cell r="J256"/>
          <cell r="K256"/>
          <cell r="L256"/>
          <cell r="M256" t="str">
            <v>X</v>
          </cell>
          <cell r="N256" t="str">
            <v>X</v>
          </cell>
          <cell r="O256"/>
          <cell r="P256">
            <v>350810033072</v>
          </cell>
          <cell r="Q256" t="str">
            <v>TYO</v>
          </cell>
          <cell r="R256" t="str">
            <v>TSL</v>
          </cell>
          <cell r="S256"/>
          <cell r="T256">
            <v>43212</v>
          </cell>
          <cell r="U256">
            <v>156</v>
          </cell>
          <cell r="V256" t="str">
            <v>HANSE ENDURANCE 18007N</v>
          </cell>
        </row>
        <row r="257">
          <cell r="B257" t="str">
            <v>V180566</v>
          </cell>
          <cell r="C257" t="str">
            <v>V180575</v>
          </cell>
          <cell r="D257"/>
          <cell r="E257"/>
          <cell r="F257"/>
          <cell r="G257"/>
          <cell r="H257"/>
          <cell r="I257"/>
          <cell r="J257"/>
          <cell r="K257"/>
          <cell r="L257"/>
          <cell r="M257" t="str">
            <v>X</v>
          </cell>
          <cell r="N257" t="str">
            <v>X</v>
          </cell>
          <cell r="O257"/>
          <cell r="P257" t="str">
            <v>OOLU2602902580</v>
          </cell>
          <cell r="Q257" t="str">
            <v>TYO</v>
          </cell>
          <cell r="R257" t="str">
            <v>OOCL</v>
          </cell>
          <cell r="S257"/>
          <cell r="T257">
            <v>43209</v>
          </cell>
          <cell r="U257">
            <v>159</v>
          </cell>
          <cell r="V257" t="str">
            <v>SAN LORENZO 111N</v>
          </cell>
        </row>
        <row r="258">
          <cell r="B258" t="str">
            <v>V180567</v>
          </cell>
          <cell r="C258" t="str">
            <v>V180573</v>
          </cell>
          <cell r="D258" t="str">
            <v>V180577</v>
          </cell>
          <cell r="E258" t="str">
            <v>V180582</v>
          </cell>
          <cell r="F258"/>
          <cell r="G258"/>
          <cell r="H258"/>
          <cell r="I258"/>
          <cell r="J258"/>
          <cell r="K258"/>
          <cell r="L258"/>
          <cell r="M258" t="str">
            <v>X</v>
          </cell>
          <cell r="N258" t="str">
            <v>X</v>
          </cell>
          <cell r="O258"/>
          <cell r="P258" t="str">
            <v>SITWHPKW162106</v>
          </cell>
          <cell r="Q258" t="str">
            <v>KWS</v>
          </cell>
          <cell r="R258" t="str">
            <v>SITC</v>
          </cell>
          <cell r="S258"/>
          <cell r="T258">
            <v>43210</v>
          </cell>
          <cell r="U258">
            <v>158</v>
          </cell>
          <cell r="V258" t="str">
            <v>RESURGENCE 1809N</v>
          </cell>
        </row>
        <row r="259">
          <cell r="B259" t="str">
            <v>V180568</v>
          </cell>
          <cell r="C259" t="str">
            <v>V180574</v>
          </cell>
          <cell r="D259"/>
          <cell r="E259"/>
          <cell r="F259"/>
          <cell r="G259"/>
          <cell r="H259"/>
          <cell r="I259"/>
          <cell r="J259"/>
          <cell r="K259"/>
          <cell r="L259"/>
          <cell r="M259" t="str">
            <v>X</v>
          </cell>
          <cell r="N259" t="str">
            <v>X</v>
          </cell>
          <cell r="O259"/>
          <cell r="P259" t="str">
            <v>EGLV237800110252</v>
          </cell>
          <cell r="Q259" t="str">
            <v>OSK</v>
          </cell>
          <cell r="R259" t="str">
            <v>EGLV</v>
          </cell>
          <cell r="S259"/>
          <cell r="T259">
            <v>43209</v>
          </cell>
          <cell r="U259">
            <v>159</v>
          </cell>
          <cell r="V259" t="str">
            <v>WAN HAI 266 N391</v>
          </cell>
        </row>
        <row r="260">
          <cell r="B260" t="str">
            <v>V180569</v>
          </cell>
          <cell r="C260" t="str">
            <v>V180580</v>
          </cell>
          <cell r="D260" t="str">
            <v>V180593</v>
          </cell>
          <cell r="E260"/>
          <cell r="F260"/>
          <cell r="G260"/>
          <cell r="H260"/>
          <cell r="I260"/>
          <cell r="J260"/>
          <cell r="K260"/>
          <cell r="L260"/>
          <cell r="M260" t="str">
            <v>X</v>
          </cell>
          <cell r="N260" t="str">
            <v>X</v>
          </cell>
          <cell r="O260"/>
          <cell r="P260" t="str">
            <v>1008X01426</v>
          </cell>
          <cell r="Q260" t="str">
            <v>HKT</v>
          </cell>
          <cell r="R260" t="str">
            <v>WHL</v>
          </cell>
          <cell r="S260"/>
          <cell r="T260">
            <v>43211</v>
          </cell>
          <cell r="U260">
            <v>157</v>
          </cell>
          <cell r="V260" t="str">
            <v xml:space="preserve"> IAL 001 N318 </v>
          </cell>
        </row>
        <row r="261">
          <cell r="B261" t="str">
            <v>V180570</v>
          </cell>
          <cell r="C261" t="str">
            <v>V180584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 t="str">
            <v>X</v>
          </cell>
          <cell r="N261" t="str">
            <v>X</v>
          </cell>
          <cell r="O261"/>
          <cell r="P261" t="str">
            <v>KMTCHPH0529852</v>
          </cell>
          <cell r="Q261" t="str">
            <v>ISH</v>
          </cell>
          <cell r="R261" t="str">
            <v>KMTC</v>
          </cell>
          <cell r="S261"/>
          <cell r="T261">
            <v>43213</v>
          </cell>
          <cell r="U261">
            <v>155</v>
          </cell>
          <cell r="V261" t="str">
            <v>HONGKONG VOYAGER 0073N</v>
          </cell>
        </row>
        <row r="262">
          <cell r="B262" t="str">
            <v>V180571</v>
          </cell>
          <cell r="C262"/>
          <cell r="D262"/>
          <cell r="E262"/>
          <cell r="F262"/>
          <cell r="G262"/>
          <cell r="H262"/>
          <cell r="I262"/>
          <cell r="J262"/>
          <cell r="K262"/>
          <cell r="L262"/>
          <cell r="M262" t="str">
            <v>X</v>
          </cell>
          <cell r="N262" t="str">
            <v>X</v>
          </cell>
          <cell r="O262"/>
          <cell r="P262" t="str">
            <v>EGLV237800110236</v>
          </cell>
          <cell r="Q262" t="str">
            <v>TYO</v>
          </cell>
          <cell r="R262" t="str">
            <v>EGLV</v>
          </cell>
          <cell r="S262"/>
          <cell r="T262">
            <v>43208</v>
          </cell>
          <cell r="U262">
            <v>160</v>
          </cell>
          <cell r="V262" t="str">
            <v>UNI-ACCORD 0561-547N</v>
          </cell>
        </row>
        <row r="263">
          <cell r="B263" t="str">
            <v>V180572</v>
          </cell>
          <cell r="C263" t="str">
            <v>V180576</v>
          </cell>
          <cell r="D263" t="str">
            <v>V180585</v>
          </cell>
          <cell r="E263" t="str">
            <v>V180586</v>
          </cell>
          <cell r="F263"/>
          <cell r="G263"/>
          <cell r="H263"/>
          <cell r="I263"/>
          <cell r="J263"/>
          <cell r="K263"/>
          <cell r="L263"/>
          <cell r="M263" t="str">
            <v>X</v>
          </cell>
          <cell r="N263" t="str">
            <v>X</v>
          </cell>
          <cell r="O263"/>
          <cell r="P263" t="str">
            <v>1008X01422</v>
          </cell>
          <cell r="Q263" t="str">
            <v>TYO</v>
          </cell>
          <cell r="R263" t="str">
            <v>WHL</v>
          </cell>
          <cell r="S263"/>
          <cell r="T263">
            <v>43209</v>
          </cell>
          <cell r="U263">
            <v>159</v>
          </cell>
          <cell r="V263" t="str">
            <v>WAN HAI 266 N391</v>
          </cell>
        </row>
        <row r="264">
          <cell r="B264" t="str">
            <v>V180578</v>
          </cell>
          <cell r="C264"/>
          <cell r="D264"/>
          <cell r="E264"/>
          <cell r="F264"/>
          <cell r="G264"/>
          <cell r="H264"/>
          <cell r="I264"/>
          <cell r="J264"/>
          <cell r="K264"/>
          <cell r="L264"/>
          <cell r="M264" t="str">
            <v>X</v>
          </cell>
          <cell r="N264" t="str">
            <v>X</v>
          </cell>
          <cell r="O264"/>
          <cell r="P264" t="str">
            <v>1008X01423</v>
          </cell>
          <cell r="Q264" t="str">
            <v>NGO</v>
          </cell>
          <cell r="R264" t="str">
            <v>WHL</v>
          </cell>
          <cell r="S264"/>
          <cell r="T264">
            <v>43209</v>
          </cell>
          <cell r="U264">
            <v>159</v>
          </cell>
          <cell r="V264" t="str">
            <v xml:space="preserve">WAN HAI 282  N065  </v>
          </cell>
        </row>
        <row r="265">
          <cell r="B265" t="str">
            <v>V180579</v>
          </cell>
          <cell r="C265"/>
          <cell r="D265"/>
          <cell r="E265"/>
          <cell r="F265"/>
          <cell r="G265"/>
          <cell r="H265"/>
          <cell r="I265"/>
          <cell r="J265"/>
          <cell r="K265"/>
          <cell r="L265"/>
          <cell r="M265" t="str">
            <v>X</v>
          </cell>
          <cell r="N265" t="str">
            <v>X</v>
          </cell>
          <cell r="O265"/>
          <cell r="P265" t="str">
            <v>SITWHPOS162112</v>
          </cell>
          <cell r="Q265" t="str">
            <v>OSK</v>
          </cell>
          <cell r="R265" t="str">
            <v>SITC</v>
          </cell>
          <cell r="S265"/>
          <cell r="T265">
            <v>43210</v>
          </cell>
          <cell r="U265">
            <v>158</v>
          </cell>
          <cell r="V265" t="str">
            <v>SITC TIANJIN 1811N</v>
          </cell>
        </row>
        <row r="266">
          <cell r="B266" t="str">
            <v>V180587</v>
          </cell>
          <cell r="C266" t="str">
            <v>V180591</v>
          </cell>
          <cell r="D266" t="str">
            <v>V180603</v>
          </cell>
          <cell r="E266" t="str">
            <v>V180596</v>
          </cell>
          <cell r="F266" t="str">
            <v>V180598</v>
          </cell>
          <cell r="G266" t="str">
            <v>V180600</v>
          </cell>
          <cell r="H266"/>
          <cell r="I266"/>
          <cell r="J266"/>
          <cell r="K266"/>
          <cell r="L266"/>
          <cell r="M266" t="str">
            <v>X</v>
          </cell>
          <cell r="N266" t="str">
            <v>X</v>
          </cell>
          <cell r="O266"/>
          <cell r="P266" t="str">
            <v>SITWHPKW162108</v>
          </cell>
          <cell r="Q266" t="str">
            <v>KWS</v>
          </cell>
          <cell r="R266" t="str">
            <v>SITC</v>
          </cell>
          <cell r="S266"/>
          <cell r="T266">
            <v>43216</v>
          </cell>
          <cell r="U266">
            <v>152</v>
          </cell>
          <cell r="V266" t="str">
            <v>REFLECTION 1813N</v>
          </cell>
        </row>
        <row r="267">
          <cell r="B267" t="str">
            <v>V180588</v>
          </cell>
          <cell r="C267"/>
          <cell r="D267"/>
          <cell r="E267"/>
          <cell r="F267"/>
          <cell r="G267"/>
          <cell r="H267"/>
          <cell r="I267"/>
          <cell r="J267"/>
          <cell r="K267"/>
          <cell r="L267"/>
          <cell r="M267" t="str">
            <v>X</v>
          </cell>
          <cell r="N267" t="str">
            <v>X</v>
          </cell>
          <cell r="O267"/>
          <cell r="P267" t="str">
            <v>1008X01425</v>
          </cell>
          <cell r="Q267" t="str">
            <v>OSK</v>
          </cell>
          <cell r="R267" t="str">
            <v>WHL</v>
          </cell>
          <cell r="S267"/>
          <cell r="T267">
            <v>43209</v>
          </cell>
          <cell r="U267">
            <v>159</v>
          </cell>
          <cell r="V267" t="str">
            <v xml:space="preserve"> WAN HAI 266  N391 </v>
          </cell>
        </row>
        <row r="268">
          <cell r="B268" t="str">
            <v>V180589</v>
          </cell>
          <cell r="C268" t="str">
            <v>V180590</v>
          </cell>
          <cell r="D268" t="str">
            <v>V180594</v>
          </cell>
          <cell r="E268" t="str">
            <v>V180621</v>
          </cell>
          <cell r="F268"/>
          <cell r="G268"/>
          <cell r="H268"/>
          <cell r="I268"/>
          <cell r="J268"/>
          <cell r="K268"/>
          <cell r="L268"/>
          <cell r="M268" t="str">
            <v>X</v>
          </cell>
          <cell r="N268" t="str">
            <v>X</v>
          </cell>
          <cell r="O268"/>
          <cell r="P268" t="str">
            <v>SITWHPTK162109</v>
          </cell>
          <cell r="Q268" t="str">
            <v>TYO</v>
          </cell>
          <cell r="R268" t="str">
            <v>SITC</v>
          </cell>
          <cell r="S268"/>
          <cell r="T268">
            <v>43216</v>
          </cell>
          <cell r="U268">
            <v>152</v>
          </cell>
          <cell r="V268" t="str">
            <v>REFLECTION 1813N</v>
          </cell>
        </row>
        <row r="269">
          <cell r="B269" t="str">
            <v>V180592</v>
          </cell>
          <cell r="C269"/>
          <cell r="D269"/>
          <cell r="E269"/>
          <cell r="F269"/>
          <cell r="G269"/>
          <cell r="H269"/>
          <cell r="I269"/>
          <cell r="J269"/>
          <cell r="K269"/>
          <cell r="L269"/>
          <cell r="M269" t="str">
            <v>X</v>
          </cell>
          <cell r="N269" t="str">
            <v>X</v>
          </cell>
          <cell r="O269"/>
          <cell r="P269" t="str">
            <v>1008X01427</v>
          </cell>
          <cell r="Q269" t="str">
            <v>OSK</v>
          </cell>
          <cell r="R269" t="str">
            <v>WHL</v>
          </cell>
          <cell r="S269"/>
          <cell r="T269">
            <v>43211</v>
          </cell>
          <cell r="U269">
            <v>157</v>
          </cell>
          <cell r="V269" t="str">
            <v>IAL 001 N318</v>
          </cell>
        </row>
        <row r="270">
          <cell r="B270" t="str">
            <v>V180595</v>
          </cell>
          <cell r="C270"/>
          <cell r="D270"/>
          <cell r="E270"/>
          <cell r="F270"/>
          <cell r="G270"/>
          <cell r="H270"/>
          <cell r="I270"/>
          <cell r="J270"/>
          <cell r="K270"/>
          <cell r="L270"/>
          <cell r="M270" t="str">
            <v>X</v>
          </cell>
          <cell r="N270" t="str">
            <v>X</v>
          </cell>
          <cell r="O270"/>
          <cell r="P270" t="str">
            <v>SITWHPHT162835</v>
          </cell>
          <cell r="Q270" t="str">
            <v>HKT</v>
          </cell>
          <cell r="R270" t="str">
            <v>SITC</v>
          </cell>
          <cell r="S270"/>
          <cell r="T270">
            <v>43214</v>
          </cell>
          <cell r="U270">
            <v>154</v>
          </cell>
          <cell r="V270" t="str">
            <v>SITC OSAKA 1811N</v>
          </cell>
        </row>
        <row r="271">
          <cell r="B271" t="str">
            <v>V180597</v>
          </cell>
          <cell r="C271"/>
          <cell r="D271"/>
          <cell r="E271"/>
          <cell r="F271"/>
          <cell r="G271"/>
          <cell r="H271"/>
          <cell r="I271"/>
          <cell r="J271"/>
          <cell r="K271"/>
          <cell r="L271"/>
          <cell r="M271" t="str">
            <v>X</v>
          </cell>
          <cell r="N271" t="str">
            <v>X</v>
          </cell>
          <cell r="O271"/>
          <cell r="P271" t="str">
            <v>SITWHPOS162856</v>
          </cell>
          <cell r="Q271" t="str">
            <v>OSK</v>
          </cell>
          <cell r="R271" t="str">
            <v>SITC</v>
          </cell>
          <cell r="S271"/>
          <cell r="T271">
            <v>43214</v>
          </cell>
          <cell r="U271">
            <v>154</v>
          </cell>
          <cell r="V271" t="str">
            <v>SITC OSAKA 1811N</v>
          </cell>
        </row>
        <row r="272">
          <cell r="B272" t="str">
            <v>V180599</v>
          </cell>
          <cell r="C272" t="str">
            <v>V180601</v>
          </cell>
          <cell r="D272" t="str">
            <v>V180602</v>
          </cell>
          <cell r="E272" t="str">
            <v>V180608</v>
          </cell>
          <cell r="F272" t="str">
            <v>V180619</v>
          </cell>
          <cell r="G272" t="str">
            <v>V180631</v>
          </cell>
          <cell r="M272" t="str">
            <v>X</v>
          </cell>
          <cell r="N272" t="str">
            <v>X</v>
          </cell>
          <cell r="O272"/>
          <cell r="P272" t="str">
            <v>1008X01510</v>
          </cell>
          <cell r="Q272" t="str">
            <v>OSK</v>
          </cell>
          <cell r="R272" t="str">
            <v>WHL</v>
          </cell>
          <cell r="S272"/>
          <cell r="T272">
            <v>43215</v>
          </cell>
          <cell r="U272">
            <v>153</v>
          </cell>
          <cell r="V272" t="str">
            <v xml:space="preserve"> AS FRIDA N001 </v>
          </cell>
        </row>
        <row r="273">
          <cell r="B273" t="str">
            <v>V180604</v>
          </cell>
          <cell r="C273"/>
          <cell r="D273"/>
          <cell r="E273"/>
          <cell r="F273"/>
          <cell r="G273"/>
          <cell r="H273"/>
          <cell r="I273"/>
          <cell r="J273"/>
          <cell r="K273"/>
          <cell r="L273"/>
          <cell r="M273" t="str">
            <v>X</v>
          </cell>
          <cell r="N273" t="str">
            <v>X</v>
          </cell>
          <cell r="O273"/>
          <cell r="P273">
            <v>350810036226</v>
          </cell>
          <cell r="Q273" t="str">
            <v>TPE</v>
          </cell>
          <cell r="R273" t="str">
            <v>TSL</v>
          </cell>
          <cell r="S273"/>
          <cell r="T273">
            <v>43212</v>
          </cell>
          <cell r="U273">
            <v>156</v>
          </cell>
          <cell r="V273" t="str">
            <v>HANSE ENDURANCE 18007N</v>
          </cell>
        </row>
        <row r="274">
          <cell r="B274" t="str">
            <v>V180605</v>
          </cell>
          <cell r="C274" t="str">
            <v>V180612</v>
          </cell>
          <cell r="D274" t="str">
            <v>V180616</v>
          </cell>
          <cell r="E274" t="str">
            <v>V180629</v>
          </cell>
          <cell r="F274"/>
          <cell r="G274"/>
          <cell r="H274"/>
          <cell r="I274"/>
          <cell r="J274"/>
          <cell r="K274"/>
          <cell r="L274"/>
          <cell r="M274" t="str">
            <v>X</v>
          </cell>
          <cell r="N274" t="str">
            <v>X</v>
          </cell>
          <cell r="O274"/>
          <cell r="P274" t="str">
            <v>1008X01558</v>
          </cell>
          <cell r="Q274" t="str">
            <v>TYO</v>
          </cell>
          <cell r="R274" t="str">
            <v>WHL</v>
          </cell>
          <cell r="S274"/>
          <cell r="T274">
            <v>43216</v>
          </cell>
          <cell r="U274">
            <v>152</v>
          </cell>
          <cell r="V274" t="str">
            <v>MOONCHILD N026</v>
          </cell>
        </row>
        <row r="275">
          <cell r="B275" t="str">
            <v>V180606</v>
          </cell>
          <cell r="C275" t="str">
            <v>V180630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 t="str">
            <v>X</v>
          </cell>
          <cell r="N275" t="str">
            <v>X</v>
          </cell>
          <cell r="O275"/>
          <cell r="P275">
            <v>350810036066</v>
          </cell>
          <cell r="Q275" t="str">
            <v>TYO</v>
          </cell>
          <cell r="R275" t="str">
            <v>TSL</v>
          </cell>
          <cell r="S275"/>
          <cell r="T275">
            <v>43219</v>
          </cell>
          <cell r="U275">
            <v>149</v>
          </cell>
          <cell r="V275" t="str">
            <v>LANTAU BEE 18006N</v>
          </cell>
        </row>
        <row r="276">
          <cell r="B276" t="str">
            <v>V180607</v>
          </cell>
          <cell r="C276" t="str">
            <v>V180613</v>
          </cell>
          <cell r="D276" t="str">
            <v>V180618</v>
          </cell>
          <cell r="E276"/>
          <cell r="F276"/>
          <cell r="G276"/>
          <cell r="H276"/>
          <cell r="I276"/>
          <cell r="J276"/>
          <cell r="K276"/>
          <cell r="L276"/>
          <cell r="M276" t="str">
            <v>X</v>
          </cell>
          <cell r="N276" t="str">
            <v>X</v>
          </cell>
          <cell r="O276"/>
          <cell r="P276" t="str">
            <v>SITWHPKW162830</v>
          </cell>
          <cell r="Q276" t="str">
            <v>KWS</v>
          </cell>
          <cell r="R276" t="str">
            <v>SITC</v>
          </cell>
          <cell r="S276"/>
          <cell r="T276">
            <v>43216</v>
          </cell>
          <cell r="U276">
            <v>152</v>
          </cell>
          <cell r="V276" t="str">
            <v>REFLECTION 1813N</v>
          </cell>
        </row>
        <row r="277">
          <cell r="B277" t="str">
            <v>V180609</v>
          </cell>
          <cell r="C277" t="str">
            <v>V180620</v>
          </cell>
          <cell r="D277" t="str">
            <v>V180622</v>
          </cell>
          <cell r="E277"/>
          <cell r="F277"/>
          <cell r="G277"/>
          <cell r="H277"/>
          <cell r="I277"/>
          <cell r="J277"/>
          <cell r="K277"/>
          <cell r="L277"/>
          <cell r="M277" t="str">
            <v>X</v>
          </cell>
          <cell r="N277" t="str">
            <v>X</v>
          </cell>
          <cell r="O277"/>
          <cell r="P277" t="str">
            <v>1008X01564</v>
          </cell>
          <cell r="Q277" t="str">
            <v>HKT</v>
          </cell>
          <cell r="R277" t="str">
            <v>WHL</v>
          </cell>
          <cell r="S277"/>
          <cell r="T277">
            <v>43223</v>
          </cell>
          <cell r="U277">
            <v>145</v>
          </cell>
          <cell r="V277" t="str">
            <v>WAN HAI 205 N469</v>
          </cell>
        </row>
        <row r="278">
          <cell r="B278" t="str">
            <v>V180610</v>
          </cell>
          <cell r="C278" t="str">
            <v>V180623</v>
          </cell>
          <cell r="D278"/>
          <cell r="E278"/>
          <cell r="F278"/>
          <cell r="G278"/>
          <cell r="H278"/>
          <cell r="I278"/>
          <cell r="J278"/>
          <cell r="K278"/>
          <cell r="L278"/>
          <cell r="M278" t="str">
            <v>X</v>
          </cell>
          <cell r="N278" t="str">
            <v>X</v>
          </cell>
          <cell r="O278"/>
          <cell r="P278" t="str">
            <v>KMTCHPH0535079</v>
          </cell>
          <cell r="Q278" t="str">
            <v>ISH</v>
          </cell>
          <cell r="R278" t="str">
            <v>KMTC</v>
          </cell>
          <cell r="S278"/>
          <cell r="T278">
            <v>43220</v>
          </cell>
          <cell r="U278">
            <v>148</v>
          </cell>
          <cell r="V278" t="str">
            <v>SUNNY CANNA 1808N</v>
          </cell>
        </row>
        <row r="279">
          <cell r="B279" t="str">
            <v>V180611</v>
          </cell>
          <cell r="C279"/>
          <cell r="D279"/>
          <cell r="E279"/>
          <cell r="F279"/>
          <cell r="G279"/>
          <cell r="H279"/>
          <cell r="I279"/>
          <cell r="J279"/>
          <cell r="K279"/>
          <cell r="L279"/>
          <cell r="M279" t="str">
            <v>X</v>
          </cell>
          <cell r="N279" t="str">
            <v>X</v>
          </cell>
          <cell r="O279"/>
          <cell r="P279" t="str">
            <v>OOLU2603235060</v>
          </cell>
          <cell r="Q279" t="str">
            <v>TYO</v>
          </cell>
          <cell r="R279" t="str">
            <v>OOCL</v>
          </cell>
          <cell r="S279"/>
          <cell r="T279">
            <v>43215</v>
          </cell>
          <cell r="U279">
            <v>153</v>
          </cell>
          <cell r="V279" t="str">
            <v>OLIVIA 105N</v>
          </cell>
        </row>
        <row r="280">
          <cell r="B280" t="str">
            <v>V180614</v>
          </cell>
          <cell r="C280"/>
          <cell r="D280"/>
          <cell r="E280"/>
          <cell r="F280"/>
          <cell r="G280"/>
          <cell r="H280"/>
          <cell r="I280"/>
          <cell r="J280"/>
          <cell r="K280"/>
          <cell r="L280"/>
          <cell r="M280" t="str">
            <v>X</v>
          </cell>
          <cell r="N280" t="str">
            <v>X</v>
          </cell>
          <cell r="O280"/>
          <cell r="P280" t="str">
            <v>1008X01561</v>
          </cell>
          <cell r="Q280" t="str">
            <v>NGO</v>
          </cell>
          <cell r="R280" t="str">
            <v>WHL</v>
          </cell>
          <cell r="S280"/>
          <cell r="T280">
            <v>43215</v>
          </cell>
          <cell r="U280">
            <v>153</v>
          </cell>
          <cell r="V280" t="str">
            <v xml:space="preserve">AS FRIDA N001 </v>
          </cell>
        </row>
        <row r="281">
          <cell r="B281" t="str">
            <v>V180615</v>
          </cell>
          <cell r="C281"/>
          <cell r="D281"/>
          <cell r="E281"/>
          <cell r="F281"/>
          <cell r="G281"/>
          <cell r="H281"/>
          <cell r="I281"/>
          <cell r="J281"/>
          <cell r="K281"/>
          <cell r="L281"/>
          <cell r="M281" t="str">
            <v>X</v>
          </cell>
          <cell r="N281" t="str">
            <v>X</v>
          </cell>
          <cell r="O281"/>
          <cell r="P281" t="str">
            <v>EGLV237800115556</v>
          </cell>
          <cell r="Q281" t="str">
            <v>OSK</v>
          </cell>
          <cell r="R281" t="str">
            <v>EGLV</v>
          </cell>
          <cell r="S281"/>
          <cell r="T281">
            <v>43216</v>
          </cell>
          <cell r="U281">
            <v>152</v>
          </cell>
          <cell r="V281" t="str">
            <v>MOONCHILD N026</v>
          </cell>
        </row>
        <row r="282">
          <cell r="B282" t="str">
            <v>V180617</v>
          </cell>
          <cell r="C282" t="str">
            <v>V180633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 t="str">
            <v>X</v>
          </cell>
          <cell r="N282" t="str">
            <v>X</v>
          </cell>
          <cell r="O282"/>
          <cell r="P282" t="str">
            <v>1008X01559</v>
          </cell>
          <cell r="Q282" t="str">
            <v>TYO</v>
          </cell>
          <cell r="R282" t="str">
            <v>WHL</v>
          </cell>
          <cell r="S282"/>
          <cell r="T282">
            <v>43216</v>
          </cell>
          <cell r="U282">
            <v>152</v>
          </cell>
          <cell r="V282" t="str">
            <v>MOONCHILD N026</v>
          </cell>
        </row>
        <row r="283">
          <cell r="B283" t="str">
            <v>V180624</v>
          </cell>
          <cell r="C283" t="str">
            <v>V180637</v>
          </cell>
          <cell r="D283" t="str">
            <v>V180638</v>
          </cell>
          <cell r="E283"/>
          <cell r="F283"/>
          <cell r="G283"/>
          <cell r="H283"/>
          <cell r="I283"/>
          <cell r="J283"/>
          <cell r="K283"/>
          <cell r="L283"/>
          <cell r="M283" t="str">
            <v>X</v>
          </cell>
          <cell r="N283" t="str">
            <v>X</v>
          </cell>
          <cell r="O283"/>
          <cell r="P283" t="str">
            <v>SITWHPTK162842</v>
          </cell>
          <cell r="Q283" t="str">
            <v>TYO</v>
          </cell>
          <cell r="R283" t="str">
            <v>SITC</v>
          </cell>
          <cell r="S283"/>
          <cell r="T283">
            <v>43223</v>
          </cell>
          <cell r="U283">
            <v>145</v>
          </cell>
          <cell r="V283" t="str">
            <v>EPONYMA 1813N</v>
          </cell>
        </row>
        <row r="284">
          <cell r="B284" t="str">
            <v>V180625</v>
          </cell>
          <cell r="C284" t="str">
            <v>V180634</v>
          </cell>
          <cell r="D284" t="str">
            <v>V180640</v>
          </cell>
          <cell r="E284" t="str">
            <v>V180644</v>
          </cell>
          <cell r="F284"/>
          <cell r="G284"/>
          <cell r="H284"/>
          <cell r="I284"/>
          <cell r="J284"/>
          <cell r="K284"/>
          <cell r="L284"/>
          <cell r="M284" t="str">
            <v>X</v>
          </cell>
          <cell r="N284" t="str">
            <v>X</v>
          </cell>
          <cell r="O284"/>
          <cell r="P284" t="str">
            <v>SITWHPKW162832</v>
          </cell>
          <cell r="Q284" t="str">
            <v>KWS</v>
          </cell>
          <cell r="R284" t="str">
            <v>SITC</v>
          </cell>
          <cell r="S284"/>
          <cell r="T284">
            <v>43223</v>
          </cell>
          <cell r="U284">
            <v>145</v>
          </cell>
          <cell r="V284" t="str">
            <v>EPONYMA 1813N</v>
          </cell>
        </row>
        <row r="285">
          <cell r="B285" t="str">
            <v>V180626</v>
          </cell>
          <cell r="C285" t="str">
            <v>V180635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 t="str">
            <v>X</v>
          </cell>
          <cell r="N285" t="str">
            <v>X</v>
          </cell>
          <cell r="O285"/>
          <cell r="P285" t="str">
            <v>SITWHPOS162839</v>
          </cell>
          <cell r="Q285" t="str">
            <v>OSK</v>
          </cell>
          <cell r="R285" t="str">
            <v>SITC</v>
          </cell>
          <cell r="S285"/>
          <cell r="T285">
            <v>43221</v>
          </cell>
          <cell r="U285">
            <v>147</v>
          </cell>
          <cell r="V285" t="str">
            <v>SITC WEIHAI 1811N</v>
          </cell>
        </row>
        <row r="286">
          <cell r="B286" t="str">
            <v>V180627</v>
          </cell>
          <cell r="C286"/>
          <cell r="D286"/>
          <cell r="E286"/>
          <cell r="F286"/>
          <cell r="G286"/>
          <cell r="H286"/>
          <cell r="I286"/>
          <cell r="J286"/>
          <cell r="K286"/>
          <cell r="L286"/>
          <cell r="M286" t="str">
            <v>X</v>
          </cell>
          <cell r="N286" t="str">
            <v>X</v>
          </cell>
          <cell r="O286"/>
          <cell r="P286">
            <v>350810036073</v>
          </cell>
          <cell r="Q286" t="str">
            <v>TPE</v>
          </cell>
          <cell r="R286" t="str">
            <v>TSL</v>
          </cell>
          <cell r="S286"/>
          <cell r="T286">
            <v>43219</v>
          </cell>
          <cell r="U286">
            <v>149</v>
          </cell>
          <cell r="V286" t="str">
            <v>LANTAU BEE 18006N</v>
          </cell>
        </row>
        <row r="287">
          <cell r="B287" t="str">
            <v>V180628</v>
          </cell>
          <cell r="C287"/>
          <cell r="D287"/>
          <cell r="E287"/>
          <cell r="F287"/>
          <cell r="G287"/>
          <cell r="H287"/>
          <cell r="I287"/>
          <cell r="J287"/>
          <cell r="K287"/>
          <cell r="L287"/>
          <cell r="M287" t="str">
            <v>X</v>
          </cell>
          <cell r="N287" t="str">
            <v>X</v>
          </cell>
          <cell r="O287"/>
          <cell r="P287" t="str">
            <v>SNL8HPCL000614</v>
          </cell>
          <cell r="Q287" t="str">
            <v>SHA</v>
          </cell>
          <cell r="R287" t="str">
            <v>SNL</v>
          </cell>
          <cell r="S287"/>
          <cell r="T287">
            <v>43228</v>
          </cell>
          <cell r="U287">
            <v>140</v>
          </cell>
          <cell r="V287" t="str">
            <v>ALS SUMIRE 1816N</v>
          </cell>
        </row>
        <row r="288">
          <cell r="B288" t="str">
            <v>V180632</v>
          </cell>
          <cell r="C288"/>
          <cell r="D288"/>
          <cell r="E288"/>
          <cell r="F288"/>
          <cell r="G288"/>
          <cell r="H288"/>
          <cell r="I288"/>
          <cell r="J288"/>
          <cell r="K288"/>
          <cell r="L288"/>
          <cell r="M288" t="str">
            <v>X</v>
          </cell>
          <cell r="N288" t="str">
            <v>X</v>
          </cell>
          <cell r="O288"/>
          <cell r="P288">
            <v>350810037681</v>
          </cell>
          <cell r="Q288" t="str">
            <v>TYO</v>
          </cell>
          <cell r="R288" t="str">
            <v>TSL</v>
          </cell>
          <cell r="S288"/>
          <cell r="T288">
            <v>43212</v>
          </cell>
          <cell r="U288">
            <v>156</v>
          </cell>
          <cell r="V288" t="str">
            <v>HANSE ENDURANCE 18007N</v>
          </cell>
        </row>
        <row r="289">
          <cell r="B289" t="str">
            <v>V180636</v>
          </cell>
          <cell r="C289"/>
          <cell r="D289"/>
          <cell r="E289"/>
          <cell r="F289"/>
          <cell r="G289"/>
          <cell r="H289"/>
          <cell r="I289"/>
          <cell r="J289"/>
          <cell r="K289"/>
          <cell r="L289"/>
          <cell r="M289" t="str">
            <v>X</v>
          </cell>
          <cell r="N289" t="str">
            <v>X</v>
          </cell>
          <cell r="O289"/>
          <cell r="P289" t="str">
            <v>SITWHPHT163626</v>
          </cell>
          <cell r="Q289" t="str">
            <v>HKT</v>
          </cell>
          <cell r="R289" t="str">
            <v>SITC</v>
          </cell>
          <cell r="S289"/>
          <cell r="T289">
            <v>43221</v>
          </cell>
          <cell r="U289">
            <v>147</v>
          </cell>
          <cell r="V289" t="str">
            <v>SITC WEIHAI 1811N</v>
          </cell>
        </row>
        <row r="290">
          <cell r="B290" t="str">
            <v>V180639</v>
          </cell>
          <cell r="C290" t="str">
            <v>V180642</v>
          </cell>
          <cell r="D290" t="str">
            <v>V180649</v>
          </cell>
          <cell r="E290" t="str">
            <v>V180650</v>
          </cell>
          <cell r="M290" t="str">
            <v>X</v>
          </cell>
          <cell r="N290" t="str">
            <v>X</v>
          </cell>
          <cell r="O290"/>
          <cell r="P290" t="str">
            <v>1008X01567</v>
          </cell>
          <cell r="Q290" t="str">
            <v>TYO</v>
          </cell>
          <cell r="R290" t="str">
            <v>WHL</v>
          </cell>
          <cell r="S290"/>
          <cell r="T290">
            <v>43222</v>
          </cell>
          <cell r="U290">
            <v>146</v>
          </cell>
          <cell r="V290" t="str">
            <v>WAN HAI 267 N265</v>
          </cell>
        </row>
        <row r="291">
          <cell r="B291" t="str">
            <v>V180641</v>
          </cell>
          <cell r="C291" t="str">
            <v>V180646</v>
          </cell>
          <cell r="D291" t="str">
            <v>V180653</v>
          </cell>
          <cell r="E291"/>
          <cell r="F291"/>
          <cell r="G291"/>
          <cell r="H291"/>
          <cell r="I291"/>
          <cell r="J291"/>
          <cell r="K291"/>
          <cell r="L291"/>
          <cell r="M291" t="str">
            <v>X</v>
          </cell>
          <cell r="N291" t="str">
            <v>X</v>
          </cell>
          <cell r="O291"/>
          <cell r="P291" t="str">
            <v>1008A01965</v>
          </cell>
          <cell r="Q291" t="str">
            <v>OSK</v>
          </cell>
          <cell r="R291" t="str">
            <v>WHL</v>
          </cell>
          <cell r="S291"/>
          <cell r="T291">
            <v>43222</v>
          </cell>
          <cell r="U291">
            <v>146</v>
          </cell>
          <cell r="V291" t="str">
            <v>WAN HAI 267 N265</v>
          </cell>
        </row>
        <row r="292">
          <cell r="B292" t="str">
            <v>V180643</v>
          </cell>
          <cell r="C292"/>
          <cell r="D292"/>
          <cell r="E292"/>
          <cell r="F292"/>
          <cell r="G292"/>
          <cell r="H292"/>
          <cell r="I292"/>
          <cell r="J292"/>
          <cell r="K292"/>
          <cell r="L292"/>
          <cell r="M292" t="str">
            <v>X</v>
          </cell>
          <cell r="N292" t="str">
            <v>X</v>
          </cell>
          <cell r="O292"/>
          <cell r="P292" t="str">
            <v>1008X01691</v>
          </cell>
          <cell r="Q292" t="str">
            <v>OSK</v>
          </cell>
          <cell r="R292" t="str">
            <v>WHL</v>
          </cell>
          <cell r="S292"/>
          <cell r="T292">
            <v>43222</v>
          </cell>
          <cell r="U292">
            <v>146</v>
          </cell>
          <cell r="V292" t="str">
            <v xml:space="preserve">AS FIONA  N003  </v>
          </cell>
        </row>
        <row r="293">
          <cell r="B293" t="str">
            <v>V180645</v>
          </cell>
          <cell r="C293"/>
          <cell r="D293"/>
          <cell r="E293"/>
          <cell r="F293"/>
          <cell r="G293"/>
          <cell r="H293"/>
          <cell r="I293"/>
          <cell r="J293"/>
          <cell r="K293"/>
          <cell r="L293"/>
          <cell r="M293" t="str">
            <v>X</v>
          </cell>
          <cell r="N293" t="str">
            <v>X</v>
          </cell>
          <cell r="O293"/>
          <cell r="P293" t="str">
            <v>1008X01757</v>
          </cell>
          <cell r="Q293" t="str">
            <v>NGO</v>
          </cell>
          <cell r="R293" t="str">
            <v>WHL</v>
          </cell>
          <cell r="S293"/>
          <cell r="T293">
            <v>43223</v>
          </cell>
          <cell r="U293">
            <v>145</v>
          </cell>
          <cell r="V293" t="str">
            <v>WAN HAI 171 S240</v>
          </cell>
        </row>
        <row r="294">
          <cell r="B294" t="str">
            <v>V180647</v>
          </cell>
          <cell r="C294"/>
          <cell r="D294"/>
          <cell r="E294"/>
          <cell r="F294"/>
          <cell r="G294"/>
          <cell r="H294"/>
          <cell r="I294"/>
          <cell r="J294"/>
          <cell r="K294"/>
          <cell r="L294"/>
          <cell r="M294" t="str">
            <v>X</v>
          </cell>
          <cell r="N294" t="str">
            <v>X</v>
          </cell>
          <cell r="O294"/>
          <cell r="P294" t="str">
            <v>1008X01756</v>
          </cell>
          <cell r="Q294" t="str">
            <v>HKT</v>
          </cell>
          <cell r="R294" t="str">
            <v>WHL</v>
          </cell>
          <cell r="S294"/>
          <cell r="T294">
            <v>43223</v>
          </cell>
          <cell r="U294">
            <v>145</v>
          </cell>
          <cell r="V294" t="str">
            <v>WAN HAI 205 N469</v>
          </cell>
        </row>
        <row r="295">
          <cell r="B295" t="str">
            <v>V180648</v>
          </cell>
          <cell r="C295" t="str">
            <v>V180655</v>
          </cell>
          <cell r="D295"/>
          <cell r="E295"/>
          <cell r="F295"/>
          <cell r="G295"/>
          <cell r="H295"/>
          <cell r="I295"/>
          <cell r="J295"/>
          <cell r="K295"/>
          <cell r="L295"/>
          <cell r="M295" t="str">
            <v>X</v>
          </cell>
          <cell r="N295" t="str">
            <v>X</v>
          </cell>
          <cell r="O295"/>
          <cell r="P295" t="str">
            <v>KMTCHPH0535333</v>
          </cell>
          <cell r="Q295" t="str">
            <v>ISH</v>
          </cell>
          <cell r="R295" t="str">
            <v>KMTC</v>
          </cell>
          <cell r="S295"/>
          <cell r="T295">
            <v>43227</v>
          </cell>
          <cell r="U295">
            <v>141</v>
          </cell>
          <cell r="V295" t="str">
            <v>HONGKONG VOYAGER 0074N</v>
          </cell>
        </row>
        <row r="296">
          <cell r="B296" t="str">
            <v>V180651</v>
          </cell>
          <cell r="C296"/>
          <cell r="D296"/>
          <cell r="E296"/>
          <cell r="F296"/>
          <cell r="G296"/>
          <cell r="H296"/>
          <cell r="I296"/>
          <cell r="J296"/>
          <cell r="K296"/>
          <cell r="L296"/>
          <cell r="M296" t="str">
            <v>X</v>
          </cell>
          <cell r="N296" t="str">
            <v>X</v>
          </cell>
          <cell r="O296"/>
          <cell r="P296" t="str">
            <v>OOLU2603658800</v>
          </cell>
          <cell r="Q296" t="str">
            <v>TYO</v>
          </cell>
          <cell r="R296" t="str">
            <v>OOCL</v>
          </cell>
          <cell r="S296"/>
          <cell r="T296">
            <v>43223</v>
          </cell>
          <cell r="U296">
            <v>145</v>
          </cell>
          <cell r="V296" t="str">
            <v>AS RICCARDA 103N</v>
          </cell>
        </row>
        <row r="297">
          <cell r="B297" t="str">
            <v>V180652</v>
          </cell>
          <cell r="C297" t="str">
            <v>V180659</v>
          </cell>
          <cell r="D297" t="str">
            <v>V180667</v>
          </cell>
          <cell r="E297"/>
          <cell r="F297"/>
          <cell r="G297"/>
          <cell r="H297"/>
          <cell r="I297"/>
          <cell r="J297"/>
          <cell r="K297"/>
          <cell r="L297"/>
          <cell r="M297" t="str">
            <v>X</v>
          </cell>
          <cell r="N297" t="str">
            <v>X</v>
          </cell>
          <cell r="O297"/>
          <cell r="P297" t="str">
            <v>SITWHPKW163665</v>
          </cell>
          <cell r="Q297" t="str">
            <v>KWS</v>
          </cell>
          <cell r="R297" t="str">
            <v>SITC</v>
          </cell>
          <cell r="S297"/>
          <cell r="T297">
            <v>43228</v>
          </cell>
          <cell r="U297">
            <v>140</v>
          </cell>
          <cell r="V297" t="str">
            <v>RESURGENCE 1811N</v>
          </cell>
        </row>
        <row r="298">
          <cell r="B298" t="str">
            <v>V180654</v>
          </cell>
          <cell r="C298" t="str">
            <v>V180661</v>
          </cell>
          <cell r="D298" t="str">
            <v>V180669</v>
          </cell>
          <cell r="E298"/>
          <cell r="F298"/>
          <cell r="G298"/>
          <cell r="H298"/>
          <cell r="I298"/>
          <cell r="J298"/>
          <cell r="K298"/>
          <cell r="L298"/>
          <cell r="M298" t="str">
            <v>X</v>
          </cell>
          <cell r="N298" t="str">
            <v>X</v>
          </cell>
          <cell r="O298"/>
          <cell r="P298" t="str">
            <v>SITWHPHT163760</v>
          </cell>
          <cell r="Q298" t="str">
            <v>HKT</v>
          </cell>
          <cell r="R298" t="str">
            <v>SITC</v>
          </cell>
          <cell r="S298"/>
          <cell r="T298">
            <v>43227</v>
          </cell>
          <cell r="U298">
            <v>141</v>
          </cell>
          <cell r="V298" t="str">
            <v>SITC YANTAI 1811N</v>
          </cell>
        </row>
        <row r="299">
          <cell r="B299" t="str">
            <v>V180656</v>
          </cell>
          <cell r="C299"/>
          <cell r="D299"/>
          <cell r="E299"/>
          <cell r="F299"/>
          <cell r="G299"/>
          <cell r="H299"/>
          <cell r="I299"/>
          <cell r="J299"/>
          <cell r="K299"/>
          <cell r="L299"/>
          <cell r="M299" t="str">
            <v>X</v>
          </cell>
          <cell r="N299" t="str">
            <v>X</v>
          </cell>
          <cell r="O299"/>
          <cell r="P299" t="str">
            <v>1008X01767</v>
          </cell>
          <cell r="Q299" t="str">
            <v>TYO</v>
          </cell>
          <cell r="R299" t="str">
            <v>WHL</v>
          </cell>
          <cell r="S299"/>
          <cell r="T299">
            <v>43226</v>
          </cell>
          <cell r="U299">
            <v>142</v>
          </cell>
          <cell r="V299" t="str">
            <v>IAL 001 N320</v>
          </cell>
        </row>
        <row r="300">
          <cell r="B300" t="str">
            <v>V180657</v>
          </cell>
          <cell r="C300" t="str">
            <v>V180658</v>
          </cell>
          <cell r="D300" t="str">
            <v>V180665</v>
          </cell>
          <cell r="E300" t="str">
            <v>V180666</v>
          </cell>
          <cell r="F300"/>
          <cell r="G300"/>
          <cell r="H300"/>
          <cell r="I300"/>
          <cell r="J300"/>
          <cell r="K300"/>
          <cell r="L300"/>
          <cell r="M300" t="str">
            <v>X</v>
          </cell>
          <cell r="N300" t="str">
            <v>X</v>
          </cell>
          <cell r="O300"/>
          <cell r="P300">
            <v>350810039500</v>
          </cell>
          <cell r="Q300" t="str">
            <v>TYO</v>
          </cell>
          <cell r="R300" t="str">
            <v>TSL</v>
          </cell>
          <cell r="S300"/>
          <cell r="T300">
            <v>43227</v>
          </cell>
          <cell r="U300">
            <v>141</v>
          </cell>
          <cell r="V300" t="str">
            <v>LANTAU BRIDE 18009N</v>
          </cell>
        </row>
        <row r="301">
          <cell r="B301" t="str">
            <v>V180660</v>
          </cell>
          <cell r="C301" t="str">
            <v>V180668</v>
          </cell>
          <cell r="D301"/>
          <cell r="E301"/>
          <cell r="F301"/>
          <cell r="G301"/>
          <cell r="H301"/>
          <cell r="I301"/>
          <cell r="J301"/>
          <cell r="K301"/>
          <cell r="L301"/>
          <cell r="M301" t="str">
            <v>X</v>
          </cell>
          <cell r="N301" t="str">
            <v>X</v>
          </cell>
          <cell r="O301"/>
          <cell r="P301" t="str">
            <v>SITWHPOS163667</v>
          </cell>
          <cell r="Q301" t="str">
            <v>OSK</v>
          </cell>
          <cell r="R301" t="str">
            <v>SITC</v>
          </cell>
          <cell r="S301"/>
          <cell r="T301">
            <v>43227</v>
          </cell>
          <cell r="U301">
            <v>141</v>
          </cell>
          <cell r="V301" t="str">
            <v>SITC YANTAI 1811N</v>
          </cell>
        </row>
        <row r="302">
          <cell r="B302" t="str">
            <v>V180662</v>
          </cell>
          <cell r="C302"/>
          <cell r="D302"/>
          <cell r="E302"/>
          <cell r="F302"/>
          <cell r="G302"/>
          <cell r="H302"/>
          <cell r="I302"/>
          <cell r="J302"/>
          <cell r="K302"/>
          <cell r="L302"/>
          <cell r="M302" t="str">
            <v>X</v>
          </cell>
          <cell r="N302" t="str">
            <v>X</v>
          </cell>
          <cell r="O302"/>
          <cell r="P302">
            <v>350810041817</v>
          </cell>
          <cell r="Q302" t="str">
            <v>TPE</v>
          </cell>
          <cell r="R302" t="str">
            <v>TSL</v>
          </cell>
          <cell r="S302"/>
          <cell r="T302">
            <v>43227</v>
          </cell>
          <cell r="U302">
            <v>141</v>
          </cell>
          <cell r="V302" t="str">
            <v>LANTAU BRIDE 18009N</v>
          </cell>
        </row>
        <row r="303">
          <cell r="B303" t="str">
            <v>V180663</v>
          </cell>
          <cell r="C303"/>
          <cell r="D303"/>
          <cell r="E303"/>
          <cell r="F303"/>
          <cell r="G303"/>
          <cell r="H303"/>
          <cell r="I303"/>
          <cell r="J303"/>
          <cell r="K303"/>
          <cell r="L303"/>
          <cell r="M303" t="str">
            <v>X</v>
          </cell>
          <cell r="N303" t="str">
            <v>X</v>
          </cell>
          <cell r="O303"/>
          <cell r="P303" t="str">
            <v>SNL8HPCL000682</v>
          </cell>
          <cell r="Q303" t="str">
            <v>SHA</v>
          </cell>
          <cell r="R303" t="str">
            <v>SNL</v>
          </cell>
          <cell r="S303"/>
          <cell r="T303">
            <v>43235</v>
          </cell>
          <cell r="U303">
            <v>133</v>
          </cell>
          <cell r="V303" t="str">
            <v>WISDOM GRACE 1817N</v>
          </cell>
        </row>
        <row r="304">
          <cell r="B304" t="str">
            <v>V180664</v>
          </cell>
          <cell r="C304"/>
          <cell r="D304"/>
          <cell r="E304"/>
          <cell r="F304"/>
          <cell r="G304"/>
          <cell r="H304"/>
          <cell r="I304"/>
          <cell r="J304"/>
          <cell r="K304"/>
          <cell r="L304"/>
          <cell r="M304" t="str">
            <v>X</v>
          </cell>
          <cell r="N304" t="str">
            <v>X</v>
          </cell>
          <cell r="O304"/>
          <cell r="P304" t="str">
            <v>APLU074554706</v>
          </cell>
          <cell r="Q304" t="str">
            <v>NAHA</v>
          </cell>
          <cell r="R304" t="str">
            <v>APL</v>
          </cell>
          <cell r="S304"/>
          <cell r="T304">
            <v>43225</v>
          </cell>
          <cell r="U304">
            <v>143</v>
          </cell>
          <cell r="V304" t="str">
            <v>ASIATIC DAWN 035E</v>
          </cell>
        </row>
        <row r="305">
          <cell r="B305" t="str">
            <v>V180670</v>
          </cell>
          <cell r="C305" t="str">
            <v>V180672</v>
          </cell>
          <cell r="D305" t="str">
            <v>V180679</v>
          </cell>
          <cell r="E305" t="str">
            <v>V180683</v>
          </cell>
          <cell r="F305" t="str">
            <v>V180688</v>
          </cell>
          <cell r="M305" t="str">
            <v>X</v>
          </cell>
          <cell r="N305" t="str">
            <v>X</v>
          </cell>
          <cell r="O305"/>
          <cell r="P305" t="str">
            <v>SITWHPKW164029</v>
          </cell>
          <cell r="Q305" t="str">
            <v>KWS</v>
          </cell>
          <cell r="R305" t="str">
            <v>SITC</v>
          </cell>
          <cell r="S305"/>
          <cell r="T305">
            <v>43233</v>
          </cell>
          <cell r="U305">
            <v>135</v>
          </cell>
          <cell r="V305" t="str">
            <v>SITC KAOHSIUNG 1813N</v>
          </cell>
        </row>
        <row r="306">
          <cell r="B306" t="str">
            <v>V180671</v>
          </cell>
          <cell r="C306" t="str">
            <v>V180680</v>
          </cell>
          <cell r="D306" t="str">
            <v>V180684</v>
          </cell>
          <cell r="E306"/>
          <cell r="F306"/>
          <cell r="G306"/>
          <cell r="H306"/>
          <cell r="I306"/>
          <cell r="J306"/>
          <cell r="K306"/>
          <cell r="L306"/>
          <cell r="M306" t="str">
            <v>X</v>
          </cell>
          <cell r="N306" t="str">
            <v>X</v>
          </cell>
          <cell r="O306"/>
          <cell r="P306" t="str">
            <v>1008X01846</v>
          </cell>
          <cell r="Q306" t="str">
            <v>OSK</v>
          </cell>
          <cell r="R306" t="str">
            <v>WHL</v>
          </cell>
          <cell r="S306"/>
          <cell r="T306">
            <v>43229</v>
          </cell>
          <cell r="U306">
            <v>139</v>
          </cell>
          <cell r="V306" t="str">
            <v xml:space="preserve">AS ROBERTA N002 </v>
          </cell>
        </row>
        <row r="307">
          <cell r="B307" t="str">
            <v>V180673</v>
          </cell>
          <cell r="C307"/>
          <cell r="D307"/>
          <cell r="E307"/>
          <cell r="F307"/>
          <cell r="G307"/>
          <cell r="H307"/>
          <cell r="I307"/>
          <cell r="J307"/>
          <cell r="K307"/>
          <cell r="L307"/>
          <cell r="M307" t="str">
            <v>X</v>
          </cell>
          <cell r="N307" t="str">
            <v>X</v>
          </cell>
          <cell r="O307"/>
          <cell r="P307" t="str">
            <v>SITWHPOS164158</v>
          </cell>
          <cell r="Q307" t="str">
            <v>OSK</v>
          </cell>
          <cell r="R307" t="str">
            <v>SITC</v>
          </cell>
          <cell r="S307"/>
          <cell r="T307">
            <v>43231</v>
          </cell>
          <cell r="U307">
            <v>137</v>
          </cell>
          <cell r="V307" t="str">
            <v>SITC TIANJIN 1813N</v>
          </cell>
        </row>
        <row r="308">
          <cell r="B308" t="str">
            <v>V180674</v>
          </cell>
          <cell r="C308" t="str">
            <v>V180685</v>
          </cell>
          <cell r="D308"/>
          <cell r="E308"/>
          <cell r="F308"/>
          <cell r="G308"/>
          <cell r="H308"/>
          <cell r="I308"/>
          <cell r="J308"/>
          <cell r="K308"/>
          <cell r="L308"/>
          <cell r="M308" t="str">
            <v>X</v>
          </cell>
          <cell r="N308" t="str">
            <v>X</v>
          </cell>
          <cell r="O308"/>
          <cell r="P308" t="str">
            <v>1008X01882</v>
          </cell>
          <cell r="Q308" t="str">
            <v>HKT</v>
          </cell>
          <cell r="R308" t="str">
            <v>WHL</v>
          </cell>
          <cell r="S308"/>
          <cell r="T308">
            <v>43230</v>
          </cell>
          <cell r="U308">
            <v>138</v>
          </cell>
          <cell r="V308" t="str">
            <v xml:space="preserve">WAN HAI 203  N462 </v>
          </cell>
        </row>
        <row r="309">
          <cell r="B309" t="str">
            <v>V180675</v>
          </cell>
          <cell r="C309" t="str">
            <v>V180690</v>
          </cell>
          <cell r="D309"/>
          <cell r="E309"/>
          <cell r="F309"/>
          <cell r="G309"/>
          <cell r="H309"/>
          <cell r="I309"/>
          <cell r="J309"/>
          <cell r="K309"/>
          <cell r="L309"/>
          <cell r="M309" t="str">
            <v>X</v>
          </cell>
          <cell r="N309" t="str">
            <v>X</v>
          </cell>
          <cell r="O309"/>
          <cell r="P309" t="str">
            <v>KMTCHPH0530454</v>
          </cell>
          <cell r="Q309" t="str">
            <v>ISH</v>
          </cell>
          <cell r="R309" t="str">
            <v>KMTC</v>
          </cell>
          <cell r="S309"/>
          <cell r="T309">
            <v>43234</v>
          </cell>
          <cell r="U309">
            <v>134</v>
          </cell>
          <cell r="V309" t="str">
            <v>SUNNY CANNA 1809N</v>
          </cell>
        </row>
        <row r="310">
          <cell r="B310" t="str">
            <v>V180676</v>
          </cell>
          <cell r="C310" t="str">
            <v>V180681</v>
          </cell>
          <cell r="D310"/>
          <cell r="E310"/>
          <cell r="F310"/>
          <cell r="G310"/>
          <cell r="H310"/>
          <cell r="I310"/>
          <cell r="J310"/>
          <cell r="K310" t="str">
            <v xml:space="preserve">  </v>
          </cell>
          <cell r="L310"/>
          <cell r="M310" t="str">
            <v>X</v>
          </cell>
          <cell r="N310" t="str">
            <v>X</v>
          </cell>
          <cell r="O310"/>
          <cell r="P310">
            <v>350810042104</v>
          </cell>
          <cell r="Q310" t="str">
            <v>TYO</v>
          </cell>
          <cell r="R310" t="str">
            <v>TSL</v>
          </cell>
          <cell r="S310"/>
          <cell r="T310">
            <v>43233</v>
          </cell>
          <cell r="U310">
            <v>135</v>
          </cell>
          <cell r="V310" t="str">
            <v>HANSE ENDURANCE 18008N</v>
          </cell>
        </row>
        <row r="311">
          <cell r="B311" t="str">
            <v>V180677</v>
          </cell>
          <cell r="C311" t="str">
            <v>V180678</v>
          </cell>
          <cell r="D311"/>
          <cell r="E311"/>
          <cell r="F311"/>
          <cell r="G311"/>
          <cell r="H311"/>
          <cell r="I311"/>
          <cell r="J311"/>
          <cell r="K311"/>
          <cell r="L311"/>
          <cell r="M311" t="str">
            <v>X</v>
          </cell>
          <cell r="N311" t="str">
            <v>X</v>
          </cell>
          <cell r="O311"/>
          <cell r="P311" t="str">
            <v>EGLV237800125535</v>
          </cell>
          <cell r="Q311" t="str">
            <v>TYO</v>
          </cell>
          <cell r="R311" t="str">
            <v>EGLV</v>
          </cell>
          <cell r="S311"/>
          <cell r="T311">
            <v>43230</v>
          </cell>
          <cell r="U311">
            <v>138</v>
          </cell>
          <cell r="V311" t="str">
            <v>WAN HAI 266 N392</v>
          </cell>
        </row>
        <row r="312">
          <cell r="B312" t="str">
            <v>V180682</v>
          </cell>
          <cell r="C312" t="str">
            <v>V180687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 t="str">
            <v>X</v>
          </cell>
          <cell r="N312" t="str">
            <v>X</v>
          </cell>
          <cell r="O312"/>
          <cell r="P312" t="str">
            <v>1008X01905</v>
          </cell>
          <cell r="Q312" t="str">
            <v>TYO</v>
          </cell>
          <cell r="R312" t="str">
            <v>WHL</v>
          </cell>
          <cell r="S312"/>
          <cell r="T312">
            <v>43230</v>
          </cell>
          <cell r="U312">
            <v>138</v>
          </cell>
          <cell r="V312" t="str">
            <v>WAN HAI 266 N392</v>
          </cell>
        </row>
        <row r="313">
          <cell r="B313" t="str">
            <v>V180686</v>
          </cell>
          <cell r="C313" t="str">
            <v>V180691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 t="str">
            <v>X</v>
          </cell>
          <cell r="N313" t="str">
            <v>X</v>
          </cell>
          <cell r="O313"/>
          <cell r="P313" t="str">
            <v>SITWHPTK164357</v>
          </cell>
          <cell r="Q313" t="str">
            <v>TYO</v>
          </cell>
          <cell r="R313" t="str">
            <v>SITC</v>
          </cell>
          <cell r="S313"/>
          <cell r="T313">
            <v>43233</v>
          </cell>
          <cell r="U313">
            <v>135</v>
          </cell>
          <cell r="V313" t="str">
            <v>SITC KAOHSIUNG 1813N</v>
          </cell>
        </row>
        <row r="314">
          <cell r="B314" t="str">
            <v>V180689</v>
          </cell>
          <cell r="C314" t="str">
            <v>V180693</v>
          </cell>
          <cell r="D314"/>
          <cell r="E314"/>
          <cell r="F314"/>
          <cell r="G314"/>
          <cell r="H314"/>
          <cell r="I314"/>
          <cell r="J314"/>
          <cell r="K314"/>
          <cell r="L314"/>
          <cell r="M314" t="str">
            <v>X</v>
          </cell>
          <cell r="N314" t="str">
            <v>X</v>
          </cell>
          <cell r="O314"/>
          <cell r="P314" t="str">
            <v>1008X01922</v>
          </cell>
          <cell r="Q314" t="str">
            <v>OSK</v>
          </cell>
          <cell r="R314" t="str">
            <v>WHL</v>
          </cell>
          <cell r="S314"/>
          <cell r="T314">
            <v>43230</v>
          </cell>
          <cell r="U314">
            <v>138</v>
          </cell>
          <cell r="V314" t="str">
            <v>WAN HAI 266 N392</v>
          </cell>
        </row>
        <row r="315">
          <cell r="B315" t="str">
            <v>V180692</v>
          </cell>
          <cell r="C315" t="str">
            <v>V180696</v>
          </cell>
          <cell r="D315" t="str">
            <v>V180732</v>
          </cell>
          <cell r="E315"/>
          <cell r="F315"/>
          <cell r="G315"/>
          <cell r="H315"/>
          <cell r="I315"/>
          <cell r="J315"/>
          <cell r="K315"/>
          <cell r="L315"/>
          <cell r="M315" t="str">
            <v>X</v>
          </cell>
          <cell r="N315" t="str">
            <v>X</v>
          </cell>
          <cell r="O315"/>
          <cell r="P315" t="str">
            <v>SITWHPKW164360</v>
          </cell>
          <cell r="Q315" t="str">
            <v>KWS</v>
          </cell>
          <cell r="R315" t="str">
            <v>SITC</v>
          </cell>
          <cell r="S315"/>
          <cell r="T315">
            <v>43233</v>
          </cell>
          <cell r="U315">
            <v>135</v>
          </cell>
          <cell r="V315" t="str">
            <v>SITC KAOHSIUNG 1813N</v>
          </cell>
        </row>
        <row r="316">
          <cell r="B316" t="str">
            <v>V180694</v>
          </cell>
          <cell r="C316" t="str">
            <v>V180701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 t="str">
            <v>X</v>
          </cell>
          <cell r="N316" t="str">
            <v>X</v>
          </cell>
          <cell r="O316"/>
          <cell r="P316" t="str">
            <v>SITWHPHT164363</v>
          </cell>
          <cell r="Q316" t="str">
            <v>HKT</v>
          </cell>
          <cell r="R316" t="str">
            <v>SITC</v>
          </cell>
          <cell r="S316"/>
          <cell r="T316">
            <v>43235</v>
          </cell>
          <cell r="U316">
            <v>133</v>
          </cell>
          <cell r="V316" t="str">
            <v>REFLECTION 1815N</v>
          </cell>
        </row>
        <row r="317">
          <cell r="B317" t="str">
            <v>V180695</v>
          </cell>
          <cell r="C317" t="str">
            <v>V180731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 t="str">
            <v>X</v>
          </cell>
          <cell r="N317" t="str">
            <v>X</v>
          </cell>
          <cell r="O317"/>
          <cell r="P317" t="str">
            <v>SITWHPTK164358</v>
          </cell>
          <cell r="Q317" t="str">
            <v>TYO</v>
          </cell>
          <cell r="R317" t="str">
            <v>SITC</v>
          </cell>
          <cell r="S317"/>
          <cell r="T317">
            <v>43233</v>
          </cell>
          <cell r="U317">
            <v>135</v>
          </cell>
          <cell r="V317" t="str">
            <v>SITC KAOHSIUNG 1813N</v>
          </cell>
        </row>
        <row r="318">
          <cell r="B318" t="str">
            <v>V180697</v>
          </cell>
          <cell r="C318" t="str">
            <v>V180700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 t="str">
            <v>X</v>
          </cell>
          <cell r="N318" t="str">
            <v>X</v>
          </cell>
          <cell r="O318"/>
          <cell r="P318" t="str">
            <v>SITWHPOS164362</v>
          </cell>
          <cell r="Q318" t="str">
            <v>OSK</v>
          </cell>
          <cell r="R318" t="str">
            <v>SITC</v>
          </cell>
          <cell r="S318"/>
          <cell r="T318">
            <v>43235</v>
          </cell>
          <cell r="U318">
            <v>133</v>
          </cell>
          <cell r="V318" t="str">
            <v>REFLECTION 1815N</v>
          </cell>
        </row>
        <row r="319">
          <cell r="B319" t="str">
            <v>V180698</v>
          </cell>
          <cell r="C319"/>
          <cell r="D319"/>
          <cell r="E319"/>
          <cell r="F319"/>
          <cell r="G319"/>
          <cell r="H319"/>
          <cell r="I319"/>
          <cell r="J319"/>
          <cell r="K319"/>
          <cell r="L319"/>
          <cell r="M319" t="str">
            <v>X</v>
          </cell>
          <cell r="N319" t="str">
            <v>X</v>
          </cell>
          <cell r="O319"/>
          <cell r="P319" t="str">
            <v>SITWHPTK164394</v>
          </cell>
          <cell r="Q319" t="str">
            <v>TYO</v>
          </cell>
          <cell r="R319" t="str">
            <v>SITC</v>
          </cell>
          <cell r="S319"/>
          <cell r="T319">
            <v>43228</v>
          </cell>
          <cell r="U319">
            <v>140</v>
          </cell>
          <cell r="V319" t="str">
            <v>RESURGENCE 1811N</v>
          </cell>
        </row>
        <row r="320">
          <cell r="B320" t="str">
            <v>V180699</v>
          </cell>
          <cell r="C320"/>
          <cell r="D320"/>
          <cell r="E320"/>
          <cell r="F320"/>
          <cell r="G320"/>
          <cell r="H320"/>
          <cell r="I320"/>
          <cell r="J320"/>
          <cell r="K320"/>
          <cell r="L320"/>
          <cell r="M320" t="str">
            <v>X</v>
          </cell>
          <cell r="N320" t="str">
            <v>X</v>
          </cell>
          <cell r="O320"/>
          <cell r="P320">
            <v>350810044689</v>
          </cell>
          <cell r="Q320" t="str">
            <v>TPE</v>
          </cell>
          <cell r="R320" t="str">
            <v>TSL</v>
          </cell>
          <cell r="S320"/>
          <cell r="T320">
            <v>43233</v>
          </cell>
          <cell r="U320">
            <v>135</v>
          </cell>
          <cell r="V320" t="str">
            <v>HANSE ENDURANCE 18008N</v>
          </cell>
        </row>
        <row r="321">
          <cell r="B321" t="str">
            <v>V180702</v>
          </cell>
          <cell r="C321" t="str">
            <v>V180717</v>
          </cell>
          <cell r="D321" t="str">
            <v>V180718</v>
          </cell>
          <cell r="M321" t="str">
            <v>X</v>
          </cell>
          <cell r="N321" t="str">
            <v>X</v>
          </cell>
          <cell r="O321"/>
          <cell r="P321" t="str">
            <v>SITWHPKW164978</v>
          </cell>
          <cell r="Q321" t="str">
            <v>KWS</v>
          </cell>
          <cell r="R321" t="str">
            <v>SITC</v>
          </cell>
          <cell r="S321"/>
          <cell r="T321">
            <v>43240</v>
          </cell>
          <cell r="U321">
            <v>128</v>
          </cell>
          <cell r="V321" t="str">
            <v>AVRA C 1815N</v>
          </cell>
        </row>
        <row r="322">
          <cell r="B322" t="str">
            <v>V180703</v>
          </cell>
          <cell r="C322" t="str">
            <v>V180704</v>
          </cell>
          <cell r="D322" t="str">
            <v>V180708</v>
          </cell>
          <cell r="E322" t="str">
            <v>V180713</v>
          </cell>
          <cell r="F322" t="str">
            <v>V180720</v>
          </cell>
          <cell r="G322"/>
          <cell r="H322"/>
          <cell r="I322"/>
          <cell r="J322"/>
          <cell r="K322"/>
          <cell r="L322"/>
          <cell r="M322" t="str">
            <v>X</v>
          </cell>
          <cell r="N322" t="str">
            <v>X</v>
          </cell>
          <cell r="O322"/>
          <cell r="P322" t="str">
            <v>1008X02055</v>
          </cell>
          <cell r="Q322" t="str">
            <v>OSK</v>
          </cell>
          <cell r="R322" t="str">
            <v>WHL</v>
          </cell>
          <cell r="S322"/>
          <cell r="T322">
            <v>43236</v>
          </cell>
          <cell r="U322">
            <v>132</v>
          </cell>
          <cell r="V322" t="str">
            <v xml:space="preserve">AS FRIDA  N002 </v>
          </cell>
        </row>
        <row r="323">
          <cell r="B323" t="str">
            <v>V180705</v>
          </cell>
          <cell r="C323" t="str">
            <v>V180722</v>
          </cell>
          <cell r="D323"/>
          <cell r="E323"/>
          <cell r="F323"/>
          <cell r="G323"/>
          <cell r="H323"/>
          <cell r="I323"/>
          <cell r="J323"/>
          <cell r="K323"/>
          <cell r="L323"/>
          <cell r="M323" t="str">
            <v>X</v>
          </cell>
          <cell r="N323" t="str">
            <v>X</v>
          </cell>
          <cell r="O323"/>
          <cell r="P323" t="str">
            <v>KMTCHPH0538716</v>
          </cell>
          <cell r="Q323" t="str">
            <v>ISH</v>
          </cell>
          <cell r="R323" t="str">
            <v>KMTC</v>
          </cell>
          <cell r="S323"/>
          <cell r="T323">
            <v>43238</v>
          </cell>
          <cell r="U323">
            <v>130</v>
          </cell>
          <cell r="V323" t="str">
            <v>SUNNY CLOVER 1810N</v>
          </cell>
        </row>
        <row r="324">
          <cell r="B324" t="str">
            <v>V180706</v>
          </cell>
          <cell r="C324"/>
          <cell r="D324"/>
          <cell r="E324"/>
          <cell r="F324"/>
          <cell r="G324"/>
          <cell r="H324"/>
          <cell r="I324"/>
          <cell r="J324"/>
          <cell r="K324"/>
          <cell r="L324"/>
          <cell r="M324" t="str">
            <v>X</v>
          </cell>
          <cell r="N324" t="str">
            <v>X</v>
          </cell>
          <cell r="O324"/>
          <cell r="P324" t="str">
            <v>1008X02065</v>
          </cell>
          <cell r="Q324" t="str">
            <v>TYO</v>
          </cell>
          <cell r="R324" t="str">
            <v>WHL</v>
          </cell>
          <cell r="S324"/>
          <cell r="T324">
            <v>43236</v>
          </cell>
          <cell r="U324">
            <v>132</v>
          </cell>
          <cell r="V324" t="str">
            <v>MOONCHILD N027</v>
          </cell>
        </row>
        <row r="325">
          <cell r="B325" t="str">
            <v>V180707</v>
          </cell>
          <cell r="C325" t="str">
            <v>V180712</v>
          </cell>
          <cell r="D325" t="str">
            <v>V180724</v>
          </cell>
          <cell r="E325" t="str">
            <v>V180728</v>
          </cell>
          <cell r="F325" t="str">
            <v>V180734</v>
          </cell>
          <cell r="G325"/>
          <cell r="H325"/>
          <cell r="I325"/>
          <cell r="J325"/>
          <cell r="K325"/>
          <cell r="L325"/>
          <cell r="M325" t="str">
            <v>X</v>
          </cell>
          <cell r="N325" t="str">
            <v>X</v>
          </cell>
          <cell r="O325"/>
          <cell r="P325" t="str">
            <v>SITWHPKW164993</v>
          </cell>
          <cell r="Q325" t="str">
            <v>KWS</v>
          </cell>
          <cell r="R325" t="str">
            <v>SITC</v>
          </cell>
          <cell r="S325"/>
          <cell r="T325">
            <v>43240</v>
          </cell>
          <cell r="U325">
            <v>128</v>
          </cell>
          <cell r="V325" t="str">
            <v>AVRA C 1815N</v>
          </cell>
        </row>
        <row r="326">
          <cell r="B326" t="str">
            <v>V180709</v>
          </cell>
          <cell r="C326" t="str">
            <v>V180721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 t="str">
            <v>X</v>
          </cell>
          <cell r="N326" t="str">
            <v>X</v>
          </cell>
          <cell r="O326"/>
          <cell r="P326" t="str">
            <v>1008X02061</v>
          </cell>
          <cell r="Q326" t="str">
            <v>HKT</v>
          </cell>
          <cell r="R326" t="str">
            <v>WHL</v>
          </cell>
          <cell r="S326"/>
          <cell r="T326">
            <v>43236</v>
          </cell>
          <cell r="U326">
            <v>132</v>
          </cell>
          <cell r="V326" t="str">
            <v>WAN HAI 213 N328</v>
          </cell>
        </row>
        <row r="327">
          <cell r="B327" t="str">
            <v>V180710</v>
          </cell>
          <cell r="C327" t="str">
            <v>V180714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 t="str">
            <v>X</v>
          </cell>
          <cell r="N327" t="str">
            <v>X</v>
          </cell>
          <cell r="O327"/>
          <cell r="P327">
            <v>350810044795</v>
          </cell>
          <cell r="Q327" t="str">
            <v>TYO</v>
          </cell>
          <cell r="R327" t="str">
            <v>TSL</v>
          </cell>
          <cell r="S327"/>
          <cell r="T327">
            <v>43240</v>
          </cell>
          <cell r="U327">
            <v>128</v>
          </cell>
          <cell r="V327" t="str">
            <v>LANTAU BEE 18007N</v>
          </cell>
        </row>
        <row r="328">
          <cell r="B328" t="str">
            <v>V180711</v>
          </cell>
          <cell r="C328" t="str">
            <v>V180716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 t="str">
            <v>X</v>
          </cell>
          <cell r="N328" t="str">
            <v>X</v>
          </cell>
          <cell r="O328"/>
          <cell r="P328" t="str">
            <v>EGLV237800131501</v>
          </cell>
          <cell r="Q328" t="str">
            <v>TYO</v>
          </cell>
          <cell r="R328" t="str">
            <v>EGLV</v>
          </cell>
          <cell r="S328"/>
          <cell r="T328">
            <v>43236</v>
          </cell>
          <cell r="U328">
            <v>132</v>
          </cell>
          <cell r="V328" t="str">
            <v>MOONCHILD N027</v>
          </cell>
        </row>
        <row r="329">
          <cell r="B329" t="str">
            <v>V180715</v>
          </cell>
          <cell r="C329"/>
          <cell r="D329"/>
          <cell r="E329"/>
          <cell r="F329"/>
          <cell r="G329"/>
          <cell r="H329"/>
          <cell r="I329"/>
          <cell r="J329"/>
          <cell r="K329"/>
          <cell r="L329"/>
          <cell r="M329" t="str">
            <v>X</v>
          </cell>
          <cell r="N329" t="str">
            <v>X</v>
          </cell>
          <cell r="O329"/>
          <cell r="P329" t="str">
            <v>1008X02068</v>
          </cell>
          <cell r="Q329" t="str">
            <v>TYO</v>
          </cell>
          <cell r="R329" t="str">
            <v>WHL</v>
          </cell>
          <cell r="S329"/>
          <cell r="T329">
            <v>43237</v>
          </cell>
          <cell r="U329">
            <v>131</v>
          </cell>
          <cell r="V329" t="str">
            <v>WAN HAI 171 S241</v>
          </cell>
        </row>
        <row r="330">
          <cell r="B330" t="str">
            <v>V180719</v>
          </cell>
          <cell r="C330"/>
          <cell r="D330"/>
          <cell r="E330"/>
          <cell r="F330"/>
          <cell r="G330"/>
          <cell r="H330"/>
          <cell r="I330"/>
          <cell r="J330"/>
          <cell r="K330"/>
          <cell r="L330"/>
          <cell r="M330" t="str">
            <v>X</v>
          </cell>
          <cell r="N330" t="str">
            <v>X</v>
          </cell>
          <cell r="O330"/>
          <cell r="P330" t="str">
            <v>1008X02066</v>
          </cell>
          <cell r="Q330" t="str">
            <v>NGO</v>
          </cell>
          <cell r="R330" t="str">
            <v>WHL</v>
          </cell>
          <cell r="S330"/>
          <cell r="T330">
            <v>43236</v>
          </cell>
          <cell r="U330">
            <v>132</v>
          </cell>
          <cell r="V330" t="str">
            <v>WAN HAI 213 N328</v>
          </cell>
        </row>
        <row r="331">
          <cell r="B331" t="str">
            <v>V180723</v>
          </cell>
          <cell r="C331" t="str">
            <v>V180726</v>
          </cell>
          <cell r="D331"/>
          <cell r="E331"/>
          <cell r="F331"/>
          <cell r="G331"/>
          <cell r="H331"/>
          <cell r="I331"/>
          <cell r="J331"/>
          <cell r="K331"/>
          <cell r="L331"/>
          <cell r="M331" t="str">
            <v>X</v>
          </cell>
          <cell r="N331" t="str">
            <v>X</v>
          </cell>
          <cell r="O331"/>
          <cell r="P331" t="str">
            <v>1008X02069</v>
          </cell>
          <cell r="Q331" t="str">
            <v>TYO</v>
          </cell>
          <cell r="R331" t="str">
            <v>WHL</v>
          </cell>
          <cell r="S331"/>
          <cell r="T331">
            <v>43239</v>
          </cell>
          <cell r="U331">
            <v>129</v>
          </cell>
          <cell r="V331" t="str">
            <v xml:space="preserve"> IAL 001 N322</v>
          </cell>
        </row>
        <row r="332">
          <cell r="B332" t="str">
            <v>V180725</v>
          </cell>
          <cell r="C332"/>
          <cell r="D332"/>
          <cell r="E332"/>
          <cell r="F332"/>
          <cell r="G332"/>
          <cell r="H332"/>
          <cell r="I332"/>
          <cell r="J332"/>
          <cell r="K332"/>
          <cell r="L332"/>
          <cell r="M332" t="str">
            <v>X</v>
          </cell>
          <cell r="N332" t="str">
            <v>X</v>
          </cell>
          <cell r="O332"/>
          <cell r="P332" t="str">
            <v>1008X02070</v>
          </cell>
          <cell r="Q332" t="str">
            <v>OSK</v>
          </cell>
          <cell r="R332" t="str">
            <v>WHL</v>
          </cell>
          <cell r="S332"/>
          <cell r="T332">
            <v>43236</v>
          </cell>
          <cell r="U332">
            <v>132</v>
          </cell>
          <cell r="V332" t="str">
            <v>MOONCHILD N027</v>
          </cell>
        </row>
        <row r="333">
          <cell r="B333" t="str">
            <v>V180727</v>
          </cell>
          <cell r="C333" t="str">
            <v>V180733</v>
          </cell>
          <cell r="D333"/>
          <cell r="E333"/>
          <cell r="F333"/>
          <cell r="G333"/>
          <cell r="H333"/>
          <cell r="I333"/>
          <cell r="J333"/>
          <cell r="K333"/>
          <cell r="L333"/>
          <cell r="M333" t="str">
            <v>X</v>
          </cell>
          <cell r="N333" t="str">
            <v>X</v>
          </cell>
          <cell r="O333"/>
          <cell r="P333" t="str">
            <v>SITWHPTK165920</v>
          </cell>
          <cell r="Q333" t="str">
            <v>TYO</v>
          </cell>
          <cell r="R333" t="str">
            <v>SITC</v>
          </cell>
          <cell r="S333"/>
          <cell r="T333">
            <v>43240</v>
          </cell>
          <cell r="U333">
            <v>128</v>
          </cell>
          <cell r="V333" t="str">
            <v>AVRA C 1815N</v>
          </cell>
        </row>
        <row r="334">
          <cell r="B334" t="str">
            <v>V180729</v>
          </cell>
          <cell r="C334" t="str">
            <v>V180735</v>
          </cell>
          <cell r="D334" t="str">
            <v>V180736</v>
          </cell>
          <cell r="E334"/>
          <cell r="F334"/>
          <cell r="G334"/>
          <cell r="H334"/>
          <cell r="I334"/>
          <cell r="J334"/>
          <cell r="K334"/>
          <cell r="L334"/>
          <cell r="M334" t="str">
            <v>X</v>
          </cell>
          <cell r="N334" t="str">
            <v>X</v>
          </cell>
          <cell r="O334"/>
          <cell r="P334" t="str">
            <v>SITWHPOS165151</v>
          </cell>
          <cell r="Q334" t="str">
            <v>OSK</v>
          </cell>
          <cell r="R334" t="str">
            <v>SITC</v>
          </cell>
          <cell r="S334"/>
          <cell r="T334">
            <v>43240</v>
          </cell>
          <cell r="U334">
            <v>128</v>
          </cell>
          <cell r="V334" t="str">
            <v>EPONYMA 1815N</v>
          </cell>
        </row>
        <row r="335">
          <cell r="B335" t="str">
            <v>V180730</v>
          </cell>
          <cell r="C335" t="str">
            <v>V180737</v>
          </cell>
          <cell r="D335"/>
          <cell r="E335"/>
          <cell r="F335"/>
          <cell r="G335"/>
          <cell r="H335"/>
          <cell r="I335"/>
          <cell r="J335"/>
          <cell r="K335"/>
          <cell r="L335"/>
          <cell r="M335" t="str">
            <v>X</v>
          </cell>
          <cell r="N335" t="str">
            <v>X</v>
          </cell>
          <cell r="O335"/>
          <cell r="P335" t="str">
            <v>SITWHPHT165152</v>
          </cell>
          <cell r="Q335" t="str">
            <v>HKT</v>
          </cell>
          <cell r="R335" t="str">
            <v>SITC</v>
          </cell>
          <cell r="S335"/>
          <cell r="T335">
            <v>43240</v>
          </cell>
          <cell r="U335">
            <v>128</v>
          </cell>
          <cell r="V335" t="str">
            <v>EPONYMA 1815N</v>
          </cell>
        </row>
        <row r="336">
          <cell r="B336" t="str">
            <v>V180738</v>
          </cell>
          <cell r="C336"/>
          <cell r="D336"/>
          <cell r="E336"/>
          <cell r="F336"/>
          <cell r="G336"/>
          <cell r="H336"/>
          <cell r="I336"/>
          <cell r="J336"/>
          <cell r="K336"/>
          <cell r="L336"/>
          <cell r="M336" t="str">
            <v>X</v>
          </cell>
          <cell r="N336" t="str">
            <v>X</v>
          </cell>
          <cell r="O336"/>
          <cell r="P336">
            <v>350810048984</v>
          </cell>
          <cell r="Q336" t="str">
            <v>TPE</v>
          </cell>
          <cell r="R336" t="str">
            <v>TSL</v>
          </cell>
          <cell r="S336"/>
          <cell r="T336">
            <v>43240</v>
          </cell>
          <cell r="U336">
            <v>128</v>
          </cell>
          <cell r="V336" t="str">
            <v>LANTAU BEE 18007N</v>
          </cell>
        </row>
        <row r="337">
          <cell r="B337" t="str">
            <v>V180739</v>
          </cell>
          <cell r="C337" t="str">
            <v>V180747</v>
          </cell>
          <cell r="D337" t="str">
            <v>V180759</v>
          </cell>
          <cell r="L337"/>
          <cell r="M337" t="str">
            <v>X</v>
          </cell>
          <cell r="N337" t="str">
            <v>X</v>
          </cell>
          <cell r="O337"/>
          <cell r="P337" t="str">
            <v>SITWHPTK165921</v>
          </cell>
          <cell r="Q337" t="str">
            <v>TYO</v>
          </cell>
          <cell r="R337" t="str">
            <v>SITC</v>
          </cell>
          <cell r="S337"/>
          <cell r="T337">
            <v>43245</v>
          </cell>
          <cell r="U337">
            <v>123</v>
          </cell>
          <cell r="V337" t="str">
            <v>SITC NAGOYA 1815N</v>
          </cell>
        </row>
        <row r="338">
          <cell r="B338" t="str">
            <v>V180740</v>
          </cell>
          <cell r="C338" t="str">
            <v>V180741</v>
          </cell>
          <cell r="D338" t="str">
            <v>V180744</v>
          </cell>
          <cell r="E338" t="str">
            <v>V180749</v>
          </cell>
          <cell r="F338" t="str">
            <v>V180754</v>
          </cell>
          <cell r="G338"/>
          <cell r="H338"/>
          <cell r="I338"/>
          <cell r="J338"/>
          <cell r="K338"/>
          <cell r="L338"/>
          <cell r="M338" t="str">
            <v>X</v>
          </cell>
          <cell r="N338" t="str">
            <v>X</v>
          </cell>
          <cell r="O338"/>
          <cell r="P338" t="str">
            <v>SITWHPKW165492</v>
          </cell>
          <cell r="Q338" t="str">
            <v>KWS</v>
          </cell>
          <cell r="R338" t="str">
            <v>SITC</v>
          </cell>
          <cell r="S338"/>
          <cell r="T338">
            <v>43245</v>
          </cell>
          <cell r="U338">
            <v>123</v>
          </cell>
          <cell r="V338" t="str">
            <v>SITC NAGOYA 1815N</v>
          </cell>
        </row>
        <row r="339">
          <cell r="B339" t="str">
            <v>V180742</v>
          </cell>
          <cell r="C339" t="str">
            <v>V180745</v>
          </cell>
          <cell r="D339" t="str">
            <v>V180750</v>
          </cell>
          <cell r="E339" t="str">
            <v>V180756</v>
          </cell>
          <cell r="F339" t="str">
            <v>V180761</v>
          </cell>
          <cell r="G339"/>
          <cell r="H339"/>
          <cell r="I339"/>
          <cell r="J339"/>
          <cell r="K339"/>
          <cell r="L339"/>
          <cell r="M339" t="str">
            <v>X</v>
          </cell>
          <cell r="N339" t="str">
            <v>X</v>
          </cell>
          <cell r="O339"/>
          <cell r="P339" t="str">
            <v>1008X02206</v>
          </cell>
          <cell r="Q339" t="str">
            <v>OSK</v>
          </cell>
          <cell r="R339" t="str">
            <v>WHL</v>
          </cell>
          <cell r="S339"/>
          <cell r="T339">
            <v>43243</v>
          </cell>
          <cell r="U339">
            <v>125</v>
          </cell>
          <cell r="V339" t="str">
            <v xml:space="preserve">AS FIONA  N004  </v>
          </cell>
        </row>
        <row r="340">
          <cell r="B340" t="str">
            <v>V180743</v>
          </cell>
          <cell r="C340" t="str">
            <v>V180748</v>
          </cell>
          <cell r="D340" t="str">
            <v>V180751</v>
          </cell>
          <cell r="E340" t="str">
            <v>V180760</v>
          </cell>
          <cell r="F340"/>
          <cell r="G340"/>
          <cell r="H340"/>
          <cell r="I340"/>
          <cell r="J340"/>
          <cell r="K340"/>
          <cell r="L340"/>
          <cell r="M340" t="str">
            <v>X</v>
          </cell>
          <cell r="N340" t="str">
            <v>X</v>
          </cell>
          <cell r="O340"/>
          <cell r="P340" t="str">
            <v>1008X02227</v>
          </cell>
          <cell r="Q340" t="str">
            <v>TYO</v>
          </cell>
          <cell r="R340" t="str">
            <v>WHL</v>
          </cell>
          <cell r="S340"/>
          <cell r="T340">
            <v>43244</v>
          </cell>
          <cell r="U340">
            <v>124</v>
          </cell>
          <cell r="V340" t="str">
            <v>WAN HAI 267 N266</v>
          </cell>
        </row>
        <row r="341">
          <cell r="B341" t="str">
            <v>V180746</v>
          </cell>
          <cell r="C341"/>
          <cell r="D341"/>
          <cell r="E341"/>
          <cell r="F341"/>
          <cell r="G341"/>
          <cell r="H341"/>
          <cell r="I341"/>
          <cell r="J341"/>
          <cell r="K341"/>
          <cell r="L341"/>
          <cell r="M341" t="str">
            <v>X</v>
          </cell>
          <cell r="N341" t="str">
            <v>X</v>
          </cell>
          <cell r="O341"/>
          <cell r="P341">
            <v>350810048205</v>
          </cell>
          <cell r="Q341" t="str">
            <v>HKT</v>
          </cell>
          <cell r="R341" t="str">
            <v>TSL</v>
          </cell>
          <cell r="S341"/>
          <cell r="T341">
            <v>43247</v>
          </cell>
          <cell r="U341">
            <v>121</v>
          </cell>
          <cell r="V341" t="str">
            <v>LANTAU BRIDE 18010N</v>
          </cell>
        </row>
        <row r="342">
          <cell r="B342" t="str">
            <v>V180752</v>
          </cell>
          <cell r="C342" t="str">
            <v>V180753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 t="str">
            <v>X</v>
          </cell>
          <cell r="N342" t="str">
            <v>X</v>
          </cell>
          <cell r="O342"/>
          <cell r="P342" t="str">
            <v>EGLV237800138459</v>
          </cell>
          <cell r="Q342" t="str">
            <v>TYO</v>
          </cell>
          <cell r="R342" t="str">
            <v>EGLV</v>
          </cell>
          <cell r="S342"/>
          <cell r="T342">
            <v>43244</v>
          </cell>
          <cell r="U342">
            <v>124</v>
          </cell>
          <cell r="V342" t="str">
            <v>WAN HAI 267 N266</v>
          </cell>
        </row>
        <row r="343">
          <cell r="B343" t="str">
            <v>V180755</v>
          </cell>
          <cell r="C343"/>
          <cell r="D343"/>
          <cell r="E343"/>
          <cell r="F343"/>
          <cell r="G343"/>
          <cell r="H343"/>
          <cell r="I343"/>
          <cell r="J343"/>
          <cell r="K343"/>
          <cell r="L343"/>
          <cell r="M343" t="str">
            <v>X</v>
          </cell>
          <cell r="N343" t="str">
            <v>X</v>
          </cell>
          <cell r="O343"/>
          <cell r="P343" t="str">
            <v>1008X02218</v>
          </cell>
          <cell r="Q343" t="str">
            <v>NGO</v>
          </cell>
          <cell r="R343" t="str">
            <v>WHL</v>
          </cell>
          <cell r="S343"/>
          <cell r="T343">
            <v>43243</v>
          </cell>
          <cell r="U343">
            <v>125</v>
          </cell>
          <cell r="V343" t="str">
            <v>AS FIONA N004</v>
          </cell>
        </row>
        <row r="344">
          <cell r="B344" t="str">
            <v>V180757</v>
          </cell>
          <cell r="C344" t="str">
            <v>V180766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 t="str">
            <v>X</v>
          </cell>
          <cell r="N344" t="str">
            <v>X</v>
          </cell>
          <cell r="O344"/>
          <cell r="P344" t="str">
            <v>SITWHPHT165918</v>
          </cell>
          <cell r="Q344" t="str">
            <v>HKT</v>
          </cell>
          <cell r="R344" t="str">
            <v>SITC</v>
          </cell>
          <cell r="S344"/>
          <cell r="T344">
            <v>43251</v>
          </cell>
          <cell r="U344">
            <v>117</v>
          </cell>
          <cell r="V344" t="str">
            <v>SITC WEIHAI 1813N</v>
          </cell>
        </row>
        <row r="345">
          <cell r="B345" t="str">
            <v>V180758</v>
          </cell>
          <cell r="C345"/>
          <cell r="D345"/>
          <cell r="E345"/>
          <cell r="F345"/>
          <cell r="G345"/>
          <cell r="H345"/>
          <cell r="I345"/>
          <cell r="J345"/>
          <cell r="K345"/>
          <cell r="L345"/>
          <cell r="M345" t="str">
            <v>X</v>
          </cell>
          <cell r="N345" t="str">
            <v>X</v>
          </cell>
          <cell r="O345"/>
          <cell r="P345" t="str">
            <v>KMTCHPH0539955</v>
          </cell>
          <cell r="Q345" t="str">
            <v>ISH</v>
          </cell>
          <cell r="R345" t="str">
            <v>KMTC</v>
          </cell>
          <cell r="S345"/>
          <cell r="T345">
            <v>43245</v>
          </cell>
          <cell r="U345">
            <v>123</v>
          </cell>
          <cell r="V345" t="str">
            <v>SUNNY CAMELLIA 1811N</v>
          </cell>
        </row>
        <row r="346">
          <cell r="B346" t="str">
            <v>V180762</v>
          </cell>
          <cell r="C346"/>
          <cell r="D346"/>
          <cell r="E346"/>
          <cell r="F346"/>
          <cell r="G346"/>
          <cell r="H346"/>
          <cell r="I346"/>
          <cell r="J346"/>
          <cell r="K346"/>
          <cell r="L346"/>
          <cell r="M346" t="str">
            <v>X</v>
          </cell>
          <cell r="N346" t="str">
            <v>X</v>
          </cell>
          <cell r="O346"/>
          <cell r="P346">
            <v>350810048212</v>
          </cell>
          <cell r="Q346" t="str">
            <v>TPE</v>
          </cell>
          <cell r="R346" t="str">
            <v>TSL</v>
          </cell>
          <cell r="S346"/>
          <cell r="T346">
            <v>43247</v>
          </cell>
          <cell r="U346">
            <v>121</v>
          </cell>
          <cell r="V346" t="str">
            <v>LANTAU BRIDE 18010N</v>
          </cell>
        </row>
        <row r="347">
          <cell r="B347" t="str">
            <v>V180763</v>
          </cell>
          <cell r="C347"/>
          <cell r="D347"/>
          <cell r="E347"/>
          <cell r="F347"/>
          <cell r="G347"/>
          <cell r="H347"/>
          <cell r="I347"/>
          <cell r="J347"/>
          <cell r="K347"/>
          <cell r="L347"/>
          <cell r="M347" t="str">
            <v>X</v>
          </cell>
          <cell r="N347" t="str">
            <v>X</v>
          </cell>
          <cell r="O347"/>
          <cell r="P347">
            <v>350810048168</v>
          </cell>
          <cell r="Q347" t="str">
            <v>TYO</v>
          </cell>
          <cell r="R347" t="str">
            <v>TSL</v>
          </cell>
          <cell r="S347"/>
          <cell r="T347">
            <v>43247</v>
          </cell>
          <cell r="U347">
            <v>121</v>
          </cell>
          <cell r="V347" t="str">
            <v>LANTAU BRIDE 18010N</v>
          </cell>
        </row>
        <row r="348">
          <cell r="B348" t="str">
            <v>V180764</v>
          </cell>
          <cell r="C348" t="str">
            <v>V180768</v>
          </cell>
          <cell r="D348" t="str">
            <v>V180772</v>
          </cell>
          <cell r="E348"/>
          <cell r="F348"/>
          <cell r="G348"/>
          <cell r="H348"/>
          <cell r="I348"/>
          <cell r="J348"/>
          <cell r="K348"/>
          <cell r="L348"/>
          <cell r="M348" t="str">
            <v>X</v>
          </cell>
          <cell r="N348" t="str">
            <v>X</v>
          </cell>
          <cell r="O348"/>
          <cell r="P348" t="str">
            <v>SITWHPKW165925</v>
          </cell>
          <cell r="Q348" t="str">
            <v>KWS</v>
          </cell>
          <cell r="R348" t="str">
            <v>SITC</v>
          </cell>
          <cell r="S348"/>
          <cell r="T348">
            <v>43248</v>
          </cell>
          <cell r="U348">
            <v>120</v>
          </cell>
          <cell r="V348" t="str">
            <v>RESURGENCE 1813N</v>
          </cell>
        </row>
        <row r="349">
          <cell r="B349" t="str">
            <v>V180765</v>
          </cell>
          <cell r="C349"/>
          <cell r="D349"/>
          <cell r="E349"/>
          <cell r="F349"/>
          <cell r="G349"/>
          <cell r="H349"/>
          <cell r="I349"/>
          <cell r="J349"/>
          <cell r="K349"/>
          <cell r="L349"/>
          <cell r="M349" t="str">
            <v>X</v>
          </cell>
          <cell r="N349" t="str">
            <v>X</v>
          </cell>
          <cell r="O349"/>
          <cell r="P349" t="str">
            <v>1008X02223</v>
          </cell>
          <cell r="Q349" t="str">
            <v>OSK</v>
          </cell>
          <cell r="R349" t="str">
            <v>WHL</v>
          </cell>
          <cell r="S349"/>
          <cell r="T349">
            <v>43244</v>
          </cell>
          <cell r="U349">
            <v>124</v>
          </cell>
          <cell r="V349" t="str">
            <v>WAN HAI 267 N266</v>
          </cell>
        </row>
        <row r="350">
          <cell r="B350" t="str">
            <v>V180767</v>
          </cell>
          <cell r="C350" t="str">
            <v>V180771</v>
          </cell>
          <cell r="D350"/>
          <cell r="E350"/>
          <cell r="F350"/>
          <cell r="G350"/>
          <cell r="H350"/>
          <cell r="I350"/>
          <cell r="J350"/>
          <cell r="K350"/>
          <cell r="L350"/>
          <cell r="M350" t="str">
            <v>X</v>
          </cell>
          <cell r="N350" t="str">
            <v>X</v>
          </cell>
          <cell r="O350"/>
          <cell r="P350" t="str">
            <v>SITWHPTK165922</v>
          </cell>
          <cell r="Q350" t="str">
            <v>TYO</v>
          </cell>
          <cell r="R350" t="str">
            <v>SITC</v>
          </cell>
          <cell r="S350"/>
          <cell r="T350">
            <v>43248</v>
          </cell>
          <cell r="U350">
            <v>120</v>
          </cell>
          <cell r="V350" t="str">
            <v>RESURGENCE 1813N</v>
          </cell>
        </row>
        <row r="351">
          <cell r="B351" t="str">
            <v>V180769</v>
          </cell>
          <cell r="C351" t="str">
            <v>V180770</v>
          </cell>
          <cell r="D351" t="str">
            <v>V180773</v>
          </cell>
          <cell r="E351"/>
          <cell r="F351"/>
          <cell r="G351"/>
          <cell r="H351"/>
          <cell r="I351"/>
          <cell r="J351"/>
          <cell r="K351"/>
          <cell r="L351"/>
          <cell r="M351" t="str">
            <v>X</v>
          </cell>
          <cell r="N351" t="str">
            <v>X</v>
          </cell>
          <cell r="O351"/>
          <cell r="P351" t="str">
            <v>SITWHPOS165916</v>
          </cell>
          <cell r="Q351" t="str">
            <v>OSK</v>
          </cell>
          <cell r="R351" t="str">
            <v>SITC</v>
          </cell>
          <cell r="S351"/>
          <cell r="T351">
            <v>43251</v>
          </cell>
          <cell r="U351">
            <v>117</v>
          </cell>
          <cell r="V351" t="str">
            <v>SITC WEIHAI 1813N</v>
          </cell>
        </row>
        <row r="352">
          <cell r="B352" t="str">
            <v>V180774</v>
          </cell>
          <cell r="C352" t="str">
            <v>V180778</v>
          </cell>
          <cell r="D352" t="str">
            <v>V180781</v>
          </cell>
          <cell r="E352" t="str">
            <v>V180783</v>
          </cell>
          <cell r="F352" t="str">
            <v>V180788</v>
          </cell>
          <cell r="M352" t="str">
            <v>X</v>
          </cell>
          <cell r="N352" t="str">
            <v>X</v>
          </cell>
          <cell r="O352"/>
          <cell r="P352" t="str">
            <v>1008X02394</v>
          </cell>
          <cell r="Q352" t="str">
            <v>OSK</v>
          </cell>
          <cell r="R352" t="str">
            <v>WHL</v>
          </cell>
          <cell r="S352"/>
          <cell r="T352">
            <v>43250</v>
          </cell>
          <cell r="U352">
            <v>118</v>
          </cell>
          <cell r="V352" t="str">
            <v>AS ROBERTA N003</v>
          </cell>
        </row>
        <row r="353">
          <cell r="B353" t="str">
            <v>V180775</v>
          </cell>
          <cell r="C353"/>
          <cell r="D353"/>
          <cell r="E353"/>
          <cell r="F353"/>
          <cell r="G353"/>
          <cell r="H353"/>
          <cell r="I353"/>
          <cell r="J353"/>
          <cell r="K353"/>
          <cell r="L353"/>
          <cell r="M353" t="str">
            <v>X</v>
          </cell>
          <cell r="N353" t="str">
            <v>X</v>
          </cell>
          <cell r="O353"/>
          <cell r="P353" t="str">
            <v>SITWHPTK166602</v>
          </cell>
          <cell r="Q353" t="str">
            <v>TYO</v>
          </cell>
          <cell r="R353" t="str">
            <v>SITC</v>
          </cell>
          <cell r="S353"/>
          <cell r="T353">
            <v>43251</v>
          </cell>
          <cell r="U353">
            <v>117</v>
          </cell>
          <cell r="V353" t="str">
            <v>SITC YOKKAICHI 1813N</v>
          </cell>
        </row>
        <row r="354">
          <cell r="B354" t="str">
            <v>V180776</v>
          </cell>
          <cell r="C354" t="str">
            <v>V180779</v>
          </cell>
          <cell r="D354" t="str">
            <v>V180787</v>
          </cell>
          <cell r="E354"/>
          <cell r="F354"/>
          <cell r="G354"/>
          <cell r="H354"/>
          <cell r="I354"/>
          <cell r="J354"/>
          <cell r="K354"/>
          <cell r="L354"/>
          <cell r="M354" t="str">
            <v>X</v>
          </cell>
          <cell r="N354" t="str">
            <v>X</v>
          </cell>
          <cell r="O354"/>
          <cell r="P354" t="str">
            <v>SITWHPKW165928</v>
          </cell>
          <cell r="Q354" t="str">
            <v>KWS</v>
          </cell>
          <cell r="R354" t="str">
            <v>SITC</v>
          </cell>
          <cell r="S354"/>
          <cell r="T354">
            <v>43251</v>
          </cell>
          <cell r="U354">
            <v>117</v>
          </cell>
          <cell r="V354" t="str">
            <v>SITC YOKKAICHI 1813N</v>
          </cell>
        </row>
        <row r="355">
          <cell r="B355" t="str">
            <v>V180777</v>
          </cell>
          <cell r="C355" t="str">
            <v>V180785</v>
          </cell>
          <cell r="D355"/>
          <cell r="E355"/>
          <cell r="F355"/>
          <cell r="G355"/>
          <cell r="H355"/>
          <cell r="I355"/>
          <cell r="J355"/>
          <cell r="K355"/>
          <cell r="L355"/>
          <cell r="M355" t="str">
            <v>X</v>
          </cell>
          <cell r="N355" t="str">
            <v>X</v>
          </cell>
          <cell r="O355"/>
          <cell r="P355" t="str">
            <v>1008X02225</v>
          </cell>
          <cell r="Q355" t="str">
            <v>TYO</v>
          </cell>
          <cell r="R355" t="str">
            <v>WHL</v>
          </cell>
          <cell r="S355"/>
          <cell r="T355">
            <v>43250</v>
          </cell>
          <cell r="U355">
            <v>118</v>
          </cell>
          <cell r="V355" t="str">
            <v>WAN HAI 266 N393</v>
          </cell>
        </row>
        <row r="356">
          <cell r="B356" t="str">
            <v>V180780</v>
          </cell>
          <cell r="C356" t="str">
            <v>V180784</v>
          </cell>
          <cell r="D356"/>
          <cell r="E356"/>
          <cell r="F356"/>
          <cell r="G356"/>
          <cell r="H356"/>
          <cell r="I356"/>
          <cell r="J356"/>
          <cell r="K356"/>
          <cell r="L356"/>
          <cell r="M356" t="str">
            <v>X</v>
          </cell>
          <cell r="N356" t="str">
            <v>X</v>
          </cell>
          <cell r="O356"/>
          <cell r="P356" t="str">
            <v>1008X02212</v>
          </cell>
          <cell r="Q356" t="str">
            <v>HKT</v>
          </cell>
          <cell r="R356" t="str">
            <v>WHL</v>
          </cell>
          <cell r="S356"/>
          <cell r="T356">
            <v>43250</v>
          </cell>
          <cell r="U356">
            <v>118</v>
          </cell>
          <cell r="V356" t="str">
            <v xml:space="preserve"> WAN HAI 203 N463</v>
          </cell>
        </row>
        <row r="357">
          <cell r="B357" t="str">
            <v>V180782</v>
          </cell>
          <cell r="C357"/>
          <cell r="D357"/>
          <cell r="E357"/>
          <cell r="F357"/>
          <cell r="G357"/>
          <cell r="H357"/>
          <cell r="I357"/>
          <cell r="J357"/>
          <cell r="K357"/>
          <cell r="L357"/>
          <cell r="M357" t="str">
            <v>X</v>
          </cell>
          <cell r="N357" t="str">
            <v>X</v>
          </cell>
          <cell r="O357"/>
          <cell r="P357" t="str">
            <v>1008X02402</v>
          </cell>
          <cell r="Q357" t="str">
            <v>NGO</v>
          </cell>
          <cell r="R357" t="str">
            <v>WHL</v>
          </cell>
          <cell r="S357"/>
          <cell r="T357">
            <v>43251</v>
          </cell>
          <cell r="U357">
            <v>117</v>
          </cell>
          <cell r="V357" t="str">
            <v>WAN HAI 171 S242</v>
          </cell>
        </row>
        <row r="358">
          <cell r="B358" t="str">
            <v>V180786</v>
          </cell>
          <cell r="C358" t="str">
            <v>V180795</v>
          </cell>
          <cell r="D358"/>
          <cell r="E358"/>
          <cell r="F358"/>
          <cell r="G358"/>
          <cell r="H358"/>
          <cell r="I358"/>
          <cell r="J358"/>
          <cell r="K358"/>
          <cell r="L358"/>
          <cell r="M358" t="str">
            <v>X</v>
          </cell>
          <cell r="N358" t="str">
            <v>X</v>
          </cell>
          <cell r="O358"/>
          <cell r="P358">
            <v>350810052042</v>
          </cell>
          <cell r="Q358" t="str">
            <v>TYO</v>
          </cell>
          <cell r="R358" t="str">
            <v>TSL</v>
          </cell>
          <cell r="S358"/>
          <cell r="T358">
            <v>43254</v>
          </cell>
          <cell r="U358">
            <v>114</v>
          </cell>
          <cell r="V358" t="str">
            <v>HANSE ENDURANCE 18009N</v>
          </cell>
        </row>
        <row r="359">
          <cell r="B359" t="str">
            <v>V180789</v>
          </cell>
          <cell r="C359" t="str">
            <v>V180800</v>
          </cell>
          <cell r="D359"/>
          <cell r="E359"/>
          <cell r="F359"/>
          <cell r="G359"/>
          <cell r="H359"/>
          <cell r="I359"/>
          <cell r="J359"/>
          <cell r="K359"/>
          <cell r="L359"/>
          <cell r="M359" t="str">
            <v>X</v>
          </cell>
          <cell r="N359" t="str">
            <v>X</v>
          </cell>
          <cell r="O359"/>
          <cell r="P359" t="str">
            <v>KMTCHPH0543300</v>
          </cell>
          <cell r="Q359" t="str">
            <v>ISH</v>
          </cell>
          <cell r="R359" t="str">
            <v>KMTC</v>
          </cell>
          <cell r="S359"/>
          <cell r="T359">
            <v>43254</v>
          </cell>
          <cell r="U359">
            <v>114</v>
          </cell>
          <cell r="V359" t="str">
            <v>KOTA WANGSA 010N</v>
          </cell>
        </row>
        <row r="360">
          <cell r="B360" t="str">
            <v>V180790</v>
          </cell>
          <cell r="C360" t="str">
            <v>V180794</v>
          </cell>
          <cell r="D360" t="str">
            <v>V180801</v>
          </cell>
          <cell r="E360" t="str">
            <v>V180807</v>
          </cell>
          <cell r="F360" t="str">
            <v>V180808</v>
          </cell>
          <cell r="G360"/>
          <cell r="H360"/>
          <cell r="I360"/>
          <cell r="J360"/>
          <cell r="K360"/>
          <cell r="L360"/>
          <cell r="M360" t="str">
            <v>X</v>
          </cell>
          <cell r="N360" t="str">
            <v>X</v>
          </cell>
          <cell r="O360"/>
          <cell r="P360" t="str">
            <v>SITWHPTK166603</v>
          </cell>
          <cell r="Q360" t="str">
            <v>TYO</v>
          </cell>
          <cell r="R360" t="str">
            <v>SITC</v>
          </cell>
          <cell r="S360"/>
          <cell r="T360">
            <v>43255</v>
          </cell>
          <cell r="U360">
            <v>113</v>
          </cell>
          <cell r="V360" t="str">
            <v>SITC KAOHSIUNG 1815N</v>
          </cell>
        </row>
        <row r="361">
          <cell r="B361" t="str">
            <v>V180791</v>
          </cell>
          <cell r="C361" t="str">
            <v>V180797</v>
          </cell>
          <cell r="D361"/>
          <cell r="E361"/>
          <cell r="F361"/>
          <cell r="G361"/>
          <cell r="H361"/>
          <cell r="I361"/>
          <cell r="J361"/>
          <cell r="K361"/>
          <cell r="L361"/>
          <cell r="M361" t="str">
            <v>X</v>
          </cell>
          <cell r="N361" t="str">
            <v>X</v>
          </cell>
          <cell r="O361"/>
          <cell r="P361" t="str">
            <v>SITWHPKW166607</v>
          </cell>
          <cell r="Q361" t="str">
            <v>KWS</v>
          </cell>
          <cell r="R361" t="str">
            <v>SITC</v>
          </cell>
          <cell r="S361"/>
          <cell r="T361">
            <v>43251</v>
          </cell>
          <cell r="U361">
            <v>117</v>
          </cell>
          <cell r="V361" t="str">
            <v>SITC YOKKAICHI 1813N</v>
          </cell>
        </row>
        <row r="362">
          <cell r="B362" t="str">
            <v>V180792</v>
          </cell>
          <cell r="C362" t="str">
            <v>V180798</v>
          </cell>
          <cell r="D362" t="str">
            <v>V180803</v>
          </cell>
          <cell r="E362"/>
          <cell r="F362"/>
          <cell r="G362"/>
          <cell r="H362"/>
          <cell r="I362"/>
          <cell r="J362"/>
          <cell r="K362"/>
          <cell r="L362"/>
          <cell r="M362" t="str">
            <v>X</v>
          </cell>
          <cell r="N362" t="str">
            <v>X</v>
          </cell>
          <cell r="O362"/>
          <cell r="P362" t="str">
            <v>1008X02404</v>
          </cell>
          <cell r="Q362" t="str">
            <v>OSK</v>
          </cell>
          <cell r="R362" t="str">
            <v>WHL</v>
          </cell>
          <cell r="S362"/>
          <cell r="T362">
            <v>43253</v>
          </cell>
          <cell r="U362">
            <v>115</v>
          </cell>
          <cell r="V362" t="str">
            <v>IAL 001 N324</v>
          </cell>
        </row>
        <row r="363">
          <cell r="B363" t="str">
            <v>V180793</v>
          </cell>
          <cell r="C363" t="str">
            <v>V180804</v>
          </cell>
          <cell r="D363"/>
          <cell r="E363"/>
          <cell r="F363"/>
          <cell r="G363"/>
          <cell r="H363"/>
          <cell r="I363"/>
          <cell r="J363"/>
          <cell r="K363"/>
          <cell r="L363"/>
          <cell r="M363" t="str">
            <v>X</v>
          </cell>
          <cell r="N363" t="str">
            <v>X</v>
          </cell>
          <cell r="O363"/>
          <cell r="P363" t="str">
            <v>1008X02407</v>
          </cell>
          <cell r="Q363" t="str">
            <v>HKT</v>
          </cell>
          <cell r="R363" t="str">
            <v>WHL</v>
          </cell>
          <cell r="S363"/>
          <cell r="T363">
            <v>43253</v>
          </cell>
          <cell r="U363">
            <v>115</v>
          </cell>
          <cell r="V363" t="str">
            <v xml:space="preserve"> IAL 001 N324  </v>
          </cell>
        </row>
        <row r="364">
          <cell r="B364" t="str">
            <v>V180796</v>
          </cell>
          <cell r="C364"/>
          <cell r="D364"/>
          <cell r="E364"/>
          <cell r="F364"/>
          <cell r="G364"/>
          <cell r="H364"/>
          <cell r="I364"/>
          <cell r="J364"/>
          <cell r="K364"/>
          <cell r="L364"/>
          <cell r="M364" t="str">
            <v>X</v>
          </cell>
          <cell r="N364" t="str">
            <v>X</v>
          </cell>
          <cell r="O364"/>
          <cell r="P364" t="str">
            <v>EGLV237800146222</v>
          </cell>
          <cell r="Q364" t="str">
            <v>TYO</v>
          </cell>
          <cell r="R364" t="str">
            <v>EGLV</v>
          </cell>
          <cell r="S364"/>
          <cell r="T364">
            <v>43250</v>
          </cell>
          <cell r="U364">
            <v>118</v>
          </cell>
          <cell r="V364" t="str">
            <v>WAN HAI 266 N393</v>
          </cell>
        </row>
        <row r="365">
          <cell r="B365" t="str">
            <v>V180799</v>
          </cell>
          <cell r="C365"/>
          <cell r="D365"/>
          <cell r="E365"/>
          <cell r="F365"/>
          <cell r="G365"/>
          <cell r="H365"/>
          <cell r="I365"/>
          <cell r="J365"/>
          <cell r="K365"/>
          <cell r="L365"/>
          <cell r="M365" t="str">
            <v>X</v>
          </cell>
          <cell r="N365" t="str">
            <v>X</v>
          </cell>
          <cell r="O365"/>
          <cell r="P365">
            <v>350810052059</v>
          </cell>
          <cell r="Q365" t="str">
            <v>TPE</v>
          </cell>
          <cell r="R365" t="str">
            <v>TSL</v>
          </cell>
          <cell r="S365"/>
          <cell r="T365">
            <v>43254</v>
          </cell>
          <cell r="U365">
            <v>114</v>
          </cell>
          <cell r="V365" t="str">
            <v>HANSE ENDURANCE 18009N</v>
          </cell>
        </row>
        <row r="366">
          <cell r="B366" t="str">
            <v>V180802</v>
          </cell>
          <cell r="C366" t="str">
            <v>V180809</v>
          </cell>
          <cell r="D366"/>
          <cell r="E366"/>
          <cell r="F366"/>
          <cell r="G366"/>
          <cell r="H366"/>
          <cell r="I366"/>
          <cell r="J366"/>
          <cell r="K366"/>
          <cell r="L366"/>
          <cell r="M366" t="str">
            <v>X</v>
          </cell>
          <cell r="N366" t="str">
            <v>X</v>
          </cell>
          <cell r="O366"/>
          <cell r="P366" t="str">
            <v>SITWHPKW166779</v>
          </cell>
          <cell r="Q366" t="str">
            <v>KWS</v>
          </cell>
          <cell r="R366" t="str">
            <v>SITC</v>
          </cell>
          <cell r="S366"/>
          <cell r="T366">
            <v>43255</v>
          </cell>
          <cell r="U366">
            <v>113</v>
          </cell>
          <cell r="V366" t="str">
            <v>SITC KAOHSIUNG 1815N</v>
          </cell>
        </row>
        <row r="367">
          <cell r="B367" t="str">
            <v>V180805</v>
          </cell>
          <cell r="C367"/>
          <cell r="D367"/>
          <cell r="E367"/>
          <cell r="F367"/>
          <cell r="G367"/>
          <cell r="H367"/>
          <cell r="I367"/>
          <cell r="J367"/>
          <cell r="K367"/>
          <cell r="L367"/>
          <cell r="M367" t="str">
            <v>X</v>
          </cell>
          <cell r="N367" t="str">
            <v>X</v>
          </cell>
          <cell r="O367"/>
          <cell r="P367" t="str">
            <v>APLU 074555571</v>
          </cell>
          <cell r="Q367" t="str">
            <v>NAHA</v>
          </cell>
          <cell r="R367" t="str">
            <v>APL</v>
          </cell>
          <cell r="S367"/>
          <cell r="T367">
            <v>43253</v>
          </cell>
          <cell r="U367">
            <v>115</v>
          </cell>
          <cell r="V367" t="str">
            <v>ACACIA VIRGO 003E</v>
          </cell>
        </row>
        <row r="368">
          <cell r="B368" t="str">
            <v>V180806</v>
          </cell>
          <cell r="C368" t="str">
            <v>V180810</v>
          </cell>
          <cell r="D368"/>
          <cell r="E368"/>
          <cell r="F368"/>
          <cell r="G368"/>
          <cell r="H368"/>
          <cell r="I368"/>
          <cell r="J368"/>
          <cell r="K368"/>
          <cell r="L368"/>
          <cell r="M368" t="str">
            <v>X</v>
          </cell>
          <cell r="N368" t="str">
            <v>X</v>
          </cell>
          <cell r="O368"/>
          <cell r="P368" t="str">
            <v>SITWHPOS167430</v>
          </cell>
          <cell r="Q368" t="str">
            <v>OSK</v>
          </cell>
          <cell r="R368" t="str">
            <v>SITC</v>
          </cell>
          <cell r="S368"/>
          <cell r="T368">
            <v>43254</v>
          </cell>
          <cell r="U368">
            <v>114</v>
          </cell>
          <cell r="V368" t="str">
            <v>SITC YANTAI 1813N</v>
          </cell>
        </row>
        <row r="369">
          <cell r="B369" t="str">
            <v>V180811</v>
          </cell>
          <cell r="C369"/>
          <cell r="D369"/>
          <cell r="E369"/>
          <cell r="F369"/>
          <cell r="G369"/>
          <cell r="H369"/>
          <cell r="I369"/>
          <cell r="J369"/>
          <cell r="K369"/>
          <cell r="L369"/>
          <cell r="M369" t="str">
            <v>X</v>
          </cell>
          <cell r="N369" t="str">
            <v>X</v>
          </cell>
          <cell r="O369"/>
          <cell r="P369" t="str">
            <v>SITWHPHT167434</v>
          </cell>
          <cell r="Q369" t="str">
            <v>HKT</v>
          </cell>
          <cell r="R369" t="str">
            <v>SITC</v>
          </cell>
          <cell r="S369"/>
          <cell r="T369">
            <v>43254</v>
          </cell>
          <cell r="U369">
            <v>114</v>
          </cell>
          <cell r="V369" t="str">
            <v>SITC YANTAI 1813N</v>
          </cell>
        </row>
        <row r="370">
          <cell r="B370" t="str">
            <v>V180812</v>
          </cell>
          <cell r="C370" t="str">
            <v>V180813</v>
          </cell>
          <cell r="D370" t="str">
            <v>V180815</v>
          </cell>
          <cell r="E370" t="str">
            <v>V180819</v>
          </cell>
          <cell r="M370" t="str">
            <v>X</v>
          </cell>
          <cell r="N370" t="str">
            <v>X</v>
          </cell>
          <cell r="O370"/>
          <cell r="P370" t="str">
            <v>1008X02411</v>
          </cell>
          <cell r="Q370" t="str">
            <v>OSK</v>
          </cell>
          <cell r="R370" t="str">
            <v>WHL</v>
          </cell>
          <cell r="S370"/>
          <cell r="T370">
            <v>43257</v>
          </cell>
          <cell r="U370">
            <v>111</v>
          </cell>
          <cell r="V370" t="str">
            <v xml:space="preserve"> AS FRIDA N003</v>
          </cell>
        </row>
        <row r="371">
          <cell r="B371" t="str">
            <v>V180814</v>
          </cell>
          <cell r="C371" t="str">
            <v>V180818</v>
          </cell>
          <cell r="D371" t="str">
            <v>V180824</v>
          </cell>
          <cell r="E371" t="str">
            <v>V180828</v>
          </cell>
          <cell r="F371"/>
          <cell r="G371"/>
          <cell r="H371"/>
          <cell r="I371"/>
          <cell r="J371"/>
          <cell r="K371"/>
          <cell r="L371"/>
          <cell r="M371" t="str">
            <v>X</v>
          </cell>
          <cell r="N371" t="str">
            <v>X</v>
          </cell>
          <cell r="O371"/>
          <cell r="P371" t="str">
            <v>SITWHPKW166687</v>
          </cell>
          <cell r="Q371" t="str">
            <v>KWS</v>
          </cell>
          <cell r="R371" t="str">
            <v>SITC</v>
          </cell>
          <cell r="S371"/>
          <cell r="T371">
            <v>43261</v>
          </cell>
          <cell r="U371">
            <v>107</v>
          </cell>
          <cell r="V371" t="str">
            <v>AVRA C 1817N</v>
          </cell>
        </row>
        <row r="372">
          <cell r="B372" t="str">
            <v>V180816</v>
          </cell>
          <cell r="C372" t="str">
            <v>V180817</v>
          </cell>
          <cell r="D372" t="str">
            <v>V180827</v>
          </cell>
          <cell r="E372" t="str">
            <v>V180833</v>
          </cell>
          <cell r="F372" t="str">
            <v>V180834</v>
          </cell>
          <cell r="G372"/>
          <cell r="H372"/>
          <cell r="I372"/>
          <cell r="J372"/>
          <cell r="K372"/>
          <cell r="L372"/>
          <cell r="M372" t="str">
            <v>X</v>
          </cell>
          <cell r="N372" t="str">
            <v>X</v>
          </cell>
          <cell r="O372"/>
          <cell r="P372" t="str">
            <v>SITWHPTK167425</v>
          </cell>
          <cell r="Q372" t="str">
            <v>TYO</v>
          </cell>
          <cell r="R372" t="str">
            <v>SITC</v>
          </cell>
          <cell r="S372"/>
          <cell r="T372">
            <v>43261</v>
          </cell>
          <cell r="U372">
            <v>107</v>
          </cell>
          <cell r="V372" t="str">
            <v>AVRA C 1817N</v>
          </cell>
        </row>
        <row r="373">
          <cell r="B373" t="str">
            <v>V180820</v>
          </cell>
          <cell r="C373"/>
          <cell r="D373"/>
          <cell r="E373"/>
          <cell r="F373"/>
          <cell r="G373"/>
          <cell r="H373"/>
          <cell r="I373"/>
          <cell r="J373"/>
          <cell r="K373"/>
          <cell r="L373"/>
          <cell r="M373" t="str">
            <v>X</v>
          </cell>
          <cell r="N373" t="str">
            <v>X</v>
          </cell>
          <cell r="O373"/>
          <cell r="P373" t="str">
            <v>1008X02575</v>
          </cell>
          <cell r="Q373" t="str">
            <v>HKT</v>
          </cell>
          <cell r="R373" t="str">
            <v>WHL</v>
          </cell>
          <cell r="S373"/>
          <cell r="T373">
            <v>43258</v>
          </cell>
          <cell r="U373">
            <v>110</v>
          </cell>
          <cell r="V373" t="str">
            <v>WAN HAI 213 N329</v>
          </cell>
        </row>
        <row r="374">
          <cell r="B374" t="str">
            <v>V180821</v>
          </cell>
          <cell r="C374"/>
          <cell r="D374"/>
          <cell r="E374"/>
          <cell r="F374"/>
          <cell r="G374"/>
          <cell r="H374"/>
          <cell r="I374"/>
          <cell r="J374"/>
          <cell r="K374"/>
          <cell r="L374"/>
          <cell r="M374" t="str">
            <v>X</v>
          </cell>
          <cell r="N374" t="str">
            <v>X</v>
          </cell>
          <cell r="O374"/>
          <cell r="P374">
            <v>350810057450</v>
          </cell>
          <cell r="Q374" t="str">
            <v>TPE</v>
          </cell>
          <cell r="R374" t="str">
            <v>TSL</v>
          </cell>
          <cell r="S374"/>
          <cell r="T374">
            <v>43258</v>
          </cell>
          <cell r="U374">
            <v>110</v>
          </cell>
          <cell r="V374" t="str">
            <v>PADIAN 2 18004B</v>
          </cell>
        </row>
        <row r="375">
          <cell r="B375" t="str">
            <v>V180822</v>
          </cell>
          <cell r="C375"/>
          <cell r="D375"/>
          <cell r="E375"/>
          <cell r="F375"/>
          <cell r="G375"/>
          <cell r="H375"/>
          <cell r="I375"/>
          <cell r="J375"/>
          <cell r="K375"/>
          <cell r="L375"/>
          <cell r="M375" t="str">
            <v>X</v>
          </cell>
          <cell r="N375" t="str">
            <v>X</v>
          </cell>
          <cell r="O375"/>
          <cell r="P375" t="str">
            <v>KMTCHPH0548375</v>
          </cell>
          <cell r="Q375" t="str">
            <v>ISH</v>
          </cell>
          <cell r="R375" t="str">
            <v>KMTC</v>
          </cell>
          <cell r="S375"/>
          <cell r="T375">
            <v>43259</v>
          </cell>
          <cell r="U375">
            <v>109</v>
          </cell>
          <cell r="V375" t="str">
            <v>SUNNY IRIS 1818N</v>
          </cell>
        </row>
        <row r="376">
          <cell r="B376" t="str">
            <v>V180823</v>
          </cell>
          <cell r="C376"/>
          <cell r="D376"/>
          <cell r="E376"/>
          <cell r="F376"/>
          <cell r="G376"/>
          <cell r="H376"/>
          <cell r="I376"/>
          <cell r="J376"/>
          <cell r="K376"/>
          <cell r="L376"/>
          <cell r="M376" t="str">
            <v>X</v>
          </cell>
          <cell r="N376" t="str">
            <v>X</v>
          </cell>
          <cell r="O376"/>
          <cell r="P376">
            <v>350810055654</v>
          </cell>
          <cell r="Q376" t="str">
            <v>TYO</v>
          </cell>
          <cell r="R376" t="str">
            <v>TSL</v>
          </cell>
          <cell r="S376"/>
          <cell r="T376">
            <v>43261</v>
          </cell>
          <cell r="U376">
            <v>107</v>
          </cell>
          <cell r="V376" t="str">
            <v>LANTAU BEE 18008N</v>
          </cell>
        </row>
        <row r="377">
          <cell r="B377" t="str">
            <v>V180825</v>
          </cell>
          <cell r="C377"/>
          <cell r="D377"/>
          <cell r="E377"/>
          <cell r="F377"/>
          <cell r="G377"/>
          <cell r="H377"/>
          <cell r="I377"/>
          <cell r="J377"/>
          <cell r="K377"/>
          <cell r="L377"/>
          <cell r="M377" t="str">
            <v>X</v>
          </cell>
          <cell r="N377" t="str">
            <v>X</v>
          </cell>
          <cell r="O377"/>
          <cell r="P377" t="str">
            <v>SITWHPOS167626</v>
          </cell>
          <cell r="Q377" t="str">
            <v>OSK</v>
          </cell>
          <cell r="R377" t="str">
            <v>SITC</v>
          </cell>
          <cell r="S377"/>
          <cell r="T377">
            <v>43259</v>
          </cell>
          <cell r="U377">
            <v>109</v>
          </cell>
          <cell r="V377" t="str">
            <v>SITC KOBE 1823N</v>
          </cell>
        </row>
        <row r="378">
          <cell r="B378" t="str">
            <v>V180826</v>
          </cell>
          <cell r="C378"/>
          <cell r="D378"/>
          <cell r="E378"/>
          <cell r="F378"/>
          <cell r="G378"/>
          <cell r="H378"/>
          <cell r="I378"/>
          <cell r="J378"/>
          <cell r="K378"/>
          <cell r="L378"/>
          <cell r="M378" t="str">
            <v>X</v>
          </cell>
          <cell r="N378" t="str">
            <v>X</v>
          </cell>
          <cell r="O378"/>
          <cell r="P378">
            <v>350810060375</v>
          </cell>
          <cell r="Q378" t="str">
            <v>TPE</v>
          </cell>
          <cell r="R378" t="str">
            <v>TSL</v>
          </cell>
          <cell r="S378"/>
          <cell r="T378">
            <v>43261</v>
          </cell>
          <cell r="U378">
            <v>107</v>
          </cell>
          <cell r="V378" t="str">
            <v>LANTAU BEE 18008N</v>
          </cell>
        </row>
        <row r="379">
          <cell r="B379" t="str">
            <v>V180829</v>
          </cell>
          <cell r="C379"/>
          <cell r="D379"/>
          <cell r="E379"/>
          <cell r="F379"/>
          <cell r="G379"/>
          <cell r="H379"/>
          <cell r="I379"/>
          <cell r="J379"/>
          <cell r="K379"/>
          <cell r="L379"/>
          <cell r="M379" t="str">
            <v>X</v>
          </cell>
          <cell r="N379" t="str">
            <v>X</v>
          </cell>
          <cell r="O379"/>
          <cell r="P379" t="str">
            <v>1008X02586</v>
          </cell>
          <cell r="Q379" t="str">
            <v>NGO</v>
          </cell>
          <cell r="R379" t="str">
            <v>WHL</v>
          </cell>
          <cell r="S379"/>
          <cell r="T379">
            <v>43260</v>
          </cell>
          <cell r="U379">
            <v>108</v>
          </cell>
          <cell r="V379" t="str">
            <v>IAL 001 N325</v>
          </cell>
        </row>
        <row r="380">
          <cell r="B380" t="str">
            <v>V180830</v>
          </cell>
          <cell r="C380" t="str">
            <v>V180836</v>
          </cell>
          <cell r="D380"/>
          <cell r="E380"/>
          <cell r="F380"/>
          <cell r="G380"/>
          <cell r="H380"/>
          <cell r="I380"/>
          <cell r="J380"/>
          <cell r="K380"/>
          <cell r="L380"/>
          <cell r="M380" t="str">
            <v>X</v>
          </cell>
          <cell r="N380" t="str">
            <v>X</v>
          </cell>
          <cell r="O380"/>
          <cell r="P380" t="str">
            <v>1008X02572</v>
          </cell>
          <cell r="Q380" t="str">
            <v>OSK</v>
          </cell>
          <cell r="R380" t="str">
            <v>WHL</v>
          </cell>
          <cell r="S380"/>
          <cell r="T380">
            <v>43260</v>
          </cell>
          <cell r="U380">
            <v>108</v>
          </cell>
          <cell r="V380" t="str">
            <v>IAL 001 N325</v>
          </cell>
        </row>
        <row r="381">
          <cell r="B381" t="str">
            <v>V180831</v>
          </cell>
          <cell r="C381" t="str">
            <v>V180840</v>
          </cell>
          <cell r="D381"/>
          <cell r="E381"/>
          <cell r="F381"/>
          <cell r="G381"/>
          <cell r="H381"/>
          <cell r="I381"/>
          <cell r="J381"/>
          <cell r="K381"/>
          <cell r="L381"/>
          <cell r="M381" t="str">
            <v>X</v>
          </cell>
          <cell r="N381" t="str">
            <v>X</v>
          </cell>
          <cell r="O381"/>
          <cell r="P381" t="str">
            <v>1008X02573</v>
          </cell>
          <cell r="Q381" t="str">
            <v>HKT</v>
          </cell>
          <cell r="R381" t="str">
            <v>WHL</v>
          </cell>
          <cell r="S381"/>
          <cell r="T381">
            <v>43260</v>
          </cell>
          <cell r="U381">
            <v>108</v>
          </cell>
          <cell r="V381" t="str">
            <v>IAL 001 N325</v>
          </cell>
        </row>
        <row r="382">
          <cell r="B382" t="str">
            <v>V180832</v>
          </cell>
          <cell r="C382" t="str">
            <v>V180841</v>
          </cell>
          <cell r="D382"/>
          <cell r="E382"/>
          <cell r="F382"/>
          <cell r="G382"/>
          <cell r="H382"/>
          <cell r="I382"/>
          <cell r="J382"/>
          <cell r="K382"/>
          <cell r="L382"/>
          <cell r="M382" t="str">
            <v>X</v>
          </cell>
          <cell r="N382" t="str">
            <v>X</v>
          </cell>
          <cell r="O382"/>
          <cell r="P382" t="str">
            <v>KMTCHPH0541581</v>
          </cell>
          <cell r="Q382" t="str">
            <v>ISH</v>
          </cell>
          <cell r="R382" t="str">
            <v>KMTC</v>
          </cell>
          <cell r="S382"/>
          <cell r="T382">
            <v>43262</v>
          </cell>
          <cell r="U382">
            <v>106</v>
          </cell>
          <cell r="V382" t="str">
            <v>SUNNY CANNA 1811N</v>
          </cell>
        </row>
        <row r="383">
          <cell r="B383" t="str">
            <v>V180835</v>
          </cell>
          <cell r="C383" t="str">
            <v>V180838</v>
          </cell>
          <cell r="D383" t="str">
            <v>V180843</v>
          </cell>
          <cell r="E383"/>
          <cell r="F383"/>
          <cell r="G383"/>
          <cell r="H383"/>
          <cell r="I383"/>
          <cell r="J383"/>
          <cell r="K383"/>
          <cell r="L383"/>
          <cell r="M383" t="str">
            <v>X</v>
          </cell>
          <cell r="N383" t="str">
            <v>X</v>
          </cell>
          <cell r="O383"/>
          <cell r="P383" t="str">
            <v>SITWHPKW167437</v>
          </cell>
          <cell r="Q383" t="str">
            <v>KWS</v>
          </cell>
          <cell r="R383" t="str">
            <v>SITC</v>
          </cell>
          <cell r="S383"/>
          <cell r="T383">
            <v>43261</v>
          </cell>
          <cell r="U383">
            <v>107</v>
          </cell>
          <cell r="V383" t="str">
            <v>AVRA C 1817N</v>
          </cell>
        </row>
        <row r="384">
          <cell r="B384" t="str">
            <v>V180837</v>
          </cell>
          <cell r="C384" t="str">
            <v>V180842</v>
          </cell>
          <cell r="D384" t="str">
            <v>V180846</v>
          </cell>
          <cell r="E384"/>
          <cell r="F384"/>
          <cell r="G384"/>
          <cell r="H384"/>
          <cell r="I384"/>
          <cell r="J384"/>
          <cell r="K384"/>
          <cell r="L384"/>
          <cell r="M384" t="str">
            <v>X</v>
          </cell>
          <cell r="N384" t="str">
            <v>X</v>
          </cell>
          <cell r="O384"/>
          <cell r="P384" t="str">
            <v>SITWHPTK167429</v>
          </cell>
          <cell r="Q384" t="str">
            <v>TYO</v>
          </cell>
          <cell r="R384" t="str">
            <v>SITC</v>
          </cell>
          <cell r="S384"/>
          <cell r="T384">
            <v>43261</v>
          </cell>
          <cell r="U384">
            <v>107</v>
          </cell>
          <cell r="V384" t="str">
            <v>AVRA C 1817N</v>
          </cell>
        </row>
        <row r="385">
          <cell r="B385" t="str">
            <v>V180839</v>
          </cell>
          <cell r="C385" t="str">
            <v>V180844</v>
          </cell>
          <cell r="D385"/>
          <cell r="E385"/>
          <cell r="F385"/>
          <cell r="G385"/>
          <cell r="H385"/>
          <cell r="I385"/>
          <cell r="J385"/>
          <cell r="K385"/>
          <cell r="L385"/>
          <cell r="M385" t="str">
            <v>X</v>
          </cell>
          <cell r="N385" t="str">
            <v>X</v>
          </cell>
          <cell r="O385"/>
          <cell r="P385" t="str">
            <v>SITWHPOS167432</v>
          </cell>
          <cell r="Q385" t="str">
            <v>OSK</v>
          </cell>
          <cell r="R385" t="str">
            <v>SITC</v>
          </cell>
          <cell r="S385"/>
          <cell r="T385">
            <v>43261</v>
          </cell>
          <cell r="U385">
            <v>107</v>
          </cell>
          <cell r="V385" t="str">
            <v>REFLECTION 1817N</v>
          </cell>
        </row>
        <row r="386">
          <cell r="B386" t="str">
            <v>V180845</v>
          </cell>
          <cell r="C386"/>
          <cell r="D386"/>
          <cell r="E386"/>
          <cell r="F386"/>
          <cell r="G386"/>
          <cell r="H386"/>
          <cell r="I386"/>
          <cell r="J386"/>
          <cell r="K386"/>
          <cell r="L386"/>
          <cell r="M386" t="str">
            <v>X</v>
          </cell>
          <cell r="N386" t="str">
            <v>X</v>
          </cell>
          <cell r="O386"/>
          <cell r="P386" t="str">
            <v>SITWHPHT168212</v>
          </cell>
          <cell r="Q386" t="str">
            <v>HKT</v>
          </cell>
          <cell r="R386" t="str">
            <v>SITC</v>
          </cell>
          <cell r="S386"/>
          <cell r="T386">
            <v>43261</v>
          </cell>
          <cell r="U386">
            <v>107</v>
          </cell>
          <cell r="V386" t="str">
            <v>REFLECTION 1817N</v>
          </cell>
        </row>
        <row r="387">
          <cell r="B387" t="str">
            <v>V180847</v>
          </cell>
          <cell r="C387" t="str">
            <v>V180862</v>
          </cell>
          <cell r="M387" t="str">
            <v>X</v>
          </cell>
          <cell r="N387" t="str">
            <v>X</v>
          </cell>
          <cell r="O387"/>
          <cell r="P387" t="str">
            <v>SITWHPTK168117</v>
          </cell>
          <cell r="Q387" t="str">
            <v>TYO</v>
          </cell>
          <cell r="R387" t="str">
            <v>SITC</v>
          </cell>
          <cell r="S387"/>
          <cell r="T387">
            <v>43266</v>
          </cell>
          <cell r="U387">
            <v>102</v>
          </cell>
          <cell r="V387" t="str">
            <v>SITC NAGOYA 1817N</v>
          </cell>
        </row>
        <row r="388">
          <cell r="B388" t="str">
            <v>V180848</v>
          </cell>
          <cell r="C388"/>
          <cell r="D388"/>
          <cell r="E388"/>
          <cell r="F388"/>
          <cell r="G388"/>
          <cell r="H388"/>
          <cell r="I388"/>
          <cell r="J388"/>
          <cell r="K388"/>
          <cell r="L388"/>
          <cell r="M388" t="str">
            <v>X</v>
          </cell>
          <cell r="N388" t="str">
            <v>X</v>
          </cell>
          <cell r="O388"/>
          <cell r="P388">
            <v>350810059294</v>
          </cell>
          <cell r="Q388" t="str">
            <v>TYO</v>
          </cell>
          <cell r="R388" t="str">
            <v>TSL</v>
          </cell>
          <cell r="S388"/>
          <cell r="T388">
            <v>43264</v>
          </cell>
          <cell r="U388">
            <v>104</v>
          </cell>
          <cell r="V388" t="str">
            <v>MARCARRIER 18011N</v>
          </cell>
        </row>
        <row r="389">
          <cell r="B389" t="str">
            <v>V180849</v>
          </cell>
          <cell r="C389" t="str">
            <v>V180861</v>
          </cell>
          <cell r="D389"/>
          <cell r="E389"/>
          <cell r="F389"/>
          <cell r="G389"/>
          <cell r="H389"/>
          <cell r="I389"/>
          <cell r="J389"/>
          <cell r="K389"/>
          <cell r="L389"/>
          <cell r="M389" t="str">
            <v>X</v>
          </cell>
          <cell r="N389" t="str">
            <v>X</v>
          </cell>
          <cell r="O389"/>
          <cell r="P389" t="str">
            <v>KMTCHPH0548668</v>
          </cell>
          <cell r="Q389" t="str">
            <v>ISH</v>
          </cell>
          <cell r="R389" t="str">
            <v>KMTC</v>
          </cell>
          <cell r="S389"/>
          <cell r="T389">
            <v>43265</v>
          </cell>
          <cell r="U389">
            <v>103</v>
          </cell>
          <cell r="V389" t="str">
            <v>FRISIA NUERNBERG 074N</v>
          </cell>
        </row>
        <row r="390">
          <cell r="B390" t="str">
            <v>V180850</v>
          </cell>
          <cell r="C390" t="str">
            <v>V180853</v>
          </cell>
          <cell r="D390"/>
          <cell r="E390"/>
          <cell r="F390"/>
          <cell r="G390"/>
          <cell r="H390"/>
          <cell r="I390"/>
          <cell r="J390"/>
          <cell r="K390"/>
          <cell r="L390"/>
          <cell r="M390" t="str">
            <v>X</v>
          </cell>
          <cell r="N390" t="str">
            <v>X</v>
          </cell>
          <cell r="O390"/>
          <cell r="P390" t="str">
            <v>1008X02576</v>
          </cell>
          <cell r="Q390" t="str">
            <v>OSK</v>
          </cell>
          <cell r="R390" t="str">
            <v>WHL</v>
          </cell>
          <cell r="S390"/>
          <cell r="T390">
            <v>43264</v>
          </cell>
          <cell r="U390">
            <v>104</v>
          </cell>
          <cell r="V390" t="str">
            <v>AS FIONA N005</v>
          </cell>
        </row>
        <row r="391">
          <cell r="B391" t="str">
            <v>V180851</v>
          </cell>
          <cell r="C391" t="str">
            <v>V180856</v>
          </cell>
          <cell r="D391" t="str">
            <v>V180863</v>
          </cell>
          <cell r="E391"/>
          <cell r="F391"/>
          <cell r="G391"/>
          <cell r="H391"/>
          <cell r="I391"/>
          <cell r="J391"/>
          <cell r="K391"/>
          <cell r="L391"/>
          <cell r="M391" t="str">
            <v>X</v>
          </cell>
          <cell r="N391" t="str">
            <v>X</v>
          </cell>
          <cell r="O391"/>
          <cell r="P391" t="str">
            <v>SITWHPKW167439</v>
          </cell>
          <cell r="Q391" t="str">
            <v>KWS</v>
          </cell>
          <cell r="R391" t="str">
            <v>SITC</v>
          </cell>
          <cell r="S391"/>
          <cell r="T391">
            <v>43266</v>
          </cell>
          <cell r="U391">
            <v>102</v>
          </cell>
          <cell r="V391" t="str">
            <v>SITC NAGOYA 1817N</v>
          </cell>
        </row>
        <row r="392">
          <cell r="B392" t="str">
            <v>V180852</v>
          </cell>
          <cell r="C392" t="str">
            <v>V180855</v>
          </cell>
          <cell r="D392" t="str">
            <v>V180866</v>
          </cell>
          <cell r="E392"/>
          <cell r="F392"/>
          <cell r="G392"/>
          <cell r="H392"/>
          <cell r="I392"/>
          <cell r="J392"/>
          <cell r="K392"/>
          <cell r="L392"/>
          <cell r="M392" t="str">
            <v>X</v>
          </cell>
          <cell r="N392" t="str">
            <v>X</v>
          </cell>
          <cell r="O392"/>
          <cell r="P392" t="str">
            <v>1008X02587</v>
          </cell>
          <cell r="Q392" t="str">
            <v>TYO</v>
          </cell>
          <cell r="R392" t="str">
            <v>WHL</v>
          </cell>
          <cell r="S392"/>
          <cell r="T392">
            <v>43264</v>
          </cell>
          <cell r="U392">
            <v>104</v>
          </cell>
          <cell r="V392" t="str">
            <v>WAN HAI 267 N267</v>
          </cell>
        </row>
        <row r="393">
          <cell r="B393" t="str">
            <v>V180854</v>
          </cell>
          <cell r="C393" t="str">
            <v>V180860</v>
          </cell>
          <cell r="D393"/>
          <cell r="E393"/>
          <cell r="F393"/>
          <cell r="G393"/>
          <cell r="H393"/>
          <cell r="I393"/>
          <cell r="J393"/>
          <cell r="K393"/>
          <cell r="L393"/>
          <cell r="M393" t="str">
            <v>X</v>
          </cell>
          <cell r="N393" t="str">
            <v>X</v>
          </cell>
          <cell r="O393"/>
          <cell r="P393" t="str">
            <v>1008X02761</v>
          </cell>
          <cell r="Q393" t="str">
            <v>HKT</v>
          </cell>
          <cell r="R393" t="str">
            <v>WHL</v>
          </cell>
          <cell r="S393"/>
          <cell r="T393">
            <v>43264</v>
          </cell>
          <cell r="U393">
            <v>104</v>
          </cell>
          <cell r="V393" t="str">
            <v>WAN HAI 205 N471</v>
          </cell>
        </row>
        <row r="394">
          <cell r="B394" t="str">
            <v>V180857</v>
          </cell>
          <cell r="C394" t="str">
            <v>V180859</v>
          </cell>
          <cell r="D394" t="str">
            <v>V180864</v>
          </cell>
          <cell r="E394"/>
          <cell r="F394"/>
          <cell r="G394"/>
          <cell r="H394"/>
          <cell r="I394"/>
          <cell r="J394"/>
          <cell r="K394"/>
          <cell r="L394"/>
          <cell r="M394" t="str">
            <v>X</v>
          </cell>
          <cell r="N394" t="str">
            <v>X</v>
          </cell>
          <cell r="O394"/>
          <cell r="P394" t="str">
            <v>1008X02764</v>
          </cell>
          <cell r="Q394" t="str">
            <v>OSK</v>
          </cell>
          <cell r="R394" t="str">
            <v>WHL</v>
          </cell>
          <cell r="S394"/>
          <cell r="T394">
            <v>43264</v>
          </cell>
          <cell r="U394">
            <v>104</v>
          </cell>
          <cell r="V394" t="str">
            <v xml:space="preserve"> AS FIONA  N005 </v>
          </cell>
        </row>
        <row r="395">
          <cell r="B395" t="str">
            <v>V180858</v>
          </cell>
          <cell r="C395"/>
          <cell r="D395"/>
          <cell r="E395"/>
          <cell r="F395"/>
          <cell r="G395"/>
          <cell r="H395"/>
          <cell r="I395"/>
          <cell r="J395"/>
          <cell r="K395"/>
          <cell r="L395"/>
          <cell r="M395" t="str">
            <v>X</v>
          </cell>
          <cell r="N395" t="str">
            <v>X</v>
          </cell>
          <cell r="O395"/>
          <cell r="P395" t="str">
            <v>EGLV237800161787</v>
          </cell>
          <cell r="Q395" t="str">
            <v>TYO</v>
          </cell>
          <cell r="R395" t="str">
            <v>EGLV</v>
          </cell>
          <cell r="S395"/>
          <cell r="T395">
            <v>43266</v>
          </cell>
          <cell r="U395">
            <v>102</v>
          </cell>
          <cell r="V395" t="str">
            <v>PADMA 0577-064N</v>
          </cell>
        </row>
        <row r="396">
          <cell r="B396" t="str">
            <v>V180865</v>
          </cell>
          <cell r="C396"/>
          <cell r="D396"/>
          <cell r="E396"/>
          <cell r="F396"/>
          <cell r="G396"/>
          <cell r="H396"/>
          <cell r="I396"/>
          <cell r="J396"/>
          <cell r="K396"/>
          <cell r="L396"/>
          <cell r="M396" t="str">
            <v>X</v>
          </cell>
          <cell r="N396" t="str">
            <v>X</v>
          </cell>
          <cell r="O396"/>
          <cell r="P396">
            <v>350810059300</v>
          </cell>
          <cell r="Q396" t="str">
            <v>TYO</v>
          </cell>
          <cell r="R396" t="str">
            <v>TSL</v>
          </cell>
          <cell r="S396"/>
          <cell r="T396">
            <v>43268</v>
          </cell>
          <cell r="U396">
            <v>100</v>
          </cell>
          <cell r="V396" t="str">
            <v>LANTAU BRIDE 18011N</v>
          </cell>
        </row>
        <row r="397">
          <cell r="B397" t="str">
            <v>V180868</v>
          </cell>
          <cell r="C397"/>
          <cell r="D397"/>
          <cell r="E397"/>
          <cell r="F397"/>
          <cell r="G397"/>
          <cell r="H397"/>
          <cell r="I397"/>
          <cell r="J397"/>
          <cell r="K397"/>
          <cell r="L397"/>
          <cell r="M397" t="str">
            <v>X</v>
          </cell>
          <cell r="N397" t="str">
            <v>X</v>
          </cell>
          <cell r="O397"/>
          <cell r="P397" t="str">
            <v>KMTCHPH0547789</v>
          </cell>
          <cell r="Q397" t="str">
            <v>ISH</v>
          </cell>
          <cell r="R397" t="str">
            <v>KMTC</v>
          </cell>
          <cell r="S397"/>
          <cell r="T397">
            <v>43267</v>
          </cell>
          <cell r="U397">
            <v>101</v>
          </cell>
          <cell r="V397" t="str">
            <v>SUNNY CLOVER 1812N</v>
          </cell>
        </row>
        <row r="398">
          <cell r="B398" t="str">
            <v>V180869</v>
          </cell>
          <cell r="C398" t="str">
            <v>V180873</v>
          </cell>
          <cell r="D398" t="str">
            <v>V180874</v>
          </cell>
          <cell r="E398"/>
          <cell r="F398"/>
          <cell r="G398"/>
          <cell r="H398"/>
          <cell r="I398"/>
          <cell r="J398"/>
          <cell r="K398"/>
          <cell r="L398"/>
          <cell r="M398" t="str">
            <v>X</v>
          </cell>
          <cell r="N398" t="str">
            <v>X</v>
          </cell>
          <cell r="O398"/>
          <cell r="P398" t="str">
            <v>SITWHPTK168118</v>
          </cell>
          <cell r="Q398" t="str">
            <v>TYO</v>
          </cell>
          <cell r="R398" t="str">
            <v>SITC</v>
          </cell>
          <cell r="S398"/>
          <cell r="T398">
            <v>43268</v>
          </cell>
          <cell r="U398">
            <v>100</v>
          </cell>
          <cell r="V398" t="str">
            <v>RESURGENCE 1815N</v>
          </cell>
        </row>
        <row r="399">
          <cell r="B399" t="str">
            <v>V180870</v>
          </cell>
          <cell r="C399" t="str">
            <v>V180875</v>
          </cell>
          <cell r="D399"/>
          <cell r="E399"/>
          <cell r="F399"/>
          <cell r="G399"/>
          <cell r="H399"/>
          <cell r="I399"/>
          <cell r="J399"/>
          <cell r="K399"/>
          <cell r="L399"/>
          <cell r="M399" t="str">
            <v>X</v>
          </cell>
          <cell r="N399" t="str">
            <v>X</v>
          </cell>
          <cell r="O399"/>
          <cell r="P399" t="str">
            <v>SITWHPKW168123</v>
          </cell>
          <cell r="Q399" t="str">
            <v>KWS</v>
          </cell>
          <cell r="R399" t="str">
            <v>SITC</v>
          </cell>
          <cell r="S399"/>
          <cell r="T399">
            <v>43268</v>
          </cell>
          <cell r="U399">
            <v>100</v>
          </cell>
          <cell r="V399" t="str">
            <v>RESURGENCE 1815N</v>
          </cell>
        </row>
        <row r="400">
          <cell r="B400" t="str">
            <v>V180871</v>
          </cell>
          <cell r="C400" t="str">
            <v>V180876</v>
          </cell>
          <cell r="D400"/>
          <cell r="E400"/>
          <cell r="F400"/>
          <cell r="G400"/>
          <cell r="H400"/>
          <cell r="I400"/>
          <cell r="J400"/>
          <cell r="K400"/>
          <cell r="L400"/>
          <cell r="M400" t="str">
            <v>X</v>
          </cell>
          <cell r="N400" t="str">
            <v>X</v>
          </cell>
          <cell r="O400"/>
          <cell r="P400" t="str">
            <v>SITWHPOS168120</v>
          </cell>
          <cell r="Q400" t="str">
            <v>OSK</v>
          </cell>
          <cell r="R400" t="str">
            <v>SITC</v>
          </cell>
          <cell r="S400"/>
          <cell r="T400">
            <v>43268</v>
          </cell>
          <cell r="U400">
            <v>100</v>
          </cell>
          <cell r="V400" t="str">
            <v>EPONYMA 1817N</v>
          </cell>
        </row>
        <row r="401">
          <cell r="B401" t="str">
            <v>V180872</v>
          </cell>
          <cell r="C401" t="str">
            <v>V180877</v>
          </cell>
          <cell r="D401"/>
          <cell r="E401"/>
          <cell r="F401"/>
          <cell r="G401"/>
          <cell r="H401"/>
          <cell r="I401"/>
          <cell r="J401"/>
          <cell r="K401"/>
          <cell r="L401"/>
          <cell r="M401" t="str">
            <v>X</v>
          </cell>
          <cell r="N401" t="str">
            <v>X</v>
          </cell>
          <cell r="O401"/>
          <cell r="P401" t="str">
            <v>SITWHPHT168121</v>
          </cell>
          <cell r="Q401" t="str">
            <v>HKT</v>
          </cell>
          <cell r="R401" t="str">
            <v>SITC</v>
          </cell>
          <cell r="S401"/>
          <cell r="T401">
            <v>43268</v>
          </cell>
          <cell r="U401">
            <v>100</v>
          </cell>
          <cell r="V401" t="str">
            <v>EPONYMA 1817N</v>
          </cell>
        </row>
        <row r="402">
          <cell r="B402" t="str">
            <v>V180883</v>
          </cell>
          <cell r="C402"/>
          <cell r="D402"/>
          <cell r="E402"/>
          <cell r="F402"/>
          <cell r="G402"/>
          <cell r="H402"/>
          <cell r="I402"/>
          <cell r="J402"/>
          <cell r="K402"/>
          <cell r="L402"/>
          <cell r="M402" t="str">
            <v>X</v>
          </cell>
          <cell r="N402" t="str">
            <v>X</v>
          </cell>
          <cell r="O402"/>
          <cell r="P402" t="str">
            <v>SITWHPOS169032</v>
          </cell>
          <cell r="Q402" t="str">
            <v>OSK</v>
          </cell>
          <cell r="R402" t="str">
            <v>SITC</v>
          </cell>
          <cell r="S402"/>
          <cell r="T402">
            <v>43274</v>
          </cell>
          <cell r="U402">
            <v>94</v>
          </cell>
          <cell r="V402" t="str">
            <v>SITC TIANJIN 1817N</v>
          </cell>
        </row>
        <row r="403">
          <cell r="B403" t="str">
            <v>V180878</v>
          </cell>
          <cell r="C403" t="str">
            <v>Z18008</v>
          </cell>
          <cell r="D403"/>
          <cell r="E403"/>
          <cell r="F403"/>
          <cell r="G403"/>
          <cell r="H403"/>
          <cell r="I403"/>
          <cell r="J403"/>
          <cell r="K403"/>
          <cell r="L403"/>
          <cell r="M403" t="str">
            <v>X</v>
          </cell>
          <cell r="N403" t="str">
            <v>X</v>
          </cell>
          <cell r="O403"/>
          <cell r="P403" t="str">
            <v>SITWHPTK168845</v>
          </cell>
          <cell r="Q403" t="str">
            <v>TYO</v>
          </cell>
          <cell r="R403" t="str">
            <v>SITC</v>
          </cell>
          <cell r="S403"/>
          <cell r="T403">
            <v>43273</v>
          </cell>
          <cell r="U403">
            <v>95</v>
          </cell>
          <cell r="V403" t="str">
            <v>SITC YOKKAICHI 1815N</v>
          </cell>
        </row>
        <row r="404">
          <cell r="B404" t="str">
            <v>V180879</v>
          </cell>
          <cell r="C404" t="str">
            <v>V180893</v>
          </cell>
          <cell r="D404" t="str">
            <v>Z18012</v>
          </cell>
          <cell r="E404"/>
          <cell r="F404"/>
          <cell r="G404"/>
          <cell r="H404"/>
          <cell r="I404"/>
          <cell r="J404"/>
          <cell r="K404"/>
          <cell r="L404"/>
          <cell r="M404" t="str">
            <v>X</v>
          </cell>
          <cell r="N404" t="str">
            <v>X</v>
          </cell>
          <cell r="O404"/>
          <cell r="P404" t="str">
            <v>SITWHPKW168840</v>
          </cell>
          <cell r="Q404" t="str">
            <v>KWS</v>
          </cell>
          <cell r="R404" t="str">
            <v>SITC</v>
          </cell>
          <cell r="S404"/>
          <cell r="T404">
            <v>43273</v>
          </cell>
          <cell r="U404">
            <v>95</v>
          </cell>
          <cell r="V404" t="str">
            <v>SITC YOKKAICHI 1815N</v>
          </cell>
        </row>
        <row r="405">
          <cell r="B405" t="str">
            <v>V180880</v>
          </cell>
          <cell r="C405"/>
          <cell r="D405"/>
          <cell r="E405"/>
          <cell r="F405"/>
          <cell r="G405"/>
          <cell r="H405"/>
          <cell r="I405"/>
          <cell r="J405"/>
          <cell r="K405"/>
          <cell r="L405"/>
          <cell r="M405" t="str">
            <v>X</v>
          </cell>
          <cell r="N405" t="str">
            <v>X</v>
          </cell>
          <cell r="O405"/>
          <cell r="P405">
            <v>350810064045</v>
          </cell>
          <cell r="Q405" t="str">
            <v>OSK</v>
          </cell>
          <cell r="R405" t="str">
            <v>TSL</v>
          </cell>
          <cell r="S405"/>
          <cell r="T405">
            <v>43271</v>
          </cell>
          <cell r="U405">
            <v>97</v>
          </cell>
          <cell r="V405" t="str">
            <v>MARCLIFF 18011N</v>
          </cell>
        </row>
        <row r="406">
          <cell r="B406" t="str">
            <v>V180881</v>
          </cell>
          <cell r="C406" t="str">
            <v>V180885</v>
          </cell>
          <cell r="D406" t="str">
            <v>Z18003</v>
          </cell>
          <cell r="E406" t="str">
            <v>Z18009</v>
          </cell>
          <cell r="F406"/>
          <cell r="G406"/>
          <cell r="H406"/>
          <cell r="I406"/>
          <cell r="J406"/>
          <cell r="K406"/>
          <cell r="L406"/>
          <cell r="M406" t="str">
            <v>X</v>
          </cell>
          <cell r="N406" t="str">
            <v>X</v>
          </cell>
          <cell r="O406"/>
          <cell r="P406" t="str">
            <v>1008X02950</v>
          </cell>
          <cell r="Q406" t="str">
            <v>HKT</v>
          </cell>
          <cell r="R406" t="str">
            <v>WHL</v>
          </cell>
          <cell r="S406"/>
          <cell r="T406">
            <v>43272</v>
          </cell>
          <cell r="U406">
            <v>96</v>
          </cell>
          <cell r="V406" t="str">
            <v xml:space="preserve">WAN HAI 203  N464  </v>
          </cell>
        </row>
        <row r="407">
          <cell r="B407" t="str">
            <v>V180882</v>
          </cell>
          <cell r="C407" t="str">
            <v>V180887</v>
          </cell>
          <cell r="D407" t="str">
            <v>Z18002</v>
          </cell>
          <cell r="E407" t="str">
            <v>Z18006</v>
          </cell>
          <cell r="F407"/>
          <cell r="G407"/>
          <cell r="H407"/>
          <cell r="I407"/>
          <cell r="J407"/>
          <cell r="K407"/>
          <cell r="L407"/>
          <cell r="M407" t="str">
            <v>X</v>
          </cell>
          <cell r="N407" t="str">
            <v>X</v>
          </cell>
          <cell r="O407"/>
          <cell r="P407" t="str">
            <v>SITWHPKW168126</v>
          </cell>
          <cell r="Q407" t="str">
            <v>KWS</v>
          </cell>
          <cell r="R407" t="str">
            <v>SITC</v>
          </cell>
          <cell r="S407"/>
          <cell r="T407">
            <v>43273</v>
          </cell>
          <cell r="U407">
            <v>95</v>
          </cell>
          <cell r="V407" t="str">
            <v>SITC YOKKAICHI 1815N</v>
          </cell>
        </row>
        <row r="408">
          <cell r="B408" t="str">
            <v>V180884</v>
          </cell>
          <cell r="C408" t="str">
            <v>V180888</v>
          </cell>
          <cell r="D408" t="str">
            <v>Z18001</v>
          </cell>
          <cell r="E408" t="str">
            <v>Z18004</v>
          </cell>
          <cell r="F408"/>
          <cell r="G408"/>
          <cell r="H408"/>
          <cell r="I408"/>
          <cell r="J408"/>
          <cell r="K408"/>
          <cell r="L408"/>
          <cell r="M408" t="str">
            <v>X</v>
          </cell>
          <cell r="N408" t="str">
            <v>X</v>
          </cell>
          <cell r="O408"/>
          <cell r="P408" t="str">
            <v>1008X02771</v>
          </cell>
          <cell r="Q408" t="str">
            <v>OSK</v>
          </cell>
          <cell r="R408" t="str">
            <v>WHL</v>
          </cell>
          <cell r="S408"/>
          <cell r="T408">
            <v>43271</v>
          </cell>
          <cell r="U408">
            <v>97</v>
          </cell>
          <cell r="V408" t="str">
            <v>AS ROBERTA N004</v>
          </cell>
        </row>
        <row r="409">
          <cell r="B409" t="str">
            <v>V180886</v>
          </cell>
          <cell r="C409" t="str">
            <v>Z18005</v>
          </cell>
          <cell r="D409" t="str">
            <v>Z18007</v>
          </cell>
          <cell r="E409"/>
          <cell r="F409"/>
          <cell r="G409"/>
          <cell r="H409"/>
          <cell r="I409"/>
          <cell r="J409"/>
          <cell r="K409"/>
          <cell r="L409"/>
          <cell r="M409" t="str">
            <v>X</v>
          </cell>
          <cell r="N409" t="str">
            <v>X</v>
          </cell>
          <cell r="O409"/>
          <cell r="P409" t="str">
            <v>1008X02780</v>
          </cell>
          <cell r="Q409" t="str">
            <v>TYO</v>
          </cell>
          <cell r="R409" t="str">
            <v>WHL</v>
          </cell>
          <cell r="S409"/>
          <cell r="T409">
            <v>43272</v>
          </cell>
          <cell r="U409">
            <v>96</v>
          </cell>
          <cell r="V409" t="str">
            <v>WAN HAI 266 N394</v>
          </cell>
        </row>
        <row r="410">
          <cell r="B410" t="str">
            <v>V180889</v>
          </cell>
          <cell r="C410" t="str">
            <v>Z18011</v>
          </cell>
          <cell r="D410" t="str">
            <v>Z18013</v>
          </cell>
          <cell r="E410"/>
          <cell r="F410"/>
          <cell r="G410"/>
          <cell r="H410"/>
          <cell r="I410"/>
          <cell r="J410"/>
          <cell r="K410"/>
          <cell r="L410"/>
          <cell r="M410" t="str">
            <v>X</v>
          </cell>
          <cell r="N410" t="str">
            <v>X</v>
          </cell>
          <cell r="O410"/>
          <cell r="P410" t="str">
            <v>KMTCHPH0552098</v>
          </cell>
          <cell r="Q410" t="str">
            <v>ISH</v>
          </cell>
          <cell r="R410" t="str">
            <v>KMTC</v>
          </cell>
          <cell r="S410"/>
          <cell r="T410">
            <v>43274</v>
          </cell>
          <cell r="U410">
            <v>94</v>
          </cell>
          <cell r="V410" t="str">
            <v>SUNNY IRIS 1819N</v>
          </cell>
        </row>
        <row r="411">
          <cell r="B411" t="str">
            <v>V180890</v>
          </cell>
          <cell r="C411" t="str">
            <v>V180891</v>
          </cell>
          <cell r="D411"/>
          <cell r="E411"/>
          <cell r="F411"/>
          <cell r="G411"/>
          <cell r="H411"/>
          <cell r="I411"/>
          <cell r="J411"/>
          <cell r="K411"/>
          <cell r="L411"/>
          <cell r="M411" t="str">
            <v>X</v>
          </cell>
          <cell r="N411" t="str">
            <v>X</v>
          </cell>
          <cell r="O411"/>
          <cell r="P411" t="str">
            <v>EGLV237800169338</v>
          </cell>
          <cell r="Q411" t="str">
            <v>TYO</v>
          </cell>
          <cell r="R411" t="str">
            <v>EGLV</v>
          </cell>
          <cell r="S411"/>
          <cell r="T411">
            <v>43275</v>
          </cell>
          <cell r="U411">
            <v>93</v>
          </cell>
          <cell r="V411" t="str">
            <v>UNI-ACCORD 0580-556N</v>
          </cell>
        </row>
        <row r="412">
          <cell r="B412" t="str">
            <v>V180892</v>
          </cell>
          <cell r="C412"/>
          <cell r="D412"/>
          <cell r="E412"/>
          <cell r="F412"/>
          <cell r="G412"/>
          <cell r="H412"/>
          <cell r="I412"/>
          <cell r="J412"/>
          <cell r="K412"/>
          <cell r="L412"/>
          <cell r="M412" t="str">
            <v>X</v>
          </cell>
          <cell r="N412" t="str">
            <v>X</v>
          </cell>
          <cell r="O412"/>
          <cell r="P412">
            <v>350810064038</v>
          </cell>
          <cell r="Q412" t="str">
            <v>TYO</v>
          </cell>
          <cell r="R412" t="str">
            <v>TSL</v>
          </cell>
          <cell r="S412"/>
          <cell r="T412">
            <v>43271</v>
          </cell>
          <cell r="U412">
            <v>97</v>
          </cell>
          <cell r="V412" t="str">
            <v>MARCLIFF 18011N</v>
          </cell>
        </row>
        <row r="413">
          <cell r="B413" t="str">
            <v>V180894</v>
          </cell>
          <cell r="C413" t="str">
            <v>V180901</v>
          </cell>
          <cell r="D413" t="str">
            <v>V180906</v>
          </cell>
          <cell r="E413" t="str">
            <v>Z18014</v>
          </cell>
          <cell r="F413"/>
          <cell r="G413"/>
          <cell r="H413"/>
          <cell r="I413"/>
          <cell r="J413"/>
          <cell r="K413"/>
          <cell r="L413"/>
          <cell r="M413" t="str">
            <v>X</v>
          </cell>
          <cell r="N413" t="str">
            <v>X</v>
          </cell>
          <cell r="O413"/>
          <cell r="P413" t="str">
            <v>SITWHPTK168847</v>
          </cell>
          <cell r="Q413" t="str">
            <v>TYO</v>
          </cell>
          <cell r="R413" t="str">
            <v>SITC</v>
          </cell>
          <cell r="S413"/>
          <cell r="T413">
            <v>43279</v>
          </cell>
          <cell r="U413">
            <v>89</v>
          </cell>
          <cell r="V413" t="str">
            <v>SITC OSAKA 1819N</v>
          </cell>
        </row>
        <row r="414">
          <cell r="B414" t="str">
            <v>V180895</v>
          </cell>
          <cell r="C414"/>
          <cell r="D414"/>
          <cell r="E414"/>
          <cell r="F414"/>
          <cell r="G414"/>
          <cell r="H414"/>
          <cell r="I414"/>
          <cell r="J414"/>
          <cell r="K414"/>
          <cell r="L414"/>
          <cell r="M414" t="str">
            <v>X</v>
          </cell>
          <cell r="N414" t="str">
            <v>X</v>
          </cell>
          <cell r="O414"/>
          <cell r="P414" t="str">
            <v>EGLV237800169311</v>
          </cell>
          <cell r="Q414" t="str">
            <v>OSK</v>
          </cell>
          <cell r="R414" t="str">
            <v>EGLV</v>
          </cell>
          <cell r="S414"/>
          <cell r="T414">
            <v>43275</v>
          </cell>
          <cell r="U414">
            <v>93</v>
          </cell>
          <cell r="V414" t="str">
            <v>UNI-ACCORD 0580-556N</v>
          </cell>
        </row>
        <row r="415">
          <cell r="B415" t="str">
            <v>V180896</v>
          </cell>
          <cell r="C415"/>
          <cell r="D415"/>
          <cell r="E415"/>
          <cell r="F415"/>
          <cell r="G415"/>
          <cell r="H415"/>
          <cell r="I415"/>
          <cell r="J415"/>
          <cell r="K415"/>
          <cell r="L415"/>
          <cell r="M415" t="str">
            <v>X</v>
          </cell>
          <cell r="N415" t="str">
            <v>X</v>
          </cell>
          <cell r="O415"/>
          <cell r="P415" t="str">
            <v>KMTCHPH0554161</v>
          </cell>
          <cell r="Q415" t="str">
            <v>ISH</v>
          </cell>
          <cell r="R415" t="str">
            <v>KMTC</v>
          </cell>
          <cell r="S415"/>
          <cell r="T415">
            <v>43276</v>
          </cell>
          <cell r="U415">
            <v>92</v>
          </cell>
          <cell r="V415" t="str">
            <v>SUNNY CANNA 1812N</v>
          </cell>
        </row>
        <row r="416">
          <cell r="B416" t="str">
            <v>V180897</v>
          </cell>
          <cell r="C416"/>
          <cell r="D416"/>
          <cell r="E416"/>
          <cell r="F416"/>
          <cell r="G416"/>
          <cell r="H416"/>
          <cell r="I416"/>
          <cell r="J416"/>
          <cell r="K416"/>
          <cell r="L416"/>
          <cell r="M416" t="str">
            <v>X</v>
          </cell>
          <cell r="N416" t="str">
            <v>X</v>
          </cell>
          <cell r="O416"/>
          <cell r="P416">
            <v>350810064021</v>
          </cell>
          <cell r="Q416" t="str">
            <v>TYO</v>
          </cell>
          <cell r="R416" t="str">
            <v>TSL</v>
          </cell>
          <cell r="S416"/>
          <cell r="T416">
            <v>43275</v>
          </cell>
          <cell r="U416">
            <v>93</v>
          </cell>
          <cell r="V416" t="str">
            <v>HANSE ENDURANCE 18010N</v>
          </cell>
        </row>
        <row r="417">
          <cell r="B417" t="str">
            <v>V180898</v>
          </cell>
          <cell r="C417" t="str">
            <v>V180903</v>
          </cell>
          <cell r="D417" t="str">
            <v>V180909</v>
          </cell>
          <cell r="E417"/>
          <cell r="F417"/>
          <cell r="G417"/>
          <cell r="H417"/>
          <cell r="I417"/>
          <cell r="J417"/>
          <cell r="K417"/>
          <cell r="L417"/>
          <cell r="M417" t="str">
            <v>X</v>
          </cell>
          <cell r="N417" t="str">
            <v>X</v>
          </cell>
          <cell r="O417"/>
          <cell r="P417" t="str">
            <v>SITWHPKW168841</v>
          </cell>
          <cell r="Q417" t="str">
            <v>KWS</v>
          </cell>
          <cell r="R417" t="str">
            <v>SITC</v>
          </cell>
          <cell r="S417"/>
          <cell r="T417">
            <v>43279</v>
          </cell>
          <cell r="U417">
            <v>89</v>
          </cell>
          <cell r="V417" t="str">
            <v>SITC OSAKA 1819N</v>
          </cell>
        </row>
        <row r="418">
          <cell r="B418" t="str">
            <v>V180899</v>
          </cell>
          <cell r="C418"/>
          <cell r="D418"/>
          <cell r="E418"/>
          <cell r="F418"/>
          <cell r="G418"/>
          <cell r="H418"/>
          <cell r="I418"/>
          <cell r="J418"/>
          <cell r="K418"/>
          <cell r="L418"/>
          <cell r="M418" t="str">
            <v>X</v>
          </cell>
          <cell r="N418" t="str">
            <v>X</v>
          </cell>
          <cell r="O418"/>
          <cell r="P418" t="str">
            <v>1008X02945</v>
          </cell>
          <cell r="Q418" t="str">
            <v>OSK</v>
          </cell>
          <cell r="R418" t="str">
            <v>WHL</v>
          </cell>
          <cell r="S418"/>
          <cell r="T418">
            <v>43274</v>
          </cell>
          <cell r="U418">
            <v>94</v>
          </cell>
          <cell r="V418" t="str">
            <v xml:space="preserve">PAOLA  N018  </v>
          </cell>
        </row>
        <row r="419">
          <cell r="B419" t="str">
            <v>V180900</v>
          </cell>
          <cell r="C419"/>
          <cell r="D419"/>
          <cell r="E419"/>
          <cell r="F419"/>
          <cell r="G419"/>
          <cell r="H419"/>
          <cell r="I419"/>
          <cell r="J419"/>
          <cell r="K419"/>
          <cell r="L419"/>
          <cell r="M419" t="str">
            <v>X</v>
          </cell>
          <cell r="N419" t="str">
            <v>X</v>
          </cell>
          <cell r="O419"/>
          <cell r="P419" t="str">
            <v>1008X02949</v>
          </cell>
          <cell r="Q419" t="str">
            <v>HKT</v>
          </cell>
          <cell r="R419" t="str">
            <v>WHL</v>
          </cell>
          <cell r="S419"/>
          <cell r="T419">
            <v>43274</v>
          </cell>
          <cell r="U419">
            <v>94</v>
          </cell>
          <cell r="V419" t="str">
            <v xml:space="preserve"> PAOLA N018  </v>
          </cell>
        </row>
        <row r="420">
          <cell r="B420" t="str">
            <v>V180902</v>
          </cell>
          <cell r="C420"/>
          <cell r="D420"/>
          <cell r="E420"/>
          <cell r="F420"/>
          <cell r="G420"/>
          <cell r="H420"/>
          <cell r="I420"/>
          <cell r="J420"/>
          <cell r="K420"/>
          <cell r="L420"/>
          <cell r="M420" t="str">
            <v>X</v>
          </cell>
          <cell r="N420" t="str">
            <v>X</v>
          </cell>
          <cell r="O420"/>
          <cell r="P420" t="str">
            <v>1008X02946</v>
          </cell>
          <cell r="Q420" t="str">
            <v>TYO</v>
          </cell>
          <cell r="R420" t="str">
            <v>WHL</v>
          </cell>
          <cell r="S420"/>
          <cell r="T420">
            <v>43274</v>
          </cell>
          <cell r="U420">
            <v>94</v>
          </cell>
          <cell r="V420" t="str">
            <v xml:space="preserve">PAOLA  N018  </v>
          </cell>
        </row>
        <row r="421">
          <cell r="B421" t="str">
            <v>V180904</v>
          </cell>
          <cell r="C421" t="str">
            <v>V180907</v>
          </cell>
          <cell r="D421"/>
          <cell r="E421"/>
          <cell r="F421"/>
          <cell r="G421"/>
          <cell r="H421"/>
          <cell r="I421"/>
          <cell r="J421"/>
          <cell r="K421"/>
          <cell r="L421"/>
          <cell r="M421" t="str">
            <v>X</v>
          </cell>
          <cell r="N421" t="str">
            <v>X</v>
          </cell>
          <cell r="O421"/>
          <cell r="P421" t="str">
            <v>SITWHPOS168849</v>
          </cell>
          <cell r="Q421" t="str">
            <v>OSK</v>
          </cell>
          <cell r="R421" t="str">
            <v>SITC</v>
          </cell>
          <cell r="S421"/>
          <cell r="T421">
            <v>43276</v>
          </cell>
          <cell r="U421">
            <v>92</v>
          </cell>
          <cell r="V421" t="str">
            <v>SITC WEIHAI 1815N</v>
          </cell>
        </row>
        <row r="422">
          <cell r="B422" t="str">
            <v>V180905</v>
          </cell>
          <cell r="C422"/>
          <cell r="D422"/>
          <cell r="E422"/>
          <cell r="F422"/>
          <cell r="G422"/>
          <cell r="H422"/>
          <cell r="I422"/>
          <cell r="J422"/>
          <cell r="K422"/>
          <cell r="L422"/>
          <cell r="M422" t="str">
            <v>X</v>
          </cell>
          <cell r="N422" t="str">
            <v>X</v>
          </cell>
          <cell r="O422"/>
          <cell r="P422">
            <v>350810064069</v>
          </cell>
          <cell r="Q422" t="str">
            <v>TPE</v>
          </cell>
          <cell r="R422" t="str">
            <v>TSL</v>
          </cell>
          <cell r="S422"/>
          <cell r="T422">
            <v>43275</v>
          </cell>
          <cell r="U422">
            <v>93</v>
          </cell>
          <cell r="V422" t="str">
            <v>HANSE ENDURANCE 18010N</v>
          </cell>
        </row>
        <row r="423">
          <cell r="B423" t="str">
            <v>V180908</v>
          </cell>
          <cell r="C423"/>
          <cell r="D423"/>
          <cell r="E423"/>
          <cell r="F423"/>
          <cell r="G423"/>
          <cell r="H423"/>
          <cell r="I423"/>
          <cell r="J423"/>
          <cell r="K423"/>
          <cell r="L423"/>
          <cell r="M423" t="str">
            <v>X</v>
          </cell>
          <cell r="N423" t="str">
            <v>X</v>
          </cell>
          <cell r="O423"/>
          <cell r="P423" t="str">
            <v>SITWHPHT169448</v>
          </cell>
          <cell r="Q423" t="str">
            <v>HKT</v>
          </cell>
          <cell r="R423" t="str">
            <v>SITC</v>
          </cell>
          <cell r="S423"/>
          <cell r="T423">
            <v>43276</v>
          </cell>
          <cell r="U423">
            <v>92</v>
          </cell>
          <cell r="V423" t="str">
            <v>SITC WEIHAI 1815N</v>
          </cell>
        </row>
        <row r="424">
          <cell r="B424" t="str">
            <v>Z18010</v>
          </cell>
          <cell r="C424"/>
          <cell r="D424"/>
          <cell r="E424"/>
          <cell r="F424"/>
          <cell r="G424"/>
          <cell r="H424"/>
          <cell r="I424"/>
          <cell r="J424"/>
          <cell r="K424"/>
          <cell r="L424"/>
          <cell r="M424" t="str">
            <v>X</v>
          </cell>
          <cell r="N424" t="str">
            <v>X</v>
          </cell>
          <cell r="O424"/>
          <cell r="P424" t="str">
            <v>1008X03003</v>
          </cell>
          <cell r="Q424" t="str">
            <v>NGO</v>
          </cell>
          <cell r="R424" t="str">
            <v>WHL</v>
          </cell>
          <cell r="S424"/>
          <cell r="T424">
            <v>43272</v>
          </cell>
          <cell r="U424">
            <v>96</v>
          </cell>
          <cell r="V424" t="str">
            <v>WAN HAI 172 S294</v>
          </cell>
        </row>
        <row r="425">
          <cell r="B425" t="str">
            <v>V180910</v>
          </cell>
          <cell r="C425" t="str">
            <v>V180931</v>
          </cell>
          <cell r="D425" t="str">
            <v>Z18019</v>
          </cell>
          <cell r="E425"/>
          <cell r="F425"/>
          <cell r="G425"/>
          <cell r="H425"/>
          <cell r="I425"/>
          <cell r="J425"/>
          <cell r="K425"/>
          <cell r="L425"/>
          <cell r="M425" t="str">
            <v>X</v>
          </cell>
          <cell r="N425" t="str">
            <v>X</v>
          </cell>
          <cell r="O425"/>
          <cell r="P425" t="str">
            <v>KMTCHPH0556287</v>
          </cell>
          <cell r="Q425" t="str">
            <v>ISH</v>
          </cell>
          <cell r="R425" t="str">
            <v>KMTC</v>
          </cell>
          <cell r="S425"/>
          <cell r="T425">
            <v>43281</v>
          </cell>
          <cell r="U425">
            <v>87</v>
          </cell>
          <cell r="V425" t="str">
            <v>SUNNY CLOVER 1813N</v>
          </cell>
        </row>
        <row r="426">
          <cell r="B426" t="str">
            <v>V180911</v>
          </cell>
          <cell r="C426" t="str">
            <v>V180921</v>
          </cell>
          <cell r="D426" t="str">
            <v>Z18024</v>
          </cell>
          <cell r="E426"/>
          <cell r="F426"/>
          <cell r="G426"/>
          <cell r="H426"/>
          <cell r="I426"/>
          <cell r="J426"/>
          <cell r="K426"/>
          <cell r="L426"/>
          <cell r="M426" t="str">
            <v>X</v>
          </cell>
          <cell r="N426" t="str">
            <v>X</v>
          </cell>
          <cell r="O426"/>
          <cell r="P426" t="str">
            <v>SITWHPTK169427</v>
          </cell>
          <cell r="Q426" t="str">
            <v>TYO</v>
          </cell>
          <cell r="R426" t="str">
            <v>SITC</v>
          </cell>
          <cell r="S426"/>
          <cell r="T426">
            <v>43279</v>
          </cell>
          <cell r="U426">
            <v>89</v>
          </cell>
          <cell r="V426" t="str">
            <v>SITC OSAKA 1819N</v>
          </cell>
        </row>
        <row r="427">
          <cell r="B427" t="str">
            <v>V180912</v>
          </cell>
          <cell r="C427" t="str">
            <v>V180914</v>
          </cell>
          <cell r="D427" t="str">
            <v>Z18020</v>
          </cell>
          <cell r="E427" t="str">
            <v>Z18022</v>
          </cell>
          <cell r="F427"/>
          <cell r="G427"/>
          <cell r="H427"/>
          <cell r="I427"/>
          <cell r="J427"/>
          <cell r="K427"/>
          <cell r="L427"/>
          <cell r="M427" t="str">
            <v>X</v>
          </cell>
          <cell r="N427" t="str">
            <v>X</v>
          </cell>
          <cell r="O427"/>
          <cell r="P427" t="str">
            <v>1008X03125</v>
          </cell>
          <cell r="Q427" t="str">
            <v>OSK</v>
          </cell>
          <cell r="R427" t="str">
            <v>WHL</v>
          </cell>
          <cell r="S427"/>
          <cell r="T427">
            <v>43278</v>
          </cell>
          <cell r="U427">
            <v>90</v>
          </cell>
          <cell r="V427" t="str">
            <v>AS FRIDA N004</v>
          </cell>
        </row>
        <row r="428">
          <cell r="B428" t="str">
            <v>V180913</v>
          </cell>
          <cell r="C428" t="str">
            <v>V180915</v>
          </cell>
          <cell r="D428" t="str">
            <v>Z18023</v>
          </cell>
          <cell r="E428"/>
          <cell r="F428"/>
          <cell r="G428"/>
          <cell r="H428"/>
          <cell r="I428"/>
          <cell r="J428"/>
          <cell r="K428"/>
          <cell r="L428"/>
          <cell r="M428" t="str">
            <v>X</v>
          </cell>
          <cell r="N428" t="str">
            <v>X</v>
          </cell>
          <cell r="O428"/>
          <cell r="P428" t="str">
            <v>SITWHPKW168844</v>
          </cell>
          <cell r="Q428" t="str">
            <v>KWS</v>
          </cell>
          <cell r="R428" t="str">
            <v>SITC</v>
          </cell>
          <cell r="S428"/>
          <cell r="T428">
            <v>43279</v>
          </cell>
          <cell r="U428">
            <v>89</v>
          </cell>
          <cell r="V428" t="str">
            <v>SITC OSAKA 1819N</v>
          </cell>
        </row>
        <row r="429">
          <cell r="B429" t="str">
            <v>V180916</v>
          </cell>
          <cell r="C429" t="str">
            <v>Z18015</v>
          </cell>
          <cell r="D429"/>
          <cell r="E429"/>
          <cell r="F429"/>
          <cell r="G429"/>
          <cell r="H429"/>
          <cell r="I429"/>
          <cell r="J429"/>
          <cell r="K429"/>
          <cell r="L429"/>
          <cell r="M429" t="str">
            <v>X</v>
          </cell>
          <cell r="N429" t="str">
            <v>X</v>
          </cell>
          <cell r="O429"/>
          <cell r="P429" t="str">
            <v>EGLV237800176458</v>
          </cell>
          <cell r="Q429" t="str">
            <v>TYO</v>
          </cell>
          <cell r="R429" t="str">
            <v>EGLV</v>
          </cell>
          <cell r="S429"/>
          <cell r="T429">
            <v>43278</v>
          </cell>
          <cell r="U429">
            <v>90</v>
          </cell>
          <cell r="V429" t="str">
            <v>MOONCHILD N029</v>
          </cell>
        </row>
        <row r="430">
          <cell r="B430" t="str">
            <v>V180917</v>
          </cell>
          <cell r="C430" t="str">
            <v>V180926</v>
          </cell>
          <cell r="D430" t="str">
            <v>Z18016</v>
          </cell>
          <cell r="E430"/>
          <cell r="F430"/>
          <cell r="G430"/>
          <cell r="H430"/>
          <cell r="I430"/>
          <cell r="J430"/>
          <cell r="K430"/>
          <cell r="L430"/>
          <cell r="M430" t="str">
            <v>X</v>
          </cell>
          <cell r="N430" t="str">
            <v>X</v>
          </cell>
          <cell r="O430"/>
          <cell r="P430">
            <v>350810071258</v>
          </cell>
          <cell r="Q430" t="str">
            <v>TYO</v>
          </cell>
          <cell r="R430" t="str">
            <v>TSL</v>
          </cell>
          <cell r="S430"/>
          <cell r="T430">
            <v>43278</v>
          </cell>
          <cell r="U430">
            <v>90</v>
          </cell>
          <cell r="V430" t="str">
            <v>LANTAU BRIDGE 18002N</v>
          </cell>
        </row>
        <row r="431">
          <cell r="B431" t="str">
            <v>V180918</v>
          </cell>
          <cell r="C431" t="str">
            <v>V180927</v>
          </cell>
          <cell r="D431" t="str">
            <v>Z18017</v>
          </cell>
          <cell r="E431"/>
          <cell r="F431"/>
          <cell r="G431"/>
          <cell r="H431"/>
          <cell r="I431"/>
          <cell r="J431"/>
          <cell r="K431"/>
          <cell r="L431"/>
          <cell r="M431" t="str">
            <v>X</v>
          </cell>
          <cell r="N431" t="str">
            <v>X</v>
          </cell>
          <cell r="O431"/>
          <cell r="P431" t="str">
            <v>SITWHPKW169425</v>
          </cell>
          <cell r="Q431" t="str">
            <v>KWS</v>
          </cell>
          <cell r="R431" t="str">
            <v>SITC</v>
          </cell>
          <cell r="S431"/>
          <cell r="T431">
            <v>43279</v>
          </cell>
          <cell r="U431">
            <v>89</v>
          </cell>
          <cell r="V431" t="str">
            <v>SITC OSAKA 1819N</v>
          </cell>
        </row>
        <row r="432">
          <cell r="B432" t="str">
            <v>V180919</v>
          </cell>
          <cell r="C432" t="str">
            <v>V180924</v>
          </cell>
          <cell r="D432" t="str">
            <v>V180928</v>
          </cell>
          <cell r="E432" t="str">
            <v>Z18018</v>
          </cell>
          <cell r="F432" t="str">
            <v>Z18026</v>
          </cell>
          <cell r="G432"/>
          <cell r="H432"/>
          <cell r="I432"/>
          <cell r="J432"/>
          <cell r="K432"/>
          <cell r="L432"/>
          <cell r="M432" t="str">
            <v>X</v>
          </cell>
          <cell r="N432" t="str">
            <v>X</v>
          </cell>
          <cell r="O432"/>
          <cell r="P432" t="str">
            <v>1008X03123</v>
          </cell>
          <cell r="Q432" t="str">
            <v>OSK</v>
          </cell>
          <cell r="R432" t="str">
            <v>WHL</v>
          </cell>
          <cell r="S432"/>
          <cell r="T432">
            <v>43278</v>
          </cell>
          <cell r="U432">
            <v>90</v>
          </cell>
          <cell r="V432" t="str">
            <v>AS FRIDA N004</v>
          </cell>
        </row>
        <row r="433">
          <cell r="B433" t="str">
            <v>V180920</v>
          </cell>
          <cell r="C433" t="str">
            <v>Z18021</v>
          </cell>
          <cell r="D433"/>
          <cell r="E433"/>
          <cell r="F433"/>
          <cell r="G433"/>
          <cell r="H433"/>
          <cell r="I433"/>
          <cell r="J433"/>
          <cell r="K433"/>
          <cell r="L433"/>
          <cell r="M433" t="str">
            <v>X</v>
          </cell>
          <cell r="N433" t="str">
            <v>X</v>
          </cell>
          <cell r="O433"/>
          <cell r="P433" t="str">
            <v>1008X03126</v>
          </cell>
          <cell r="Q433" t="str">
            <v>HKT</v>
          </cell>
          <cell r="R433" t="str">
            <v>WHL</v>
          </cell>
          <cell r="S433"/>
          <cell r="T433">
            <v>43278</v>
          </cell>
          <cell r="U433">
            <v>90</v>
          </cell>
          <cell r="V433" t="str">
            <v xml:space="preserve"> WAN HAI 213 N330</v>
          </cell>
        </row>
        <row r="434">
          <cell r="B434" t="str">
            <v>V180922</v>
          </cell>
          <cell r="C434" t="str">
            <v>V180939</v>
          </cell>
          <cell r="D434" t="str">
            <v>V180940</v>
          </cell>
          <cell r="E434" t="str">
            <v>V180947</v>
          </cell>
          <cell r="F434" t="str">
            <v>Z18027</v>
          </cell>
          <cell r="G434"/>
          <cell r="H434"/>
          <cell r="I434"/>
          <cell r="J434"/>
          <cell r="K434"/>
          <cell r="L434"/>
          <cell r="M434" t="str">
            <v>X</v>
          </cell>
          <cell r="N434" t="str">
            <v>X</v>
          </cell>
          <cell r="O434"/>
          <cell r="P434" t="str">
            <v>SITWHPTK170350</v>
          </cell>
          <cell r="Q434" t="str">
            <v>TYO</v>
          </cell>
          <cell r="R434" t="str">
            <v>SITC</v>
          </cell>
          <cell r="S434"/>
          <cell r="T434">
            <v>43283</v>
          </cell>
          <cell r="U434">
            <v>85</v>
          </cell>
          <cell r="V434" t="str">
            <v>AVRA C 1819N</v>
          </cell>
        </row>
        <row r="435">
          <cell r="B435" t="str">
            <v>V180923</v>
          </cell>
          <cell r="C435" t="str">
            <v>V180974</v>
          </cell>
          <cell r="D435"/>
          <cell r="E435"/>
          <cell r="F435"/>
          <cell r="G435"/>
          <cell r="H435"/>
          <cell r="I435"/>
          <cell r="J435"/>
          <cell r="K435"/>
          <cell r="L435"/>
          <cell r="M435" t="str">
            <v>X</v>
          </cell>
          <cell r="N435" t="str">
            <v>X</v>
          </cell>
          <cell r="O435"/>
          <cell r="P435" t="str">
            <v>SITWHPHT170356</v>
          </cell>
          <cell r="Q435" t="str">
            <v>HKT</v>
          </cell>
          <cell r="R435" t="str">
            <v>SITC</v>
          </cell>
          <cell r="S435"/>
          <cell r="T435">
            <v>43282</v>
          </cell>
          <cell r="U435">
            <v>86</v>
          </cell>
          <cell r="V435" t="str">
            <v>SITC YANTAI 1815N</v>
          </cell>
        </row>
        <row r="436">
          <cell r="B436" t="str">
            <v>V180925</v>
          </cell>
          <cell r="C436" t="str">
            <v>V180932</v>
          </cell>
          <cell r="D436"/>
          <cell r="E436"/>
          <cell r="F436"/>
          <cell r="G436"/>
          <cell r="H436"/>
          <cell r="I436"/>
          <cell r="J436"/>
          <cell r="K436"/>
          <cell r="L436"/>
          <cell r="M436" t="str">
            <v>X</v>
          </cell>
          <cell r="N436" t="str">
            <v>X</v>
          </cell>
          <cell r="O436"/>
          <cell r="P436" t="str">
            <v>EGLV237800176474</v>
          </cell>
          <cell r="Q436" t="str">
            <v>TYO</v>
          </cell>
          <cell r="R436" t="str">
            <v>EGLV</v>
          </cell>
          <cell r="S436"/>
          <cell r="T436">
            <v>43281</v>
          </cell>
          <cell r="U436">
            <v>87</v>
          </cell>
          <cell r="V436" t="str">
            <v>UNI-ACCORD 0582-557N</v>
          </cell>
        </row>
        <row r="437">
          <cell r="B437" t="str">
            <v>V180929</v>
          </cell>
          <cell r="C437" t="str">
            <v>V180938</v>
          </cell>
          <cell r="D437" t="str">
            <v>Z18029</v>
          </cell>
          <cell r="E437"/>
          <cell r="F437"/>
          <cell r="G437"/>
          <cell r="H437"/>
          <cell r="I437"/>
          <cell r="J437"/>
          <cell r="K437"/>
          <cell r="L437"/>
          <cell r="M437" t="str">
            <v>X</v>
          </cell>
          <cell r="N437" t="str">
            <v>X</v>
          </cell>
          <cell r="O437"/>
          <cell r="P437" t="str">
            <v>1008X03127</v>
          </cell>
          <cell r="Q437" t="str">
            <v>HKT</v>
          </cell>
          <cell r="R437" t="str">
            <v>WHL</v>
          </cell>
          <cell r="S437"/>
          <cell r="T437">
            <v>43281</v>
          </cell>
          <cell r="U437">
            <v>87</v>
          </cell>
          <cell r="V437" t="str">
            <v xml:space="preserve"> PAOLA  N019</v>
          </cell>
        </row>
        <row r="438">
          <cell r="B438" t="str">
            <v>V180930</v>
          </cell>
          <cell r="C438"/>
          <cell r="D438"/>
          <cell r="E438"/>
          <cell r="F438"/>
          <cell r="G438"/>
          <cell r="H438"/>
          <cell r="I438"/>
          <cell r="J438"/>
          <cell r="K438"/>
          <cell r="L438"/>
          <cell r="M438" t="str">
            <v>X</v>
          </cell>
          <cell r="N438" t="str">
            <v>X</v>
          </cell>
          <cell r="O438"/>
          <cell r="P438" t="str">
            <v>KMTCHPH0552346</v>
          </cell>
          <cell r="Q438" t="str">
            <v>ISH</v>
          </cell>
          <cell r="R438" t="str">
            <v>KMTC</v>
          </cell>
          <cell r="S438"/>
          <cell r="T438">
            <v>43281</v>
          </cell>
          <cell r="U438">
            <v>87</v>
          </cell>
          <cell r="V438" t="str">
            <v>SUNNY CLOVER 1813N</v>
          </cell>
        </row>
        <row r="439">
          <cell r="B439" t="str">
            <v>V180933</v>
          </cell>
          <cell r="C439" t="str">
            <v>V180936</v>
          </cell>
          <cell r="D439" t="str">
            <v>V180941</v>
          </cell>
          <cell r="E439"/>
          <cell r="F439"/>
          <cell r="G439"/>
          <cell r="H439"/>
          <cell r="I439"/>
          <cell r="J439"/>
          <cell r="K439"/>
          <cell r="L439"/>
          <cell r="M439" t="str">
            <v>X</v>
          </cell>
          <cell r="N439" t="str">
            <v>X</v>
          </cell>
          <cell r="O439"/>
          <cell r="P439" t="str">
            <v>SITWHPKW169423</v>
          </cell>
          <cell r="Q439" t="str">
            <v>KWS</v>
          </cell>
          <cell r="R439" t="str">
            <v>SITC</v>
          </cell>
          <cell r="S439"/>
          <cell r="T439">
            <v>43281</v>
          </cell>
          <cell r="U439">
            <v>87</v>
          </cell>
          <cell r="V439" t="str">
            <v>AVRA C 1819N</v>
          </cell>
        </row>
        <row r="440">
          <cell r="B440" t="str">
            <v>V180934</v>
          </cell>
          <cell r="C440"/>
          <cell r="D440"/>
          <cell r="E440"/>
          <cell r="F440"/>
          <cell r="G440"/>
          <cell r="H440"/>
          <cell r="I440"/>
          <cell r="J440"/>
          <cell r="K440"/>
          <cell r="L440"/>
          <cell r="M440" t="str">
            <v>X</v>
          </cell>
          <cell r="N440" t="str">
            <v>X</v>
          </cell>
          <cell r="O440"/>
          <cell r="P440" t="str">
            <v>1008X03130</v>
          </cell>
          <cell r="Q440" t="str">
            <v>OSK</v>
          </cell>
          <cell r="R440" t="str">
            <v>WHL</v>
          </cell>
          <cell r="S440"/>
          <cell r="T440">
            <v>43278</v>
          </cell>
          <cell r="U440">
            <v>90</v>
          </cell>
          <cell r="V440" t="str">
            <v>MOONCHILD N029</v>
          </cell>
        </row>
        <row r="441">
          <cell r="B441" t="str">
            <v>V180935</v>
          </cell>
          <cell r="C441"/>
          <cell r="D441"/>
          <cell r="E441"/>
          <cell r="F441"/>
          <cell r="G441"/>
          <cell r="H441"/>
          <cell r="I441"/>
          <cell r="J441"/>
          <cell r="K441"/>
          <cell r="L441"/>
          <cell r="M441" t="str">
            <v>X</v>
          </cell>
          <cell r="N441" t="str">
            <v>X</v>
          </cell>
          <cell r="O441"/>
          <cell r="P441" t="str">
            <v>1008X03120</v>
          </cell>
          <cell r="Q441" t="str">
            <v>TYO</v>
          </cell>
          <cell r="R441" t="str">
            <v>WHL</v>
          </cell>
          <cell r="S441"/>
          <cell r="T441">
            <v>43281</v>
          </cell>
          <cell r="U441">
            <v>87</v>
          </cell>
          <cell r="V441" t="str">
            <v>PAOLA N019</v>
          </cell>
        </row>
        <row r="442">
          <cell r="B442" t="str">
            <v>V180937</v>
          </cell>
          <cell r="C442" t="str">
            <v>V180975</v>
          </cell>
          <cell r="D442" t="str">
            <v>Z18028</v>
          </cell>
          <cell r="E442" t="str">
            <v>Z18036</v>
          </cell>
          <cell r="F442"/>
          <cell r="G442"/>
          <cell r="H442"/>
          <cell r="I442"/>
          <cell r="J442"/>
          <cell r="K442"/>
          <cell r="L442"/>
          <cell r="M442" t="str">
            <v>X</v>
          </cell>
          <cell r="N442" t="str">
            <v>X</v>
          </cell>
          <cell r="O442"/>
          <cell r="P442" t="str">
            <v>SITWHPOS169428</v>
          </cell>
          <cell r="Q442" t="str">
            <v>OSK</v>
          </cell>
          <cell r="R442" t="str">
            <v>SITC</v>
          </cell>
          <cell r="S442"/>
          <cell r="T442">
            <v>43281</v>
          </cell>
          <cell r="U442">
            <v>87</v>
          </cell>
          <cell r="V442" t="str">
            <v>SITC YANTAI 1815N</v>
          </cell>
        </row>
        <row r="443">
          <cell r="B443" t="str">
            <v>Z18025</v>
          </cell>
          <cell r="C443"/>
          <cell r="D443"/>
          <cell r="E443"/>
          <cell r="F443"/>
          <cell r="G443"/>
          <cell r="H443"/>
          <cell r="I443"/>
          <cell r="J443"/>
          <cell r="K443"/>
          <cell r="L443"/>
          <cell r="M443" t="str">
            <v>X</v>
          </cell>
          <cell r="N443" t="str">
            <v>X</v>
          </cell>
          <cell r="O443"/>
          <cell r="P443" t="str">
            <v>1008X03121</v>
          </cell>
          <cell r="Q443" t="str">
            <v>NGO</v>
          </cell>
          <cell r="R443" t="str">
            <v>WHL</v>
          </cell>
          <cell r="S443"/>
          <cell r="T443">
            <v>43278</v>
          </cell>
          <cell r="U443">
            <v>90</v>
          </cell>
          <cell r="V443" t="str">
            <v xml:space="preserve"> AS FRIDA  N004</v>
          </cell>
        </row>
        <row r="444">
          <cell r="B444" t="str">
            <v>V180973</v>
          </cell>
          <cell r="C444"/>
          <cell r="D444"/>
          <cell r="E444"/>
          <cell r="F444"/>
          <cell r="G444"/>
          <cell r="H444"/>
          <cell r="I444"/>
          <cell r="J444"/>
          <cell r="K444"/>
          <cell r="L444"/>
          <cell r="M444" t="str">
            <v>X</v>
          </cell>
          <cell r="N444" t="str">
            <v>X</v>
          </cell>
          <cell r="O444"/>
          <cell r="P444" t="str">
            <v>KMTCHPH0558423</v>
          </cell>
          <cell r="Q444" t="str">
            <v>ISH</v>
          </cell>
          <cell r="R444" t="str">
            <v>KMTC</v>
          </cell>
          <cell r="S444"/>
          <cell r="T444">
            <v>43284</v>
          </cell>
          <cell r="U444">
            <v>84</v>
          </cell>
          <cell r="V444" t="str">
            <v>KOTA WANGSA 012N</v>
          </cell>
        </row>
        <row r="445">
          <cell r="B445" t="str">
            <v>V180942</v>
          </cell>
          <cell r="C445"/>
          <cell r="D445"/>
          <cell r="E445"/>
          <cell r="F445"/>
          <cell r="G445"/>
          <cell r="H445"/>
          <cell r="I445"/>
          <cell r="J445"/>
          <cell r="K445"/>
          <cell r="L445"/>
          <cell r="M445" t="str">
            <v>X</v>
          </cell>
          <cell r="N445" t="str">
            <v>X</v>
          </cell>
          <cell r="O445"/>
          <cell r="P445" t="str">
            <v>1008A02919</v>
          </cell>
          <cell r="Q445" t="str">
            <v>OSK</v>
          </cell>
          <cell r="R445" t="str">
            <v>WHL</v>
          </cell>
          <cell r="S445"/>
          <cell r="T445">
            <v>43281</v>
          </cell>
          <cell r="U445">
            <v>87</v>
          </cell>
          <cell r="V445" t="str">
            <v>PAOLA N019</v>
          </cell>
        </row>
        <row r="446">
          <cell r="B446" t="str">
            <v>V180943</v>
          </cell>
          <cell r="C446" t="str">
            <v>V180965</v>
          </cell>
          <cell r="D446" t="str">
            <v>V180976</v>
          </cell>
          <cell r="E446" t="str">
            <v>Z18038</v>
          </cell>
          <cell r="L446"/>
          <cell r="M446" t="str">
            <v>X</v>
          </cell>
          <cell r="N446" t="str">
            <v>X</v>
          </cell>
          <cell r="O446"/>
          <cell r="P446" t="str">
            <v>KMTCHPH0559747</v>
          </cell>
          <cell r="Q446" t="str">
            <v>ISH</v>
          </cell>
          <cell r="R446" t="str">
            <v>KMTC</v>
          </cell>
          <cell r="S446"/>
          <cell r="T446">
            <v>43291</v>
          </cell>
          <cell r="U446">
            <v>77</v>
          </cell>
          <cell r="V446" t="str">
            <v>STARSHIP AQUILA 1810N</v>
          </cell>
        </row>
        <row r="447">
          <cell r="B447" t="str">
            <v>V180944</v>
          </cell>
          <cell r="C447" t="str">
            <v>Z18037</v>
          </cell>
          <cell r="D447"/>
          <cell r="E447"/>
          <cell r="F447"/>
          <cell r="G447"/>
          <cell r="H447"/>
          <cell r="I447"/>
          <cell r="J447"/>
          <cell r="K447"/>
          <cell r="L447"/>
          <cell r="M447" t="str">
            <v>X</v>
          </cell>
          <cell r="N447" t="str">
            <v>X</v>
          </cell>
          <cell r="O447"/>
          <cell r="P447" t="str">
            <v>SITWHPTK170352</v>
          </cell>
          <cell r="Q447" t="str">
            <v>TYO</v>
          </cell>
          <cell r="R447" t="str">
            <v>SITC</v>
          </cell>
          <cell r="S447"/>
          <cell r="T447">
            <v>43287</v>
          </cell>
          <cell r="U447">
            <v>81</v>
          </cell>
          <cell r="V447" t="str">
            <v>SITC NAGOYA 1819N</v>
          </cell>
        </row>
        <row r="448">
          <cell r="B448" t="str">
            <v>V180945</v>
          </cell>
          <cell r="C448" t="str">
            <v>V180948</v>
          </cell>
          <cell r="D448" t="str">
            <v>V180951</v>
          </cell>
          <cell r="E448" t="str">
            <v>Z18032</v>
          </cell>
          <cell r="F448" t="str">
            <v>Z18033</v>
          </cell>
          <cell r="G448"/>
          <cell r="H448"/>
          <cell r="I448"/>
          <cell r="J448"/>
          <cell r="K448"/>
          <cell r="L448"/>
          <cell r="M448" t="str">
            <v>X</v>
          </cell>
          <cell r="N448" t="str">
            <v>X</v>
          </cell>
          <cell r="O448"/>
          <cell r="P448" t="str">
            <v>1008X03341</v>
          </cell>
          <cell r="Q448" t="str">
            <v>TYO</v>
          </cell>
          <cell r="R448" t="str">
            <v>WHL</v>
          </cell>
          <cell r="S448"/>
          <cell r="T448">
            <v>43286</v>
          </cell>
          <cell r="U448">
            <v>82</v>
          </cell>
          <cell r="V448" t="str">
            <v>WAN HAI 267  N268</v>
          </cell>
        </row>
        <row r="449">
          <cell r="B449" t="str">
            <v>V180946</v>
          </cell>
          <cell r="C449" t="str">
            <v>V180956</v>
          </cell>
          <cell r="D449"/>
          <cell r="E449"/>
          <cell r="F449"/>
          <cell r="G449"/>
          <cell r="H449"/>
          <cell r="I449"/>
          <cell r="J449"/>
          <cell r="K449"/>
          <cell r="L449"/>
          <cell r="M449" t="str">
            <v>X</v>
          </cell>
          <cell r="N449" t="str">
            <v>X</v>
          </cell>
          <cell r="O449"/>
          <cell r="P449">
            <v>350810072453</v>
          </cell>
          <cell r="Q449" t="str">
            <v>TYO</v>
          </cell>
          <cell r="R449" t="str">
            <v>TSL</v>
          </cell>
          <cell r="S449"/>
          <cell r="T449">
            <v>43285</v>
          </cell>
          <cell r="U449">
            <v>83</v>
          </cell>
          <cell r="V449" t="str">
            <v>MARCARRIER 18012N</v>
          </cell>
        </row>
        <row r="450">
          <cell r="B450" t="str">
            <v>V180949</v>
          </cell>
          <cell r="C450" t="str">
            <v>Z18030</v>
          </cell>
          <cell r="D450" t="str">
            <v>Z18034</v>
          </cell>
          <cell r="E450"/>
          <cell r="F450"/>
          <cell r="G450"/>
          <cell r="H450"/>
          <cell r="I450"/>
          <cell r="J450"/>
          <cell r="K450"/>
          <cell r="L450"/>
          <cell r="M450" t="str">
            <v>X</v>
          </cell>
          <cell r="N450" t="str">
            <v>X</v>
          </cell>
          <cell r="O450"/>
          <cell r="P450" t="str">
            <v>SITWHPKW169426</v>
          </cell>
          <cell r="Q450" t="str">
            <v>KWS</v>
          </cell>
          <cell r="R450" t="str">
            <v>SITC</v>
          </cell>
          <cell r="S450"/>
          <cell r="T450">
            <v>43287</v>
          </cell>
          <cell r="U450">
            <v>81</v>
          </cell>
          <cell r="V450" t="str">
            <v>SITC NAGOYA 1819N</v>
          </cell>
        </row>
        <row r="451">
          <cell r="B451" t="str">
            <v>V180950</v>
          </cell>
          <cell r="C451" t="str">
            <v>V180953</v>
          </cell>
          <cell r="D451"/>
          <cell r="E451"/>
          <cell r="F451"/>
          <cell r="G451"/>
          <cell r="H451"/>
          <cell r="I451"/>
          <cell r="J451"/>
          <cell r="K451"/>
          <cell r="L451"/>
          <cell r="M451" t="str">
            <v>X</v>
          </cell>
          <cell r="N451" t="str">
            <v>X</v>
          </cell>
          <cell r="O451"/>
          <cell r="P451" t="str">
            <v>SITWHPOS169429</v>
          </cell>
          <cell r="Q451" t="str">
            <v>OSK</v>
          </cell>
          <cell r="R451" t="str">
            <v>SITC</v>
          </cell>
          <cell r="S451"/>
          <cell r="T451">
            <v>43288</v>
          </cell>
          <cell r="U451">
            <v>80</v>
          </cell>
          <cell r="V451" t="str">
            <v>REFLECTION 1819N</v>
          </cell>
        </row>
        <row r="452">
          <cell r="B452" t="str">
            <v>V180952</v>
          </cell>
          <cell r="C452" t="str">
            <v>V180955</v>
          </cell>
          <cell r="D452" t="str">
            <v>V180960</v>
          </cell>
          <cell r="E452" t="str">
            <v>Z18035</v>
          </cell>
          <cell r="F452"/>
          <cell r="G452"/>
          <cell r="H452"/>
          <cell r="I452"/>
          <cell r="J452"/>
          <cell r="K452"/>
          <cell r="L452"/>
          <cell r="M452" t="str">
            <v>X</v>
          </cell>
          <cell r="N452" t="str">
            <v>X</v>
          </cell>
          <cell r="O452"/>
          <cell r="P452" t="str">
            <v>1008X03244</v>
          </cell>
          <cell r="Q452" t="str">
            <v>HKT</v>
          </cell>
          <cell r="R452" t="str">
            <v>WHL</v>
          </cell>
          <cell r="S452"/>
          <cell r="T452">
            <v>43286</v>
          </cell>
          <cell r="U452">
            <v>82</v>
          </cell>
          <cell r="V452" t="str">
            <v xml:space="preserve"> WAN HAI 205  N472</v>
          </cell>
        </row>
        <row r="453">
          <cell r="B453" t="str">
            <v>V180954</v>
          </cell>
          <cell r="C453"/>
          <cell r="D453"/>
          <cell r="E453"/>
          <cell r="F453"/>
          <cell r="G453"/>
          <cell r="H453"/>
          <cell r="I453"/>
          <cell r="J453"/>
          <cell r="K453"/>
          <cell r="L453"/>
          <cell r="M453" t="str">
            <v>X</v>
          </cell>
          <cell r="N453" t="str">
            <v>X</v>
          </cell>
          <cell r="O453"/>
          <cell r="P453" t="str">
            <v xml:space="preserve">EGLV237800184485
</v>
          </cell>
          <cell r="Q453" t="str">
            <v>OSK</v>
          </cell>
          <cell r="R453" t="str">
            <v>EGLV</v>
          </cell>
          <cell r="S453"/>
          <cell r="T453">
            <v>43286</v>
          </cell>
          <cell r="U453">
            <v>82</v>
          </cell>
          <cell r="V453" t="str">
            <v>WAN HAI 267 N268</v>
          </cell>
        </row>
        <row r="454">
          <cell r="B454" t="str">
            <v>V180957</v>
          </cell>
          <cell r="C454" t="str">
            <v>V180959</v>
          </cell>
          <cell r="D454" t="str">
            <v>V180963</v>
          </cell>
          <cell r="E454"/>
          <cell r="F454"/>
          <cell r="G454"/>
          <cell r="H454"/>
          <cell r="I454"/>
          <cell r="J454"/>
          <cell r="K454"/>
          <cell r="L454"/>
          <cell r="M454" t="str">
            <v>X</v>
          </cell>
          <cell r="N454" t="str">
            <v>X</v>
          </cell>
          <cell r="O454"/>
          <cell r="P454" t="str">
            <v>SITWHPKW170360</v>
          </cell>
          <cell r="Q454" t="str">
            <v>KWS</v>
          </cell>
          <cell r="R454" t="str">
            <v>SITC</v>
          </cell>
          <cell r="S454"/>
          <cell r="T454">
            <v>43287</v>
          </cell>
          <cell r="U454">
            <v>81</v>
          </cell>
          <cell r="V454" t="str">
            <v>SITC NAGOYA 1819N</v>
          </cell>
        </row>
        <row r="455">
          <cell r="B455" t="str">
            <v>V180958</v>
          </cell>
          <cell r="C455" t="str">
            <v>V180964</v>
          </cell>
          <cell r="D455" t="str">
            <v>Z18031</v>
          </cell>
          <cell r="E455"/>
          <cell r="F455"/>
          <cell r="G455"/>
          <cell r="H455"/>
          <cell r="I455"/>
          <cell r="J455"/>
          <cell r="K455"/>
          <cell r="L455"/>
          <cell r="M455" t="str">
            <v>X</v>
          </cell>
          <cell r="N455" t="str">
            <v>X</v>
          </cell>
          <cell r="O455"/>
          <cell r="P455" t="str">
            <v>1008X03340</v>
          </cell>
          <cell r="Q455" t="str">
            <v>OSK</v>
          </cell>
          <cell r="R455" t="str">
            <v>WHL</v>
          </cell>
          <cell r="S455"/>
          <cell r="T455">
            <v>43285</v>
          </cell>
          <cell r="U455">
            <v>83</v>
          </cell>
          <cell r="V455" t="str">
            <v>AS FIONA N006</v>
          </cell>
        </row>
        <row r="456">
          <cell r="B456" t="str">
            <v>V180961</v>
          </cell>
          <cell r="C456"/>
          <cell r="D456"/>
          <cell r="E456"/>
          <cell r="F456"/>
          <cell r="G456"/>
          <cell r="H456"/>
          <cell r="I456"/>
          <cell r="J456"/>
          <cell r="K456"/>
          <cell r="L456"/>
          <cell r="M456" t="str">
            <v>X</v>
          </cell>
          <cell r="N456" t="str">
            <v>X</v>
          </cell>
          <cell r="O456"/>
          <cell r="P456" t="str">
            <v>EGLV237800184477</v>
          </cell>
          <cell r="Q456" t="str">
            <v>TYO</v>
          </cell>
          <cell r="R456" t="str">
            <v>EGLV</v>
          </cell>
          <cell r="S456"/>
          <cell r="T456">
            <v>43286</v>
          </cell>
          <cell r="U456">
            <v>82</v>
          </cell>
          <cell r="V456" t="str">
            <v>WAN HAI 267 N268</v>
          </cell>
        </row>
        <row r="457">
          <cell r="B457" t="str">
            <v>V180962</v>
          </cell>
          <cell r="C457" t="str">
            <v>V180966</v>
          </cell>
          <cell r="D457"/>
          <cell r="E457"/>
          <cell r="F457"/>
          <cell r="G457"/>
          <cell r="H457"/>
          <cell r="I457"/>
          <cell r="J457"/>
          <cell r="K457"/>
          <cell r="L457"/>
          <cell r="M457" t="str">
            <v>X</v>
          </cell>
          <cell r="N457" t="str">
            <v>X</v>
          </cell>
          <cell r="O457"/>
          <cell r="P457">
            <v>350810075447</v>
          </cell>
          <cell r="Q457" t="str">
            <v>TYO</v>
          </cell>
          <cell r="R457" t="str">
            <v>TSL</v>
          </cell>
          <cell r="S457"/>
          <cell r="T457">
            <v>43290</v>
          </cell>
          <cell r="U457">
            <v>78</v>
          </cell>
          <cell r="V457" t="str">
            <v>LANTAU BRIDE 18012N</v>
          </cell>
        </row>
        <row r="458">
          <cell r="B458" t="str">
            <v>V180967</v>
          </cell>
          <cell r="C458" t="str">
            <v>Z18041</v>
          </cell>
          <cell r="D458"/>
          <cell r="E458"/>
          <cell r="F458"/>
          <cell r="G458"/>
          <cell r="H458"/>
          <cell r="I458"/>
          <cell r="J458"/>
          <cell r="K458"/>
          <cell r="L458"/>
          <cell r="M458" t="str">
            <v>X</v>
          </cell>
          <cell r="N458" t="str">
            <v>X</v>
          </cell>
          <cell r="O458"/>
          <cell r="P458" t="str">
            <v>1008X03337</v>
          </cell>
          <cell r="Q458" t="str">
            <v>HKT</v>
          </cell>
          <cell r="R458" t="str">
            <v>WHL</v>
          </cell>
          <cell r="S458"/>
          <cell r="T458">
            <v>43288</v>
          </cell>
          <cell r="U458">
            <v>80</v>
          </cell>
          <cell r="V458" t="str">
            <v>PAOLA N020</v>
          </cell>
        </row>
        <row r="459">
          <cell r="B459" t="str">
            <v>V180968</v>
          </cell>
          <cell r="C459" t="str">
            <v>V180977</v>
          </cell>
          <cell r="D459" t="str">
            <v>V180992</v>
          </cell>
          <cell r="E459" t="str">
            <v>Z18039</v>
          </cell>
          <cell r="F459"/>
          <cell r="G459"/>
          <cell r="H459"/>
          <cell r="I459"/>
          <cell r="J459"/>
          <cell r="K459"/>
          <cell r="L459"/>
          <cell r="M459" t="str">
            <v>X</v>
          </cell>
          <cell r="N459" t="str">
            <v>X</v>
          </cell>
          <cell r="O459"/>
          <cell r="P459" t="str">
            <v>SITWHPTK170351</v>
          </cell>
          <cell r="Q459" t="str">
            <v>TYO</v>
          </cell>
          <cell r="R459" t="str">
            <v>SITC</v>
          </cell>
          <cell r="S459"/>
          <cell r="T459">
            <v>43291</v>
          </cell>
          <cell r="U459">
            <v>77</v>
          </cell>
          <cell r="V459" t="str">
            <v>RESURGENCE 1817N</v>
          </cell>
        </row>
        <row r="460">
          <cell r="B460" t="str">
            <v>V180969</v>
          </cell>
          <cell r="C460" t="str">
            <v>V180978</v>
          </cell>
          <cell r="D460"/>
          <cell r="E460"/>
          <cell r="F460"/>
          <cell r="G460"/>
          <cell r="H460"/>
          <cell r="I460"/>
          <cell r="J460"/>
          <cell r="K460"/>
          <cell r="L460"/>
          <cell r="M460" t="str">
            <v>X</v>
          </cell>
          <cell r="N460" t="str">
            <v>X</v>
          </cell>
          <cell r="O460"/>
          <cell r="P460" t="str">
            <v>SITWHPKW170363</v>
          </cell>
          <cell r="Q460" t="str">
            <v>KWS</v>
          </cell>
          <cell r="R460" t="str">
            <v>SITC</v>
          </cell>
          <cell r="S460"/>
          <cell r="T460">
            <v>43291</v>
          </cell>
          <cell r="U460">
            <v>77</v>
          </cell>
          <cell r="V460" t="str">
            <v>RESURGENCE 1817N</v>
          </cell>
        </row>
        <row r="461">
          <cell r="B461" t="str">
            <v>V180970</v>
          </cell>
          <cell r="C461"/>
          <cell r="D461"/>
          <cell r="E461"/>
          <cell r="F461"/>
          <cell r="G461"/>
          <cell r="H461"/>
          <cell r="I461"/>
          <cell r="J461"/>
          <cell r="K461"/>
          <cell r="L461"/>
          <cell r="M461" t="str">
            <v>X</v>
          </cell>
          <cell r="N461" t="str">
            <v>X</v>
          </cell>
          <cell r="O461"/>
          <cell r="P461" t="str">
            <v>1008X03339</v>
          </cell>
          <cell r="Q461" t="str">
            <v>OSK</v>
          </cell>
          <cell r="R461" t="str">
            <v>WHL</v>
          </cell>
          <cell r="S461"/>
          <cell r="T461">
            <v>43288</v>
          </cell>
          <cell r="U461">
            <v>80</v>
          </cell>
          <cell r="V461" t="str">
            <v xml:space="preserve"> PAOLA N020</v>
          </cell>
        </row>
        <row r="462">
          <cell r="B462" t="str">
            <v>V180972</v>
          </cell>
          <cell r="C462"/>
          <cell r="D462"/>
          <cell r="E462"/>
          <cell r="F462"/>
          <cell r="G462"/>
          <cell r="H462"/>
          <cell r="I462"/>
          <cell r="J462"/>
          <cell r="K462"/>
          <cell r="L462"/>
          <cell r="M462" t="str">
            <v>X</v>
          </cell>
          <cell r="N462" t="str">
            <v>X</v>
          </cell>
          <cell r="O462"/>
          <cell r="P462" t="str">
            <v>SNL8HPCL001106</v>
          </cell>
          <cell r="Q462" t="str">
            <v>SHA</v>
          </cell>
          <cell r="R462" t="str">
            <v>SNL</v>
          </cell>
          <cell r="S462"/>
          <cell r="T462">
            <v>43291</v>
          </cell>
          <cell r="U462">
            <v>77</v>
          </cell>
          <cell r="V462" t="str">
            <v>WISDOM GRACE 1825N</v>
          </cell>
        </row>
        <row r="463">
          <cell r="B463" t="str">
            <v>V180971</v>
          </cell>
          <cell r="C463"/>
          <cell r="D463"/>
          <cell r="E463"/>
          <cell r="F463"/>
          <cell r="G463"/>
          <cell r="H463"/>
          <cell r="I463"/>
          <cell r="J463"/>
          <cell r="K463"/>
          <cell r="L463"/>
          <cell r="M463" t="str">
            <v>X</v>
          </cell>
          <cell r="N463" t="str">
            <v>X</v>
          </cell>
          <cell r="O463"/>
          <cell r="P463">
            <v>350810076062</v>
          </cell>
          <cell r="Q463" t="str">
            <v>TPE</v>
          </cell>
          <cell r="R463" t="str">
            <v>TSL</v>
          </cell>
          <cell r="S463"/>
          <cell r="T463">
            <v>43290</v>
          </cell>
          <cell r="U463">
            <v>78</v>
          </cell>
          <cell r="V463" t="str">
            <v>LANTAU BRIDE 18012N</v>
          </cell>
        </row>
        <row r="464">
          <cell r="B464" t="str">
            <v>V180979</v>
          </cell>
          <cell r="C464" t="str">
            <v>Z18042</v>
          </cell>
          <cell r="D464"/>
          <cell r="E464"/>
          <cell r="F464"/>
          <cell r="G464"/>
          <cell r="H464"/>
          <cell r="I464"/>
          <cell r="J464"/>
          <cell r="K464"/>
          <cell r="L464"/>
          <cell r="M464" t="str">
            <v>X</v>
          </cell>
          <cell r="N464" t="str">
            <v>X</v>
          </cell>
          <cell r="O464"/>
          <cell r="P464" t="str">
            <v>SITWHPOS171065</v>
          </cell>
          <cell r="Q464" t="str">
            <v>OSK</v>
          </cell>
          <cell r="R464" t="str">
            <v>SITC</v>
          </cell>
          <cell r="S464"/>
          <cell r="T464">
            <v>43289</v>
          </cell>
          <cell r="U464">
            <v>79</v>
          </cell>
          <cell r="V464" t="str">
            <v>HANSE ENERGY 1819N</v>
          </cell>
        </row>
        <row r="465">
          <cell r="B465" t="str">
            <v>V180991</v>
          </cell>
          <cell r="C465"/>
          <cell r="D465"/>
          <cell r="E465"/>
          <cell r="F465"/>
          <cell r="G465"/>
          <cell r="H465"/>
          <cell r="I465"/>
          <cell r="J465"/>
          <cell r="K465"/>
          <cell r="L465"/>
          <cell r="M465" t="str">
            <v>X</v>
          </cell>
          <cell r="N465" t="str">
            <v>X</v>
          </cell>
          <cell r="O465"/>
          <cell r="P465" t="str">
            <v>SITWHPHT171067</v>
          </cell>
          <cell r="Q465" t="str">
            <v>HKT</v>
          </cell>
          <cell r="R465" t="str">
            <v>SITC</v>
          </cell>
          <cell r="S465"/>
          <cell r="T465">
            <v>43289</v>
          </cell>
          <cell r="U465">
            <v>79</v>
          </cell>
          <cell r="V465" t="str">
            <v>HANSE ENERGY 1819N</v>
          </cell>
        </row>
        <row r="466">
          <cell r="B466" t="str">
            <v>V180980</v>
          </cell>
          <cell r="C466" t="str">
            <v>V180985</v>
          </cell>
          <cell r="D466" t="str">
            <v>Z18050</v>
          </cell>
          <cell r="E466"/>
          <cell r="M466" t="str">
            <v>X</v>
          </cell>
          <cell r="N466" t="str">
            <v>X</v>
          </cell>
          <cell r="O466"/>
          <cell r="P466" t="str">
            <v>1008X03342</v>
          </cell>
          <cell r="Q466" t="str">
            <v>TYO</v>
          </cell>
          <cell r="R466" t="str">
            <v>WHL</v>
          </cell>
          <cell r="S466"/>
          <cell r="T466">
            <v>43293</v>
          </cell>
          <cell r="U466">
            <v>75</v>
          </cell>
          <cell r="V466" t="str">
            <v>WANHAI 171 S245</v>
          </cell>
        </row>
        <row r="467">
          <cell r="B467" t="str">
            <v>V180981</v>
          </cell>
          <cell r="C467" t="str">
            <v>V180983</v>
          </cell>
          <cell r="D467" t="str">
            <v>V180989</v>
          </cell>
          <cell r="E467" t="str">
            <v>Z18048</v>
          </cell>
          <cell r="F467"/>
          <cell r="G467"/>
          <cell r="H467"/>
          <cell r="I467"/>
          <cell r="J467"/>
          <cell r="K467"/>
          <cell r="L467"/>
          <cell r="M467" t="str">
            <v>X</v>
          </cell>
          <cell r="N467" t="str">
            <v>X</v>
          </cell>
          <cell r="O467"/>
          <cell r="P467" t="str">
            <v>SITWHPKW170365</v>
          </cell>
          <cell r="Q467" t="str">
            <v>KWS</v>
          </cell>
          <cell r="R467" t="str">
            <v>SITC</v>
          </cell>
          <cell r="S467"/>
          <cell r="T467">
            <v>43296</v>
          </cell>
          <cell r="U467">
            <v>72</v>
          </cell>
          <cell r="V467" t="str">
            <v>HYUNDAI HARMONY 1829N</v>
          </cell>
        </row>
        <row r="468">
          <cell r="B468" t="str">
            <v>V180982</v>
          </cell>
          <cell r="C468" t="str">
            <v>V180984</v>
          </cell>
          <cell r="D468" t="str">
            <v>V180990</v>
          </cell>
          <cell r="E468" t="str">
            <v>Z18049</v>
          </cell>
          <cell r="F468"/>
          <cell r="G468"/>
          <cell r="H468"/>
          <cell r="I468"/>
          <cell r="J468"/>
          <cell r="K468"/>
          <cell r="L468"/>
          <cell r="M468" t="str">
            <v>X</v>
          </cell>
          <cell r="N468" t="str">
            <v>X</v>
          </cell>
          <cell r="O468"/>
          <cell r="P468" t="str">
            <v>1008X03361</v>
          </cell>
          <cell r="Q468" t="str">
            <v>OSK</v>
          </cell>
          <cell r="R468" t="str">
            <v>WHL</v>
          </cell>
          <cell r="S468"/>
          <cell r="T468">
            <v>43293</v>
          </cell>
          <cell r="U468">
            <v>75</v>
          </cell>
          <cell r="V468" t="str">
            <v>AS ROBERTA N005</v>
          </cell>
        </row>
        <row r="469">
          <cell r="B469" t="str">
            <v>V180986</v>
          </cell>
          <cell r="C469" t="str">
            <v>V180987</v>
          </cell>
          <cell r="D469" t="str">
            <v>Z18051</v>
          </cell>
          <cell r="E469" t="str">
            <v>Z18052</v>
          </cell>
          <cell r="F469"/>
          <cell r="G469"/>
          <cell r="H469"/>
          <cell r="I469"/>
          <cell r="J469"/>
          <cell r="K469"/>
          <cell r="L469"/>
          <cell r="M469" t="str">
            <v>X</v>
          </cell>
          <cell r="N469" t="str">
            <v>X</v>
          </cell>
          <cell r="O469"/>
          <cell r="P469" t="str">
            <v>SITWHPTK170353</v>
          </cell>
          <cell r="Q469" t="str">
            <v>TYO</v>
          </cell>
          <cell r="R469" t="str">
            <v>SITC</v>
          </cell>
          <cell r="S469"/>
          <cell r="T469">
            <v>43296</v>
          </cell>
          <cell r="U469">
            <v>72</v>
          </cell>
          <cell r="V469" t="str">
            <v>HYUNDAI HARMONY 1829N</v>
          </cell>
        </row>
        <row r="470">
          <cell r="B470" t="str">
            <v>V180988</v>
          </cell>
          <cell r="C470" t="str">
            <v>V180997</v>
          </cell>
          <cell r="D470" t="str">
            <v>V181004</v>
          </cell>
          <cell r="E470" t="str">
            <v>Z18053</v>
          </cell>
          <cell r="F470" t="str">
            <v>Z18056</v>
          </cell>
          <cell r="G470"/>
          <cell r="H470"/>
          <cell r="I470"/>
          <cell r="J470"/>
          <cell r="K470"/>
          <cell r="L470"/>
          <cell r="M470" t="str">
            <v>X</v>
          </cell>
          <cell r="N470" t="str">
            <v>X</v>
          </cell>
          <cell r="O470"/>
          <cell r="P470" t="str">
            <v>1008X03336</v>
          </cell>
          <cell r="Q470" t="str">
            <v>HKT</v>
          </cell>
          <cell r="R470" t="str">
            <v>WHL</v>
          </cell>
          <cell r="S470"/>
          <cell r="T470">
            <v>43293</v>
          </cell>
          <cell r="U470">
            <v>75</v>
          </cell>
          <cell r="V470" t="str">
            <v>WAN HAI 203 N465</v>
          </cell>
        </row>
        <row r="471">
          <cell r="B471" t="str">
            <v>V180993</v>
          </cell>
          <cell r="C471" t="str">
            <v>V180994</v>
          </cell>
          <cell r="D471" t="str">
            <v>V181001</v>
          </cell>
          <cell r="E471" t="str">
            <v>Z18054</v>
          </cell>
          <cell r="F471"/>
          <cell r="G471"/>
          <cell r="H471"/>
          <cell r="I471"/>
          <cell r="J471"/>
          <cell r="K471"/>
          <cell r="L471"/>
          <cell r="M471" t="str">
            <v>X</v>
          </cell>
          <cell r="N471" t="str">
            <v>X</v>
          </cell>
          <cell r="O471"/>
          <cell r="P471" t="str">
            <v>1008X03526</v>
          </cell>
          <cell r="Q471" t="str">
            <v>TYO</v>
          </cell>
          <cell r="R471" t="str">
            <v>WHL</v>
          </cell>
          <cell r="S471"/>
          <cell r="T471">
            <v>43292</v>
          </cell>
          <cell r="U471">
            <v>76</v>
          </cell>
          <cell r="V471" t="str">
            <v xml:space="preserve"> WAN HAI 266  N395</v>
          </cell>
        </row>
        <row r="472">
          <cell r="B472" t="str">
            <v>V180995</v>
          </cell>
          <cell r="C472" t="str">
            <v>V180999</v>
          </cell>
          <cell r="D472" t="str">
            <v>V181002</v>
          </cell>
          <cell r="E472" t="str">
            <v>Z18047</v>
          </cell>
          <cell r="F472"/>
          <cell r="G472"/>
          <cell r="H472"/>
          <cell r="I472"/>
          <cell r="J472"/>
          <cell r="K472"/>
          <cell r="L472"/>
          <cell r="M472" t="str">
            <v>X</v>
          </cell>
          <cell r="N472" t="str">
            <v>X</v>
          </cell>
          <cell r="O472"/>
          <cell r="P472" t="str">
            <v>SITWHPKW171069</v>
          </cell>
          <cell r="Q472" t="str">
            <v>KWS</v>
          </cell>
          <cell r="R472" t="str">
            <v>SITC</v>
          </cell>
          <cell r="S472"/>
          <cell r="T472">
            <v>43296</v>
          </cell>
          <cell r="U472">
            <v>72</v>
          </cell>
          <cell r="V472" t="str">
            <v>HYUNDAI HARMONY 1829N</v>
          </cell>
        </row>
        <row r="473">
          <cell r="B473" t="str">
            <v>V180996</v>
          </cell>
          <cell r="C473" t="str">
            <v>V181000</v>
          </cell>
          <cell r="D473"/>
          <cell r="E473"/>
          <cell r="F473"/>
          <cell r="G473"/>
          <cell r="H473"/>
          <cell r="I473"/>
          <cell r="J473"/>
          <cell r="K473"/>
          <cell r="L473"/>
          <cell r="M473" t="str">
            <v>X</v>
          </cell>
          <cell r="N473" t="str">
            <v>X</v>
          </cell>
          <cell r="O473"/>
          <cell r="P473" t="str">
            <v>1008X03535</v>
          </cell>
          <cell r="Q473" t="str">
            <v>OSK</v>
          </cell>
          <cell r="R473" t="str">
            <v>WHL</v>
          </cell>
          <cell r="S473"/>
          <cell r="T473">
            <v>43293</v>
          </cell>
          <cell r="U473">
            <v>75</v>
          </cell>
          <cell r="V473" t="str">
            <v>AS ROBERTA N005</v>
          </cell>
        </row>
        <row r="474">
          <cell r="B474" t="str">
            <v>V180998</v>
          </cell>
          <cell r="C474"/>
          <cell r="D474"/>
          <cell r="E474"/>
          <cell r="F474"/>
          <cell r="G474"/>
          <cell r="H474"/>
          <cell r="I474"/>
          <cell r="J474"/>
          <cell r="K474"/>
          <cell r="L474"/>
          <cell r="M474" t="str">
            <v>X</v>
          </cell>
          <cell r="N474" t="str">
            <v>X</v>
          </cell>
          <cell r="O474"/>
          <cell r="P474">
            <v>350810076048</v>
          </cell>
          <cell r="Q474" t="str">
            <v>TYO</v>
          </cell>
          <cell r="R474" t="str">
            <v>TSL</v>
          </cell>
          <cell r="S474"/>
          <cell r="T474">
            <v>43292</v>
          </cell>
          <cell r="U474">
            <v>76</v>
          </cell>
          <cell r="V474" t="str">
            <v>MARCLIFF 18012N</v>
          </cell>
        </row>
        <row r="475">
          <cell r="B475" t="str">
            <v>V181003</v>
          </cell>
          <cell r="C475" t="str">
            <v>V181008</v>
          </cell>
          <cell r="D475" t="str">
            <v>V181011</v>
          </cell>
          <cell r="E475" t="str">
            <v>Z18067</v>
          </cell>
          <cell r="F475"/>
          <cell r="G475"/>
          <cell r="H475"/>
          <cell r="I475"/>
          <cell r="J475"/>
          <cell r="K475"/>
          <cell r="L475"/>
          <cell r="M475" t="str">
            <v>X</v>
          </cell>
          <cell r="N475" t="str">
            <v>X</v>
          </cell>
          <cell r="O475"/>
          <cell r="P475" t="str">
            <v>EGLV237800198117</v>
          </cell>
          <cell r="Q475" t="str">
            <v>OSK</v>
          </cell>
          <cell r="R475" t="str">
            <v>EGLV</v>
          </cell>
          <cell r="S475"/>
          <cell r="T475">
            <v>43295</v>
          </cell>
          <cell r="U475">
            <v>73</v>
          </cell>
          <cell r="V475" t="str">
            <v>UNI-ACCORD 0586-559N</v>
          </cell>
        </row>
        <row r="476">
          <cell r="B476" t="str">
            <v>V181005</v>
          </cell>
          <cell r="C476" t="str">
            <v>V181014</v>
          </cell>
          <cell r="D476" t="str">
            <v>V181053</v>
          </cell>
          <cell r="E476"/>
          <cell r="F476"/>
          <cell r="G476"/>
          <cell r="H476"/>
          <cell r="I476"/>
          <cell r="J476"/>
          <cell r="K476"/>
          <cell r="L476"/>
          <cell r="M476" t="str">
            <v>X</v>
          </cell>
          <cell r="N476" t="str">
            <v>X</v>
          </cell>
          <cell r="O476"/>
          <cell r="P476" t="str">
            <v>KMTCHPH0564043</v>
          </cell>
          <cell r="Q476" t="str">
            <v>ISH</v>
          </cell>
          <cell r="R476" t="str">
            <v>KMTC</v>
          </cell>
          <cell r="S476"/>
          <cell r="T476">
            <v>43299</v>
          </cell>
          <cell r="U476">
            <v>69</v>
          </cell>
          <cell r="V476" t="str">
            <v>KOTA WANGSA 013N</v>
          </cell>
        </row>
        <row r="477">
          <cell r="B477" t="str">
            <v>V181006</v>
          </cell>
          <cell r="C477"/>
          <cell r="D477"/>
          <cell r="E477"/>
          <cell r="F477"/>
          <cell r="G477"/>
          <cell r="H477"/>
          <cell r="I477"/>
          <cell r="J477"/>
          <cell r="K477"/>
          <cell r="L477"/>
          <cell r="M477" t="str">
            <v>X</v>
          </cell>
          <cell r="N477" t="str">
            <v>X</v>
          </cell>
          <cell r="O477"/>
          <cell r="P477" t="str">
            <v>1008X03528</v>
          </cell>
          <cell r="Q477" t="str">
            <v>TYO</v>
          </cell>
          <cell r="R477" t="str">
            <v>WHL</v>
          </cell>
          <cell r="S477"/>
          <cell r="T477">
            <v>43295</v>
          </cell>
          <cell r="U477">
            <v>73</v>
          </cell>
          <cell r="V477" t="str">
            <v xml:space="preserve"> PAOLA  N021</v>
          </cell>
        </row>
        <row r="478">
          <cell r="B478" t="str">
            <v>V181007</v>
          </cell>
          <cell r="C478" t="str">
            <v>V181052</v>
          </cell>
          <cell r="D478"/>
          <cell r="E478"/>
          <cell r="F478"/>
          <cell r="G478"/>
          <cell r="H478"/>
          <cell r="I478"/>
          <cell r="J478"/>
          <cell r="K478"/>
          <cell r="L478"/>
          <cell r="M478" t="str">
            <v>X</v>
          </cell>
          <cell r="N478" t="str">
            <v>X</v>
          </cell>
          <cell r="O478"/>
          <cell r="P478">
            <v>350810076055</v>
          </cell>
          <cell r="Q478" t="str">
            <v>TYO</v>
          </cell>
          <cell r="R478" t="str">
            <v>TSL</v>
          </cell>
          <cell r="S478"/>
          <cell r="T478">
            <v>43298</v>
          </cell>
          <cell r="U478">
            <v>70</v>
          </cell>
          <cell r="V478" t="str">
            <v>HANSE ENDURANCE 18011N</v>
          </cell>
        </row>
        <row r="479">
          <cell r="B479" t="str">
            <v>V181009</v>
          </cell>
          <cell r="C479" t="str">
            <v>V181015</v>
          </cell>
          <cell r="D479" t="str">
            <v>V181016</v>
          </cell>
          <cell r="E479"/>
          <cell r="F479"/>
          <cell r="G479"/>
          <cell r="H479"/>
          <cell r="I479"/>
          <cell r="J479"/>
          <cell r="K479"/>
          <cell r="L479"/>
          <cell r="M479" t="str">
            <v>X</v>
          </cell>
          <cell r="N479" t="str">
            <v>X</v>
          </cell>
          <cell r="O479"/>
          <cell r="P479" t="str">
            <v>SITWHPTK171063</v>
          </cell>
          <cell r="Q479" t="str">
            <v>TYO</v>
          </cell>
          <cell r="R479" t="str">
            <v>SITC</v>
          </cell>
          <cell r="S479"/>
          <cell r="T479">
            <v>43296</v>
          </cell>
          <cell r="U479">
            <v>72</v>
          </cell>
          <cell r="V479" t="str">
            <v>HYUNDAI HARMONY 1829N</v>
          </cell>
        </row>
        <row r="480">
          <cell r="B480" t="str">
            <v>V181010</v>
          </cell>
          <cell r="C480" t="str">
            <v>V181017</v>
          </cell>
          <cell r="D480" t="str">
            <v>V181055</v>
          </cell>
          <cell r="E480" t="str">
            <v>Z18068</v>
          </cell>
          <cell r="F480"/>
          <cell r="G480"/>
          <cell r="H480"/>
          <cell r="I480"/>
          <cell r="J480"/>
          <cell r="K480"/>
          <cell r="L480"/>
          <cell r="M480" t="str">
            <v>X</v>
          </cell>
          <cell r="N480" t="str">
            <v>X</v>
          </cell>
          <cell r="O480"/>
          <cell r="P480" t="str">
            <v>SITWHPKW171071</v>
          </cell>
          <cell r="Q480" t="str">
            <v>KWS</v>
          </cell>
          <cell r="R480" t="str">
            <v>SITC</v>
          </cell>
          <cell r="S480"/>
          <cell r="T480">
            <v>43296</v>
          </cell>
          <cell r="U480">
            <v>72</v>
          </cell>
          <cell r="V480" t="str">
            <v>HYUNDAI HARMONY 1829N</v>
          </cell>
        </row>
        <row r="481">
          <cell r="B481" t="str">
            <v>Z18055</v>
          </cell>
          <cell r="C481"/>
          <cell r="D481"/>
          <cell r="E481"/>
          <cell r="F481"/>
          <cell r="G481"/>
          <cell r="H481"/>
          <cell r="I481"/>
          <cell r="J481"/>
          <cell r="K481"/>
          <cell r="L481"/>
          <cell r="M481" t="str">
            <v>X</v>
          </cell>
          <cell r="N481" t="str">
            <v>X</v>
          </cell>
          <cell r="O481"/>
          <cell r="P481" t="str">
            <v>1008X03465</v>
          </cell>
          <cell r="Q481" t="str">
            <v>NGO</v>
          </cell>
          <cell r="R481" t="str">
            <v>WHL</v>
          </cell>
          <cell r="S481"/>
          <cell r="T481">
            <v>43293</v>
          </cell>
          <cell r="U481">
            <v>75</v>
          </cell>
          <cell r="V481" t="str">
            <v>WAN HAI 171 S245</v>
          </cell>
        </row>
        <row r="482">
          <cell r="B482" t="str">
            <v>V181012</v>
          </cell>
          <cell r="C482" t="str">
            <v>V181054</v>
          </cell>
          <cell r="D482"/>
          <cell r="E482"/>
          <cell r="F482"/>
          <cell r="G482"/>
          <cell r="H482"/>
          <cell r="I482"/>
          <cell r="J482"/>
          <cell r="K482"/>
          <cell r="L482"/>
          <cell r="M482" t="str">
            <v>X</v>
          </cell>
          <cell r="N482" t="str">
            <v>X</v>
          </cell>
          <cell r="O482"/>
          <cell r="P482" t="str">
            <v>SITWHPHT171867</v>
          </cell>
          <cell r="Q482" t="str">
            <v>HKT</v>
          </cell>
          <cell r="R482" t="str">
            <v>SITC</v>
          </cell>
          <cell r="S482"/>
          <cell r="T482">
            <v>43296</v>
          </cell>
          <cell r="U482">
            <v>72</v>
          </cell>
          <cell r="V482" t="str">
            <v>EPONYMA 1819N</v>
          </cell>
        </row>
        <row r="483">
          <cell r="B483" t="str">
            <v>V181013</v>
          </cell>
          <cell r="C483"/>
          <cell r="D483"/>
          <cell r="E483"/>
          <cell r="F483"/>
          <cell r="G483"/>
          <cell r="H483"/>
          <cell r="I483"/>
          <cell r="J483"/>
          <cell r="K483"/>
          <cell r="L483"/>
          <cell r="M483" t="str">
            <v>X</v>
          </cell>
          <cell r="N483" t="str">
            <v>X</v>
          </cell>
          <cell r="O483"/>
          <cell r="P483" t="str">
            <v>SNL8HPCL001140</v>
          </cell>
          <cell r="Q483" t="str">
            <v>SHA</v>
          </cell>
          <cell r="R483" t="str">
            <v>SNL</v>
          </cell>
          <cell r="S483"/>
          <cell r="T483">
            <v>43298</v>
          </cell>
          <cell r="U483">
            <v>70</v>
          </cell>
          <cell r="V483" t="str">
            <v>KUO LUNG 1826N</v>
          </cell>
        </row>
        <row r="484">
          <cell r="B484" t="str">
            <v>V181018</v>
          </cell>
          <cell r="C484" t="str">
            <v>V181019</v>
          </cell>
          <cell r="D484"/>
          <cell r="E484"/>
          <cell r="F484"/>
          <cell r="G484"/>
          <cell r="H484"/>
          <cell r="I484"/>
          <cell r="J484"/>
          <cell r="K484"/>
          <cell r="L484"/>
          <cell r="M484" t="str">
            <v>X</v>
          </cell>
          <cell r="N484" t="str">
            <v>X</v>
          </cell>
          <cell r="O484"/>
          <cell r="P484" t="str">
            <v>SITWHPOS171866</v>
          </cell>
          <cell r="Q484" t="str">
            <v>OSK</v>
          </cell>
          <cell r="R484" t="str">
            <v>SITC</v>
          </cell>
          <cell r="S484"/>
          <cell r="T484">
            <v>43296</v>
          </cell>
          <cell r="U484">
            <v>72</v>
          </cell>
          <cell r="V484" t="str">
            <v>EPONYMA 1819N</v>
          </cell>
        </row>
        <row r="485">
          <cell r="B485" t="str">
            <v>V181051</v>
          </cell>
          <cell r="C485"/>
          <cell r="D485"/>
          <cell r="E485"/>
          <cell r="F485"/>
          <cell r="G485"/>
          <cell r="H485"/>
          <cell r="I485"/>
          <cell r="J485"/>
          <cell r="K485"/>
          <cell r="L485"/>
          <cell r="M485" t="str">
            <v>X</v>
          </cell>
          <cell r="N485" t="str">
            <v>X</v>
          </cell>
          <cell r="O485"/>
          <cell r="P485">
            <v>350810080311</v>
          </cell>
          <cell r="Q485" t="str">
            <v>TPE</v>
          </cell>
          <cell r="R485" t="str">
            <v>TSL</v>
          </cell>
          <cell r="S485"/>
          <cell r="T485">
            <v>43298</v>
          </cell>
          <cell r="U485">
            <v>70</v>
          </cell>
          <cell r="V485" t="str">
            <v>HANSE ENDURANCE 18011N</v>
          </cell>
        </row>
        <row r="486">
          <cell r="B486" t="str">
            <v>Z18062</v>
          </cell>
          <cell r="C486"/>
          <cell r="D486"/>
          <cell r="E486"/>
          <cell r="F486"/>
          <cell r="M486" t="str">
            <v>X</v>
          </cell>
          <cell r="N486" t="str">
            <v>X</v>
          </cell>
          <cell r="O486"/>
          <cell r="P486" t="str">
            <v>KMTCHPH0567036</v>
          </cell>
          <cell r="Q486" t="str">
            <v>ISH</v>
          </cell>
          <cell r="R486" t="str">
            <v>KMTC</v>
          </cell>
          <cell r="S486"/>
          <cell r="T486">
            <v>43297</v>
          </cell>
          <cell r="U486">
            <v>71</v>
          </cell>
          <cell r="V486" t="str">
            <v>HONGKONG VOYAGER 0079N</v>
          </cell>
        </row>
        <row r="487">
          <cell r="B487" t="str">
            <v>V181020</v>
          </cell>
          <cell r="C487" t="str">
            <v>V181024</v>
          </cell>
          <cell r="D487" t="str">
            <v>V181026</v>
          </cell>
          <cell r="E487" t="str">
            <v>V181029</v>
          </cell>
          <cell r="F487" t="str">
            <v>V181035</v>
          </cell>
          <cell r="G487" t="str">
            <v>V181038</v>
          </cell>
          <cell r="H487" t="str">
            <v>Z18059</v>
          </cell>
          <cell r="I487"/>
          <cell r="J487"/>
          <cell r="K487"/>
          <cell r="L487"/>
          <cell r="M487" t="str">
            <v>X</v>
          </cell>
          <cell r="N487" t="str">
            <v>X</v>
          </cell>
          <cell r="O487"/>
          <cell r="P487" t="str">
            <v>1008X03531</v>
          </cell>
          <cell r="Q487" t="str">
            <v>OSK</v>
          </cell>
          <cell r="R487" t="str">
            <v>WHL</v>
          </cell>
          <cell r="S487"/>
          <cell r="T487">
            <v>43299</v>
          </cell>
          <cell r="U487">
            <v>69</v>
          </cell>
          <cell r="V487" t="str">
            <v>AS FRIDA N005</v>
          </cell>
        </row>
        <row r="488">
          <cell r="B488" t="str">
            <v>V181021</v>
          </cell>
          <cell r="C488" t="str">
            <v>V181023</v>
          </cell>
          <cell r="D488" t="str">
            <v>V181028</v>
          </cell>
          <cell r="E488" t="str">
            <v>V181056</v>
          </cell>
          <cell r="F488" t="str">
            <v>Z18060</v>
          </cell>
          <cell r="G488" t="str">
            <v>Z18061</v>
          </cell>
          <cell r="H488"/>
          <cell r="I488"/>
          <cell r="J488"/>
          <cell r="K488"/>
          <cell r="L488"/>
          <cell r="M488" t="str">
            <v>X</v>
          </cell>
          <cell r="N488" t="str">
            <v>X</v>
          </cell>
          <cell r="O488"/>
          <cell r="P488" t="str">
            <v>SITWHPKW171072</v>
          </cell>
          <cell r="Q488" t="str">
            <v>KWS</v>
          </cell>
          <cell r="R488" t="str">
            <v>SITC</v>
          </cell>
          <cell r="S488"/>
          <cell r="T488">
            <v>43300</v>
          </cell>
          <cell r="U488">
            <v>68</v>
          </cell>
          <cell r="V488" t="str">
            <v>SITC OSAKA 1821N</v>
          </cell>
        </row>
        <row r="489">
          <cell r="B489" t="str">
            <v>V181022</v>
          </cell>
          <cell r="C489" t="str">
            <v>V181032</v>
          </cell>
          <cell r="D489" t="str">
            <v>V181037</v>
          </cell>
          <cell r="E489" t="str">
            <v>Z18057</v>
          </cell>
          <cell r="F489"/>
          <cell r="G489"/>
          <cell r="H489"/>
          <cell r="I489"/>
          <cell r="J489"/>
          <cell r="K489"/>
          <cell r="L489"/>
          <cell r="M489" t="str">
            <v>X</v>
          </cell>
          <cell r="N489" t="str">
            <v>X</v>
          </cell>
          <cell r="O489"/>
          <cell r="P489" t="str">
            <v>1008X03637</v>
          </cell>
          <cell r="Q489" t="str">
            <v>TYO</v>
          </cell>
          <cell r="R489" t="str">
            <v>WHL</v>
          </cell>
          <cell r="S489"/>
          <cell r="T489">
            <v>43300</v>
          </cell>
          <cell r="U489">
            <v>68</v>
          </cell>
          <cell r="V489" t="str">
            <v>MOONCHILD N030</v>
          </cell>
        </row>
        <row r="490">
          <cell r="B490" t="str">
            <v>V181025</v>
          </cell>
          <cell r="C490" t="str">
            <v>Z18063</v>
          </cell>
          <cell r="D490" t="str">
            <v>Z18064</v>
          </cell>
          <cell r="E490"/>
          <cell r="F490"/>
          <cell r="G490"/>
          <cell r="H490"/>
          <cell r="I490"/>
          <cell r="J490"/>
          <cell r="K490"/>
          <cell r="L490"/>
          <cell r="M490" t="str">
            <v>X</v>
          </cell>
          <cell r="N490" t="str">
            <v>X</v>
          </cell>
          <cell r="O490"/>
          <cell r="P490" t="str">
            <v>SITWHPTK171624</v>
          </cell>
          <cell r="Q490" t="str">
            <v>TYO</v>
          </cell>
          <cell r="R490" t="str">
            <v>SITC</v>
          </cell>
          <cell r="S490"/>
          <cell r="T490">
            <v>43300</v>
          </cell>
          <cell r="U490">
            <v>68</v>
          </cell>
          <cell r="V490" t="str">
            <v>SITC OSAKA 1821N</v>
          </cell>
        </row>
        <row r="491">
          <cell r="B491" t="str">
            <v>V181027</v>
          </cell>
          <cell r="C491" t="str">
            <v>V181041</v>
          </cell>
          <cell r="D491" t="str">
            <v>Z18058</v>
          </cell>
          <cell r="E491" t="str">
            <v>Z18069</v>
          </cell>
          <cell r="F491"/>
          <cell r="G491"/>
          <cell r="H491"/>
          <cell r="I491"/>
          <cell r="J491"/>
          <cell r="K491"/>
          <cell r="L491"/>
          <cell r="M491" t="str">
            <v>X</v>
          </cell>
          <cell r="N491" t="str">
            <v>X</v>
          </cell>
          <cell r="O491"/>
          <cell r="P491" t="str">
            <v>1008X03548</v>
          </cell>
          <cell r="Q491" t="str">
            <v>HKT</v>
          </cell>
          <cell r="R491" t="str">
            <v>WHL</v>
          </cell>
          <cell r="S491"/>
          <cell r="T491">
            <v>43300</v>
          </cell>
          <cell r="U491">
            <v>68</v>
          </cell>
          <cell r="V491" t="str">
            <v xml:space="preserve">WAN HAI 213  N331  </v>
          </cell>
        </row>
        <row r="492">
          <cell r="B492" t="str">
            <v>V181030</v>
          </cell>
          <cell r="C492" t="str">
            <v>V181042</v>
          </cell>
          <cell r="D492"/>
          <cell r="E492"/>
          <cell r="F492"/>
          <cell r="G492"/>
          <cell r="H492"/>
          <cell r="I492"/>
          <cell r="J492"/>
          <cell r="K492"/>
          <cell r="L492"/>
          <cell r="M492" t="str">
            <v>X</v>
          </cell>
          <cell r="N492" t="str">
            <v>X</v>
          </cell>
          <cell r="O492"/>
          <cell r="P492" t="str">
            <v>KMTCHPH0569271</v>
          </cell>
          <cell r="Q492" t="str">
            <v>ISH</v>
          </cell>
          <cell r="R492" t="str">
            <v>KMTC</v>
          </cell>
          <cell r="S492"/>
          <cell r="T492">
            <v>43303</v>
          </cell>
          <cell r="U492">
            <v>65</v>
          </cell>
          <cell r="V492" t="str">
            <v>SUNNY IRIS 1821N</v>
          </cell>
        </row>
        <row r="493">
          <cell r="B493" t="str">
            <v>V181031</v>
          </cell>
          <cell r="C493"/>
          <cell r="D493"/>
          <cell r="E493"/>
          <cell r="F493"/>
          <cell r="G493"/>
          <cell r="H493"/>
          <cell r="I493"/>
          <cell r="J493"/>
          <cell r="K493"/>
          <cell r="L493"/>
          <cell r="M493" t="str">
            <v>X</v>
          </cell>
          <cell r="N493" t="str">
            <v>X</v>
          </cell>
          <cell r="O493"/>
          <cell r="P493" t="str">
            <v>EGLV237800206438</v>
          </cell>
          <cell r="Q493" t="str">
            <v>TYO</v>
          </cell>
          <cell r="R493" t="str">
            <v>EGLV</v>
          </cell>
          <cell r="S493"/>
          <cell r="T493">
            <v>43300</v>
          </cell>
          <cell r="U493">
            <v>68</v>
          </cell>
          <cell r="V493" t="str">
            <v>MOONCHILD N030</v>
          </cell>
        </row>
        <row r="494">
          <cell r="B494" t="str">
            <v>V181033</v>
          </cell>
          <cell r="C494" t="str">
            <v>V181043</v>
          </cell>
          <cell r="D494" t="str">
            <v>V181045</v>
          </cell>
          <cell r="E494"/>
          <cell r="F494"/>
          <cell r="G494"/>
          <cell r="H494"/>
          <cell r="I494"/>
          <cell r="J494"/>
          <cell r="K494"/>
          <cell r="L494"/>
          <cell r="M494" t="str">
            <v>X</v>
          </cell>
          <cell r="N494" t="str">
            <v>X</v>
          </cell>
          <cell r="O494"/>
          <cell r="P494">
            <v>350810079919</v>
          </cell>
          <cell r="Q494" t="str">
            <v>TYO</v>
          </cell>
          <cell r="R494" t="str">
            <v>TSL</v>
          </cell>
          <cell r="S494"/>
          <cell r="T494">
            <v>43299</v>
          </cell>
          <cell r="U494">
            <v>69</v>
          </cell>
          <cell r="V494" t="str">
            <v>LANTAU BRIDGE 18003N</v>
          </cell>
        </row>
        <row r="495">
          <cell r="B495" t="str">
            <v>V181034</v>
          </cell>
          <cell r="C495" t="str">
            <v>V181039</v>
          </cell>
          <cell r="D495" t="str">
            <v>V181046</v>
          </cell>
          <cell r="E495"/>
          <cell r="F495"/>
          <cell r="G495"/>
          <cell r="H495"/>
          <cell r="I495"/>
          <cell r="J495"/>
          <cell r="K495"/>
          <cell r="L495"/>
          <cell r="M495" t="str">
            <v>X</v>
          </cell>
          <cell r="N495" t="str">
            <v>X</v>
          </cell>
          <cell r="O495"/>
          <cell r="P495" t="str">
            <v>SITWHPKW171854</v>
          </cell>
          <cell r="Q495" t="str">
            <v>KWS</v>
          </cell>
          <cell r="R495" t="str">
            <v>SITC</v>
          </cell>
          <cell r="S495"/>
          <cell r="T495">
            <v>43300</v>
          </cell>
          <cell r="U495">
            <v>68</v>
          </cell>
          <cell r="V495" t="str">
            <v>SITC OSAKA 1821N</v>
          </cell>
        </row>
        <row r="496">
          <cell r="B496" t="str">
            <v>V181036</v>
          </cell>
          <cell r="C496"/>
          <cell r="D496"/>
          <cell r="E496"/>
          <cell r="F496"/>
          <cell r="G496"/>
          <cell r="H496"/>
          <cell r="I496"/>
          <cell r="J496"/>
          <cell r="K496"/>
          <cell r="L496"/>
          <cell r="M496" t="str">
            <v>X</v>
          </cell>
          <cell r="N496" t="str">
            <v>X</v>
          </cell>
          <cell r="O496"/>
          <cell r="P496">
            <v>350810079926</v>
          </cell>
          <cell r="Q496" t="str">
            <v>HKT</v>
          </cell>
          <cell r="R496" t="str">
            <v>TSL</v>
          </cell>
          <cell r="S496"/>
          <cell r="T496">
            <v>43299</v>
          </cell>
          <cell r="U496">
            <v>69</v>
          </cell>
          <cell r="V496" t="str">
            <v>LANTAU BRIDGE 18003N</v>
          </cell>
        </row>
        <row r="497">
          <cell r="B497" t="str">
            <v>V181040</v>
          </cell>
          <cell r="C497" t="str">
            <v>V181047</v>
          </cell>
          <cell r="D497" t="str">
            <v>Z18070</v>
          </cell>
          <cell r="E497"/>
          <cell r="F497"/>
          <cell r="G497"/>
          <cell r="H497"/>
          <cell r="I497"/>
          <cell r="J497"/>
          <cell r="K497"/>
          <cell r="L497"/>
          <cell r="M497" t="str">
            <v>X</v>
          </cell>
          <cell r="N497" t="str">
            <v>X</v>
          </cell>
          <cell r="O497"/>
          <cell r="P497" t="str">
            <v>EGLV237800206446</v>
          </cell>
          <cell r="Q497" t="str">
            <v>OSK</v>
          </cell>
          <cell r="R497" t="str">
            <v>EGLV</v>
          </cell>
          <cell r="S497"/>
          <cell r="T497">
            <v>43300</v>
          </cell>
          <cell r="U497">
            <v>68</v>
          </cell>
          <cell r="V497" t="str">
            <v>MOONCHILD N030</v>
          </cell>
        </row>
        <row r="498">
          <cell r="B498" t="str">
            <v>V181044</v>
          </cell>
          <cell r="C498" t="str">
            <v>V181048</v>
          </cell>
          <cell r="D498" t="str">
            <v>V181059</v>
          </cell>
          <cell r="E498" t="str">
            <v>V181071</v>
          </cell>
          <cell r="F498" t="str">
            <v>V181075</v>
          </cell>
          <cell r="G498" t="str">
            <v>V181076</v>
          </cell>
          <cell r="H498" t="str">
            <v>V181081</v>
          </cell>
          <cell r="I498"/>
          <cell r="J498"/>
          <cell r="K498"/>
          <cell r="L498"/>
          <cell r="M498" t="str">
            <v>X</v>
          </cell>
          <cell r="N498" t="str">
            <v>X</v>
          </cell>
          <cell r="O498"/>
          <cell r="P498" t="str">
            <v>SITWHPTK171860</v>
          </cell>
          <cell r="Q498" t="str">
            <v>TYO</v>
          </cell>
          <cell r="R498" t="str">
            <v>SITC</v>
          </cell>
          <cell r="S498"/>
          <cell r="T498">
            <v>43303</v>
          </cell>
          <cell r="U498">
            <v>65</v>
          </cell>
          <cell r="V498" t="str">
            <v>AVRA C 1821N</v>
          </cell>
        </row>
        <row r="499">
          <cell r="B499" t="str">
            <v>V181049</v>
          </cell>
          <cell r="C499" t="str">
            <v>V181072</v>
          </cell>
          <cell r="D499" t="str">
            <v>V181078</v>
          </cell>
          <cell r="E499" t="str">
            <v>V181080</v>
          </cell>
          <cell r="F499" t="str">
            <v>Z18073</v>
          </cell>
          <cell r="G499"/>
          <cell r="H499"/>
          <cell r="I499"/>
          <cell r="J499"/>
          <cell r="K499"/>
          <cell r="L499"/>
          <cell r="M499" t="str">
            <v>X</v>
          </cell>
          <cell r="N499" t="str">
            <v>X</v>
          </cell>
          <cell r="O499"/>
          <cell r="P499" t="str">
            <v>SITWHPOS171863</v>
          </cell>
          <cell r="Q499" t="str">
            <v>OSK</v>
          </cell>
          <cell r="R499" t="str">
            <v>SITC</v>
          </cell>
          <cell r="S499"/>
          <cell r="T499">
            <v>43303</v>
          </cell>
          <cell r="U499">
            <v>65</v>
          </cell>
          <cell r="V499" t="str">
            <v>SITC WEIHAI 1817N</v>
          </cell>
        </row>
        <row r="500">
          <cell r="B500" t="str">
            <v>V181050</v>
          </cell>
          <cell r="C500" t="str">
            <v>V181057</v>
          </cell>
          <cell r="D500" t="str">
            <v>V181073</v>
          </cell>
          <cell r="E500" t="str">
            <v>V181079</v>
          </cell>
          <cell r="F500" t="str">
            <v>Z18071</v>
          </cell>
          <cell r="G500"/>
          <cell r="H500"/>
          <cell r="I500"/>
          <cell r="J500"/>
          <cell r="K500"/>
          <cell r="L500"/>
          <cell r="M500" t="str">
            <v>X</v>
          </cell>
          <cell r="N500" t="str">
            <v>X</v>
          </cell>
          <cell r="O500"/>
          <cell r="P500" t="str">
            <v>SITWHPHT171868</v>
          </cell>
          <cell r="Q500" t="str">
            <v>HKT</v>
          </cell>
          <cell r="R500" t="str">
            <v>SITC</v>
          </cell>
          <cell r="S500"/>
          <cell r="T500">
            <v>43303</v>
          </cell>
          <cell r="U500">
            <v>65</v>
          </cell>
          <cell r="V500" t="str">
            <v>SITC WEIHAI 1817N</v>
          </cell>
        </row>
        <row r="501">
          <cell r="B501" t="str">
            <v>Z18065</v>
          </cell>
          <cell r="C501" t="str">
            <v>Z18066</v>
          </cell>
          <cell r="D501"/>
          <cell r="E501"/>
          <cell r="F501"/>
          <cell r="G501"/>
          <cell r="H501"/>
          <cell r="I501"/>
          <cell r="J501"/>
          <cell r="K501"/>
          <cell r="L501"/>
          <cell r="M501" t="str">
            <v>X</v>
          </cell>
          <cell r="N501" t="str">
            <v>X</v>
          </cell>
          <cell r="O501"/>
          <cell r="P501" t="str">
            <v>SITWHPOS171623</v>
          </cell>
          <cell r="Q501" t="str">
            <v>OSK</v>
          </cell>
          <cell r="R501" t="str">
            <v>SITC</v>
          </cell>
          <cell r="S501"/>
          <cell r="T501">
            <v>43301</v>
          </cell>
          <cell r="U501">
            <v>67</v>
          </cell>
          <cell r="V501" t="str">
            <v>SITC MOJI 1835N</v>
          </cell>
        </row>
        <row r="502">
          <cell r="B502" t="str">
            <v>V181070</v>
          </cell>
          <cell r="C502" t="str">
            <v>V181077</v>
          </cell>
          <cell r="D502" t="str">
            <v>V181082</v>
          </cell>
          <cell r="E502"/>
          <cell r="F502"/>
          <cell r="G502"/>
          <cell r="H502"/>
          <cell r="I502"/>
          <cell r="J502"/>
          <cell r="K502"/>
          <cell r="L502"/>
          <cell r="M502" t="str">
            <v>X</v>
          </cell>
          <cell r="N502" t="str">
            <v>X</v>
          </cell>
          <cell r="O502"/>
          <cell r="P502" t="str">
            <v>SITWHPKW172471</v>
          </cell>
          <cell r="Q502" t="str">
            <v>KWS</v>
          </cell>
          <cell r="R502" t="str">
            <v>SITC</v>
          </cell>
          <cell r="S502"/>
          <cell r="T502">
            <v>43303</v>
          </cell>
          <cell r="U502">
            <v>65</v>
          </cell>
          <cell r="V502" t="str">
            <v>AVRA C 1821N</v>
          </cell>
        </row>
        <row r="503">
          <cell r="B503" t="str">
            <v>V181074</v>
          </cell>
          <cell r="C503"/>
          <cell r="D503"/>
          <cell r="E503"/>
          <cell r="F503"/>
          <cell r="G503"/>
          <cell r="H503"/>
          <cell r="I503"/>
          <cell r="J503"/>
          <cell r="K503"/>
          <cell r="L503"/>
          <cell r="M503" t="str">
            <v>X</v>
          </cell>
          <cell r="N503" t="str">
            <v>X</v>
          </cell>
          <cell r="O503"/>
          <cell r="P503">
            <v>350810082766</v>
          </cell>
          <cell r="Q503" t="str">
            <v>TPE</v>
          </cell>
          <cell r="R503" t="str">
            <v>TSL</v>
          </cell>
          <cell r="S503"/>
          <cell r="T503">
            <v>43304</v>
          </cell>
          <cell r="U503">
            <v>64</v>
          </cell>
          <cell r="V503" t="str">
            <v>LANTAU BEE 18010N</v>
          </cell>
        </row>
        <row r="504">
          <cell r="B504" t="str">
            <v>V181058</v>
          </cell>
          <cell r="C504"/>
          <cell r="D504"/>
          <cell r="E504"/>
          <cell r="F504"/>
          <cell r="G504"/>
          <cell r="H504"/>
          <cell r="I504"/>
          <cell r="J504"/>
          <cell r="K504"/>
          <cell r="L504"/>
          <cell r="M504" t="str">
            <v>X</v>
          </cell>
          <cell r="N504" t="str">
            <v>X</v>
          </cell>
          <cell r="O504"/>
          <cell r="P504" t="str">
            <v>KMTCHPH0562360</v>
          </cell>
          <cell r="Q504" t="str">
            <v>ISH</v>
          </cell>
          <cell r="R504" t="str">
            <v>KMTC</v>
          </cell>
          <cell r="S504"/>
          <cell r="T504">
            <v>43304</v>
          </cell>
          <cell r="U504">
            <v>64</v>
          </cell>
          <cell r="V504" t="str">
            <v>STARSHIP AQUILA 1811N</v>
          </cell>
        </row>
        <row r="505">
          <cell r="B505" t="str">
            <v>V181090</v>
          </cell>
          <cell r="C505" t="str">
            <v>Z18080</v>
          </cell>
          <cell r="M505" t="str">
            <v>X</v>
          </cell>
          <cell r="N505" t="str">
            <v>X</v>
          </cell>
          <cell r="O505"/>
          <cell r="P505">
            <v>350810082926</v>
          </cell>
          <cell r="Q505" t="str">
            <v>HKT</v>
          </cell>
          <cell r="R505" t="str">
            <v>TSL</v>
          </cell>
          <cell r="S505"/>
          <cell r="T505">
            <v>43306</v>
          </cell>
          <cell r="U505">
            <v>62</v>
          </cell>
          <cell r="V505" t="str">
            <v>MARCARRIER 18013N</v>
          </cell>
        </row>
        <row r="506">
          <cell r="B506" t="str">
            <v>V181060</v>
          </cell>
          <cell r="C506" t="str">
            <v>V181085</v>
          </cell>
          <cell r="D506" t="str">
            <v>V181089</v>
          </cell>
          <cell r="E506" t="str">
            <v>V181097</v>
          </cell>
          <cell r="F506" t="str">
            <v>Z18072</v>
          </cell>
          <cell r="G506" t="str">
            <v>Z18081</v>
          </cell>
          <cell r="H506"/>
          <cell r="I506"/>
          <cell r="J506"/>
          <cell r="K506"/>
          <cell r="L506"/>
          <cell r="M506" t="str">
            <v>X</v>
          </cell>
          <cell r="N506" t="str">
            <v>X</v>
          </cell>
          <cell r="O506"/>
          <cell r="P506" t="str">
            <v>1008X03736</v>
          </cell>
          <cell r="Q506" t="str">
            <v>OSK</v>
          </cell>
          <cell r="R506" t="str">
            <v>WHL</v>
          </cell>
          <cell r="S506"/>
          <cell r="T506">
            <v>43306</v>
          </cell>
          <cell r="U506">
            <v>62</v>
          </cell>
          <cell r="V506" t="str">
            <v>AS FIONA N007</v>
          </cell>
        </row>
        <row r="507">
          <cell r="B507" t="str">
            <v>V181061</v>
          </cell>
          <cell r="C507" t="str">
            <v>V181067</v>
          </cell>
          <cell r="D507" t="str">
            <v>V181069</v>
          </cell>
          <cell r="E507" t="str">
            <v>Z18077</v>
          </cell>
          <cell r="F507"/>
          <cell r="G507"/>
          <cell r="H507"/>
          <cell r="I507"/>
          <cell r="J507"/>
          <cell r="K507"/>
          <cell r="L507"/>
          <cell r="M507" t="str">
            <v>X</v>
          </cell>
          <cell r="N507" t="str">
            <v>X</v>
          </cell>
          <cell r="O507"/>
          <cell r="P507" t="str">
            <v>SITWHPKW171813</v>
          </cell>
          <cell r="Q507" t="str">
            <v>KWS</v>
          </cell>
          <cell r="R507" t="str">
            <v>SITC</v>
          </cell>
          <cell r="S507"/>
          <cell r="T507">
            <v>43307</v>
          </cell>
          <cell r="U507">
            <v>61</v>
          </cell>
          <cell r="V507" t="str">
            <v>SITC NAGOYA 1821N</v>
          </cell>
        </row>
        <row r="508">
          <cell r="B508" t="str">
            <v>V181084</v>
          </cell>
          <cell r="C508" t="str">
            <v>V181088</v>
          </cell>
          <cell r="D508" t="str">
            <v>V181091</v>
          </cell>
          <cell r="E508" t="str">
            <v>Z18075</v>
          </cell>
          <cell r="F508" t="str">
            <v>Z18082</v>
          </cell>
          <cell r="G508" t="str">
            <v>Z18089</v>
          </cell>
          <cell r="H508"/>
          <cell r="I508"/>
          <cell r="J508"/>
          <cell r="K508"/>
          <cell r="L508"/>
          <cell r="M508" t="str">
            <v>X</v>
          </cell>
          <cell r="N508" t="str">
            <v>X</v>
          </cell>
          <cell r="O508"/>
          <cell r="P508" t="str">
            <v>SITWHPKW172470</v>
          </cell>
          <cell r="Q508" t="str">
            <v>KWS</v>
          </cell>
          <cell r="R508" t="str">
            <v>SITC</v>
          </cell>
          <cell r="S508"/>
          <cell r="T508">
            <v>43307</v>
          </cell>
          <cell r="U508">
            <v>61</v>
          </cell>
          <cell r="V508" t="str">
            <v>SITC NAGOYA 1821N</v>
          </cell>
        </row>
        <row r="509">
          <cell r="B509" t="str">
            <v>V181062</v>
          </cell>
          <cell r="C509"/>
          <cell r="D509"/>
          <cell r="E509"/>
          <cell r="F509"/>
          <cell r="G509"/>
          <cell r="H509"/>
          <cell r="I509"/>
          <cell r="J509"/>
          <cell r="K509"/>
          <cell r="L509"/>
          <cell r="M509" t="str">
            <v>X</v>
          </cell>
          <cell r="N509" t="str">
            <v>X</v>
          </cell>
          <cell r="O509"/>
          <cell r="P509" t="str">
            <v>1008X03734</v>
          </cell>
          <cell r="Q509" t="str">
            <v>HKT</v>
          </cell>
          <cell r="R509" t="str">
            <v>WHL</v>
          </cell>
          <cell r="S509"/>
          <cell r="T509">
            <v>43309</v>
          </cell>
          <cell r="U509">
            <v>59</v>
          </cell>
          <cell r="V509" t="str">
            <v>PAOLA N023</v>
          </cell>
        </row>
        <row r="510">
          <cell r="B510" t="str">
            <v>V181063</v>
          </cell>
          <cell r="C510" t="str">
            <v>V181065</v>
          </cell>
          <cell r="D510" t="str">
            <v>Z18076</v>
          </cell>
          <cell r="E510"/>
          <cell r="F510"/>
          <cell r="G510"/>
          <cell r="H510"/>
          <cell r="I510"/>
          <cell r="J510"/>
          <cell r="K510"/>
          <cell r="L510"/>
          <cell r="M510" t="str">
            <v>X</v>
          </cell>
          <cell r="N510" t="str">
            <v>X</v>
          </cell>
          <cell r="O510"/>
          <cell r="P510" t="str">
            <v>1008X03746</v>
          </cell>
          <cell r="Q510" t="str">
            <v>TYO</v>
          </cell>
          <cell r="R510" t="str">
            <v>WHL</v>
          </cell>
          <cell r="S510"/>
          <cell r="T510">
            <v>43306</v>
          </cell>
          <cell r="U510">
            <v>62</v>
          </cell>
          <cell r="V510" t="str">
            <v>WAN HAI 267 N269</v>
          </cell>
        </row>
        <row r="511">
          <cell r="B511" t="str">
            <v>V181064</v>
          </cell>
          <cell r="C511" t="str">
            <v>V181095</v>
          </cell>
          <cell r="D511" t="str">
            <v>Z18091</v>
          </cell>
          <cell r="E511"/>
          <cell r="F511"/>
          <cell r="G511"/>
          <cell r="H511"/>
          <cell r="I511"/>
          <cell r="J511"/>
          <cell r="K511"/>
          <cell r="L511"/>
          <cell r="M511" t="str">
            <v>X</v>
          </cell>
          <cell r="N511" t="str">
            <v>X</v>
          </cell>
          <cell r="O511"/>
          <cell r="P511" t="str">
            <v>SITWHPTK171861</v>
          </cell>
          <cell r="Q511" t="str">
            <v>TYO</v>
          </cell>
          <cell r="R511" t="str">
            <v>SITC</v>
          </cell>
          <cell r="S511"/>
          <cell r="T511">
            <v>43307</v>
          </cell>
          <cell r="U511">
            <v>61</v>
          </cell>
          <cell r="V511" t="str">
            <v>SITC NAGOYA 1821N</v>
          </cell>
        </row>
        <row r="512">
          <cell r="B512" t="str">
            <v>V181066</v>
          </cell>
          <cell r="C512" t="str">
            <v>V181083</v>
          </cell>
          <cell r="D512" t="str">
            <v>V181087</v>
          </cell>
          <cell r="E512" t="str">
            <v>Z18074</v>
          </cell>
          <cell r="F512" t="str">
            <v>Z18078</v>
          </cell>
          <cell r="G512"/>
          <cell r="H512"/>
          <cell r="I512"/>
          <cell r="J512"/>
          <cell r="K512"/>
          <cell r="L512"/>
          <cell r="M512" t="str">
            <v>X</v>
          </cell>
          <cell r="N512" t="str">
            <v>X</v>
          </cell>
          <cell r="O512"/>
          <cell r="P512">
            <v>350810079933</v>
          </cell>
          <cell r="Q512" t="str">
            <v>TYO</v>
          </cell>
          <cell r="R512" t="str">
            <v>TSL</v>
          </cell>
          <cell r="S512"/>
          <cell r="T512">
            <v>43306</v>
          </cell>
          <cell r="U512">
            <v>62</v>
          </cell>
          <cell r="V512" t="str">
            <v>MARCARRIER 18013N</v>
          </cell>
        </row>
        <row r="513">
          <cell r="B513" t="str">
            <v>V181068</v>
          </cell>
          <cell r="C513" t="str">
            <v>Z18090</v>
          </cell>
          <cell r="D513"/>
          <cell r="E513"/>
          <cell r="F513"/>
          <cell r="G513"/>
          <cell r="H513"/>
          <cell r="I513"/>
          <cell r="J513"/>
          <cell r="K513"/>
          <cell r="L513"/>
          <cell r="M513" t="str">
            <v>X</v>
          </cell>
          <cell r="N513" t="str">
            <v>X</v>
          </cell>
          <cell r="O513"/>
          <cell r="P513" t="str">
            <v>SITWHPOS171864</v>
          </cell>
          <cell r="Q513" t="str">
            <v>OSK</v>
          </cell>
          <cell r="R513" t="str">
            <v>SITC</v>
          </cell>
          <cell r="S513"/>
          <cell r="T513">
            <v>43308</v>
          </cell>
          <cell r="U513">
            <v>60</v>
          </cell>
          <cell r="V513" t="str">
            <v>REFLECTION 1821N</v>
          </cell>
        </row>
        <row r="514">
          <cell r="B514" t="str">
            <v>V181086</v>
          </cell>
          <cell r="C514" t="str">
            <v>Z18079</v>
          </cell>
          <cell r="D514"/>
          <cell r="E514"/>
          <cell r="F514"/>
          <cell r="G514"/>
          <cell r="H514"/>
          <cell r="I514"/>
          <cell r="J514"/>
          <cell r="K514"/>
          <cell r="L514"/>
          <cell r="M514" t="str">
            <v>X</v>
          </cell>
          <cell r="N514" t="str">
            <v>X</v>
          </cell>
          <cell r="O514"/>
          <cell r="P514" t="str">
            <v>1008X04013</v>
          </cell>
          <cell r="Q514" t="str">
            <v>TYO</v>
          </cell>
          <cell r="R514" t="str">
            <v>WHL</v>
          </cell>
          <cell r="S514"/>
          <cell r="T514">
            <v>43307</v>
          </cell>
          <cell r="U514">
            <v>61</v>
          </cell>
          <cell r="V514" t="str">
            <v>WAN HAI 171 S246</v>
          </cell>
        </row>
        <row r="515">
          <cell r="B515" t="str">
            <v>V181092</v>
          </cell>
          <cell r="C515"/>
          <cell r="D515"/>
          <cell r="E515"/>
          <cell r="F515"/>
          <cell r="G515"/>
          <cell r="H515"/>
          <cell r="I515"/>
          <cell r="J515"/>
          <cell r="K515"/>
          <cell r="L515"/>
          <cell r="M515" t="str">
            <v>X</v>
          </cell>
          <cell r="N515" t="str">
            <v>X</v>
          </cell>
          <cell r="O515"/>
          <cell r="P515" t="str">
            <v>EGLV237800216395</v>
          </cell>
          <cell r="Q515" t="str">
            <v>OSK</v>
          </cell>
          <cell r="R515" t="str">
            <v>EGLV</v>
          </cell>
          <cell r="S515"/>
          <cell r="T515">
            <v>43306</v>
          </cell>
          <cell r="U515">
            <v>62</v>
          </cell>
          <cell r="V515" t="str">
            <v>WAN HAI 267 N269</v>
          </cell>
        </row>
        <row r="516">
          <cell r="B516" t="str">
            <v>V181093</v>
          </cell>
          <cell r="C516"/>
          <cell r="D516"/>
          <cell r="E516"/>
          <cell r="F516"/>
          <cell r="G516"/>
          <cell r="H516"/>
          <cell r="I516"/>
          <cell r="J516"/>
          <cell r="K516"/>
          <cell r="L516"/>
          <cell r="M516" t="str">
            <v>X</v>
          </cell>
          <cell r="N516" t="str">
            <v>X</v>
          </cell>
          <cell r="O516"/>
          <cell r="P516" t="str">
            <v>APLU074557757</v>
          </cell>
          <cell r="Q516" t="str">
            <v>NAHA</v>
          </cell>
          <cell r="R516" t="str">
            <v>APL</v>
          </cell>
          <cell r="S516"/>
          <cell r="T516">
            <v>43311</v>
          </cell>
          <cell r="U516">
            <v>57</v>
          </cell>
          <cell r="V516" t="str">
            <v>CMA CGM BANGKOK 001N</v>
          </cell>
        </row>
        <row r="517">
          <cell r="B517" t="str">
            <v>V181094</v>
          </cell>
          <cell r="C517" t="str">
            <v>V181113</v>
          </cell>
          <cell r="D517"/>
          <cell r="E517"/>
          <cell r="F517"/>
          <cell r="G517"/>
          <cell r="H517"/>
          <cell r="I517"/>
          <cell r="J517"/>
          <cell r="K517"/>
          <cell r="L517"/>
          <cell r="M517" t="str">
            <v>X</v>
          </cell>
          <cell r="N517" t="str">
            <v>X</v>
          </cell>
          <cell r="O517"/>
          <cell r="P517" t="str">
            <v>KMTCHPH0563587</v>
          </cell>
          <cell r="Q517" t="str">
            <v>ISH</v>
          </cell>
          <cell r="R517" t="str">
            <v>KMTC</v>
          </cell>
          <cell r="S517"/>
          <cell r="T517">
            <v>43311</v>
          </cell>
          <cell r="U517">
            <v>57</v>
          </cell>
          <cell r="V517" t="str">
            <v>SUNNY CLOVER 1815N</v>
          </cell>
        </row>
        <row r="518">
          <cell r="B518" t="str">
            <v>V181096</v>
          </cell>
          <cell r="C518" t="str">
            <v>V181098</v>
          </cell>
          <cell r="D518" t="str">
            <v>V181106</v>
          </cell>
          <cell r="E518" t="str">
            <v>V181107</v>
          </cell>
          <cell r="F518"/>
          <cell r="G518"/>
          <cell r="H518"/>
          <cell r="I518"/>
          <cell r="J518"/>
          <cell r="K518"/>
          <cell r="L518"/>
          <cell r="M518" t="str">
            <v>X</v>
          </cell>
          <cell r="N518" t="str">
            <v>X</v>
          </cell>
          <cell r="O518"/>
          <cell r="P518">
            <v>350810085668</v>
          </cell>
          <cell r="Q518" t="str">
            <v>TYO</v>
          </cell>
          <cell r="R518" t="str">
            <v>TSL</v>
          </cell>
          <cell r="S518"/>
          <cell r="T518">
            <v>43311</v>
          </cell>
          <cell r="U518">
            <v>57</v>
          </cell>
          <cell r="V518" t="str">
            <v>LANTAU BRIDE 18013N</v>
          </cell>
        </row>
        <row r="519">
          <cell r="B519" t="str">
            <v>V181099</v>
          </cell>
          <cell r="C519" t="str">
            <v>V181104</v>
          </cell>
          <cell r="D519" t="str">
            <v>V181111</v>
          </cell>
          <cell r="E519" t="str">
            <v>V181115</v>
          </cell>
          <cell r="F519"/>
          <cell r="G519"/>
          <cell r="H519"/>
          <cell r="I519"/>
          <cell r="J519"/>
          <cell r="K519"/>
          <cell r="L519"/>
          <cell r="M519" t="str">
            <v>X</v>
          </cell>
          <cell r="N519" t="str">
            <v>X</v>
          </cell>
          <cell r="O519"/>
          <cell r="P519" t="str">
            <v>SITWHPKW172517</v>
          </cell>
          <cell r="Q519" t="str">
            <v>KWS</v>
          </cell>
          <cell r="R519" t="str">
            <v>SITC</v>
          </cell>
          <cell r="S519"/>
          <cell r="T519">
            <v>43311</v>
          </cell>
          <cell r="U519">
            <v>57</v>
          </cell>
          <cell r="V519" t="str">
            <v>RESURGENCE 1819N</v>
          </cell>
        </row>
        <row r="520">
          <cell r="B520" t="str">
            <v>V181100</v>
          </cell>
          <cell r="C520" t="str">
            <v>V181110</v>
          </cell>
          <cell r="D520"/>
          <cell r="E520"/>
          <cell r="F520"/>
          <cell r="G520"/>
          <cell r="H520"/>
          <cell r="I520"/>
          <cell r="J520"/>
          <cell r="K520"/>
          <cell r="L520"/>
          <cell r="M520" t="str">
            <v>X</v>
          </cell>
          <cell r="N520" t="str">
            <v>X</v>
          </cell>
          <cell r="O520"/>
          <cell r="P520" t="str">
            <v>1008X03900</v>
          </cell>
          <cell r="Q520" t="str">
            <v>OSK</v>
          </cell>
          <cell r="R520" t="str">
            <v>WHL</v>
          </cell>
          <cell r="S520"/>
          <cell r="T520">
            <v>43309</v>
          </cell>
          <cell r="U520">
            <v>59</v>
          </cell>
          <cell r="V520" t="str">
            <v>PAOLA N023</v>
          </cell>
        </row>
        <row r="521">
          <cell r="B521" t="str">
            <v>V181101</v>
          </cell>
          <cell r="C521" t="str">
            <v>V181108</v>
          </cell>
          <cell r="D521"/>
          <cell r="E521"/>
          <cell r="F521"/>
          <cell r="G521"/>
          <cell r="H521"/>
          <cell r="I521"/>
          <cell r="J521"/>
          <cell r="K521"/>
          <cell r="L521"/>
          <cell r="M521" t="str">
            <v>X</v>
          </cell>
          <cell r="N521" t="str">
            <v>X</v>
          </cell>
          <cell r="O521"/>
          <cell r="P521" t="str">
            <v>SITWHPHT172506</v>
          </cell>
          <cell r="Q521" t="str">
            <v>HKT</v>
          </cell>
          <cell r="R521" t="str">
            <v>SITC</v>
          </cell>
          <cell r="S521"/>
          <cell r="T521">
            <v>43310</v>
          </cell>
          <cell r="U521">
            <v>58</v>
          </cell>
          <cell r="V521" t="str">
            <v>SITC YANTAI 1817N</v>
          </cell>
        </row>
        <row r="522">
          <cell r="B522" t="str">
            <v>V181102</v>
          </cell>
          <cell r="C522"/>
          <cell r="D522"/>
          <cell r="E522"/>
          <cell r="F522"/>
          <cell r="G522"/>
          <cell r="H522"/>
          <cell r="I522"/>
          <cell r="J522"/>
          <cell r="K522"/>
          <cell r="L522"/>
          <cell r="M522" t="str">
            <v>X</v>
          </cell>
          <cell r="N522" t="str">
            <v>X</v>
          </cell>
          <cell r="O522"/>
          <cell r="P522">
            <v>350810082964</v>
          </cell>
          <cell r="Q522" t="str">
            <v>TPE</v>
          </cell>
          <cell r="R522" t="str">
            <v>TSL</v>
          </cell>
          <cell r="S522"/>
          <cell r="T522">
            <v>43311</v>
          </cell>
          <cell r="U522">
            <v>57</v>
          </cell>
          <cell r="V522" t="str">
            <v>LANTAU BRIDE 18013N</v>
          </cell>
        </row>
        <row r="523">
          <cell r="B523" t="str">
            <v>V181103</v>
          </cell>
          <cell r="C523" t="str">
            <v>V181114</v>
          </cell>
          <cell r="D523"/>
          <cell r="E523"/>
          <cell r="F523"/>
          <cell r="G523"/>
          <cell r="H523"/>
          <cell r="I523"/>
          <cell r="J523"/>
          <cell r="K523"/>
          <cell r="L523"/>
          <cell r="M523" t="str">
            <v>X</v>
          </cell>
          <cell r="N523" t="str">
            <v>X</v>
          </cell>
          <cell r="O523"/>
          <cell r="P523" t="str">
            <v>SITWHPTK172504</v>
          </cell>
          <cell r="Q523" t="str">
            <v>TYO</v>
          </cell>
          <cell r="R523" t="str">
            <v>SITC</v>
          </cell>
          <cell r="S523"/>
          <cell r="T523">
            <v>43311</v>
          </cell>
          <cell r="U523">
            <v>57</v>
          </cell>
          <cell r="V523" t="str">
            <v>RESURGENCE 1819N</v>
          </cell>
        </row>
        <row r="524">
          <cell r="B524" t="str">
            <v>Z18092</v>
          </cell>
          <cell r="C524"/>
          <cell r="D524"/>
          <cell r="E524"/>
          <cell r="F524"/>
          <cell r="G524"/>
          <cell r="H524"/>
          <cell r="I524"/>
          <cell r="J524"/>
          <cell r="K524"/>
          <cell r="L524"/>
          <cell r="M524" t="str">
            <v>X</v>
          </cell>
          <cell r="N524" t="str">
            <v>X</v>
          </cell>
          <cell r="O524"/>
          <cell r="P524" t="str">
            <v>SITWHPTK173569</v>
          </cell>
          <cell r="Q524" t="str">
            <v>TYO</v>
          </cell>
          <cell r="R524" t="str">
            <v>SITC</v>
          </cell>
          <cell r="S524"/>
          <cell r="T524">
            <v>43307</v>
          </cell>
          <cell r="U524">
            <v>61</v>
          </cell>
          <cell r="V524" t="str">
            <v>SITC NAGOYA 1821N</v>
          </cell>
        </row>
        <row r="525">
          <cell r="B525" t="str">
            <v>V181105</v>
          </cell>
          <cell r="C525" t="str">
            <v>V181112</v>
          </cell>
          <cell r="D525" t="str">
            <v>Z18105</v>
          </cell>
          <cell r="E525"/>
          <cell r="F525"/>
          <cell r="G525"/>
          <cell r="H525"/>
          <cell r="I525"/>
          <cell r="J525"/>
          <cell r="K525"/>
          <cell r="L525"/>
          <cell r="M525" t="str">
            <v>X</v>
          </cell>
          <cell r="N525" t="str">
            <v>X</v>
          </cell>
          <cell r="O525"/>
          <cell r="P525" t="str">
            <v>SITWHPOS172505</v>
          </cell>
          <cell r="Q525" t="str">
            <v>OSK</v>
          </cell>
          <cell r="R525" t="str">
            <v>SITC</v>
          </cell>
          <cell r="S525"/>
          <cell r="T525">
            <v>43310</v>
          </cell>
          <cell r="U525">
            <v>58</v>
          </cell>
          <cell r="V525" t="str">
            <v>SITC YANTAI 1817N</v>
          </cell>
        </row>
        <row r="526">
          <cell r="B526" t="str">
            <v>V181109</v>
          </cell>
          <cell r="C526"/>
          <cell r="D526"/>
          <cell r="E526"/>
          <cell r="F526"/>
          <cell r="G526"/>
          <cell r="H526"/>
          <cell r="I526"/>
          <cell r="J526"/>
          <cell r="K526"/>
          <cell r="L526"/>
          <cell r="M526" t="str">
            <v>X</v>
          </cell>
          <cell r="N526" t="str">
            <v>X</v>
          </cell>
          <cell r="O526"/>
          <cell r="P526" t="str">
            <v>1008X04122</v>
          </cell>
          <cell r="Q526" t="str">
            <v>TYO</v>
          </cell>
          <cell r="R526" t="str">
            <v>WHL</v>
          </cell>
          <cell r="S526"/>
          <cell r="T526">
            <v>43309</v>
          </cell>
          <cell r="U526">
            <v>59</v>
          </cell>
          <cell r="V526" t="str">
            <v>PAOLA N023</v>
          </cell>
        </row>
        <row r="527">
          <cell r="B527" t="str">
            <v>V181116</v>
          </cell>
          <cell r="C527" t="str">
            <v>V181130</v>
          </cell>
          <cell r="D527" t="str">
            <v>Z18103</v>
          </cell>
          <cell r="E527"/>
          <cell r="F527"/>
          <cell r="G527"/>
          <cell r="H527"/>
          <cell r="I527"/>
          <cell r="J527"/>
          <cell r="M527" t="str">
            <v>X</v>
          </cell>
          <cell r="N527" t="str">
            <v>X</v>
          </cell>
          <cell r="O527"/>
          <cell r="P527" t="str">
            <v>1008X04089</v>
          </cell>
          <cell r="Q527" t="str">
            <v>TYO</v>
          </cell>
          <cell r="R527" t="str">
            <v>WHL</v>
          </cell>
          <cell r="S527"/>
          <cell r="T527">
            <v>43313</v>
          </cell>
          <cell r="U527">
            <v>55</v>
          </cell>
          <cell r="V527" t="str">
            <v>AS RAFAELA N001</v>
          </cell>
        </row>
        <row r="528">
          <cell r="B528" t="str">
            <v>V181117</v>
          </cell>
          <cell r="C528"/>
          <cell r="D528"/>
          <cell r="E528"/>
          <cell r="F528"/>
          <cell r="G528"/>
          <cell r="H528"/>
          <cell r="I528"/>
          <cell r="J528"/>
          <cell r="K528"/>
          <cell r="L528"/>
          <cell r="M528" t="str">
            <v>X</v>
          </cell>
          <cell r="N528" t="str">
            <v>X</v>
          </cell>
          <cell r="O528"/>
          <cell r="P528" t="str">
            <v>EGLV237800224223</v>
          </cell>
          <cell r="Q528" t="str">
            <v>TYO</v>
          </cell>
          <cell r="R528" t="str">
            <v>EGLV</v>
          </cell>
          <cell r="S528"/>
          <cell r="T528">
            <v>43314</v>
          </cell>
          <cell r="U528">
            <v>54</v>
          </cell>
          <cell r="V528" t="str">
            <v>WAN HAI 266 N396</v>
          </cell>
        </row>
        <row r="529">
          <cell r="B529" t="str">
            <v>V181118</v>
          </cell>
          <cell r="C529" t="str">
            <v>V181132</v>
          </cell>
          <cell r="D529" t="str">
            <v>V181137</v>
          </cell>
          <cell r="E529" t="str">
            <v>V181143</v>
          </cell>
          <cell r="F529" t="str">
            <v>V181151</v>
          </cell>
          <cell r="G529" t="str">
            <v>V181158</v>
          </cell>
          <cell r="H529"/>
          <cell r="I529"/>
          <cell r="J529"/>
          <cell r="K529"/>
          <cell r="L529"/>
          <cell r="M529" t="str">
            <v>X</v>
          </cell>
          <cell r="N529" t="str">
            <v>X</v>
          </cell>
          <cell r="O529"/>
          <cell r="P529" t="str">
            <v>SITWHPKW173443</v>
          </cell>
          <cell r="Q529" t="str">
            <v>KWS</v>
          </cell>
          <cell r="R529" t="str">
            <v>SITC</v>
          </cell>
          <cell r="S529"/>
          <cell r="T529">
            <v>43322</v>
          </cell>
          <cell r="U529">
            <v>46</v>
          </cell>
          <cell r="V529" t="str">
            <v>HYUNDAI HARMONY 1831N</v>
          </cell>
        </row>
        <row r="530">
          <cell r="B530" t="str">
            <v>V181119</v>
          </cell>
          <cell r="C530"/>
          <cell r="D530"/>
          <cell r="E530"/>
          <cell r="F530"/>
          <cell r="G530"/>
          <cell r="H530"/>
          <cell r="I530"/>
          <cell r="J530"/>
          <cell r="K530"/>
          <cell r="L530"/>
          <cell r="M530" t="str">
            <v>X</v>
          </cell>
          <cell r="N530" t="str">
            <v>X</v>
          </cell>
          <cell r="O530"/>
          <cell r="P530" t="str">
            <v>EGLV237800224231</v>
          </cell>
          <cell r="Q530" t="str">
            <v>OSK</v>
          </cell>
          <cell r="R530" t="str">
            <v>EGLV</v>
          </cell>
          <cell r="S530"/>
          <cell r="T530">
            <v>43314</v>
          </cell>
          <cell r="U530">
            <v>54</v>
          </cell>
          <cell r="V530" t="str">
            <v>WAN HAI 266 N396</v>
          </cell>
        </row>
        <row r="531">
          <cell r="B531" t="str">
            <v>V181120</v>
          </cell>
          <cell r="C531" t="str">
            <v>V181125</v>
          </cell>
          <cell r="D531" t="str">
            <v>V181127</v>
          </cell>
          <cell r="E531" t="str">
            <v>Z18083</v>
          </cell>
          <cell r="F531" t="str">
            <v>Z18084</v>
          </cell>
          <cell r="G531" t="str">
            <v>Z18088</v>
          </cell>
          <cell r="H531"/>
          <cell r="I531"/>
          <cell r="J531"/>
          <cell r="K531"/>
          <cell r="L531"/>
          <cell r="M531" t="str">
            <v>X</v>
          </cell>
          <cell r="N531" t="str">
            <v>X</v>
          </cell>
          <cell r="O531"/>
          <cell r="P531" t="str">
            <v>SITWHPKW172561</v>
          </cell>
          <cell r="Q531" t="str">
            <v>KWS</v>
          </cell>
          <cell r="R531" t="str">
            <v>SITC</v>
          </cell>
          <cell r="S531"/>
          <cell r="T531">
            <v>43322</v>
          </cell>
          <cell r="U531">
            <v>46</v>
          </cell>
          <cell r="V531" t="str">
            <v>HYUNDAI HARMONY 1831N</v>
          </cell>
        </row>
        <row r="532">
          <cell r="B532" t="str">
            <v>V181121</v>
          </cell>
          <cell r="C532" t="str">
            <v>V181123</v>
          </cell>
          <cell r="D532" t="str">
            <v>V181126</v>
          </cell>
          <cell r="E532" t="str">
            <v>V181128</v>
          </cell>
          <cell r="F532" t="str">
            <v>Z18085</v>
          </cell>
          <cell r="G532"/>
          <cell r="H532"/>
          <cell r="I532"/>
          <cell r="J532"/>
          <cell r="K532"/>
          <cell r="L532"/>
          <cell r="M532" t="str">
            <v>X</v>
          </cell>
          <cell r="N532" t="str">
            <v>X</v>
          </cell>
          <cell r="O532"/>
          <cell r="P532" t="str">
            <v>1008X03907</v>
          </cell>
          <cell r="Q532" t="str">
            <v>OSK</v>
          </cell>
          <cell r="R532" t="str">
            <v>WHL</v>
          </cell>
          <cell r="S532"/>
          <cell r="T532">
            <v>43313</v>
          </cell>
          <cell r="U532">
            <v>55</v>
          </cell>
          <cell r="V532" t="str">
            <v>AS RAFAELA N001</v>
          </cell>
        </row>
        <row r="533">
          <cell r="B533" t="str">
            <v>V181133</v>
          </cell>
          <cell r="C533" t="str">
            <v>Z18094</v>
          </cell>
          <cell r="D533" t="str">
            <v>Z18095</v>
          </cell>
          <cell r="E533"/>
          <cell r="F533"/>
          <cell r="G533"/>
          <cell r="H533"/>
          <cell r="I533"/>
          <cell r="J533"/>
          <cell r="K533"/>
          <cell r="L533"/>
          <cell r="M533" t="str">
            <v>X</v>
          </cell>
          <cell r="N533" t="str">
            <v>X</v>
          </cell>
          <cell r="O533"/>
          <cell r="P533" t="str">
            <v>1008X04098</v>
          </cell>
          <cell r="Q533" t="str">
            <v>OSK</v>
          </cell>
          <cell r="R533" t="str">
            <v>WHL</v>
          </cell>
          <cell r="S533"/>
          <cell r="T533">
            <v>43313</v>
          </cell>
          <cell r="U533">
            <v>55</v>
          </cell>
          <cell r="V533" t="str">
            <v>AS RAFAELA N001</v>
          </cell>
        </row>
        <row r="534">
          <cell r="B534" t="str">
            <v>V181122</v>
          </cell>
          <cell r="C534" t="str">
            <v>Z18086</v>
          </cell>
          <cell r="D534" t="str">
            <v>Z18087</v>
          </cell>
          <cell r="E534"/>
          <cell r="F534"/>
          <cell r="G534"/>
          <cell r="H534"/>
          <cell r="I534"/>
          <cell r="J534"/>
          <cell r="K534"/>
          <cell r="L534"/>
          <cell r="M534" t="str">
            <v>X</v>
          </cell>
          <cell r="N534" t="str">
            <v>X</v>
          </cell>
          <cell r="O534"/>
          <cell r="P534" t="str">
            <v>1008X03904</v>
          </cell>
          <cell r="Q534" t="str">
            <v>TYO</v>
          </cell>
          <cell r="R534" t="str">
            <v>WHL</v>
          </cell>
          <cell r="S534"/>
          <cell r="T534">
            <v>43314</v>
          </cell>
          <cell r="U534">
            <v>54</v>
          </cell>
          <cell r="V534" t="str">
            <v>WAN HAI 266 N396</v>
          </cell>
        </row>
        <row r="535">
          <cell r="B535" t="str">
            <v>V181124</v>
          </cell>
          <cell r="C535"/>
          <cell r="D535"/>
          <cell r="E535"/>
          <cell r="F535"/>
          <cell r="G535"/>
          <cell r="H535"/>
          <cell r="I535"/>
          <cell r="J535"/>
          <cell r="K535"/>
          <cell r="L535"/>
          <cell r="M535" t="str">
            <v>X</v>
          </cell>
          <cell r="N535" t="str">
            <v>X</v>
          </cell>
          <cell r="O535"/>
          <cell r="P535" t="str">
            <v>1008X03906</v>
          </cell>
          <cell r="Q535" t="str">
            <v>HKT</v>
          </cell>
          <cell r="R535" t="str">
            <v>WHL</v>
          </cell>
          <cell r="S535"/>
          <cell r="T535">
            <v>43313</v>
          </cell>
          <cell r="U535">
            <v>55</v>
          </cell>
          <cell r="V535" t="str">
            <v>WAN HAI 203 N466</v>
          </cell>
        </row>
        <row r="536">
          <cell r="B536" t="str">
            <v>V181129</v>
          </cell>
          <cell r="C536" t="str">
            <v>V181140</v>
          </cell>
          <cell r="D536"/>
          <cell r="E536"/>
          <cell r="F536"/>
          <cell r="G536"/>
          <cell r="H536"/>
          <cell r="I536"/>
          <cell r="J536"/>
          <cell r="K536"/>
          <cell r="L536"/>
          <cell r="M536" t="str">
            <v>X</v>
          </cell>
          <cell r="N536" t="str">
            <v>X</v>
          </cell>
          <cell r="O536"/>
          <cell r="P536" t="str">
            <v>KMTCHPH0564961</v>
          </cell>
          <cell r="Q536" t="str">
            <v>ISH</v>
          </cell>
          <cell r="R536" t="str">
            <v>KMTC</v>
          </cell>
          <cell r="S536"/>
          <cell r="T536">
            <v>43317</v>
          </cell>
          <cell r="U536">
            <v>51</v>
          </cell>
          <cell r="V536" t="str">
            <v>SUNNY IRIS 1822N</v>
          </cell>
        </row>
        <row r="537">
          <cell r="B537" t="str">
            <v>V181131</v>
          </cell>
          <cell r="C537"/>
          <cell r="D537"/>
          <cell r="E537"/>
          <cell r="F537"/>
          <cell r="G537"/>
          <cell r="H537"/>
          <cell r="I537"/>
          <cell r="J537"/>
          <cell r="K537"/>
          <cell r="L537"/>
          <cell r="M537" t="str">
            <v>X</v>
          </cell>
          <cell r="N537" t="str">
            <v>X</v>
          </cell>
          <cell r="O537"/>
          <cell r="P537">
            <v>350810086924</v>
          </cell>
          <cell r="Q537" t="str">
            <v>TYO</v>
          </cell>
          <cell r="R537" t="str">
            <v>TSL</v>
          </cell>
          <cell r="S537"/>
          <cell r="T537">
            <v>43313</v>
          </cell>
          <cell r="U537">
            <v>55</v>
          </cell>
          <cell r="V537" t="str">
            <v>MARCLIFF 18013N</v>
          </cell>
        </row>
        <row r="538">
          <cell r="B538" t="str">
            <v>V181134</v>
          </cell>
          <cell r="C538" t="str">
            <v>Z18101</v>
          </cell>
          <cell r="D538" t="str">
            <v>Z18104</v>
          </cell>
          <cell r="E538"/>
          <cell r="F538"/>
          <cell r="G538"/>
          <cell r="H538"/>
          <cell r="I538"/>
          <cell r="J538"/>
          <cell r="K538"/>
          <cell r="L538"/>
          <cell r="M538" t="str">
            <v>X</v>
          </cell>
          <cell r="N538" t="str">
            <v>X</v>
          </cell>
          <cell r="O538"/>
          <cell r="P538">
            <v>350810086931</v>
          </cell>
          <cell r="Q538" t="str">
            <v>HKT</v>
          </cell>
          <cell r="R538" t="str">
            <v>TSL</v>
          </cell>
          <cell r="S538"/>
          <cell r="T538">
            <v>43313</v>
          </cell>
          <cell r="U538">
            <v>55</v>
          </cell>
          <cell r="V538" t="str">
            <v>MARCLIFF 18013N</v>
          </cell>
        </row>
        <row r="539">
          <cell r="B539" t="str">
            <v>V181135</v>
          </cell>
          <cell r="C539" t="str">
            <v>V181136</v>
          </cell>
          <cell r="D539" t="str">
            <v>V181147</v>
          </cell>
          <cell r="E539"/>
          <cell r="F539"/>
          <cell r="G539"/>
          <cell r="H539"/>
          <cell r="I539"/>
          <cell r="J539"/>
          <cell r="K539"/>
          <cell r="L539"/>
          <cell r="M539" t="str">
            <v>X</v>
          </cell>
          <cell r="N539" t="str">
            <v>X</v>
          </cell>
          <cell r="O539"/>
          <cell r="P539" t="str">
            <v>1008X04090</v>
          </cell>
          <cell r="Q539" t="str">
            <v>TYO</v>
          </cell>
          <cell r="R539" t="str">
            <v>WHL</v>
          </cell>
          <cell r="S539"/>
          <cell r="T539">
            <v>43315</v>
          </cell>
          <cell r="U539">
            <v>53</v>
          </cell>
          <cell r="V539" t="str">
            <v>WAN HAI 172 S297</v>
          </cell>
        </row>
        <row r="540">
          <cell r="B540" t="str">
            <v>V181138</v>
          </cell>
          <cell r="C540" t="str">
            <v>V181144</v>
          </cell>
          <cell r="D540" t="str">
            <v>Z18098</v>
          </cell>
          <cell r="E540"/>
          <cell r="F540"/>
          <cell r="G540"/>
          <cell r="H540"/>
          <cell r="I540"/>
          <cell r="J540"/>
          <cell r="K540"/>
          <cell r="L540"/>
          <cell r="M540" t="str">
            <v>X</v>
          </cell>
          <cell r="N540" t="str">
            <v>X</v>
          </cell>
          <cell r="O540"/>
          <cell r="P540" t="str">
            <v>1008X04094</v>
          </cell>
          <cell r="Q540" t="str">
            <v>OSK</v>
          </cell>
          <cell r="R540" t="str">
            <v>WHL</v>
          </cell>
          <cell r="S540"/>
          <cell r="T540">
            <v>43316</v>
          </cell>
          <cell r="U540">
            <v>52</v>
          </cell>
          <cell r="V540" t="str">
            <v>PAOLA N024</v>
          </cell>
        </row>
        <row r="541">
          <cell r="B541" t="str">
            <v>V181139</v>
          </cell>
          <cell r="C541"/>
          <cell r="D541"/>
          <cell r="E541"/>
          <cell r="F541"/>
          <cell r="G541"/>
          <cell r="H541"/>
          <cell r="I541"/>
          <cell r="J541"/>
          <cell r="K541"/>
          <cell r="L541"/>
          <cell r="M541" t="str">
            <v>X</v>
          </cell>
          <cell r="N541" t="str">
            <v>X</v>
          </cell>
          <cell r="O541"/>
          <cell r="P541">
            <v>350810086955</v>
          </cell>
          <cell r="Q541" t="str">
            <v>TPE</v>
          </cell>
          <cell r="R541" t="str">
            <v>TSL</v>
          </cell>
          <cell r="S541"/>
          <cell r="T541">
            <v>43320</v>
          </cell>
          <cell r="U541">
            <v>48</v>
          </cell>
          <cell r="V541" t="str">
            <v>HANSE ENDURANCE 18012N</v>
          </cell>
        </row>
        <row r="542">
          <cell r="B542" t="str">
            <v>V181141</v>
          </cell>
          <cell r="C542" t="str">
            <v>V181148</v>
          </cell>
          <cell r="D542" t="str">
            <v>V181149</v>
          </cell>
          <cell r="E542" t="str">
            <v>V181150</v>
          </cell>
          <cell r="F542" t="str">
            <v>V181156</v>
          </cell>
          <cell r="G542" t="str">
            <v>V181157</v>
          </cell>
          <cell r="H542"/>
          <cell r="I542"/>
          <cell r="J542"/>
          <cell r="K542"/>
          <cell r="L542"/>
          <cell r="M542" t="str">
            <v>X</v>
          </cell>
          <cell r="N542" t="str">
            <v>X</v>
          </cell>
          <cell r="O542"/>
          <cell r="P542" t="str">
            <v>SITWHPTK173450</v>
          </cell>
          <cell r="Q542" t="str">
            <v>TYO</v>
          </cell>
          <cell r="R542" t="str">
            <v>SITC</v>
          </cell>
          <cell r="S542"/>
          <cell r="T542">
            <v>43322</v>
          </cell>
          <cell r="U542">
            <v>46</v>
          </cell>
          <cell r="V542" t="str">
            <v>HYUNDAI HARMONY 1831N</v>
          </cell>
        </row>
        <row r="543">
          <cell r="B543" t="str">
            <v>V181142</v>
          </cell>
          <cell r="C543"/>
          <cell r="D543"/>
          <cell r="E543"/>
          <cell r="F543"/>
          <cell r="G543"/>
          <cell r="H543"/>
          <cell r="I543"/>
          <cell r="J543"/>
          <cell r="K543"/>
          <cell r="L543"/>
          <cell r="M543" t="str">
            <v>X</v>
          </cell>
          <cell r="N543" t="str">
            <v>X</v>
          </cell>
          <cell r="O543"/>
          <cell r="P543" t="str">
            <v>EGLV237800224568</v>
          </cell>
          <cell r="Q543" t="str">
            <v>TYO</v>
          </cell>
          <cell r="R543" t="str">
            <v>EGLV</v>
          </cell>
          <cell r="S543"/>
          <cell r="T543">
            <v>43316</v>
          </cell>
          <cell r="U543">
            <v>52</v>
          </cell>
          <cell r="V543" t="str">
            <v>UNI-ACCORD 0592-562N</v>
          </cell>
        </row>
        <row r="544">
          <cell r="B544" t="str">
            <v>V181145</v>
          </cell>
          <cell r="C544" t="str">
            <v>V181146</v>
          </cell>
          <cell r="D544" t="str">
            <v>V181154</v>
          </cell>
          <cell r="E544" t="str">
            <v>V181191</v>
          </cell>
          <cell r="F544"/>
          <cell r="G544"/>
          <cell r="H544"/>
          <cell r="I544"/>
          <cell r="J544"/>
          <cell r="K544"/>
          <cell r="L544"/>
          <cell r="M544" t="str">
            <v>X</v>
          </cell>
          <cell r="N544" t="str">
            <v>X</v>
          </cell>
          <cell r="O544"/>
          <cell r="P544" t="str">
            <v>SITWHPHT173452</v>
          </cell>
          <cell r="Q544" t="str">
            <v>HKT</v>
          </cell>
          <cell r="R544" t="str">
            <v>SITC</v>
          </cell>
          <cell r="S544"/>
          <cell r="T544">
            <v>43317</v>
          </cell>
          <cell r="U544">
            <v>51</v>
          </cell>
          <cell r="V544" t="str">
            <v>HANSE ENERGY 1821N</v>
          </cell>
        </row>
        <row r="545">
          <cell r="B545" t="str">
            <v>V181152</v>
          </cell>
          <cell r="C545" t="str">
            <v>V181153</v>
          </cell>
          <cell r="D545" t="str">
            <v>V181159</v>
          </cell>
          <cell r="E545"/>
          <cell r="F545"/>
          <cell r="G545"/>
          <cell r="H545"/>
          <cell r="I545"/>
          <cell r="J545"/>
          <cell r="K545"/>
          <cell r="L545"/>
          <cell r="M545" t="str">
            <v>X</v>
          </cell>
          <cell r="N545" t="str">
            <v>X</v>
          </cell>
          <cell r="O545"/>
          <cell r="P545" t="str">
            <v>SITWHPOS174211</v>
          </cell>
          <cell r="Q545" t="str">
            <v>OSK</v>
          </cell>
          <cell r="R545" t="str">
            <v>SITC</v>
          </cell>
          <cell r="S545"/>
          <cell r="T545">
            <v>43317</v>
          </cell>
          <cell r="U545">
            <v>51</v>
          </cell>
          <cell r="V545" t="str">
            <v>HANSE ENERGY 1821N</v>
          </cell>
        </row>
        <row r="546">
          <cell r="B546" t="str">
            <v>Z18093</v>
          </cell>
          <cell r="C546" t="str">
            <v>Z18096</v>
          </cell>
          <cell r="D546" t="str">
            <v>Z18097</v>
          </cell>
          <cell r="E546" t="str">
            <v>Z18100</v>
          </cell>
          <cell r="F546" t="str">
            <v>Z18102</v>
          </cell>
          <cell r="G546"/>
          <cell r="H546"/>
          <cell r="I546"/>
          <cell r="J546"/>
          <cell r="K546"/>
          <cell r="L546"/>
          <cell r="M546" t="str">
            <v>X</v>
          </cell>
          <cell r="N546" t="str">
            <v>X</v>
          </cell>
          <cell r="O546"/>
          <cell r="P546" t="str">
            <v>SITWHPKW173446</v>
          </cell>
          <cell r="Q546" t="str">
            <v>KWS</v>
          </cell>
          <cell r="R546" t="str">
            <v>SITC</v>
          </cell>
          <cell r="S546"/>
          <cell r="T546">
            <v>43322</v>
          </cell>
          <cell r="U546">
            <v>46</v>
          </cell>
          <cell r="V546" t="str">
            <v>HYUNDAI HARMONY 1831N</v>
          </cell>
        </row>
        <row r="547">
          <cell r="B547" t="str">
            <v>Z18099</v>
          </cell>
          <cell r="C547"/>
          <cell r="D547"/>
          <cell r="E547"/>
          <cell r="F547"/>
          <cell r="G547"/>
          <cell r="H547"/>
          <cell r="I547"/>
          <cell r="J547"/>
          <cell r="K547"/>
          <cell r="L547"/>
          <cell r="M547" t="str">
            <v>X</v>
          </cell>
          <cell r="N547" t="str">
            <v>X</v>
          </cell>
          <cell r="O547"/>
          <cell r="P547">
            <v>350810086948</v>
          </cell>
          <cell r="Q547" t="str">
            <v>HKT</v>
          </cell>
          <cell r="R547" t="str">
            <v>TSL</v>
          </cell>
          <cell r="S547"/>
          <cell r="T547">
            <v>43318</v>
          </cell>
          <cell r="U547">
            <v>50</v>
          </cell>
          <cell r="V547" t="str">
            <v>HANSE ENDURANCE 18012N</v>
          </cell>
        </row>
        <row r="548">
          <cell r="B548" t="str">
            <v>V181155</v>
          </cell>
          <cell r="C548"/>
          <cell r="D548"/>
          <cell r="E548"/>
          <cell r="F548"/>
          <cell r="G548"/>
          <cell r="H548"/>
          <cell r="I548"/>
          <cell r="J548"/>
          <cell r="K548"/>
          <cell r="L548"/>
          <cell r="M548" t="str">
            <v>X</v>
          </cell>
          <cell r="N548" t="str">
            <v>X</v>
          </cell>
          <cell r="O548"/>
          <cell r="P548" t="str">
            <v>SNL8HPCL001287</v>
          </cell>
          <cell r="Q548" t="str">
            <v>SHA</v>
          </cell>
          <cell r="R548" t="str">
            <v>SNL</v>
          </cell>
          <cell r="S548"/>
          <cell r="T548">
            <v>43319</v>
          </cell>
          <cell r="U548">
            <v>49</v>
          </cell>
          <cell r="V548" t="str">
            <v>WISDOM GRACE 1829N</v>
          </cell>
        </row>
        <row r="549">
          <cell r="B549" t="str">
            <v>V181160</v>
          </cell>
          <cell r="C549" t="str">
            <v>V181163</v>
          </cell>
          <cell r="D549" t="str">
            <v>V181167</v>
          </cell>
          <cell r="E549" t="str">
            <v>V181173</v>
          </cell>
          <cell r="F549" t="str">
            <v>V181177</v>
          </cell>
          <cell r="G549" t="str">
            <v>Z18109</v>
          </cell>
          <cell r="M549" t="str">
            <v>X</v>
          </cell>
          <cell r="N549" t="str">
            <v>X</v>
          </cell>
          <cell r="O549"/>
          <cell r="P549" t="str">
            <v>SITWHPKW173447</v>
          </cell>
          <cell r="Q549" t="str">
            <v>KWS</v>
          </cell>
          <cell r="R549" t="str">
            <v>SITC</v>
          </cell>
          <cell r="S549"/>
          <cell r="T549">
            <v>43322</v>
          </cell>
          <cell r="U549">
            <v>46</v>
          </cell>
          <cell r="V549" t="str">
            <v xml:space="preserve">HYUNDAI HARMONY 1831N </v>
          </cell>
        </row>
        <row r="550">
          <cell r="B550" t="str">
            <v>V181161</v>
          </cell>
          <cell r="C550" t="str">
            <v>V181162</v>
          </cell>
          <cell r="D550" t="str">
            <v>V181168</v>
          </cell>
          <cell r="E550" t="str">
            <v>V181174</v>
          </cell>
          <cell r="F550" t="str">
            <v>Z18108</v>
          </cell>
          <cell r="G550"/>
          <cell r="H550"/>
          <cell r="I550"/>
          <cell r="J550"/>
          <cell r="K550"/>
          <cell r="L550"/>
          <cell r="M550" t="str">
            <v>X</v>
          </cell>
          <cell r="N550" t="str">
            <v>X</v>
          </cell>
          <cell r="O550"/>
          <cell r="P550" t="str">
            <v>1008X04109</v>
          </cell>
          <cell r="Q550" t="str">
            <v>OSK</v>
          </cell>
          <cell r="R550" t="str">
            <v>WHL</v>
          </cell>
          <cell r="S550"/>
          <cell r="T550">
            <v>43320</v>
          </cell>
          <cell r="U550">
            <v>48</v>
          </cell>
          <cell r="V550" t="str">
            <v xml:space="preserve"> AS FRIDA N006</v>
          </cell>
        </row>
        <row r="551">
          <cell r="B551" t="str">
            <v>Z18111</v>
          </cell>
          <cell r="C551"/>
          <cell r="D551"/>
          <cell r="E551"/>
          <cell r="F551"/>
          <cell r="G551"/>
          <cell r="H551"/>
          <cell r="I551"/>
          <cell r="J551"/>
          <cell r="K551"/>
          <cell r="L551"/>
          <cell r="M551" t="str">
            <v>X</v>
          </cell>
          <cell r="N551" t="str">
            <v>X</v>
          </cell>
          <cell r="O551"/>
          <cell r="P551" t="str">
            <v>1008X04330</v>
          </cell>
          <cell r="Q551" t="str">
            <v>TYO</v>
          </cell>
          <cell r="R551" t="str">
            <v>WHL</v>
          </cell>
          <cell r="S551"/>
          <cell r="T551">
            <v>43320</v>
          </cell>
          <cell r="U551">
            <v>48</v>
          </cell>
          <cell r="V551" t="str">
            <v>AS FRIDA N006</v>
          </cell>
        </row>
        <row r="552">
          <cell r="B552" t="str">
            <v>V181164</v>
          </cell>
          <cell r="C552"/>
          <cell r="D552"/>
          <cell r="E552"/>
          <cell r="F552"/>
          <cell r="G552"/>
          <cell r="H552"/>
          <cell r="I552"/>
          <cell r="J552"/>
          <cell r="K552"/>
          <cell r="L552"/>
          <cell r="M552" t="str">
            <v>X</v>
          </cell>
          <cell r="N552" t="str">
            <v>X</v>
          </cell>
          <cell r="O552"/>
          <cell r="P552" t="str">
            <v>KMTCHPH0574076</v>
          </cell>
          <cell r="Q552" t="str">
            <v>ISH</v>
          </cell>
          <cell r="R552" t="str">
            <v>KMTC</v>
          </cell>
          <cell r="S552"/>
          <cell r="T552">
            <v>43321</v>
          </cell>
          <cell r="U552">
            <v>47</v>
          </cell>
          <cell r="V552" t="str">
            <v>SUNNY CALLA 1814N</v>
          </cell>
        </row>
        <row r="553">
          <cell r="B553" t="str">
            <v>V181165</v>
          </cell>
          <cell r="C553" t="str">
            <v>V181166</v>
          </cell>
          <cell r="D553"/>
          <cell r="E553"/>
          <cell r="F553"/>
          <cell r="G553"/>
          <cell r="H553"/>
          <cell r="I553"/>
          <cell r="J553"/>
          <cell r="K553"/>
          <cell r="L553"/>
          <cell r="M553" t="str">
            <v>X</v>
          </cell>
          <cell r="N553" t="str">
            <v>X</v>
          </cell>
          <cell r="O553"/>
          <cell r="P553" t="str">
            <v>EGLV237800240440</v>
          </cell>
          <cell r="Q553" t="str">
            <v>TYO</v>
          </cell>
          <cell r="R553" t="str">
            <v>EGLV</v>
          </cell>
          <cell r="S553"/>
          <cell r="T553">
            <v>43319</v>
          </cell>
          <cell r="U553">
            <v>49</v>
          </cell>
          <cell r="V553" t="str">
            <v>UNI-PREMIER 0593-258N</v>
          </cell>
        </row>
        <row r="554">
          <cell r="B554" t="str">
            <v>V181169</v>
          </cell>
          <cell r="C554" t="str">
            <v>V181176</v>
          </cell>
          <cell r="D554"/>
          <cell r="E554"/>
          <cell r="F554"/>
          <cell r="G554"/>
          <cell r="H554"/>
          <cell r="I554"/>
          <cell r="J554"/>
          <cell r="K554"/>
          <cell r="L554"/>
          <cell r="M554" t="str">
            <v>X</v>
          </cell>
          <cell r="N554" t="str">
            <v>X</v>
          </cell>
          <cell r="O554"/>
          <cell r="P554" t="str">
            <v>SITWHPTK174203</v>
          </cell>
          <cell r="Q554" t="str">
            <v>TYO</v>
          </cell>
          <cell r="R554" t="str">
            <v>SITC</v>
          </cell>
          <cell r="S554"/>
          <cell r="T554">
            <v>43322</v>
          </cell>
          <cell r="U554">
            <v>46</v>
          </cell>
          <cell r="V554" t="str">
            <v xml:space="preserve">HYUNDAI HARMONY 1831N </v>
          </cell>
        </row>
        <row r="555">
          <cell r="B555" t="str">
            <v>Z18107</v>
          </cell>
          <cell r="C555"/>
          <cell r="D555"/>
          <cell r="E555"/>
          <cell r="F555"/>
          <cell r="G555"/>
          <cell r="H555"/>
          <cell r="I555"/>
          <cell r="J555"/>
          <cell r="K555"/>
          <cell r="L555"/>
          <cell r="M555" t="str">
            <v>X</v>
          </cell>
          <cell r="N555" t="str">
            <v>X</v>
          </cell>
          <cell r="O555"/>
          <cell r="P555" t="str">
            <v>1008X04306</v>
          </cell>
          <cell r="Q555" t="str">
            <v>HKT</v>
          </cell>
          <cell r="R555" t="str">
            <v>WHL</v>
          </cell>
          <cell r="S555"/>
          <cell r="T555">
            <v>43321</v>
          </cell>
          <cell r="U555">
            <v>47</v>
          </cell>
          <cell r="V555" t="str">
            <v>WAN HAI 213 N332</v>
          </cell>
        </row>
        <row r="556">
          <cell r="B556" t="str">
            <v>Z18110</v>
          </cell>
          <cell r="C556"/>
          <cell r="D556"/>
          <cell r="E556"/>
          <cell r="F556"/>
          <cell r="G556"/>
          <cell r="H556"/>
          <cell r="I556"/>
          <cell r="J556"/>
          <cell r="K556"/>
          <cell r="L556"/>
          <cell r="M556" t="str">
            <v>X</v>
          </cell>
          <cell r="N556" t="str">
            <v>X</v>
          </cell>
          <cell r="O556"/>
          <cell r="P556" t="str">
            <v>1008X04265</v>
          </cell>
          <cell r="Q556" t="str">
            <v>TYO</v>
          </cell>
          <cell r="R556" t="str">
            <v>WHL</v>
          </cell>
          <cell r="S556"/>
          <cell r="T556">
            <v>43321</v>
          </cell>
          <cell r="U556">
            <v>47</v>
          </cell>
          <cell r="V556" t="str">
            <v>WAN HAI 171 S247</v>
          </cell>
        </row>
        <row r="557">
          <cell r="B557" t="str">
            <v>V181170</v>
          </cell>
          <cell r="C557"/>
          <cell r="D557"/>
          <cell r="E557"/>
          <cell r="F557"/>
          <cell r="G557"/>
          <cell r="H557"/>
          <cell r="I557"/>
          <cell r="J557"/>
          <cell r="K557"/>
          <cell r="L557"/>
          <cell r="M557" t="str">
            <v>X</v>
          </cell>
          <cell r="N557" t="str">
            <v>X</v>
          </cell>
          <cell r="O557"/>
          <cell r="P557">
            <v>350810091164</v>
          </cell>
          <cell r="Q557" t="str">
            <v>HKT</v>
          </cell>
          <cell r="R557" t="str">
            <v>TSL</v>
          </cell>
          <cell r="S557"/>
          <cell r="T557">
            <v>43320</v>
          </cell>
          <cell r="U557">
            <v>48</v>
          </cell>
          <cell r="V557" t="str">
            <v>LANTAU BRIDGE 18004N</v>
          </cell>
        </row>
        <row r="558">
          <cell r="B558" t="str">
            <v>V181171</v>
          </cell>
          <cell r="C558"/>
          <cell r="D558"/>
          <cell r="E558"/>
          <cell r="F558"/>
          <cell r="G558"/>
          <cell r="H558"/>
          <cell r="I558"/>
          <cell r="J558"/>
          <cell r="K558"/>
          <cell r="L558"/>
          <cell r="M558" t="str">
            <v>X</v>
          </cell>
          <cell r="N558" t="str">
            <v>X</v>
          </cell>
          <cell r="O558"/>
          <cell r="P558">
            <v>350810091171</v>
          </cell>
          <cell r="Q558" t="str">
            <v>TYO</v>
          </cell>
          <cell r="R558" t="str">
            <v>TSL</v>
          </cell>
          <cell r="S558"/>
          <cell r="T558">
            <v>43320</v>
          </cell>
          <cell r="U558">
            <v>48</v>
          </cell>
          <cell r="V558" t="str">
            <v>LANTAU BRIDGE 18004N</v>
          </cell>
        </row>
        <row r="559">
          <cell r="B559" t="str">
            <v>V181172</v>
          </cell>
          <cell r="C559" t="str">
            <v>Z18106</v>
          </cell>
          <cell r="D559"/>
          <cell r="E559"/>
          <cell r="F559"/>
          <cell r="G559"/>
          <cell r="H559"/>
          <cell r="I559"/>
          <cell r="J559"/>
          <cell r="K559"/>
          <cell r="L559"/>
          <cell r="M559" t="str">
            <v>X</v>
          </cell>
          <cell r="N559" t="str">
            <v>X</v>
          </cell>
          <cell r="O559"/>
          <cell r="P559" t="str">
            <v>EGLV237800240466</v>
          </cell>
          <cell r="Q559" t="str">
            <v>TYO</v>
          </cell>
          <cell r="R559" t="str">
            <v>EGLV</v>
          </cell>
          <cell r="S559"/>
          <cell r="T559">
            <v>43323</v>
          </cell>
          <cell r="U559">
            <v>45</v>
          </cell>
          <cell r="V559" t="str">
            <v>UNI-ACCORD 0594-563N</v>
          </cell>
        </row>
        <row r="560">
          <cell r="B560" t="str">
            <v>V181175</v>
          </cell>
          <cell r="C560" t="str">
            <v>Z18116</v>
          </cell>
          <cell r="D560"/>
          <cell r="E560"/>
          <cell r="F560"/>
          <cell r="G560"/>
          <cell r="H560"/>
          <cell r="I560"/>
          <cell r="J560"/>
          <cell r="K560"/>
          <cell r="L560"/>
          <cell r="M560" t="str">
            <v>X</v>
          </cell>
          <cell r="N560" t="str">
            <v>X</v>
          </cell>
          <cell r="O560"/>
          <cell r="P560" t="str">
            <v>KMTCHPH0576297</v>
          </cell>
          <cell r="Q560" t="str">
            <v>ISH</v>
          </cell>
          <cell r="R560" t="str">
            <v>KMTC</v>
          </cell>
          <cell r="S560"/>
          <cell r="T560">
            <v>43327</v>
          </cell>
          <cell r="U560">
            <v>41</v>
          </cell>
          <cell r="V560" t="str">
            <v>KOTA WANGSA 015N</v>
          </cell>
        </row>
        <row r="561">
          <cell r="B561" t="str">
            <v>Z18112</v>
          </cell>
          <cell r="C561" t="str">
            <v>Z18117</v>
          </cell>
          <cell r="D561"/>
          <cell r="E561"/>
          <cell r="F561"/>
          <cell r="G561"/>
          <cell r="H561"/>
          <cell r="I561"/>
          <cell r="J561"/>
          <cell r="K561"/>
          <cell r="L561"/>
          <cell r="M561" t="str">
            <v>X</v>
          </cell>
          <cell r="N561" t="str">
            <v>X</v>
          </cell>
          <cell r="O561"/>
          <cell r="P561" t="str">
            <v>EGLV237800244950</v>
          </cell>
          <cell r="Q561" t="str">
            <v>OSK</v>
          </cell>
          <cell r="R561" t="str">
            <v>EGLV</v>
          </cell>
          <cell r="S561"/>
          <cell r="T561">
            <v>43323</v>
          </cell>
          <cell r="U561">
            <v>45</v>
          </cell>
          <cell r="V561" t="str">
            <v>UNI-ACCORD 0594-563N</v>
          </cell>
        </row>
        <row r="562">
          <cell r="B562" t="str">
            <v>Z18122</v>
          </cell>
          <cell r="C562"/>
          <cell r="D562"/>
          <cell r="E562"/>
          <cell r="F562"/>
          <cell r="G562"/>
          <cell r="H562"/>
          <cell r="I562"/>
          <cell r="J562"/>
          <cell r="K562"/>
          <cell r="L562"/>
          <cell r="M562" t="str">
            <v>X</v>
          </cell>
          <cell r="N562" t="str">
            <v>X</v>
          </cell>
          <cell r="O562"/>
          <cell r="P562" t="str">
            <v>KMTCHPH0577295</v>
          </cell>
          <cell r="Q562" t="str">
            <v>ISH</v>
          </cell>
          <cell r="R562" t="str">
            <v>KMTC</v>
          </cell>
          <cell r="S562"/>
          <cell r="T562">
            <v>43325</v>
          </cell>
          <cell r="U562">
            <v>43</v>
          </cell>
          <cell r="V562" t="str">
            <v>HONGKONG VOYAGER 0081N</v>
          </cell>
        </row>
        <row r="563">
          <cell r="B563" t="str">
            <v>V181178</v>
          </cell>
          <cell r="C563" t="str">
            <v>Z18113</v>
          </cell>
          <cell r="D563" t="str">
            <v>Z18120</v>
          </cell>
          <cell r="E563"/>
          <cell r="F563"/>
          <cell r="G563"/>
          <cell r="H563"/>
          <cell r="I563"/>
          <cell r="J563"/>
          <cell r="K563"/>
          <cell r="L563"/>
          <cell r="M563" t="str">
            <v>X</v>
          </cell>
          <cell r="N563" t="str">
            <v>X</v>
          </cell>
          <cell r="O563"/>
          <cell r="P563" t="str">
            <v>1008X04285</v>
          </cell>
          <cell r="Q563" t="str">
            <v>OSK</v>
          </cell>
          <cell r="R563" t="str">
            <v>WHL</v>
          </cell>
          <cell r="S563"/>
          <cell r="T563">
            <v>43323</v>
          </cell>
          <cell r="U563">
            <v>45</v>
          </cell>
          <cell r="V563" t="str">
            <v>PAOLA N025</v>
          </cell>
        </row>
        <row r="564">
          <cell r="B564" t="str">
            <v>V181179</v>
          </cell>
          <cell r="C564" t="str">
            <v>Z18115</v>
          </cell>
          <cell r="D564"/>
          <cell r="E564"/>
          <cell r="F564"/>
          <cell r="G564"/>
          <cell r="H564"/>
          <cell r="I564"/>
          <cell r="J564"/>
          <cell r="K564"/>
          <cell r="L564"/>
          <cell r="M564" t="str">
            <v>X</v>
          </cell>
          <cell r="N564" t="str">
            <v>X</v>
          </cell>
          <cell r="O564"/>
          <cell r="P564">
            <v>350810091188</v>
          </cell>
          <cell r="Q564" t="str">
            <v>HKT</v>
          </cell>
          <cell r="R564" t="str">
            <v>TSL</v>
          </cell>
          <cell r="S564"/>
          <cell r="T564">
            <v>43325</v>
          </cell>
          <cell r="U564">
            <v>43</v>
          </cell>
          <cell r="V564" t="str">
            <v>LANTAU BEE 18011N</v>
          </cell>
        </row>
        <row r="565">
          <cell r="B565" t="str">
            <v>V181180</v>
          </cell>
          <cell r="C565" t="str">
            <v>V181181</v>
          </cell>
          <cell r="D565" t="str">
            <v>Z18119</v>
          </cell>
          <cell r="E565"/>
          <cell r="F565"/>
          <cell r="G565"/>
          <cell r="H565"/>
          <cell r="I565"/>
          <cell r="J565"/>
          <cell r="K565"/>
          <cell r="L565"/>
          <cell r="M565" t="str">
            <v>X</v>
          </cell>
          <cell r="N565" t="str">
            <v>X</v>
          </cell>
          <cell r="O565"/>
          <cell r="P565">
            <v>350810096503</v>
          </cell>
          <cell r="Q565" t="str">
            <v>TYO</v>
          </cell>
          <cell r="R565" t="str">
            <v>TSL</v>
          </cell>
          <cell r="S565"/>
          <cell r="T565">
            <v>43325</v>
          </cell>
          <cell r="U565">
            <v>43</v>
          </cell>
          <cell r="V565" t="str">
            <v>LANTAU BEE 18011N</v>
          </cell>
        </row>
        <row r="566">
          <cell r="B566" t="str">
            <v>V181182</v>
          </cell>
          <cell r="C566" t="str">
            <v>V181187</v>
          </cell>
          <cell r="D566" t="str">
            <v>V181194</v>
          </cell>
          <cell r="E566" t="str">
            <v>Z18114</v>
          </cell>
          <cell r="F566" t="str">
            <v>Z18118</v>
          </cell>
          <cell r="G566" t="str">
            <v>Z18121</v>
          </cell>
          <cell r="H566" t="str">
            <v>Z18125</v>
          </cell>
          <cell r="I566"/>
          <cell r="J566"/>
          <cell r="K566"/>
          <cell r="L566"/>
          <cell r="M566" t="str">
            <v>X</v>
          </cell>
          <cell r="N566" t="str">
            <v>X</v>
          </cell>
          <cell r="O566"/>
          <cell r="P566" t="str">
            <v>SITWHPKW174196</v>
          </cell>
          <cell r="Q566" t="str">
            <v>KWS</v>
          </cell>
          <cell r="R566" t="str">
            <v>SITC</v>
          </cell>
          <cell r="S566"/>
          <cell r="T566">
            <v>43324</v>
          </cell>
          <cell r="U566">
            <v>44</v>
          </cell>
          <cell r="V566" t="str">
            <v>SITC OSAKA 1823N</v>
          </cell>
        </row>
        <row r="567">
          <cell r="B567" t="str">
            <v>V181183</v>
          </cell>
          <cell r="C567" t="str">
            <v>V181188</v>
          </cell>
          <cell r="D567" t="str">
            <v>V181195</v>
          </cell>
          <cell r="E567" t="str">
            <v>V181196</v>
          </cell>
          <cell r="F567" t="str">
            <v>Z18124</v>
          </cell>
          <cell r="G567"/>
          <cell r="H567"/>
          <cell r="I567"/>
          <cell r="J567"/>
          <cell r="K567"/>
          <cell r="L567"/>
          <cell r="M567" t="str">
            <v>X</v>
          </cell>
          <cell r="N567" t="str">
            <v>X</v>
          </cell>
          <cell r="O567"/>
          <cell r="P567" t="str">
            <v>SITWHPOS174213</v>
          </cell>
          <cell r="Q567" t="str">
            <v>OSK</v>
          </cell>
          <cell r="R567" t="str">
            <v>SITC</v>
          </cell>
          <cell r="S567"/>
          <cell r="T567">
            <v>43325</v>
          </cell>
          <cell r="U567">
            <v>43</v>
          </cell>
          <cell r="V567" t="str">
            <v>EPONYMA 1821N</v>
          </cell>
        </row>
        <row r="568">
          <cell r="B568" t="str">
            <v>V181184</v>
          </cell>
          <cell r="C568" t="str">
            <v>V181192</v>
          </cell>
          <cell r="D568" t="str">
            <v>V181197</v>
          </cell>
          <cell r="E568" t="str">
            <v>Z18130</v>
          </cell>
          <cell r="F568"/>
          <cell r="G568"/>
          <cell r="H568"/>
          <cell r="I568"/>
          <cell r="J568"/>
          <cell r="K568"/>
          <cell r="L568"/>
          <cell r="M568" t="str">
            <v>X</v>
          </cell>
          <cell r="N568" t="str">
            <v>X</v>
          </cell>
          <cell r="O568"/>
          <cell r="P568" t="str">
            <v>SITWHPHT174215</v>
          </cell>
          <cell r="Q568" t="str">
            <v>HKT</v>
          </cell>
          <cell r="R568" t="str">
            <v>SITC</v>
          </cell>
          <cell r="S568"/>
          <cell r="T568">
            <v>43325</v>
          </cell>
          <cell r="U568">
            <v>43</v>
          </cell>
          <cell r="V568" t="str">
            <v>EPONYMA 1821N</v>
          </cell>
        </row>
        <row r="569">
          <cell r="B569" t="str">
            <v>V181185</v>
          </cell>
          <cell r="C569" t="str">
            <v>V181186</v>
          </cell>
          <cell r="D569" t="str">
            <v>V181193</v>
          </cell>
          <cell r="E569" t="str">
            <v>Z18123</v>
          </cell>
          <cell r="F569"/>
          <cell r="G569"/>
          <cell r="H569"/>
          <cell r="I569"/>
          <cell r="J569"/>
          <cell r="K569"/>
          <cell r="L569"/>
          <cell r="M569" t="str">
            <v>X</v>
          </cell>
          <cell r="N569" t="str">
            <v>X</v>
          </cell>
          <cell r="O569"/>
          <cell r="P569" t="str">
            <v>SITWHPTK174209</v>
          </cell>
          <cell r="Q569" t="str">
            <v>TYO</v>
          </cell>
          <cell r="R569" t="str">
            <v>SITC</v>
          </cell>
          <cell r="S569"/>
          <cell r="T569">
            <v>43324</v>
          </cell>
          <cell r="U569">
            <v>44</v>
          </cell>
          <cell r="V569" t="str">
            <v>SITC OSAKA 1823N</v>
          </cell>
        </row>
        <row r="570">
          <cell r="B570" t="str">
            <v>V181189</v>
          </cell>
          <cell r="C570"/>
          <cell r="D570"/>
          <cell r="E570"/>
          <cell r="F570"/>
          <cell r="G570"/>
          <cell r="H570"/>
          <cell r="I570"/>
          <cell r="J570"/>
          <cell r="K570"/>
          <cell r="L570"/>
          <cell r="M570" t="str">
            <v>X</v>
          </cell>
          <cell r="N570" t="str">
            <v>X</v>
          </cell>
          <cell r="O570"/>
          <cell r="P570">
            <v>350810091218</v>
          </cell>
          <cell r="Q570" t="str">
            <v>TPE</v>
          </cell>
          <cell r="R570" t="str">
            <v>TSL</v>
          </cell>
          <cell r="S570"/>
          <cell r="T570">
            <v>43325</v>
          </cell>
          <cell r="U570">
            <v>43</v>
          </cell>
          <cell r="V570" t="str">
            <v>LANTAU BEE 18011N</v>
          </cell>
        </row>
        <row r="571">
          <cell r="B571" t="str">
            <v>V181190</v>
          </cell>
          <cell r="C571"/>
          <cell r="D571"/>
          <cell r="E571"/>
          <cell r="F571"/>
          <cell r="G571"/>
          <cell r="H571"/>
          <cell r="I571"/>
          <cell r="J571"/>
          <cell r="K571"/>
          <cell r="L571"/>
          <cell r="M571" t="str">
            <v>X</v>
          </cell>
          <cell r="N571" t="str">
            <v>X</v>
          </cell>
          <cell r="O571"/>
          <cell r="P571" t="str">
            <v>SNL8HPCL001348</v>
          </cell>
          <cell r="Q571" t="str">
            <v>SHA</v>
          </cell>
          <cell r="R571" t="str">
            <v>SNL</v>
          </cell>
          <cell r="S571"/>
          <cell r="T571">
            <v>43330</v>
          </cell>
          <cell r="U571">
            <v>38</v>
          </cell>
          <cell r="V571" t="str">
            <v>KUO LUNG 1830N</v>
          </cell>
        </row>
        <row r="572">
          <cell r="B572" t="str">
            <v>V181198</v>
          </cell>
          <cell r="C572" t="str">
            <v>Z18129</v>
          </cell>
          <cell r="M572" t="str">
            <v>X</v>
          </cell>
          <cell r="N572" t="str">
            <v>X</v>
          </cell>
          <cell r="O572"/>
          <cell r="P572" t="str">
            <v>KMTCHPH0571510</v>
          </cell>
          <cell r="Q572" t="str">
            <v>ISH</v>
          </cell>
          <cell r="R572" t="str">
            <v>KMTC</v>
          </cell>
          <cell r="S572"/>
          <cell r="T572">
            <v>43330</v>
          </cell>
          <cell r="U572">
            <v>38</v>
          </cell>
          <cell r="V572" t="str">
            <v>SUNNY CAMELLIA 1817N</v>
          </cell>
        </row>
        <row r="573">
          <cell r="B573" t="str">
            <v>V181199</v>
          </cell>
          <cell r="C573" t="str">
            <v>Z18133</v>
          </cell>
          <cell r="D573"/>
          <cell r="E573"/>
          <cell r="F573"/>
          <cell r="G573"/>
          <cell r="H573"/>
          <cell r="I573"/>
          <cell r="J573"/>
          <cell r="K573"/>
          <cell r="L573"/>
          <cell r="M573" t="str">
            <v>X</v>
          </cell>
          <cell r="N573" t="str">
            <v>X</v>
          </cell>
          <cell r="O573"/>
          <cell r="P573">
            <v>350810094875</v>
          </cell>
          <cell r="Q573" t="str">
            <v>TYO</v>
          </cell>
          <cell r="R573" t="str">
            <v>TSL</v>
          </cell>
          <cell r="S573"/>
          <cell r="T573">
            <v>43327</v>
          </cell>
          <cell r="U573">
            <v>41</v>
          </cell>
          <cell r="V573" t="str">
            <v>MARCARRIER 18014N</v>
          </cell>
        </row>
        <row r="574">
          <cell r="B574" t="str">
            <v>V181200</v>
          </cell>
          <cell r="C574"/>
          <cell r="D574"/>
          <cell r="E574"/>
          <cell r="F574"/>
          <cell r="G574"/>
          <cell r="H574"/>
          <cell r="I574"/>
          <cell r="J574"/>
          <cell r="K574"/>
          <cell r="L574"/>
          <cell r="M574" t="str">
            <v>X</v>
          </cell>
          <cell r="N574" t="str">
            <v>X</v>
          </cell>
          <cell r="O574"/>
          <cell r="P574" t="str">
            <v>EGLV237800249374</v>
          </cell>
          <cell r="Q574" t="str">
            <v>TYO</v>
          </cell>
          <cell r="R574" t="str">
            <v>EGLV</v>
          </cell>
          <cell r="S574"/>
          <cell r="T574">
            <v>43328</v>
          </cell>
          <cell r="U574">
            <v>40</v>
          </cell>
          <cell r="V574" t="str">
            <v>WAN HAI 267 N270</v>
          </cell>
        </row>
        <row r="575">
          <cell r="B575" t="str">
            <v>V181201</v>
          </cell>
          <cell r="C575" t="str">
            <v>V181211</v>
          </cell>
          <cell r="D575" t="str">
            <v>Z18128</v>
          </cell>
          <cell r="E575"/>
          <cell r="F575"/>
          <cell r="G575"/>
          <cell r="H575"/>
          <cell r="I575"/>
          <cell r="J575"/>
          <cell r="K575"/>
          <cell r="L575"/>
          <cell r="M575" t="str">
            <v>X</v>
          </cell>
          <cell r="N575" t="str">
            <v>X</v>
          </cell>
          <cell r="O575"/>
          <cell r="P575" t="str">
            <v>SITWHPTK174876</v>
          </cell>
          <cell r="Q575" t="str">
            <v>TYO</v>
          </cell>
          <cell r="R575" t="str">
            <v>SITC</v>
          </cell>
          <cell r="S575"/>
          <cell r="T575">
            <v>43328</v>
          </cell>
          <cell r="U575">
            <v>40</v>
          </cell>
          <cell r="V575" t="str">
            <v>AVRA C 1823N</v>
          </cell>
        </row>
        <row r="576">
          <cell r="B576" t="str">
            <v>V181202</v>
          </cell>
          <cell r="C576" t="str">
            <v>V181204</v>
          </cell>
          <cell r="D576" t="str">
            <v>V181206</v>
          </cell>
          <cell r="E576" t="str">
            <v>Z18126</v>
          </cell>
          <cell r="F576"/>
          <cell r="G576"/>
          <cell r="H576"/>
          <cell r="I576"/>
          <cell r="J576"/>
          <cell r="K576"/>
          <cell r="L576"/>
          <cell r="M576" t="str">
            <v>X</v>
          </cell>
          <cell r="N576" t="str">
            <v>X</v>
          </cell>
          <cell r="O576"/>
          <cell r="P576" t="str">
            <v>1008X04278</v>
          </cell>
          <cell r="Q576" t="str">
            <v>OSK</v>
          </cell>
          <cell r="R576" t="str">
            <v>WHL</v>
          </cell>
          <cell r="S576"/>
          <cell r="T576">
            <v>43327</v>
          </cell>
          <cell r="U576">
            <v>41</v>
          </cell>
          <cell r="V576" t="str">
            <v>AS FIONA N008</v>
          </cell>
        </row>
        <row r="577">
          <cell r="B577" t="str">
            <v>V181203</v>
          </cell>
          <cell r="C577" t="str">
            <v>Z18127</v>
          </cell>
          <cell r="D577"/>
          <cell r="E577"/>
          <cell r="F577"/>
          <cell r="G577"/>
          <cell r="H577"/>
          <cell r="I577"/>
          <cell r="J577"/>
          <cell r="K577"/>
          <cell r="L577"/>
          <cell r="M577" t="str">
            <v>X</v>
          </cell>
          <cell r="N577" t="str">
            <v>X</v>
          </cell>
          <cell r="O577"/>
          <cell r="P577" t="str">
            <v>1008X04461</v>
          </cell>
          <cell r="Q577" t="str">
            <v>TYO</v>
          </cell>
          <cell r="R577" t="str">
            <v>WHL</v>
          </cell>
          <cell r="S577"/>
          <cell r="T577">
            <v>43328</v>
          </cell>
          <cell r="U577">
            <v>40</v>
          </cell>
          <cell r="V577" t="str">
            <v>WAN HAI 267  N270</v>
          </cell>
        </row>
        <row r="578">
          <cell r="B578" t="str">
            <v>V181205</v>
          </cell>
          <cell r="C578" t="str">
            <v>V181207</v>
          </cell>
          <cell r="D578" t="str">
            <v>V181209</v>
          </cell>
          <cell r="E578" t="str">
            <v>Z18132</v>
          </cell>
          <cell r="F578"/>
          <cell r="G578"/>
          <cell r="H578"/>
          <cell r="I578"/>
          <cell r="J578"/>
          <cell r="K578"/>
          <cell r="L578"/>
          <cell r="M578" t="str">
            <v>X</v>
          </cell>
          <cell r="N578" t="str">
            <v>X</v>
          </cell>
          <cell r="O578"/>
          <cell r="P578" t="str">
            <v>SITWHPKW174198</v>
          </cell>
          <cell r="Q578" t="str">
            <v>KWS</v>
          </cell>
          <cell r="R578" t="str">
            <v>SITC</v>
          </cell>
          <cell r="S578"/>
          <cell r="T578">
            <v>43328</v>
          </cell>
          <cell r="U578">
            <v>40</v>
          </cell>
          <cell r="V578" t="str">
            <v>AVRA C 1823N</v>
          </cell>
        </row>
        <row r="579">
          <cell r="B579" t="str">
            <v>V181208</v>
          </cell>
          <cell r="C579"/>
          <cell r="D579"/>
          <cell r="E579"/>
          <cell r="F579"/>
          <cell r="G579"/>
          <cell r="H579"/>
          <cell r="I579"/>
          <cell r="J579"/>
          <cell r="K579"/>
          <cell r="L579"/>
          <cell r="M579" t="str">
            <v>X</v>
          </cell>
          <cell r="N579" t="str">
            <v>X</v>
          </cell>
          <cell r="O579"/>
          <cell r="P579">
            <v>350810094882</v>
          </cell>
          <cell r="Q579" t="str">
            <v>HKT</v>
          </cell>
          <cell r="R579" t="str">
            <v>TSL</v>
          </cell>
          <cell r="S579"/>
          <cell r="T579">
            <v>43327</v>
          </cell>
          <cell r="U579">
            <v>41</v>
          </cell>
          <cell r="V579" t="str">
            <v>MARCARRIER 18014N</v>
          </cell>
        </row>
        <row r="580">
          <cell r="B580" t="str">
            <v>V181210</v>
          </cell>
          <cell r="C580"/>
          <cell r="D580"/>
          <cell r="E580"/>
          <cell r="F580"/>
          <cell r="G580"/>
          <cell r="H580"/>
          <cell r="I580"/>
          <cell r="J580"/>
          <cell r="K580"/>
          <cell r="L580"/>
          <cell r="M580" t="str">
            <v>X</v>
          </cell>
          <cell r="N580" t="str">
            <v>X</v>
          </cell>
          <cell r="O580"/>
          <cell r="P580" t="str">
            <v>SITWHPOS174963</v>
          </cell>
          <cell r="Q580" t="str">
            <v>OSK</v>
          </cell>
          <cell r="R580" t="str">
            <v>SITC</v>
          </cell>
          <cell r="S580"/>
          <cell r="T580">
            <v>43331</v>
          </cell>
          <cell r="U580">
            <v>37</v>
          </cell>
          <cell r="V580" t="str">
            <v>SITC NAGOYA 1823N</v>
          </cell>
        </row>
        <row r="581">
          <cell r="B581" t="str">
            <v>V181212</v>
          </cell>
          <cell r="C581" t="str">
            <v>V181213</v>
          </cell>
          <cell r="D581" t="str">
            <v>V181218</v>
          </cell>
          <cell r="E581" t="str">
            <v>V181228</v>
          </cell>
          <cell r="F581" t="str">
            <v>V181229</v>
          </cell>
          <cell r="G581" t="str">
            <v>V181234</v>
          </cell>
          <cell r="H581" t="str">
            <v>Z18136</v>
          </cell>
          <cell r="I581"/>
          <cell r="J581"/>
          <cell r="K581"/>
          <cell r="L581"/>
          <cell r="M581" t="str">
            <v>X</v>
          </cell>
          <cell r="N581" t="str">
            <v>X</v>
          </cell>
          <cell r="O581"/>
          <cell r="P581" t="str">
            <v>SITWHPTK174956</v>
          </cell>
          <cell r="Q581" t="str">
            <v>TYO</v>
          </cell>
          <cell r="R581" t="str">
            <v>SITC</v>
          </cell>
          <cell r="S581"/>
          <cell r="T581">
            <v>43331</v>
          </cell>
          <cell r="U581">
            <v>37</v>
          </cell>
          <cell r="V581" t="str">
            <v>REFLECTION 1823N</v>
          </cell>
        </row>
        <row r="582">
          <cell r="B582" t="str">
            <v>V181214</v>
          </cell>
          <cell r="C582" t="str">
            <v>V181219</v>
          </cell>
          <cell r="D582" t="str">
            <v>V181222</v>
          </cell>
          <cell r="E582" t="str">
            <v>V181230</v>
          </cell>
          <cell r="F582" t="str">
            <v>Z18134</v>
          </cell>
          <cell r="G582" t="str">
            <v>Z18137</v>
          </cell>
          <cell r="H582" t="str">
            <v>Z18139</v>
          </cell>
          <cell r="I582" t="str">
            <v>Z18142</v>
          </cell>
          <cell r="J582"/>
          <cell r="K582"/>
          <cell r="L582"/>
          <cell r="M582" t="str">
            <v>X</v>
          </cell>
          <cell r="N582" t="str">
            <v>X</v>
          </cell>
          <cell r="O582"/>
          <cell r="P582" t="str">
            <v>SITWHPKW174968</v>
          </cell>
          <cell r="Q582" t="str">
            <v>KWS</v>
          </cell>
          <cell r="R582" t="str">
            <v>SITC</v>
          </cell>
          <cell r="S582"/>
          <cell r="T582">
            <v>43331</v>
          </cell>
          <cell r="U582">
            <v>37</v>
          </cell>
          <cell r="V582" t="str">
            <v>REFLECTION 1823N</v>
          </cell>
        </row>
        <row r="583">
          <cell r="B583" t="str">
            <v>V181215</v>
          </cell>
          <cell r="C583" t="str">
            <v>V181220</v>
          </cell>
          <cell r="D583" t="str">
            <v>V181226</v>
          </cell>
          <cell r="E583"/>
          <cell r="F583"/>
          <cell r="G583"/>
          <cell r="H583"/>
          <cell r="I583"/>
          <cell r="J583"/>
          <cell r="K583"/>
          <cell r="L583"/>
          <cell r="M583" t="str">
            <v>X</v>
          </cell>
          <cell r="N583" t="str">
            <v>X</v>
          </cell>
          <cell r="O583"/>
          <cell r="P583" t="str">
            <v>1008X04481</v>
          </cell>
          <cell r="Q583" t="str">
            <v>OSK</v>
          </cell>
          <cell r="R583" t="str">
            <v>WHL</v>
          </cell>
          <cell r="S583"/>
          <cell r="T583">
            <v>43330</v>
          </cell>
          <cell r="U583">
            <v>38</v>
          </cell>
          <cell r="V583" t="str">
            <v xml:space="preserve"> PAOLA N026</v>
          </cell>
        </row>
        <row r="584">
          <cell r="B584" t="str">
            <v>V181216</v>
          </cell>
          <cell r="C584" t="str">
            <v>V181224</v>
          </cell>
          <cell r="D584" t="str">
            <v>Z18131</v>
          </cell>
          <cell r="E584"/>
          <cell r="F584"/>
          <cell r="G584"/>
          <cell r="H584"/>
          <cell r="I584"/>
          <cell r="J584"/>
          <cell r="K584"/>
          <cell r="L584"/>
          <cell r="M584" t="str">
            <v>X</v>
          </cell>
          <cell r="N584" t="str">
            <v>X</v>
          </cell>
          <cell r="O584"/>
          <cell r="P584" t="str">
            <v>1008X04480</v>
          </cell>
          <cell r="Q584" t="str">
            <v>HKT</v>
          </cell>
          <cell r="R584" t="str">
            <v>WHL</v>
          </cell>
          <cell r="S584"/>
          <cell r="T584">
            <v>43330</v>
          </cell>
          <cell r="U584">
            <v>38</v>
          </cell>
          <cell r="V584" t="str">
            <v xml:space="preserve"> PAOLA N026</v>
          </cell>
        </row>
        <row r="585">
          <cell r="B585" t="str">
            <v>V181217</v>
          </cell>
          <cell r="C585" t="str">
            <v>V181227</v>
          </cell>
          <cell r="D585"/>
          <cell r="E585"/>
          <cell r="F585"/>
          <cell r="G585"/>
          <cell r="H585"/>
          <cell r="I585"/>
          <cell r="J585"/>
          <cell r="K585"/>
          <cell r="L585"/>
          <cell r="M585" t="str">
            <v>X</v>
          </cell>
          <cell r="N585" t="str">
            <v>X</v>
          </cell>
          <cell r="O585"/>
          <cell r="P585" t="str">
            <v>KMTCHPH0579593</v>
          </cell>
          <cell r="Q585" t="str">
            <v>ISH</v>
          </cell>
          <cell r="R585" t="str">
            <v>KMTC</v>
          </cell>
          <cell r="S585"/>
          <cell r="T585">
            <v>43336</v>
          </cell>
          <cell r="U585">
            <v>32</v>
          </cell>
          <cell r="V585" t="str">
            <v>SUNNY IRIS 1823N</v>
          </cell>
        </row>
        <row r="586">
          <cell r="B586" t="str">
            <v>V181221</v>
          </cell>
          <cell r="C586" t="str">
            <v>V181225</v>
          </cell>
          <cell r="D586" t="str">
            <v>Z18135</v>
          </cell>
          <cell r="E586"/>
          <cell r="F586"/>
          <cell r="G586"/>
          <cell r="H586"/>
          <cell r="I586"/>
          <cell r="J586"/>
          <cell r="K586"/>
          <cell r="L586"/>
          <cell r="M586" t="str">
            <v>X</v>
          </cell>
          <cell r="N586" t="str">
            <v>X</v>
          </cell>
          <cell r="O586"/>
          <cell r="P586" t="str">
            <v>SITWHPTK174961</v>
          </cell>
          <cell r="Q586" t="str">
            <v>TYO</v>
          </cell>
          <cell r="R586" t="str">
            <v>SITC</v>
          </cell>
          <cell r="S586"/>
          <cell r="T586">
            <v>43331</v>
          </cell>
          <cell r="U586">
            <v>37</v>
          </cell>
          <cell r="V586" t="str">
            <v>REFLECTION 1823N</v>
          </cell>
        </row>
        <row r="587">
          <cell r="B587" t="str">
            <v>V181223</v>
          </cell>
          <cell r="C587" t="str">
            <v>V181231</v>
          </cell>
          <cell r="D587" t="str">
            <v>Z18138</v>
          </cell>
          <cell r="E587" t="str">
            <v>Z18140</v>
          </cell>
          <cell r="F587" t="str">
            <v>Z18141</v>
          </cell>
          <cell r="G587"/>
          <cell r="H587"/>
          <cell r="I587"/>
          <cell r="J587"/>
          <cell r="K587"/>
          <cell r="L587"/>
          <cell r="M587" t="str">
            <v>X</v>
          </cell>
          <cell r="N587" t="str">
            <v>X</v>
          </cell>
          <cell r="O587"/>
          <cell r="P587" t="str">
            <v>SITWHPOS174962</v>
          </cell>
          <cell r="Q587" t="str">
            <v>OSK</v>
          </cell>
          <cell r="R587" t="str">
            <v>SITC</v>
          </cell>
          <cell r="S587"/>
          <cell r="T587">
            <v>43331</v>
          </cell>
          <cell r="U587">
            <v>37</v>
          </cell>
          <cell r="V587" t="str">
            <v>SITC NAGOYA 1823N</v>
          </cell>
        </row>
        <row r="588">
          <cell r="B588" t="str">
            <v>V181232</v>
          </cell>
          <cell r="C588" t="str">
            <v>Z18145</v>
          </cell>
          <cell r="D588"/>
          <cell r="E588"/>
          <cell r="F588"/>
          <cell r="G588"/>
          <cell r="H588"/>
          <cell r="I588"/>
          <cell r="J588"/>
          <cell r="K588"/>
          <cell r="L588"/>
          <cell r="M588" t="str">
            <v>X</v>
          </cell>
          <cell r="N588" t="str">
            <v>X</v>
          </cell>
          <cell r="O588"/>
          <cell r="P588" t="str">
            <v>SITWHPHT175611</v>
          </cell>
          <cell r="Q588" t="str">
            <v>HKT</v>
          </cell>
          <cell r="R588" t="str">
            <v>SITC</v>
          </cell>
          <cell r="S588"/>
          <cell r="T588">
            <v>43331</v>
          </cell>
          <cell r="U588">
            <v>37</v>
          </cell>
          <cell r="V588" t="str">
            <v>SITC NAGOYA 1823N</v>
          </cell>
        </row>
        <row r="589">
          <cell r="B589" t="str">
            <v>V181233</v>
          </cell>
          <cell r="C589"/>
          <cell r="D589"/>
          <cell r="E589"/>
          <cell r="F589"/>
          <cell r="G589"/>
          <cell r="H589"/>
          <cell r="I589"/>
          <cell r="J589"/>
          <cell r="K589"/>
          <cell r="L589"/>
          <cell r="M589" t="str">
            <v>X</v>
          </cell>
          <cell r="N589" t="str">
            <v>X</v>
          </cell>
          <cell r="O589"/>
          <cell r="P589">
            <v>350810098347</v>
          </cell>
          <cell r="Q589" t="str">
            <v>TPE</v>
          </cell>
          <cell r="R589" t="str">
            <v>TSL</v>
          </cell>
          <cell r="S589"/>
          <cell r="T589">
            <v>43335</v>
          </cell>
          <cell r="U589">
            <v>33</v>
          </cell>
          <cell r="V589" t="str">
            <v>BAOHANG 18003B</v>
          </cell>
        </row>
        <row r="590">
          <cell r="B590" t="str">
            <v>V181235</v>
          </cell>
          <cell r="C590" t="str">
            <v>V181245</v>
          </cell>
          <cell r="M590" t="str">
            <v>X</v>
          </cell>
          <cell r="N590" t="str">
            <v>X</v>
          </cell>
          <cell r="O590"/>
          <cell r="P590">
            <v>350810098323</v>
          </cell>
          <cell r="Q590" t="str">
            <v>TYO</v>
          </cell>
          <cell r="R590" t="str">
            <v>TSL</v>
          </cell>
          <cell r="S590"/>
          <cell r="T590">
            <v>43334</v>
          </cell>
          <cell r="U590">
            <v>34</v>
          </cell>
          <cell r="V590" t="str">
            <v>MARCLIFF 18014N</v>
          </cell>
        </row>
        <row r="591">
          <cell r="B591" t="str">
            <v>V181236</v>
          </cell>
          <cell r="C591" t="str">
            <v>V181239</v>
          </cell>
          <cell r="D591" t="str">
            <v>V181243</v>
          </cell>
          <cell r="E591" t="str">
            <v>V181248</v>
          </cell>
          <cell r="F591" t="str">
            <v>V181251</v>
          </cell>
          <cell r="G591" t="str">
            <v>V181254</v>
          </cell>
          <cell r="H591" t="str">
            <v>Z18144</v>
          </cell>
          <cell r="I591" t="str">
            <v>Z18148</v>
          </cell>
          <cell r="J591"/>
          <cell r="K591"/>
          <cell r="L591"/>
          <cell r="M591" t="str">
            <v>X</v>
          </cell>
          <cell r="N591" t="str">
            <v>X</v>
          </cell>
          <cell r="O591"/>
          <cell r="P591" t="str">
            <v>SITWHPKW175201</v>
          </cell>
          <cell r="Q591" t="str">
            <v>KWS</v>
          </cell>
          <cell r="R591" t="str">
            <v>SITC</v>
          </cell>
          <cell r="S591"/>
          <cell r="T591">
            <v>43337</v>
          </cell>
          <cell r="U591">
            <v>31</v>
          </cell>
          <cell r="V591" t="str">
            <v>SITC YOKKAICHI 1821N</v>
          </cell>
        </row>
        <row r="592">
          <cell r="B592" t="str">
            <v>V181237</v>
          </cell>
          <cell r="C592" t="str">
            <v>V181240</v>
          </cell>
          <cell r="D592" t="str">
            <v>V181242</v>
          </cell>
          <cell r="E592" t="str">
            <v>V181249</v>
          </cell>
          <cell r="F592" t="str">
            <v>V181260</v>
          </cell>
          <cell r="G592" t="str">
            <v>Z18143</v>
          </cell>
          <cell r="H592"/>
          <cell r="I592"/>
          <cell r="J592"/>
          <cell r="K592"/>
          <cell r="L592"/>
          <cell r="M592" t="str">
            <v>X</v>
          </cell>
          <cell r="N592" t="str">
            <v>X</v>
          </cell>
          <cell r="O592"/>
          <cell r="P592" t="str">
            <v>1008X04533</v>
          </cell>
          <cell r="Q592" t="str">
            <v>OSK</v>
          </cell>
          <cell r="R592" t="str">
            <v>WHL</v>
          </cell>
          <cell r="S592"/>
          <cell r="T592">
            <v>43334</v>
          </cell>
          <cell r="U592">
            <v>34</v>
          </cell>
          <cell r="V592" t="str">
            <v>AS RAFAELA N002</v>
          </cell>
        </row>
        <row r="593">
          <cell r="B593" t="str">
            <v>V181238</v>
          </cell>
          <cell r="C593"/>
          <cell r="D593"/>
          <cell r="E593"/>
          <cell r="F593"/>
          <cell r="G593"/>
          <cell r="H593"/>
          <cell r="I593"/>
          <cell r="J593"/>
          <cell r="K593"/>
          <cell r="L593"/>
          <cell r="M593" t="str">
            <v>X</v>
          </cell>
          <cell r="N593" t="str">
            <v>X</v>
          </cell>
          <cell r="O593"/>
          <cell r="P593" t="str">
            <v>1008X04559</v>
          </cell>
          <cell r="Q593" t="str">
            <v>TYO</v>
          </cell>
          <cell r="R593" t="str">
            <v>WHL</v>
          </cell>
          <cell r="S593"/>
          <cell r="T593">
            <v>43335</v>
          </cell>
          <cell r="U593">
            <v>33</v>
          </cell>
          <cell r="V593" t="str">
            <v>WAN HAI 266 N397</v>
          </cell>
        </row>
        <row r="594">
          <cell r="B594" t="str">
            <v>V181241</v>
          </cell>
          <cell r="C594" t="str">
            <v>V181247</v>
          </cell>
          <cell r="D594" t="str">
            <v>V181252</v>
          </cell>
          <cell r="E594" t="str">
            <v>Z18146</v>
          </cell>
          <cell r="F594"/>
          <cell r="G594"/>
          <cell r="H594"/>
          <cell r="I594"/>
          <cell r="J594"/>
          <cell r="K594"/>
          <cell r="L594"/>
          <cell r="M594" t="str">
            <v>X</v>
          </cell>
          <cell r="N594" t="str">
            <v>X</v>
          </cell>
          <cell r="O594"/>
          <cell r="P594" t="str">
            <v>SITWHPTK175290</v>
          </cell>
          <cell r="Q594" t="str">
            <v>TYO</v>
          </cell>
          <cell r="R594" t="str">
            <v>SITC</v>
          </cell>
          <cell r="S594"/>
          <cell r="T594">
            <v>43337</v>
          </cell>
          <cell r="U594">
            <v>31</v>
          </cell>
          <cell r="V594" t="str">
            <v>SITC YOKKAICHI 1821N</v>
          </cell>
        </row>
        <row r="595">
          <cell r="B595" t="str">
            <v>V181244</v>
          </cell>
          <cell r="C595"/>
          <cell r="D595"/>
          <cell r="E595"/>
          <cell r="F595"/>
          <cell r="G595"/>
          <cell r="H595"/>
          <cell r="I595"/>
          <cell r="J595"/>
          <cell r="K595"/>
          <cell r="L595"/>
          <cell r="M595" t="str">
            <v>X</v>
          </cell>
          <cell r="N595" t="str">
            <v>X</v>
          </cell>
          <cell r="O595"/>
          <cell r="P595" t="str">
            <v>1008X04622</v>
          </cell>
          <cell r="Q595" t="str">
            <v>HKT</v>
          </cell>
          <cell r="R595" t="str">
            <v>WHL</v>
          </cell>
          <cell r="S595"/>
          <cell r="T595">
            <v>43335</v>
          </cell>
          <cell r="U595">
            <v>33</v>
          </cell>
          <cell r="V595" t="str">
            <v>WAN HAI 205 N475</v>
          </cell>
        </row>
        <row r="596">
          <cell r="B596" t="str">
            <v>V181246</v>
          </cell>
          <cell r="C596"/>
          <cell r="D596"/>
          <cell r="E596"/>
          <cell r="F596"/>
          <cell r="G596"/>
          <cell r="H596"/>
          <cell r="I596"/>
          <cell r="J596"/>
          <cell r="K596"/>
          <cell r="L596"/>
          <cell r="M596" t="str">
            <v>X</v>
          </cell>
          <cell r="N596" t="str">
            <v>X</v>
          </cell>
          <cell r="O596"/>
          <cell r="P596" t="str">
            <v>KMTCHPH0574772</v>
          </cell>
          <cell r="Q596" t="str">
            <v>ISH</v>
          </cell>
          <cell r="R596" t="str">
            <v>KMTC</v>
          </cell>
          <cell r="S596"/>
          <cell r="T596">
            <v>43335</v>
          </cell>
          <cell r="U596">
            <v>33</v>
          </cell>
          <cell r="V596" t="str">
            <v>SUNNY CALLA 1815N</v>
          </cell>
        </row>
        <row r="597">
          <cell r="B597" t="str">
            <v>V181250</v>
          </cell>
          <cell r="C597"/>
          <cell r="D597"/>
          <cell r="E597"/>
          <cell r="F597"/>
          <cell r="G597"/>
          <cell r="H597"/>
          <cell r="I597"/>
          <cell r="J597"/>
          <cell r="K597"/>
          <cell r="L597"/>
          <cell r="M597" t="str">
            <v>X</v>
          </cell>
          <cell r="N597" t="str">
            <v>X</v>
          </cell>
          <cell r="O597"/>
          <cell r="P597">
            <v>350810098330</v>
          </cell>
          <cell r="Q597" t="str">
            <v>HKT</v>
          </cell>
          <cell r="R597" t="str">
            <v>TSL</v>
          </cell>
          <cell r="S597"/>
          <cell r="T597">
            <v>43334</v>
          </cell>
          <cell r="U597">
            <v>34</v>
          </cell>
          <cell r="V597" t="str">
            <v>MARCLIFF 18014N</v>
          </cell>
        </row>
        <row r="598">
          <cell r="B598" t="str">
            <v>V181253</v>
          </cell>
          <cell r="C598"/>
          <cell r="D598"/>
          <cell r="E598"/>
          <cell r="F598"/>
          <cell r="G598"/>
          <cell r="H598"/>
          <cell r="I598"/>
          <cell r="J598"/>
          <cell r="K598"/>
          <cell r="L598"/>
          <cell r="M598" t="str">
            <v>X</v>
          </cell>
          <cell r="N598" t="str">
            <v>X</v>
          </cell>
          <cell r="O598"/>
          <cell r="P598" t="str">
            <v>EGLV237800259027</v>
          </cell>
          <cell r="Q598" t="str">
            <v>TYO</v>
          </cell>
          <cell r="R598" t="str">
            <v>EGLV</v>
          </cell>
          <cell r="S598"/>
          <cell r="T598">
            <v>43337</v>
          </cell>
          <cell r="U598">
            <v>31</v>
          </cell>
          <cell r="V598" t="str">
            <v>UNI-ACCORD 0598-565N</v>
          </cell>
        </row>
        <row r="599">
          <cell r="B599" t="str">
            <v>V181255</v>
          </cell>
          <cell r="C599"/>
          <cell r="D599"/>
          <cell r="E599"/>
          <cell r="F599"/>
          <cell r="G599"/>
          <cell r="H599"/>
          <cell r="I599"/>
          <cell r="J599"/>
          <cell r="K599"/>
          <cell r="L599"/>
          <cell r="M599" t="str">
            <v>X</v>
          </cell>
          <cell r="N599" t="str">
            <v>X</v>
          </cell>
          <cell r="O599"/>
          <cell r="P599">
            <v>350810098354</v>
          </cell>
          <cell r="Q599" t="str">
            <v>OSK</v>
          </cell>
          <cell r="R599" t="str">
            <v>TSL</v>
          </cell>
          <cell r="S599"/>
          <cell r="T599">
            <v>43334</v>
          </cell>
          <cell r="U599">
            <v>34</v>
          </cell>
          <cell r="V599" t="str">
            <v>MARCLIFF 18014N</v>
          </cell>
        </row>
        <row r="600">
          <cell r="B600" t="str">
            <v>V181256</v>
          </cell>
          <cell r="C600" t="str">
            <v>V181268</v>
          </cell>
          <cell r="D600"/>
          <cell r="E600"/>
          <cell r="F600"/>
          <cell r="G600"/>
          <cell r="H600"/>
          <cell r="I600"/>
          <cell r="J600"/>
          <cell r="K600"/>
          <cell r="L600"/>
          <cell r="M600" t="str">
            <v>X</v>
          </cell>
          <cell r="N600" t="str">
            <v>X</v>
          </cell>
          <cell r="O600"/>
          <cell r="P600" t="str">
            <v>1008X04643</v>
          </cell>
          <cell r="Q600" t="str">
            <v>HKT</v>
          </cell>
          <cell r="R600" t="str">
            <v>WHL</v>
          </cell>
          <cell r="S600"/>
          <cell r="T600">
            <v>43337</v>
          </cell>
          <cell r="U600">
            <v>31</v>
          </cell>
          <cell r="V600" t="str">
            <v>PAOLA N027</v>
          </cell>
        </row>
        <row r="601">
          <cell r="B601" t="str">
            <v>V181257</v>
          </cell>
          <cell r="C601" t="str">
            <v>Z18158</v>
          </cell>
          <cell r="D601"/>
          <cell r="E601"/>
          <cell r="F601"/>
          <cell r="G601"/>
          <cell r="H601"/>
          <cell r="I601"/>
          <cell r="J601"/>
          <cell r="K601"/>
          <cell r="L601"/>
          <cell r="M601" t="str">
            <v>X</v>
          </cell>
          <cell r="N601" t="str">
            <v>X</v>
          </cell>
          <cell r="O601"/>
          <cell r="P601" t="str">
            <v>KMTCHPH0573953</v>
          </cell>
          <cell r="Q601" t="str">
            <v>ISH</v>
          </cell>
          <cell r="R601" t="str">
            <v>KMTC</v>
          </cell>
          <cell r="S601"/>
          <cell r="T601">
            <v>43343</v>
          </cell>
          <cell r="U601">
            <v>25</v>
          </cell>
          <cell r="V601" t="str">
            <v>KOTA WANGSA 016N</v>
          </cell>
        </row>
        <row r="602">
          <cell r="B602" t="str">
            <v>V181258</v>
          </cell>
          <cell r="C602"/>
          <cell r="D602"/>
          <cell r="E602"/>
          <cell r="F602"/>
          <cell r="G602"/>
          <cell r="H602"/>
          <cell r="I602"/>
          <cell r="J602"/>
          <cell r="K602"/>
          <cell r="L602"/>
          <cell r="M602" t="str">
            <v>X</v>
          </cell>
          <cell r="N602" t="str">
            <v>X</v>
          </cell>
          <cell r="O602"/>
          <cell r="P602">
            <v>350810098378</v>
          </cell>
          <cell r="Q602" t="str">
            <v>TYO</v>
          </cell>
          <cell r="R602" t="str">
            <v>TSL</v>
          </cell>
          <cell r="S602"/>
          <cell r="T602">
            <v>43339</v>
          </cell>
          <cell r="U602">
            <v>29</v>
          </cell>
          <cell r="V602" t="str">
            <v>HANSE ENDURANCE 18013N</v>
          </cell>
        </row>
        <row r="603">
          <cell r="B603" t="str">
            <v>V181259</v>
          </cell>
          <cell r="C603" t="str">
            <v>V181263</v>
          </cell>
          <cell r="D603" t="str">
            <v>V181301</v>
          </cell>
          <cell r="E603" t="str">
            <v>V181271</v>
          </cell>
          <cell r="F603" t="str">
            <v>Z18151</v>
          </cell>
          <cell r="G603" t="str">
            <v>Z18152</v>
          </cell>
          <cell r="H603" t="str">
            <v>Z18155</v>
          </cell>
          <cell r="I603"/>
          <cell r="J603"/>
          <cell r="K603"/>
          <cell r="L603"/>
          <cell r="M603" t="str">
            <v>X</v>
          </cell>
          <cell r="N603" t="str">
            <v>X</v>
          </cell>
          <cell r="O603"/>
          <cell r="P603" t="str">
            <v>SITWHPKW175617</v>
          </cell>
          <cell r="Q603" t="str">
            <v>KWS</v>
          </cell>
          <cell r="R603" t="str">
            <v>SITC</v>
          </cell>
          <cell r="S603"/>
          <cell r="T603">
            <v>43339</v>
          </cell>
          <cell r="U603">
            <v>29</v>
          </cell>
          <cell r="V603" t="str">
            <v>SITC TIANJIN 1823N</v>
          </cell>
        </row>
        <row r="604">
          <cell r="B604" t="str">
            <v>V181261</v>
          </cell>
          <cell r="C604"/>
          <cell r="D604"/>
          <cell r="E604"/>
          <cell r="F604"/>
          <cell r="G604"/>
          <cell r="H604"/>
          <cell r="I604"/>
          <cell r="J604"/>
          <cell r="K604"/>
          <cell r="L604"/>
          <cell r="M604" t="str">
            <v>X</v>
          </cell>
          <cell r="N604" t="str">
            <v>X</v>
          </cell>
          <cell r="O604"/>
          <cell r="P604">
            <v>350810098361</v>
          </cell>
          <cell r="Q604" t="str">
            <v>TPE</v>
          </cell>
          <cell r="R604" t="str">
            <v>TSL</v>
          </cell>
          <cell r="S604"/>
          <cell r="T604">
            <v>43339</v>
          </cell>
          <cell r="U604">
            <v>29</v>
          </cell>
          <cell r="V604" t="str">
            <v>HANSE ENDURANCE 18013N</v>
          </cell>
        </row>
        <row r="605">
          <cell r="B605" t="str">
            <v>V181262</v>
          </cell>
          <cell r="C605" t="str">
            <v>V181269</v>
          </cell>
          <cell r="D605" t="str">
            <v>V181270</v>
          </cell>
          <cell r="E605" t="str">
            <v>Z18156</v>
          </cell>
          <cell r="F605" t="str">
            <v>Z18159</v>
          </cell>
          <cell r="G605"/>
          <cell r="H605"/>
          <cell r="I605"/>
          <cell r="J605"/>
          <cell r="K605"/>
          <cell r="L605"/>
          <cell r="M605" t="str">
            <v>X</v>
          </cell>
          <cell r="N605" t="str">
            <v>X</v>
          </cell>
          <cell r="O605"/>
          <cell r="P605" t="str">
            <v>SITWHPTK175610</v>
          </cell>
          <cell r="Q605" t="str">
            <v>TYO</v>
          </cell>
          <cell r="R605" t="str">
            <v>SITC</v>
          </cell>
          <cell r="S605"/>
          <cell r="T605">
            <v>43339</v>
          </cell>
          <cell r="U605">
            <v>29</v>
          </cell>
          <cell r="V605" t="str">
            <v>SITC TIANJIN 1823N</v>
          </cell>
        </row>
        <row r="606">
          <cell r="B606" t="str">
            <v>V181264</v>
          </cell>
          <cell r="C606" t="str">
            <v>V181267</v>
          </cell>
          <cell r="D606" t="str">
            <v>Z18153</v>
          </cell>
          <cell r="E606" t="str">
            <v>Z18154</v>
          </cell>
          <cell r="F606"/>
          <cell r="G606"/>
          <cell r="H606"/>
          <cell r="I606"/>
          <cell r="J606"/>
          <cell r="K606"/>
          <cell r="L606"/>
          <cell r="M606" t="str">
            <v>X</v>
          </cell>
          <cell r="N606" t="str">
            <v>X</v>
          </cell>
          <cell r="O606"/>
          <cell r="P606" t="str">
            <v>SITWHPOS175614</v>
          </cell>
          <cell r="Q606" t="str">
            <v>OSK</v>
          </cell>
          <cell r="R606" t="str">
            <v>SITC</v>
          </cell>
          <cell r="S606"/>
          <cell r="T606">
            <v>43338</v>
          </cell>
          <cell r="U606">
            <v>30</v>
          </cell>
          <cell r="V606" t="str">
            <v>RESURGENCE 1821N</v>
          </cell>
        </row>
        <row r="607">
          <cell r="B607" t="str">
            <v>V181265</v>
          </cell>
          <cell r="C607" t="str">
            <v>Z18149</v>
          </cell>
          <cell r="D607" t="str">
            <v>Z18157</v>
          </cell>
          <cell r="E607"/>
          <cell r="F607"/>
          <cell r="G607"/>
          <cell r="H607"/>
          <cell r="I607"/>
          <cell r="J607"/>
          <cell r="K607"/>
          <cell r="L607"/>
          <cell r="M607" t="str">
            <v>X</v>
          </cell>
          <cell r="N607" t="str">
            <v>X</v>
          </cell>
          <cell r="O607"/>
          <cell r="P607" t="str">
            <v>SITWHPHT175613</v>
          </cell>
          <cell r="Q607" t="str">
            <v>HKT</v>
          </cell>
          <cell r="R607" t="str">
            <v>SITC</v>
          </cell>
          <cell r="S607"/>
          <cell r="T607">
            <v>43339</v>
          </cell>
          <cell r="U607">
            <v>29</v>
          </cell>
          <cell r="V607" t="str">
            <v>SITC YANTAI 1819N</v>
          </cell>
        </row>
        <row r="608">
          <cell r="B608" t="str">
            <v>V181266</v>
          </cell>
          <cell r="C608" t="str">
            <v>Z18147</v>
          </cell>
          <cell r="D608" t="str">
            <v>Z18150</v>
          </cell>
          <cell r="E608"/>
          <cell r="F608"/>
          <cell r="G608"/>
          <cell r="H608"/>
          <cell r="I608"/>
          <cell r="J608"/>
          <cell r="K608"/>
          <cell r="L608"/>
          <cell r="M608" t="str">
            <v>X</v>
          </cell>
          <cell r="N608" t="str">
            <v>X</v>
          </cell>
          <cell r="O608"/>
          <cell r="P608" t="str">
            <v>1008X04644</v>
          </cell>
          <cell r="Q608" t="str">
            <v>OSK</v>
          </cell>
          <cell r="R608" t="str">
            <v>WHL</v>
          </cell>
          <cell r="S608"/>
          <cell r="T608">
            <v>43337</v>
          </cell>
          <cell r="U608">
            <v>31</v>
          </cell>
          <cell r="V608" t="str">
            <v>PAOLA N027</v>
          </cell>
        </row>
        <row r="609">
          <cell r="B609" t="str">
            <v>V181272</v>
          </cell>
          <cell r="C609"/>
          <cell r="D609"/>
          <cell r="E609"/>
          <cell r="F609"/>
          <cell r="G609"/>
          <cell r="H609"/>
          <cell r="I609"/>
          <cell r="J609"/>
          <cell r="K609"/>
          <cell r="L609"/>
          <cell r="M609" t="str">
            <v>X</v>
          </cell>
          <cell r="N609" t="str">
            <v>X</v>
          </cell>
          <cell r="O609"/>
          <cell r="P609" t="str">
            <v>SITWHPOS176275</v>
          </cell>
          <cell r="Q609" t="str">
            <v>OSK</v>
          </cell>
          <cell r="R609" t="str">
            <v>SITC</v>
          </cell>
          <cell r="S609"/>
          <cell r="T609">
            <v>43339</v>
          </cell>
          <cell r="U609">
            <v>29</v>
          </cell>
          <cell r="V609" t="str">
            <v>SITC YANTAI 1819N</v>
          </cell>
        </row>
        <row r="610">
          <cell r="B610" t="str">
            <v>V181273</v>
          </cell>
          <cell r="C610" t="str">
            <v>V181289</v>
          </cell>
          <cell r="D610"/>
          <cell r="E610"/>
          <cell r="F610"/>
          <cell r="G610"/>
          <cell r="H610"/>
          <cell r="I610"/>
          <cell r="J610"/>
          <cell r="K610"/>
          <cell r="L610"/>
          <cell r="M610" t="str">
            <v>X</v>
          </cell>
          <cell r="N610" t="str">
            <v>X</v>
          </cell>
          <cell r="O610"/>
          <cell r="P610">
            <v>350810105960</v>
          </cell>
          <cell r="Q610" t="str">
            <v>TYO</v>
          </cell>
          <cell r="R610" t="str">
            <v>TSL</v>
          </cell>
          <cell r="S610"/>
          <cell r="T610">
            <v>43341</v>
          </cell>
          <cell r="U610">
            <v>27</v>
          </cell>
          <cell r="V610" t="str">
            <v>LANTAU BRIDGE 18005N</v>
          </cell>
        </row>
        <row r="611">
          <cell r="B611" t="str">
            <v>V181274</v>
          </cell>
          <cell r="C611" t="str">
            <v>V181298</v>
          </cell>
          <cell r="D611" t="str">
            <v>V181322</v>
          </cell>
          <cell r="E611"/>
          <cell r="F611"/>
          <cell r="G611"/>
          <cell r="H611"/>
          <cell r="I611"/>
          <cell r="J611"/>
          <cell r="K611"/>
          <cell r="L611"/>
          <cell r="M611" t="str">
            <v>X</v>
          </cell>
          <cell r="N611" t="str">
            <v>X</v>
          </cell>
          <cell r="P611" t="str">
            <v>SITWHPTK176273</v>
          </cell>
          <cell r="Q611" t="str">
            <v>TYO</v>
          </cell>
          <cell r="R611" t="str">
            <v>SITC</v>
          </cell>
          <cell r="S611"/>
          <cell r="T611">
            <v>43346</v>
          </cell>
          <cell r="U611">
            <v>22</v>
          </cell>
          <cell r="V611" t="str">
            <v>HYUNDAI HARMONY 1833N</v>
          </cell>
        </row>
        <row r="612">
          <cell r="B612" t="str">
            <v>V181275</v>
          </cell>
          <cell r="C612" t="str">
            <v>V181278</v>
          </cell>
          <cell r="D612" t="str">
            <v>V181281</v>
          </cell>
          <cell r="E612"/>
          <cell r="F612"/>
          <cell r="G612"/>
          <cell r="H612"/>
          <cell r="I612"/>
          <cell r="J612"/>
          <cell r="K612"/>
          <cell r="L612"/>
          <cell r="M612" t="str">
            <v>X</v>
          </cell>
          <cell r="N612" t="str">
            <v>X</v>
          </cell>
          <cell r="O612"/>
          <cell r="P612" t="str">
            <v>1008X04647</v>
          </cell>
          <cell r="Q612" t="str">
            <v>TYO</v>
          </cell>
          <cell r="R612" t="str">
            <v>WHL</v>
          </cell>
          <cell r="S612"/>
          <cell r="T612">
            <v>43341</v>
          </cell>
          <cell r="U612">
            <v>27</v>
          </cell>
          <cell r="V612" t="str">
            <v>WAN HAI 165 N300</v>
          </cell>
        </row>
        <row r="613">
          <cell r="B613" t="str">
            <v>V181276</v>
          </cell>
          <cell r="C613" t="str">
            <v>V181279</v>
          </cell>
          <cell r="D613" t="str">
            <v>V181280</v>
          </cell>
          <cell r="E613" t="str">
            <v>V181282</v>
          </cell>
          <cell r="F613" t="str">
            <v>V181285</v>
          </cell>
          <cell r="G613"/>
          <cell r="H613"/>
          <cell r="I613"/>
          <cell r="J613"/>
          <cell r="K613"/>
          <cell r="L613"/>
          <cell r="M613" t="str">
            <v>X</v>
          </cell>
          <cell r="N613" t="str">
            <v>X</v>
          </cell>
          <cell r="O613"/>
          <cell r="P613" t="str">
            <v>1008X04646</v>
          </cell>
          <cell r="Q613" t="str">
            <v>OSK</v>
          </cell>
          <cell r="R613" t="str">
            <v>WHL</v>
          </cell>
          <cell r="S613"/>
          <cell r="T613">
            <v>43341</v>
          </cell>
          <cell r="U613">
            <v>27</v>
          </cell>
          <cell r="V613" t="str">
            <v xml:space="preserve"> WAN HAI 165  N300</v>
          </cell>
        </row>
        <row r="614">
          <cell r="B614" t="str">
            <v>V181277</v>
          </cell>
          <cell r="C614" t="str">
            <v>V181284</v>
          </cell>
          <cell r="D614" t="str">
            <v>V181287</v>
          </cell>
          <cell r="E614" t="str">
            <v>V181291</v>
          </cell>
          <cell r="F614" t="str">
            <v>V181295</v>
          </cell>
          <cell r="G614" t="str">
            <v>V181299</v>
          </cell>
          <cell r="H614" t="str">
            <v>V181305</v>
          </cell>
          <cell r="I614" t="str">
            <v>V181309</v>
          </cell>
          <cell r="J614"/>
          <cell r="K614"/>
          <cell r="L614"/>
          <cell r="M614" t="str">
            <v>X</v>
          </cell>
          <cell r="N614" t="str">
            <v>X</v>
          </cell>
          <cell r="P614" t="str">
            <v>SITWHPKW175620</v>
          </cell>
          <cell r="Q614" t="str">
            <v>KWS</v>
          </cell>
          <cell r="R614" t="str">
            <v>SITC</v>
          </cell>
          <cell r="S614"/>
          <cell r="T614">
            <v>43346</v>
          </cell>
          <cell r="U614">
            <v>22</v>
          </cell>
          <cell r="V614" t="str">
            <v>HYUNDAI HARMONY 1833N</v>
          </cell>
        </row>
        <row r="615">
          <cell r="B615" t="str">
            <v>V181283</v>
          </cell>
          <cell r="C615" t="str">
            <v>V181283-1</v>
          </cell>
          <cell r="D615"/>
          <cell r="E615"/>
          <cell r="F615"/>
          <cell r="G615"/>
          <cell r="H615"/>
          <cell r="I615"/>
          <cell r="J615"/>
          <cell r="K615"/>
          <cell r="L615"/>
          <cell r="M615" t="str">
            <v>X</v>
          </cell>
          <cell r="N615" t="str">
            <v>X</v>
          </cell>
          <cell r="O615"/>
          <cell r="P615" t="str">
            <v>KMTCHPH0584036</v>
          </cell>
          <cell r="Q615" t="str">
            <v>ISH</v>
          </cell>
          <cell r="R615" t="str">
            <v>KMTC</v>
          </cell>
          <cell r="S615"/>
          <cell r="T615">
            <v>43344</v>
          </cell>
          <cell r="U615">
            <v>24</v>
          </cell>
          <cell r="V615" t="str">
            <v>TRIUMPH 1817N</v>
          </cell>
        </row>
        <row r="616">
          <cell r="B616" t="str">
            <v>V181286</v>
          </cell>
          <cell r="C616"/>
          <cell r="D616"/>
          <cell r="E616"/>
          <cell r="F616"/>
          <cell r="G616"/>
          <cell r="H616"/>
          <cell r="I616"/>
          <cell r="J616"/>
          <cell r="K616"/>
          <cell r="L616"/>
          <cell r="M616" t="str">
            <v>X</v>
          </cell>
          <cell r="N616" t="str">
            <v>X</v>
          </cell>
          <cell r="O616"/>
          <cell r="P616">
            <v>350810102273</v>
          </cell>
          <cell r="Q616" t="str">
            <v>HKT</v>
          </cell>
          <cell r="R616" t="str">
            <v>TSL</v>
          </cell>
          <cell r="S616"/>
          <cell r="T616">
            <v>43341</v>
          </cell>
          <cell r="U616">
            <v>27</v>
          </cell>
          <cell r="V616" t="str">
            <v>LANTAU BRIDGE 18005N</v>
          </cell>
        </row>
        <row r="617">
          <cell r="B617" t="str">
            <v>V181288</v>
          </cell>
          <cell r="C617"/>
          <cell r="D617"/>
          <cell r="E617"/>
          <cell r="F617"/>
          <cell r="G617"/>
          <cell r="H617"/>
          <cell r="I617"/>
          <cell r="J617"/>
          <cell r="K617"/>
          <cell r="L617"/>
          <cell r="M617" t="str">
            <v>X</v>
          </cell>
          <cell r="N617" t="str">
            <v>X</v>
          </cell>
          <cell r="O617"/>
          <cell r="P617">
            <v>350810102198</v>
          </cell>
          <cell r="Q617" t="str">
            <v>OSK</v>
          </cell>
          <cell r="R617" t="str">
            <v>TSL</v>
          </cell>
          <cell r="S617"/>
          <cell r="T617">
            <v>43341</v>
          </cell>
          <cell r="U617">
            <v>27</v>
          </cell>
          <cell r="V617" t="str">
            <v>LANTAU BRIDGE 18005N</v>
          </cell>
        </row>
        <row r="618">
          <cell r="B618" t="str">
            <v>V181290</v>
          </cell>
          <cell r="C618" t="str">
            <v>V181294</v>
          </cell>
          <cell r="D618" t="str">
            <v>V181303</v>
          </cell>
          <cell r="E618"/>
          <cell r="F618"/>
          <cell r="G618"/>
          <cell r="H618"/>
          <cell r="I618"/>
          <cell r="J618"/>
          <cell r="K618"/>
          <cell r="L618"/>
          <cell r="M618" t="str">
            <v>X</v>
          </cell>
          <cell r="N618" t="str">
            <v>X</v>
          </cell>
          <cell r="O618"/>
          <cell r="P618" t="str">
            <v>EGLV237800271001</v>
          </cell>
          <cell r="Q618" t="str">
            <v>TYO</v>
          </cell>
          <cell r="R618" t="str">
            <v>EGLV</v>
          </cell>
          <cell r="S618"/>
          <cell r="T618">
            <v>43345</v>
          </cell>
          <cell r="U618">
            <v>23</v>
          </cell>
          <cell r="V618" t="str">
            <v>UNI-ACCORD 0600-566N</v>
          </cell>
        </row>
        <row r="619">
          <cell r="B619" t="str">
            <v>V181292</v>
          </cell>
          <cell r="C619"/>
          <cell r="D619"/>
          <cell r="E619"/>
          <cell r="F619"/>
          <cell r="G619"/>
          <cell r="H619"/>
          <cell r="I619"/>
          <cell r="J619"/>
          <cell r="K619"/>
          <cell r="L619"/>
          <cell r="M619" t="str">
            <v>X</v>
          </cell>
          <cell r="N619" t="str">
            <v>X</v>
          </cell>
          <cell r="O619"/>
          <cell r="P619" t="str">
            <v>1008X04866</v>
          </cell>
          <cell r="Q619" t="str">
            <v>OSK</v>
          </cell>
          <cell r="R619" t="str">
            <v>WHL</v>
          </cell>
          <cell r="S619"/>
          <cell r="T619">
            <v>43344</v>
          </cell>
          <cell r="U619">
            <v>24</v>
          </cell>
          <cell r="V619" t="str">
            <v>PAOLA N028</v>
          </cell>
        </row>
        <row r="620">
          <cell r="B620" t="str">
            <v>V181293</v>
          </cell>
          <cell r="C620" t="str">
            <v>V181321</v>
          </cell>
          <cell r="D620"/>
          <cell r="E620"/>
          <cell r="F620"/>
          <cell r="G620"/>
          <cell r="H620"/>
          <cell r="I620"/>
          <cell r="J620"/>
          <cell r="K620"/>
          <cell r="L620"/>
          <cell r="M620" t="str">
            <v>X</v>
          </cell>
          <cell r="N620" t="str">
            <v>X</v>
          </cell>
          <cell r="P620" t="str">
            <v>KMTCHPH0582285</v>
          </cell>
          <cell r="Q620" t="str">
            <v>ISH</v>
          </cell>
          <cell r="R620" t="str">
            <v>KMTC</v>
          </cell>
          <cell r="S620"/>
          <cell r="T620">
            <v>43346</v>
          </cell>
          <cell r="U620">
            <v>22</v>
          </cell>
          <cell r="V620" t="str">
            <v>STARSHIP AQUILA 1814N</v>
          </cell>
        </row>
        <row r="621">
          <cell r="B621" t="str">
            <v>V181296</v>
          </cell>
          <cell r="C621"/>
          <cell r="D621"/>
          <cell r="E621"/>
          <cell r="F621"/>
          <cell r="G621"/>
          <cell r="H621"/>
          <cell r="I621"/>
          <cell r="J621"/>
          <cell r="K621"/>
          <cell r="L621"/>
          <cell r="M621" t="str">
            <v>X</v>
          </cell>
          <cell r="N621" t="str">
            <v>X</v>
          </cell>
          <cell r="P621">
            <v>350810102204</v>
          </cell>
          <cell r="Q621" t="str">
            <v>OSK</v>
          </cell>
          <cell r="R621" t="str">
            <v>TSL</v>
          </cell>
          <cell r="S621"/>
          <cell r="T621">
            <v>43346</v>
          </cell>
          <cell r="U621">
            <v>22</v>
          </cell>
          <cell r="V621" t="str">
            <v>LANTAU BEE 18012N</v>
          </cell>
        </row>
        <row r="622">
          <cell r="B622" t="str">
            <v>V181297</v>
          </cell>
          <cell r="C622" t="str">
            <v>V181302</v>
          </cell>
          <cell r="D622"/>
          <cell r="E622"/>
          <cell r="F622"/>
          <cell r="G622"/>
          <cell r="H622"/>
          <cell r="I622"/>
          <cell r="J622"/>
          <cell r="K622"/>
          <cell r="L622"/>
          <cell r="M622" t="str">
            <v>X</v>
          </cell>
          <cell r="N622" t="str">
            <v>X</v>
          </cell>
          <cell r="O622"/>
          <cell r="P622" t="str">
            <v>1008X04868</v>
          </cell>
          <cell r="Q622" t="str">
            <v>HKT</v>
          </cell>
          <cell r="R622" t="str">
            <v>WHL</v>
          </cell>
          <cell r="S622"/>
          <cell r="T622">
            <v>43344</v>
          </cell>
          <cell r="U622">
            <v>24</v>
          </cell>
          <cell r="V622" t="str">
            <v>PAOLA N028</v>
          </cell>
        </row>
        <row r="623">
          <cell r="B623" t="str">
            <v>V181300</v>
          </cell>
          <cell r="C623"/>
          <cell r="D623"/>
          <cell r="E623"/>
          <cell r="F623"/>
          <cell r="G623"/>
          <cell r="H623"/>
          <cell r="I623"/>
          <cell r="J623"/>
          <cell r="K623"/>
          <cell r="L623"/>
          <cell r="M623" t="str">
            <v>X</v>
          </cell>
          <cell r="N623" t="str">
            <v>X</v>
          </cell>
          <cell r="O623"/>
          <cell r="P623" t="str">
            <v>SITWHPOS176277</v>
          </cell>
          <cell r="Q623" t="str">
            <v>OSK</v>
          </cell>
          <cell r="R623" t="str">
            <v>SITC</v>
          </cell>
          <cell r="S623"/>
          <cell r="T623">
            <v>43346</v>
          </cell>
          <cell r="U623">
            <v>22</v>
          </cell>
          <cell r="V623" t="str">
            <v>HANSE ENERGY 1823N</v>
          </cell>
        </row>
        <row r="624">
          <cell r="B624" t="str">
            <v>V181304</v>
          </cell>
          <cell r="C624" t="str">
            <v>V181307</v>
          </cell>
          <cell r="D624"/>
          <cell r="E624"/>
          <cell r="F624"/>
          <cell r="G624"/>
          <cell r="H624"/>
          <cell r="I624"/>
          <cell r="J624"/>
          <cell r="K624"/>
          <cell r="L624"/>
          <cell r="M624" t="str">
            <v>X</v>
          </cell>
          <cell r="N624" t="str">
            <v>X</v>
          </cell>
          <cell r="P624" t="str">
            <v>SITWHPHT177051</v>
          </cell>
          <cell r="Q624" t="str">
            <v>HKT</v>
          </cell>
          <cell r="R624" t="str">
            <v>SITC</v>
          </cell>
          <cell r="S624"/>
          <cell r="T624">
            <v>43346</v>
          </cell>
          <cell r="U624">
            <v>22</v>
          </cell>
          <cell r="V624" t="str">
            <v>HANSE ENERGY 1823N</v>
          </cell>
        </row>
        <row r="625">
          <cell r="B625" t="str">
            <v>V181306</v>
          </cell>
          <cell r="C625" t="str">
            <v>V181310</v>
          </cell>
          <cell r="D625"/>
          <cell r="E625"/>
          <cell r="F625"/>
          <cell r="G625"/>
          <cell r="H625"/>
          <cell r="I625"/>
          <cell r="J625"/>
          <cell r="K625"/>
          <cell r="L625"/>
          <cell r="M625" t="str">
            <v>X</v>
          </cell>
          <cell r="N625" t="str">
            <v>X</v>
          </cell>
          <cell r="P625" t="str">
            <v>SITWHPOS177112</v>
          </cell>
          <cell r="Q625" t="str">
            <v>OSK</v>
          </cell>
          <cell r="R625" t="str">
            <v>SITC</v>
          </cell>
          <cell r="S625"/>
          <cell r="T625">
            <v>43346</v>
          </cell>
          <cell r="U625">
            <v>22</v>
          </cell>
          <cell r="V625" t="str">
            <v>HANSE ENERGY 1823N</v>
          </cell>
        </row>
        <row r="626">
          <cell r="B626" t="str">
            <v>V181308</v>
          </cell>
          <cell r="C626"/>
          <cell r="D626"/>
          <cell r="E626"/>
          <cell r="F626"/>
          <cell r="G626"/>
          <cell r="H626"/>
          <cell r="I626"/>
          <cell r="J626"/>
          <cell r="K626"/>
          <cell r="L626"/>
          <cell r="M626" t="str">
            <v>X</v>
          </cell>
          <cell r="N626" t="str">
            <v>X</v>
          </cell>
          <cell r="P626">
            <v>350810107339</v>
          </cell>
          <cell r="Q626" t="str">
            <v>TYO</v>
          </cell>
          <cell r="R626" t="str">
            <v>TSL</v>
          </cell>
          <cell r="S626"/>
          <cell r="T626">
            <v>43346</v>
          </cell>
          <cell r="U626">
            <v>22</v>
          </cell>
          <cell r="V626" t="str">
            <v>LANTAU BEE 18012N</v>
          </cell>
        </row>
        <row r="627">
          <cell r="B627" t="str">
            <v>V181320</v>
          </cell>
          <cell r="C627"/>
          <cell r="D627"/>
          <cell r="E627"/>
          <cell r="F627"/>
          <cell r="G627"/>
          <cell r="H627"/>
          <cell r="I627"/>
          <cell r="J627"/>
          <cell r="K627"/>
          <cell r="L627"/>
          <cell r="M627" t="str">
            <v>X</v>
          </cell>
          <cell r="N627" t="str">
            <v>X</v>
          </cell>
          <cell r="O627"/>
          <cell r="P627">
            <v>350810106653</v>
          </cell>
          <cell r="Q627" t="str">
            <v>TPE</v>
          </cell>
          <cell r="R627" t="str">
            <v>TSL</v>
          </cell>
          <cell r="S627"/>
          <cell r="T627">
            <v>43346</v>
          </cell>
          <cell r="U627">
            <v>22</v>
          </cell>
          <cell r="V627" t="str">
            <v>LANTAU BEE 18012N</v>
          </cell>
        </row>
        <row r="628">
          <cell r="B628" t="str">
            <v>V181311</v>
          </cell>
          <cell r="C628" t="str">
            <v>V181318</v>
          </cell>
          <cell r="M628" t="str">
            <v>X</v>
          </cell>
          <cell r="N628" t="str">
            <v>X</v>
          </cell>
          <cell r="O628"/>
          <cell r="P628" t="str">
            <v>1008X04882</v>
          </cell>
          <cell r="Q628" t="str">
            <v>TYO</v>
          </cell>
          <cell r="R628" t="str">
            <v>WHL</v>
          </cell>
          <cell r="S628"/>
          <cell r="T628">
            <v>43349</v>
          </cell>
          <cell r="U628">
            <v>19</v>
          </cell>
          <cell r="V628" t="str">
            <v>WAN HAI 267 N271</v>
          </cell>
        </row>
        <row r="629">
          <cell r="B629" t="str">
            <v>V181312</v>
          </cell>
          <cell r="C629" t="str">
            <v>V181316</v>
          </cell>
          <cell r="D629" t="str">
            <v>V181317</v>
          </cell>
          <cell r="E629"/>
          <cell r="F629"/>
          <cell r="G629"/>
          <cell r="H629"/>
          <cell r="I629"/>
          <cell r="J629"/>
          <cell r="K629"/>
          <cell r="L629"/>
          <cell r="M629" t="str">
            <v>X</v>
          </cell>
          <cell r="N629" t="str">
            <v>X</v>
          </cell>
          <cell r="O629"/>
          <cell r="P629" t="str">
            <v>1008X04870</v>
          </cell>
          <cell r="Q629" t="str">
            <v>OSK</v>
          </cell>
          <cell r="R629" t="str">
            <v>WHL</v>
          </cell>
          <cell r="S629"/>
          <cell r="T629">
            <v>43350</v>
          </cell>
          <cell r="U629">
            <v>18</v>
          </cell>
          <cell r="V629" t="str">
            <v>AS FIONA N009</v>
          </cell>
        </row>
        <row r="630">
          <cell r="B630" t="str">
            <v>V181313</v>
          </cell>
          <cell r="C630" t="str">
            <v>V181315</v>
          </cell>
          <cell r="D630" t="str">
            <v>V181324</v>
          </cell>
          <cell r="E630" t="str">
            <v>V181340</v>
          </cell>
          <cell r="F630"/>
          <cell r="G630"/>
          <cell r="H630"/>
          <cell r="I630"/>
          <cell r="J630"/>
          <cell r="K630"/>
          <cell r="L630"/>
          <cell r="M630" t="str">
            <v>X</v>
          </cell>
          <cell r="N630" t="str">
            <v>X</v>
          </cell>
          <cell r="O630"/>
          <cell r="P630" t="str">
            <v>SITWHPKW176264</v>
          </cell>
          <cell r="Q630" t="str">
            <v>KWS</v>
          </cell>
          <cell r="R630" t="str">
            <v>SITC</v>
          </cell>
          <cell r="S630"/>
          <cell r="T630">
            <v>43349</v>
          </cell>
          <cell r="U630">
            <v>19</v>
          </cell>
          <cell r="V630" t="str">
            <v>SITC MOJI 1839N</v>
          </cell>
        </row>
        <row r="631">
          <cell r="B631" t="str">
            <v>V181314</v>
          </cell>
          <cell r="C631"/>
          <cell r="D631"/>
          <cell r="E631"/>
          <cell r="F631"/>
          <cell r="G631"/>
          <cell r="H631"/>
          <cell r="I631"/>
          <cell r="J631"/>
          <cell r="K631"/>
          <cell r="L631"/>
          <cell r="M631" t="str">
            <v>X</v>
          </cell>
          <cell r="N631" t="str">
            <v>X</v>
          </cell>
          <cell r="O631"/>
          <cell r="P631" t="str">
            <v>1008X04871</v>
          </cell>
          <cell r="Q631" t="str">
            <v>HKT</v>
          </cell>
          <cell r="R631" t="str">
            <v>WHL</v>
          </cell>
          <cell r="S631"/>
          <cell r="T631">
            <v>43348</v>
          </cell>
          <cell r="U631">
            <v>20</v>
          </cell>
          <cell r="V631" t="str">
            <v>CAPE FLINT N005</v>
          </cell>
        </row>
        <row r="632">
          <cell r="B632" t="str">
            <v>V181319</v>
          </cell>
          <cell r="C632"/>
          <cell r="D632"/>
          <cell r="E632"/>
          <cell r="F632"/>
          <cell r="G632"/>
          <cell r="H632"/>
          <cell r="I632"/>
          <cell r="J632"/>
          <cell r="K632"/>
          <cell r="L632"/>
          <cell r="M632" t="str">
            <v>X</v>
          </cell>
          <cell r="N632" t="str">
            <v>X</v>
          </cell>
          <cell r="O632"/>
          <cell r="P632">
            <v>350810106660</v>
          </cell>
          <cell r="Q632" t="str">
            <v>TPE</v>
          </cell>
          <cell r="R632" t="str">
            <v>TSL</v>
          </cell>
          <cell r="S632"/>
          <cell r="T632">
            <v>43353</v>
          </cell>
          <cell r="U632">
            <v>15</v>
          </cell>
          <cell r="V632" t="str">
            <v>ULTIMA 18002N</v>
          </cell>
        </row>
        <row r="633">
          <cell r="B633" t="str">
            <v>V181323</v>
          </cell>
          <cell r="C633"/>
          <cell r="D633"/>
          <cell r="E633"/>
          <cell r="F633"/>
          <cell r="G633"/>
          <cell r="H633"/>
          <cell r="I633"/>
          <cell r="J633"/>
          <cell r="K633"/>
          <cell r="L633"/>
          <cell r="M633" t="str">
            <v>X</v>
          </cell>
          <cell r="N633" t="str">
            <v>X</v>
          </cell>
          <cell r="O633"/>
          <cell r="P633" t="str">
            <v>1008X05092</v>
          </cell>
          <cell r="Q633" t="str">
            <v>OSK</v>
          </cell>
          <cell r="R633" t="str">
            <v>WHL</v>
          </cell>
          <cell r="S633"/>
          <cell r="T633">
            <v>43349</v>
          </cell>
          <cell r="U633">
            <v>19</v>
          </cell>
          <cell r="V633" t="str">
            <v>WAN HAI 267 N271</v>
          </cell>
        </row>
        <row r="634">
          <cell r="B634" t="str">
            <v>V181325</v>
          </cell>
          <cell r="C634"/>
          <cell r="D634"/>
          <cell r="E634"/>
          <cell r="F634"/>
          <cell r="G634"/>
          <cell r="H634"/>
          <cell r="I634"/>
          <cell r="J634" t="str">
            <v xml:space="preserve"> </v>
          </cell>
          <cell r="K634"/>
          <cell r="L634"/>
          <cell r="M634" t="str">
            <v>X</v>
          </cell>
          <cell r="N634" t="str">
            <v>X</v>
          </cell>
          <cell r="O634"/>
          <cell r="P634">
            <v>350810106639</v>
          </cell>
          <cell r="Q634" t="str">
            <v>OSK</v>
          </cell>
          <cell r="R634" t="str">
            <v>TSL</v>
          </cell>
          <cell r="S634"/>
          <cell r="T634">
            <v>43349</v>
          </cell>
          <cell r="U634">
            <v>19</v>
          </cell>
          <cell r="V634" t="str">
            <v>MARCARRIER 18015N</v>
          </cell>
        </row>
        <row r="635">
          <cell r="B635" t="str">
            <v>V181326</v>
          </cell>
          <cell r="C635"/>
          <cell r="D635"/>
          <cell r="E635"/>
          <cell r="F635"/>
          <cell r="G635"/>
          <cell r="H635"/>
          <cell r="I635"/>
          <cell r="J635"/>
          <cell r="K635"/>
          <cell r="L635"/>
          <cell r="M635" t="str">
            <v>X</v>
          </cell>
          <cell r="N635" t="str">
            <v>X</v>
          </cell>
          <cell r="O635"/>
          <cell r="P635" t="str">
            <v>KMTCHPH0581535</v>
          </cell>
          <cell r="Q635" t="str">
            <v>ISH</v>
          </cell>
          <cell r="R635" t="str">
            <v>KMTC</v>
          </cell>
          <cell r="S635"/>
          <cell r="T635">
            <v>43353</v>
          </cell>
          <cell r="U635">
            <v>15</v>
          </cell>
          <cell r="V635" t="str">
            <v>HONGKONG VOYAGER 0083N</v>
          </cell>
        </row>
        <row r="636">
          <cell r="B636" t="str">
            <v>V181327</v>
          </cell>
          <cell r="C636" t="str">
            <v>V181329</v>
          </cell>
          <cell r="D636"/>
          <cell r="E636"/>
          <cell r="F636"/>
          <cell r="G636"/>
          <cell r="H636"/>
          <cell r="I636"/>
          <cell r="J636"/>
          <cell r="K636"/>
          <cell r="L636"/>
          <cell r="M636" t="str">
            <v>X</v>
          </cell>
          <cell r="N636" t="str">
            <v>X</v>
          </cell>
          <cell r="O636"/>
          <cell r="P636" t="str">
            <v>1008X05090</v>
          </cell>
          <cell r="Q636" t="str">
            <v>TYO</v>
          </cell>
          <cell r="R636" t="str">
            <v>WHL</v>
          </cell>
          <cell r="S636"/>
          <cell r="T636">
            <v>43351</v>
          </cell>
          <cell r="U636">
            <v>17</v>
          </cell>
          <cell r="V636" t="str">
            <v xml:space="preserve"> PAOLA  N029</v>
          </cell>
        </row>
        <row r="637">
          <cell r="B637" t="str">
            <v>V181328</v>
          </cell>
          <cell r="C637" t="str">
            <v>V181333</v>
          </cell>
          <cell r="D637" t="str">
            <v>V181334</v>
          </cell>
          <cell r="E637" t="str">
            <v>V181345</v>
          </cell>
          <cell r="F637" t="str">
            <v>V181388</v>
          </cell>
          <cell r="G637" t="str">
            <v>V181389</v>
          </cell>
          <cell r="H637"/>
          <cell r="I637"/>
          <cell r="J637"/>
          <cell r="K637"/>
          <cell r="L637"/>
          <cell r="M637" t="str">
            <v>X</v>
          </cell>
          <cell r="N637" t="str">
            <v>X</v>
          </cell>
          <cell r="O637"/>
          <cell r="P637" t="str">
            <v>SITWHPTK177116</v>
          </cell>
          <cell r="Q637" t="str">
            <v>TYO</v>
          </cell>
          <cell r="R637" t="str">
            <v>SITC</v>
          </cell>
          <cell r="S637"/>
          <cell r="T637">
            <v>43353</v>
          </cell>
          <cell r="U637">
            <v>15</v>
          </cell>
          <cell r="V637" t="str">
            <v>SITC NAGOYA 1825N</v>
          </cell>
        </row>
        <row r="638">
          <cell r="B638" t="str">
            <v>V181330</v>
          </cell>
          <cell r="C638" t="str">
            <v>V181335</v>
          </cell>
          <cell r="D638" t="str">
            <v>V181342</v>
          </cell>
          <cell r="E638" t="str">
            <v>V181343</v>
          </cell>
          <cell r="F638" t="str">
            <v>V181347</v>
          </cell>
          <cell r="G638" t="str">
            <v>V181350</v>
          </cell>
          <cell r="H638"/>
          <cell r="I638"/>
          <cell r="J638"/>
          <cell r="K638"/>
          <cell r="L638"/>
          <cell r="M638" t="str">
            <v>X</v>
          </cell>
          <cell r="N638" t="str">
            <v>X</v>
          </cell>
          <cell r="O638"/>
          <cell r="P638" t="str">
            <v>SITWHPKW177123</v>
          </cell>
          <cell r="Q638" t="str">
            <v>KWS</v>
          </cell>
          <cell r="R638" t="str">
            <v>SITC</v>
          </cell>
          <cell r="S638"/>
          <cell r="T638">
            <v>43353</v>
          </cell>
          <cell r="U638">
            <v>15</v>
          </cell>
          <cell r="V638" t="str">
            <v>SITC NAGOYA 1825N</v>
          </cell>
        </row>
        <row r="639">
          <cell r="B639" t="str">
            <v>V181331</v>
          </cell>
          <cell r="C639" t="str">
            <v>V181336</v>
          </cell>
          <cell r="D639" t="str">
            <v>V181344</v>
          </cell>
          <cell r="E639"/>
          <cell r="F639"/>
          <cell r="G639"/>
          <cell r="H639"/>
          <cell r="I639"/>
          <cell r="J639"/>
          <cell r="K639"/>
          <cell r="L639"/>
          <cell r="M639" t="str">
            <v>X</v>
          </cell>
          <cell r="N639" t="str">
            <v>X</v>
          </cell>
          <cell r="O639"/>
          <cell r="P639" t="str">
            <v>1008X05088</v>
          </cell>
          <cell r="Q639" t="str">
            <v>OSK</v>
          </cell>
          <cell r="R639" t="str">
            <v>WHL</v>
          </cell>
          <cell r="S639"/>
          <cell r="T639">
            <v>43351</v>
          </cell>
          <cell r="U639">
            <v>17</v>
          </cell>
          <cell r="V639" t="str">
            <v xml:space="preserve"> PAOLA N029</v>
          </cell>
        </row>
        <row r="640">
          <cell r="B640" t="str">
            <v>V181332</v>
          </cell>
          <cell r="C640" t="str">
            <v>V181339</v>
          </cell>
          <cell r="D640"/>
          <cell r="E640"/>
          <cell r="F640"/>
          <cell r="G640"/>
          <cell r="H640"/>
          <cell r="I640"/>
          <cell r="J640"/>
          <cell r="K640"/>
          <cell r="L640"/>
          <cell r="M640" t="str">
            <v>X</v>
          </cell>
          <cell r="N640" t="str">
            <v>X</v>
          </cell>
          <cell r="O640"/>
          <cell r="P640">
            <v>350810106608</v>
          </cell>
          <cell r="Q640" t="str">
            <v>TYO</v>
          </cell>
          <cell r="R640" t="str">
            <v>TSL</v>
          </cell>
          <cell r="S640"/>
          <cell r="T640">
            <v>43349</v>
          </cell>
          <cell r="U640">
            <v>19</v>
          </cell>
          <cell r="V640" t="str">
            <v>MARCARRIER 18015N</v>
          </cell>
        </row>
        <row r="641">
          <cell r="B641" t="str">
            <v>V181346</v>
          </cell>
          <cell r="C641"/>
          <cell r="D641"/>
          <cell r="E641"/>
          <cell r="F641"/>
          <cell r="G641"/>
          <cell r="H641"/>
          <cell r="I641"/>
          <cell r="J641"/>
          <cell r="K641"/>
          <cell r="L641"/>
          <cell r="M641" t="str">
            <v>X</v>
          </cell>
          <cell r="N641" t="str">
            <v>X</v>
          </cell>
          <cell r="O641"/>
          <cell r="P641" t="str">
            <v>1008X05327</v>
          </cell>
          <cell r="Q641" t="str">
            <v>TYO</v>
          </cell>
          <cell r="R641" t="str">
            <v>WHL</v>
          </cell>
          <cell r="S641"/>
          <cell r="T641">
            <v>43356</v>
          </cell>
          <cell r="U641">
            <v>12</v>
          </cell>
          <cell r="V641" t="str">
            <v>WAN HAI 172 S300</v>
          </cell>
        </row>
        <row r="642">
          <cell r="B642" t="str">
            <v>V181337</v>
          </cell>
          <cell r="C642" t="str">
            <v>V181338</v>
          </cell>
          <cell r="D642" t="str">
            <v>V181349</v>
          </cell>
          <cell r="E642"/>
          <cell r="F642"/>
          <cell r="G642"/>
          <cell r="H642"/>
          <cell r="I642"/>
          <cell r="J642"/>
          <cell r="K642"/>
          <cell r="L642"/>
          <cell r="M642" t="str">
            <v>X</v>
          </cell>
          <cell r="N642" t="str">
            <v>X</v>
          </cell>
          <cell r="O642"/>
          <cell r="P642" t="str">
            <v>SITWHPHT177515</v>
          </cell>
          <cell r="Q642" t="str">
            <v>HKT</v>
          </cell>
          <cell r="R642" t="str">
            <v>SITC</v>
          </cell>
          <cell r="S642"/>
          <cell r="T642">
            <v>43352</v>
          </cell>
          <cell r="U642">
            <v>16</v>
          </cell>
          <cell r="V642" t="str">
            <v>SITC WEIHAI 1821N</v>
          </cell>
        </row>
        <row r="643">
          <cell r="B643" t="str">
            <v>V181341</v>
          </cell>
          <cell r="C643"/>
          <cell r="D643"/>
          <cell r="E643"/>
          <cell r="F643"/>
          <cell r="G643"/>
          <cell r="H643"/>
          <cell r="I643"/>
          <cell r="J643"/>
          <cell r="K643"/>
          <cell r="L643"/>
          <cell r="M643" t="str">
            <v>X</v>
          </cell>
          <cell r="N643" t="str">
            <v>X</v>
          </cell>
          <cell r="O643"/>
          <cell r="P643" t="str">
            <v>SNL8HPCL001664</v>
          </cell>
          <cell r="Q643" t="str">
            <v>SHA</v>
          </cell>
          <cell r="R643" t="str">
            <v>SNL</v>
          </cell>
          <cell r="S643"/>
          <cell r="T643">
            <v>43356</v>
          </cell>
          <cell r="U643">
            <v>12</v>
          </cell>
          <cell r="V643" t="str">
            <v>WISDOM GRACE 1833N</v>
          </cell>
        </row>
        <row r="644">
          <cell r="B644" t="str">
            <v>V181348</v>
          </cell>
          <cell r="C644" t="str">
            <v>V181351</v>
          </cell>
          <cell r="D644"/>
          <cell r="E644"/>
          <cell r="F644"/>
          <cell r="G644"/>
          <cell r="H644"/>
          <cell r="I644"/>
          <cell r="J644"/>
          <cell r="K644"/>
          <cell r="L644"/>
          <cell r="M644" t="str">
            <v>X</v>
          </cell>
          <cell r="N644" t="str">
            <v>X</v>
          </cell>
          <cell r="O644"/>
          <cell r="P644" t="str">
            <v>SITWHPOS177714</v>
          </cell>
          <cell r="Q644" t="str">
            <v>OSK</v>
          </cell>
          <cell r="R644" t="str">
            <v>SITC</v>
          </cell>
          <cell r="S644"/>
          <cell r="T644">
            <v>43352</v>
          </cell>
          <cell r="U644">
            <v>16</v>
          </cell>
          <cell r="V644" t="str">
            <v>SITC WEIHAI 1821N</v>
          </cell>
        </row>
        <row r="645">
          <cell r="B645" t="str">
            <v>V181390</v>
          </cell>
          <cell r="C645"/>
          <cell r="D645"/>
          <cell r="E645"/>
          <cell r="F645"/>
          <cell r="G645"/>
          <cell r="H645"/>
          <cell r="I645"/>
          <cell r="J645"/>
          <cell r="K645"/>
          <cell r="L645"/>
          <cell r="M645" t="str">
            <v>X</v>
          </cell>
          <cell r="N645" t="str">
            <v>X</v>
          </cell>
          <cell r="O645"/>
          <cell r="P645">
            <v>350810110872</v>
          </cell>
          <cell r="Q645" t="str">
            <v>HKT</v>
          </cell>
          <cell r="R645" t="str">
            <v>TSL</v>
          </cell>
          <cell r="S645"/>
          <cell r="T645">
            <v>43353</v>
          </cell>
          <cell r="U645">
            <v>15</v>
          </cell>
          <cell r="V645" t="str">
            <v>ULTIMA 18002N</v>
          </cell>
        </row>
        <row r="646">
          <cell r="B646" t="str">
            <v>V181352</v>
          </cell>
          <cell r="C646"/>
          <cell r="M646" t="str">
            <v>X</v>
          </cell>
          <cell r="N646" t="str">
            <v>X</v>
          </cell>
          <cell r="O646"/>
          <cell r="P646" t="str">
            <v>KMTCHPH0587630</v>
          </cell>
          <cell r="Q646" t="str">
            <v>ISH</v>
          </cell>
          <cell r="R646" t="str">
            <v>KMTC</v>
          </cell>
          <cell r="S646"/>
          <cell r="T646">
            <v>43355</v>
          </cell>
          <cell r="U646">
            <v>13</v>
          </cell>
          <cell r="V646" t="str">
            <v>KOTA WANGSA 017N</v>
          </cell>
        </row>
        <row r="647">
          <cell r="B647" t="str">
            <v>V181353</v>
          </cell>
          <cell r="C647" t="str">
            <v>V181368</v>
          </cell>
          <cell r="D647" t="str">
            <v>V181396</v>
          </cell>
          <cell r="E647"/>
          <cell r="F647"/>
          <cell r="G647"/>
          <cell r="H647"/>
          <cell r="I647"/>
          <cell r="J647"/>
          <cell r="K647"/>
          <cell r="L647"/>
          <cell r="M647" t="str">
            <v>X</v>
          </cell>
          <cell r="N647" t="str">
            <v>X</v>
          </cell>
          <cell r="O647"/>
          <cell r="P647">
            <v>350810109302</v>
          </cell>
          <cell r="Q647" t="str">
            <v>TYO</v>
          </cell>
          <cell r="R647" t="str">
            <v>TSL</v>
          </cell>
          <cell r="S647"/>
          <cell r="T647">
            <v>43355</v>
          </cell>
          <cell r="U647">
            <v>13</v>
          </cell>
          <cell r="V647" t="str">
            <v>MARCLIFF 18015N</v>
          </cell>
        </row>
        <row r="648">
          <cell r="B648" t="str">
            <v>V181354</v>
          </cell>
          <cell r="C648" t="str">
            <v>V181358</v>
          </cell>
          <cell r="D648"/>
          <cell r="E648"/>
          <cell r="F648"/>
          <cell r="G648"/>
          <cell r="H648"/>
          <cell r="I648"/>
          <cell r="J648"/>
          <cell r="K648"/>
          <cell r="L648"/>
          <cell r="M648" t="str">
            <v>X</v>
          </cell>
          <cell r="N648" t="str">
            <v>X</v>
          </cell>
          <cell r="O648"/>
          <cell r="P648" t="str">
            <v>SITWHPTK177549</v>
          </cell>
          <cell r="Q648" t="str">
            <v>TYO</v>
          </cell>
          <cell r="R648" t="str">
            <v>SITC</v>
          </cell>
          <cell r="S648"/>
          <cell r="T648">
            <v>43356</v>
          </cell>
          <cell r="U648">
            <v>12</v>
          </cell>
          <cell r="V648" t="str">
            <v>AVRA C 1825N</v>
          </cell>
        </row>
        <row r="649">
          <cell r="B649" t="str">
            <v>V181355</v>
          </cell>
          <cell r="C649" t="str">
            <v>V181361</v>
          </cell>
          <cell r="D649" t="str">
            <v>V181365</v>
          </cell>
          <cell r="E649" t="str">
            <v>V181372</v>
          </cell>
          <cell r="F649"/>
          <cell r="G649"/>
          <cell r="H649"/>
          <cell r="I649"/>
          <cell r="J649"/>
          <cell r="K649"/>
          <cell r="L649"/>
          <cell r="M649" t="str">
            <v>X</v>
          </cell>
          <cell r="N649" t="str">
            <v>X</v>
          </cell>
          <cell r="O649"/>
          <cell r="P649" t="str">
            <v>1008X05152</v>
          </cell>
          <cell r="Q649" t="str">
            <v>TYO</v>
          </cell>
          <cell r="R649" t="str">
            <v>WHL</v>
          </cell>
          <cell r="S649"/>
          <cell r="T649">
            <v>43355</v>
          </cell>
          <cell r="U649">
            <v>13</v>
          </cell>
          <cell r="V649" t="str">
            <v>WAN HAI 266 N398</v>
          </cell>
        </row>
        <row r="650">
          <cell r="B650" t="str">
            <v>V181356</v>
          </cell>
          <cell r="C650" t="str">
            <v>V181363</v>
          </cell>
          <cell r="D650" t="str">
            <v>V181366</v>
          </cell>
          <cell r="E650" t="str">
            <v>V181369</v>
          </cell>
          <cell r="F650" t="str">
            <v>V181373</v>
          </cell>
          <cell r="G650"/>
          <cell r="H650"/>
          <cell r="I650"/>
          <cell r="J650"/>
          <cell r="K650"/>
          <cell r="L650"/>
          <cell r="M650" t="str">
            <v>X</v>
          </cell>
          <cell r="N650" t="str">
            <v>X</v>
          </cell>
          <cell r="O650"/>
          <cell r="P650" t="str">
            <v>SITWHPKW177453</v>
          </cell>
          <cell r="Q650" t="str">
            <v>KWS</v>
          </cell>
          <cell r="R650" t="str">
            <v>SITC</v>
          </cell>
          <cell r="S650"/>
          <cell r="T650">
            <v>43356</v>
          </cell>
          <cell r="U650">
            <v>12</v>
          </cell>
          <cell r="V650" t="str">
            <v>AVRA C 1825N</v>
          </cell>
        </row>
        <row r="651">
          <cell r="B651" t="str">
            <v>V181357</v>
          </cell>
          <cell r="C651" t="str">
            <v>V181359</v>
          </cell>
          <cell r="D651" t="str">
            <v>V181364</v>
          </cell>
          <cell r="E651" t="str">
            <v>V181370</v>
          </cell>
          <cell r="F651" t="str">
            <v>V181374</v>
          </cell>
          <cell r="G651" t="str">
            <v>V181387</v>
          </cell>
          <cell r="H651"/>
          <cell r="I651"/>
          <cell r="J651"/>
          <cell r="K651"/>
          <cell r="L651"/>
          <cell r="M651" t="str">
            <v>X</v>
          </cell>
          <cell r="N651" t="str">
            <v>X</v>
          </cell>
          <cell r="O651"/>
          <cell r="P651" t="str">
            <v>1008X05153</v>
          </cell>
          <cell r="Q651" t="str">
            <v>OSK</v>
          </cell>
          <cell r="R651" t="str">
            <v>WHL</v>
          </cell>
          <cell r="S651"/>
          <cell r="T651">
            <v>43355</v>
          </cell>
          <cell r="U651">
            <v>13</v>
          </cell>
          <cell r="V651" t="str">
            <v>WAN HAI 266 N398</v>
          </cell>
        </row>
        <row r="652">
          <cell r="B652" t="str">
            <v>V181360</v>
          </cell>
          <cell r="C652" t="str">
            <v>V181362</v>
          </cell>
          <cell r="D652"/>
          <cell r="E652"/>
          <cell r="F652"/>
          <cell r="G652"/>
          <cell r="H652"/>
          <cell r="I652"/>
          <cell r="J652"/>
          <cell r="K652"/>
          <cell r="L652"/>
          <cell r="M652" t="str">
            <v>X</v>
          </cell>
          <cell r="N652" t="str">
            <v>X</v>
          </cell>
          <cell r="O652"/>
          <cell r="P652" t="str">
            <v>1008X05175</v>
          </cell>
          <cell r="Q652" t="str">
            <v>HKT</v>
          </cell>
          <cell r="R652" t="str">
            <v>WHL</v>
          </cell>
          <cell r="S652"/>
          <cell r="T652">
            <v>43355</v>
          </cell>
          <cell r="U652">
            <v>13</v>
          </cell>
          <cell r="V652" t="str">
            <v>WAN HAI 203 N467</v>
          </cell>
        </row>
        <row r="653">
          <cell r="B653" t="str">
            <v>V181367</v>
          </cell>
          <cell r="C653"/>
          <cell r="D653"/>
          <cell r="E653"/>
          <cell r="F653"/>
          <cell r="G653"/>
          <cell r="H653"/>
          <cell r="I653"/>
          <cell r="J653"/>
          <cell r="K653"/>
          <cell r="L653"/>
          <cell r="M653" t="str">
            <v>X</v>
          </cell>
          <cell r="N653" t="str">
            <v>X</v>
          </cell>
          <cell r="O653"/>
          <cell r="P653">
            <v>350810110537</v>
          </cell>
          <cell r="Q653" t="str">
            <v>OSK</v>
          </cell>
          <cell r="R653" t="str">
            <v>TSL</v>
          </cell>
          <cell r="S653"/>
          <cell r="T653">
            <v>43355</v>
          </cell>
          <cell r="U653">
            <v>13</v>
          </cell>
          <cell r="V653" t="str">
            <v>MARCLIFF 18015N</v>
          </cell>
        </row>
        <row r="654">
          <cell r="B654" t="str">
            <v>V181371</v>
          </cell>
          <cell r="C654"/>
          <cell r="D654"/>
          <cell r="E654"/>
          <cell r="F654"/>
          <cell r="G654"/>
          <cell r="H654"/>
          <cell r="I654"/>
          <cell r="J654"/>
          <cell r="K654"/>
          <cell r="L654"/>
          <cell r="M654" t="str">
            <v>X</v>
          </cell>
          <cell r="N654" t="str">
            <v>X</v>
          </cell>
          <cell r="O654"/>
          <cell r="P654">
            <v>350810109326</v>
          </cell>
          <cell r="Q654" t="str">
            <v>HKT</v>
          </cell>
          <cell r="R654" t="str">
            <v>TSL</v>
          </cell>
          <cell r="S654"/>
          <cell r="T654">
            <v>43355</v>
          </cell>
          <cell r="U654">
            <v>13</v>
          </cell>
          <cell r="V654" t="str">
            <v>MARCLIFF 18015N</v>
          </cell>
        </row>
        <row r="655">
          <cell r="B655" t="str">
            <v>V181375</v>
          </cell>
          <cell r="C655" t="str">
            <v>V181381</v>
          </cell>
          <cell r="D655" t="str">
            <v>V181382</v>
          </cell>
          <cell r="E655" t="str">
            <v>V181397</v>
          </cell>
          <cell r="F655" t="str">
            <v>V181402</v>
          </cell>
          <cell r="G655"/>
          <cell r="H655"/>
          <cell r="I655"/>
          <cell r="J655"/>
          <cell r="K655"/>
          <cell r="L655"/>
          <cell r="M655" t="str">
            <v>X</v>
          </cell>
          <cell r="N655" t="str">
            <v>X</v>
          </cell>
          <cell r="O655"/>
          <cell r="P655" t="str">
            <v>SITWHPTK177709</v>
          </cell>
          <cell r="Q655" t="str">
            <v>TYO</v>
          </cell>
          <cell r="R655" t="str">
            <v>SITC</v>
          </cell>
          <cell r="S655"/>
          <cell r="T655">
            <v>43363</v>
          </cell>
          <cell r="U655">
            <v>5</v>
          </cell>
          <cell r="V655" t="str">
            <v>RESURGENCE 1823N</v>
          </cell>
        </row>
        <row r="656">
          <cell r="B656" t="str">
            <v>V181376</v>
          </cell>
          <cell r="C656" t="str">
            <v>V181383</v>
          </cell>
          <cell r="D656" t="str">
            <v>V181399</v>
          </cell>
          <cell r="E656" t="str">
            <v>V181403</v>
          </cell>
          <cell r="F656" t="str">
            <v>V181406</v>
          </cell>
          <cell r="G656"/>
          <cell r="H656"/>
          <cell r="I656"/>
          <cell r="J656"/>
          <cell r="K656"/>
          <cell r="L656"/>
          <cell r="M656" t="str">
            <v>X</v>
          </cell>
          <cell r="N656" t="str">
            <v>X</v>
          </cell>
          <cell r="O656"/>
          <cell r="P656" t="str">
            <v>SITWHPKW177721</v>
          </cell>
          <cell r="Q656" t="str">
            <v>KWS</v>
          </cell>
          <cell r="R656" t="str">
            <v>SITC</v>
          </cell>
          <cell r="S656"/>
          <cell r="T656">
            <v>43363</v>
          </cell>
          <cell r="U656">
            <v>5</v>
          </cell>
          <cell r="V656" t="str">
            <v>RESURGENCE 1823N</v>
          </cell>
        </row>
        <row r="657">
          <cell r="B657" t="str">
            <v>V181377</v>
          </cell>
          <cell r="C657" t="str">
            <v>V181384</v>
          </cell>
          <cell r="D657" t="str">
            <v>V181401</v>
          </cell>
          <cell r="E657" t="str">
            <v>V181404</v>
          </cell>
          <cell r="F657"/>
          <cell r="G657"/>
          <cell r="H657"/>
          <cell r="I657"/>
          <cell r="J657"/>
          <cell r="K657"/>
          <cell r="L657"/>
          <cell r="M657" t="str">
            <v>X</v>
          </cell>
          <cell r="N657" t="str">
            <v>X</v>
          </cell>
          <cell r="O657"/>
          <cell r="P657" t="str">
            <v>SITWHPOS177712</v>
          </cell>
          <cell r="Q657" t="str">
            <v>OSK</v>
          </cell>
          <cell r="R657" t="str">
            <v>SITC</v>
          </cell>
          <cell r="S657"/>
          <cell r="T657">
            <v>43359</v>
          </cell>
          <cell r="U657">
            <v>9</v>
          </cell>
          <cell r="V657" t="str">
            <v>EPONYMA 1823N</v>
          </cell>
        </row>
        <row r="658">
          <cell r="B658" t="str">
            <v>V181378</v>
          </cell>
          <cell r="C658"/>
          <cell r="D658"/>
          <cell r="E658"/>
          <cell r="F658"/>
          <cell r="G658"/>
          <cell r="H658"/>
          <cell r="I658"/>
          <cell r="J658"/>
          <cell r="K658"/>
          <cell r="L658"/>
          <cell r="M658" t="str">
            <v>X</v>
          </cell>
          <cell r="N658" t="str">
            <v>X</v>
          </cell>
          <cell r="O658"/>
          <cell r="P658" t="str">
            <v>KMTCHPH0584768</v>
          </cell>
          <cell r="Q658" t="str">
            <v>ISH</v>
          </cell>
          <cell r="R658" t="str">
            <v>KMTC</v>
          </cell>
          <cell r="S658"/>
          <cell r="T658">
            <v>43361</v>
          </cell>
          <cell r="U658">
            <v>7</v>
          </cell>
          <cell r="V658" t="str">
            <v>SUNNY CANNA 1818N</v>
          </cell>
        </row>
        <row r="659">
          <cell r="B659" t="str">
            <v>V181379</v>
          </cell>
          <cell r="C659"/>
          <cell r="D659"/>
          <cell r="E659"/>
          <cell r="F659"/>
          <cell r="G659"/>
          <cell r="H659"/>
          <cell r="I659"/>
          <cell r="J659"/>
          <cell r="K659"/>
          <cell r="L659"/>
          <cell r="M659" t="str">
            <v>X</v>
          </cell>
          <cell r="N659" t="str">
            <v>X</v>
          </cell>
          <cell r="O659"/>
          <cell r="P659">
            <v>350810109227</v>
          </cell>
          <cell r="Q659" t="str">
            <v>TPE</v>
          </cell>
          <cell r="R659" t="str">
            <v>TSL</v>
          </cell>
          <cell r="S659"/>
          <cell r="T659">
            <v>43360</v>
          </cell>
          <cell r="U659">
            <v>8</v>
          </cell>
          <cell r="V659" t="str">
            <v>HANSE ENDURANCE 18014N</v>
          </cell>
        </row>
        <row r="660">
          <cell r="B660" t="str">
            <v>V181380</v>
          </cell>
          <cell r="C660" t="str">
            <v>V181443</v>
          </cell>
          <cell r="D660"/>
          <cell r="E660"/>
          <cell r="F660"/>
          <cell r="G660"/>
          <cell r="H660"/>
          <cell r="I660"/>
          <cell r="J660"/>
          <cell r="K660"/>
          <cell r="L660"/>
          <cell r="M660" t="str">
            <v>X</v>
          </cell>
          <cell r="N660" t="str">
            <v>X</v>
          </cell>
          <cell r="O660"/>
          <cell r="P660" t="str">
            <v>KMTCHPH0584970</v>
          </cell>
          <cell r="Q660" t="str">
            <v>ISH</v>
          </cell>
          <cell r="R660" t="str">
            <v>KMTC</v>
          </cell>
          <cell r="S660"/>
          <cell r="T660">
            <v>43364</v>
          </cell>
          <cell r="U660">
            <v>4</v>
          </cell>
          <cell r="V660" t="str">
            <v>STARSHIP AQUILA 1815N</v>
          </cell>
        </row>
        <row r="661">
          <cell r="B661" t="str">
            <v>V181385</v>
          </cell>
          <cell r="C661" t="str">
            <v>V181398</v>
          </cell>
          <cell r="D661" t="str">
            <v>V181400</v>
          </cell>
          <cell r="E661" t="str">
            <v>V181405</v>
          </cell>
          <cell r="F661" t="str">
            <v>V181444</v>
          </cell>
          <cell r="G661"/>
          <cell r="H661"/>
          <cell r="I661"/>
          <cell r="J661"/>
          <cell r="K661"/>
          <cell r="L661"/>
          <cell r="M661" t="str">
            <v>X</v>
          </cell>
          <cell r="N661" t="str">
            <v>X</v>
          </cell>
          <cell r="O661"/>
          <cell r="P661">
            <v>350810109234</v>
          </cell>
          <cell r="Q661" t="str">
            <v>HKT</v>
          </cell>
          <cell r="R661" t="str">
            <v>TSL</v>
          </cell>
          <cell r="S661"/>
          <cell r="T661">
            <v>43360</v>
          </cell>
          <cell r="U661">
            <v>8</v>
          </cell>
          <cell r="V661" t="str">
            <v>HANSE ENDURANCE 18014N</v>
          </cell>
        </row>
        <row r="662">
          <cell r="B662" t="str">
            <v>V181386</v>
          </cell>
          <cell r="C662"/>
          <cell r="D662"/>
          <cell r="E662"/>
          <cell r="F662"/>
          <cell r="G662"/>
          <cell r="H662"/>
          <cell r="I662"/>
          <cell r="J662"/>
          <cell r="K662"/>
          <cell r="L662"/>
          <cell r="M662" t="str">
            <v>X</v>
          </cell>
          <cell r="N662" t="str">
            <v>X</v>
          </cell>
          <cell r="O662"/>
          <cell r="P662" t="str">
            <v>SITWHPOS177873</v>
          </cell>
          <cell r="Q662" t="str">
            <v>OSK</v>
          </cell>
          <cell r="R662" t="str">
            <v>SITC</v>
          </cell>
          <cell r="S662"/>
          <cell r="T662">
            <v>43357</v>
          </cell>
          <cell r="U662">
            <v>11</v>
          </cell>
          <cell r="V662" t="str">
            <v>REFLECTION 1825N</v>
          </cell>
        </row>
        <row r="663">
          <cell r="B663" t="str">
            <v>V181442</v>
          </cell>
          <cell r="C663"/>
          <cell r="D663"/>
          <cell r="E663"/>
          <cell r="F663"/>
          <cell r="G663"/>
          <cell r="H663"/>
          <cell r="I663"/>
          <cell r="J663"/>
          <cell r="K663"/>
          <cell r="L663"/>
          <cell r="M663" t="str">
            <v>X</v>
          </cell>
          <cell r="N663" t="str">
            <v>X</v>
          </cell>
          <cell r="O663"/>
          <cell r="P663">
            <v>350810114429</v>
          </cell>
          <cell r="Q663" t="str">
            <v>TYO</v>
          </cell>
          <cell r="R663" t="str">
            <v>TSL</v>
          </cell>
          <cell r="S663"/>
          <cell r="T663">
            <v>43360</v>
          </cell>
          <cell r="U663">
            <v>8</v>
          </cell>
          <cell r="V663" t="str">
            <v>HANSE ENDURANCE 18014N</v>
          </cell>
        </row>
        <row r="664">
          <cell r="B664" t="str">
            <v>V181391</v>
          </cell>
          <cell r="C664"/>
          <cell r="M664" t="str">
            <v>X</v>
          </cell>
          <cell r="N664" t="str">
            <v>X</v>
          </cell>
          <cell r="O664"/>
          <cell r="P664" t="str">
            <v>1008X05228</v>
          </cell>
          <cell r="Q664" t="str">
            <v>TYO</v>
          </cell>
          <cell r="R664" t="str">
            <v>WHL</v>
          </cell>
          <cell r="S664"/>
          <cell r="T664">
            <v>43367</v>
          </cell>
          <cell r="U664">
            <v>1</v>
          </cell>
          <cell r="V664" t="str">
            <v>MOONCHILD N033</v>
          </cell>
        </row>
        <row r="665">
          <cell r="B665" t="str">
            <v>V181392</v>
          </cell>
          <cell r="C665" t="str">
            <v>V181413</v>
          </cell>
          <cell r="D665"/>
          <cell r="E665"/>
          <cell r="F665"/>
          <cell r="G665"/>
          <cell r="H665"/>
          <cell r="I665"/>
          <cell r="J665"/>
          <cell r="K665"/>
          <cell r="L665"/>
          <cell r="M665" t="str">
            <v>X</v>
          </cell>
          <cell r="N665" t="str">
            <v>X</v>
          </cell>
          <cell r="O665"/>
          <cell r="P665" t="str">
            <v>1008X05225</v>
          </cell>
          <cell r="Q665" t="str">
            <v>HKT</v>
          </cell>
          <cell r="R665" t="str">
            <v>WHL</v>
          </cell>
          <cell r="S665"/>
          <cell r="T665">
            <v>43365</v>
          </cell>
          <cell r="U665">
            <v>3</v>
          </cell>
          <cell r="V665" t="str">
            <v>WAN HAI 162 N324</v>
          </cell>
        </row>
        <row r="666">
          <cell r="B666" t="str">
            <v>V181393</v>
          </cell>
          <cell r="C666" t="str">
            <v>V181410</v>
          </cell>
          <cell r="D666" t="str">
            <v>V181412</v>
          </cell>
          <cell r="E666" t="str">
            <v>V181417</v>
          </cell>
          <cell r="F666"/>
          <cell r="G666"/>
          <cell r="H666"/>
          <cell r="I666"/>
          <cell r="J666"/>
          <cell r="K666"/>
          <cell r="L666"/>
          <cell r="M666" t="str">
            <v>X</v>
          </cell>
          <cell r="N666" t="str">
            <v>X</v>
          </cell>
          <cell r="O666"/>
          <cell r="P666" t="str">
            <v>SITWHPKW177723</v>
          </cell>
          <cell r="Q666" t="str">
            <v>KWS</v>
          </cell>
          <cell r="R666" t="str">
            <v>SITC</v>
          </cell>
          <cell r="S666"/>
          <cell r="T666">
            <v>43365</v>
          </cell>
          <cell r="U666">
            <v>3</v>
          </cell>
          <cell r="V666" t="str">
            <v>SITC TIANJIN 1825N</v>
          </cell>
        </row>
        <row r="667">
          <cell r="B667" t="str">
            <v>V181394</v>
          </cell>
          <cell r="C667" t="str">
            <v>V181395</v>
          </cell>
          <cell r="D667" t="str">
            <v>V181418</v>
          </cell>
          <cell r="E667" t="str">
            <v>V181420</v>
          </cell>
          <cell r="F667" t="str">
            <v>V181424</v>
          </cell>
          <cell r="G667" t="str">
            <v>V181428</v>
          </cell>
          <cell r="H667"/>
          <cell r="I667"/>
          <cell r="J667"/>
          <cell r="K667"/>
          <cell r="L667"/>
          <cell r="M667" t="str">
            <v>X</v>
          </cell>
          <cell r="N667" t="str">
            <v>X</v>
          </cell>
          <cell r="O667"/>
          <cell r="P667" t="str">
            <v>1008X05222</v>
          </cell>
          <cell r="Q667" t="str">
            <v>OSK</v>
          </cell>
          <cell r="R667" t="str">
            <v>WHL</v>
          </cell>
          <cell r="S667"/>
          <cell r="T667">
            <v>43367</v>
          </cell>
          <cell r="U667">
            <v>1</v>
          </cell>
          <cell r="V667" t="str">
            <v>MOONCHILD N033</v>
          </cell>
        </row>
        <row r="668">
          <cell r="B668" t="str">
            <v>V181407</v>
          </cell>
          <cell r="C668"/>
          <cell r="D668"/>
          <cell r="E668"/>
          <cell r="F668"/>
          <cell r="G668"/>
          <cell r="H668"/>
          <cell r="I668"/>
          <cell r="J668"/>
          <cell r="K668"/>
          <cell r="L668"/>
          <cell r="M668" t="str">
            <v>X</v>
          </cell>
          <cell r="N668" t="str">
            <v>X</v>
          </cell>
          <cell r="O668"/>
          <cell r="P668">
            <v>350810113347</v>
          </cell>
          <cell r="Q668" t="str">
            <v>HKT</v>
          </cell>
          <cell r="R668" t="str">
            <v>TSL</v>
          </cell>
          <cell r="S668"/>
          <cell r="T668">
            <v>43365</v>
          </cell>
          <cell r="U668">
            <v>3</v>
          </cell>
          <cell r="V668" t="str">
            <v>MITRA BHUM 18006N</v>
          </cell>
        </row>
        <row r="669">
          <cell r="B669" t="str">
            <v>V181408</v>
          </cell>
          <cell r="C669" t="str">
            <v>V181419</v>
          </cell>
          <cell r="D669"/>
          <cell r="E669"/>
          <cell r="F669"/>
          <cell r="G669"/>
          <cell r="H669"/>
          <cell r="I669"/>
          <cell r="J669"/>
          <cell r="K669"/>
          <cell r="L669"/>
          <cell r="M669" t="str">
            <v>X</v>
          </cell>
          <cell r="N669" t="str">
            <v>X</v>
          </cell>
          <cell r="O669"/>
          <cell r="P669">
            <v>350810113293</v>
          </cell>
          <cell r="Q669" t="str">
            <v>TYO</v>
          </cell>
          <cell r="R669" t="str">
            <v>TSL</v>
          </cell>
          <cell r="S669"/>
          <cell r="T669">
            <v>43365</v>
          </cell>
          <cell r="U669">
            <v>3</v>
          </cell>
          <cell r="V669" t="str">
            <v>MITRA BHUM 18006N</v>
          </cell>
        </row>
        <row r="670">
          <cell r="B670" t="str">
            <v>V181409</v>
          </cell>
          <cell r="C670"/>
          <cell r="D670"/>
          <cell r="E670"/>
          <cell r="F670"/>
          <cell r="G670"/>
          <cell r="H670"/>
          <cell r="I670"/>
          <cell r="J670"/>
          <cell r="K670"/>
          <cell r="L670"/>
          <cell r="M670" t="str">
            <v>X</v>
          </cell>
          <cell r="N670" t="str">
            <v>X</v>
          </cell>
          <cell r="O670"/>
          <cell r="P670" t="str">
            <v>SITWHPTK178491</v>
          </cell>
          <cell r="Q670" t="str">
            <v>TYO</v>
          </cell>
          <cell r="R670" t="str">
            <v>SITC</v>
          </cell>
          <cell r="S670"/>
          <cell r="T670">
            <v>43365</v>
          </cell>
          <cell r="U670">
            <v>3</v>
          </cell>
          <cell r="V670" t="str">
            <v>SITC TIANJIN 1825N</v>
          </cell>
        </row>
        <row r="671">
          <cell r="B671" t="str">
            <v>V181411</v>
          </cell>
          <cell r="C671" t="str">
            <v>V181415</v>
          </cell>
          <cell r="D671" t="str">
            <v>V181416</v>
          </cell>
          <cell r="E671" t="str">
            <v>V181426</v>
          </cell>
          <cell r="F671"/>
          <cell r="G671"/>
          <cell r="H671"/>
          <cell r="I671"/>
          <cell r="J671"/>
          <cell r="K671"/>
          <cell r="L671"/>
          <cell r="M671" t="str">
            <v>X</v>
          </cell>
          <cell r="N671" t="str">
            <v>X</v>
          </cell>
          <cell r="O671"/>
          <cell r="P671" t="str">
            <v>1008X05399</v>
          </cell>
          <cell r="Q671" t="str">
            <v>TYO</v>
          </cell>
          <cell r="R671" t="str">
            <v>WHL</v>
          </cell>
          <cell r="S671"/>
          <cell r="T671">
            <v>43363</v>
          </cell>
          <cell r="U671">
            <v>5</v>
          </cell>
          <cell r="V671" t="str">
            <v>WAN HAI 171 S250</v>
          </cell>
        </row>
        <row r="672">
          <cell r="B672" t="str">
            <v>V181414</v>
          </cell>
          <cell r="C672" t="str">
            <v>V181422</v>
          </cell>
          <cell r="D672" t="str">
            <v>V181440</v>
          </cell>
          <cell r="E672"/>
          <cell r="F672"/>
          <cell r="G672"/>
          <cell r="H672"/>
          <cell r="I672"/>
          <cell r="J672"/>
          <cell r="K672"/>
          <cell r="L672"/>
          <cell r="M672" t="str">
            <v>X</v>
          </cell>
          <cell r="N672" t="str">
            <v>X</v>
          </cell>
          <cell r="O672"/>
          <cell r="P672" t="str">
            <v>KMTCHPH0593195</v>
          </cell>
          <cell r="Q672" t="str">
            <v>ISH</v>
          </cell>
          <cell r="R672" t="str">
            <v>KMTC</v>
          </cell>
          <cell r="S672"/>
          <cell r="T672">
            <v>43367</v>
          </cell>
          <cell r="U672">
            <v>1</v>
          </cell>
          <cell r="V672" t="str">
            <v>SUNNY IRIS 1825N</v>
          </cell>
        </row>
        <row r="673">
          <cell r="B673" t="str">
            <v>V181421</v>
          </cell>
          <cell r="C673" t="str">
            <v>V181425</v>
          </cell>
          <cell r="D673" t="str">
            <v>V181429</v>
          </cell>
          <cell r="E673"/>
          <cell r="F673"/>
          <cell r="G673"/>
          <cell r="H673"/>
          <cell r="I673"/>
          <cell r="J673"/>
          <cell r="K673"/>
          <cell r="L673"/>
          <cell r="M673" t="str">
            <v>X</v>
          </cell>
          <cell r="N673" t="str">
            <v>X</v>
          </cell>
          <cell r="O673"/>
          <cell r="P673">
            <v>350810113200</v>
          </cell>
          <cell r="Q673" t="str">
            <v>HKT</v>
          </cell>
          <cell r="R673" t="str">
            <v>TSL</v>
          </cell>
          <cell r="S673"/>
          <cell r="T673">
            <v>43367</v>
          </cell>
          <cell r="U673">
            <v>1</v>
          </cell>
          <cell r="V673" t="str">
            <v>LANTAU BEE 18013N</v>
          </cell>
        </row>
        <row r="674">
          <cell r="B674" t="str">
            <v>V181423</v>
          </cell>
          <cell r="C674" t="str">
            <v>V181427</v>
          </cell>
          <cell r="D674"/>
          <cell r="E674"/>
          <cell r="F674"/>
          <cell r="G674"/>
          <cell r="H674"/>
          <cell r="I674"/>
          <cell r="J674"/>
          <cell r="K674"/>
          <cell r="L674"/>
          <cell r="M674" t="str">
            <v>X</v>
          </cell>
          <cell r="N674" t="str">
            <v>X</v>
          </cell>
          <cell r="O674"/>
          <cell r="P674" t="str">
            <v>SITWHPKW178480</v>
          </cell>
          <cell r="Q674" t="str">
            <v>KWS</v>
          </cell>
          <cell r="R674" t="str">
            <v>SITC</v>
          </cell>
          <cell r="S674"/>
          <cell r="T674">
            <v>43363</v>
          </cell>
          <cell r="U674">
            <v>5</v>
          </cell>
          <cell r="V674" t="str">
            <v>RESURGENCE 1823N</v>
          </cell>
        </row>
        <row r="675">
          <cell r="B675" t="str">
            <v>V181430</v>
          </cell>
          <cell r="C675" t="str">
            <v>V181435</v>
          </cell>
          <cell r="D675" t="str">
            <v>V181446</v>
          </cell>
          <cell r="E675"/>
          <cell r="F675"/>
          <cell r="G675"/>
          <cell r="H675"/>
          <cell r="I675"/>
          <cell r="J675"/>
          <cell r="K675"/>
          <cell r="L675"/>
          <cell r="M675" t="str">
            <v>X</v>
          </cell>
          <cell r="N675" t="str">
            <v>X</v>
          </cell>
          <cell r="O675"/>
          <cell r="P675" t="str">
            <v>SITWHPTK179096</v>
          </cell>
          <cell r="Q675" t="str">
            <v>TYO</v>
          </cell>
          <cell r="R675" t="str">
            <v>SITC</v>
          </cell>
          <cell r="S675"/>
          <cell r="T675">
            <v>43367</v>
          </cell>
          <cell r="U675">
            <v>1</v>
          </cell>
          <cell r="V675" t="str">
            <v>HYUNDAI HARMONY 1835N</v>
          </cell>
        </row>
        <row r="676">
          <cell r="B676" t="str">
            <v>V181431</v>
          </cell>
          <cell r="C676"/>
          <cell r="D676"/>
          <cell r="E676"/>
          <cell r="F676"/>
          <cell r="G676"/>
          <cell r="H676"/>
          <cell r="I676"/>
          <cell r="J676"/>
          <cell r="K676"/>
          <cell r="L676"/>
          <cell r="M676" t="str">
            <v>X</v>
          </cell>
          <cell r="N676" t="str">
            <v>X</v>
          </cell>
          <cell r="O676"/>
          <cell r="P676" t="str">
            <v>1008X05432</v>
          </cell>
          <cell r="Q676" t="str">
            <v>TYO</v>
          </cell>
          <cell r="R676" t="str">
            <v>WHL</v>
          </cell>
          <cell r="S676"/>
          <cell r="T676">
            <v>43365</v>
          </cell>
          <cell r="U676">
            <v>3</v>
          </cell>
          <cell r="V676" t="str">
            <v>WAN HAI 162 N324</v>
          </cell>
        </row>
        <row r="677">
          <cell r="B677" t="str">
            <v>V181432</v>
          </cell>
          <cell r="C677" t="str">
            <v>V181437</v>
          </cell>
          <cell r="D677" t="str">
            <v>V181447</v>
          </cell>
          <cell r="E677" t="str">
            <v>V181449</v>
          </cell>
          <cell r="F677"/>
          <cell r="G677"/>
          <cell r="H677"/>
          <cell r="I677"/>
          <cell r="J677"/>
          <cell r="K677"/>
          <cell r="L677"/>
          <cell r="M677" t="str">
            <v>X</v>
          </cell>
          <cell r="N677" t="str">
            <v>X</v>
          </cell>
          <cell r="O677"/>
          <cell r="P677" t="str">
            <v>SITWHPKW178484</v>
          </cell>
          <cell r="Q677" t="str">
            <v>KWS</v>
          </cell>
          <cell r="R677" t="str">
            <v>SITC</v>
          </cell>
          <cell r="S677"/>
          <cell r="T677">
            <v>43367</v>
          </cell>
          <cell r="U677">
            <v>1</v>
          </cell>
          <cell r="V677" t="str">
            <v>HYUNDAI HARMONY 1835N</v>
          </cell>
        </row>
        <row r="678">
          <cell r="B678" t="str">
            <v>V181433</v>
          </cell>
          <cell r="C678"/>
          <cell r="D678"/>
          <cell r="E678"/>
          <cell r="F678"/>
          <cell r="G678"/>
          <cell r="H678"/>
          <cell r="I678"/>
          <cell r="J678"/>
          <cell r="K678"/>
          <cell r="L678"/>
          <cell r="M678" t="str">
            <v>X</v>
          </cell>
          <cell r="N678" t="str">
            <v>X</v>
          </cell>
          <cell r="O678"/>
          <cell r="P678" t="str">
            <v>1008X05433</v>
          </cell>
          <cell r="Q678" t="str">
            <v>OSK</v>
          </cell>
          <cell r="R678" t="str">
            <v>WHL</v>
          </cell>
          <cell r="S678"/>
          <cell r="T678">
            <v>43365</v>
          </cell>
          <cell r="U678">
            <v>3</v>
          </cell>
          <cell r="V678" t="str">
            <v>WAN HAI 162 N324</v>
          </cell>
        </row>
        <row r="679">
          <cell r="B679" t="str">
            <v>V181436</v>
          </cell>
          <cell r="C679" t="str">
            <v>V181438</v>
          </cell>
          <cell r="D679" t="str">
            <v>V181450</v>
          </cell>
          <cell r="E679"/>
          <cell r="F679"/>
          <cell r="G679"/>
          <cell r="H679"/>
          <cell r="I679"/>
          <cell r="J679"/>
          <cell r="K679"/>
          <cell r="L679"/>
          <cell r="M679" t="str">
            <v>X</v>
          </cell>
          <cell r="N679" t="str">
            <v>X</v>
          </cell>
          <cell r="O679"/>
          <cell r="P679" t="str">
            <v>SITWHPOS178489</v>
          </cell>
          <cell r="Q679" t="str">
            <v>OSK</v>
          </cell>
          <cell r="R679" t="str">
            <v>SITC</v>
          </cell>
          <cell r="S679"/>
          <cell r="T679">
            <v>43366</v>
          </cell>
          <cell r="U679">
            <v>2</v>
          </cell>
          <cell r="V679" t="str">
            <v>SITC YANTAI 1821N</v>
          </cell>
        </row>
        <row r="680">
          <cell r="B680" t="str">
            <v>V181434</v>
          </cell>
          <cell r="C680"/>
          <cell r="D680"/>
          <cell r="E680"/>
          <cell r="F680"/>
          <cell r="G680"/>
          <cell r="H680"/>
          <cell r="I680"/>
          <cell r="J680"/>
          <cell r="K680"/>
          <cell r="L680"/>
          <cell r="M680" t="str">
            <v>X</v>
          </cell>
          <cell r="N680" t="str">
            <v>X</v>
          </cell>
          <cell r="O680"/>
          <cell r="P680" t="str">
            <v>1008X05423</v>
          </cell>
          <cell r="Q680" t="str">
            <v>TYO</v>
          </cell>
          <cell r="R680" t="str">
            <v>WHL</v>
          </cell>
          <cell r="S680"/>
          <cell r="T680">
            <v>43367</v>
          </cell>
          <cell r="U680">
            <v>1</v>
          </cell>
          <cell r="V680" t="str">
            <v>MOONCHILD N033</v>
          </cell>
        </row>
        <row r="681">
          <cell r="B681" t="str">
            <v>V181439</v>
          </cell>
          <cell r="C681"/>
          <cell r="D681"/>
          <cell r="E681"/>
          <cell r="F681"/>
          <cell r="G681"/>
          <cell r="H681"/>
          <cell r="I681"/>
          <cell r="J681"/>
          <cell r="K681"/>
          <cell r="L681"/>
          <cell r="M681" t="str">
            <v>X</v>
          </cell>
          <cell r="N681" t="str">
            <v>X</v>
          </cell>
          <cell r="O681"/>
          <cell r="P681" t="str">
            <v>SITWHPHT178507</v>
          </cell>
          <cell r="Q681" t="str">
            <v>HKT</v>
          </cell>
          <cell r="R681" t="str">
            <v>SITC</v>
          </cell>
          <cell r="S681"/>
          <cell r="T681">
            <v>43366</v>
          </cell>
          <cell r="U681">
            <v>2</v>
          </cell>
          <cell r="V681" t="str">
            <v>SITC YANTAI 1821N</v>
          </cell>
        </row>
        <row r="682">
          <cell r="B682" t="str">
            <v>V181441</v>
          </cell>
          <cell r="C682"/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/>
          <cell r="S682"/>
          <cell r="T682"/>
          <cell r="U682" t="str">
            <v>-</v>
          </cell>
          <cell r="V682"/>
        </row>
        <row r="683">
          <cell r="B683" t="str">
            <v>V181445</v>
          </cell>
          <cell r="C683" t="str">
            <v>V181448</v>
          </cell>
          <cell r="D683"/>
          <cell r="E683"/>
          <cell r="F683"/>
          <cell r="G683"/>
          <cell r="H683"/>
          <cell r="I683"/>
          <cell r="J683"/>
          <cell r="K683"/>
          <cell r="L683"/>
          <cell r="M683" t="str">
            <v>X</v>
          </cell>
          <cell r="N683" t="str">
            <v>X</v>
          </cell>
          <cell r="O683"/>
          <cell r="P683" t="str">
            <v>KMTCHPH0595245</v>
          </cell>
          <cell r="Q683" t="str">
            <v>ISH</v>
          </cell>
          <cell r="R683" t="str">
            <v>KMTC</v>
          </cell>
          <cell r="S683"/>
          <cell r="T683">
            <v>43367</v>
          </cell>
          <cell r="U683">
            <v>1</v>
          </cell>
          <cell r="V683" t="str">
            <v>SUNNY IRIS 1825N</v>
          </cell>
        </row>
        <row r="684">
          <cell r="B684" t="str">
            <v>V181451</v>
          </cell>
          <cell r="C684" t="str">
            <v>V181452</v>
          </cell>
          <cell r="D684"/>
          <cell r="E684"/>
          <cell r="F684"/>
          <cell r="G684"/>
          <cell r="H684"/>
          <cell r="I684"/>
          <cell r="J684"/>
          <cell r="K684"/>
          <cell r="L684"/>
          <cell r="M684" t="str">
            <v>X</v>
          </cell>
          <cell r="N684" t="str">
            <v>X</v>
          </cell>
          <cell r="O684"/>
          <cell r="P684">
            <v>350810117819</v>
          </cell>
          <cell r="Q684" t="str">
            <v>TYO</v>
          </cell>
          <cell r="R684" t="str">
            <v>TSL</v>
          </cell>
          <cell r="S684"/>
          <cell r="T684">
            <v>43367</v>
          </cell>
          <cell r="U684">
            <v>1</v>
          </cell>
          <cell r="V684" t="str">
            <v>LANTAU BEE 18013N</v>
          </cell>
        </row>
        <row r="685">
          <cell r="B685" t="str">
            <v>V181453</v>
          </cell>
          <cell r="M685"/>
          <cell r="N685"/>
          <cell r="O685"/>
          <cell r="P685"/>
          <cell r="Q685"/>
          <cell r="R685"/>
          <cell r="S685"/>
          <cell r="T685"/>
          <cell r="U685" t="str">
            <v>-</v>
          </cell>
          <cell r="V685"/>
        </row>
        <row r="686">
          <cell r="B686" t="str">
            <v>V181454</v>
          </cell>
          <cell r="S686"/>
          <cell r="U686" t="str">
            <v>-</v>
          </cell>
        </row>
        <row r="687">
          <cell r="B687" t="str">
            <v>V181455</v>
          </cell>
          <cell r="S687"/>
          <cell r="U687" t="str">
            <v>-</v>
          </cell>
        </row>
        <row r="688">
          <cell r="B688" t="str">
            <v>V181456</v>
          </cell>
          <cell r="S688"/>
          <cell r="U688" t="str">
            <v>-</v>
          </cell>
        </row>
        <row r="689">
          <cell r="B689" t="str">
            <v>V181457</v>
          </cell>
          <cell r="S689"/>
          <cell r="U689" t="str">
            <v>-</v>
          </cell>
        </row>
        <row r="690">
          <cell r="B690" t="str">
            <v>V181458</v>
          </cell>
          <cell r="M690"/>
          <cell r="S690"/>
          <cell r="U690" t="str">
            <v>-</v>
          </cell>
        </row>
        <row r="691">
          <cell r="B691" t="str">
            <v>V181459</v>
          </cell>
          <cell r="M691" t="str">
            <v>X</v>
          </cell>
          <cell r="N691" t="str">
            <v>X</v>
          </cell>
          <cell r="P691" t="str">
            <v>1008X05428</v>
          </cell>
          <cell r="Q691" t="str">
            <v>HKT</v>
          </cell>
          <cell r="R691" t="str">
            <v>WHL</v>
          </cell>
          <cell r="S691"/>
          <cell r="T691">
            <v>43369</v>
          </cell>
          <cell r="U691">
            <v>-1</v>
          </cell>
          <cell r="V691" t="str">
            <v xml:space="preserve"> CAPE FLINT  N006</v>
          </cell>
        </row>
        <row r="692">
          <cell r="B692" t="str">
            <v>V181460</v>
          </cell>
          <cell r="M692" t="str">
            <v xml:space="preserve">   </v>
          </cell>
          <cell r="S692"/>
          <cell r="T692"/>
          <cell r="U692" t="str">
            <v>-</v>
          </cell>
        </row>
        <row r="693">
          <cell r="B693" t="str">
            <v>V181461</v>
          </cell>
          <cell r="M693"/>
          <cell r="S693"/>
          <cell r="T693"/>
          <cell r="U693" t="str">
            <v>-</v>
          </cell>
        </row>
        <row r="694">
          <cell r="B694" t="str">
            <v>V181462</v>
          </cell>
          <cell r="S694"/>
          <cell r="U694" t="str">
            <v>-</v>
          </cell>
        </row>
        <row r="695">
          <cell r="B695" t="str">
            <v>V181463</v>
          </cell>
          <cell r="S695"/>
          <cell r="U695" t="str">
            <v>-</v>
          </cell>
        </row>
        <row r="696">
          <cell r="B696" t="str">
            <v>V181464</v>
          </cell>
          <cell r="M696" t="str">
            <v>X</v>
          </cell>
          <cell r="N696" t="str">
            <v>X</v>
          </cell>
          <cell r="P696" t="str">
            <v>EGLV237800311401</v>
          </cell>
          <cell r="Q696" t="str">
            <v>OSK</v>
          </cell>
          <cell r="R696" t="str">
            <v>EGLV</v>
          </cell>
          <cell r="S696"/>
          <cell r="T696">
            <v>43371</v>
          </cell>
          <cell r="U696">
            <v>-3</v>
          </cell>
          <cell r="V696" t="str">
            <v>WAN HAI 267 N272</v>
          </cell>
        </row>
        <row r="697">
          <cell r="B697" t="str">
            <v>V181465</v>
          </cell>
          <cell r="C697" t="str">
            <v>V181476</v>
          </cell>
          <cell r="M697" t="str">
            <v>X</v>
          </cell>
          <cell r="P697">
            <v>350810117208</v>
          </cell>
          <cell r="Q697" t="str">
            <v>HKT</v>
          </cell>
          <cell r="R697" t="str">
            <v>TSL</v>
          </cell>
          <cell r="S697"/>
          <cell r="T697">
            <v>43370</v>
          </cell>
          <cell r="U697">
            <v>-2</v>
          </cell>
          <cell r="V697" t="str">
            <v>MARCARRIER 18016N</v>
          </cell>
        </row>
        <row r="698">
          <cell r="B698" t="str">
            <v>V181466</v>
          </cell>
          <cell r="C698" t="str">
            <v>V181473</v>
          </cell>
          <cell r="M698" t="str">
            <v>X</v>
          </cell>
          <cell r="P698">
            <v>350810117215</v>
          </cell>
          <cell r="Q698" t="str">
            <v>TYO</v>
          </cell>
          <cell r="R698" t="str">
            <v>TSL</v>
          </cell>
          <cell r="S698"/>
          <cell r="T698">
            <v>43370</v>
          </cell>
          <cell r="U698">
            <v>-2</v>
          </cell>
          <cell r="V698" t="str">
            <v>MARCARRIER 18016N</v>
          </cell>
        </row>
        <row r="699">
          <cell r="B699" t="str">
            <v>V181467</v>
          </cell>
          <cell r="S699"/>
          <cell r="U699" t="str">
            <v>-</v>
          </cell>
        </row>
        <row r="700">
          <cell r="B700" t="str">
            <v>V181468</v>
          </cell>
          <cell r="S700"/>
          <cell r="U700" t="str">
            <v>-</v>
          </cell>
        </row>
        <row r="701">
          <cell r="B701" t="str">
            <v>V181469</v>
          </cell>
          <cell r="S701"/>
          <cell r="T701"/>
          <cell r="U701" t="str">
            <v>-</v>
          </cell>
        </row>
        <row r="702">
          <cell r="B702" t="str">
            <v>V181470</v>
          </cell>
          <cell r="M702" t="str">
            <v>X</v>
          </cell>
          <cell r="N702" t="str">
            <v>X</v>
          </cell>
          <cell r="P702" t="str">
            <v>EGLV237800311410</v>
          </cell>
          <cell r="Q702" t="str">
            <v>TYO</v>
          </cell>
          <cell r="R702" t="str">
            <v>EGLV</v>
          </cell>
          <cell r="S702"/>
          <cell r="T702">
            <v>43371</v>
          </cell>
          <cell r="U702">
            <v>-3</v>
          </cell>
          <cell r="V702" t="str">
            <v>WAN HAI 267 N272</v>
          </cell>
        </row>
        <row r="703">
          <cell r="B703" t="str">
            <v>V181471</v>
          </cell>
          <cell r="S703"/>
          <cell r="U703" t="str">
            <v>-</v>
          </cell>
        </row>
        <row r="704">
          <cell r="B704" t="str">
            <v>V181472</v>
          </cell>
          <cell r="S704"/>
          <cell r="U704" t="str">
            <v>-</v>
          </cell>
        </row>
        <row r="705">
          <cell r="B705" t="str">
            <v>V181474</v>
          </cell>
          <cell r="S705"/>
          <cell r="U705" t="str">
            <v>-</v>
          </cell>
        </row>
        <row r="706">
          <cell r="B706" t="str">
            <v>V181475</v>
          </cell>
          <cell r="S706"/>
          <cell r="U706" t="str">
            <v>-</v>
          </cell>
        </row>
        <row r="707">
          <cell r="B707" t="str">
            <v>V181477</v>
          </cell>
          <cell r="S707"/>
          <cell r="U707" t="str">
            <v>-</v>
          </cell>
        </row>
        <row r="708">
          <cell r="B708" t="str">
            <v>V181478</v>
          </cell>
          <cell r="S708"/>
          <cell r="U708" t="str">
            <v>-</v>
          </cell>
        </row>
        <row r="709">
          <cell r="B709" t="str">
            <v>V181479</v>
          </cell>
          <cell r="S709"/>
          <cell r="U709" t="str">
            <v>-</v>
          </cell>
        </row>
        <row r="710">
          <cell r="B710" t="str">
            <v>V181480</v>
          </cell>
          <cell r="S710"/>
          <cell r="U710" t="str">
            <v>-</v>
          </cell>
        </row>
        <row r="711">
          <cell r="B711" t="str">
            <v>V181481</v>
          </cell>
          <cell r="S711"/>
          <cell r="U711" t="str">
            <v>-</v>
          </cell>
        </row>
        <row r="712">
          <cell r="B712" t="str">
            <v>V181482</v>
          </cell>
          <cell r="S712"/>
          <cell r="U712" t="str">
            <v>-</v>
          </cell>
        </row>
        <row r="713">
          <cell r="B713" t="str">
            <v>V181483</v>
          </cell>
          <cell r="S713"/>
          <cell r="U713" t="str">
            <v>-</v>
          </cell>
        </row>
        <row r="714">
          <cell r="B714" t="str">
            <v>V181484</v>
          </cell>
          <cell r="S714"/>
          <cell r="U714" t="str">
            <v>-</v>
          </cell>
        </row>
        <row r="715">
          <cell r="B715" t="str">
            <v>V181485</v>
          </cell>
          <cell r="S715"/>
          <cell r="U715" t="str">
            <v>-</v>
          </cell>
        </row>
        <row r="716">
          <cell r="B716" t="str">
            <v>V181486</v>
          </cell>
          <cell r="S716"/>
          <cell r="U716" t="str">
            <v>-</v>
          </cell>
        </row>
        <row r="717">
          <cell r="B717" t="str">
            <v>V181487</v>
          </cell>
          <cell r="S717"/>
          <cell r="U717" t="str">
            <v>-</v>
          </cell>
        </row>
        <row r="718">
          <cell r="B718" t="str">
            <v>V181488</v>
          </cell>
          <cell r="S718"/>
          <cell r="U718" t="str">
            <v>-</v>
          </cell>
        </row>
        <row r="719">
          <cell r="B719" t="str">
            <v>V181489</v>
          </cell>
          <cell r="S719"/>
          <cell r="U719" t="str">
            <v>-</v>
          </cell>
        </row>
        <row r="720">
          <cell r="B720" t="str">
            <v>V181490</v>
          </cell>
          <cell r="S720"/>
          <cell r="U720" t="str">
            <v>-</v>
          </cell>
        </row>
        <row r="721">
          <cell r="B721" t="str">
            <v>V181491</v>
          </cell>
          <cell r="S721"/>
          <cell r="U721" t="str">
            <v>-</v>
          </cell>
        </row>
        <row r="722">
          <cell r="B722" t="str">
            <v>V181492</v>
          </cell>
          <cell r="S722"/>
          <cell r="U722" t="str">
            <v>-</v>
          </cell>
        </row>
        <row r="723">
          <cell r="B723" t="str">
            <v>V181493</v>
          </cell>
          <cell r="S723"/>
          <cell r="U723" t="str">
            <v>-</v>
          </cell>
        </row>
        <row r="724">
          <cell r="B724" t="str">
            <v>V181494</v>
          </cell>
          <cell r="S724"/>
          <cell r="U724" t="str">
            <v>-</v>
          </cell>
        </row>
        <row r="725">
          <cell r="B725" t="str">
            <v>V181495</v>
          </cell>
          <cell r="S725"/>
          <cell r="U725" t="str">
            <v>-</v>
          </cell>
        </row>
        <row r="726">
          <cell r="B726" t="str">
            <v>V181496</v>
          </cell>
          <cell r="S726"/>
          <cell r="U726" t="str">
            <v>-</v>
          </cell>
        </row>
        <row r="727">
          <cell r="B727" t="str">
            <v>V181497</v>
          </cell>
          <cell r="S727"/>
          <cell r="U727" t="str">
            <v>-</v>
          </cell>
        </row>
        <row r="728">
          <cell r="B728" t="str">
            <v>V181498</v>
          </cell>
          <cell r="S728"/>
          <cell r="U728" t="str">
            <v>-</v>
          </cell>
        </row>
        <row r="729">
          <cell r="B729" t="str">
            <v>V181499</v>
          </cell>
          <cell r="S729"/>
          <cell r="U729" t="str">
            <v>-</v>
          </cell>
        </row>
        <row r="730">
          <cell r="B730" t="str">
            <v>V181500</v>
          </cell>
          <cell r="S730"/>
          <cell r="U730" t="str">
            <v>-</v>
          </cell>
        </row>
        <row r="731">
          <cell r="B731" t="str">
            <v>V181501</v>
          </cell>
          <cell r="S731"/>
          <cell r="U731" t="str">
            <v>-</v>
          </cell>
        </row>
        <row r="732">
          <cell r="B732" t="str">
            <v>V181502</v>
          </cell>
          <cell r="S732"/>
          <cell r="U732" t="str">
            <v>-</v>
          </cell>
        </row>
        <row r="733">
          <cell r="B733" t="str">
            <v>V181503</v>
          </cell>
          <cell r="S733"/>
          <cell r="U733" t="str">
            <v>-</v>
          </cell>
        </row>
        <row r="734">
          <cell r="B734" t="str">
            <v>V181504</v>
          </cell>
          <cell r="S734"/>
          <cell r="U734" t="str">
            <v>-</v>
          </cell>
        </row>
        <row r="735">
          <cell r="B735" t="str">
            <v>V181505</v>
          </cell>
          <cell r="S735"/>
          <cell r="U735" t="str">
            <v>-</v>
          </cell>
        </row>
        <row r="736">
          <cell r="B736" t="str">
            <v>V181506</v>
          </cell>
          <cell r="S736"/>
          <cell r="U736" t="str">
            <v>-</v>
          </cell>
        </row>
        <row r="737">
          <cell r="B737" t="str">
            <v>V181507</v>
          </cell>
          <cell r="S737"/>
          <cell r="U737" t="str">
            <v>-</v>
          </cell>
        </row>
        <row r="738">
          <cell r="B738" t="str">
            <v>V181508</v>
          </cell>
          <cell r="S738"/>
          <cell r="U738" t="str">
            <v>-</v>
          </cell>
        </row>
        <row r="739">
          <cell r="B739" t="str">
            <v>V181509</v>
          </cell>
          <cell r="S739"/>
          <cell r="U739" t="str">
            <v>-</v>
          </cell>
        </row>
        <row r="740">
          <cell r="B740" t="str">
            <v>V181510</v>
          </cell>
          <cell r="S740"/>
          <cell r="U740" t="str">
            <v>-</v>
          </cell>
        </row>
        <row r="741">
          <cell r="S741"/>
          <cell r="U741" t="str">
            <v>-</v>
          </cell>
        </row>
        <row r="742">
          <cell r="S742"/>
          <cell r="U742" t="str">
            <v>-</v>
          </cell>
        </row>
        <row r="743">
          <cell r="S743"/>
          <cell r="U743" t="str">
            <v>-</v>
          </cell>
        </row>
        <row r="744">
          <cell r="S744"/>
          <cell r="U744" t="str">
            <v>-</v>
          </cell>
        </row>
        <row r="745">
          <cell r="S745"/>
          <cell r="U745" t="str">
            <v>-</v>
          </cell>
        </row>
        <row r="746">
          <cell r="S746"/>
          <cell r="U746" t="str">
            <v>-</v>
          </cell>
        </row>
        <row r="747">
          <cell r="S747"/>
          <cell r="U747" t="str">
            <v>-</v>
          </cell>
        </row>
        <row r="748">
          <cell r="S748"/>
          <cell r="U748" t="str">
            <v>-</v>
          </cell>
        </row>
        <row r="749">
          <cell r="S749"/>
          <cell r="U749" t="str">
            <v>-</v>
          </cell>
        </row>
        <row r="750">
          <cell r="S750"/>
          <cell r="U750" t="str">
            <v>-</v>
          </cell>
        </row>
        <row r="751">
          <cell r="S751"/>
          <cell r="U751" t="str">
            <v>-</v>
          </cell>
        </row>
        <row r="752">
          <cell r="S752"/>
          <cell r="U752" t="str">
            <v>-</v>
          </cell>
        </row>
        <row r="753">
          <cell r="S753"/>
          <cell r="U753" t="str">
            <v>-</v>
          </cell>
        </row>
        <row r="754">
          <cell r="S754"/>
          <cell r="U754" t="str">
            <v>-</v>
          </cell>
        </row>
        <row r="755">
          <cell r="S755"/>
          <cell r="U755" t="str">
            <v>-</v>
          </cell>
        </row>
        <row r="756">
          <cell r="S756"/>
          <cell r="U756" t="str">
            <v>-</v>
          </cell>
        </row>
        <row r="757">
          <cell r="S757"/>
          <cell r="U757" t="str">
            <v>-</v>
          </cell>
        </row>
        <row r="758">
          <cell r="S758"/>
          <cell r="U758" t="str">
            <v>-</v>
          </cell>
        </row>
        <row r="759">
          <cell r="S759"/>
          <cell r="U759" t="str">
            <v>-</v>
          </cell>
        </row>
        <row r="760">
          <cell r="S760"/>
          <cell r="U760" t="str">
            <v>-</v>
          </cell>
        </row>
        <row r="761">
          <cell r="S761"/>
          <cell r="U761" t="str">
            <v>-</v>
          </cell>
        </row>
        <row r="762">
          <cell r="S762"/>
          <cell r="U762" t="str">
            <v>-</v>
          </cell>
        </row>
        <row r="763">
          <cell r="S763"/>
          <cell r="U763" t="str">
            <v>-</v>
          </cell>
        </row>
        <row r="764">
          <cell r="S764"/>
          <cell r="U764" t="str">
            <v>-</v>
          </cell>
        </row>
        <row r="765">
          <cell r="S765"/>
          <cell r="U765" t="str">
            <v>-</v>
          </cell>
        </row>
        <row r="766">
          <cell r="S766"/>
          <cell r="U766" t="str">
            <v>-</v>
          </cell>
        </row>
        <row r="767">
          <cell r="S767"/>
          <cell r="U767" t="str">
            <v>-</v>
          </cell>
        </row>
        <row r="768">
          <cell r="S768"/>
          <cell r="U768" t="str">
            <v>-</v>
          </cell>
        </row>
        <row r="769">
          <cell r="S769"/>
          <cell r="U769" t="str">
            <v>-</v>
          </cell>
        </row>
        <row r="770">
          <cell r="S770"/>
          <cell r="U770" t="str">
            <v>-</v>
          </cell>
        </row>
        <row r="771">
          <cell r="S771"/>
          <cell r="U771" t="str">
            <v>-</v>
          </cell>
        </row>
        <row r="772">
          <cell r="S772"/>
          <cell r="U772" t="str">
            <v>-</v>
          </cell>
        </row>
        <row r="773">
          <cell r="S773"/>
          <cell r="U773" t="str">
            <v>-</v>
          </cell>
        </row>
        <row r="774">
          <cell r="S774"/>
          <cell r="U774" t="str">
            <v>-</v>
          </cell>
        </row>
        <row r="775">
          <cell r="S775"/>
          <cell r="U775" t="str">
            <v>-</v>
          </cell>
        </row>
        <row r="776">
          <cell r="S776"/>
          <cell r="U776" t="str">
            <v>-</v>
          </cell>
        </row>
        <row r="777">
          <cell r="S777"/>
          <cell r="U777" t="str">
            <v>-</v>
          </cell>
        </row>
        <row r="778">
          <cell r="S778"/>
          <cell r="U778" t="str">
            <v>-</v>
          </cell>
        </row>
        <row r="779">
          <cell r="S779"/>
          <cell r="U779" t="str">
            <v>-</v>
          </cell>
        </row>
        <row r="780">
          <cell r="S780"/>
          <cell r="U780" t="str">
            <v>-</v>
          </cell>
        </row>
        <row r="781">
          <cell r="S781"/>
          <cell r="U781" t="str">
            <v>-</v>
          </cell>
        </row>
        <row r="782">
          <cell r="S782"/>
          <cell r="U782" t="str">
            <v>-</v>
          </cell>
        </row>
        <row r="783">
          <cell r="S783"/>
          <cell r="U783" t="str">
            <v>-</v>
          </cell>
        </row>
        <row r="784">
          <cell r="S784"/>
          <cell r="U784" t="str">
            <v>-</v>
          </cell>
        </row>
        <row r="785">
          <cell r="S785"/>
          <cell r="U785" t="str">
            <v>-</v>
          </cell>
        </row>
        <row r="786">
          <cell r="S786"/>
          <cell r="U786" t="str">
            <v>-</v>
          </cell>
        </row>
        <row r="787">
          <cell r="S787"/>
          <cell r="U787" t="str">
            <v>-</v>
          </cell>
        </row>
        <row r="788">
          <cell r="S788"/>
          <cell r="U788" t="str">
            <v>-</v>
          </cell>
        </row>
        <row r="789">
          <cell r="S789"/>
          <cell r="U789" t="str">
            <v>-</v>
          </cell>
        </row>
        <row r="790">
          <cell r="S790"/>
          <cell r="U790" t="str">
            <v>-</v>
          </cell>
        </row>
        <row r="791">
          <cell r="S791"/>
          <cell r="U791" t="str">
            <v>-</v>
          </cell>
        </row>
        <row r="792">
          <cell r="S792"/>
          <cell r="U792" t="str">
            <v>-</v>
          </cell>
        </row>
        <row r="793">
          <cell r="S793"/>
          <cell r="U793" t="str">
            <v>-</v>
          </cell>
        </row>
        <row r="794">
          <cell r="S794"/>
          <cell r="U794" t="str">
            <v>-</v>
          </cell>
        </row>
        <row r="795">
          <cell r="S795"/>
          <cell r="U795" t="str">
            <v>-</v>
          </cell>
        </row>
        <row r="796">
          <cell r="S796"/>
          <cell r="U796" t="str">
            <v>-</v>
          </cell>
        </row>
        <row r="797">
          <cell r="S797"/>
          <cell r="U797" t="str">
            <v>-</v>
          </cell>
        </row>
        <row r="798">
          <cell r="S798"/>
          <cell r="U798" t="str">
            <v>-</v>
          </cell>
        </row>
        <row r="799">
          <cell r="S799"/>
          <cell r="U799" t="str">
            <v>-</v>
          </cell>
        </row>
        <row r="800">
          <cell r="S800"/>
          <cell r="U800" t="str">
            <v>-</v>
          </cell>
        </row>
        <row r="801">
          <cell r="S801"/>
          <cell r="U801" t="str">
            <v>-</v>
          </cell>
        </row>
        <row r="802">
          <cell r="S802"/>
          <cell r="U802" t="str">
            <v>-</v>
          </cell>
        </row>
        <row r="803">
          <cell r="S803"/>
          <cell r="U803" t="str">
            <v>-</v>
          </cell>
        </row>
        <row r="804">
          <cell r="S804"/>
          <cell r="U804" t="str">
            <v>-</v>
          </cell>
        </row>
        <row r="805">
          <cell r="S805"/>
          <cell r="U805" t="str">
            <v>-</v>
          </cell>
        </row>
        <row r="806">
          <cell r="S806"/>
          <cell r="U806" t="str">
            <v>-</v>
          </cell>
        </row>
        <row r="807">
          <cell r="S807"/>
          <cell r="U807" t="str">
            <v>-</v>
          </cell>
        </row>
        <row r="808">
          <cell r="S808"/>
          <cell r="U808" t="str">
            <v>-</v>
          </cell>
        </row>
        <row r="809">
          <cell r="S809"/>
          <cell r="U809" t="str">
            <v>-</v>
          </cell>
        </row>
        <row r="810">
          <cell r="S810"/>
          <cell r="U810" t="str">
            <v>-</v>
          </cell>
        </row>
        <row r="811">
          <cell r="S811"/>
          <cell r="U811" t="str">
            <v>-</v>
          </cell>
        </row>
        <row r="812">
          <cell r="S812"/>
          <cell r="U812" t="str">
            <v>-</v>
          </cell>
        </row>
        <row r="813">
          <cell r="S813"/>
          <cell r="U813" t="str">
            <v>-</v>
          </cell>
        </row>
        <row r="814">
          <cell r="S814"/>
          <cell r="U814" t="str">
            <v>-</v>
          </cell>
        </row>
        <row r="815">
          <cell r="S815"/>
          <cell r="U815" t="str">
            <v>-</v>
          </cell>
        </row>
        <row r="816">
          <cell r="S816"/>
          <cell r="U816" t="str">
            <v>-</v>
          </cell>
        </row>
        <row r="817">
          <cell r="S817"/>
          <cell r="U817" t="str">
            <v>-</v>
          </cell>
        </row>
        <row r="818">
          <cell r="S818"/>
          <cell r="U818" t="str">
            <v>-</v>
          </cell>
        </row>
        <row r="819">
          <cell r="S819"/>
          <cell r="U819" t="str">
            <v>-</v>
          </cell>
        </row>
        <row r="820">
          <cell r="S820"/>
          <cell r="U820" t="str">
            <v>-</v>
          </cell>
        </row>
        <row r="821">
          <cell r="S821"/>
          <cell r="U821" t="str">
            <v>-</v>
          </cell>
        </row>
        <row r="822">
          <cell r="S822"/>
          <cell r="U822" t="str">
            <v>-</v>
          </cell>
        </row>
        <row r="823">
          <cell r="S823"/>
          <cell r="U823" t="str">
            <v>-</v>
          </cell>
        </row>
        <row r="824">
          <cell r="S824"/>
          <cell r="U824" t="str">
            <v>-</v>
          </cell>
        </row>
        <row r="825">
          <cell r="S825"/>
          <cell r="U825" t="str">
            <v>-</v>
          </cell>
        </row>
        <row r="826">
          <cell r="S826"/>
          <cell r="U826" t="str">
            <v>-</v>
          </cell>
        </row>
        <row r="827">
          <cell r="S827"/>
          <cell r="U827" t="str">
            <v>-</v>
          </cell>
        </row>
        <row r="828">
          <cell r="S828"/>
          <cell r="U828" t="str">
            <v>-</v>
          </cell>
        </row>
        <row r="829">
          <cell r="S829"/>
          <cell r="U829" t="str">
            <v>-</v>
          </cell>
        </row>
        <row r="830">
          <cell r="S830"/>
          <cell r="U830" t="str">
            <v>-</v>
          </cell>
        </row>
        <row r="831">
          <cell r="S831"/>
          <cell r="U831" t="str">
            <v>-</v>
          </cell>
        </row>
        <row r="832">
          <cell r="S832"/>
          <cell r="U832" t="str">
            <v>-</v>
          </cell>
        </row>
        <row r="833">
          <cell r="S833"/>
          <cell r="U833" t="str">
            <v>-</v>
          </cell>
        </row>
        <row r="834">
          <cell r="S834"/>
          <cell r="U834" t="str">
            <v>-</v>
          </cell>
        </row>
        <row r="835">
          <cell r="S835"/>
          <cell r="U835" t="str">
            <v>-</v>
          </cell>
        </row>
        <row r="836">
          <cell r="S836"/>
          <cell r="U836" t="str">
            <v>-</v>
          </cell>
        </row>
        <row r="837">
          <cell r="S837"/>
          <cell r="U837" t="str">
            <v>-</v>
          </cell>
        </row>
        <row r="838">
          <cell r="S838"/>
          <cell r="U838" t="str">
            <v>-</v>
          </cell>
        </row>
        <row r="839">
          <cell r="S839"/>
          <cell r="U839" t="str">
            <v>-</v>
          </cell>
        </row>
        <row r="840">
          <cell r="S840"/>
          <cell r="U840" t="str">
            <v>-</v>
          </cell>
        </row>
        <row r="841">
          <cell r="S841"/>
          <cell r="U841" t="str">
            <v>-</v>
          </cell>
        </row>
        <row r="842">
          <cell r="S842"/>
          <cell r="U842" t="str">
            <v>-</v>
          </cell>
        </row>
        <row r="843">
          <cell r="S843"/>
          <cell r="U843" t="str">
            <v>-</v>
          </cell>
        </row>
        <row r="844">
          <cell r="S844"/>
          <cell r="U844" t="str">
            <v>-</v>
          </cell>
        </row>
        <row r="845">
          <cell r="S845"/>
          <cell r="U845" t="str">
            <v>-</v>
          </cell>
        </row>
        <row r="846">
          <cell r="S846"/>
          <cell r="U846" t="str">
            <v>-</v>
          </cell>
        </row>
        <row r="847">
          <cell r="S847"/>
          <cell r="U847" t="str">
            <v>-</v>
          </cell>
        </row>
        <row r="848">
          <cell r="S848"/>
          <cell r="U848" t="str">
            <v>-</v>
          </cell>
        </row>
        <row r="849">
          <cell r="S849"/>
          <cell r="U849" t="str">
            <v>-</v>
          </cell>
        </row>
        <row r="850">
          <cell r="S850"/>
          <cell r="U850" t="str">
            <v>-</v>
          </cell>
        </row>
        <row r="851">
          <cell r="S851"/>
          <cell r="U851" t="str">
            <v>-</v>
          </cell>
        </row>
        <row r="852">
          <cell r="S852"/>
          <cell r="U852" t="str">
            <v>-</v>
          </cell>
        </row>
        <row r="853">
          <cell r="S853"/>
          <cell r="U853" t="str">
            <v>-</v>
          </cell>
        </row>
        <row r="854">
          <cell r="S854"/>
          <cell r="U854" t="str">
            <v>-</v>
          </cell>
        </row>
        <row r="855">
          <cell r="S855"/>
          <cell r="U855" t="str">
            <v>-</v>
          </cell>
        </row>
        <row r="856">
          <cell r="S856"/>
          <cell r="U856" t="str">
            <v>-</v>
          </cell>
        </row>
        <row r="857">
          <cell r="S857"/>
          <cell r="U857" t="str">
            <v>-</v>
          </cell>
        </row>
        <row r="858">
          <cell r="S858"/>
          <cell r="U858" t="str">
            <v>-</v>
          </cell>
        </row>
        <row r="859">
          <cell r="S859"/>
          <cell r="U859" t="str">
            <v>-</v>
          </cell>
        </row>
        <row r="860">
          <cell r="S860"/>
          <cell r="U860" t="str">
            <v>-</v>
          </cell>
        </row>
        <row r="861">
          <cell r="S861"/>
          <cell r="U861" t="str">
            <v>-</v>
          </cell>
        </row>
        <row r="862">
          <cell r="S862"/>
          <cell r="U862" t="str">
            <v>-</v>
          </cell>
        </row>
        <row r="863">
          <cell r="S863"/>
          <cell r="U863" t="str">
            <v>-</v>
          </cell>
        </row>
        <row r="864">
          <cell r="S864"/>
          <cell r="U864" t="str">
            <v>-</v>
          </cell>
        </row>
        <row r="865">
          <cell r="S865"/>
          <cell r="U865" t="str">
            <v>-</v>
          </cell>
        </row>
        <row r="866">
          <cell r="S866"/>
          <cell r="U866" t="str">
            <v>-</v>
          </cell>
        </row>
        <row r="867">
          <cell r="S867"/>
          <cell r="U867" t="str">
            <v>-</v>
          </cell>
        </row>
        <row r="868">
          <cell r="S868"/>
          <cell r="U868" t="str">
            <v>-</v>
          </cell>
        </row>
        <row r="869">
          <cell r="S869"/>
          <cell r="U869" t="str">
            <v>-</v>
          </cell>
        </row>
        <row r="870">
          <cell r="S870"/>
          <cell r="U870" t="str">
            <v>-</v>
          </cell>
        </row>
        <row r="871">
          <cell r="S871"/>
          <cell r="U871" t="str">
            <v>-</v>
          </cell>
        </row>
        <row r="872">
          <cell r="S872"/>
          <cell r="U872" t="str">
            <v>-</v>
          </cell>
        </row>
        <row r="873">
          <cell r="S873"/>
          <cell r="U873" t="str">
            <v>-</v>
          </cell>
        </row>
        <row r="874">
          <cell r="S874"/>
          <cell r="U874" t="str">
            <v>-</v>
          </cell>
        </row>
        <row r="875">
          <cell r="S875"/>
          <cell r="U875" t="str">
            <v>-</v>
          </cell>
        </row>
        <row r="876">
          <cell r="S876"/>
          <cell r="U876" t="str">
            <v>-</v>
          </cell>
        </row>
        <row r="877">
          <cell r="S877"/>
          <cell r="U877" t="str">
            <v>-</v>
          </cell>
        </row>
        <row r="878">
          <cell r="S878"/>
          <cell r="U878" t="str">
            <v>-</v>
          </cell>
        </row>
        <row r="879">
          <cell r="S879"/>
          <cell r="U879" t="str">
            <v>-</v>
          </cell>
        </row>
        <row r="880">
          <cell r="S880"/>
          <cell r="U880" t="str">
            <v>-</v>
          </cell>
        </row>
        <row r="881">
          <cell r="S881"/>
          <cell r="U881" t="str">
            <v>-</v>
          </cell>
        </row>
        <row r="882">
          <cell r="S882"/>
          <cell r="U882" t="str">
            <v>-</v>
          </cell>
        </row>
        <row r="883">
          <cell r="S883"/>
          <cell r="U883" t="str">
            <v>-</v>
          </cell>
        </row>
        <row r="884">
          <cell r="S884"/>
          <cell r="U884" t="str">
            <v>-</v>
          </cell>
        </row>
        <row r="885">
          <cell r="S885"/>
          <cell r="U885" t="str">
            <v>-</v>
          </cell>
        </row>
        <row r="886">
          <cell r="S886"/>
          <cell r="U886" t="str">
            <v>-</v>
          </cell>
        </row>
        <row r="887">
          <cell r="S887"/>
          <cell r="U887" t="str">
            <v>-</v>
          </cell>
        </row>
        <row r="888">
          <cell r="S888"/>
          <cell r="U888" t="str">
            <v>-</v>
          </cell>
        </row>
        <row r="889">
          <cell r="S889"/>
          <cell r="U889" t="str">
            <v>-</v>
          </cell>
        </row>
        <row r="890">
          <cell r="S890"/>
          <cell r="U890" t="str">
            <v>-</v>
          </cell>
        </row>
        <row r="891">
          <cell r="S891"/>
          <cell r="U891" t="str">
            <v>-</v>
          </cell>
        </row>
        <row r="892">
          <cell r="S892"/>
          <cell r="U892" t="str">
            <v>-</v>
          </cell>
        </row>
        <row r="893">
          <cell r="S893"/>
          <cell r="U893" t="str">
            <v>-</v>
          </cell>
        </row>
        <row r="894">
          <cell r="S894"/>
          <cell r="U894" t="str">
            <v>-</v>
          </cell>
        </row>
        <row r="895">
          <cell r="S895"/>
          <cell r="U895" t="str">
            <v>-</v>
          </cell>
        </row>
        <row r="896">
          <cell r="S896"/>
          <cell r="U896" t="str">
            <v>-</v>
          </cell>
        </row>
        <row r="897">
          <cell r="S897"/>
          <cell r="U897" t="str">
            <v>-</v>
          </cell>
        </row>
        <row r="898">
          <cell r="S898"/>
          <cell r="U898" t="str">
            <v>-</v>
          </cell>
        </row>
        <row r="899">
          <cell r="S899"/>
          <cell r="U899" t="str">
            <v>-</v>
          </cell>
        </row>
        <row r="900">
          <cell r="S900"/>
          <cell r="U900" t="str">
            <v>-</v>
          </cell>
        </row>
        <row r="901">
          <cell r="S901"/>
          <cell r="U901" t="str">
            <v>-</v>
          </cell>
        </row>
        <row r="902">
          <cell r="S902"/>
          <cell r="U902" t="str">
            <v>-</v>
          </cell>
        </row>
        <row r="903">
          <cell r="S903"/>
          <cell r="U903" t="str">
            <v>-</v>
          </cell>
        </row>
        <row r="904">
          <cell r="S904"/>
          <cell r="U904" t="str">
            <v>-</v>
          </cell>
        </row>
        <row r="905">
          <cell r="S905"/>
          <cell r="U905" t="str">
            <v>-</v>
          </cell>
        </row>
        <row r="906">
          <cell r="S906"/>
          <cell r="U906" t="str">
            <v>-</v>
          </cell>
        </row>
        <row r="907">
          <cell r="S907"/>
          <cell r="U907" t="str">
            <v>-</v>
          </cell>
        </row>
        <row r="908">
          <cell r="S908"/>
          <cell r="U908" t="str">
            <v>-</v>
          </cell>
        </row>
        <row r="909">
          <cell r="S909"/>
          <cell r="U909" t="str">
            <v>-</v>
          </cell>
        </row>
        <row r="910">
          <cell r="S910"/>
          <cell r="U910" t="str">
            <v>-</v>
          </cell>
        </row>
        <row r="911">
          <cell r="S911"/>
          <cell r="U911" t="str">
            <v>-</v>
          </cell>
        </row>
        <row r="912">
          <cell r="S912"/>
          <cell r="U912" t="str">
            <v>-</v>
          </cell>
        </row>
        <row r="913">
          <cell r="S913"/>
          <cell r="U913" t="str">
            <v>-</v>
          </cell>
        </row>
        <row r="914">
          <cell r="S914"/>
          <cell r="U914" t="str">
            <v>-</v>
          </cell>
        </row>
        <row r="915">
          <cell r="S915"/>
          <cell r="U915" t="str">
            <v>-</v>
          </cell>
        </row>
        <row r="916">
          <cell r="S916"/>
          <cell r="U916" t="str">
            <v>-</v>
          </cell>
        </row>
        <row r="917">
          <cell r="S917"/>
          <cell r="U917" t="str">
            <v>-</v>
          </cell>
        </row>
        <row r="918">
          <cell r="S918"/>
          <cell r="U918" t="str">
            <v>-</v>
          </cell>
        </row>
        <row r="919">
          <cell r="S919"/>
          <cell r="U919" t="str">
            <v>-</v>
          </cell>
        </row>
        <row r="920">
          <cell r="S920"/>
          <cell r="U920" t="str">
            <v>-</v>
          </cell>
        </row>
        <row r="921">
          <cell r="S921"/>
          <cell r="U921" t="str">
            <v>-</v>
          </cell>
        </row>
        <row r="922">
          <cell r="S922"/>
          <cell r="U922" t="str">
            <v>-</v>
          </cell>
        </row>
        <row r="923">
          <cell r="S923"/>
          <cell r="U923" t="str">
            <v>-</v>
          </cell>
        </row>
        <row r="924">
          <cell r="S924"/>
          <cell r="U924" t="str">
            <v>-</v>
          </cell>
        </row>
        <row r="925">
          <cell r="S925"/>
          <cell r="U925" t="str">
            <v>-</v>
          </cell>
        </row>
        <row r="926">
          <cell r="S926"/>
          <cell r="U926" t="str">
            <v>-</v>
          </cell>
        </row>
        <row r="927">
          <cell r="S927"/>
          <cell r="U927" t="str">
            <v>-</v>
          </cell>
        </row>
        <row r="928">
          <cell r="S928"/>
          <cell r="U928" t="str">
            <v>-</v>
          </cell>
        </row>
        <row r="929">
          <cell r="S929"/>
          <cell r="U929" t="str">
            <v>-</v>
          </cell>
        </row>
        <row r="930">
          <cell r="S930"/>
          <cell r="U930" t="str">
            <v>-</v>
          </cell>
        </row>
        <row r="931">
          <cell r="S931"/>
          <cell r="U931" t="str">
            <v>-</v>
          </cell>
        </row>
        <row r="932">
          <cell r="S932"/>
          <cell r="U932" t="str">
            <v>-</v>
          </cell>
        </row>
        <row r="933">
          <cell r="S933"/>
          <cell r="U933" t="str">
            <v>-</v>
          </cell>
        </row>
        <row r="934">
          <cell r="S934"/>
          <cell r="U934" t="str">
            <v>-</v>
          </cell>
        </row>
        <row r="935">
          <cell r="S935"/>
          <cell r="U935" t="str">
            <v>-</v>
          </cell>
        </row>
        <row r="936">
          <cell r="S936"/>
          <cell r="U936" t="str">
            <v>-</v>
          </cell>
        </row>
        <row r="937">
          <cell r="S937"/>
          <cell r="U937" t="str">
            <v>-</v>
          </cell>
        </row>
        <row r="938">
          <cell r="S938"/>
          <cell r="U938" t="str">
            <v>-</v>
          </cell>
        </row>
        <row r="939">
          <cell r="S939"/>
          <cell r="U939" t="str">
            <v>-</v>
          </cell>
        </row>
        <row r="940">
          <cell r="S940"/>
          <cell r="U940" t="str">
            <v>-</v>
          </cell>
        </row>
        <row r="941">
          <cell r="S941"/>
          <cell r="U941" t="str">
            <v>-</v>
          </cell>
        </row>
        <row r="942">
          <cell r="S942"/>
          <cell r="U942" t="str">
            <v>-</v>
          </cell>
        </row>
        <row r="943">
          <cell r="S943"/>
          <cell r="U943" t="str">
            <v>-</v>
          </cell>
        </row>
        <row r="944">
          <cell r="S944"/>
          <cell r="U944" t="str">
            <v>-</v>
          </cell>
        </row>
        <row r="945">
          <cell r="S945"/>
          <cell r="U945" t="str">
            <v>-</v>
          </cell>
        </row>
        <row r="946">
          <cell r="S946"/>
          <cell r="U946" t="str">
            <v>-</v>
          </cell>
        </row>
        <row r="947">
          <cell r="S947"/>
          <cell r="U947" t="str">
            <v>-</v>
          </cell>
        </row>
        <row r="948">
          <cell r="S948"/>
          <cell r="U948" t="str">
            <v>-</v>
          </cell>
        </row>
        <row r="949">
          <cell r="S949"/>
          <cell r="U949" t="str">
            <v>-</v>
          </cell>
        </row>
        <row r="950">
          <cell r="S950"/>
          <cell r="U950" t="str">
            <v>-</v>
          </cell>
        </row>
        <row r="951">
          <cell r="S951"/>
          <cell r="U951" t="str">
            <v>-</v>
          </cell>
        </row>
        <row r="952">
          <cell r="S952"/>
          <cell r="U952" t="str">
            <v>-</v>
          </cell>
        </row>
        <row r="953">
          <cell r="S953"/>
          <cell r="U953" t="str">
            <v>-</v>
          </cell>
        </row>
        <row r="954">
          <cell r="S954"/>
          <cell r="U954" t="str">
            <v>-</v>
          </cell>
        </row>
        <row r="955">
          <cell r="S955"/>
          <cell r="U955" t="str">
            <v>-</v>
          </cell>
        </row>
        <row r="956">
          <cell r="S956"/>
          <cell r="U956" t="str">
            <v>-</v>
          </cell>
        </row>
        <row r="957">
          <cell r="S957"/>
          <cell r="U957" t="str">
            <v>-</v>
          </cell>
        </row>
        <row r="958">
          <cell r="S958"/>
          <cell r="U958" t="str">
            <v>-</v>
          </cell>
        </row>
        <row r="959">
          <cell r="S959"/>
          <cell r="U959" t="str">
            <v>-</v>
          </cell>
        </row>
        <row r="960">
          <cell r="S960"/>
          <cell r="U960" t="str">
            <v>-</v>
          </cell>
        </row>
        <row r="961">
          <cell r="S961"/>
          <cell r="U961" t="str">
            <v>-</v>
          </cell>
        </row>
        <row r="962">
          <cell r="S962"/>
          <cell r="U962" t="str">
            <v>-</v>
          </cell>
        </row>
        <row r="963">
          <cell r="S963"/>
          <cell r="U963" t="str">
            <v>-</v>
          </cell>
        </row>
        <row r="964">
          <cell r="S964"/>
          <cell r="U964" t="str">
            <v>-</v>
          </cell>
        </row>
        <row r="965">
          <cell r="S965"/>
          <cell r="U965" t="str">
            <v>-</v>
          </cell>
        </row>
        <row r="966">
          <cell r="S966"/>
          <cell r="U966" t="str">
            <v>-</v>
          </cell>
        </row>
        <row r="967">
          <cell r="S967"/>
          <cell r="U967" t="str">
            <v>-</v>
          </cell>
        </row>
        <row r="968">
          <cell r="S968"/>
          <cell r="U968" t="str">
            <v>-</v>
          </cell>
        </row>
        <row r="969">
          <cell r="S969"/>
          <cell r="U969" t="str">
            <v>-</v>
          </cell>
        </row>
        <row r="970">
          <cell r="S970"/>
          <cell r="U970" t="str">
            <v>-</v>
          </cell>
        </row>
        <row r="971">
          <cell r="S971"/>
          <cell r="U971" t="str">
            <v>-</v>
          </cell>
        </row>
        <row r="972">
          <cell r="S972"/>
          <cell r="U972" t="str">
            <v>-</v>
          </cell>
        </row>
        <row r="973">
          <cell r="S973"/>
          <cell r="U973" t="str">
            <v>-</v>
          </cell>
        </row>
        <row r="974">
          <cell r="S974"/>
          <cell r="U974" t="str">
            <v>-</v>
          </cell>
        </row>
        <row r="975">
          <cell r="S975"/>
          <cell r="U975" t="str">
            <v>-</v>
          </cell>
        </row>
        <row r="976">
          <cell r="S976"/>
          <cell r="U976" t="str">
            <v>-</v>
          </cell>
        </row>
        <row r="977">
          <cell r="S977"/>
          <cell r="U977" t="str">
            <v>-</v>
          </cell>
        </row>
        <row r="978">
          <cell r="S978"/>
          <cell r="U978" t="str">
            <v>-</v>
          </cell>
        </row>
        <row r="979">
          <cell r="S979"/>
          <cell r="U979" t="str">
            <v>-</v>
          </cell>
        </row>
        <row r="980">
          <cell r="S980"/>
          <cell r="U980" t="str">
            <v>-</v>
          </cell>
        </row>
        <row r="981">
          <cell r="S981"/>
          <cell r="U981" t="str">
            <v>-</v>
          </cell>
        </row>
        <row r="982">
          <cell r="S982"/>
          <cell r="U982" t="str">
            <v>-</v>
          </cell>
        </row>
        <row r="983">
          <cell r="S983"/>
          <cell r="U983" t="str">
            <v>-</v>
          </cell>
        </row>
        <row r="984">
          <cell r="S984"/>
          <cell r="U984" t="str">
            <v>-</v>
          </cell>
        </row>
        <row r="985">
          <cell r="S985"/>
          <cell r="U985" t="str">
            <v>-</v>
          </cell>
        </row>
        <row r="986">
          <cell r="S986"/>
          <cell r="U986" t="str">
            <v>-</v>
          </cell>
        </row>
        <row r="987">
          <cell r="S987"/>
          <cell r="U987" t="str">
            <v>-</v>
          </cell>
        </row>
        <row r="988">
          <cell r="S988"/>
          <cell r="U988" t="str">
            <v>-</v>
          </cell>
        </row>
        <row r="989">
          <cell r="S989"/>
          <cell r="U989" t="str">
            <v>-</v>
          </cell>
        </row>
        <row r="990">
          <cell r="S990"/>
          <cell r="U990" t="str">
            <v>-</v>
          </cell>
        </row>
        <row r="991">
          <cell r="S991"/>
          <cell r="U991" t="str">
            <v>-</v>
          </cell>
        </row>
        <row r="992">
          <cell r="S992"/>
          <cell r="U992" t="str">
            <v>-</v>
          </cell>
        </row>
        <row r="993">
          <cell r="S993"/>
          <cell r="U993" t="str">
            <v>-</v>
          </cell>
        </row>
        <row r="994">
          <cell r="S994"/>
          <cell r="U994" t="str">
            <v>-</v>
          </cell>
        </row>
        <row r="995">
          <cell r="S995"/>
          <cell r="U995" t="str">
            <v>-</v>
          </cell>
        </row>
        <row r="996">
          <cell r="S996"/>
          <cell r="U996" t="str">
            <v>-</v>
          </cell>
        </row>
        <row r="997">
          <cell r="S997"/>
          <cell r="U997" t="str">
            <v>-</v>
          </cell>
        </row>
        <row r="998">
          <cell r="S998"/>
          <cell r="U998" t="str">
            <v>-</v>
          </cell>
        </row>
        <row r="999">
          <cell r="S999"/>
          <cell r="U999" t="str">
            <v>-</v>
          </cell>
        </row>
        <row r="1000">
          <cell r="S1000"/>
          <cell r="U1000" t="str">
            <v>-</v>
          </cell>
        </row>
        <row r="1001">
          <cell r="S1001"/>
          <cell r="U1001" t="str">
            <v>-</v>
          </cell>
        </row>
        <row r="1002">
          <cell r="S1002"/>
          <cell r="U1002" t="str">
            <v>-</v>
          </cell>
        </row>
        <row r="1003">
          <cell r="S1003"/>
          <cell r="U1003" t="str">
            <v>-</v>
          </cell>
        </row>
        <row r="1004">
          <cell r="S1004"/>
          <cell r="U1004" t="str">
            <v>-</v>
          </cell>
        </row>
        <row r="1005">
          <cell r="S1005"/>
          <cell r="U1005" t="str">
            <v>-</v>
          </cell>
        </row>
        <row r="1006">
          <cell r="S1006"/>
          <cell r="U1006" t="str">
            <v>-</v>
          </cell>
        </row>
        <row r="1007">
          <cell r="S1007"/>
          <cell r="U1007" t="str">
            <v>-</v>
          </cell>
        </row>
        <row r="1008">
          <cell r="S1008"/>
          <cell r="U1008" t="str">
            <v>-</v>
          </cell>
        </row>
        <row r="1009">
          <cell r="S1009"/>
          <cell r="U1009" t="str">
            <v>-</v>
          </cell>
        </row>
        <row r="1010">
          <cell r="S1010"/>
          <cell r="U1010" t="str">
            <v>-</v>
          </cell>
        </row>
        <row r="1011">
          <cell r="S1011"/>
          <cell r="U1011" t="str">
            <v>-</v>
          </cell>
        </row>
        <row r="1012">
          <cell r="S1012"/>
          <cell r="U1012" t="str">
            <v>-</v>
          </cell>
        </row>
        <row r="1013">
          <cell r="S1013"/>
          <cell r="U1013" t="str">
            <v>-</v>
          </cell>
        </row>
        <row r="1014">
          <cell r="S1014"/>
          <cell r="U1014" t="str">
            <v>-</v>
          </cell>
        </row>
        <row r="1015">
          <cell r="S1015"/>
          <cell r="U1015" t="str">
            <v>-</v>
          </cell>
        </row>
        <row r="1016">
          <cell r="S1016"/>
          <cell r="U1016" t="str">
            <v>-</v>
          </cell>
        </row>
        <row r="1017">
          <cell r="S1017"/>
          <cell r="U1017" t="str">
            <v>-</v>
          </cell>
        </row>
        <row r="1018">
          <cell r="S1018"/>
          <cell r="U1018" t="str">
            <v>-</v>
          </cell>
        </row>
        <row r="1019">
          <cell r="S1019"/>
          <cell r="U1019" t="str">
            <v>-</v>
          </cell>
        </row>
        <row r="1020">
          <cell r="S1020"/>
          <cell r="U1020" t="str">
            <v>-</v>
          </cell>
        </row>
        <row r="1021">
          <cell r="S1021"/>
          <cell r="U1021" t="str">
            <v>-</v>
          </cell>
        </row>
        <row r="1022">
          <cell r="S1022"/>
          <cell r="U1022" t="str">
            <v>-</v>
          </cell>
        </row>
        <row r="1023">
          <cell r="S1023"/>
          <cell r="U1023" t="str">
            <v>-</v>
          </cell>
        </row>
        <row r="1024">
          <cell r="S1024"/>
          <cell r="U1024" t="str">
            <v>-</v>
          </cell>
        </row>
        <row r="1025">
          <cell r="S1025"/>
          <cell r="U1025" t="str">
            <v>-</v>
          </cell>
        </row>
        <row r="1026">
          <cell r="S1026"/>
          <cell r="U1026" t="str">
            <v>-</v>
          </cell>
        </row>
        <row r="1027">
          <cell r="S1027"/>
          <cell r="U1027" t="str">
            <v>-</v>
          </cell>
        </row>
        <row r="1028">
          <cell r="S1028"/>
          <cell r="U1028" t="str">
            <v>-</v>
          </cell>
        </row>
        <row r="1029">
          <cell r="S1029"/>
          <cell r="U1029" t="str">
            <v>-</v>
          </cell>
        </row>
        <row r="1030">
          <cell r="S1030"/>
          <cell r="U1030" t="str">
            <v>-</v>
          </cell>
        </row>
        <row r="1031">
          <cell r="S1031"/>
          <cell r="U1031" t="str">
            <v>-</v>
          </cell>
        </row>
        <row r="1032">
          <cell r="S1032"/>
          <cell r="U1032" t="str">
            <v>-</v>
          </cell>
        </row>
        <row r="1033">
          <cell r="S1033"/>
          <cell r="U1033" t="str">
            <v>-</v>
          </cell>
        </row>
        <row r="1034">
          <cell r="S1034"/>
          <cell r="U1034" t="str">
            <v>-</v>
          </cell>
        </row>
        <row r="1035">
          <cell r="S1035"/>
          <cell r="U1035" t="str">
            <v>-</v>
          </cell>
        </row>
        <row r="1036">
          <cell r="S1036"/>
          <cell r="U1036" t="str">
            <v>-</v>
          </cell>
        </row>
        <row r="1037">
          <cell r="S1037"/>
          <cell r="U1037" t="str">
            <v>-</v>
          </cell>
        </row>
        <row r="1038">
          <cell r="S1038"/>
          <cell r="U1038" t="str">
            <v>-</v>
          </cell>
        </row>
        <row r="1039">
          <cell r="S1039"/>
          <cell r="U1039" t="str">
            <v>-</v>
          </cell>
        </row>
        <row r="1040">
          <cell r="S1040"/>
          <cell r="U1040" t="str">
            <v>-</v>
          </cell>
        </row>
        <row r="1041">
          <cell r="S1041"/>
          <cell r="U1041" t="str">
            <v>-</v>
          </cell>
        </row>
        <row r="1042">
          <cell r="S1042"/>
          <cell r="U1042" t="str">
            <v>-</v>
          </cell>
        </row>
        <row r="1043">
          <cell r="S1043"/>
          <cell r="U1043" t="str">
            <v>-</v>
          </cell>
        </row>
        <row r="1044">
          <cell r="S1044"/>
          <cell r="U1044" t="str">
            <v>-</v>
          </cell>
        </row>
        <row r="1045">
          <cell r="S1045"/>
          <cell r="U1045" t="str">
            <v>-</v>
          </cell>
        </row>
        <row r="1046">
          <cell r="S1046"/>
          <cell r="U1046" t="str">
            <v>-</v>
          </cell>
        </row>
        <row r="1047">
          <cell r="S1047"/>
          <cell r="U1047" t="str">
            <v>-</v>
          </cell>
        </row>
        <row r="1048">
          <cell r="S1048"/>
          <cell r="U1048" t="str">
            <v>-</v>
          </cell>
        </row>
        <row r="1049">
          <cell r="S1049"/>
          <cell r="U1049" t="str">
            <v>-</v>
          </cell>
        </row>
        <row r="1050">
          <cell r="S1050"/>
          <cell r="U1050" t="str">
            <v>-</v>
          </cell>
        </row>
        <row r="1051">
          <cell r="S1051"/>
          <cell r="U1051" t="str">
            <v>-</v>
          </cell>
        </row>
        <row r="1052">
          <cell r="S1052"/>
          <cell r="U1052" t="str">
            <v>-</v>
          </cell>
        </row>
        <row r="1053">
          <cell r="S1053"/>
          <cell r="U1053" t="str">
            <v>-</v>
          </cell>
        </row>
        <row r="1054">
          <cell r="S1054"/>
          <cell r="U1054" t="str">
            <v>-</v>
          </cell>
        </row>
        <row r="1055">
          <cell r="S1055"/>
          <cell r="U1055" t="str">
            <v>-</v>
          </cell>
        </row>
        <row r="1056">
          <cell r="S1056"/>
          <cell r="U1056" t="str">
            <v>-</v>
          </cell>
        </row>
        <row r="1057">
          <cell r="S1057"/>
          <cell r="U1057" t="str">
            <v>-</v>
          </cell>
        </row>
        <row r="1058">
          <cell r="S1058"/>
          <cell r="U1058" t="str">
            <v>-</v>
          </cell>
        </row>
        <row r="1059">
          <cell r="S1059"/>
          <cell r="U1059" t="str">
            <v>-</v>
          </cell>
        </row>
        <row r="1060">
          <cell r="S1060"/>
          <cell r="U1060" t="str">
            <v>-</v>
          </cell>
        </row>
        <row r="1061">
          <cell r="S1061"/>
          <cell r="U1061" t="str">
            <v>-</v>
          </cell>
        </row>
        <row r="1062">
          <cell r="S1062"/>
          <cell r="U1062" t="str">
            <v>-</v>
          </cell>
        </row>
        <row r="1063">
          <cell r="S1063"/>
          <cell r="U1063" t="str">
            <v>-</v>
          </cell>
        </row>
        <row r="1064">
          <cell r="S1064"/>
          <cell r="U1064" t="str">
            <v>-</v>
          </cell>
        </row>
        <row r="1065">
          <cell r="S1065"/>
          <cell r="U1065" t="str">
            <v>-</v>
          </cell>
        </row>
        <row r="1066">
          <cell r="S1066"/>
          <cell r="U1066" t="str">
            <v>-</v>
          </cell>
        </row>
        <row r="1067">
          <cell r="S1067"/>
          <cell r="U1067" t="str">
            <v>-</v>
          </cell>
        </row>
        <row r="1068">
          <cell r="S1068"/>
          <cell r="U1068" t="str">
            <v>-</v>
          </cell>
        </row>
        <row r="1069">
          <cell r="S1069"/>
          <cell r="U1069" t="str">
            <v>-</v>
          </cell>
        </row>
        <row r="1070">
          <cell r="S1070"/>
          <cell r="U1070" t="str">
            <v>-</v>
          </cell>
        </row>
        <row r="1071">
          <cell r="S1071"/>
          <cell r="U1071" t="str">
            <v>-</v>
          </cell>
        </row>
        <row r="1072">
          <cell r="S1072"/>
          <cell r="U1072" t="str">
            <v>-</v>
          </cell>
        </row>
        <row r="1073">
          <cell r="S1073"/>
          <cell r="U1073" t="str">
            <v>-</v>
          </cell>
        </row>
        <row r="1074">
          <cell r="S1074"/>
          <cell r="U1074" t="str">
            <v>-</v>
          </cell>
        </row>
        <row r="1075">
          <cell r="S1075"/>
          <cell r="U1075" t="str">
            <v>-</v>
          </cell>
        </row>
        <row r="1076">
          <cell r="S1076"/>
          <cell r="U1076" t="str">
            <v>-</v>
          </cell>
        </row>
        <row r="1077">
          <cell r="S1077"/>
          <cell r="U1077" t="str">
            <v>-</v>
          </cell>
        </row>
        <row r="1078">
          <cell r="S1078"/>
          <cell r="U1078" t="str">
            <v>-</v>
          </cell>
        </row>
        <row r="1079">
          <cell r="S1079"/>
          <cell r="U1079" t="str">
            <v>-</v>
          </cell>
        </row>
        <row r="1080">
          <cell r="S1080"/>
          <cell r="U1080" t="str">
            <v>-</v>
          </cell>
        </row>
        <row r="1081">
          <cell r="S1081"/>
          <cell r="U1081" t="str">
            <v>-</v>
          </cell>
        </row>
        <row r="1082">
          <cell r="S1082"/>
          <cell r="U1082" t="str">
            <v>-</v>
          </cell>
        </row>
        <row r="1083">
          <cell r="S1083"/>
          <cell r="U1083" t="str">
            <v>-</v>
          </cell>
        </row>
        <row r="1084">
          <cell r="S1084"/>
          <cell r="U1084" t="str">
            <v>-</v>
          </cell>
        </row>
        <row r="1085">
          <cell r="S1085"/>
          <cell r="U1085" t="str">
            <v>-</v>
          </cell>
        </row>
        <row r="1086">
          <cell r="S1086"/>
          <cell r="U1086" t="str">
            <v>-</v>
          </cell>
        </row>
        <row r="1087">
          <cell r="S1087"/>
          <cell r="U1087" t="str">
            <v>-</v>
          </cell>
        </row>
        <row r="1088">
          <cell r="S1088"/>
          <cell r="U1088" t="str">
            <v>-</v>
          </cell>
        </row>
        <row r="1089">
          <cell r="S1089"/>
          <cell r="U1089" t="str">
            <v>-</v>
          </cell>
        </row>
        <row r="1090">
          <cell r="S1090"/>
          <cell r="U1090" t="str">
            <v>-</v>
          </cell>
        </row>
        <row r="1091">
          <cell r="S1091"/>
          <cell r="U1091" t="str">
            <v>-</v>
          </cell>
        </row>
        <row r="1092">
          <cell r="S1092"/>
          <cell r="U1092" t="str">
            <v>-</v>
          </cell>
        </row>
        <row r="1093">
          <cell r="S1093"/>
          <cell r="U1093" t="str">
            <v>-</v>
          </cell>
        </row>
        <row r="1094">
          <cell r="S1094"/>
          <cell r="U1094" t="str">
            <v>-</v>
          </cell>
        </row>
        <row r="1095">
          <cell r="S1095"/>
          <cell r="U1095" t="str">
            <v>-</v>
          </cell>
        </row>
        <row r="1096">
          <cell r="S1096"/>
          <cell r="U1096" t="str">
            <v>-</v>
          </cell>
        </row>
        <row r="1097">
          <cell r="S1097"/>
          <cell r="U1097" t="str">
            <v>-</v>
          </cell>
        </row>
        <row r="1098">
          <cell r="S1098"/>
          <cell r="U1098" t="str">
            <v>-</v>
          </cell>
        </row>
        <row r="1099">
          <cell r="S1099"/>
          <cell r="U1099" t="str">
            <v>-</v>
          </cell>
        </row>
        <row r="1100">
          <cell r="S1100"/>
          <cell r="U1100" t="str">
            <v>-</v>
          </cell>
        </row>
        <row r="1101">
          <cell r="S1101"/>
          <cell r="U1101" t="str">
            <v>-</v>
          </cell>
        </row>
        <row r="1102">
          <cell r="S1102"/>
          <cell r="U1102" t="str">
            <v>-</v>
          </cell>
        </row>
        <row r="1103">
          <cell r="S1103"/>
          <cell r="U1103" t="str">
            <v>-</v>
          </cell>
        </row>
        <row r="1104">
          <cell r="S1104"/>
          <cell r="U1104" t="str">
            <v>-</v>
          </cell>
        </row>
        <row r="1105">
          <cell r="S1105"/>
          <cell r="U1105" t="str">
            <v>-</v>
          </cell>
        </row>
        <row r="1106">
          <cell r="S1106"/>
          <cell r="U1106" t="str">
            <v>-</v>
          </cell>
        </row>
        <row r="1107">
          <cell r="S1107"/>
          <cell r="U1107" t="str">
            <v>-</v>
          </cell>
        </row>
        <row r="1108">
          <cell r="S1108"/>
          <cell r="U1108" t="str">
            <v>-</v>
          </cell>
        </row>
        <row r="1109">
          <cell r="S1109"/>
          <cell r="U1109" t="str">
            <v>-</v>
          </cell>
        </row>
        <row r="1110">
          <cell r="S1110"/>
          <cell r="U1110" t="str">
            <v>-</v>
          </cell>
        </row>
        <row r="1111">
          <cell r="S1111"/>
          <cell r="U1111" t="str">
            <v>-</v>
          </cell>
        </row>
        <row r="1112">
          <cell r="S1112"/>
          <cell r="U1112" t="str">
            <v>-</v>
          </cell>
        </row>
        <row r="1113">
          <cell r="S1113"/>
          <cell r="U1113" t="str">
            <v>-</v>
          </cell>
        </row>
        <row r="1114">
          <cell r="S1114"/>
          <cell r="U1114" t="str">
            <v>-</v>
          </cell>
        </row>
        <row r="1115">
          <cell r="S1115"/>
          <cell r="U1115" t="str">
            <v>-</v>
          </cell>
        </row>
        <row r="1116">
          <cell r="S1116"/>
          <cell r="U1116" t="str">
            <v>-</v>
          </cell>
        </row>
        <row r="1117">
          <cell r="S1117"/>
          <cell r="U1117" t="str">
            <v>-</v>
          </cell>
        </row>
        <row r="1118">
          <cell r="S1118"/>
          <cell r="U1118" t="str">
            <v>-</v>
          </cell>
        </row>
        <row r="1119">
          <cell r="S1119"/>
          <cell r="U1119" t="str">
            <v>-</v>
          </cell>
        </row>
        <row r="1120">
          <cell r="S1120"/>
          <cell r="U1120" t="str">
            <v>-</v>
          </cell>
        </row>
        <row r="1121">
          <cell r="S1121"/>
          <cell r="U1121" t="str">
            <v>-</v>
          </cell>
        </row>
        <row r="1122">
          <cell r="S1122"/>
          <cell r="U1122" t="str">
            <v>-</v>
          </cell>
        </row>
        <row r="1123">
          <cell r="S1123"/>
          <cell r="U1123" t="str">
            <v>-</v>
          </cell>
        </row>
        <row r="1124">
          <cell r="S1124"/>
          <cell r="U1124" t="str">
            <v>-</v>
          </cell>
        </row>
        <row r="1125">
          <cell r="S1125"/>
          <cell r="U1125" t="str">
            <v>-</v>
          </cell>
        </row>
        <row r="1126">
          <cell r="S1126"/>
          <cell r="U1126" t="str">
            <v>-</v>
          </cell>
        </row>
        <row r="1127">
          <cell r="S1127"/>
          <cell r="U1127" t="str">
            <v>-</v>
          </cell>
        </row>
        <row r="1128">
          <cell r="S1128"/>
          <cell r="U1128" t="str">
            <v>-</v>
          </cell>
        </row>
        <row r="1129">
          <cell r="S1129"/>
          <cell r="U1129" t="str">
            <v>-</v>
          </cell>
        </row>
        <row r="1130">
          <cell r="S1130"/>
          <cell r="U1130" t="str">
            <v>-</v>
          </cell>
        </row>
        <row r="1131">
          <cell r="S1131"/>
          <cell r="U1131" t="str">
            <v>-</v>
          </cell>
        </row>
        <row r="1132">
          <cell r="S1132"/>
          <cell r="U1132" t="str">
            <v>-</v>
          </cell>
        </row>
        <row r="1133">
          <cell r="S1133"/>
          <cell r="U1133" t="str">
            <v>-</v>
          </cell>
        </row>
        <row r="1134">
          <cell r="S1134"/>
          <cell r="U1134" t="str">
            <v>-</v>
          </cell>
        </row>
        <row r="1135">
          <cell r="S1135"/>
          <cell r="U1135" t="str">
            <v>-</v>
          </cell>
        </row>
        <row r="1136">
          <cell r="S1136"/>
          <cell r="U1136" t="str">
            <v>-</v>
          </cell>
        </row>
        <row r="1137">
          <cell r="S1137"/>
          <cell r="U1137" t="str">
            <v>-</v>
          </cell>
        </row>
        <row r="1138">
          <cell r="S1138"/>
          <cell r="U1138" t="str">
            <v>-</v>
          </cell>
        </row>
        <row r="1139">
          <cell r="S1139"/>
          <cell r="U1139" t="str">
            <v>-</v>
          </cell>
        </row>
        <row r="1140">
          <cell r="S1140"/>
          <cell r="U1140" t="str">
            <v>-</v>
          </cell>
        </row>
        <row r="1141">
          <cell r="S1141"/>
          <cell r="U1141" t="str">
            <v>-</v>
          </cell>
        </row>
        <row r="1142">
          <cell r="S1142"/>
          <cell r="U1142" t="str">
            <v>-</v>
          </cell>
        </row>
        <row r="1143">
          <cell r="S1143"/>
          <cell r="U1143" t="str">
            <v>-</v>
          </cell>
        </row>
        <row r="1144">
          <cell r="S1144"/>
          <cell r="U1144" t="str">
            <v>-</v>
          </cell>
        </row>
        <row r="1145">
          <cell r="S1145"/>
          <cell r="U1145" t="str">
            <v>-</v>
          </cell>
        </row>
        <row r="1146">
          <cell r="S1146"/>
          <cell r="U1146" t="str">
            <v>-</v>
          </cell>
        </row>
        <row r="1147">
          <cell r="S1147"/>
          <cell r="U1147" t="str">
            <v>-</v>
          </cell>
        </row>
        <row r="1148">
          <cell r="S1148"/>
          <cell r="U1148" t="str">
            <v>-</v>
          </cell>
        </row>
        <row r="1149">
          <cell r="S1149"/>
          <cell r="U1149" t="str">
            <v>-</v>
          </cell>
        </row>
        <row r="1150">
          <cell r="S1150"/>
          <cell r="U1150" t="str">
            <v>-</v>
          </cell>
        </row>
        <row r="1151">
          <cell r="S1151"/>
          <cell r="U1151" t="str">
            <v>-</v>
          </cell>
        </row>
        <row r="1152">
          <cell r="S1152"/>
          <cell r="U1152" t="str">
            <v>-</v>
          </cell>
        </row>
        <row r="1153">
          <cell r="S1153"/>
          <cell r="U1153" t="str">
            <v>-</v>
          </cell>
        </row>
        <row r="1154">
          <cell r="S1154"/>
          <cell r="U1154" t="str">
            <v>-</v>
          </cell>
        </row>
        <row r="1155">
          <cell r="S1155"/>
          <cell r="U1155" t="str">
            <v>-</v>
          </cell>
        </row>
        <row r="1156">
          <cell r="S1156"/>
          <cell r="U1156" t="str">
            <v>-</v>
          </cell>
        </row>
        <row r="1157">
          <cell r="S1157"/>
          <cell r="U1157" t="str">
            <v>-</v>
          </cell>
        </row>
        <row r="1158">
          <cell r="S1158"/>
          <cell r="U1158" t="str">
            <v>-</v>
          </cell>
        </row>
        <row r="1159">
          <cell r="S1159"/>
          <cell r="U1159" t="str">
            <v>-</v>
          </cell>
        </row>
        <row r="1160">
          <cell r="S1160"/>
          <cell r="U1160" t="str">
            <v>-</v>
          </cell>
        </row>
        <row r="1161">
          <cell r="S1161"/>
          <cell r="U1161" t="str">
            <v>-</v>
          </cell>
        </row>
        <row r="1162">
          <cell r="S1162"/>
          <cell r="U1162" t="str">
            <v>-</v>
          </cell>
        </row>
        <row r="1163">
          <cell r="S1163"/>
          <cell r="U1163" t="str">
            <v>-</v>
          </cell>
        </row>
        <row r="1164">
          <cell r="S1164"/>
          <cell r="U1164" t="str">
            <v>-</v>
          </cell>
        </row>
        <row r="1165">
          <cell r="S1165"/>
          <cell r="U1165" t="str">
            <v>-</v>
          </cell>
        </row>
        <row r="1166">
          <cell r="S1166"/>
          <cell r="U1166" t="str">
            <v>-</v>
          </cell>
        </row>
        <row r="1167">
          <cell r="S1167"/>
          <cell r="U1167" t="str">
            <v>-</v>
          </cell>
        </row>
        <row r="1168">
          <cell r="S1168"/>
          <cell r="U1168" t="str">
            <v>-</v>
          </cell>
        </row>
        <row r="1169">
          <cell r="S1169"/>
          <cell r="U1169" t="str">
            <v>-</v>
          </cell>
        </row>
        <row r="1170">
          <cell r="S1170"/>
          <cell r="U1170" t="str">
            <v>-</v>
          </cell>
        </row>
        <row r="1171">
          <cell r="S1171"/>
          <cell r="U1171" t="str">
            <v>-</v>
          </cell>
        </row>
        <row r="1172">
          <cell r="S1172"/>
          <cell r="U1172" t="str">
            <v>-</v>
          </cell>
        </row>
        <row r="1173">
          <cell r="S1173"/>
          <cell r="U1173" t="str">
            <v>-</v>
          </cell>
        </row>
        <row r="1174">
          <cell r="S1174"/>
          <cell r="U1174" t="str">
            <v>-</v>
          </cell>
        </row>
        <row r="1175">
          <cell r="S1175"/>
          <cell r="U1175" t="str">
            <v>-</v>
          </cell>
        </row>
        <row r="1176">
          <cell r="S1176"/>
          <cell r="U1176" t="str">
            <v>-</v>
          </cell>
        </row>
        <row r="1177">
          <cell r="S1177"/>
          <cell r="U1177" t="str">
            <v>-</v>
          </cell>
        </row>
        <row r="1178">
          <cell r="S1178"/>
          <cell r="U1178" t="str">
            <v>-</v>
          </cell>
        </row>
        <row r="1179">
          <cell r="S1179"/>
          <cell r="U1179" t="str">
            <v>-</v>
          </cell>
        </row>
        <row r="1180">
          <cell r="S1180"/>
          <cell r="U1180" t="str">
            <v>-</v>
          </cell>
        </row>
        <row r="1181">
          <cell r="S1181"/>
          <cell r="U1181" t="str">
            <v>-</v>
          </cell>
        </row>
        <row r="1182">
          <cell r="S1182"/>
          <cell r="U1182" t="str">
            <v>-</v>
          </cell>
        </row>
        <row r="1183">
          <cell r="S1183"/>
          <cell r="U1183" t="str">
            <v>-</v>
          </cell>
        </row>
        <row r="1184">
          <cell r="S1184"/>
          <cell r="U1184" t="str">
            <v>-</v>
          </cell>
        </row>
        <row r="1185">
          <cell r="S1185"/>
          <cell r="U1185" t="str">
            <v>-</v>
          </cell>
        </row>
        <row r="1186">
          <cell r="S1186"/>
          <cell r="U1186" t="str">
            <v>-</v>
          </cell>
        </row>
        <row r="1187">
          <cell r="S1187"/>
          <cell r="U1187" t="str">
            <v>-</v>
          </cell>
        </row>
        <row r="1188">
          <cell r="S1188"/>
          <cell r="U1188" t="str">
            <v>-</v>
          </cell>
        </row>
        <row r="1189">
          <cell r="S1189"/>
          <cell r="U1189" t="str">
            <v>-</v>
          </cell>
        </row>
        <row r="1190">
          <cell r="S1190"/>
          <cell r="U1190" t="str">
            <v>-</v>
          </cell>
        </row>
        <row r="1191">
          <cell r="S1191"/>
          <cell r="U1191" t="str">
            <v>-</v>
          </cell>
        </row>
        <row r="1192">
          <cell r="S1192"/>
          <cell r="U1192" t="str">
            <v>-</v>
          </cell>
        </row>
        <row r="1193">
          <cell r="S1193"/>
          <cell r="U1193" t="str">
            <v>-</v>
          </cell>
        </row>
        <row r="1194">
          <cell r="S1194"/>
          <cell r="U1194" t="str">
            <v>-</v>
          </cell>
        </row>
        <row r="1195">
          <cell r="S1195"/>
          <cell r="U1195" t="str">
            <v>-</v>
          </cell>
        </row>
        <row r="1196">
          <cell r="S1196"/>
          <cell r="U1196" t="str">
            <v>-</v>
          </cell>
        </row>
        <row r="1197">
          <cell r="S1197"/>
          <cell r="U1197" t="str">
            <v>-</v>
          </cell>
        </row>
        <row r="1198">
          <cell r="S1198"/>
          <cell r="U1198" t="str">
            <v>-</v>
          </cell>
        </row>
        <row r="1199">
          <cell r="S1199"/>
          <cell r="U1199" t="str">
            <v>-</v>
          </cell>
        </row>
        <row r="1200">
          <cell r="S1200"/>
          <cell r="U1200" t="str">
            <v>-</v>
          </cell>
        </row>
        <row r="1201">
          <cell r="S1201"/>
          <cell r="U1201" t="str">
            <v>-</v>
          </cell>
        </row>
        <row r="1202">
          <cell r="S1202"/>
          <cell r="U1202" t="str">
            <v>-</v>
          </cell>
        </row>
        <row r="1203">
          <cell r="S1203"/>
          <cell r="U1203" t="str">
            <v>-</v>
          </cell>
        </row>
        <row r="1204">
          <cell r="S1204"/>
          <cell r="U1204" t="str">
            <v>-</v>
          </cell>
        </row>
        <row r="1205">
          <cell r="S1205"/>
          <cell r="U1205" t="str">
            <v>-</v>
          </cell>
        </row>
        <row r="1206">
          <cell r="S1206"/>
          <cell r="U1206" t="str">
            <v>-</v>
          </cell>
        </row>
        <row r="1207">
          <cell r="S1207"/>
          <cell r="U1207" t="str">
            <v>-</v>
          </cell>
        </row>
        <row r="1208">
          <cell r="S1208"/>
          <cell r="U1208" t="str">
            <v>-</v>
          </cell>
        </row>
        <row r="1209">
          <cell r="S1209"/>
          <cell r="U1209" t="str">
            <v>-</v>
          </cell>
        </row>
        <row r="1210">
          <cell r="S1210"/>
          <cell r="U1210" t="str">
            <v>-</v>
          </cell>
        </row>
        <row r="1211">
          <cell r="S1211"/>
          <cell r="U1211" t="str">
            <v>-</v>
          </cell>
        </row>
        <row r="1212">
          <cell r="S1212"/>
          <cell r="U1212" t="str">
            <v>-</v>
          </cell>
        </row>
        <row r="1213">
          <cell r="S1213"/>
          <cell r="U1213" t="str">
            <v>-</v>
          </cell>
        </row>
        <row r="1214">
          <cell r="S1214"/>
          <cell r="U1214" t="str">
            <v>-</v>
          </cell>
        </row>
        <row r="1215">
          <cell r="S1215"/>
          <cell r="U1215" t="str">
            <v>-</v>
          </cell>
        </row>
        <row r="1216">
          <cell r="S1216"/>
          <cell r="U1216" t="str">
            <v>-</v>
          </cell>
        </row>
        <row r="1217">
          <cell r="S1217"/>
          <cell r="U1217" t="str">
            <v>-</v>
          </cell>
        </row>
        <row r="1218">
          <cell r="S1218"/>
          <cell r="U1218" t="str">
            <v>-</v>
          </cell>
        </row>
        <row r="1219">
          <cell r="S1219"/>
          <cell r="U1219" t="str">
            <v>-</v>
          </cell>
        </row>
        <row r="1220">
          <cell r="S1220"/>
          <cell r="U1220" t="str">
            <v>-</v>
          </cell>
        </row>
        <row r="1221">
          <cell r="S1221"/>
          <cell r="U1221" t="str">
            <v>-</v>
          </cell>
        </row>
        <row r="1222">
          <cell r="S1222"/>
          <cell r="U1222" t="str">
            <v>-</v>
          </cell>
        </row>
        <row r="1223">
          <cell r="S1223"/>
          <cell r="U1223" t="str">
            <v>-</v>
          </cell>
        </row>
        <row r="1224">
          <cell r="S1224"/>
          <cell r="U1224" t="str">
            <v>-</v>
          </cell>
        </row>
        <row r="1225">
          <cell r="S1225"/>
          <cell r="U1225" t="str">
            <v>-</v>
          </cell>
        </row>
        <row r="1226">
          <cell r="S1226"/>
          <cell r="U1226" t="str">
            <v>-</v>
          </cell>
        </row>
        <row r="1227">
          <cell r="S1227"/>
          <cell r="U1227" t="str">
            <v>-</v>
          </cell>
        </row>
        <row r="1228">
          <cell r="S1228"/>
          <cell r="U1228" t="str">
            <v>-</v>
          </cell>
        </row>
        <row r="1229">
          <cell r="S1229"/>
          <cell r="U1229" t="str">
            <v>-</v>
          </cell>
        </row>
        <row r="1230">
          <cell r="S1230"/>
          <cell r="U1230" t="str">
            <v>-</v>
          </cell>
        </row>
        <row r="1231">
          <cell r="S1231"/>
          <cell r="U1231" t="str">
            <v>-</v>
          </cell>
        </row>
        <row r="1232">
          <cell r="S1232"/>
          <cell r="U1232" t="str">
            <v>-</v>
          </cell>
        </row>
        <row r="1233">
          <cell r="S1233"/>
          <cell r="U1233" t="str">
            <v>-</v>
          </cell>
        </row>
        <row r="1234">
          <cell r="S1234"/>
          <cell r="U1234" t="str">
            <v>-</v>
          </cell>
        </row>
        <row r="1235">
          <cell r="S1235"/>
          <cell r="U1235" t="str">
            <v>-</v>
          </cell>
        </row>
        <row r="1236">
          <cell r="S1236"/>
          <cell r="U1236" t="str">
            <v>-</v>
          </cell>
        </row>
        <row r="1237">
          <cell r="S1237"/>
          <cell r="U1237" t="str">
            <v>-</v>
          </cell>
        </row>
        <row r="1238">
          <cell r="S1238"/>
          <cell r="U1238" t="str">
            <v>-</v>
          </cell>
        </row>
        <row r="1239">
          <cell r="S1239"/>
          <cell r="U1239" t="str">
            <v>-</v>
          </cell>
        </row>
        <row r="1240">
          <cell r="S1240"/>
          <cell r="U1240" t="str">
            <v>-</v>
          </cell>
        </row>
        <row r="1241">
          <cell r="S1241"/>
          <cell r="U1241" t="str">
            <v>-</v>
          </cell>
        </row>
        <row r="1242">
          <cell r="S1242"/>
          <cell r="U1242" t="str">
            <v>-</v>
          </cell>
        </row>
        <row r="1243">
          <cell r="S1243"/>
          <cell r="U1243" t="str">
            <v>-</v>
          </cell>
        </row>
        <row r="1244">
          <cell r="S1244"/>
          <cell r="U1244" t="str">
            <v>-</v>
          </cell>
        </row>
        <row r="1245">
          <cell r="S1245"/>
          <cell r="U1245" t="str">
            <v>-</v>
          </cell>
        </row>
        <row r="1246">
          <cell r="S1246"/>
          <cell r="U1246" t="str">
            <v>-</v>
          </cell>
        </row>
        <row r="1247">
          <cell r="S1247"/>
          <cell r="U1247" t="str">
            <v>-</v>
          </cell>
        </row>
        <row r="1248">
          <cell r="S1248"/>
          <cell r="U1248" t="str">
            <v>-</v>
          </cell>
        </row>
        <row r="1249">
          <cell r="S1249"/>
          <cell r="U1249" t="str">
            <v>-</v>
          </cell>
        </row>
        <row r="1250">
          <cell r="S1250"/>
          <cell r="U1250" t="str">
            <v>-</v>
          </cell>
        </row>
        <row r="1251">
          <cell r="S1251"/>
          <cell r="U1251" t="str">
            <v>-</v>
          </cell>
        </row>
        <row r="1252">
          <cell r="S1252"/>
          <cell r="U1252" t="str">
            <v>-</v>
          </cell>
        </row>
        <row r="1253">
          <cell r="S1253"/>
          <cell r="U1253" t="str">
            <v>-</v>
          </cell>
        </row>
        <row r="1254">
          <cell r="S1254"/>
          <cell r="U1254" t="str">
            <v>-</v>
          </cell>
        </row>
        <row r="1255">
          <cell r="S1255"/>
          <cell r="U1255" t="str">
            <v>-</v>
          </cell>
        </row>
        <row r="1256">
          <cell r="S1256"/>
          <cell r="U1256" t="str">
            <v>-</v>
          </cell>
        </row>
        <row r="1257">
          <cell r="S1257"/>
          <cell r="U1257" t="str">
            <v>-</v>
          </cell>
        </row>
        <row r="1258">
          <cell r="S1258"/>
          <cell r="U1258" t="str">
            <v>-</v>
          </cell>
        </row>
        <row r="1259">
          <cell r="S1259"/>
          <cell r="U1259" t="str">
            <v>-</v>
          </cell>
        </row>
        <row r="1260">
          <cell r="S1260"/>
          <cell r="U1260" t="str">
            <v>-</v>
          </cell>
        </row>
        <row r="1261">
          <cell r="S1261"/>
          <cell r="U1261" t="str">
            <v>-</v>
          </cell>
        </row>
        <row r="1262">
          <cell r="S1262"/>
          <cell r="U1262" t="str">
            <v>-</v>
          </cell>
        </row>
        <row r="1263">
          <cell r="S1263"/>
          <cell r="U1263" t="str">
            <v>-</v>
          </cell>
        </row>
        <row r="1264">
          <cell r="S1264"/>
          <cell r="U1264" t="str">
            <v>-</v>
          </cell>
        </row>
        <row r="1265">
          <cell r="S1265"/>
          <cell r="U1265" t="str">
            <v>-</v>
          </cell>
        </row>
        <row r="1266">
          <cell r="S1266"/>
          <cell r="U1266" t="str">
            <v>-</v>
          </cell>
        </row>
        <row r="1267">
          <cell r="S1267"/>
          <cell r="U1267" t="str">
            <v>-</v>
          </cell>
        </row>
        <row r="1268">
          <cell r="S1268"/>
          <cell r="U1268" t="str">
            <v>-</v>
          </cell>
        </row>
        <row r="1269">
          <cell r="S1269"/>
          <cell r="U1269" t="str">
            <v>-</v>
          </cell>
        </row>
        <row r="1270">
          <cell r="S1270"/>
          <cell r="U1270" t="str">
            <v>-</v>
          </cell>
        </row>
        <row r="1271">
          <cell r="S1271"/>
          <cell r="U1271" t="str">
            <v>-</v>
          </cell>
        </row>
        <row r="1272">
          <cell r="S1272"/>
          <cell r="U1272" t="str">
            <v>-</v>
          </cell>
        </row>
        <row r="1273">
          <cell r="S1273"/>
          <cell r="U1273" t="str">
            <v>-</v>
          </cell>
        </row>
        <row r="1274">
          <cell r="S1274"/>
          <cell r="U1274" t="str">
            <v>-</v>
          </cell>
        </row>
        <row r="1275">
          <cell r="S1275"/>
          <cell r="U1275" t="str">
            <v>-</v>
          </cell>
        </row>
        <row r="1276">
          <cell r="S1276"/>
          <cell r="U1276" t="str">
            <v>-</v>
          </cell>
        </row>
        <row r="1277">
          <cell r="S1277"/>
          <cell r="U1277" t="str">
            <v>-</v>
          </cell>
        </row>
        <row r="1278">
          <cell r="S1278"/>
          <cell r="U1278" t="str">
            <v>-</v>
          </cell>
        </row>
        <row r="1279">
          <cell r="S1279"/>
          <cell r="U1279" t="str">
            <v>-</v>
          </cell>
        </row>
        <row r="1280">
          <cell r="S1280"/>
          <cell r="U1280" t="str">
            <v>-</v>
          </cell>
        </row>
        <row r="1281">
          <cell r="S1281"/>
          <cell r="U1281" t="str">
            <v>-</v>
          </cell>
        </row>
        <row r="1282">
          <cell r="S1282"/>
          <cell r="U1282" t="str">
            <v>-</v>
          </cell>
        </row>
        <row r="1283">
          <cell r="S1283"/>
          <cell r="U1283" t="str">
            <v>-</v>
          </cell>
        </row>
        <row r="1284">
          <cell r="S1284"/>
          <cell r="U1284" t="str">
            <v>-</v>
          </cell>
        </row>
        <row r="1285">
          <cell r="S1285"/>
          <cell r="U1285" t="str">
            <v>-</v>
          </cell>
        </row>
        <row r="1286">
          <cell r="S1286"/>
          <cell r="U1286" t="str">
            <v>-</v>
          </cell>
        </row>
        <row r="1287">
          <cell r="S1287"/>
          <cell r="U1287" t="str">
            <v>-</v>
          </cell>
        </row>
        <row r="1288">
          <cell r="S1288"/>
          <cell r="U1288" t="str">
            <v>-</v>
          </cell>
        </row>
        <row r="1289">
          <cell r="S1289"/>
          <cell r="U1289" t="str">
            <v>-</v>
          </cell>
        </row>
        <row r="1290">
          <cell r="S1290"/>
          <cell r="U1290" t="str">
            <v>-</v>
          </cell>
        </row>
        <row r="1291">
          <cell r="S1291"/>
          <cell r="U1291" t="str">
            <v>-</v>
          </cell>
        </row>
        <row r="1292">
          <cell r="S1292"/>
          <cell r="U1292" t="str">
            <v>-</v>
          </cell>
        </row>
        <row r="1293">
          <cell r="S1293"/>
          <cell r="U1293" t="str">
            <v>-</v>
          </cell>
        </row>
        <row r="1294">
          <cell r="S1294"/>
          <cell r="U1294" t="str">
            <v>-</v>
          </cell>
        </row>
        <row r="1295">
          <cell r="S1295"/>
          <cell r="U1295" t="str">
            <v>-</v>
          </cell>
        </row>
        <row r="1296">
          <cell r="S1296"/>
          <cell r="U1296" t="str">
            <v>-</v>
          </cell>
        </row>
        <row r="1297">
          <cell r="S1297"/>
          <cell r="U1297" t="str">
            <v>-</v>
          </cell>
        </row>
        <row r="1298">
          <cell r="S1298"/>
          <cell r="U1298" t="str">
            <v>-</v>
          </cell>
        </row>
        <row r="1299">
          <cell r="S1299"/>
          <cell r="U1299" t="str">
            <v>-</v>
          </cell>
        </row>
        <row r="1300">
          <cell r="S1300"/>
          <cell r="U1300" t="str">
            <v>-</v>
          </cell>
        </row>
        <row r="1301">
          <cell r="S1301"/>
          <cell r="U1301" t="str">
            <v>-</v>
          </cell>
        </row>
        <row r="1302">
          <cell r="S1302"/>
          <cell r="U1302" t="str">
            <v>-</v>
          </cell>
        </row>
        <row r="1303">
          <cell r="S1303"/>
          <cell r="U1303" t="str">
            <v>-</v>
          </cell>
        </row>
        <row r="1304">
          <cell r="S1304"/>
          <cell r="U1304" t="str">
            <v>-</v>
          </cell>
        </row>
        <row r="1305">
          <cell r="S1305"/>
          <cell r="U1305" t="str">
            <v>-</v>
          </cell>
        </row>
        <row r="1306">
          <cell r="S1306"/>
          <cell r="U1306" t="str">
            <v>-</v>
          </cell>
        </row>
        <row r="1307">
          <cell r="S1307"/>
          <cell r="U1307" t="str">
            <v>-</v>
          </cell>
        </row>
        <row r="1308">
          <cell r="S1308"/>
          <cell r="U1308" t="str">
            <v>-</v>
          </cell>
        </row>
        <row r="1309">
          <cell r="S1309"/>
          <cell r="U1309" t="str">
            <v>-</v>
          </cell>
        </row>
        <row r="1310">
          <cell r="S1310"/>
          <cell r="U1310" t="str">
            <v>-</v>
          </cell>
        </row>
        <row r="1311">
          <cell r="S1311"/>
          <cell r="U1311" t="str">
            <v>-</v>
          </cell>
        </row>
        <row r="1312">
          <cell r="S1312"/>
          <cell r="U1312" t="str">
            <v>-</v>
          </cell>
        </row>
        <row r="1313">
          <cell r="S1313"/>
          <cell r="U1313" t="str">
            <v>-</v>
          </cell>
        </row>
        <row r="1314">
          <cell r="S1314"/>
          <cell r="U1314" t="str">
            <v>-</v>
          </cell>
        </row>
        <row r="1315">
          <cell r="S1315"/>
          <cell r="U1315" t="str">
            <v>-</v>
          </cell>
        </row>
        <row r="1316">
          <cell r="S1316"/>
          <cell r="U1316" t="str">
            <v>-</v>
          </cell>
        </row>
        <row r="1317">
          <cell r="S1317"/>
          <cell r="U1317" t="str">
            <v>-</v>
          </cell>
        </row>
        <row r="1318">
          <cell r="S1318"/>
          <cell r="U1318" t="str">
            <v>-</v>
          </cell>
        </row>
        <row r="1319">
          <cell r="S1319"/>
          <cell r="U1319" t="str">
            <v>-</v>
          </cell>
        </row>
        <row r="1320">
          <cell r="S1320"/>
          <cell r="U1320" t="str">
            <v>-</v>
          </cell>
        </row>
        <row r="1321">
          <cell r="S1321"/>
          <cell r="U1321" t="str">
            <v>-</v>
          </cell>
        </row>
        <row r="1322">
          <cell r="S1322"/>
          <cell r="U1322" t="str">
            <v>-</v>
          </cell>
        </row>
        <row r="1323">
          <cell r="S1323"/>
          <cell r="U1323" t="str">
            <v>-</v>
          </cell>
        </row>
        <row r="1324">
          <cell r="S1324"/>
          <cell r="U1324" t="str">
            <v>-</v>
          </cell>
        </row>
        <row r="1325">
          <cell r="S1325"/>
          <cell r="U1325" t="str">
            <v>-</v>
          </cell>
        </row>
        <row r="1326">
          <cell r="S1326"/>
          <cell r="U1326" t="str">
            <v>-</v>
          </cell>
        </row>
        <row r="1327">
          <cell r="S1327"/>
          <cell r="U1327" t="str">
            <v>-</v>
          </cell>
        </row>
        <row r="1328">
          <cell r="S1328"/>
          <cell r="U1328" t="str">
            <v>-</v>
          </cell>
        </row>
        <row r="1329">
          <cell r="S1329"/>
          <cell r="U1329" t="str">
            <v>-</v>
          </cell>
        </row>
        <row r="1330">
          <cell r="S1330"/>
          <cell r="U1330" t="str">
            <v>-</v>
          </cell>
        </row>
        <row r="1331">
          <cell r="S1331"/>
          <cell r="U1331" t="str">
            <v>-</v>
          </cell>
        </row>
        <row r="1332">
          <cell r="S1332"/>
          <cell r="U1332" t="str">
            <v>-</v>
          </cell>
        </row>
        <row r="1333">
          <cell r="S1333"/>
          <cell r="U1333" t="str">
            <v>-</v>
          </cell>
        </row>
        <row r="1334">
          <cell r="S1334"/>
          <cell r="U1334" t="str">
            <v>-</v>
          </cell>
        </row>
        <row r="1335">
          <cell r="S1335"/>
          <cell r="U1335" t="str">
            <v>-</v>
          </cell>
        </row>
        <row r="1336">
          <cell r="S1336"/>
          <cell r="U1336" t="str">
            <v>-</v>
          </cell>
        </row>
        <row r="1337">
          <cell r="S1337"/>
          <cell r="U1337" t="str">
            <v>-</v>
          </cell>
        </row>
        <row r="1338">
          <cell r="S1338"/>
          <cell r="U1338" t="str">
            <v>-</v>
          </cell>
        </row>
        <row r="1339">
          <cell r="S1339"/>
          <cell r="U1339" t="str">
            <v>-</v>
          </cell>
        </row>
        <row r="1340">
          <cell r="S1340"/>
          <cell r="U1340" t="str">
            <v>-</v>
          </cell>
        </row>
        <row r="1341">
          <cell r="S1341"/>
          <cell r="U1341" t="str">
            <v>-</v>
          </cell>
        </row>
        <row r="1342">
          <cell r="S1342"/>
          <cell r="U1342" t="str">
            <v>-</v>
          </cell>
        </row>
        <row r="1343">
          <cell r="S1343"/>
          <cell r="U1343" t="str">
            <v>-</v>
          </cell>
        </row>
        <row r="1344">
          <cell r="S1344"/>
          <cell r="U1344" t="str">
            <v>-</v>
          </cell>
        </row>
        <row r="1345">
          <cell r="S1345"/>
          <cell r="U1345" t="str">
            <v>-</v>
          </cell>
        </row>
        <row r="1346">
          <cell r="S1346"/>
          <cell r="U1346" t="str">
            <v>-</v>
          </cell>
        </row>
        <row r="1347">
          <cell r="S1347"/>
          <cell r="U1347" t="str">
            <v>-</v>
          </cell>
        </row>
        <row r="1348">
          <cell r="S1348"/>
          <cell r="U1348" t="str">
            <v>-</v>
          </cell>
        </row>
        <row r="1349">
          <cell r="S1349"/>
          <cell r="U1349" t="str">
            <v>-</v>
          </cell>
        </row>
        <row r="1350">
          <cell r="S1350"/>
          <cell r="U1350" t="str">
            <v>-</v>
          </cell>
        </row>
        <row r="1351">
          <cell r="S1351"/>
          <cell r="U1351" t="str">
            <v>-</v>
          </cell>
        </row>
        <row r="1352">
          <cell r="S1352"/>
          <cell r="U1352" t="str">
            <v>-</v>
          </cell>
        </row>
        <row r="1353">
          <cell r="S1353"/>
          <cell r="U1353" t="str">
            <v>-</v>
          </cell>
        </row>
        <row r="1354">
          <cell r="S1354"/>
          <cell r="U1354" t="str">
            <v>-</v>
          </cell>
        </row>
        <row r="1355">
          <cell r="S1355"/>
          <cell r="U1355" t="str">
            <v>-</v>
          </cell>
        </row>
        <row r="1356">
          <cell r="S1356"/>
          <cell r="U1356" t="str">
            <v>-</v>
          </cell>
        </row>
        <row r="1357">
          <cell r="S1357"/>
          <cell r="U1357" t="str">
            <v>-</v>
          </cell>
        </row>
        <row r="1358">
          <cell r="S1358"/>
          <cell r="U1358" t="str">
            <v>-</v>
          </cell>
        </row>
        <row r="1359">
          <cell r="S1359"/>
          <cell r="U1359" t="str">
            <v>-</v>
          </cell>
        </row>
        <row r="1360">
          <cell r="S1360"/>
          <cell r="U1360" t="str">
            <v>-</v>
          </cell>
        </row>
        <row r="1361">
          <cell r="S1361"/>
          <cell r="U1361" t="str">
            <v>-</v>
          </cell>
        </row>
        <row r="1362">
          <cell r="S1362"/>
          <cell r="U1362" t="str">
            <v>-</v>
          </cell>
        </row>
        <row r="1363">
          <cell r="S1363"/>
          <cell r="U1363" t="str">
            <v>-</v>
          </cell>
        </row>
        <row r="1364">
          <cell r="S1364"/>
          <cell r="U1364" t="str">
            <v>-</v>
          </cell>
        </row>
        <row r="1365">
          <cell r="S1365"/>
          <cell r="U1365" t="str">
            <v>-</v>
          </cell>
        </row>
        <row r="1366">
          <cell r="S1366"/>
          <cell r="U1366" t="str">
            <v>-</v>
          </cell>
        </row>
        <row r="1367">
          <cell r="S1367"/>
          <cell r="U1367" t="str">
            <v>-</v>
          </cell>
        </row>
        <row r="1368">
          <cell r="S1368"/>
          <cell r="U1368" t="str">
            <v>-</v>
          </cell>
        </row>
        <row r="1369">
          <cell r="S1369"/>
          <cell r="U1369" t="str">
            <v>-</v>
          </cell>
        </row>
        <row r="1370">
          <cell r="S1370"/>
          <cell r="U1370" t="str">
            <v>-</v>
          </cell>
        </row>
        <row r="1371">
          <cell r="S1371"/>
          <cell r="U1371" t="str">
            <v>-</v>
          </cell>
        </row>
        <row r="1372">
          <cell r="S1372"/>
          <cell r="U1372" t="str">
            <v>-</v>
          </cell>
        </row>
        <row r="1373">
          <cell r="S1373"/>
          <cell r="U1373" t="str">
            <v>-</v>
          </cell>
        </row>
        <row r="1374">
          <cell r="S1374"/>
          <cell r="U1374" t="str">
            <v>-</v>
          </cell>
        </row>
        <row r="1375">
          <cell r="S1375"/>
          <cell r="U1375" t="str">
            <v>-</v>
          </cell>
        </row>
        <row r="1376">
          <cell r="S1376"/>
          <cell r="U1376" t="str">
            <v>-</v>
          </cell>
        </row>
        <row r="1377">
          <cell r="S1377"/>
          <cell r="U1377" t="str">
            <v>-</v>
          </cell>
        </row>
        <row r="1378">
          <cell r="S1378"/>
          <cell r="U1378" t="str">
            <v>-</v>
          </cell>
        </row>
        <row r="1379">
          <cell r="S1379"/>
          <cell r="U1379" t="str">
            <v>-</v>
          </cell>
        </row>
        <row r="1380">
          <cell r="S1380"/>
          <cell r="U1380" t="str">
            <v>-</v>
          </cell>
        </row>
        <row r="1381">
          <cell r="S1381"/>
          <cell r="U1381" t="str">
            <v>-</v>
          </cell>
        </row>
        <row r="1382">
          <cell r="S1382"/>
          <cell r="U1382" t="str">
            <v>-</v>
          </cell>
        </row>
        <row r="1383">
          <cell r="S1383"/>
          <cell r="U1383" t="str">
            <v>-</v>
          </cell>
        </row>
        <row r="1384">
          <cell r="S1384"/>
          <cell r="U1384" t="str">
            <v>-</v>
          </cell>
        </row>
        <row r="1385">
          <cell r="S1385"/>
          <cell r="U1385" t="str">
            <v>-</v>
          </cell>
        </row>
        <row r="1386">
          <cell r="S1386"/>
          <cell r="U1386" t="str">
            <v>-</v>
          </cell>
        </row>
        <row r="1387">
          <cell r="S1387"/>
          <cell r="U1387" t="str">
            <v>-</v>
          </cell>
        </row>
        <row r="1388">
          <cell r="S1388"/>
          <cell r="U1388" t="str">
            <v>-</v>
          </cell>
        </row>
        <row r="1389">
          <cell r="S1389"/>
          <cell r="U1389" t="str">
            <v>-</v>
          </cell>
        </row>
        <row r="1390">
          <cell r="S1390"/>
          <cell r="U1390" t="str">
            <v>-</v>
          </cell>
        </row>
        <row r="1391">
          <cell r="S1391"/>
          <cell r="U1391" t="str">
            <v>-</v>
          </cell>
        </row>
        <row r="1392">
          <cell r="S1392"/>
          <cell r="U1392" t="str">
            <v>-</v>
          </cell>
        </row>
        <row r="1393">
          <cell r="S1393"/>
          <cell r="U1393" t="str">
            <v>-</v>
          </cell>
        </row>
        <row r="1394">
          <cell r="S1394"/>
          <cell r="U1394" t="str">
            <v>-</v>
          </cell>
        </row>
        <row r="1395">
          <cell r="S1395"/>
          <cell r="U1395" t="str">
            <v>-</v>
          </cell>
        </row>
        <row r="1396">
          <cell r="S1396"/>
          <cell r="U1396" t="str">
            <v>-</v>
          </cell>
        </row>
        <row r="1397">
          <cell r="S1397"/>
          <cell r="U1397" t="str">
            <v>-</v>
          </cell>
        </row>
        <row r="1398">
          <cell r="S1398"/>
          <cell r="U1398" t="str">
            <v>-</v>
          </cell>
        </row>
        <row r="1399">
          <cell r="S1399"/>
          <cell r="U1399" t="str">
            <v>-</v>
          </cell>
        </row>
        <row r="1400">
          <cell r="S1400"/>
          <cell r="U1400" t="str">
            <v>-</v>
          </cell>
        </row>
        <row r="1401">
          <cell r="S1401"/>
          <cell r="U1401" t="str">
            <v>-</v>
          </cell>
        </row>
        <row r="1402">
          <cell r="S1402"/>
          <cell r="U1402" t="str">
            <v>-</v>
          </cell>
        </row>
        <row r="1403">
          <cell r="S1403"/>
          <cell r="U1403" t="str">
            <v>-</v>
          </cell>
        </row>
        <row r="1404">
          <cell r="S1404"/>
          <cell r="U1404" t="str">
            <v>-</v>
          </cell>
        </row>
        <row r="1405">
          <cell r="S1405"/>
          <cell r="U1405" t="str">
            <v>-</v>
          </cell>
        </row>
        <row r="1406">
          <cell r="S1406"/>
          <cell r="U1406" t="str">
            <v>-</v>
          </cell>
        </row>
        <row r="1407">
          <cell r="S1407"/>
          <cell r="U1407" t="str">
            <v>-</v>
          </cell>
        </row>
        <row r="1408">
          <cell r="S1408"/>
          <cell r="U1408" t="str">
            <v>-</v>
          </cell>
        </row>
        <row r="1409">
          <cell r="S1409"/>
          <cell r="U1409" t="str">
            <v>-</v>
          </cell>
        </row>
        <row r="1410">
          <cell r="S1410"/>
          <cell r="U1410" t="str">
            <v>-</v>
          </cell>
        </row>
        <row r="1411">
          <cell r="S1411"/>
          <cell r="U1411" t="str">
            <v>-</v>
          </cell>
        </row>
        <row r="1412">
          <cell r="S1412"/>
          <cell r="U1412" t="str">
            <v>-</v>
          </cell>
        </row>
        <row r="1413">
          <cell r="S1413"/>
          <cell r="U1413" t="str">
            <v>-</v>
          </cell>
        </row>
        <row r="1414">
          <cell r="S1414"/>
          <cell r="U1414" t="str">
            <v>-</v>
          </cell>
        </row>
        <row r="1415">
          <cell r="S1415"/>
          <cell r="U1415" t="str">
            <v>-</v>
          </cell>
        </row>
        <row r="1416">
          <cell r="S1416"/>
          <cell r="U1416" t="str">
            <v>-</v>
          </cell>
        </row>
        <row r="1417">
          <cell r="S1417"/>
          <cell r="U1417" t="str">
            <v>-</v>
          </cell>
        </row>
        <row r="1418">
          <cell r="S1418"/>
          <cell r="U1418" t="str">
            <v>-</v>
          </cell>
        </row>
        <row r="1419">
          <cell r="S1419"/>
          <cell r="U1419" t="str">
            <v>-</v>
          </cell>
        </row>
        <row r="1420">
          <cell r="S1420"/>
          <cell r="U1420" t="str">
            <v>-</v>
          </cell>
        </row>
        <row r="1421">
          <cell r="S1421"/>
          <cell r="U1421" t="str">
            <v>-</v>
          </cell>
        </row>
        <row r="1422">
          <cell r="S1422"/>
          <cell r="U1422" t="str">
            <v>-</v>
          </cell>
        </row>
        <row r="1423">
          <cell r="S1423"/>
          <cell r="U1423" t="str">
            <v>-</v>
          </cell>
        </row>
        <row r="1424">
          <cell r="S1424"/>
          <cell r="U1424" t="str">
            <v>-</v>
          </cell>
        </row>
        <row r="1425">
          <cell r="S1425"/>
          <cell r="U1425" t="str">
            <v>-</v>
          </cell>
        </row>
        <row r="1426">
          <cell r="S1426"/>
          <cell r="U1426" t="str">
            <v>-</v>
          </cell>
        </row>
        <row r="1427">
          <cell r="S1427"/>
          <cell r="U1427" t="str">
            <v>-</v>
          </cell>
        </row>
        <row r="1428">
          <cell r="S1428"/>
          <cell r="U1428" t="str">
            <v>-</v>
          </cell>
        </row>
        <row r="1429">
          <cell r="S1429"/>
          <cell r="U1429" t="str">
            <v>-</v>
          </cell>
        </row>
        <row r="1430">
          <cell r="S1430"/>
          <cell r="U1430" t="str">
            <v>-</v>
          </cell>
        </row>
        <row r="1431">
          <cell r="S1431"/>
          <cell r="U1431" t="str">
            <v>-</v>
          </cell>
        </row>
        <row r="1432">
          <cell r="S1432"/>
          <cell r="U1432" t="str">
            <v>-</v>
          </cell>
        </row>
        <row r="1433">
          <cell r="S1433"/>
          <cell r="U1433" t="str">
            <v>-</v>
          </cell>
        </row>
        <row r="1434">
          <cell r="S1434"/>
          <cell r="U1434" t="str">
            <v>-</v>
          </cell>
        </row>
        <row r="1435">
          <cell r="S1435"/>
          <cell r="U1435" t="str">
            <v>-</v>
          </cell>
        </row>
        <row r="1436">
          <cell r="S1436"/>
          <cell r="U1436" t="str">
            <v>-</v>
          </cell>
        </row>
        <row r="1437">
          <cell r="S1437"/>
          <cell r="U1437" t="str">
            <v>-</v>
          </cell>
        </row>
        <row r="1438">
          <cell r="S1438"/>
          <cell r="U1438" t="str">
            <v>-</v>
          </cell>
        </row>
        <row r="1439">
          <cell r="S1439"/>
          <cell r="U1439" t="str">
            <v>-</v>
          </cell>
        </row>
        <row r="1440">
          <cell r="S1440"/>
          <cell r="U1440" t="str">
            <v>-</v>
          </cell>
        </row>
        <row r="1441">
          <cell r="S1441"/>
          <cell r="U1441" t="str">
            <v>-</v>
          </cell>
        </row>
        <row r="1442">
          <cell r="S1442"/>
          <cell r="U1442" t="str">
            <v>-</v>
          </cell>
        </row>
        <row r="1443">
          <cell r="S1443"/>
          <cell r="U1443" t="str">
            <v>-</v>
          </cell>
        </row>
        <row r="1444">
          <cell r="S1444"/>
          <cell r="U1444" t="str">
            <v>-</v>
          </cell>
        </row>
        <row r="1445">
          <cell r="S1445"/>
          <cell r="U1445" t="str">
            <v>-</v>
          </cell>
        </row>
        <row r="1446">
          <cell r="S1446"/>
          <cell r="U1446" t="str">
            <v>-</v>
          </cell>
        </row>
        <row r="1447">
          <cell r="S1447"/>
          <cell r="U1447" t="str">
            <v>-</v>
          </cell>
        </row>
        <row r="1448">
          <cell r="S1448"/>
          <cell r="U1448" t="str">
            <v>-</v>
          </cell>
        </row>
        <row r="1449">
          <cell r="S1449"/>
          <cell r="U1449" t="str">
            <v>-</v>
          </cell>
        </row>
        <row r="1450">
          <cell r="S1450"/>
          <cell r="U1450" t="str">
            <v>-</v>
          </cell>
        </row>
        <row r="1451">
          <cell r="S1451"/>
          <cell r="U1451" t="str">
            <v>-</v>
          </cell>
        </row>
        <row r="1452">
          <cell r="S1452"/>
          <cell r="U1452" t="str">
            <v>-</v>
          </cell>
        </row>
        <row r="1453">
          <cell r="S1453"/>
          <cell r="U1453" t="str">
            <v>-</v>
          </cell>
        </row>
        <row r="1454">
          <cell r="S1454"/>
          <cell r="U1454" t="str">
            <v>-</v>
          </cell>
        </row>
        <row r="1455">
          <cell r="S1455"/>
          <cell r="U1455" t="str">
            <v>-</v>
          </cell>
        </row>
        <row r="1456">
          <cell r="S1456"/>
          <cell r="U1456" t="str">
            <v>-</v>
          </cell>
        </row>
        <row r="1457">
          <cell r="S1457"/>
          <cell r="U1457" t="str">
            <v>-</v>
          </cell>
        </row>
        <row r="1458">
          <cell r="S1458"/>
          <cell r="U1458" t="str">
            <v>-</v>
          </cell>
        </row>
        <row r="1459">
          <cell r="S1459"/>
          <cell r="U1459" t="str">
            <v>-</v>
          </cell>
        </row>
        <row r="1460">
          <cell r="S1460"/>
          <cell r="U1460" t="str">
            <v>-</v>
          </cell>
        </row>
        <row r="1461">
          <cell r="S1461"/>
          <cell r="U1461" t="str">
            <v>-</v>
          </cell>
        </row>
        <row r="1462">
          <cell r="S1462"/>
          <cell r="U1462" t="str">
            <v>-</v>
          </cell>
        </row>
        <row r="1463">
          <cell r="S1463"/>
          <cell r="U1463" t="str">
            <v>-</v>
          </cell>
        </row>
        <row r="1464">
          <cell r="S1464"/>
          <cell r="U1464" t="str">
            <v>-</v>
          </cell>
        </row>
        <row r="1465">
          <cell r="S1465"/>
          <cell r="U1465" t="str">
            <v>-</v>
          </cell>
        </row>
        <row r="1466">
          <cell r="S1466"/>
          <cell r="U1466" t="str">
            <v>-</v>
          </cell>
        </row>
        <row r="1467">
          <cell r="S1467"/>
          <cell r="U1467" t="str">
            <v>-</v>
          </cell>
        </row>
        <row r="1468">
          <cell r="S1468"/>
          <cell r="U1468" t="str">
            <v>-</v>
          </cell>
        </row>
        <row r="1469">
          <cell r="S1469"/>
          <cell r="U1469" t="str">
            <v>-</v>
          </cell>
        </row>
        <row r="1470">
          <cell r="S1470"/>
          <cell r="U1470" t="str">
            <v>-</v>
          </cell>
        </row>
        <row r="1471">
          <cell r="S1471"/>
          <cell r="U1471" t="str">
            <v>-</v>
          </cell>
        </row>
        <row r="1472">
          <cell r="S1472"/>
          <cell r="U1472" t="str">
            <v>-</v>
          </cell>
        </row>
        <row r="1473">
          <cell r="S1473"/>
          <cell r="U1473" t="str">
            <v>-</v>
          </cell>
        </row>
        <row r="1474">
          <cell r="S1474"/>
          <cell r="U1474" t="str">
            <v>-</v>
          </cell>
        </row>
        <row r="1475">
          <cell r="S1475"/>
          <cell r="U1475" t="str">
            <v>-</v>
          </cell>
        </row>
        <row r="1476">
          <cell r="S1476"/>
          <cell r="U1476" t="str">
            <v>-</v>
          </cell>
        </row>
        <row r="1477">
          <cell r="S1477"/>
          <cell r="U1477" t="str">
            <v>-</v>
          </cell>
        </row>
        <row r="1478">
          <cell r="S1478"/>
          <cell r="U1478" t="str">
            <v>-</v>
          </cell>
        </row>
        <row r="1479">
          <cell r="S1479"/>
          <cell r="U1479" t="str">
            <v>-</v>
          </cell>
        </row>
        <row r="1480">
          <cell r="S1480"/>
          <cell r="U1480" t="str">
            <v>-</v>
          </cell>
        </row>
        <row r="1481">
          <cell r="S1481"/>
          <cell r="U1481" t="str">
            <v>-</v>
          </cell>
        </row>
        <row r="1482">
          <cell r="S1482"/>
          <cell r="U1482" t="str">
            <v>-</v>
          </cell>
        </row>
        <row r="1483">
          <cell r="S1483"/>
          <cell r="U1483" t="str">
            <v>-</v>
          </cell>
        </row>
        <row r="1484">
          <cell r="S1484"/>
          <cell r="U1484" t="str">
            <v>-</v>
          </cell>
        </row>
        <row r="1485">
          <cell r="S1485"/>
          <cell r="U1485" t="str">
            <v>-</v>
          </cell>
        </row>
        <row r="1486">
          <cell r="S1486"/>
          <cell r="U1486" t="str">
            <v>-</v>
          </cell>
        </row>
        <row r="1487">
          <cell r="S1487"/>
          <cell r="U1487" t="str">
            <v>-</v>
          </cell>
        </row>
        <row r="1488">
          <cell r="S1488"/>
          <cell r="U1488" t="str">
            <v>-</v>
          </cell>
        </row>
        <row r="1489">
          <cell r="S1489"/>
          <cell r="U1489" t="str">
            <v>-</v>
          </cell>
        </row>
        <row r="1490">
          <cell r="S1490"/>
          <cell r="U1490" t="str">
            <v>-</v>
          </cell>
        </row>
        <row r="1491">
          <cell r="S1491"/>
          <cell r="U1491" t="str">
            <v>-</v>
          </cell>
        </row>
        <row r="1492">
          <cell r="S1492"/>
          <cell r="U1492" t="str">
            <v>-</v>
          </cell>
        </row>
        <row r="1493">
          <cell r="S1493"/>
          <cell r="U1493" t="str">
            <v>-</v>
          </cell>
        </row>
        <row r="1494">
          <cell r="S1494"/>
          <cell r="U1494" t="str">
            <v>-</v>
          </cell>
        </row>
        <row r="1495">
          <cell r="S1495"/>
          <cell r="U1495" t="str">
            <v>-</v>
          </cell>
        </row>
        <row r="1496">
          <cell r="S1496"/>
          <cell r="U1496" t="str">
            <v>-</v>
          </cell>
        </row>
        <row r="1497">
          <cell r="S1497"/>
          <cell r="U1497" t="str">
            <v>-</v>
          </cell>
        </row>
        <row r="1498">
          <cell r="S1498"/>
          <cell r="U1498" t="str">
            <v>-</v>
          </cell>
        </row>
        <row r="1499">
          <cell r="S1499"/>
          <cell r="U1499" t="str">
            <v>-</v>
          </cell>
        </row>
        <row r="1500">
          <cell r="S1500"/>
          <cell r="U1500" t="str">
            <v>-</v>
          </cell>
        </row>
        <row r="1501">
          <cell r="S1501"/>
          <cell r="U1501" t="str">
            <v>-</v>
          </cell>
        </row>
        <row r="1502">
          <cell r="S1502"/>
          <cell r="U1502" t="str">
            <v>-</v>
          </cell>
        </row>
        <row r="1503">
          <cell r="S1503"/>
          <cell r="U1503" t="str">
            <v>-</v>
          </cell>
        </row>
        <row r="1504">
          <cell r="S1504"/>
          <cell r="U1504" t="str">
            <v>-</v>
          </cell>
        </row>
        <row r="1505">
          <cell r="S1505"/>
          <cell r="U1505" t="str">
            <v>-</v>
          </cell>
        </row>
        <row r="1506">
          <cell r="S1506"/>
          <cell r="U1506" t="str">
            <v>-</v>
          </cell>
        </row>
        <row r="1507">
          <cell r="S1507"/>
          <cell r="U1507" t="str">
            <v>-</v>
          </cell>
        </row>
        <row r="1508">
          <cell r="S1508"/>
          <cell r="U1508" t="str">
            <v>-</v>
          </cell>
        </row>
        <row r="1509">
          <cell r="S1509"/>
          <cell r="U1509" t="str">
            <v>-</v>
          </cell>
        </row>
        <row r="1510">
          <cell r="S1510"/>
          <cell r="U1510" t="str">
            <v>-</v>
          </cell>
        </row>
        <row r="1511">
          <cell r="S1511"/>
          <cell r="U1511" t="str">
            <v>-</v>
          </cell>
        </row>
        <row r="1512">
          <cell r="S1512"/>
          <cell r="U1512" t="str">
            <v>-</v>
          </cell>
        </row>
        <row r="1513">
          <cell r="S1513"/>
          <cell r="U1513" t="str">
            <v>-</v>
          </cell>
        </row>
        <row r="1514">
          <cell r="S1514"/>
          <cell r="U1514" t="str">
            <v>-</v>
          </cell>
        </row>
        <row r="1515">
          <cell r="S1515"/>
          <cell r="U1515" t="str">
            <v>-</v>
          </cell>
        </row>
        <row r="1516">
          <cell r="S1516"/>
          <cell r="U1516" t="str">
            <v>-</v>
          </cell>
        </row>
        <row r="1517">
          <cell r="S1517"/>
          <cell r="U1517" t="str">
            <v>-</v>
          </cell>
        </row>
        <row r="1518">
          <cell r="S1518"/>
          <cell r="U1518" t="str">
            <v>-</v>
          </cell>
        </row>
        <row r="1519">
          <cell r="S1519"/>
          <cell r="U1519" t="str">
            <v>-</v>
          </cell>
        </row>
        <row r="1520">
          <cell r="S1520"/>
          <cell r="U1520" t="str">
            <v>-</v>
          </cell>
        </row>
        <row r="1521">
          <cell r="S1521"/>
          <cell r="U1521" t="str">
            <v>-</v>
          </cell>
        </row>
        <row r="1522">
          <cell r="S1522"/>
          <cell r="U1522" t="str">
            <v>-</v>
          </cell>
        </row>
        <row r="1523">
          <cell r="S1523"/>
          <cell r="U1523" t="str">
            <v>-</v>
          </cell>
        </row>
        <row r="1524">
          <cell r="S1524"/>
          <cell r="U1524" t="str">
            <v>-</v>
          </cell>
        </row>
        <row r="1525">
          <cell r="S1525"/>
          <cell r="U1525" t="str">
            <v>-</v>
          </cell>
        </row>
        <row r="1526">
          <cell r="S1526"/>
          <cell r="U1526" t="str">
            <v>-</v>
          </cell>
        </row>
        <row r="1527">
          <cell r="S1527"/>
          <cell r="U1527" t="str">
            <v>-</v>
          </cell>
        </row>
        <row r="1528">
          <cell r="S1528"/>
          <cell r="U1528" t="str">
            <v>-</v>
          </cell>
        </row>
        <row r="1529">
          <cell r="S1529"/>
          <cell r="U1529" t="str">
            <v>-</v>
          </cell>
        </row>
        <row r="1530">
          <cell r="S1530"/>
          <cell r="U1530" t="str">
            <v>-</v>
          </cell>
        </row>
        <row r="1531">
          <cell r="S1531"/>
          <cell r="U1531" t="str">
            <v>-</v>
          </cell>
        </row>
        <row r="1532">
          <cell r="S1532"/>
          <cell r="U1532" t="str">
            <v>-</v>
          </cell>
        </row>
        <row r="1533">
          <cell r="S1533"/>
          <cell r="U1533" t="str">
            <v>-</v>
          </cell>
        </row>
        <row r="1534">
          <cell r="S1534"/>
          <cell r="U1534" t="str">
            <v>-</v>
          </cell>
        </row>
        <row r="1535">
          <cell r="S1535"/>
          <cell r="U1535" t="str">
            <v>-</v>
          </cell>
        </row>
        <row r="1536">
          <cell r="S1536"/>
          <cell r="U1536" t="str">
            <v>-</v>
          </cell>
        </row>
        <row r="1537">
          <cell r="S1537"/>
          <cell r="U1537" t="str">
            <v>-</v>
          </cell>
        </row>
        <row r="1538">
          <cell r="S1538"/>
          <cell r="U1538" t="str">
            <v>-</v>
          </cell>
        </row>
        <row r="1539">
          <cell r="S1539"/>
          <cell r="U1539" t="str">
            <v>-</v>
          </cell>
        </row>
        <row r="1540">
          <cell r="S1540"/>
          <cell r="U1540" t="str">
            <v>-</v>
          </cell>
        </row>
        <row r="1541">
          <cell r="S1541"/>
          <cell r="U1541"/>
        </row>
        <row r="1542">
          <cell r="S1542"/>
          <cell r="U1542"/>
        </row>
        <row r="1543">
          <cell r="S1543"/>
          <cell r="U1543"/>
        </row>
        <row r="1544">
          <cell r="S1544"/>
          <cell r="U1544"/>
        </row>
        <row r="1545">
          <cell r="S1545"/>
          <cell r="U1545"/>
        </row>
        <row r="1546">
          <cell r="S1546"/>
          <cell r="U1546"/>
        </row>
        <row r="1547">
          <cell r="S1547"/>
          <cell r="U1547"/>
        </row>
        <row r="1548">
          <cell r="S1548"/>
          <cell r="U1548"/>
        </row>
        <row r="1549">
          <cell r="S1549"/>
          <cell r="U1549"/>
        </row>
        <row r="1550">
          <cell r="S1550"/>
          <cell r="U1550"/>
        </row>
        <row r="1551">
          <cell r="S1551"/>
          <cell r="U1551"/>
        </row>
        <row r="1552">
          <cell r="S1552"/>
          <cell r="U1552"/>
        </row>
        <row r="1553">
          <cell r="S1553"/>
          <cell r="U1553"/>
        </row>
        <row r="1554">
          <cell r="S1554"/>
          <cell r="U1554"/>
        </row>
        <row r="1555">
          <cell r="S1555"/>
          <cell r="U1555"/>
        </row>
        <row r="1556">
          <cell r="S1556"/>
          <cell r="U1556"/>
        </row>
        <row r="1557">
          <cell r="S1557"/>
          <cell r="U1557"/>
        </row>
        <row r="1558">
          <cell r="S1558"/>
          <cell r="U1558"/>
        </row>
        <row r="1559">
          <cell r="S1559"/>
          <cell r="U1559"/>
        </row>
        <row r="1560">
          <cell r="S1560"/>
          <cell r="U1560"/>
        </row>
        <row r="1561">
          <cell r="S1561"/>
          <cell r="U1561"/>
        </row>
        <row r="1562">
          <cell r="S1562"/>
          <cell r="U1562"/>
        </row>
        <row r="1563">
          <cell r="S1563"/>
          <cell r="U1563"/>
        </row>
        <row r="1564">
          <cell r="S1564"/>
          <cell r="U1564"/>
        </row>
        <row r="1565">
          <cell r="S1565"/>
          <cell r="U1565"/>
        </row>
        <row r="1566">
          <cell r="S1566"/>
          <cell r="U1566"/>
        </row>
        <row r="1567">
          <cell r="S1567"/>
          <cell r="U1567"/>
        </row>
        <row r="1568">
          <cell r="S1568"/>
          <cell r="U1568"/>
        </row>
        <row r="1569">
          <cell r="S1569"/>
          <cell r="U1569"/>
        </row>
        <row r="1570">
          <cell r="S1570"/>
          <cell r="U1570"/>
        </row>
        <row r="1571">
          <cell r="S1571"/>
          <cell r="U1571"/>
        </row>
        <row r="1572">
          <cell r="S1572"/>
          <cell r="U1572"/>
        </row>
        <row r="1573">
          <cell r="S1573"/>
          <cell r="U1573"/>
        </row>
        <row r="1574">
          <cell r="S1574"/>
          <cell r="U1574"/>
        </row>
        <row r="1575">
          <cell r="S1575"/>
          <cell r="U1575"/>
        </row>
        <row r="1576">
          <cell r="S1576"/>
          <cell r="U1576"/>
        </row>
        <row r="1577">
          <cell r="S1577"/>
          <cell r="U1577"/>
        </row>
        <row r="1578">
          <cell r="S1578"/>
          <cell r="U1578"/>
        </row>
        <row r="1579">
          <cell r="S1579"/>
          <cell r="U1579"/>
        </row>
        <row r="1580">
          <cell r="S1580"/>
          <cell r="U1580"/>
        </row>
        <row r="1581">
          <cell r="S1581"/>
          <cell r="U1581"/>
        </row>
        <row r="1582">
          <cell r="S1582"/>
          <cell r="U1582"/>
        </row>
        <row r="1583">
          <cell r="S1583"/>
          <cell r="U1583"/>
        </row>
        <row r="1584">
          <cell r="S1584"/>
          <cell r="U1584"/>
        </row>
        <row r="1585">
          <cell r="S1585"/>
          <cell r="U1585"/>
        </row>
        <row r="1586">
          <cell r="S1586"/>
          <cell r="U1586"/>
        </row>
        <row r="1587">
          <cell r="S1587"/>
          <cell r="U1587"/>
        </row>
        <row r="1588">
          <cell r="S1588"/>
          <cell r="U1588"/>
        </row>
        <row r="1589">
          <cell r="S1589"/>
          <cell r="U1589"/>
        </row>
        <row r="1590">
          <cell r="S1590"/>
          <cell r="U1590"/>
        </row>
        <row r="1591">
          <cell r="S1591"/>
          <cell r="U1591"/>
        </row>
        <row r="1592">
          <cell r="S1592"/>
          <cell r="U1592"/>
        </row>
        <row r="1593">
          <cell r="S1593"/>
          <cell r="U1593"/>
        </row>
        <row r="1594">
          <cell r="S1594"/>
          <cell r="U1594"/>
        </row>
        <row r="1595">
          <cell r="S1595"/>
          <cell r="U1595"/>
        </row>
        <row r="1596">
          <cell r="S1596"/>
          <cell r="U1596"/>
        </row>
        <row r="1597">
          <cell r="S1597"/>
          <cell r="U1597"/>
        </row>
        <row r="1598">
          <cell r="S1598"/>
          <cell r="U1598"/>
        </row>
        <row r="1599">
          <cell r="S1599"/>
          <cell r="U1599"/>
        </row>
        <row r="1600">
          <cell r="S1600"/>
          <cell r="U1600"/>
        </row>
        <row r="1601">
          <cell r="S1601"/>
          <cell r="U1601"/>
        </row>
        <row r="1602">
          <cell r="S1602"/>
          <cell r="U1602"/>
        </row>
        <row r="1603">
          <cell r="S1603"/>
          <cell r="U1603"/>
        </row>
        <row r="1604">
          <cell r="S1604"/>
          <cell r="U1604"/>
        </row>
        <row r="1605">
          <cell r="S1605"/>
          <cell r="U1605"/>
        </row>
        <row r="1606">
          <cell r="S1606"/>
          <cell r="U1606"/>
        </row>
        <row r="1607">
          <cell r="S1607"/>
          <cell r="U1607"/>
        </row>
        <row r="1608">
          <cell r="S1608"/>
          <cell r="U1608"/>
        </row>
        <row r="1609">
          <cell r="S1609"/>
          <cell r="U1609"/>
        </row>
        <row r="1610">
          <cell r="S1610"/>
          <cell r="U1610"/>
        </row>
        <row r="1611">
          <cell r="S1611"/>
          <cell r="U1611"/>
        </row>
        <row r="1612">
          <cell r="S1612"/>
          <cell r="U1612"/>
        </row>
        <row r="1613">
          <cell r="S1613"/>
          <cell r="U1613"/>
        </row>
        <row r="1614">
          <cell r="S1614"/>
          <cell r="U1614"/>
        </row>
        <row r="1615">
          <cell r="S1615"/>
          <cell r="U1615"/>
        </row>
        <row r="1616">
          <cell r="S1616"/>
          <cell r="U1616"/>
        </row>
        <row r="1617">
          <cell r="S1617"/>
          <cell r="U1617"/>
        </row>
        <row r="1618">
          <cell r="S1618"/>
          <cell r="U1618"/>
        </row>
        <row r="1619">
          <cell r="S1619"/>
          <cell r="U1619"/>
        </row>
        <row r="1620">
          <cell r="U1620"/>
        </row>
        <row r="1621">
          <cell r="U1621"/>
        </row>
        <row r="1622">
          <cell r="U1622"/>
        </row>
        <row r="1623">
          <cell r="U1623"/>
        </row>
        <row r="1624">
          <cell r="U1624"/>
        </row>
        <row r="1625">
          <cell r="U1625"/>
        </row>
        <row r="1626">
          <cell r="U1626"/>
        </row>
        <row r="1627">
          <cell r="U1627"/>
        </row>
        <row r="1628">
          <cell r="U1628"/>
        </row>
        <row r="1629">
          <cell r="U1629"/>
        </row>
        <row r="1630">
          <cell r="U1630"/>
        </row>
        <row r="1631">
          <cell r="U1631"/>
        </row>
        <row r="1632">
          <cell r="U1632"/>
        </row>
        <row r="1633">
          <cell r="U1633"/>
        </row>
        <row r="1634">
          <cell r="U1634"/>
        </row>
        <row r="1635">
          <cell r="U1635"/>
        </row>
        <row r="1636">
          <cell r="U1636"/>
        </row>
        <row r="1637">
          <cell r="U1637"/>
        </row>
        <row r="1638">
          <cell r="U1638"/>
        </row>
        <row r="1639">
          <cell r="U1639"/>
        </row>
        <row r="1640">
          <cell r="U1640"/>
        </row>
        <row r="1641">
          <cell r="U1641"/>
        </row>
        <row r="1642">
          <cell r="U1642"/>
        </row>
        <row r="1643">
          <cell r="U1643"/>
        </row>
        <row r="1644">
          <cell r="U1644"/>
        </row>
        <row r="1645">
          <cell r="U1645"/>
        </row>
        <row r="1646">
          <cell r="U1646"/>
        </row>
        <row r="1647">
          <cell r="U1647"/>
        </row>
        <row r="1648">
          <cell r="U1648"/>
        </row>
        <row r="1649">
          <cell r="U1649"/>
        </row>
        <row r="1650">
          <cell r="U1650"/>
        </row>
        <row r="1651">
          <cell r="U1651"/>
        </row>
        <row r="1652">
          <cell r="U1652"/>
        </row>
        <row r="1653">
          <cell r="U1653"/>
        </row>
        <row r="1654">
          <cell r="U1654"/>
        </row>
        <row r="1655">
          <cell r="U1655"/>
        </row>
        <row r="1656">
          <cell r="U1656"/>
        </row>
        <row r="1657">
          <cell r="U1657"/>
        </row>
        <row r="1658">
          <cell r="U1658"/>
        </row>
        <row r="1659">
          <cell r="U1659"/>
        </row>
        <row r="1660">
          <cell r="U1660"/>
        </row>
        <row r="1661">
          <cell r="U1661"/>
        </row>
        <row r="1662">
          <cell r="U1662"/>
        </row>
        <row r="1663">
          <cell r="U1663"/>
        </row>
        <row r="1664">
          <cell r="U1664"/>
        </row>
        <row r="1665">
          <cell r="U1665"/>
        </row>
        <row r="1666">
          <cell r="U1666"/>
        </row>
        <row r="1667">
          <cell r="U1667"/>
        </row>
        <row r="1668">
          <cell r="U1668"/>
        </row>
        <row r="1669">
          <cell r="U1669"/>
        </row>
        <row r="1670">
          <cell r="U1670"/>
        </row>
        <row r="1671">
          <cell r="U1671"/>
        </row>
        <row r="1672">
          <cell r="U1672"/>
        </row>
        <row r="1673">
          <cell r="U1673"/>
        </row>
        <row r="1674">
          <cell r="U1674"/>
        </row>
        <row r="1675">
          <cell r="U1675"/>
        </row>
        <row r="1676">
          <cell r="U1676"/>
        </row>
        <row r="1677">
          <cell r="U1677"/>
        </row>
        <row r="1678">
          <cell r="U1678"/>
        </row>
        <row r="1679">
          <cell r="U1679"/>
        </row>
        <row r="1680">
          <cell r="U1680"/>
        </row>
        <row r="1681">
          <cell r="U1681"/>
        </row>
        <row r="1682">
          <cell r="U1682"/>
        </row>
        <row r="1683">
          <cell r="U1683"/>
        </row>
        <row r="1684">
          <cell r="U1684"/>
        </row>
        <row r="1685">
          <cell r="U1685"/>
        </row>
        <row r="1686">
          <cell r="U1686"/>
        </row>
        <row r="1687">
          <cell r="U1687"/>
        </row>
        <row r="1688">
          <cell r="U1688"/>
        </row>
        <row r="1689">
          <cell r="U1689"/>
        </row>
        <row r="1690">
          <cell r="U1690"/>
        </row>
        <row r="1691">
          <cell r="U1691"/>
        </row>
        <row r="1692">
          <cell r="U1692"/>
        </row>
        <row r="1693">
          <cell r="U1693"/>
        </row>
        <row r="1694">
          <cell r="U1694"/>
        </row>
        <row r="1695">
          <cell r="U1695"/>
        </row>
        <row r="1696">
          <cell r="U1696"/>
        </row>
        <row r="1697">
          <cell r="U1697"/>
        </row>
        <row r="1698">
          <cell r="U1698"/>
        </row>
        <row r="1699">
          <cell r="U1699"/>
        </row>
        <row r="1700">
          <cell r="U1700"/>
        </row>
        <row r="1701">
          <cell r="U1701"/>
        </row>
        <row r="1702">
          <cell r="U1702"/>
        </row>
        <row r="1703">
          <cell r="U1703"/>
        </row>
        <row r="1704">
          <cell r="U1704"/>
        </row>
        <row r="1705">
          <cell r="U1705"/>
        </row>
        <row r="1706">
          <cell r="U1706"/>
        </row>
        <row r="1707">
          <cell r="U1707"/>
        </row>
        <row r="1708">
          <cell r="U1708"/>
        </row>
        <row r="1709">
          <cell r="U1709"/>
        </row>
        <row r="1710">
          <cell r="U1710"/>
        </row>
        <row r="1711">
          <cell r="U1711"/>
        </row>
        <row r="1712">
          <cell r="U1712"/>
        </row>
        <row r="1713">
          <cell r="U1713"/>
        </row>
        <row r="1714">
          <cell r="U1714"/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 OF BOOKING 2018"/>
      <sheetName val="LIST OF BOOKING 2018 (2)"/>
    </sheetNames>
    <sheetDataSet>
      <sheetData sheetId="0" refreshError="1"/>
      <sheetData sheetId="1">
        <row r="2">
          <cell r="B2" t="str">
            <v>INV</v>
          </cell>
          <cell r="C2" t="str">
            <v>Q'TY</v>
          </cell>
          <cell r="D2" t="str">
            <v>FWD</v>
          </cell>
          <cell r="E2" t="str">
            <v>Booking No.</v>
          </cell>
          <cell r="F2" t="str">
            <v>Des</v>
          </cell>
          <cell r="G2" t="str">
            <v>SHIP</v>
          </cell>
        </row>
        <row r="3">
          <cell r="B3" t="str">
            <v>V180287</v>
          </cell>
          <cell r="C3">
            <v>1</v>
          </cell>
          <cell r="D3" t="str">
            <v>SHI</v>
          </cell>
          <cell r="E3" t="str">
            <v>VN00351325</v>
          </cell>
          <cell r="F3" t="str">
            <v>ISH</v>
          </cell>
          <cell r="G3" t="str">
            <v>KMTC</v>
          </cell>
        </row>
        <row r="4">
          <cell r="B4" t="str">
            <v>V180288</v>
          </cell>
          <cell r="C4">
            <v>12</v>
          </cell>
          <cell r="D4" t="str">
            <v>NIP</v>
          </cell>
          <cell r="E4" t="str">
            <v>HPH18022292</v>
          </cell>
          <cell r="F4" t="str">
            <v>KWS</v>
          </cell>
          <cell r="G4" t="str">
            <v>SITC</v>
          </cell>
        </row>
        <row r="5">
          <cell r="B5" t="str">
            <v>V180289</v>
          </cell>
          <cell r="C5">
            <v>9</v>
          </cell>
          <cell r="D5" t="str">
            <v>KWE</v>
          </cell>
          <cell r="E5" t="str">
            <v>HPH18022293</v>
          </cell>
          <cell r="F5" t="str">
            <v>OSK</v>
          </cell>
          <cell r="G5" t="str">
            <v>SITC</v>
          </cell>
        </row>
        <row r="6">
          <cell r="B6" t="str">
            <v>V180290</v>
          </cell>
          <cell r="C6">
            <v>5</v>
          </cell>
          <cell r="D6" t="str">
            <v>SHI</v>
          </cell>
          <cell r="E6" t="str">
            <v>HPH18022294</v>
          </cell>
          <cell r="F6" t="str">
            <v>HKT</v>
          </cell>
          <cell r="G6" t="str">
            <v>SITC</v>
          </cell>
        </row>
        <row r="7">
          <cell r="B7" t="str">
            <v>V180291</v>
          </cell>
          <cell r="C7">
            <v>2</v>
          </cell>
          <cell r="D7" t="str">
            <v>SHI</v>
          </cell>
          <cell r="E7" t="str">
            <v>HPH18022291</v>
          </cell>
          <cell r="F7" t="str">
            <v>TYO</v>
          </cell>
          <cell r="G7" t="str">
            <v>SITC</v>
          </cell>
        </row>
        <row r="8">
          <cell r="B8" t="str">
            <v>V180292</v>
          </cell>
          <cell r="C8">
            <v>1</v>
          </cell>
          <cell r="D8" t="str">
            <v>SHI</v>
          </cell>
          <cell r="E8" t="str">
            <v>HPH18022352</v>
          </cell>
          <cell r="F8" t="str">
            <v>TYO</v>
          </cell>
          <cell r="G8" t="str">
            <v>SITC</v>
          </cell>
        </row>
        <row r="9">
          <cell r="B9" t="str">
            <v>V180298</v>
          </cell>
          <cell r="C9">
            <v>1</v>
          </cell>
          <cell r="D9" t="str">
            <v>YUS</v>
          </cell>
          <cell r="E9" t="str">
            <v>HPH18022491</v>
          </cell>
          <cell r="F9" t="str">
            <v>TYO</v>
          </cell>
          <cell r="G9" t="str">
            <v>SITC</v>
          </cell>
        </row>
        <row r="10">
          <cell r="B10" t="str">
            <v>V180293</v>
          </cell>
          <cell r="C10">
            <v>3</v>
          </cell>
          <cell r="D10" t="str">
            <v>OCS</v>
          </cell>
          <cell r="E10" t="str">
            <v>1008X00540+1008A00930</v>
          </cell>
          <cell r="F10" t="str">
            <v>OSK</v>
          </cell>
          <cell r="G10" t="str">
            <v>WHL</v>
          </cell>
        </row>
        <row r="11">
          <cell r="B11" t="str">
            <v>V180294</v>
          </cell>
          <cell r="C11">
            <v>5</v>
          </cell>
          <cell r="D11" t="str">
            <v>NIP</v>
          </cell>
          <cell r="E11" t="str">
            <v>1008X00539</v>
          </cell>
          <cell r="F11" t="str">
            <v>OSK</v>
          </cell>
          <cell r="G11" t="str">
            <v>WHL</v>
          </cell>
        </row>
        <row r="12">
          <cell r="B12" t="str">
            <v>V180295</v>
          </cell>
          <cell r="C12">
            <v>6</v>
          </cell>
          <cell r="D12" t="str">
            <v>KWE</v>
          </cell>
          <cell r="E12" t="str">
            <v>1008X00553</v>
          </cell>
          <cell r="F12" t="str">
            <v>TYO</v>
          </cell>
          <cell r="G12" t="str">
            <v>WHL</v>
          </cell>
        </row>
        <row r="13">
          <cell r="B13" t="str">
            <v>V180296</v>
          </cell>
          <cell r="D13" t="str">
            <v>NKV</v>
          </cell>
          <cell r="E13" t="str">
            <v>HPH18022296</v>
          </cell>
          <cell r="F13" t="str">
            <v>KWS</v>
          </cell>
          <cell r="G13" t="str">
            <v>SITC</v>
          </cell>
        </row>
        <row r="14">
          <cell r="B14" t="str">
            <v>V180297</v>
          </cell>
          <cell r="C14">
            <v>7</v>
          </cell>
          <cell r="D14" t="str">
            <v>YUS</v>
          </cell>
          <cell r="E14" t="str">
            <v>1008X00554</v>
          </cell>
          <cell r="F14" t="str">
            <v>OSK</v>
          </cell>
          <cell r="G14" t="str">
            <v>WHL</v>
          </cell>
        </row>
        <row r="15">
          <cell r="B15" t="str">
            <v>V180299</v>
          </cell>
          <cell r="C15">
            <v>4</v>
          </cell>
          <cell r="D15" t="str">
            <v>SHI</v>
          </cell>
          <cell r="E15" t="str">
            <v>350BK8001387</v>
          </cell>
          <cell r="F15" t="str">
            <v>TYO</v>
          </cell>
          <cell r="G15" t="str">
            <v>TSL</v>
          </cell>
        </row>
        <row r="16">
          <cell r="B16" t="str">
            <v>V180300</v>
          </cell>
          <cell r="C16">
            <v>7</v>
          </cell>
          <cell r="D16" t="str">
            <v>NKV</v>
          </cell>
          <cell r="E16" t="str">
            <v>HPH18022296</v>
          </cell>
          <cell r="F16" t="str">
            <v>KWS</v>
          </cell>
          <cell r="G16" t="str">
            <v>SITC</v>
          </cell>
        </row>
        <row r="17">
          <cell r="B17" t="str">
            <v>V180301</v>
          </cell>
          <cell r="C17">
            <v>10</v>
          </cell>
          <cell r="D17" t="str">
            <v>OCS</v>
          </cell>
          <cell r="E17">
            <v>237800077727</v>
          </cell>
          <cell r="F17" t="str">
            <v>OSK</v>
          </cell>
          <cell r="G17" t="str">
            <v>EGLV</v>
          </cell>
        </row>
        <row r="18">
          <cell r="B18" t="str">
            <v>V180302</v>
          </cell>
          <cell r="C18">
            <v>3</v>
          </cell>
          <cell r="D18" t="str">
            <v>NIP</v>
          </cell>
          <cell r="E18" t="str">
            <v>HPH18022301</v>
          </cell>
          <cell r="F18" t="str">
            <v>HKT</v>
          </cell>
          <cell r="G18" t="str">
            <v>SITC</v>
          </cell>
        </row>
        <row r="19">
          <cell r="B19" t="str">
            <v>V180303</v>
          </cell>
          <cell r="C19">
            <v>10</v>
          </cell>
          <cell r="D19" t="str">
            <v>YUS</v>
          </cell>
          <cell r="E19" t="str">
            <v>1008X00552</v>
          </cell>
          <cell r="F19" t="str">
            <v>TYO</v>
          </cell>
          <cell r="G19" t="str">
            <v>WHL</v>
          </cell>
        </row>
        <row r="20">
          <cell r="B20" t="str">
            <v>V180304</v>
          </cell>
          <cell r="C20">
            <v>2</v>
          </cell>
          <cell r="D20" t="str">
            <v>SHI</v>
          </cell>
          <cell r="E20" t="str">
            <v>350BK8001387</v>
          </cell>
          <cell r="F20" t="str">
            <v>TYO</v>
          </cell>
          <cell r="G20" t="str">
            <v>TSL</v>
          </cell>
        </row>
        <row r="21">
          <cell r="B21" t="str">
            <v>V180305</v>
          </cell>
          <cell r="C21">
            <v>2</v>
          </cell>
          <cell r="D21" t="str">
            <v>SHI</v>
          </cell>
          <cell r="E21">
            <v>2600595820</v>
          </cell>
          <cell r="F21" t="str">
            <v>TYO</v>
          </cell>
          <cell r="G21" t="str">
            <v>OOCL</v>
          </cell>
        </row>
        <row r="22">
          <cell r="B22" t="str">
            <v>V180306</v>
          </cell>
          <cell r="C22">
            <v>1</v>
          </cell>
          <cell r="D22" t="str">
            <v>SHI</v>
          </cell>
          <cell r="E22" t="str">
            <v>350BK8001388</v>
          </cell>
          <cell r="F22" t="str">
            <v>TYO</v>
          </cell>
          <cell r="G22" t="str">
            <v>TSL</v>
          </cell>
        </row>
        <row r="23">
          <cell r="B23" t="str">
            <v>V180307</v>
          </cell>
          <cell r="C23">
            <v>12</v>
          </cell>
          <cell r="D23" t="str">
            <v>NKV</v>
          </cell>
          <cell r="E23" t="str">
            <v>HPH18022296</v>
          </cell>
          <cell r="F23" t="str">
            <v>KWS</v>
          </cell>
          <cell r="G23" t="str">
            <v>SITC</v>
          </cell>
        </row>
        <row r="24">
          <cell r="B24" t="str">
            <v>V180308</v>
          </cell>
          <cell r="C24">
            <v>12</v>
          </cell>
          <cell r="D24" t="str">
            <v>OCS</v>
          </cell>
          <cell r="E24">
            <v>237800077727</v>
          </cell>
          <cell r="F24" t="str">
            <v>OSK</v>
          </cell>
          <cell r="G24" t="str">
            <v>EGLV</v>
          </cell>
        </row>
        <row r="25">
          <cell r="B25" t="str">
            <v>V180309</v>
          </cell>
          <cell r="C25">
            <v>4</v>
          </cell>
          <cell r="D25" t="str">
            <v>NIP</v>
          </cell>
          <cell r="E25" t="str">
            <v>HPH18022301</v>
          </cell>
          <cell r="F25" t="str">
            <v>HKT</v>
          </cell>
          <cell r="G25" t="str">
            <v>SITC</v>
          </cell>
        </row>
        <row r="26">
          <cell r="B26" t="str">
            <v>V180310</v>
          </cell>
          <cell r="C26">
            <v>1</v>
          </cell>
          <cell r="D26" t="str">
            <v>YUS</v>
          </cell>
          <cell r="E26">
            <v>715188626</v>
          </cell>
          <cell r="F26" t="str">
            <v>NAHA</v>
          </cell>
          <cell r="G26" t="str">
            <v>APL</v>
          </cell>
        </row>
        <row r="27">
          <cell r="B27" t="str">
            <v>V180311</v>
          </cell>
          <cell r="C27">
            <v>1</v>
          </cell>
          <cell r="D27" t="str">
            <v>SHI</v>
          </cell>
          <cell r="E27" t="str">
            <v>VN00351327</v>
          </cell>
          <cell r="F27" t="str">
            <v>SGM</v>
          </cell>
          <cell r="G27" t="str">
            <v>KMTC</v>
          </cell>
        </row>
        <row r="28">
          <cell r="B28" t="str">
            <v>V180312</v>
          </cell>
          <cell r="C28">
            <v>8</v>
          </cell>
          <cell r="D28" t="str">
            <v>YUS</v>
          </cell>
          <cell r="E28" t="str">
            <v>1008X00552</v>
          </cell>
          <cell r="F28" t="str">
            <v>TYO</v>
          </cell>
          <cell r="G28" t="str">
            <v>WHL</v>
          </cell>
        </row>
        <row r="29">
          <cell r="B29" t="str">
            <v>V180313</v>
          </cell>
          <cell r="C29">
            <v>2</v>
          </cell>
          <cell r="D29" t="str">
            <v>SHI</v>
          </cell>
          <cell r="E29">
            <v>2600595820</v>
          </cell>
          <cell r="F29" t="str">
            <v>TYO</v>
          </cell>
          <cell r="G29" t="str">
            <v>OOCL</v>
          </cell>
        </row>
        <row r="30">
          <cell r="B30" t="str">
            <v>V180314</v>
          </cell>
          <cell r="C30">
            <v>7</v>
          </cell>
          <cell r="D30" t="str">
            <v>NKV</v>
          </cell>
          <cell r="E30" t="str">
            <v>HPH18022297</v>
          </cell>
          <cell r="F30" t="str">
            <v>KWS</v>
          </cell>
          <cell r="G30" t="str">
            <v>SITC</v>
          </cell>
        </row>
        <row r="31">
          <cell r="B31" t="str">
            <v>V180315</v>
          </cell>
          <cell r="C31">
            <v>13</v>
          </cell>
          <cell r="D31" t="str">
            <v>OCS</v>
          </cell>
          <cell r="E31" t="str">
            <v>HPH18022299</v>
          </cell>
          <cell r="F31" t="str">
            <v>OSK</v>
          </cell>
          <cell r="G31" t="str">
            <v>SITC</v>
          </cell>
        </row>
        <row r="32">
          <cell r="B32" t="str">
            <v>V180316</v>
          </cell>
          <cell r="C32">
            <v>4</v>
          </cell>
          <cell r="D32" t="str">
            <v>NIP</v>
          </cell>
          <cell r="E32" t="str">
            <v>HPH18022301</v>
          </cell>
          <cell r="F32" t="str">
            <v>HKT</v>
          </cell>
          <cell r="G32" t="str">
            <v>SITC</v>
          </cell>
        </row>
        <row r="33">
          <cell r="B33" t="str">
            <v>V180317</v>
          </cell>
          <cell r="C33">
            <v>2</v>
          </cell>
          <cell r="D33" t="str">
            <v>SHI</v>
          </cell>
          <cell r="E33" t="str">
            <v>VN00351326</v>
          </cell>
          <cell r="F33" t="str">
            <v>ISH</v>
          </cell>
          <cell r="G33" t="str">
            <v>KMTC</v>
          </cell>
        </row>
        <row r="34">
          <cell r="B34" t="str">
            <v>V180318</v>
          </cell>
          <cell r="C34">
            <v>5</v>
          </cell>
          <cell r="D34" t="str">
            <v>YUS</v>
          </cell>
          <cell r="E34" t="str">
            <v xml:space="preserve">1008X00551 </v>
          </cell>
          <cell r="F34" t="str">
            <v>OSK</v>
          </cell>
          <cell r="G34" t="str">
            <v>WHL</v>
          </cell>
        </row>
        <row r="35">
          <cell r="B35" t="str">
            <v>V180319</v>
          </cell>
          <cell r="C35">
            <v>1</v>
          </cell>
          <cell r="D35" t="str">
            <v>SHI</v>
          </cell>
          <cell r="E35" t="str">
            <v>350BK8001387</v>
          </cell>
          <cell r="F35" t="str">
            <v>TYO</v>
          </cell>
          <cell r="G35" t="str">
            <v>TSL</v>
          </cell>
        </row>
        <row r="36">
          <cell r="B36" t="str">
            <v>V180320</v>
          </cell>
          <cell r="C36">
            <v>4</v>
          </cell>
          <cell r="D36" t="str">
            <v>SHI</v>
          </cell>
          <cell r="E36">
            <v>2600595820</v>
          </cell>
          <cell r="F36" t="str">
            <v>TYO</v>
          </cell>
          <cell r="G36" t="str">
            <v>OOCL</v>
          </cell>
        </row>
        <row r="37">
          <cell r="B37" t="str">
            <v>V180321</v>
          </cell>
          <cell r="C37">
            <v>9</v>
          </cell>
          <cell r="D37" t="str">
            <v>NKV</v>
          </cell>
          <cell r="E37" t="str">
            <v>HPH18022297</v>
          </cell>
          <cell r="F37" t="str">
            <v>KWS</v>
          </cell>
          <cell r="G37" t="str">
            <v>SITC</v>
          </cell>
        </row>
        <row r="38">
          <cell r="B38" t="str">
            <v>V180322</v>
          </cell>
          <cell r="C38">
            <v>9</v>
          </cell>
          <cell r="D38" t="str">
            <v>OCS</v>
          </cell>
          <cell r="E38" t="str">
            <v>HPH18022299</v>
          </cell>
          <cell r="F38" t="str">
            <v>OSK</v>
          </cell>
          <cell r="G38" t="str">
            <v>SITC</v>
          </cell>
        </row>
        <row r="39">
          <cell r="B39" t="str">
            <v>V180323</v>
          </cell>
          <cell r="C39">
            <v>3</v>
          </cell>
          <cell r="D39" t="str">
            <v>NIP</v>
          </cell>
          <cell r="E39" t="str">
            <v>HPH18022302</v>
          </cell>
          <cell r="F39" t="str">
            <v>HKT</v>
          </cell>
          <cell r="G39" t="str">
            <v>SITC</v>
          </cell>
        </row>
        <row r="40">
          <cell r="B40" t="str">
            <v>V180324</v>
          </cell>
          <cell r="C40">
            <v>7</v>
          </cell>
          <cell r="D40" t="str">
            <v>CEVA</v>
          </cell>
          <cell r="E40" t="str">
            <v>HPH18022295</v>
          </cell>
          <cell r="F40" t="str">
            <v>TYO</v>
          </cell>
          <cell r="G40" t="str">
            <v>SITC</v>
          </cell>
        </row>
        <row r="41">
          <cell r="B41" t="str">
            <v>V180325</v>
          </cell>
          <cell r="C41">
            <v>8</v>
          </cell>
          <cell r="D41" t="str">
            <v>NKV</v>
          </cell>
          <cell r="E41" t="str">
            <v>HPH18022298</v>
          </cell>
          <cell r="F41" t="str">
            <v>KWS</v>
          </cell>
          <cell r="G41" t="str">
            <v>SITC</v>
          </cell>
        </row>
        <row r="42">
          <cell r="B42" t="str">
            <v>V180326</v>
          </cell>
          <cell r="C42">
            <v>12</v>
          </cell>
          <cell r="D42" t="str">
            <v>OCS</v>
          </cell>
          <cell r="E42" t="str">
            <v>HPH18022300</v>
          </cell>
          <cell r="F42" t="str">
            <v>OSK</v>
          </cell>
          <cell r="G42" t="str">
            <v>SITC</v>
          </cell>
        </row>
        <row r="43">
          <cell r="B43" t="str">
            <v>V180327</v>
          </cell>
          <cell r="C43">
            <v>3</v>
          </cell>
          <cell r="D43" t="str">
            <v>SHI</v>
          </cell>
          <cell r="E43" t="str">
            <v>VN00351326</v>
          </cell>
          <cell r="F43" t="str">
            <v>ISH</v>
          </cell>
          <cell r="G43" t="str">
            <v>KMTC</v>
          </cell>
        </row>
        <row r="44">
          <cell r="B44" t="str">
            <v>V180328</v>
          </cell>
          <cell r="C44">
            <v>1</v>
          </cell>
          <cell r="D44" t="str">
            <v>SHI</v>
          </cell>
          <cell r="E44" t="str">
            <v>VN00352512</v>
          </cell>
          <cell r="F44" t="str">
            <v>ISH</v>
          </cell>
          <cell r="G44" t="str">
            <v>KMTC</v>
          </cell>
        </row>
        <row r="45">
          <cell r="B45" t="str">
            <v>V180329</v>
          </cell>
          <cell r="C45">
            <v>1</v>
          </cell>
          <cell r="D45" t="str">
            <v>NIP</v>
          </cell>
          <cell r="E45" t="str">
            <v>HPH18022647</v>
          </cell>
          <cell r="F45" t="str">
            <v>KWS</v>
          </cell>
          <cell r="G45" t="str">
            <v>SITC</v>
          </cell>
        </row>
        <row r="46">
          <cell r="B46" t="str">
            <v>V180330</v>
          </cell>
          <cell r="C46">
            <v>3</v>
          </cell>
          <cell r="D46" t="str">
            <v>NIP</v>
          </cell>
          <cell r="E46" t="str">
            <v>HPH18022302</v>
          </cell>
          <cell r="F46" t="str">
            <v>HKT</v>
          </cell>
          <cell r="G46" t="str">
            <v>SITC</v>
          </cell>
        </row>
        <row r="47">
          <cell r="B47" t="str">
            <v>V180331</v>
          </cell>
          <cell r="C47">
            <v>1</v>
          </cell>
          <cell r="D47" t="str">
            <v>SHI</v>
          </cell>
          <cell r="E47" t="str">
            <v>HPH18022809</v>
          </cell>
          <cell r="F47" t="str">
            <v>TYO</v>
          </cell>
          <cell r="G47" t="str">
            <v>SITC</v>
          </cell>
        </row>
        <row r="48">
          <cell r="B48" t="str">
            <v>V180332</v>
          </cell>
          <cell r="C48">
            <v>1</v>
          </cell>
          <cell r="D48" t="str">
            <v>SHI</v>
          </cell>
          <cell r="E48">
            <v>2600595820</v>
          </cell>
          <cell r="F48" t="str">
            <v>TYO</v>
          </cell>
          <cell r="G48" t="str">
            <v>OOCL</v>
          </cell>
        </row>
        <row r="49">
          <cell r="B49" t="str">
            <v>V180333</v>
          </cell>
          <cell r="C49">
            <v>16</v>
          </cell>
          <cell r="D49" t="str">
            <v>NKV</v>
          </cell>
          <cell r="E49" t="str">
            <v>HPH18022298</v>
          </cell>
          <cell r="F49" t="str">
            <v>KWS</v>
          </cell>
          <cell r="G49" t="str">
            <v>SITC</v>
          </cell>
        </row>
        <row r="50">
          <cell r="B50" t="str">
            <v>V180334</v>
          </cell>
          <cell r="C50">
            <v>18</v>
          </cell>
          <cell r="D50" t="str">
            <v>OCS</v>
          </cell>
          <cell r="E50" t="str">
            <v>HPH18022300</v>
          </cell>
          <cell r="F50" t="str">
            <v>OSK</v>
          </cell>
          <cell r="G50" t="str">
            <v>SITC</v>
          </cell>
        </row>
        <row r="51">
          <cell r="B51" t="str">
            <v>V180338</v>
          </cell>
          <cell r="C51">
            <v>12</v>
          </cell>
          <cell r="D51" t="str">
            <v>OCS</v>
          </cell>
          <cell r="E51" t="str">
            <v>HPH18022300</v>
          </cell>
          <cell r="F51" t="str">
            <v>OSK</v>
          </cell>
          <cell r="G51" t="str">
            <v>SITC</v>
          </cell>
        </row>
        <row r="52">
          <cell r="B52" t="str">
            <v>V180345</v>
          </cell>
          <cell r="C52">
            <v>11</v>
          </cell>
          <cell r="D52" t="str">
            <v>YUS</v>
          </cell>
          <cell r="E52" t="str">
            <v>HPH18022810</v>
          </cell>
          <cell r="F52" t="str">
            <v>TYO</v>
          </cell>
          <cell r="G52" t="str">
            <v>SITC</v>
          </cell>
        </row>
        <row r="53">
          <cell r="B53" t="str">
            <v>V180335</v>
          </cell>
          <cell r="C53">
            <v>3</v>
          </cell>
          <cell r="D53" t="str">
            <v>SHI</v>
          </cell>
          <cell r="E53" t="str">
            <v>1008X00679</v>
          </cell>
          <cell r="F53" t="str">
            <v>TYO</v>
          </cell>
          <cell r="G53" t="str">
            <v>WHL</v>
          </cell>
        </row>
        <row r="54">
          <cell r="B54" t="str">
            <v>V180336</v>
          </cell>
          <cell r="C54">
            <v>7</v>
          </cell>
          <cell r="D54" t="str">
            <v>YUS</v>
          </cell>
          <cell r="E54" t="str">
            <v>HPH18022728</v>
          </cell>
          <cell r="F54" t="str">
            <v>KWS</v>
          </cell>
          <cell r="G54" t="str">
            <v>SITC</v>
          </cell>
        </row>
        <row r="55">
          <cell r="B55" t="str">
            <v>V180337</v>
          </cell>
          <cell r="C55">
            <v>11</v>
          </cell>
          <cell r="D55" t="str">
            <v>NIP</v>
          </cell>
          <cell r="E55">
            <v>237800082241</v>
          </cell>
          <cell r="F55" t="str">
            <v>OSK</v>
          </cell>
          <cell r="G55" t="str">
            <v>EGLV</v>
          </cell>
        </row>
        <row r="56">
          <cell r="B56" t="str">
            <v>V180339</v>
          </cell>
          <cell r="C56">
            <v>2</v>
          </cell>
          <cell r="D56" t="str">
            <v>NIP</v>
          </cell>
          <cell r="E56" t="str">
            <v>1008X00669</v>
          </cell>
          <cell r="F56" t="str">
            <v>HKT</v>
          </cell>
          <cell r="G56" t="str">
            <v>WHL</v>
          </cell>
        </row>
        <row r="57">
          <cell r="B57" t="str">
            <v>V180340</v>
          </cell>
          <cell r="C57">
            <v>5</v>
          </cell>
          <cell r="D57" t="str">
            <v>NKV</v>
          </cell>
          <cell r="E57" t="str">
            <v>HPH18022665</v>
          </cell>
          <cell r="F57" t="str">
            <v>OSK</v>
          </cell>
          <cell r="G57" t="str">
            <v>SITC</v>
          </cell>
        </row>
        <row r="58">
          <cell r="B58" t="str">
            <v>V180341</v>
          </cell>
          <cell r="C58">
            <v>6</v>
          </cell>
          <cell r="D58" t="str">
            <v>SHI</v>
          </cell>
          <cell r="E58" t="str">
            <v>HPH18022666</v>
          </cell>
          <cell r="F58" t="str">
            <v>OSK</v>
          </cell>
          <cell r="G58" t="str">
            <v>SITC</v>
          </cell>
        </row>
        <row r="59">
          <cell r="B59" t="str">
            <v>V180342</v>
          </cell>
          <cell r="C59">
            <v>3</v>
          </cell>
          <cell r="D59" t="str">
            <v>NKV</v>
          </cell>
          <cell r="E59" t="str">
            <v>1008X00651</v>
          </cell>
          <cell r="F59" t="str">
            <v>TYO</v>
          </cell>
          <cell r="G59" t="str">
            <v>WHL</v>
          </cell>
        </row>
        <row r="60">
          <cell r="B60" t="str">
            <v>V180343</v>
          </cell>
          <cell r="C60">
            <v>6</v>
          </cell>
          <cell r="D60" t="str">
            <v>NIP</v>
          </cell>
          <cell r="E60" t="str">
            <v>HPH18022803</v>
          </cell>
          <cell r="F60" t="str">
            <v>KWS</v>
          </cell>
          <cell r="G60" t="str">
            <v>SITC</v>
          </cell>
        </row>
        <row r="61">
          <cell r="B61" t="str">
            <v>V180344</v>
          </cell>
          <cell r="C61">
            <v>4</v>
          </cell>
          <cell r="D61" t="str">
            <v>SHI</v>
          </cell>
          <cell r="E61" t="str">
            <v>VN00353442</v>
          </cell>
          <cell r="F61" t="str">
            <v>ISH</v>
          </cell>
          <cell r="G61" t="str">
            <v>KMTC</v>
          </cell>
        </row>
        <row r="62">
          <cell r="B62" t="str">
            <v>V180346</v>
          </cell>
          <cell r="C62">
            <v>3</v>
          </cell>
          <cell r="D62" t="str">
            <v>EXP</v>
          </cell>
          <cell r="E62">
            <v>2601056980</v>
          </cell>
          <cell r="F62" t="str">
            <v>TYO</v>
          </cell>
          <cell r="G62" t="str">
            <v>OOCL</v>
          </cell>
        </row>
        <row r="63">
          <cell r="B63" t="str">
            <v>V180347</v>
          </cell>
          <cell r="C63">
            <v>10</v>
          </cell>
          <cell r="D63" t="str">
            <v>NKV</v>
          </cell>
          <cell r="E63" t="str">
            <v>HPH18022729</v>
          </cell>
          <cell r="F63" t="str">
            <v>KWS</v>
          </cell>
          <cell r="G63" t="str">
            <v>SITC</v>
          </cell>
        </row>
        <row r="64">
          <cell r="B64" t="str">
            <v>V180348</v>
          </cell>
          <cell r="C64">
            <v>6</v>
          </cell>
          <cell r="D64" t="str">
            <v>YUS</v>
          </cell>
          <cell r="E64" t="str">
            <v>1008X00664</v>
          </cell>
          <cell r="F64" t="str">
            <v>OSK</v>
          </cell>
          <cell r="G64" t="str">
            <v>WHL</v>
          </cell>
        </row>
        <row r="65">
          <cell r="B65" t="str">
            <v>V180349</v>
          </cell>
          <cell r="C65">
            <v>6</v>
          </cell>
          <cell r="D65" t="str">
            <v>CEVA</v>
          </cell>
          <cell r="E65" t="str">
            <v>1008X00670</v>
          </cell>
          <cell r="F65" t="str">
            <v>HKT</v>
          </cell>
          <cell r="G65" t="str">
            <v>WHL</v>
          </cell>
        </row>
        <row r="66">
          <cell r="B66" t="str">
            <v>V180350</v>
          </cell>
          <cell r="C66">
            <v>1</v>
          </cell>
          <cell r="D66" t="str">
            <v>SHI</v>
          </cell>
          <cell r="E66" t="str">
            <v>VN00353443</v>
          </cell>
          <cell r="F66" t="str">
            <v>SGM</v>
          </cell>
          <cell r="G66" t="str">
            <v>KMTC</v>
          </cell>
        </row>
        <row r="67">
          <cell r="B67" t="str">
            <v>V180351</v>
          </cell>
          <cell r="C67">
            <v>9</v>
          </cell>
          <cell r="D67" t="str">
            <v>KWE</v>
          </cell>
          <cell r="E67" t="str">
            <v xml:space="preserve">1008X00681 </v>
          </cell>
          <cell r="F67" t="str">
            <v>TYO</v>
          </cell>
          <cell r="G67" t="str">
            <v>WHL</v>
          </cell>
        </row>
        <row r="68">
          <cell r="B68" t="str">
            <v>V180352</v>
          </cell>
          <cell r="C68">
            <v>3</v>
          </cell>
          <cell r="D68" t="str">
            <v>SHI</v>
          </cell>
          <cell r="E68">
            <v>2601041570</v>
          </cell>
          <cell r="F68" t="str">
            <v>TYO</v>
          </cell>
          <cell r="G68" t="str">
            <v>OOCL</v>
          </cell>
        </row>
        <row r="69">
          <cell r="B69" t="str">
            <v>V180353</v>
          </cell>
          <cell r="C69">
            <v>5</v>
          </cell>
          <cell r="D69" t="str">
            <v>SHI</v>
          </cell>
          <cell r="E69" t="str">
            <v xml:space="preserve">1008X00665 </v>
          </cell>
          <cell r="F69" t="str">
            <v>TYO</v>
          </cell>
          <cell r="G69" t="str">
            <v>WHL</v>
          </cell>
        </row>
        <row r="70">
          <cell r="B70" t="str">
            <v>V180354</v>
          </cell>
          <cell r="C70">
            <v>10</v>
          </cell>
          <cell r="D70" t="str">
            <v>NKV</v>
          </cell>
          <cell r="E70" t="str">
            <v>HPH18022729</v>
          </cell>
          <cell r="F70" t="str">
            <v>KWS</v>
          </cell>
          <cell r="G70" t="str">
            <v>SITC</v>
          </cell>
        </row>
        <row r="71">
          <cell r="B71" t="str">
            <v>V180355</v>
          </cell>
          <cell r="C71">
            <v>12</v>
          </cell>
          <cell r="D71" t="str">
            <v>OCS</v>
          </cell>
          <cell r="E71" t="str">
            <v>HPH18022730</v>
          </cell>
          <cell r="F71" t="str">
            <v>OSK</v>
          </cell>
          <cell r="G71" t="str">
            <v>SITC</v>
          </cell>
        </row>
        <row r="72">
          <cell r="B72" t="str">
            <v>V180356</v>
          </cell>
          <cell r="C72">
            <v>4</v>
          </cell>
          <cell r="D72" t="str">
            <v>NIP</v>
          </cell>
          <cell r="E72" t="str">
            <v>1008X00669</v>
          </cell>
          <cell r="F72" t="str">
            <v>HKT</v>
          </cell>
          <cell r="G72" t="str">
            <v>WHL</v>
          </cell>
        </row>
        <row r="73">
          <cell r="B73" t="str">
            <v>V180357</v>
          </cell>
          <cell r="C73">
            <v>1</v>
          </cell>
          <cell r="D73" t="str">
            <v>YUS</v>
          </cell>
          <cell r="E73">
            <v>74553082</v>
          </cell>
          <cell r="F73" t="str">
            <v>NAHA</v>
          </cell>
          <cell r="G73" t="str">
            <v>APL</v>
          </cell>
        </row>
        <row r="74">
          <cell r="B74" t="str">
            <v>V180358</v>
          </cell>
          <cell r="C74">
            <v>1</v>
          </cell>
          <cell r="D74" t="str">
            <v>SHI</v>
          </cell>
          <cell r="E74" t="str">
            <v>VN00353442</v>
          </cell>
          <cell r="F74" t="str">
            <v>ISH</v>
          </cell>
          <cell r="G74" t="str">
            <v>KMTC</v>
          </cell>
        </row>
        <row r="75">
          <cell r="B75" t="str">
            <v>V180359</v>
          </cell>
          <cell r="C75">
            <v>7</v>
          </cell>
          <cell r="D75" t="str">
            <v>KWE</v>
          </cell>
          <cell r="E75" t="str">
            <v>1008X00663</v>
          </cell>
          <cell r="F75" t="str">
            <v>TYO</v>
          </cell>
          <cell r="G75" t="str">
            <v>WHL</v>
          </cell>
        </row>
        <row r="76">
          <cell r="B76" t="str">
            <v>V180360</v>
          </cell>
          <cell r="C76">
            <v>1</v>
          </cell>
          <cell r="D76" t="str">
            <v>SHI</v>
          </cell>
          <cell r="E76" t="str">
            <v xml:space="preserve">1008X00665 </v>
          </cell>
          <cell r="F76" t="str">
            <v>TYO</v>
          </cell>
          <cell r="G76" t="str">
            <v>WHL</v>
          </cell>
        </row>
        <row r="77">
          <cell r="B77" t="str">
            <v>V180361</v>
          </cell>
          <cell r="C77">
            <v>1</v>
          </cell>
          <cell r="D77" t="str">
            <v>SHI</v>
          </cell>
          <cell r="E77" t="str">
            <v xml:space="preserve">1008X00680 </v>
          </cell>
          <cell r="F77" t="str">
            <v>TYO</v>
          </cell>
          <cell r="G77" t="str">
            <v>WHL</v>
          </cell>
        </row>
        <row r="78">
          <cell r="B78" t="str">
            <v>V180362</v>
          </cell>
          <cell r="C78">
            <v>16</v>
          </cell>
          <cell r="D78" t="str">
            <v>NKV</v>
          </cell>
          <cell r="E78" t="str">
            <v>HPH18022729</v>
          </cell>
          <cell r="F78" t="str">
            <v>KWS</v>
          </cell>
          <cell r="G78" t="str">
            <v>SITC</v>
          </cell>
        </row>
        <row r="79">
          <cell r="B79" t="str">
            <v>V180363</v>
          </cell>
          <cell r="C79">
            <v>1</v>
          </cell>
          <cell r="D79" t="str">
            <v>SHI</v>
          </cell>
          <cell r="E79" t="str">
            <v>1008X00662</v>
          </cell>
          <cell r="F79" t="str">
            <v>NGO</v>
          </cell>
          <cell r="G79" t="str">
            <v>WHL</v>
          </cell>
        </row>
        <row r="80">
          <cell r="B80" t="str">
            <v>V180364</v>
          </cell>
          <cell r="C80">
            <v>13</v>
          </cell>
          <cell r="D80" t="str">
            <v>YUS</v>
          </cell>
          <cell r="E80" t="str">
            <v>1008X00661</v>
          </cell>
          <cell r="F80" t="str">
            <v>OSK</v>
          </cell>
          <cell r="G80" t="str">
            <v>WHL</v>
          </cell>
        </row>
        <row r="81">
          <cell r="B81" t="str">
            <v>V180365</v>
          </cell>
          <cell r="C81">
            <v>3</v>
          </cell>
          <cell r="D81" t="str">
            <v>NIP</v>
          </cell>
          <cell r="E81" t="str">
            <v>1008X00669</v>
          </cell>
          <cell r="F81" t="str">
            <v>HKT</v>
          </cell>
          <cell r="G81" t="str">
            <v>WHL</v>
          </cell>
        </row>
        <row r="82">
          <cell r="B82" t="str">
            <v>V180366</v>
          </cell>
          <cell r="C82">
            <v>2</v>
          </cell>
          <cell r="D82" t="str">
            <v>NIP</v>
          </cell>
          <cell r="E82" t="str">
            <v>SNLTSD-230218-01</v>
          </cell>
          <cell r="F82" t="str">
            <v>SHANGHAI</v>
          </cell>
          <cell r="G82" t="str">
            <v>SNL</v>
          </cell>
        </row>
        <row r="83">
          <cell r="B83" t="str">
            <v>V180367</v>
          </cell>
          <cell r="C83">
            <v>2</v>
          </cell>
          <cell r="D83" t="str">
            <v>SHI</v>
          </cell>
          <cell r="E83" t="str">
            <v>VN00353442</v>
          </cell>
          <cell r="F83" t="str">
            <v>ISH</v>
          </cell>
          <cell r="G83" t="str">
            <v>KMTC</v>
          </cell>
        </row>
        <row r="84">
          <cell r="B84" t="str">
            <v>V180368</v>
          </cell>
          <cell r="C84">
            <v>5</v>
          </cell>
          <cell r="D84" t="str">
            <v>KWE</v>
          </cell>
          <cell r="E84" t="str">
            <v>HPH18023132</v>
          </cell>
          <cell r="F84" t="str">
            <v>TYO</v>
          </cell>
          <cell r="G84" t="str">
            <v>SITC</v>
          </cell>
        </row>
        <row r="85">
          <cell r="B85" t="str">
            <v>V180369</v>
          </cell>
          <cell r="C85">
            <v>14</v>
          </cell>
          <cell r="D85" t="str">
            <v>OCS</v>
          </cell>
          <cell r="E85" t="str">
            <v>HPH18023136</v>
          </cell>
          <cell r="F85" t="str">
            <v>OSK</v>
          </cell>
          <cell r="G85" t="str">
            <v>SITC</v>
          </cell>
        </row>
        <row r="86">
          <cell r="B86" t="str">
            <v>V180370</v>
          </cell>
          <cell r="C86">
            <v>5</v>
          </cell>
          <cell r="D86" t="str">
            <v>SHI</v>
          </cell>
          <cell r="E86" t="str">
            <v>HPH18023133</v>
          </cell>
          <cell r="F86" t="str">
            <v>TYO</v>
          </cell>
          <cell r="G86" t="str">
            <v>SITC</v>
          </cell>
        </row>
        <row r="87">
          <cell r="B87" t="str">
            <v>V180371</v>
          </cell>
          <cell r="C87">
            <v>2</v>
          </cell>
          <cell r="D87" t="str">
            <v>KWE</v>
          </cell>
          <cell r="E87" t="str">
            <v>HPH18023134</v>
          </cell>
          <cell r="F87" t="str">
            <v>TYO</v>
          </cell>
          <cell r="G87" t="str">
            <v>SITC</v>
          </cell>
        </row>
        <row r="88">
          <cell r="B88" t="str">
            <v>V180372</v>
          </cell>
          <cell r="C88">
            <v>13</v>
          </cell>
          <cell r="D88" t="str">
            <v>NKV</v>
          </cell>
          <cell r="E88" t="str">
            <v>HPH18022729</v>
          </cell>
          <cell r="F88" t="str">
            <v>KWS</v>
          </cell>
          <cell r="G88" t="str">
            <v>SITC</v>
          </cell>
        </row>
        <row r="89">
          <cell r="B89" t="str">
            <v>V180373</v>
          </cell>
          <cell r="C89">
            <v>11</v>
          </cell>
          <cell r="D89" t="str">
            <v>OCS</v>
          </cell>
          <cell r="E89" t="str">
            <v>HPH18023136</v>
          </cell>
          <cell r="F89" t="str">
            <v>OSK</v>
          </cell>
          <cell r="G89" t="str">
            <v>SITC</v>
          </cell>
        </row>
        <row r="90">
          <cell r="B90" t="str">
            <v>V180374</v>
          </cell>
          <cell r="C90">
            <v>4</v>
          </cell>
          <cell r="D90" t="str">
            <v>NIP</v>
          </cell>
          <cell r="E90" t="str">
            <v>HPH18023137</v>
          </cell>
          <cell r="F90" t="str">
            <v>HKT</v>
          </cell>
          <cell r="G90" t="str">
            <v>SITC</v>
          </cell>
        </row>
        <row r="91">
          <cell r="B91" t="str">
            <v>V180375</v>
          </cell>
          <cell r="C91">
            <v>4</v>
          </cell>
          <cell r="D91" t="str">
            <v>KWE</v>
          </cell>
          <cell r="E91" t="str">
            <v>HPH18023132</v>
          </cell>
          <cell r="F91" t="str">
            <v>TYO</v>
          </cell>
          <cell r="G91" t="str">
            <v>SITC</v>
          </cell>
        </row>
        <row r="92">
          <cell r="B92" t="str">
            <v>V180376</v>
          </cell>
          <cell r="C92">
            <v>12</v>
          </cell>
          <cell r="D92" t="str">
            <v>OCS</v>
          </cell>
          <cell r="E92" t="str">
            <v>HPH18023136</v>
          </cell>
          <cell r="F92" t="str">
            <v>OSK</v>
          </cell>
          <cell r="G92" t="str">
            <v>SITC</v>
          </cell>
        </row>
        <row r="93">
          <cell r="B93" t="str">
            <v>V180406</v>
          </cell>
          <cell r="C93">
            <v>2</v>
          </cell>
          <cell r="D93" t="str">
            <v>KWE</v>
          </cell>
          <cell r="E93" t="str">
            <v>1008A01239</v>
          </cell>
          <cell r="F93" t="str">
            <v>TYO</v>
          </cell>
          <cell r="G93" t="str">
            <v>WHL</v>
          </cell>
        </row>
        <row r="94">
          <cell r="B94" t="str">
            <v>V180407</v>
          </cell>
          <cell r="C94">
            <v>1</v>
          </cell>
          <cell r="D94" t="str">
            <v>SHI</v>
          </cell>
          <cell r="E94" t="str">
            <v>HPH18033347</v>
          </cell>
          <cell r="F94" t="str">
            <v>KWS</v>
          </cell>
          <cell r="G94" t="str">
            <v>SITC</v>
          </cell>
        </row>
        <row r="95">
          <cell r="B95" t="str">
            <v>V180408</v>
          </cell>
          <cell r="C95">
            <v>1</v>
          </cell>
          <cell r="D95" t="str">
            <v>KWE</v>
          </cell>
          <cell r="E95" t="str">
            <v xml:space="preserve">1008X00859 </v>
          </cell>
          <cell r="F95" t="str">
            <v>OSK</v>
          </cell>
          <cell r="G95" t="str">
            <v>WHL</v>
          </cell>
        </row>
        <row r="96">
          <cell r="B96" t="str">
            <v>V180377</v>
          </cell>
          <cell r="C96">
            <v>3</v>
          </cell>
          <cell r="D96" t="str">
            <v>SHI</v>
          </cell>
          <cell r="E96">
            <v>2601322390</v>
          </cell>
          <cell r="F96" t="str">
            <v>TYO</v>
          </cell>
          <cell r="G96" t="str">
            <v>OOCL</v>
          </cell>
        </row>
        <row r="97">
          <cell r="B97" t="str">
            <v>V180378</v>
          </cell>
          <cell r="C97">
            <v>8</v>
          </cell>
          <cell r="D97" t="str">
            <v>SHI</v>
          </cell>
          <cell r="E97" t="str">
            <v>HPH18023128</v>
          </cell>
          <cell r="F97" t="str">
            <v>KWS</v>
          </cell>
          <cell r="G97" t="str">
            <v>SITC</v>
          </cell>
        </row>
        <row r="98">
          <cell r="B98" t="str">
            <v>V180379</v>
          </cell>
          <cell r="C98">
            <v>6</v>
          </cell>
          <cell r="D98" t="str">
            <v>NIP</v>
          </cell>
          <cell r="E98">
            <v>237800087226</v>
          </cell>
          <cell r="F98" t="str">
            <v>OSK</v>
          </cell>
          <cell r="G98" t="str">
            <v>EGLV</v>
          </cell>
        </row>
        <row r="99">
          <cell r="B99" t="str">
            <v>V180380</v>
          </cell>
          <cell r="C99">
            <v>6</v>
          </cell>
          <cell r="D99" t="str">
            <v>EXP</v>
          </cell>
          <cell r="E99">
            <v>2601321760</v>
          </cell>
          <cell r="F99" t="str">
            <v>TYO</v>
          </cell>
          <cell r="G99" t="str">
            <v>OOCL</v>
          </cell>
        </row>
        <row r="100">
          <cell r="B100" t="str">
            <v>V180381</v>
          </cell>
          <cell r="C100">
            <v>10</v>
          </cell>
          <cell r="D100" t="str">
            <v>NKV</v>
          </cell>
          <cell r="E100" t="str">
            <v>HPH18023129</v>
          </cell>
          <cell r="F100" t="str">
            <v>KWS</v>
          </cell>
          <cell r="G100" t="str">
            <v>SITC</v>
          </cell>
        </row>
        <row r="101">
          <cell r="B101" t="str">
            <v>V180382</v>
          </cell>
          <cell r="C101">
            <v>3</v>
          </cell>
          <cell r="D101" t="str">
            <v>SHI</v>
          </cell>
          <cell r="E101">
            <v>2601321970</v>
          </cell>
          <cell r="F101" t="str">
            <v>TYO</v>
          </cell>
          <cell r="G101" t="str">
            <v>OOCL</v>
          </cell>
        </row>
        <row r="102">
          <cell r="B102" t="str">
            <v>V180383</v>
          </cell>
          <cell r="C102">
            <v>3</v>
          </cell>
          <cell r="D102" t="str">
            <v>NIP</v>
          </cell>
          <cell r="E102" t="str">
            <v>HPH18023131</v>
          </cell>
          <cell r="F102" t="str">
            <v>KWS</v>
          </cell>
          <cell r="G102" t="str">
            <v>SITC</v>
          </cell>
        </row>
        <row r="103">
          <cell r="B103" t="str">
            <v>V180384</v>
          </cell>
          <cell r="C103">
            <v>12</v>
          </cell>
          <cell r="D103" t="str">
            <v>NIP</v>
          </cell>
          <cell r="E103">
            <v>237800087226</v>
          </cell>
          <cell r="F103" t="str">
            <v>OSK</v>
          </cell>
          <cell r="G103" t="str">
            <v>EGLV</v>
          </cell>
        </row>
        <row r="104">
          <cell r="B104" t="str">
            <v>V180385</v>
          </cell>
          <cell r="C104">
            <v>2</v>
          </cell>
          <cell r="D104" t="str">
            <v>SHI</v>
          </cell>
          <cell r="E104" t="str">
            <v>VN00354860</v>
          </cell>
          <cell r="F104" t="str">
            <v>ISH</v>
          </cell>
          <cell r="G104" t="str">
            <v>KMTC</v>
          </cell>
        </row>
        <row r="105">
          <cell r="B105" t="str">
            <v>V180386</v>
          </cell>
          <cell r="C105">
            <v>4</v>
          </cell>
          <cell r="D105" t="str">
            <v>CEVA</v>
          </cell>
          <cell r="E105" t="str">
            <v>350BK8001843</v>
          </cell>
          <cell r="F105" t="str">
            <v>TYO</v>
          </cell>
          <cell r="G105" t="str">
            <v>TSL</v>
          </cell>
        </row>
        <row r="106">
          <cell r="B106" t="str">
            <v>V180387</v>
          </cell>
          <cell r="C106">
            <v>4</v>
          </cell>
          <cell r="D106" t="str">
            <v>SHI</v>
          </cell>
          <cell r="E106" t="str">
            <v>1008X00793</v>
          </cell>
          <cell r="F106" t="str">
            <v>TYO</v>
          </cell>
          <cell r="G106" t="str">
            <v>WHL</v>
          </cell>
        </row>
        <row r="107">
          <cell r="B107" t="str">
            <v>V180388</v>
          </cell>
          <cell r="C107">
            <v>2</v>
          </cell>
          <cell r="D107" t="str">
            <v>SHI</v>
          </cell>
          <cell r="E107" t="str">
            <v xml:space="preserve">1008X00794 </v>
          </cell>
          <cell r="F107" t="str">
            <v>TYO</v>
          </cell>
          <cell r="G107" t="str">
            <v>WHL</v>
          </cell>
        </row>
        <row r="108">
          <cell r="B108" t="str">
            <v>V180389</v>
          </cell>
          <cell r="C108">
            <v>8</v>
          </cell>
          <cell r="D108" t="str">
            <v>NKV</v>
          </cell>
          <cell r="E108" t="str">
            <v>HPH18023129</v>
          </cell>
          <cell r="F108" t="str">
            <v>KWS</v>
          </cell>
          <cell r="G108" t="str">
            <v>SITC</v>
          </cell>
        </row>
        <row r="109">
          <cell r="B109" t="str">
            <v>V180390</v>
          </cell>
          <cell r="C109">
            <v>12</v>
          </cell>
          <cell r="D109" t="str">
            <v>YUS</v>
          </cell>
          <cell r="E109" t="str">
            <v xml:space="preserve">1008X00797 </v>
          </cell>
          <cell r="F109" t="str">
            <v>OSK</v>
          </cell>
          <cell r="G109" t="str">
            <v>WHL</v>
          </cell>
        </row>
        <row r="110">
          <cell r="B110" t="str">
            <v>V180391</v>
          </cell>
          <cell r="C110">
            <v>4</v>
          </cell>
          <cell r="D110" t="str">
            <v>NIP</v>
          </cell>
          <cell r="E110" t="str">
            <v xml:space="preserve">1008X00808 </v>
          </cell>
          <cell r="F110" t="str">
            <v>HKT</v>
          </cell>
          <cell r="G110" t="str">
            <v>WHL</v>
          </cell>
        </row>
        <row r="111">
          <cell r="B111" t="str">
            <v>V180392</v>
          </cell>
          <cell r="C111">
            <v>1</v>
          </cell>
          <cell r="D111" t="str">
            <v>KWE</v>
          </cell>
          <cell r="E111" t="str">
            <v>VN00354864</v>
          </cell>
          <cell r="F111" t="str">
            <v>SGM</v>
          </cell>
          <cell r="G111" t="str">
            <v>KMTC</v>
          </cell>
        </row>
        <row r="112">
          <cell r="B112" t="str">
            <v>V180393</v>
          </cell>
          <cell r="C112">
            <v>7</v>
          </cell>
          <cell r="D112" t="str">
            <v>OCS</v>
          </cell>
          <cell r="E112" t="str">
            <v>350BK8001842</v>
          </cell>
          <cell r="F112" t="str">
            <v>TYO</v>
          </cell>
          <cell r="G112" t="str">
            <v>TSL</v>
          </cell>
        </row>
        <row r="113">
          <cell r="B113" t="str">
            <v>V180394</v>
          </cell>
          <cell r="C113">
            <v>2</v>
          </cell>
          <cell r="D113" t="str">
            <v>SHI</v>
          </cell>
          <cell r="E113" t="str">
            <v>1008X00795</v>
          </cell>
          <cell r="F113" t="str">
            <v>TYO</v>
          </cell>
          <cell r="G113" t="str">
            <v>WHL</v>
          </cell>
        </row>
        <row r="114">
          <cell r="B114" t="str">
            <v>V180395</v>
          </cell>
          <cell r="C114">
            <v>13</v>
          </cell>
          <cell r="D114" t="str">
            <v>NKV</v>
          </cell>
          <cell r="E114" t="str">
            <v>HPH18023130</v>
          </cell>
          <cell r="F114" t="str">
            <v>KWS</v>
          </cell>
          <cell r="G114" t="str">
            <v>SITC</v>
          </cell>
        </row>
        <row r="115">
          <cell r="B115" t="str">
            <v>V180396</v>
          </cell>
          <cell r="C115">
            <v>1</v>
          </cell>
          <cell r="D115" t="str">
            <v>KWE</v>
          </cell>
          <cell r="E115" t="str">
            <v xml:space="preserve">1008X00796 </v>
          </cell>
          <cell r="F115" t="str">
            <v>NGO</v>
          </cell>
          <cell r="G115" t="str">
            <v>WHL</v>
          </cell>
        </row>
        <row r="116">
          <cell r="B116" t="str">
            <v>V180397</v>
          </cell>
          <cell r="C116">
            <v>12</v>
          </cell>
          <cell r="D116" t="str">
            <v>YUS</v>
          </cell>
          <cell r="E116" t="str">
            <v xml:space="preserve">1008X00797 </v>
          </cell>
          <cell r="F116" t="str">
            <v>OSK</v>
          </cell>
          <cell r="G116" t="str">
            <v>WHL</v>
          </cell>
        </row>
        <row r="117">
          <cell r="B117" t="str">
            <v>V180398</v>
          </cell>
          <cell r="C117">
            <v>1</v>
          </cell>
          <cell r="D117" t="str">
            <v>YUS</v>
          </cell>
          <cell r="E117">
            <v>74553234</v>
          </cell>
          <cell r="F117" t="str">
            <v>NAHA</v>
          </cell>
          <cell r="G117" t="str">
            <v>APL</v>
          </cell>
        </row>
        <row r="118">
          <cell r="B118" t="str">
            <v>V180399</v>
          </cell>
          <cell r="C118">
            <v>6</v>
          </cell>
          <cell r="D118" t="str">
            <v>KWE</v>
          </cell>
          <cell r="E118" t="str">
            <v>350BK8002006</v>
          </cell>
          <cell r="F118" t="str">
            <v>TAOYUAN</v>
          </cell>
          <cell r="G118" t="str">
            <v>TSL</v>
          </cell>
        </row>
        <row r="119">
          <cell r="B119" t="str">
            <v>V180400</v>
          </cell>
          <cell r="C119">
            <v>2</v>
          </cell>
          <cell r="D119" t="str">
            <v>SHI</v>
          </cell>
          <cell r="E119" t="str">
            <v>VN00354860</v>
          </cell>
          <cell r="F119" t="str">
            <v>ISH</v>
          </cell>
          <cell r="G119" t="str">
            <v>KMTC</v>
          </cell>
        </row>
        <row r="120">
          <cell r="B120" t="str">
            <v>V180401</v>
          </cell>
          <cell r="C120">
            <v>4</v>
          </cell>
          <cell r="D120" t="str">
            <v>OCS</v>
          </cell>
          <cell r="E120" t="str">
            <v>350BK8001842</v>
          </cell>
          <cell r="F120" t="str">
            <v>TYO</v>
          </cell>
          <cell r="G120" t="str">
            <v>TSL</v>
          </cell>
        </row>
        <row r="121">
          <cell r="B121" t="str">
            <v>V180402</v>
          </cell>
          <cell r="C121">
            <v>5</v>
          </cell>
          <cell r="D121" t="str">
            <v>SHI</v>
          </cell>
          <cell r="E121" t="str">
            <v>HPH18023127</v>
          </cell>
          <cell r="F121" t="str">
            <v>TYO</v>
          </cell>
          <cell r="G121" t="str">
            <v>SITC</v>
          </cell>
        </row>
        <row r="122">
          <cell r="B122" t="str">
            <v>V180403</v>
          </cell>
          <cell r="C122">
            <v>15</v>
          </cell>
          <cell r="D122" t="str">
            <v>NKV</v>
          </cell>
          <cell r="E122" t="str">
            <v>HPH18023130</v>
          </cell>
          <cell r="F122" t="str">
            <v>KWS</v>
          </cell>
          <cell r="G122" t="str">
            <v>SITC</v>
          </cell>
        </row>
        <row r="123">
          <cell r="B123" t="str">
            <v>V180404</v>
          </cell>
          <cell r="C123">
            <v>5</v>
          </cell>
          <cell r="D123" t="str">
            <v>YUS</v>
          </cell>
          <cell r="E123" t="str">
            <v xml:space="preserve">1008X00797 </v>
          </cell>
          <cell r="F123" t="str">
            <v>OSK</v>
          </cell>
          <cell r="G123" t="str">
            <v>WHL</v>
          </cell>
        </row>
        <row r="124">
          <cell r="B124" t="str">
            <v>V180405</v>
          </cell>
          <cell r="C124">
            <v>4</v>
          </cell>
          <cell r="D124" t="str">
            <v>NIP</v>
          </cell>
          <cell r="E124" t="str">
            <v xml:space="preserve">1008X00808 </v>
          </cell>
          <cell r="F124" t="str">
            <v>HKT</v>
          </cell>
          <cell r="G124" t="str">
            <v>WHL</v>
          </cell>
        </row>
        <row r="125">
          <cell r="B125" t="str">
            <v>V180409</v>
          </cell>
          <cell r="C125">
            <v>10</v>
          </cell>
          <cell r="D125" t="str">
            <v>OCS</v>
          </cell>
          <cell r="E125" t="str">
            <v>HPH18033550</v>
          </cell>
          <cell r="F125" t="str">
            <v>TYO</v>
          </cell>
          <cell r="G125" t="str">
            <v>SITC</v>
          </cell>
        </row>
        <row r="126">
          <cell r="B126" t="str">
            <v>V180410</v>
          </cell>
          <cell r="C126">
            <v>2</v>
          </cell>
          <cell r="D126" t="str">
            <v>KWE</v>
          </cell>
          <cell r="E126" t="str">
            <v>HPH18033551</v>
          </cell>
          <cell r="F126" t="str">
            <v>TYO</v>
          </cell>
          <cell r="G126" t="str">
            <v>SITC</v>
          </cell>
        </row>
        <row r="127">
          <cell r="B127" t="str">
            <v>V180411</v>
          </cell>
          <cell r="C127">
            <v>2</v>
          </cell>
          <cell r="D127" t="str">
            <v>NKV</v>
          </cell>
          <cell r="E127" t="str">
            <v>HPH18033810</v>
          </cell>
          <cell r="F127" t="str">
            <v>KWS</v>
          </cell>
          <cell r="G127" t="str">
            <v>SITC</v>
          </cell>
        </row>
        <row r="128">
          <cell r="B128" t="str">
            <v>V180412</v>
          </cell>
          <cell r="C128">
            <v>14</v>
          </cell>
          <cell r="D128" t="str">
            <v>OCS</v>
          </cell>
          <cell r="E128" t="str">
            <v>HPH18033552</v>
          </cell>
          <cell r="F128" t="str">
            <v>OSK</v>
          </cell>
          <cell r="G128" t="str">
            <v>SITC</v>
          </cell>
        </row>
        <row r="129">
          <cell r="B129" t="str">
            <v>V180413</v>
          </cell>
          <cell r="C129">
            <v>3</v>
          </cell>
          <cell r="D129" t="str">
            <v>YUS</v>
          </cell>
          <cell r="E129" t="str">
            <v>HPH18033556</v>
          </cell>
          <cell r="F129" t="str">
            <v>HKT</v>
          </cell>
          <cell r="G129" t="str">
            <v>SITC</v>
          </cell>
        </row>
        <row r="130">
          <cell r="B130" t="str">
            <v>V180414</v>
          </cell>
          <cell r="C130">
            <v>6</v>
          </cell>
          <cell r="D130" t="str">
            <v>EXP</v>
          </cell>
          <cell r="E130">
            <v>2601635940</v>
          </cell>
          <cell r="F130" t="str">
            <v>TYO</v>
          </cell>
          <cell r="G130" t="str">
            <v>OOCL</v>
          </cell>
        </row>
        <row r="131">
          <cell r="B131" t="str">
            <v>V180415</v>
          </cell>
          <cell r="C131">
            <v>8</v>
          </cell>
          <cell r="D131" t="str">
            <v>KWE</v>
          </cell>
          <cell r="E131" t="str">
            <v>HPH18033544</v>
          </cell>
          <cell r="F131" t="str">
            <v>KWS</v>
          </cell>
          <cell r="G131" t="str">
            <v>SITC</v>
          </cell>
        </row>
        <row r="132">
          <cell r="B132" t="str">
            <v>V180416</v>
          </cell>
          <cell r="C132">
            <v>6</v>
          </cell>
          <cell r="D132" t="str">
            <v>OCS</v>
          </cell>
          <cell r="E132" t="str">
            <v>1008X00908</v>
          </cell>
          <cell r="F132" t="str">
            <v>OSK</v>
          </cell>
          <cell r="G132" t="str">
            <v>WHL</v>
          </cell>
        </row>
        <row r="133">
          <cell r="B133" t="str">
            <v>V180417</v>
          </cell>
          <cell r="C133">
            <v>4</v>
          </cell>
          <cell r="D133" t="str">
            <v>NKV</v>
          </cell>
          <cell r="E133" t="str">
            <v>HPH18033547</v>
          </cell>
          <cell r="F133" t="str">
            <v>KWS</v>
          </cell>
          <cell r="G133" t="str">
            <v>SITC</v>
          </cell>
        </row>
        <row r="134">
          <cell r="B134" t="str">
            <v>V180418</v>
          </cell>
          <cell r="C134">
            <v>5</v>
          </cell>
          <cell r="D134" t="str">
            <v>NIP</v>
          </cell>
          <cell r="E134">
            <v>237800091916</v>
          </cell>
          <cell r="F134" t="str">
            <v>OSK</v>
          </cell>
          <cell r="G134" t="str">
            <v>EGLV</v>
          </cell>
        </row>
        <row r="135">
          <cell r="B135" t="str">
            <v>V180419</v>
          </cell>
          <cell r="C135">
            <v>3</v>
          </cell>
          <cell r="D135" t="str">
            <v>SHI</v>
          </cell>
          <cell r="E135" t="str">
            <v xml:space="preserve">1008X00911 </v>
          </cell>
          <cell r="F135" t="str">
            <v>TYO</v>
          </cell>
          <cell r="G135" t="str">
            <v>WHL</v>
          </cell>
        </row>
        <row r="136">
          <cell r="B136" t="str">
            <v>V180420</v>
          </cell>
          <cell r="C136">
            <v>10</v>
          </cell>
          <cell r="D136" t="str">
            <v>NKV</v>
          </cell>
          <cell r="E136" t="str">
            <v>HPH18033547</v>
          </cell>
          <cell r="F136" t="str">
            <v>KWS</v>
          </cell>
          <cell r="G136" t="str">
            <v>SITC</v>
          </cell>
        </row>
        <row r="137">
          <cell r="B137" t="str">
            <v>V180421</v>
          </cell>
          <cell r="C137">
            <v>11</v>
          </cell>
          <cell r="D137" t="str">
            <v>NIP</v>
          </cell>
          <cell r="E137">
            <v>237800091916</v>
          </cell>
          <cell r="F137" t="str">
            <v>OSK</v>
          </cell>
          <cell r="G137" t="str">
            <v>EGLV</v>
          </cell>
        </row>
        <row r="138">
          <cell r="B138" t="str">
            <v>V180422</v>
          </cell>
          <cell r="C138">
            <v>3</v>
          </cell>
          <cell r="D138" t="str">
            <v>KWE</v>
          </cell>
          <cell r="E138" t="str">
            <v>HPH18033549</v>
          </cell>
          <cell r="F138" t="str">
            <v>HKT</v>
          </cell>
          <cell r="G138" t="str">
            <v>SITC</v>
          </cell>
        </row>
        <row r="139">
          <cell r="B139" t="str">
            <v>V180423</v>
          </cell>
          <cell r="C139">
            <v>4</v>
          </cell>
          <cell r="D139" t="str">
            <v>SHI</v>
          </cell>
          <cell r="E139" t="str">
            <v>VN00356431</v>
          </cell>
          <cell r="F139" t="str">
            <v>ISH</v>
          </cell>
          <cell r="G139" t="str">
            <v>KMTC</v>
          </cell>
        </row>
        <row r="140">
          <cell r="B140" t="str">
            <v>V180424</v>
          </cell>
          <cell r="C140">
            <v>7</v>
          </cell>
          <cell r="D140" t="str">
            <v>CEVA</v>
          </cell>
          <cell r="E140">
            <v>2601635750</v>
          </cell>
          <cell r="F140" t="str">
            <v>TYO</v>
          </cell>
          <cell r="G140" t="str">
            <v>OOCL</v>
          </cell>
        </row>
        <row r="141">
          <cell r="B141" t="str">
            <v>V180425</v>
          </cell>
          <cell r="C141">
            <v>7</v>
          </cell>
          <cell r="D141" t="str">
            <v>SHI</v>
          </cell>
          <cell r="E141" t="str">
            <v xml:space="preserve">1008X00912 </v>
          </cell>
          <cell r="F141" t="str">
            <v>TYO</v>
          </cell>
          <cell r="G141" t="str">
            <v>WHL</v>
          </cell>
        </row>
        <row r="142">
          <cell r="B142" t="str">
            <v>V180426</v>
          </cell>
          <cell r="C142">
            <v>8</v>
          </cell>
          <cell r="D142" t="str">
            <v>NKV</v>
          </cell>
          <cell r="E142" t="str">
            <v>HPH18033547</v>
          </cell>
          <cell r="F142" t="str">
            <v>KWS</v>
          </cell>
          <cell r="G142" t="str">
            <v>SITC</v>
          </cell>
        </row>
        <row r="143">
          <cell r="B143" t="str">
            <v>V180427</v>
          </cell>
          <cell r="C143">
            <v>1</v>
          </cell>
          <cell r="D143" t="str">
            <v>KWE</v>
          </cell>
          <cell r="E143" t="str">
            <v>1008X00914</v>
          </cell>
          <cell r="F143" t="str">
            <v>NGO</v>
          </cell>
          <cell r="G143" t="str">
            <v>WHL</v>
          </cell>
        </row>
        <row r="144">
          <cell r="B144" t="str">
            <v>V180428</v>
          </cell>
          <cell r="C144">
            <v>14</v>
          </cell>
          <cell r="D144" t="str">
            <v>YUS</v>
          </cell>
          <cell r="E144" t="str">
            <v xml:space="preserve">1008X00915 </v>
          </cell>
          <cell r="F144" t="str">
            <v>OSK</v>
          </cell>
          <cell r="G144" t="str">
            <v>WHL</v>
          </cell>
        </row>
        <row r="145">
          <cell r="B145" t="str">
            <v>V180429</v>
          </cell>
          <cell r="C145">
            <v>3</v>
          </cell>
          <cell r="D145" t="str">
            <v>KWE</v>
          </cell>
          <cell r="E145" t="str">
            <v>HPH18033549</v>
          </cell>
          <cell r="F145" t="str">
            <v>HKT</v>
          </cell>
          <cell r="G145" t="str">
            <v>SITC</v>
          </cell>
        </row>
        <row r="146">
          <cell r="B146" t="str">
            <v>V180430</v>
          </cell>
          <cell r="C146">
            <v>1</v>
          </cell>
          <cell r="D146" t="str">
            <v>KWE</v>
          </cell>
          <cell r="E146" t="str">
            <v>VN00356433</v>
          </cell>
          <cell r="F146" t="str">
            <v>SGM</v>
          </cell>
          <cell r="G146" t="str">
            <v>KMTC</v>
          </cell>
        </row>
        <row r="147">
          <cell r="B147" t="str">
            <v>V180431</v>
          </cell>
          <cell r="C147">
            <v>6</v>
          </cell>
          <cell r="D147" t="str">
            <v>OCS</v>
          </cell>
          <cell r="E147" t="str">
            <v>350BK8002076</v>
          </cell>
          <cell r="F147" t="str">
            <v>TYO</v>
          </cell>
          <cell r="G147" t="str">
            <v>TSL</v>
          </cell>
        </row>
        <row r="148">
          <cell r="B148" t="str">
            <v>V180432</v>
          </cell>
          <cell r="C148">
            <v>2</v>
          </cell>
          <cell r="D148" t="str">
            <v>SHI</v>
          </cell>
          <cell r="E148" t="str">
            <v xml:space="preserve">1008X00911 </v>
          </cell>
          <cell r="F148" t="str">
            <v>TYO</v>
          </cell>
          <cell r="G148" t="str">
            <v>WHL</v>
          </cell>
        </row>
        <row r="149">
          <cell r="B149" t="str">
            <v>V180433</v>
          </cell>
          <cell r="C149">
            <v>2</v>
          </cell>
          <cell r="D149" t="str">
            <v>NKV</v>
          </cell>
          <cell r="E149" t="str">
            <v>HPH18033548</v>
          </cell>
          <cell r="F149" t="str">
            <v>KWS</v>
          </cell>
          <cell r="G149" t="str">
            <v>SITC</v>
          </cell>
        </row>
        <row r="150">
          <cell r="B150" t="str">
            <v>V180434</v>
          </cell>
          <cell r="C150">
            <v>7</v>
          </cell>
          <cell r="D150" t="str">
            <v>YUS</v>
          </cell>
          <cell r="E150" t="str">
            <v xml:space="preserve">1008X00915 </v>
          </cell>
          <cell r="F150" t="str">
            <v>OSK</v>
          </cell>
          <cell r="G150" t="str">
            <v>WHL</v>
          </cell>
        </row>
        <row r="151">
          <cell r="B151" t="str">
            <v>V180435</v>
          </cell>
          <cell r="C151">
            <v>2</v>
          </cell>
          <cell r="D151" t="str">
            <v>KWE</v>
          </cell>
          <cell r="E151" t="str">
            <v>350BK8002360</v>
          </cell>
          <cell r="F151" t="str">
            <v>TAOYUAN</v>
          </cell>
          <cell r="G151" t="str">
            <v>TSL</v>
          </cell>
        </row>
        <row r="152">
          <cell r="B152" t="str">
            <v>V180436</v>
          </cell>
          <cell r="C152">
            <v>1</v>
          </cell>
          <cell r="D152" t="str">
            <v>NIP</v>
          </cell>
          <cell r="E152" t="str">
            <v>SNLTSD-130318-02</v>
          </cell>
          <cell r="F152" t="str">
            <v>SHANGHAI</v>
          </cell>
          <cell r="G152" t="str">
            <v>SNL</v>
          </cell>
        </row>
        <row r="153">
          <cell r="B153" t="str">
            <v>V180437</v>
          </cell>
          <cell r="C153">
            <v>3</v>
          </cell>
          <cell r="D153" t="str">
            <v>SHI</v>
          </cell>
          <cell r="E153" t="str">
            <v>VN00356431</v>
          </cell>
          <cell r="F153" t="str">
            <v>ISH</v>
          </cell>
          <cell r="G153" t="str">
            <v>KMTC</v>
          </cell>
        </row>
        <row r="154">
          <cell r="B154" t="str">
            <v>V180438</v>
          </cell>
          <cell r="C154">
            <v>7</v>
          </cell>
          <cell r="D154" t="str">
            <v>OCS</v>
          </cell>
          <cell r="E154" t="str">
            <v>HPH18033546</v>
          </cell>
          <cell r="F154" t="str">
            <v>TYO</v>
          </cell>
          <cell r="G154" t="str">
            <v>SITC</v>
          </cell>
        </row>
        <row r="155">
          <cell r="B155" t="str">
            <v>V180439</v>
          </cell>
          <cell r="C155">
            <v>1</v>
          </cell>
          <cell r="D155" t="str">
            <v>SHI</v>
          </cell>
          <cell r="E155" t="str">
            <v>HPH18034061</v>
          </cell>
          <cell r="F155" t="str">
            <v>TYO</v>
          </cell>
          <cell r="G155" t="str">
            <v>SITC</v>
          </cell>
        </row>
        <row r="156">
          <cell r="B156" t="str">
            <v>V180440</v>
          </cell>
          <cell r="C156">
            <v>9</v>
          </cell>
          <cell r="D156" t="str">
            <v>NKV</v>
          </cell>
          <cell r="E156" t="str">
            <v>HPH18033548</v>
          </cell>
          <cell r="F156" t="str">
            <v>KWS</v>
          </cell>
          <cell r="G156" t="str">
            <v>SITC</v>
          </cell>
        </row>
        <row r="157">
          <cell r="B157" t="str">
            <v>V180441</v>
          </cell>
          <cell r="C157">
            <v>13</v>
          </cell>
          <cell r="D157" t="str">
            <v>YUS</v>
          </cell>
          <cell r="E157" t="str">
            <v xml:space="preserve">1008X00915 </v>
          </cell>
          <cell r="F157" t="str">
            <v>OSK</v>
          </cell>
          <cell r="G157" t="str">
            <v>WHL</v>
          </cell>
        </row>
        <row r="158">
          <cell r="B158" t="str">
            <v>V180442</v>
          </cell>
          <cell r="C158">
            <v>2</v>
          </cell>
          <cell r="D158" t="str">
            <v>KWE</v>
          </cell>
          <cell r="E158" t="str">
            <v>HPH18033549</v>
          </cell>
          <cell r="F158" t="str">
            <v>HKT</v>
          </cell>
          <cell r="G158" t="str">
            <v>SITC</v>
          </cell>
        </row>
        <row r="159">
          <cell r="B159" t="str">
            <v>V180443</v>
          </cell>
          <cell r="C159">
            <v>1</v>
          </cell>
          <cell r="D159" t="str">
            <v>YUS</v>
          </cell>
          <cell r="E159">
            <v>74553481</v>
          </cell>
          <cell r="F159" t="str">
            <v>NAHA</v>
          </cell>
          <cell r="G159" t="str">
            <v>APL</v>
          </cell>
        </row>
        <row r="160">
          <cell r="B160" t="str">
            <v>V180444</v>
          </cell>
          <cell r="C160">
            <v>9</v>
          </cell>
          <cell r="D160" t="str">
            <v>OCS</v>
          </cell>
          <cell r="E160" t="str">
            <v>HPH18033546</v>
          </cell>
          <cell r="F160" t="str">
            <v>TYO</v>
          </cell>
          <cell r="G160" t="str">
            <v>SITC</v>
          </cell>
        </row>
        <row r="161">
          <cell r="B161" t="str">
            <v>V180445</v>
          </cell>
          <cell r="C161">
            <v>10</v>
          </cell>
          <cell r="D161" t="str">
            <v>NKV</v>
          </cell>
          <cell r="E161" t="str">
            <v>HPH18033548</v>
          </cell>
          <cell r="F161" t="str">
            <v>KWS</v>
          </cell>
          <cell r="G161" t="str">
            <v>SITC</v>
          </cell>
        </row>
        <row r="162">
          <cell r="B162" t="str">
            <v>V180446</v>
          </cell>
          <cell r="C162">
            <v>12</v>
          </cell>
          <cell r="D162" t="str">
            <v>NIP</v>
          </cell>
          <cell r="E162" t="str">
            <v>HPH18034062</v>
          </cell>
          <cell r="F162" t="str">
            <v>OSK</v>
          </cell>
          <cell r="G162" t="str">
            <v>SITC</v>
          </cell>
        </row>
        <row r="163">
          <cell r="B163" t="str">
            <v>V180447</v>
          </cell>
          <cell r="C163">
            <v>2</v>
          </cell>
          <cell r="D163" t="str">
            <v>KWE</v>
          </cell>
          <cell r="E163" t="str">
            <v>HPH18033549</v>
          </cell>
          <cell r="F163" t="str">
            <v>HKT</v>
          </cell>
          <cell r="G163" t="str">
            <v>SITC</v>
          </cell>
        </row>
        <row r="164">
          <cell r="B164" t="str">
            <v>V180481</v>
          </cell>
          <cell r="C164">
            <v>2</v>
          </cell>
          <cell r="D164" t="str">
            <v>SHI</v>
          </cell>
          <cell r="E164" t="str">
            <v>HPH18034190</v>
          </cell>
          <cell r="F164" t="str">
            <v>TYO</v>
          </cell>
          <cell r="G164" t="str">
            <v>SITC</v>
          </cell>
        </row>
        <row r="165">
          <cell r="B165" t="str">
            <v>V180448</v>
          </cell>
          <cell r="C165">
            <v>5</v>
          </cell>
          <cell r="D165" t="str">
            <v>EXP</v>
          </cell>
          <cell r="E165">
            <v>2601998870</v>
          </cell>
          <cell r="F165" t="str">
            <v>TYO</v>
          </cell>
          <cell r="G165" t="str">
            <v>OOCL</v>
          </cell>
        </row>
        <row r="166">
          <cell r="B166" t="str">
            <v>V180449</v>
          </cell>
          <cell r="C166">
            <v>9</v>
          </cell>
          <cell r="D166" t="str">
            <v>NKV</v>
          </cell>
          <cell r="E166" t="str">
            <v>HPH18034057</v>
          </cell>
          <cell r="F166" t="str">
            <v>KWS</v>
          </cell>
          <cell r="G166" t="str">
            <v>SITC</v>
          </cell>
        </row>
        <row r="167">
          <cell r="B167" t="str">
            <v>V180450</v>
          </cell>
          <cell r="C167">
            <v>10</v>
          </cell>
          <cell r="D167" t="str">
            <v>KWE</v>
          </cell>
          <cell r="E167" t="str">
            <v xml:space="preserve">1008X01026 </v>
          </cell>
          <cell r="F167" t="str">
            <v>OSK</v>
          </cell>
          <cell r="G167" t="str">
            <v>WHL</v>
          </cell>
        </row>
        <row r="168">
          <cell r="B168" t="str">
            <v>V180451</v>
          </cell>
          <cell r="C168">
            <v>1</v>
          </cell>
          <cell r="D168" t="str">
            <v>SHI</v>
          </cell>
          <cell r="E168" t="str">
            <v>VN00358247</v>
          </cell>
          <cell r="F168" t="str">
            <v>ISH</v>
          </cell>
          <cell r="G168" t="str">
            <v>KMTC</v>
          </cell>
        </row>
        <row r="169">
          <cell r="B169" t="str">
            <v>V180452</v>
          </cell>
          <cell r="C169">
            <v>10</v>
          </cell>
          <cell r="D169" t="str">
            <v>SHI</v>
          </cell>
          <cell r="E169" t="str">
            <v>HPH18034059</v>
          </cell>
          <cell r="F169" t="str">
            <v>KWS</v>
          </cell>
          <cell r="G169" t="str">
            <v>SITC</v>
          </cell>
        </row>
        <row r="170">
          <cell r="B170" t="str">
            <v>V180453</v>
          </cell>
          <cell r="C170">
            <v>9</v>
          </cell>
          <cell r="D170" t="str">
            <v>NKV</v>
          </cell>
          <cell r="E170" t="str">
            <v>HPH18033896</v>
          </cell>
          <cell r="F170" t="str">
            <v>KWS</v>
          </cell>
          <cell r="G170" t="str">
            <v>SITC</v>
          </cell>
        </row>
        <row r="171">
          <cell r="B171" t="str">
            <v>V180454</v>
          </cell>
          <cell r="C171">
            <v>4</v>
          </cell>
          <cell r="D171" t="str">
            <v>SHI</v>
          </cell>
          <cell r="E171" t="str">
            <v>HPH18033897</v>
          </cell>
          <cell r="F171" t="str">
            <v>OSK</v>
          </cell>
          <cell r="G171" t="str">
            <v>SITC</v>
          </cell>
        </row>
        <row r="172">
          <cell r="B172" t="str">
            <v>V180455</v>
          </cell>
          <cell r="C172">
            <v>4</v>
          </cell>
          <cell r="D172" t="str">
            <v>KWE</v>
          </cell>
          <cell r="E172" t="str">
            <v>1008X01006</v>
          </cell>
          <cell r="F172" t="str">
            <v>OSK</v>
          </cell>
          <cell r="G172" t="str">
            <v>WHL</v>
          </cell>
        </row>
        <row r="173">
          <cell r="B173" t="str">
            <v>V180456</v>
          </cell>
          <cell r="C173">
            <v>6</v>
          </cell>
          <cell r="D173" t="str">
            <v>NIP</v>
          </cell>
          <cell r="E173" t="str">
            <v>HPH18034047</v>
          </cell>
          <cell r="F173" t="str">
            <v>OSK</v>
          </cell>
          <cell r="G173" t="str">
            <v>SITC</v>
          </cell>
        </row>
        <row r="174">
          <cell r="B174" t="str">
            <v>V180457</v>
          </cell>
          <cell r="C174">
            <v>6</v>
          </cell>
          <cell r="D174" t="str">
            <v>NKV</v>
          </cell>
          <cell r="E174" t="str">
            <v>HPH18034046</v>
          </cell>
          <cell r="F174" t="str">
            <v>KWS</v>
          </cell>
          <cell r="G174" t="str">
            <v>SITC</v>
          </cell>
        </row>
        <row r="175">
          <cell r="B175" t="str">
            <v>V180458</v>
          </cell>
          <cell r="C175">
            <v>6</v>
          </cell>
          <cell r="D175" t="str">
            <v>SHI</v>
          </cell>
          <cell r="E175" t="str">
            <v>HPH18033897</v>
          </cell>
          <cell r="F175" t="str">
            <v>OSK</v>
          </cell>
          <cell r="G175" t="str">
            <v>SITC</v>
          </cell>
        </row>
        <row r="176">
          <cell r="B176" t="str">
            <v>V180459</v>
          </cell>
          <cell r="C176">
            <v>10</v>
          </cell>
          <cell r="D176" t="str">
            <v>OCS</v>
          </cell>
          <cell r="E176" t="str">
            <v>1008X01027</v>
          </cell>
          <cell r="F176" t="str">
            <v>OSK</v>
          </cell>
          <cell r="G176" t="str">
            <v>WHL</v>
          </cell>
        </row>
        <row r="177">
          <cell r="B177" t="str">
            <v>V180460</v>
          </cell>
          <cell r="C177">
            <v>5</v>
          </cell>
          <cell r="D177" t="str">
            <v>CEVA</v>
          </cell>
          <cell r="E177" t="str">
            <v xml:space="preserve">1008X01024 </v>
          </cell>
          <cell r="F177" t="str">
            <v>HKT</v>
          </cell>
          <cell r="G177" t="str">
            <v>WHL</v>
          </cell>
        </row>
        <row r="178">
          <cell r="B178" t="str">
            <v>V180461</v>
          </cell>
          <cell r="C178">
            <v>4</v>
          </cell>
          <cell r="D178" t="str">
            <v>KWE</v>
          </cell>
          <cell r="E178">
            <v>2601998100</v>
          </cell>
          <cell r="F178" t="str">
            <v>TYO</v>
          </cell>
          <cell r="G178" t="str">
            <v>OOCL</v>
          </cell>
        </row>
        <row r="179">
          <cell r="B179" t="str">
            <v>V180462</v>
          </cell>
          <cell r="C179">
            <v>6</v>
          </cell>
          <cell r="D179" t="str">
            <v>SHI</v>
          </cell>
          <cell r="E179" t="str">
            <v>HPH18034059</v>
          </cell>
          <cell r="F179" t="str">
            <v>KWS</v>
          </cell>
          <cell r="G179" t="str">
            <v>SITC</v>
          </cell>
        </row>
        <row r="180">
          <cell r="B180" t="str">
            <v>V180463</v>
          </cell>
          <cell r="C180">
            <v>7</v>
          </cell>
          <cell r="D180" t="str">
            <v>NKV</v>
          </cell>
          <cell r="E180">
            <v>237800097965</v>
          </cell>
          <cell r="F180" t="str">
            <v>OSK</v>
          </cell>
          <cell r="G180" t="str">
            <v>EGLV</v>
          </cell>
        </row>
        <row r="181">
          <cell r="B181" t="str">
            <v>V180464</v>
          </cell>
          <cell r="C181">
            <v>2</v>
          </cell>
          <cell r="D181" t="str">
            <v>SHI</v>
          </cell>
          <cell r="E181" t="str">
            <v xml:space="preserve">1008X01033 </v>
          </cell>
          <cell r="F181" t="str">
            <v>TYO</v>
          </cell>
          <cell r="G181" t="str">
            <v>WHL</v>
          </cell>
        </row>
        <row r="182">
          <cell r="B182" t="str">
            <v>V180465</v>
          </cell>
          <cell r="C182">
            <v>1</v>
          </cell>
          <cell r="D182" t="str">
            <v>SHI</v>
          </cell>
          <cell r="E182" t="str">
            <v>1008X01028</v>
          </cell>
          <cell r="F182" t="str">
            <v>TYO</v>
          </cell>
          <cell r="G182" t="str">
            <v>WHL</v>
          </cell>
        </row>
        <row r="183">
          <cell r="B183" t="str">
            <v>V180466</v>
          </cell>
          <cell r="C183">
            <v>12</v>
          </cell>
          <cell r="D183" t="str">
            <v>NKV</v>
          </cell>
          <cell r="E183" t="str">
            <v>HPH18034198</v>
          </cell>
          <cell r="F183" t="str">
            <v>KWS</v>
          </cell>
          <cell r="G183" t="str">
            <v>SITC</v>
          </cell>
        </row>
        <row r="184">
          <cell r="B184" t="str">
            <v>V180467</v>
          </cell>
          <cell r="C184">
            <v>1</v>
          </cell>
          <cell r="D184" t="str">
            <v>KWE</v>
          </cell>
          <cell r="E184" t="str">
            <v xml:space="preserve">1008X01022 </v>
          </cell>
          <cell r="F184" t="str">
            <v>NGO</v>
          </cell>
          <cell r="G184" t="str">
            <v>WHL</v>
          </cell>
        </row>
        <row r="185">
          <cell r="B185" t="str">
            <v>V180468</v>
          </cell>
          <cell r="C185">
            <v>6</v>
          </cell>
          <cell r="D185" t="str">
            <v>YUS</v>
          </cell>
          <cell r="E185" t="str">
            <v>1008X01025</v>
          </cell>
          <cell r="F185" t="str">
            <v>OSK</v>
          </cell>
          <cell r="G185" t="str">
            <v>WHL</v>
          </cell>
        </row>
        <row r="186">
          <cell r="B186" t="str">
            <v>V180469</v>
          </cell>
          <cell r="C186">
            <v>7</v>
          </cell>
          <cell r="D186" t="str">
            <v>NIP</v>
          </cell>
          <cell r="E186" t="str">
            <v>1008X01023</v>
          </cell>
          <cell r="F186" t="str">
            <v>HKT</v>
          </cell>
          <cell r="G186" t="str">
            <v>WHL</v>
          </cell>
        </row>
        <row r="187">
          <cell r="B187" t="str">
            <v>V180470</v>
          </cell>
          <cell r="C187">
            <v>3</v>
          </cell>
          <cell r="D187" t="str">
            <v>NKV</v>
          </cell>
          <cell r="E187">
            <v>2602140460</v>
          </cell>
          <cell r="F187" t="str">
            <v>TYO</v>
          </cell>
          <cell r="G187" t="str">
            <v>OOCL</v>
          </cell>
        </row>
        <row r="188">
          <cell r="B188" t="str">
            <v>V180471</v>
          </cell>
          <cell r="C188">
            <v>4</v>
          </cell>
          <cell r="D188" t="str">
            <v>YUS</v>
          </cell>
          <cell r="E188" t="str">
            <v xml:space="preserve">1008X01032 </v>
          </cell>
          <cell r="F188" t="str">
            <v>TYO</v>
          </cell>
          <cell r="G188" t="str">
            <v>WHL</v>
          </cell>
        </row>
        <row r="189">
          <cell r="B189" t="str">
            <v>V180472</v>
          </cell>
          <cell r="C189">
            <v>7</v>
          </cell>
          <cell r="D189" t="str">
            <v>SHI</v>
          </cell>
          <cell r="E189" t="str">
            <v>HPH18034059</v>
          </cell>
          <cell r="F189" t="str">
            <v>KWS</v>
          </cell>
          <cell r="G189" t="str">
            <v>SITC</v>
          </cell>
        </row>
        <row r="190">
          <cell r="B190" t="str">
            <v>V180473</v>
          </cell>
          <cell r="C190">
            <v>5</v>
          </cell>
          <cell r="D190" t="str">
            <v>OCS</v>
          </cell>
          <cell r="E190" t="str">
            <v>HPH18034060</v>
          </cell>
          <cell r="F190" t="str">
            <v>OSK</v>
          </cell>
          <cell r="G190" t="str">
            <v>SITC</v>
          </cell>
        </row>
        <row r="191">
          <cell r="B191" t="str">
            <v>V180474</v>
          </cell>
          <cell r="C191">
            <v>2</v>
          </cell>
          <cell r="D191" t="str">
            <v>KWE</v>
          </cell>
          <cell r="E191" t="str">
            <v>350BK8002756</v>
          </cell>
          <cell r="F191" t="str">
            <v>TAOYUAN</v>
          </cell>
          <cell r="G191" t="str">
            <v>TSL</v>
          </cell>
        </row>
        <row r="192">
          <cell r="B192" t="str">
            <v>V180475</v>
          </cell>
          <cell r="C192">
            <v>1</v>
          </cell>
          <cell r="D192" t="str">
            <v>NIP</v>
          </cell>
          <cell r="E192" t="str">
            <v>SNLTSD-130318-03</v>
          </cell>
          <cell r="F192" t="str">
            <v>SHANGHAI</v>
          </cell>
          <cell r="G192" t="str">
            <v>SNL</v>
          </cell>
        </row>
        <row r="193">
          <cell r="B193" t="str">
            <v>V180476</v>
          </cell>
          <cell r="C193">
            <v>2</v>
          </cell>
          <cell r="D193" t="str">
            <v>SHI</v>
          </cell>
          <cell r="E193" t="str">
            <v>VN00358247</v>
          </cell>
          <cell r="F193" t="str">
            <v>ISH</v>
          </cell>
          <cell r="G193" t="str">
            <v>KMTC</v>
          </cell>
        </row>
        <row r="194">
          <cell r="B194" t="str">
            <v>V180477</v>
          </cell>
          <cell r="C194">
            <v>3</v>
          </cell>
          <cell r="D194" t="str">
            <v>KWE</v>
          </cell>
          <cell r="E194" t="str">
            <v xml:space="preserve">1008X01029 </v>
          </cell>
          <cell r="F194" t="str">
            <v>TYO</v>
          </cell>
          <cell r="G194" t="str">
            <v>WHL</v>
          </cell>
        </row>
        <row r="195">
          <cell r="B195" t="str">
            <v>V180478</v>
          </cell>
          <cell r="C195">
            <v>16</v>
          </cell>
          <cell r="D195" t="str">
            <v>NKV</v>
          </cell>
          <cell r="E195" t="str">
            <v>HPH18034058</v>
          </cell>
          <cell r="F195" t="str">
            <v>KWS</v>
          </cell>
          <cell r="G195" t="str">
            <v>SITC</v>
          </cell>
        </row>
        <row r="196">
          <cell r="B196" t="str">
            <v>V180479</v>
          </cell>
          <cell r="C196">
            <v>13</v>
          </cell>
          <cell r="D196" t="str">
            <v>YUS</v>
          </cell>
          <cell r="E196" t="str">
            <v>1008X01025</v>
          </cell>
          <cell r="F196" t="str">
            <v>OSK</v>
          </cell>
          <cell r="G196" t="str">
            <v>WHL</v>
          </cell>
        </row>
        <row r="197">
          <cell r="B197" t="str">
            <v>V180480</v>
          </cell>
          <cell r="C197">
            <v>1</v>
          </cell>
          <cell r="D197" t="str">
            <v>NIP</v>
          </cell>
          <cell r="E197" t="str">
            <v>1008X01023</v>
          </cell>
          <cell r="F197" t="str">
            <v>HKT</v>
          </cell>
          <cell r="G197" t="str">
            <v>WHL</v>
          </cell>
        </row>
        <row r="198">
          <cell r="B198" t="str">
            <v>V180482</v>
          </cell>
          <cell r="C198">
            <v>8</v>
          </cell>
          <cell r="D198" t="str">
            <v>KWE</v>
          </cell>
          <cell r="E198" t="str">
            <v>HPH18034450</v>
          </cell>
          <cell r="F198" t="str">
            <v>TYO</v>
          </cell>
          <cell r="G198" t="str">
            <v>SITC</v>
          </cell>
        </row>
        <row r="199">
          <cell r="B199" t="str">
            <v>V180483</v>
          </cell>
          <cell r="C199">
            <v>2</v>
          </cell>
          <cell r="D199" t="str">
            <v>SHI</v>
          </cell>
          <cell r="E199" t="str">
            <v>VN00360373</v>
          </cell>
          <cell r="F199" t="str">
            <v>ISH</v>
          </cell>
          <cell r="G199" t="str">
            <v>KMTC</v>
          </cell>
        </row>
        <row r="200">
          <cell r="B200" t="str">
            <v>V180485</v>
          </cell>
          <cell r="C200">
            <v>9</v>
          </cell>
          <cell r="D200" t="str">
            <v>NKV</v>
          </cell>
          <cell r="E200" t="str">
            <v>HPH18034058</v>
          </cell>
          <cell r="F200" t="str">
            <v>KWS</v>
          </cell>
          <cell r="G200" t="str">
            <v>SITC</v>
          </cell>
        </row>
        <row r="201">
          <cell r="B201" t="str">
            <v>V180486</v>
          </cell>
          <cell r="C201">
            <v>9</v>
          </cell>
          <cell r="D201" t="str">
            <v>NIP</v>
          </cell>
          <cell r="E201" t="str">
            <v>HPH18034451</v>
          </cell>
          <cell r="F201" t="str">
            <v>OSK</v>
          </cell>
          <cell r="G201" t="str">
            <v>SITC</v>
          </cell>
        </row>
        <row r="202">
          <cell r="B202" t="str">
            <v>V180487</v>
          </cell>
          <cell r="C202">
            <v>2</v>
          </cell>
          <cell r="D202" t="str">
            <v>NIP</v>
          </cell>
          <cell r="E202" t="str">
            <v>HPH18034452</v>
          </cell>
          <cell r="F202" t="str">
            <v>HKT</v>
          </cell>
          <cell r="G202" t="str">
            <v>SITC</v>
          </cell>
        </row>
        <row r="203">
          <cell r="B203" t="str">
            <v>V180488</v>
          </cell>
          <cell r="C203">
            <v>9</v>
          </cell>
          <cell r="D203" t="str">
            <v>NKV</v>
          </cell>
          <cell r="E203" t="str">
            <v>HPH18034204</v>
          </cell>
          <cell r="F203" t="str">
            <v>KWS</v>
          </cell>
          <cell r="G203" t="str">
            <v>SITC</v>
          </cell>
        </row>
        <row r="204">
          <cell r="B204" t="str">
            <v>V180489</v>
          </cell>
          <cell r="C204">
            <v>8</v>
          </cell>
          <cell r="D204" t="str">
            <v>YUS</v>
          </cell>
          <cell r="E204" t="str">
            <v>1008X01099</v>
          </cell>
          <cell r="F204" t="str">
            <v>OSK</v>
          </cell>
          <cell r="G204" t="str">
            <v>WHL</v>
          </cell>
        </row>
        <row r="205">
          <cell r="B205" t="str">
            <v>V180490</v>
          </cell>
          <cell r="C205">
            <v>10</v>
          </cell>
          <cell r="D205" t="str">
            <v>SHI</v>
          </cell>
          <cell r="E205" t="str">
            <v>HPH18034434</v>
          </cell>
          <cell r="F205" t="str">
            <v>KWS</v>
          </cell>
          <cell r="G205" t="str">
            <v>SITC</v>
          </cell>
        </row>
        <row r="206">
          <cell r="B206" t="str">
            <v>V180491</v>
          </cell>
          <cell r="C206">
            <v>11</v>
          </cell>
          <cell r="D206" t="str">
            <v>OCS</v>
          </cell>
          <cell r="E206" t="str">
            <v>1008X01140</v>
          </cell>
          <cell r="F206" t="str">
            <v>OSK</v>
          </cell>
          <cell r="G206" t="str">
            <v>WHL</v>
          </cell>
        </row>
        <row r="207">
          <cell r="B207" t="str">
            <v>V180492</v>
          </cell>
          <cell r="C207">
            <v>7</v>
          </cell>
          <cell r="D207" t="str">
            <v>KWE</v>
          </cell>
          <cell r="E207">
            <v>2602299520</v>
          </cell>
          <cell r="F207" t="str">
            <v>TYO</v>
          </cell>
          <cell r="G207" t="str">
            <v>OOCL</v>
          </cell>
        </row>
        <row r="208">
          <cell r="B208" t="str">
            <v>V180493</v>
          </cell>
          <cell r="C208">
            <v>5</v>
          </cell>
          <cell r="D208" t="str">
            <v>EXP</v>
          </cell>
          <cell r="E208" t="str">
            <v>1008X01150</v>
          </cell>
          <cell r="F208" t="str">
            <v>TYO</v>
          </cell>
          <cell r="G208" t="str">
            <v>WHL</v>
          </cell>
        </row>
        <row r="209">
          <cell r="B209" t="str">
            <v>V180494</v>
          </cell>
          <cell r="C209">
            <v>3</v>
          </cell>
          <cell r="D209" t="str">
            <v>SHI</v>
          </cell>
          <cell r="E209" t="str">
            <v>1008X01149</v>
          </cell>
          <cell r="F209" t="str">
            <v>TYO</v>
          </cell>
          <cell r="G209" t="str">
            <v>WHL</v>
          </cell>
        </row>
        <row r="210">
          <cell r="B210" t="str">
            <v>V180495</v>
          </cell>
          <cell r="C210">
            <v>8</v>
          </cell>
          <cell r="D210" t="str">
            <v>NKV</v>
          </cell>
          <cell r="E210" t="str">
            <v>HPH18034444</v>
          </cell>
          <cell r="F210" t="str">
            <v>KWS</v>
          </cell>
          <cell r="G210" t="str">
            <v>SITC</v>
          </cell>
        </row>
        <row r="211">
          <cell r="B211" t="str">
            <v>V180496</v>
          </cell>
          <cell r="C211">
            <v>7</v>
          </cell>
          <cell r="D211" t="str">
            <v>OCS</v>
          </cell>
          <cell r="E211">
            <v>237800100222</v>
          </cell>
          <cell r="F211" t="str">
            <v>OSK</v>
          </cell>
          <cell r="G211" t="str">
            <v>EGLV</v>
          </cell>
        </row>
        <row r="212">
          <cell r="B212" t="str">
            <v>V180497</v>
          </cell>
          <cell r="C212">
            <v>1</v>
          </cell>
          <cell r="D212" t="str">
            <v>SHI</v>
          </cell>
          <cell r="E212" t="str">
            <v>VN00359903</v>
          </cell>
          <cell r="F212" t="str">
            <v>ISH</v>
          </cell>
          <cell r="G212" t="str">
            <v>KMTC</v>
          </cell>
        </row>
        <row r="213">
          <cell r="B213" t="str">
            <v>V180498</v>
          </cell>
          <cell r="C213">
            <v>6</v>
          </cell>
          <cell r="D213" t="str">
            <v>OCS</v>
          </cell>
          <cell r="E213">
            <v>237800100214</v>
          </cell>
          <cell r="F213" t="str">
            <v>TYO</v>
          </cell>
          <cell r="G213" t="str">
            <v>EGLV</v>
          </cell>
        </row>
        <row r="214">
          <cell r="B214" t="str">
            <v>V180499</v>
          </cell>
          <cell r="C214">
            <v>1</v>
          </cell>
          <cell r="D214" t="str">
            <v>SHI</v>
          </cell>
          <cell r="E214" t="str">
            <v>1008X01145</v>
          </cell>
          <cell r="F214" t="str">
            <v>NGO</v>
          </cell>
          <cell r="G214" t="str">
            <v>WHL</v>
          </cell>
        </row>
        <row r="215">
          <cell r="B215" t="str">
            <v>V180500</v>
          </cell>
          <cell r="C215">
            <v>8</v>
          </cell>
          <cell r="D215" t="str">
            <v>YUS</v>
          </cell>
          <cell r="E215" t="str">
            <v>1008X01147</v>
          </cell>
          <cell r="F215" t="str">
            <v>OSK</v>
          </cell>
          <cell r="G215" t="str">
            <v>WHL</v>
          </cell>
        </row>
        <row r="216">
          <cell r="B216" t="str">
            <v>V180501</v>
          </cell>
          <cell r="C216">
            <v>6</v>
          </cell>
          <cell r="D216" t="str">
            <v>CEVA</v>
          </cell>
          <cell r="E216" t="str">
            <v xml:space="preserve">1008X01151 </v>
          </cell>
          <cell r="F216" t="str">
            <v>HKT</v>
          </cell>
          <cell r="G216" t="str">
            <v>WHL</v>
          </cell>
        </row>
        <row r="217">
          <cell r="B217" t="str">
            <v>V180502</v>
          </cell>
          <cell r="C217">
            <v>5</v>
          </cell>
          <cell r="D217" t="str">
            <v>SHI</v>
          </cell>
          <cell r="E217">
            <v>2602299830</v>
          </cell>
          <cell r="F217" t="str">
            <v>TYO</v>
          </cell>
          <cell r="G217" t="str">
            <v>OOCL</v>
          </cell>
        </row>
        <row r="218">
          <cell r="B218" t="str">
            <v>V180503</v>
          </cell>
          <cell r="C218">
            <v>3</v>
          </cell>
          <cell r="D218" t="str">
            <v>NKV</v>
          </cell>
          <cell r="E218" t="str">
            <v>HPH18034444</v>
          </cell>
          <cell r="F218" t="str">
            <v>KWS</v>
          </cell>
          <cell r="G218" t="str">
            <v>SITC</v>
          </cell>
        </row>
        <row r="219">
          <cell r="B219" t="str">
            <v>V180504</v>
          </cell>
          <cell r="C219">
            <v>6</v>
          </cell>
          <cell r="D219" t="str">
            <v>YUS</v>
          </cell>
          <cell r="E219" t="str">
            <v>1008X01147</v>
          </cell>
          <cell r="F219" t="str">
            <v>OSK</v>
          </cell>
          <cell r="G219" t="str">
            <v>WHL</v>
          </cell>
        </row>
        <row r="220">
          <cell r="B220" t="str">
            <v>V180505</v>
          </cell>
          <cell r="C220">
            <v>6</v>
          </cell>
          <cell r="D220" t="str">
            <v>OCS</v>
          </cell>
          <cell r="E220">
            <v>237800100214</v>
          </cell>
          <cell r="F220" t="str">
            <v>TYO</v>
          </cell>
          <cell r="G220" t="str">
            <v>EGLV</v>
          </cell>
        </row>
        <row r="221">
          <cell r="B221" t="str">
            <v>V180506</v>
          </cell>
          <cell r="C221">
            <v>3</v>
          </cell>
          <cell r="D221" t="str">
            <v>SHI</v>
          </cell>
          <cell r="E221" t="str">
            <v>1008X01149</v>
          </cell>
          <cell r="F221" t="str">
            <v>TYO</v>
          </cell>
          <cell r="G221" t="str">
            <v>WHL</v>
          </cell>
        </row>
        <row r="222">
          <cell r="B222" t="str">
            <v>V180507</v>
          </cell>
          <cell r="C222">
            <v>11</v>
          </cell>
          <cell r="D222" t="str">
            <v>NKV</v>
          </cell>
          <cell r="E222" t="str">
            <v>HPH18034444</v>
          </cell>
          <cell r="F222" t="str">
            <v>KWS</v>
          </cell>
          <cell r="G222" t="str">
            <v>SITC</v>
          </cell>
        </row>
        <row r="223">
          <cell r="B223" t="str">
            <v>V180508</v>
          </cell>
          <cell r="C223">
            <v>14</v>
          </cell>
          <cell r="D223" t="str">
            <v>YUS</v>
          </cell>
          <cell r="E223" t="str">
            <v>1008X01282</v>
          </cell>
          <cell r="F223" t="str">
            <v>OSK</v>
          </cell>
          <cell r="G223" t="str">
            <v>WHL</v>
          </cell>
        </row>
        <row r="224">
          <cell r="B224" t="str">
            <v>V180509</v>
          </cell>
          <cell r="C224">
            <v>5</v>
          </cell>
          <cell r="D224" t="str">
            <v>NIP</v>
          </cell>
          <cell r="E224" t="str">
            <v>1008X01152</v>
          </cell>
          <cell r="F224" t="str">
            <v>HKT</v>
          </cell>
          <cell r="G224" t="str">
            <v>WHL</v>
          </cell>
        </row>
        <row r="225">
          <cell r="B225" t="str">
            <v>V180510</v>
          </cell>
          <cell r="C225">
            <v>3</v>
          </cell>
          <cell r="D225" t="str">
            <v>SHI</v>
          </cell>
          <cell r="E225" t="str">
            <v>VN00359903</v>
          </cell>
          <cell r="F225" t="str">
            <v>ISH</v>
          </cell>
          <cell r="G225" t="str">
            <v>KMTC</v>
          </cell>
        </row>
        <row r="226">
          <cell r="B226" t="str">
            <v>V180511</v>
          </cell>
          <cell r="C226">
            <v>7</v>
          </cell>
          <cell r="D226" t="str">
            <v>OCS</v>
          </cell>
          <cell r="E226" t="str">
            <v>350BK8002753</v>
          </cell>
          <cell r="F226" t="str">
            <v>TYO</v>
          </cell>
          <cell r="G226" t="str">
            <v>TSL</v>
          </cell>
        </row>
        <row r="227">
          <cell r="B227" t="str">
            <v>V180512</v>
          </cell>
          <cell r="C227">
            <v>3</v>
          </cell>
          <cell r="D227" t="str">
            <v>SHI</v>
          </cell>
          <cell r="E227" t="str">
            <v>350BK8002754</v>
          </cell>
          <cell r="F227" t="str">
            <v>TYO</v>
          </cell>
          <cell r="G227" t="str">
            <v>TSL</v>
          </cell>
        </row>
        <row r="228">
          <cell r="B228" t="str">
            <v>V180513</v>
          </cell>
          <cell r="C228">
            <v>10</v>
          </cell>
          <cell r="D228" t="str">
            <v>NKV</v>
          </cell>
          <cell r="E228" t="str">
            <v>HPH18034445</v>
          </cell>
          <cell r="F228" t="str">
            <v>KWS</v>
          </cell>
          <cell r="G228" t="str">
            <v>SITC</v>
          </cell>
        </row>
        <row r="229">
          <cell r="B229" t="str">
            <v>V180514</v>
          </cell>
          <cell r="C229">
            <v>10</v>
          </cell>
          <cell r="D229" t="str">
            <v>YUS</v>
          </cell>
          <cell r="E229" t="str">
            <v>1008X01147</v>
          </cell>
          <cell r="F229" t="str">
            <v>OSK</v>
          </cell>
          <cell r="G229" t="str">
            <v>WHL</v>
          </cell>
        </row>
        <row r="230">
          <cell r="B230" t="str">
            <v>V180515</v>
          </cell>
          <cell r="C230">
            <v>2</v>
          </cell>
          <cell r="D230" t="str">
            <v>NIP</v>
          </cell>
          <cell r="E230" t="str">
            <v>350BK8002925</v>
          </cell>
          <cell r="F230" t="str">
            <v>TAOYUAN</v>
          </cell>
          <cell r="G230" t="str">
            <v>TSL</v>
          </cell>
        </row>
        <row r="231">
          <cell r="B231" t="str">
            <v>V180516</v>
          </cell>
          <cell r="C231">
            <v>15</v>
          </cell>
          <cell r="D231" t="str">
            <v>YUS</v>
          </cell>
          <cell r="E231" t="str">
            <v>HPH18034443</v>
          </cell>
          <cell r="F231" t="str">
            <v>TYO</v>
          </cell>
          <cell r="G231" t="str">
            <v>SITC</v>
          </cell>
        </row>
        <row r="232">
          <cell r="B232" t="str">
            <v>V180517</v>
          </cell>
          <cell r="C232">
            <v>6</v>
          </cell>
          <cell r="D232" t="str">
            <v>SHI</v>
          </cell>
          <cell r="E232" t="str">
            <v xml:space="preserve">1008X01146 </v>
          </cell>
          <cell r="F232" t="str">
            <v>TYO</v>
          </cell>
          <cell r="G232" t="str">
            <v>WHL</v>
          </cell>
        </row>
        <row r="233">
          <cell r="B233" t="str">
            <v>V180518</v>
          </cell>
          <cell r="C233">
            <v>9</v>
          </cell>
          <cell r="D233" t="str">
            <v>NKV</v>
          </cell>
          <cell r="E233" t="str">
            <v>HPH18034445</v>
          </cell>
          <cell r="F233" t="str">
            <v>KWS</v>
          </cell>
          <cell r="G233" t="str">
            <v>SITC</v>
          </cell>
        </row>
        <row r="234">
          <cell r="B234" t="str">
            <v>V180519</v>
          </cell>
          <cell r="C234">
            <v>10</v>
          </cell>
          <cell r="D234" t="str">
            <v>OCS</v>
          </cell>
          <cell r="E234" t="str">
            <v>HPH18034446</v>
          </cell>
          <cell r="F234" t="str">
            <v>OSK</v>
          </cell>
          <cell r="G234" t="str">
            <v>SITC</v>
          </cell>
        </row>
        <row r="235">
          <cell r="B235" t="str">
            <v>V180520</v>
          </cell>
          <cell r="C235">
            <v>8</v>
          </cell>
          <cell r="D235" t="str">
            <v>KWE</v>
          </cell>
          <cell r="E235" t="str">
            <v>HPH18034447</v>
          </cell>
          <cell r="F235" t="str">
            <v>HKT</v>
          </cell>
          <cell r="G235" t="str">
            <v>SITC</v>
          </cell>
        </row>
        <row r="236">
          <cell r="B236" t="str">
            <v>V180521</v>
          </cell>
          <cell r="C236">
            <v>6</v>
          </cell>
          <cell r="D236" t="str">
            <v>NIP</v>
          </cell>
          <cell r="E236" t="str">
            <v xml:space="preserve">1008X01269 </v>
          </cell>
          <cell r="F236" t="str">
            <v>OSK</v>
          </cell>
          <cell r="G236" t="str">
            <v>WHL</v>
          </cell>
        </row>
        <row r="237">
          <cell r="B237" t="str">
            <v>V180522</v>
          </cell>
          <cell r="C237">
            <v>3</v>
          </cell>
          <cell r="D237" t="str">
            <v>SHI</v>
          </cell>
          <cell r="E237" t="str">
            <v>HPH18044900</v>
          </cell>
          <cell r="F237" t="str">
            <v>TYO</v>
          </cell>
          <cell r="G237" t="str">
            <v>SITC</v>
          </cell>
        </row>
        <row r="238">
          <cell r="B238" t="str">
            <v>V180523</v>
          </cell>
          <cell r="C238">
            <v>6</v>
          </cell>
          <cell r="D238" t="str">
            <v>NKV</v>
          </cell>
          <cell r="E238" t="str">
            <v>HPH18034445</v>
          </cell>
          <cell r="F238" t="str">
            <v>KWS</v>
          </cell>
          <cell r="G238" t="str">
            <v>SITC</v>
          </cell>
        </row>
        <row r="239">
          <cell r="B239" t="str">
            <v>V180524</v>
          </cell>
          <cell r="C239">
            <v>7</v>
          </cell>
          <cell r="D239" t="str">
            <v>OCS</v>
          </cell>
          <cell r="E239" t="str">
            <v>HPH18034446</v>
          </cell>
          <cell r="F239" t="str">
            <v>OSK</v>
          </cell>
          <cell r="G239" t="str">
            <v>SITC</v>
          </cell>
        </row>
        <row r="240">
          <cell r="B240" t="str">
            <v>V180554</v>
          </cell>
          <cell r="C240">
            <v>5</v>
          </cell>
          <cell r="D240" t="str">
            <v>YUS</v>
          </cell>
          <cell r="E240" t="str">
            <v>HPH18034443</v>
          </cell>
          <cell r="F240" t="str">
            <v>TYO</v>
          </cell>
          <cell r="G240" t="str">
            <v>SITC</v>
          </cell>
        </row>
        <row r="241">
          <cell r="B241" t="str">
            <v>V180484</v>
          </cell>
          <cell r="C241">
            <v>1</v>
          </cell>
          <cell r="D241" t="str">
            <v>NIP</v>
          </cell>
          <cell r="E241" t="str">
            <v>SNLTSD-270318-01</v>
          </cell>
          <cell r="F241" t="str">
            <v>SHANGHAI</v>
          </cell>
          <cell r="G241" t="str">
            <v>SNL</v>
          </cell>
        </row>
        <row r="242">
          <cell r="B242" t="str">
            <v>V180525</v>
          </cell>
          <cell r="C242">
            <v>3</v>
          </cell>
          <cell r="D242" t="str">
            <v>NKV</v>
          </cell>
          <cell r="E242" t="str">
            <v>1008X01297</v>
          </cell>
          <cell r="F242" t="str">
            <v>TYO</v>
          </cell>
          <cell r="G242" t="str">
            <v>WHL</v>
          </cell>
        </row>
        <row r="243">
          <cell r="B243" t="str">
            <v>V180526</v>
          </cell>
          <cell r="C243">
            <v>6</v>
          </cell>
          <cell r="D243" t="str">
            <v>SHI</v>
          </cell>
          <cell r="E243">
            <v>2602614150</v>
          </cell>
          <cell r="F243" t="str">
            <v>TYO</v>
          </cell>
          <cell r="G243" t="str">
            <v>OOCL</v>
          </cell>
        </row>
        <row r="244">
          <cell r="B244" t="str">
            <v>V180527</v>
          </cell>
          <cell r="C244">
            <v>6</v>
          </cell>
          <cell r="D244" t="str">
            <v>NKV</v>
          </cell>
          <cell r="E244" t="str">
            <v>HPH18044896</v>
          </cell>
          <cell r="F244" t="str">
            <v>KWS</v>
          </cell>
          <cell r="G244" t="str">
            <v>SITC</v>
          </cell>
        </row>
        <row r="245">
          <cell r="B245" t="str">
            <v>V180528</v>
          </cell>
          <cell r="C245">
            <v>11</v>
          </cell>
          <cell r="D245" t="str">
            <v>OCS</v>
          </cell>
          <cell r="E245">
            <v>237800105411</v>
          </cell>
          <cell r="F245" t="str">
            <v>OSK</v>
          </cell>
          <cell r="G245" t="str">
            <v>EGLV</v>
          </cell>
        </row>
        <row r="246">
          <cell r="B246" t="str">
            <v>V180529</v>
          </cell>
          <cell r="C246">
            <v>5</v>
          </cell>
          <cell r="D246" t="str">
            <v>CEVA</v>
          </cell>
          <cell r="E246" t="str">
            <v>1008X01306</v>
          </cell>
          <cell r="F246" t="str">
            <v>HKT</v>
          </cell>
          <cell r="G246" t="str">
            <v>WHL</v>
          </cell>
        </row>
        <row r="247">
          <cell r="B247" t="str">
            <v>V180530</v>
          </cell>
          <cell r="C247">
            <v>2</v>
          </cell>
          <cell r="D247" t="str">
            <v>SHI</v>
          </cell>
          <cell r="E247" t="str">
            <v>VN00361605</v>
          </cell>
          <cell r="F247" t="str">
            <v>ISH</v>
          </cell>
          <cell r="G247" t="str">
            <v>KMTC</v>
          </cell>
        </row>
        <row r="248">
          <cell r="B248" t="str">
            <v>V180531</v>
          </cell>
          <cell r="C248">
            <v>5</v>
          </cell>
          <cell r="D248" t="str">
            <v>SHI</v>
          </cell>
          <cell r="E248" t="str">
            <v>1008X01301</v>
          </cell>
          <cell r="F248" t="str">
            <v>TYO</v>
          </cell>
          <cell r="G248" t="str">
            <v>WHL</v>
          </cell>
        </row>
        <row r="249">
          <cell r="B249" t="str">
            <v>V180532</v>
          </cell>
          <cell r="C249">
            <v>2</v>
          </cell>
          <cell r="D249" t="str">
            <v>OCS</v>
          </cell>
          <cell r="E249">
            <v>237800105402</v>
          </cell>
          <cell r="F249" t="str">
            <v>TYO</v>
          </cell>
          <cell r="G249" t="str">
            <v>EGLV</v>
          </cell>
        </row>
        <row r="250">
          <cell r="B250" t="str">
            <v>V180533</v>
          </cell>
          <cell r="C250">
            <v>14</v>
          </cell>
          <cell r="D250" t="str">
            <v>NKV</v>
          </cell>
          <cell r="E250" t="str">
            <v>HPH18044896</v>
          </cell>
          <cell r="F250" t="str">
            <v>KWS</v>
          </cell>
          <cell r="G250" t="str">
            <v>SITC</v>
          </cell>
        </row>
        <row r="251">
          <cell r="B251" t="str">
            <v>V180534</v>
          </cell>
          <cell r="C251">
            <v>14</v>
          </cell>
          <cell r="D251" t="str">
            <v>KWE</v>
          </cell>
          <cell r="E251" t="str">
            <v>1008X01309</v>
          </cell>
          <cell r="F251" t="str">
            <v>OSK</v>
          </cell>
          <cell r="G251" t="str">
            <v>WHL</v>
          </cell>
        </row>
        <row r="252">
          <cell r="B252" t="str">
            <v>V180535</v>
          </cell>
          <cell r="C252">
            <v>4</v>
          </cell>
          <cell r="D252" t="str">
            <v>SHI</v>
          </cell>
          <cell r="E252">
            <v>2602614310</v>
          </cell>
          <cell r="F252" t="str">
            <v>TYO</v>
          </cell>
          <cell r="G252" t="str">
            <v>OOCL</v>
          </cell>
        </row>
        <row r="253">
          <cell r="B253" t="str">
            <v>V180536</v>
          </cell>
          <cell r="C253">
            <v>9</v>
          </cell>
          <cell r="D253" t="str">
            <v>NIP</v>
          </cell>
          <cell r="E253" t="str">
            <v>HPH18044895</v>
          </cell>
          <cell r="F253" t="str">
            <v>KWS</v>
          </cell>
          <cell r="G253" t="str">
            <v>SITC</v>
          </cell>
        </row>
        <row r="254">
          <cell r="B254" t="str">
            <v>V180537</v>
          </cell>
          <cell r="C254">
            <v>6</v>
          </cell>
          <cell r="D254" t="str">
            <v>YUS</v>
          </cell>
          <cell r="E254" t="str">
            <v>HPH18044898</v>
          </cell>
          <cell r="F254" t="str">
            <v>OSK</v>
          </cell>
          <cell r="G254" t="str">
            <v>SITC</v>
          </cell>
        </row>
        <row r="255">
          <cell r="B255" t="str">
            <v>V180538</v>
          </cell>
          <cell r="C255">
            <v>4</v>
          </cell>
          <cell r="D255" t="str">
            <v>KWE</v>
          </cell>
          <cell r="E255" t="str">
            <v>1008X01305</v>
          </cell>
          <cell r="F255" t="str">
            <v>HKT</v>
          </cell>
          <cell r="G255" t="str">
            <v>WHL</v>
          </cell>
        </row>
        <row r="256">
          <cell r="B256" t="str">
            <v>V180539</v>
          </cell>
          <cell r="C256">
            <v>6</v>
          </cell>
          <cell r="D256" t="str">
            <v>OCS</v>
          </cell>
          <cell r="E256">
            <v>237800105381</v>
          </cell>
          <cell r="F256" t="str">
            <v>TYO</v>
          </cell>
          <cell r="G256" t="str">
            <v>EGLV</v>
          </cell>
        </row>
        <row r="257">
          <cell r="B257" t="str">
            <v>V180540</v>
          </cell>
          <cell r="C257">
            <v>6</v>
          </cell>
          <cell r="D257" t="str">
            <v>OCS</v>
          </cell>
          <cell r="E257">
            <v>237800105399</v>
          </cell>
          <cell r="F257" t="str">
            <v>TYO</v>
          </cell>
          <cell r="G257" t="str">
            <v>EGLV</v>
          </cell>
        </row>
        <row r="258">
          <cell r="B258" t="str">
            <v>V180541</v>
          </cell>
          <cell r="C258">
            <v>10</v>
          </cell>
          <cell r="D258" t="str">
            <v>NKV</v>
          </cell>
          <cell r="E258" t="str">
            <v>HPH18044896</v>
          </cell>
          <cell r="F258" t="str">
            <v>KWS</v>
          </cell>
          <cell r="G258" t="str">
            <v>SITC</v>
          </cell>
        </row>
        <row r="259">
          <cell r="B259" t="str">
            <v>V180542</v>
          </cell>
          <cell r="C259">
            <v>1</v>
          </cell>
          <cell r="D259" t="str">
            <v>NIP</v>
          </cell>
          <cell r="E259" t="str">
            <v>1008X01299</v>
          </cell>
          <cell r="F259" t="str">
            <v>NGO</v>
          </cell>
          <cell r="G259" t="str">
            <v>WHL</v>
          </cell>
        </row>
        <row r="260">
          <cell r="B260" t="str">
            <v>V180543</v>
          </cell>
          <cell r="C260">
            <v>11</v>
          </cell>
          <cell r="D260" t="str">
            <v>YUS</v>
          </cell>
          <cell r="E260" t="str">
            <v>1008X01308</v>
          </cell>
          <cell r="F260" t="str">
            <v>OSK</v>
          </cell>
          <cell r="G260" t="str">
            <v>WHL</v>
          </cell>
        </row>
        <row r="261">
          <cell r="B261" t="str">
            <v>V180544</v>
          </cell>
          <cell r="C261">
            <v>4</v>
          </cell>
          <cell r="D261" t="str">
            <v>SHI</v>
          </cell>
          <cell r="E261" t="str">
            <v>HPH18044894</v>
          </cell>
          <cell r="F261" t="str">
            <v>TYO</v>
          </cell>
          <cell r="G261" t="str">
            <v>SITC</v>
          </cell>
        </row>
        <row r="262">
          <cell r="B262" t="str">
            <v>V180545</v>
          </cell>
          <cell r="C262">
            <v>9</v>
          </cell>
          <cell r="D262" t="str">
            <v>NKV</v>
          </cell>
          <cell r="E262" t="str">
            <v>HPH18044897</v>
          </cell>
          <cell r="F262" t="str">
            <v>KWS</v>
          </cell>
          <cell r="G262" t="str">
            <v>SITC</v>
          </cell>
        </row>
        <row r="263">
          <cell r="B263" t="str">
            <v>V180546</v>
          </cell>
          <cell r="C263">
            <v>14</v>
          </cell>
          <cell r="D263" t="str">
            <v>YUS</v>
          </cell>
          <cell r="E263" t="str">
            <v>1008X01310</v>
          </cell>
          <cell r="F263" t="str">
            <v>OSK</v>
          </cell>
          <cell r="G263" t="str">
            <v>WHL</v>
          </cell>
        </row>
        <row r="264">
          <cell r="B264" t="str">
            <v>V180547</v>
          </cell>
          <cell r="C264">
            <v>6</v>
          </cell>
          <cell r="D264" t="str">
            <v>NIP</v>
          </cell>
          <cell r="E264" t="str">
            <v>1008X01304</v>
          </cell>
          <cell r="F264" t="str">
            <v>HKT</v>
          </cell>
          <cell r="G264" t="str">
            <v>WHL</v>
          </cell>
        </row>
        <row r="265">
          <cell r="B265" t="str">
            <v>V180548</v>
          </cell>
          <cell r="C265">
            <v>3</v>
          </cell>
          <cell r="D265" t="str">
            <v>SHI</v>
          </cell>
          <cell r="E265" t="str">
            <v>VN00361605</v>
          </cell>
          <cell r="F265" t="str">
            <v>ISH</v>
          </cell>
          <cell r="G265" t="str">
            <v>KMTC</v>
          </cell>
        </row>
        <row r="266">
          <cell r="B266" t="str">
            <v>V180549</v>
          </cell>
          <cell r="C266">
            <v>7</v>
          </cell>
          <cell r="D266" t="str">
            <v>KWE</v>
          </cell>
          <cell r="E266" t="str">
            <v>HPH18044893</v>
          </cell>
          <cell r="F266" t="str">
            <v>TYO</v>
          </cell>
          <cell r="G266" t="str">
            <v>SITC</v>
          </cell>
        </row>
        <row r="267">
          <cell r="B267" t="str">
            <v>V180550</v>
          </cell>
          <cell r="C267">
            <v>4</v>
          </cell>
          <cell r="D267" t="str">
            <v>KWE</v>
          </cell>
          <cell r="E267" t="str">
            <v>350BK8003268</v>
          </cell>
          <cell r="F267" t="str">
            <v>TAOYUAN</v>
          </cell>
          <cell r="G267" t="str">
            <v>TSL</v>
          </cell>
        </row>
        <row r="268">
          <cell r="B268" t="str">
            <v>V180551</v>
          </cell>
          <cell r="C268">
            <v>5</v>
          </cell>
          <cell r="D268" t="str">
            <v>NKV</v>
          </cell>
          <cell r="E268" t="str">
            <v>HPH18044897</v>
          </cell>
          <cell r="F268" t="str">
            <v>KWS</v>
          </cell>
          <cell r="G268" t="str">
            <v>SITC</v>
          </cell>
        </row>
        <row r="269">
          <cell r="B269" t="str">
            <v>V180552</v>
          </cell>
          <cell r="C269">
            <v>7</v>
          </cell>
          <cell r="D269" t="str">
            <v>YUS</v>
          </cell>
          <cell r="E269" t="str">
            <v>350BK8003267</v>
          </cell>
          <cell r="F269" t="str">
            <v>OSK</v>
          </cell>
          <cell r="G269" t="str">
            <v>TSL</v>
          </cell>
        </row>
        <row r="270">
          <cell r="B270" t="str">
            <v>V180553</v>
          </cell>
          <cell r="C270">
            <v>4</v>
          </cell>
          <cell r="D270" t="str">
            <v>NIP</v>
          </cell>
          <cell r="E270" t="str">
            <v>SNLTSD-100418-03</v>
          </cell>
          <cell r="F270" t="str">
            <v>SHANGHAI</v>
          </cell>
          <cell r="G270" t="str">
            <v>SNL</v>
          </cell>
        </row>
        <row r="271">
          <cell r="B271" t="str">
            <v>V180555</v>
          </cell>
          <cell r="C271">
            <v>1</v>
          </cell>
          <cell r="D271" t="str">
            <v>YUS</v>
          </cell>
          <cell r="E271">
            <v>74554086</v>
          </cell>
          <cell r="F271" t="str">
            <v>NAHA</v>
          </cell>
          <cell r="G271" t="str">
            <v>APL</v>
          </cell>
        </row>
        <row r="272">
          <cell r="B272" t="str">
            <v>V180556</v>
          </cell>
          <cell r="C272">
            <v>6</v>
          </cell>
          <cell r="D272" t="str">
            <v>SHI</v>
          </cell>
          <cell r="E272" t="str">
            <v>1008X01376</v>
          </cell>
          <cell r="F272" t="str">
            <v>OSK</v>
          </cell>
          <cell r="G272" t="str">
            <v>WHL</v>
          </cell>
        </row>
        <row r="273">
          <cell r="B273" t="str">
            <v>V180557</v>
          </cell>
          <cell r="C273">
            <v>8</v>
          </cell>
          <cell r="D273" t="str">
            <v>KWE</v>
          </cell>
          <cell r="E273" t="str">
            <v>HPH18044893</v>
          </cell>
          <cell r="F273" t="str">
            <v>TYO</v>
          </cell>
          <cell r="G273" t="str">
            <v>SITC</v>
          </cell>
        </row>
        <row r="274">
          <cell r="B274" t="str">
            <v>V180558</v>
          </cell>
          <cell r="C274">
            <v>1</v>
          </cell>
          <cell r="D274" t="str">
            <v>SHI</v>
          </cell>
          <cell r="E274" t="str">
            <v>HPH18044894</v>
          </cell>
          <cell r="F274" t="str">
            <v>TYO</v>
          </cell>
          <cell r="G274" t="str">
            <v>SITC</v>
          </cell>
        </row>
        <row r="275">
          <cell r="B275" t="str">
            <v>V180559</v>
          </cell>
          <cell r="C275">
            <v>2</v>
          </cell>
          <cell r="D275" t="str">
            <v>NKV</v>
          </cell>
          <cell r="E275" t="str">
            <v>HPH18044897</v>
          </cell>
          <cell r="F275" t="str">
            <v>KWS</v>
          </cell>
          <cell r="G275" t="str">
            <v>SITC</v>
          </cell>
        </row>
        <row r="276">
          <cell r="B276" t="str">
            <v>V180560</v>
          </cell>
          <cell r="C276">
            <v>8</v>
          </cell>
          <cell r="D276" t="str">
            <v>YUS</v>
          </cell>
          <cell r="E276" t="str">
            <v>HPH18044899</v>
          </cell>
          <cell r="F276" t="str">
            <v>OSK</v>
          </cell>
          <cell r="G276" t="str">
            <v>SITC</v>
          </cell>
        </row>
        <row r="277">
          <cell r="B277" t="str">
            <v>V180561</v>
          </cell>
          <cell r="C277">
            <v>1</v>
          </cell>
          <cell r="D277" t="str">
            <v>NIP</v>
          </cell>
          <cell r="E277" t="str">
            <v>HPH18045193</v>
          </cell>
          <cell r="F277" t="str">
            <v>HKT</v>
          </cell>
          <cell r="G277" t="str">
            <v>SITC</v>
          </cell>
        </row>
        <row r="278">
          <cell r="B278" t="str">
            <v>V180562</v>
          </cell>
          <cell r="C278">
            <v>10</v>
          </cell>
          <cell r="D278" t="str">
            <v>NKV</v>
          </cell>
          <cell r="E278" t="str">
            <v>HPH18045187</v>
          </cell>
          <cell r="F278" t="str">
            <v>KWS</v>
          </cell>
          <cell r="G278" t="str">
            <v>SITC</v>
          </cell>
        </row>
        <row r="279">
          <cell r="B279" t="str">
            <v>V180563</v>
          </cell>
          <cell r="C279">
            <v>8</v>
          </cell>
          <cell r="D279" t="str">
            <v>SHI</v>
          </cell>
          <cell r="E279" t="str">
            <v>1008X01413</v>
          </cell>
          <cell r="F279" t="str">
            <v>OSK</v>
          </cell>
          <cell r="G279" t="str">
            <v>WHL</v>
          </cell>
        </row>
        <row r="280">
          <cell r="B280" t="str">
            <v>V180564</v>
          </cell>
          <cell r="C280">
            <v>10</v>
          </cell>
          <cell r="D280" t="str">
            <v>OCS</v>
          </cell>
          <cell r="E280" t="str">
            <v>1008X01414</v>
          </cell>
          <cell r="F280" t="str">
            <v>OSK</v>
          </cell>
          <cell r="G280" t="str">
            <v>WHL</v>
          </cell>
        </row>
        <row r="281">
          <cell r="B281" t="str">
            <v>V180565</v>
          </cell>
          <cell r="C281">
            <v>6</v>
          </cell>
          <cell r="D281" t="str">
            <v>CEVA</v>
          </cell>
          <cell r="E281" t="str">
            <v>350BK8003291</v>
          </cell>
          <cell r="F281" t="str">
            <v>TYO</v>
          </cell>
          <cell r="G281" t="str">
            <v>TSL</v>
          </cell>
        </row>
        <row r="282">
          <cell r="B282" t="str">
            <v>V180566</v>
          </cell>
          <cell r="C282">
            <v>6</v>
          </cell>
          <cell r="D282" t="str">
            <v>KWE</v>
          </cell>
          <cell r="E282">
            <v>2602902600</v>
          </cell>
          <cell r="F282" t="str">
            <v>TYO</v>
          </cell>
          <cell r="G282" t="str">
            <v>OOCL</v>
          </cell>
        </row>
        <row r="283">
          <cell r="B283" t="str">
            <v>V180567</v>
          </cell>
          <cell r="C283">
            <v>10</v>
          </cell>
          <cell r="D283" t="str">
            <v>NKV</v>
          </cell>
          <cell r="E283" t="str">
            <v>HPH18045190</v>
          </cell>
          <cell r="F283" t="str">
            <v>KWS</v>
          </cell>
          <cell r="G283" t="str">
            <v>SITC</v>
          </cell>
        </row>
        <row r="284">
          <cell r="B284" t="str">
            <v>V180568</v>
          </cell>
          <cell r="C284">
            <v>8</v>
          </cell>
          <cell r="D284" t="str">
            <v>OCS</v>
          </cell>
          <cell r="E284">
            <v>237800110252</v>
          </cell>
          <cell r="F284" t="str">
            <v>OSK</v>
          </cell>
          <cell r="G284" t="str">
            <v>EGLV</v>
          </cell>
        </row>
        <row r="285">
          <cell r="B285" t="str">
            <v>V180569</v>
          </cell>
          <cell r="C285">
            <v>2</v>
          </cell>
          <cell r="D285" t="str">
            <v>HKT</v>
          </cell>
          <cell r="E285" t="str">
            <v>1008X01426</v>
          </cell>
          <cell r="F285" t="str">
            <v>HKT</v>
          </cell>
          <cell r="G285" t="str">
            <v>WHL</v>
          </cell>
        </row>
        <row r="286">
          <cell r="B286" t="str">
            <v>V180570</v>
          </cell>
          <cell r="C286">
            <v>3</v>
          </cell>
          <cell r="D286" t="str">
            <v>SHI</v>
          </cell>
          <cell r="E286" t="str">
            <v>VN00363346</v>
          </cell>
          <cell r="F286" t="str">
            <v>ISH</v>
          </cell>
          <cell r="G286" t="str">
            <v>KMTC</v>
          </cell>
        </row>
        <row r="287">
          <cell r="B287" t="str">
            <v>V180571</v>
          </cell>
          <cell r="C287">
            <v>4</v>
          </cell>
          <cell r="D287" t="str">
            <v>KWE</v>
          </cell>
          <cell r="E287">
            <v>237800110236</v>
          </cell>
          <cell r="F287" t="str">
            <v>TYO</v>
          </cell>
          <cell r="G287" t="str">
            <v>EGLV</v>
          </cell>
        </row>
        <row r="288">
          <cell r="B288" t="str">
            <v>V180572</v>
          </cell>
          <cell r="C288">
            <v>1</v>
          </cell>
          <cell r="D288" t="str">
            <v>SHI</v>
          </cell>
          <cell r="E288" t="str">
            <v>1008X01422</v>
          </cell>
          <cell r="F288" t="str">
            <v>TYO</v>
          </cell>
          <cell r="G288" t="str">
            <v>WHL</v>
          </cell>
        </row>
        <row r="289">
          <cell r="B289" t="str">
            <v>V180573</v>
          </cell>
          <cell r="C289">
            <v>10</v>
          </cell>
          <cell r="D289" t="str">
            <v>NKV</v>
          </cell>
          <cell r="E289" t="str">
            <v>HPH18045190</v>
          </cell>
          <cell r="F289" t="str">
            <v>KWS</v>
          </cell>
          <cell r="G289" t="str">
            <v>SITC</v>
          </cell>
        </row>
        <row r="290">
          <cell r="B290" t="str">
            <v>V180574</v>
          </cell>
          <cell r="C290">
            <v>8</v>
          </cell>
          <cell r="D290" t="str">
            <v>OCS</v>
          </cell>
          <cell r="E290">
            <v>237800110252</v>
          </cell>
          <cell r="F290" t="str">
            <v>OSK</v>
          </cell>
          <cell r="G290" t="str">
            <v>EGLV</v>
          </cell>
        </row>
        <row r="291">
          <cell r="B291" t="str">
            <v>V180575</v>
          </cell>
          <cell r="C291">
            <v>5</v>
          </cell>
          <cell r="D291" t="str">
            <v>SHI</v>
          </cell>
          <cell r="E291">
            <v>2602902580</v>
          </cell>
          <cell r="F291" t="str">
            <v>TYO</v>
          </cell>
          <cell r="G291" t="str">
            <v>OOCL</v>
          </cell>
        </row>
        <row r="292">
          <cell r="B292" t="str">
            <v>V180576</v>
          </cell>
          <cell r="C292">
            <v>3</v>
          </cell>
          <cell r="D292" t="str">
            <v>SHI</v>
          </cell>
          <cell r="E292" t="str">
            <v xml:space="preserve">1008X01420 </v>
          </cell>
          <cell r="F292" t="str">
            <v>TYO</v>
          </cell>
          <cell r="G292" t="str">
            <v>WHL</v>
          </cell>
        </row>
        <row r="293">
          <cell r="B293" t="str">
            <v>V180577</v>
          </cell>
          <cell r="C293">
            <v>4</v>
          </cell>
          <cell r="D293" t="str">
            <v>NKV</v>
          </cell>
          <cell r="E293" t="str">
            <v>HPH18045190</v>
          </cell>
          <cell r="F293" t="str">
            <v>KWS</v>
          </cell>
          <cell r="G293" t="str">
            <v>SITC</v>
          </cell>
        </row>
        <row r="294">
          <cell r="B294" t="str">
            <v>V180578</v>
          </cell>
          <cell r="C294">
            <v>1</v>
          </cell>
          <cell r="D294" t="str">
            <v>SHI</v>
          </cell>
          <cell r="E294" t="str">
            <v>1008X01423</v>
          </cell>
          <cell r="F294" t="str">
            <v>NGO</v>
          </cell>
          <cell r="G294" t="str">
            <v>WHL</v>
          </cell>
        </row>
        <row r="295">
          <cell r="B295" t="str">
            <v>V180579</v>
          </cell>
          <cell r="C295">
            <v>11</v>
          </cell>
          <cell r="D295" t="str">
            <v>OCS</v>
          </cell>
          <cell r="E295" t="str">
            <v>HPH18045192</v>
          </cell>
          <cell r="F295" t="str">
            <v>OSK</v>
          </cell>
          <cell r="G295" t="str">
            <v>SITC</v>
          </cell>
        </row>
        <row r="296">
          <cell r="B296" t="str">
            <v>V180580</v>
          </cell>
          <cell r="C296">
            <v>4</v>
          </cell>
          <cell r="D296" t="str">
            <v>HKT</v>
          </cell>
          <cell r="E296" t="str">
            <v>1008X01426</v>
          </cell>
          <cell r="F296" t="str">
            <v>HKT</v>
          </cell>
          <cell r="G296" t="str">
            <v>WHL</v>
          </cell>
        </row>
        <row r="297">
          <cell r="B297" t="str">
            <v>V180581</v>
          </cell>
          <cell r="C297">
            <v>4</v>
          </cell>
          <cell r="D297" t="str">
            <v>OCS</v>
          </cell>
          <cell r="E297" t="str">
            <v>350BK8003292</v>
          </cell>
          <cell r="F297" t="str">
            <v>TYO</v>
          </cell>
          <cell r="G297" t="str">
            <v>TSL</v>
          </cell>
        </row>
        <row r="298">
          <cell r="B298" t="str">
            <v>V180582</v>
          </cell>
          <cell r="C298">
            <v>10</v>
          </cell>
          <cell r="D298" t="str">
            <v>NKV</v>
          </cell>
          <cell r="E298" t="str">
            <v>HPH18045190</v>
          </cell>
          <cell r="F298" t="str">
            <v>KWS</v>
          </cell>
          <cell r="G298" t="str">
            <v>SITC</v>
          </cell>
        </row>
        <row r="299">
          <cell r="B299" t="str">
            <v>V180583</v>
          </cell>
          <cell r="C299">
            <v>14</v>
          </cell>
          <cell r="D299" t="str">
            <v>YUS</v>
          </cell>
          <cell r="E299" t="str">
            <v xml:space="preserve">1008X01424 </v>
          </cell>
          <cell r="F299" t="str">
            <v>OSK</v>
          </cell>
          <cell r="G299" t="str">
            <v>WHL</v>
          </cell>
        </row>
        <row r="300">
          <cell r="B300" t="str">
            <v>V180584</v>
          </cell>
          <cell r="C300">
            <v>4</v>
          </cell>
          <cell r="D300" t="str">
            <v>SHI</v>
          </cell>
          <cell r="E300" t="str">
            <v>VN00363346</v>
          </cell>
          <cell r="F300" t="str">
            <v>ISH</v>
          </cell>
          <cell r="G300" t="str">
            <v>KMTC</v>
          </cell>
        </row>
        <row r="301">
          <cell r="B301" t="str">
            <v>V180585</v>
          </cell>
          <cell r="C301">
            <v>10</v>
          </cell>
          <cell r="D301" t="str">
            <v>OCS</v>
          </cell>
          <cell r="E301" t="str">
            <v xml:space="preserve">1008X01418 </v>
          </cell>
          <cell r="F301" t="str">
            <v>TYO</v>
          </cell>
          <cell r="G301" t="str">
            <v>WHL</v>
          </cell>
        </row>
        <row r="302">
          <cell r="B302" t="str">
            <v>V180586</v>
          </cell>
          <cell r="C302">
            <v>2</v>
          </cell>
          <cell r="D302" t="str">
            <v>SHI</v>
          </cell>
          <cell r="E302" t="str">
            <v xml:space="preserve">1008X01420 </v>
          </cell>
          <cell r="F302" t="str">
            <v>TYO</v>
          </cell>
          <cell r="G302" t="str">
            <v>WHL</v>
          </cell>
        </row>
        <row r="303">
          <cell r="B303" t="str">
            <v>V180587</v>
          </cell>
          <cell r="C303">
            <v>5</v>
          </cell>
          <cell r="D303" t="str">
            <v>NKV</v>
          </cell>
          <cell r="E303" t="str">
            <v>HPH18045191</v>
          </cell>
          <cell r="F303" t="str">
            <v>KWS</v>
          </cell>
          <cell r="G303" t="str">
            <v>SITC</v>
          </cell>
        </row>
        <row r="304">
          <cell r="B304" t="str">
            <v>V180588</v>
          </cell>
          <cell r="C304">
            <v>6</v>
          </cell>
          <cell r="D304" t="str">
            <v>YUS</v>
          </cell>
          <cell r="E304" t="str">
            <v xml:space="preserve">1008X01425 </v>
          </cell>
          <cell r="F304" t="str">
            <v>OSK</v>
          </cell>
          <cell r="G304" t="str">
            <v>WHL</v>
          </cell>
        </row>
        <row r="305">
          <cell r="B305" t="str">
            <v>V180589</v>
          </cell>
          <cell r="C305">
            <v>4</v>
          </cell>
          <cell r="D305" t="str">
            <v>SHI</v>
          </cell>
          <cell r="E305" t="str">
            <v>HPH18045188</v>
          </cell>
          <cell r="F305" t="str">
            <v>TYO</v>
          </cell>
          <cell r="G305" t="str">
            <v>SITC</v>
          </cell>
        </row>
        <row r="306">
          <cell r="B306" t="str">
            <v>V180590</v>
          </cell>
          <cell r="C306">
            <v>4</v>
          </cell>
          <cell r="D306" t="str">
            <v>SHI</v>
          </cell>
          <cell r="E306" t="str">
            <v>HPH18045189</v>
          </cell>
          <cell r="F306" t="str">
            <v>TYO</v>
          </cell>
          <cell r="G306" t="str">
            <v>SITC</v>
          </cell>
        </row>
        <row r="307">
          <cell r="B307" t="str">
            <v>V180591</v>
          </cell>
          <cell r="C307">
            <v>7</v>
          </cell>
          <cell r="D307" t="str">
            <v>NKV</v>
          </cell>
          <cell r="E307" t="str">
            <v>HPH18045191</v>
          </cell>
          <cell r="F307" t="str">
            <v>KWS</v>
          </cell>
          <cell r="G307" t="str">
            <v>SITC</v>
          </cell>
        </row>
        <row r="308">
          <cell r="B308" t="str">
            <v>V180592</v>
          </cell>
          <cell r="C308">
            <v>2</v>
          </cell>
          <cell r="D308" t="str">
            <v>YUS</v>
          </cell>
          <cell r="E308" t="str">
            <v>1008X01427</v>
          </cell>
          <cell r="F308" t="str">
            <v>OSK</v>
          </cell>
          <cell r="G308" t="str">
            <v>WHL</v>
          </cell>
        </row>
        <row r="309">
          <cell r="B309" t="str">
            <v>V180593</v>
          </cell>
          <cell r="C309">
            <v>7</v>
          </cell>
          <cell r="D309" t="str">
            <v>HKT</v>
          </cell>
          <cell r="E309" t="str">
            <v>1008X01426</v>
          </cell>
          <cell r="F309" t="str">
            <v>HKT</v>
          </cell>
          <cell r="G309" t="str">
            <v>WHL</v>
          </cell>
        </row>
        <row r="310">
          <cell r="B310" t="str">
            <v>V180594</v>
          </cell>
          <cell r="C310">
            <v>3</v>
          </cell>
          <cell r="D310" t="str">
            <v>SHI</v>
          </cell>
          <cell r="E310" t="str">
            <v>HPH18045188</v>
          </cell>
          <cell r="F310" t="str">
            <v>TYO</v>
          </cell>
          <cell r="G310" t="str">
            <v>SITC</v>
          </cell>
        </row>
        <row r="311">
          <cell r="B311" t="str">
            <v>V180595</v>
          </cell>
          <cell r="C311">
            <v>3</v>
          </cell>
          <cell r="D311" t="str">
            <v>NIP</v>
          </cell>
          <cell r="E311" t="str">
            <v>HPH18045589</v>
          </cell>
          <cell r="F311" t="str">
            <v>HKT</v>
          </cell>
          <cell r="G311" t="str">
            <v>SITC</v>
          </cell>
        </row>
        <row r="312">
          <cell r="B312" t="str">
            <v>V180596</v>
          </cell>
          <cell r="C312">
            <v>5</v>
          </cell>
          <cell r="D312" t="str">
            <v>NKV</v>
          </cell>
          <cell r="E312" t="str">
            <v>HPH18045191</v>
          </cell>
          <cell r="F312" t="str">
            <v>KWS</v>
          </cell>
          <cell r="G312" t="str">
            <v>SITC</v>
          </cell>
        </row>
        <row r="313">
          <cell r="B313" t="str">
            <v>V180597</v>
          </cell>
          <cell r="C313">
            <v>12</v>
          </cell>
          <cell r="D313" t="str">
            <v>YUS</v>
          </cell>
          <cell r="E313" t="str">
            <v>HPH18045591</v>
          </cell>
          <cell r="F313" t="str">
            <v>OSK</v>
          </cell>
          <cell r="G313" t="str">
            <v>SITC</v>
          </cell>
        </row>
        <row r="314">
          <cell r="B314" t="str">
            <v>V180603</v>
          </cell>
          <cell r="C314">
            <v>1</v>
          </cell>
          <cell r="D314" t="str">
            <v>NKV</v>
          </cell>
          <cell r="E314" t="str">
            <v>HPH18045191</v>
          </cell>
          <cell r="F314" t="str">
            <v>KWS</v>
          </cell>
          <cell r="G314" t="str">
            <v>SITC</v>
          </cell>
        </row>
        <row r="315">
          <cell r="B315" t="str">
            <v>V180604</v>
          </cell>
          <cell r="C315">
            <v>2</v>
          </cell>
          <cell r="D315" t="str">
            <v>NIP</v>
          </cell>
          <cell r="E315" t="str">
            <v>350BK8003593</v>
          </cell>
          <cell r="F315" t="str">
            <v>TAOYUAN</v>
          </cell>
          <cell r="G315" t="str">
            <v>TSL</v>
          </cell>
        </row>
        <row r="316">
          <cell r="B316" t="str">
            <v>V180632</v>
          </cell>
          <cell r="C316">
            <v>1</v>
          </cell>
          <cell r="D316" t="str">
            <v>NKV</v>
          </cell>
          <cell r="E316" t="str">
            <v>350BK8003706</v>
          </cell>
          <cell r="F316" t="str">
            <v>TYO</v>
          </cell>
          <cell r="G316" t="str">
            <v>TSL</v>
          </cell>
        </row>
        <row r="317">
          <cell r="B317" t="str">
            <v>V180598</v>
          </cell>
          <cell r="C317">
            <v>6</v>
          </cell>
          <cell r="D317" t="str">
            <v>NKV</v>
          </cell>
          <cell r="E317" t="str">
            <v>HPH18045330</v>
          </cell>
          <cell r="F317" t="str">
            <v>KWS</v>
          </cell>
          <cell r="G317" t="str">
            <v>SITC</v>
          </cell>
        </row>
        <row r="318">
          <cell r="B318" t="str">
            <v>V180599</v>
          </cell>
          <cell r="C318">
            <v>6</v>
          </cell>
          <cell r="D318" t="str">
            <v>OCS</v>
          </cell>
          <cell r="E318" t="str">
            <v xml:space="preserve">1008X01510 </v>
          </cell>
          <cell r="F318" t="str">
            <v>OSK</v>
          </cell>
          <cell r="G318" t="str">
            <v>WHL</v>
          </cell>
        </row>
        <row r="319">
          <cell r="B319" t="str">
            <v>V180600</v>
          </cell>
          <cell r="C319">
            <v>9</v>
          </cell>
          <cell r="D319" t="str">
            <v>NKV</v>
          </cell>
          <cell r="E319" t="str">
            <v>HPH18045330</v>
          </cell>
          <cell r="F319" t="str">
            <v>KWS</v>
          </cell>
          <cell r="G319" t="str">
            <v>SITC</v>
          </cell>
        </row>
        <row r="320">
          <cell r="B320" t="str">
            <v>V180601</v>
          </cell>
          <cell r="C320">
            <v>10</v>
          </cell>
          <cell r="D320" t="str">
            <v>OCS</v>
          </cell>
          <cell r="E320" t="str">
            <v xml:space="preserve">1008X01544 </v>
          </cell>
          <cell r="F320" t="str">
            <v>OSK</v>
          </cell>
          <cell r="G320" t="str">
            <v>WHL</v>
          </cell>
        </row>
        <row r="321">
          <cell r="B321" t="str">
            <v>V180602</v>
          </cell>
          <cell r="C321">
            <v>9</v>
          </cell>
          <cell r="D321" t="str">
            <v>YUS</v>
          </cell>
          <cell r="E321" t="str">
            <v>1008X01545</v>
          </cell>
          <cell r="F321" t="str">
            <v>OSK</v>
          </cell>
          <cell r="G321" t="str">
            <v>WHL</v>
          </cell>
        </row>
        <row r="322">
          <cell r="B322" t="str">
            <v>V180605</v>
          </cell>
          <cell r="C322">
            <v>2</v>
          </cell>
          <cell r="D322" t="str">
            <v>OCS</v>
          </cell>
          <cell r="E322" t="str">
            <v xml:space="preserve">1008X01558 </v>
          </cell>
          <cell r="F322" t="str">
            <v>TYO</v>
          </cell>
          <cell r="G322" t="str">
            <v>WHL</v>
          </cell>
        </row>
        <row r="323">
          <cell r="B323" t="str">
            <v>V180606</v>
          </cell>
          <cell r="C323">
            <v>3</v>
          </cell>
          <cell r="D323" t="str">
            <v>CEVA</v>
          </cell>
          <cell r="E323" t="str">
            <v>350BK8003582</v>
          </cell>
          <cell r="F323" t="str">
            <v>TYO</v>
          </cell>
          <cell r="G323" t="str">
            <v>TSL</v>
          </cell>
        </row>
        <row r="324">
          <cell r="B324" t="str">
            <v>V180607</v>
          </cell>
          <cell r="C324">
            <v>7</v>
          </cell>
          <cell r="D324" t="str">
            <v>NKV</v>
          </cell>
          <cell r="E324" t="str">
            <v>HPH18045584</v>
          </cell>
          <cell r="F324" t="str">
            <v>KWS</v>
          </cell>
          <cell r="G324" t="str">
            <v>SITC</v>
          </cell>
        </row>
        <row r="325">
          <cell r="B325" t="str">
            <v>V180608</v>
          </cell>
          <cell r="C325">
            <v>7</v>
          </cell>
          <cell r="D325" t="str">
            <v>YUS</v>
          </cell>
          <cell r="E325" t="str">
            <v xml:space="preserve">1008X01562 </v>
          </cell>
          <cell r="F325" t="str">
            <v>OSK</v>
          </cell>
          <cell r="G325" t="str">
            <v>WHL</v>
          </cell>
        </row>
        <row r="326">
          <cell r="B326" t="str">
            <v>V180609</v>
          </cell>
          <cell r="C326">
            <v>5</v>
          </cell>
          <cell r="D326" t="str">
            <v>SHI</v>
          </cell>
          <cell r="E326" t="str">
            <v xml:space="preserve">1008X01564 </v>
          </cell>
          <cell r="F326" t="str">
            <v>HKT</v>
          </cell>
          <cell r="G326" t="str">
            <v>WHL</v>
          </cell>
        </row>
        <row r="327">
          <cell r="B327" t="str">
            <v>V180610</v>
          </cell>
          <cell r="C327">
            <v>1</v>
          </cell>
          <cell r="D327" t="str">
            <v>SHI</v>
          </cell>
          <cell r="E327" t="str">
            <v>VN00365002</v>
          </cell>
          <cell r="F327" t="str">
            <v>ISH</v>
          </cell>
          <cell r="G327" t="str">
            <v>KMTC</v>
          </cell>
        </row>
        <row r="328">
          <cell r="B328" t="str">
            <v>V180611</v>
          </cell>
          <cell r="C328">
            <v>5</v>
          </cell>
          <cell r="D328" t="str">
            <v>KWE</v>
          </cell>
          <cell r="E328">
            <v>2603235060</v>
          </cell>
          <cell r="F328" t="str">
            <v>TYO</v>
          </cell>
          <cell r="G328" t="str">
            <v>OOCL</v>
          </cell>
        </row>
        <row r="329">
          <cell r="B329" t="str">
            <v>V180612</v>
          </cell>
          <cell r="C329">
            <v>2</v>
          </cell>
          <cell r="D329" t="str">
            <v>KWE</v>
          </cell>
          <cell r="E329" t="str">
            <v>1008X01560</v>
          </cell>
          <cell r="F329" t="str">
            <v>TYO</v>
          </cell>
          <cell r="G329" t="str">
            <v>WHL</v>
          </cell>
        </row>
        <row r="330">
          <cell r="B330" t="str">
            <v>V180613</v>
          </cell>
          <cell r="C330">
            <v>6</v>
          </cell>
          <cell r="D330" t="str">
            <v>NKV</v>
          </cell>
          <cell r="E330" t="str">
            <v>HPH18045584</v>
          </cell>
          <cell r="F330" t="str">
            <v>KWS</v>
          </cell>
          <cell r="G330" t="str">
            <v>SITC</v>
          </cell>
        </row>
        <row r="331">
          <cell r="B331" t="str">
            <v>V180614</v>
          </cell>
          <cell r="C331">
            <v>1</v>
          </cell>
          <cell r="D331" t="str">
            <v>SHI</v>
          </cell>
          <cell r="E331" t="str">
            <v xml:space="preserve">1008X01561 </v>
          </cell>
          <cell r="F331" t="str">
            <v>NGO</v>
          </cell>
          <cell r="G331" t="str">
            <v>WHL</v>
          </cell>
        </row>
        <row r="332">
          <cell r="B332" t="str">
            <v>V180615</v>
          </cell>
          <cell r="C332">
            <v>4</v>
          </cell>
          <cell r="D332" t="str">
            <v>OCS</v>
          </cell>
          <cell r="E332">
            <v>237800115556</v>
          </cell>
          <cell r="F332" t="str">
            <v>OSK</v>
          </cell>
          <cell r="G332" t="str">
            <v>EGLV</v>
          </cell>
        </row>
        <row r="333">
          <cell r="B333" t="str">
            <v>V180616</v>
          </cell>
          <cell r="C333">
            <v>13</v>
          </cell>
          <cell r="D333" t="str">
            <v>OCS</v>
          </cell>
          <cell r="E333" t="str">
            <v xml:space="preserve">1008X01558 </v>
          </cell>
          <cell r="F333" t="str">
            <v>TYO</v>
          </cell>
          <cell r="G333" t="str">
            <v>WHL</v>
          </cell>
        </row>
        <row r="334">
          <cell r="B334" t="str">
            <v>V180617</v>
          </cell>
          <cell r="C334">
            <v>1</v>
          </cell>
          <cell r="D334" t="str">
            <v>SHI</v>
          </cell>
          <cell r="E334" t="str">
            <v xml:space="preserve">1008X01559 </v>
          </cell>
          <cell r="F334" t="str">
            <v>TYO</v>
          </cell>
          <cell r="G334" t="str">
            <v>WHL</v>
          </cell>
        </row>
        <row r="335">
          <cell r="B335" t="str">
            <v>V180618</v>
          </cell>
          <cell r="C335">
            <v>5</v>
          </cell>
          <cell r="D335" t="str">
            <v>KWE</v>
          </cell>
          <cell r="E335" t="str">
            <v>HPH18045586</v>
          </cell>
          <cell r="F335" t="str">
            <v>KWS</v>
          </cell>
          <cell r="G335" t="str">
            <v>SITC</v>
          </cell>
        </row>
        <row r="336">
          <cell r="B336" t="str">
            <v>V180619</v>
          </cell>
          <cell r="C336">
            <v>5</v>
          </cell>
          <cell r="D336" t="str">
            <v>YUS</v>
          </cell>
          <cell r="E336" t="str">
            <v xml:space="preserve">1008X01568 </v>
          </cell>
          <cell r="F336" t="str">
            <v>OSK</v>
          </cell>
          <cell r="G336" t="str">
            <v>WHL</v>
          </cell>
        </row>
        <row r="337">
          <cell r="B337" t="str">
            <v>V180620</v>
          </cell>
          <cell r="C337">
            <v>5</v>
          </cell>
          <cell r="D337" t="str">
            <v>NIP</v>
          </cell>
          <cell r="E337" t="str">
            <v xml:space="preserve">1008X01563 </v>
          </cell>
          <cell r="F337" t="str">
            <v>HKT</v>
          </cell>
          <cell r="G337" t="str">
            <v>WHL</v>
          </cell>
        </row>
        <row r="338">
          <cell r="B338" t="str">
            <v>V180621</v>
          </cell>
          <cell r="C338">
            <v>3</v>
          </cell>
          <cell r="D338" t="str">
            <v>SHI</v>
          </cell>
          <cell r="E338" t="str">
            <v>HPH18045583</v>
          </cell>
          <cell r="F338" t="str">
            <v>TYO</v>
          </cell>
          <cell r="G338" t="str">
            <v>SITC</v>
          </cell>
        </row>
        <row r="339">
          <cell r="B339" t="str">
            <v>V180622</v>
          </cell>
          <cell r="C339">
            <v>4</v>
          </cell>
          <cell r="D339" t="str">
            <v>NIP</v>
          </cell>
          <cell r="E339" t="str">
            <v xml:space="preserve">1008X01563 </v>
          </cell>
          <cell r="F339" t="str">
            <v>HKT</v>
          </cell>
          <cell r="G339" t="str">
            <v>WHL</v>
          </cell>
        </row>
        <row r="340">
          <cell r="B340" t="str">
            <v>V180623</v>
          </cell>
          <cell r="C340">
            <v>2</v>
          </cell>
          <cell r="D340" t="str">
            <v>SHI</v>
          </cell>
          <cell r="E340" t="str">
            <v>VN00365002</v>
          </cell>
          <cell r="F340" t="str">
            <v>ISH</v>
          </cell>
          <cell r="G340" t="str">
            <v>KMTC</v>
          </cell>
        </row>
        <row r="341">
          <cell r="B341" t="str">
            <v>V180624</v>
          </cell>
          <cell r="C341">
            <v>8</v>
          </cell>
          <cell r="D341" t="str">
            <v>KWE</v>
          </cell>
          <cell r="E341" t="str">
            <v>HPH18045582</v>
          </cell>
          <cell r="F341" t="str">
            <v>TYO</v>
          </cell>
          <cell r="G341" t="str">
            <v>SITC</v>
          </cell>
        </row>
        <row r="342">
          <cell r="B342" t="str">
            <v>V180625</v>
          </cell>
          <cell r="C342">
            <v>10</v>
          </cell>
          <cell r="D342" t="str">
            <v>NKV</v>
          </cell>
          <cell r="E342" t="str">
            <v>HPH18045585</v>
          </cell>
          <cell r="F342" t="str">
            <v>KWS</v>
          </cell>
          <cell r="G342" t="str">
            <v>SITC</v>
          </cell>
        </row>
        <row r="343">
          <cell r="B343" t="str">
            <v>V180626</v>
          </cell>
          <cell r="C343">
            <v>7</v>
          </cell>
          <cell r="D343" t="str">
            <v>YUS</v>
          </cell>
          <cell r="E343" t="str">
            <v>HPH18045587</v>
          </cell>
          <cell r="F343" t="str">
            <v>OSK</v>
          </cell>
          <cell r="G343" t="str">
            <v>SITC</v>
          </cell>
        </row>
        <row r="344">
          <cell r="B344" t="str">
            <v>V180627</v>
          </cell>
          <cell r="C344">
            <v>3</v>
          </cell>
          <cell r="D344" t="str">
            <v>NIP</v>
          </cell>
          <cell r="E344" t="str">
            <v>350BK8003583</v>
          </cell>
          <cell r="F344" t="str">
            <v>TAOYUAN</v>
          </cell>
          <cell r="G344" t="str">
            <v>TSL</v>
          </cell>
        </row>
        <row r="345">
          <cell r="B345" t="str">
            <v>V180628</v>
          </cell>
          <cell r="C345">
            <v>3</v>
          </cell>
          <cell r="D345" t="str">
            <v>SHI</v>
          </cell>
          <cell r="E345" t="str">
            <v>SNLTSD-240418-03</v>
          </cell>
          <cell r="F345" t="str">
            <v>SHANGHAI</v>
          </cell>
          <cell r="G345" t="str">
            <v>SNL</v>
          </cell>
        </row>
        <row r="346">
          <cell r="B346" t="str">
            <v>V180629</v>
          </cell>
          <cell r="C346">
            <v>5</v>
          </cell>
          <cell r="D346" t="str">
            <v>OCS</v>
          </cell>
          <cell r="E346" t="str">
            <v xml:space="preserve">1008X01558 </v>
          </cell>
          <cell r="F346" t="str">
            <v>TYO</v>
          </cell>
          <cell r="G346" t="str">
            <v>WHL</v>
          </cell>
        </row>
        <row r="347">
          <cell r="B347" t="str">
            <v>V180630</v>
          </cell>
          <cell r="C347">
            <v>2</v>
          </cell>
          <cell r="D347" t="str">
            <v>CEVA</v>
          </cell>
          <cell r="E347" t="str">
            <v>350BK8003582</v>
          </cell>
          <cell r="F347" t="str">
            <v>TYO</v>
          </cell>
          <cell r="G347" t="str">
            <v>TSL</v>
          </cell>
        </row>
        <row r="348">
          <cell r="B348" t="str">
            <v>V180631</v>
          </cell>
          <cell r="C348">
            <v>8</v>
          </cell>
          <cell r="D348" t="str">
            <v>YUS</v>
          </cell>
          <cell r="E348" t="str">
            <v xml:space="preserve">1008X01562 </v>
          </cell>
          <cell r="F348" t="str">
            <v>OSK</v>
          </cell>
          <cell r="G348" t="str">
            <v>WHL</v>
          </cell>
        </row>
        <row r="349">
          <cell r="B349" t="str">
            <v>V180633</v>
          </cell>
          <cell r="C349">
            <v>2</v>
          </cell>
          <cell r="D349" t="str">
            <v>SHI</v>
          </cell>
          <cell r="E349" t="str">
            <v>1008X01559</v>
          </cell>
          <cell r="F349" t="str">
            <v>TYO</v>
          </cell>
          <cell r="G349" t="str">
            <v>WHL</v>
          </cell>
        </row>
        <row r="350">
          <cell r="B350" t="str">
            <v>V180634</v>
          </cell>
          <cell r="C350">
            <v>5</v>
          </cell>
          <cell r="D350" t="str">
            <v>NKV</v>
          </cell>
          <cell r="E350" t="str">
            <v>HPH18045585</v>
          </cell>
          <cell r="F350" t="str">
            <v>KWS</v>
          </cell>
          <cell r="G350" t="str">
            <v>SITC</v>
          </cell>
        </row>
        <row r="351">
          <cell r="B351" t="str">
            <v>V180635</v>
          </cell>
          <cell r="C351">
            <v>13</v>
          </cell>
          <cell r="D351" t="str">
            <v>YUS</v>
          </cell>
          <cell r="E351" t="str">
            <v>HPH18045587</v>
          </cell>
          <cell r="F351" t="str">
            <v>OSK</v>
          </cell>
          <cell r="G351" t="str">
            <v>SITC</v>
          </cell>
        </row>
        <row r="352">
          <cell r="B352" t="str">
            <v>V180636</v>
          </cell>
          <cell r="C352">
            <v>3</v>
          </cell>
          <cell r="D352" t="str">
            <v>KWE</v>
          </cell>
          <cell r="E352" t="str">
            <v>HPH18046001</v>
          </cell>
          <cell r="F352" t="str">
            <v>HKT</v>
          </cell>
          <cell r="G352" t="str">
            <v>SITC</v>
          </cell>
        </row>
        <row r="353">
          <cell r="B353" t="str">
            <v>V180637</v>
          </cell>
          <cell r="C353">
            <v>2</v>
          </cell>
          <cell r="D353" t="str">
            <v>KWE</v>
          </cell>
          <cell r="E353" t="str">
            <v>HPH18045582</v>
          </cell>
          <cell r="F353" t="str">
            <v>TYO</v>
          </cell>
          <cell r="G353" t="str">
            <v>SITC</v>
          </cell>
        </row>
        <row r="354">
          <cell r="B354" t="str">
            <v>V180638</v>
          </cell>
          <cell r="C354">
            <v>2</v>
          </cell>
          <cell r="D354" t="str">
            <v>NKV</v>
          </cell>
          <cell r="E354" t="str">
            <v>HPH18045759</v>
          </cell>
          <cell r="F354" t="str">
            <v>TYO</v>
          </cell>
          <cell r="G354" t="str">
            <v>SITC</v>
          </cell>
        </row>
        <row r="355">
          <cell r="B355" t="str">
            <v>V180639</v>
          </cell>
          <cell r="C355">
            <v>6</v>
          </cell>
          <cell r="D355" t="str">
            <v>YUS</v>
          </cell>
          <cell r="E355" t="str">
            <v>1008X01567</v>
          </cell>
          <cell r="F355" t="str">
            <v>TYO</v>
          </cell>
          <cell r="G355" t="str">
            <v>WHL</v>
          </cell>
        </row>
        <row r="356">
          <cell r="B356" t="str">
            <v>V180640</v>
          </cell>
          <cell r="C356">
            <v>12</v>
          </cell>
          <cell r="D356" t="str">
            <v>NKV</v>
          </cell>
          <cell r="E356" t="str">
            <v>HPH18045588</v>
          </cell>
          <cell r="F356" t="str">
            <v>KWS</v>
          </cell>
          <cell r="G356" t="str">
            <v>SITC</v>
          </cell>
        </row>
        <row r="357">
          <cell r="B357" t="str">
            <v>V180641</v>
          </cell>
          <cell r="C357">
            <v>14</v>
          </cell>
          <cell r="D357" t="str">
            <v>OCS</v>
          </cell>
          <cell r="E357" t="str">
            <v>1008A01965</v>
          </cell>
          <cell r="F357" t="str">
            <v>OSK</v>
          </cell>
          <cell r="G357" t="str">
            <v>WHL</v>
          </cell>
        </row>
        <row r="358">
          <cell r="B358" t="str">
            <v>V180642</v>
          </cell>
          <cell r="C358">
            <v>4</v>
          </cell>
          <cell r="D358" t="str">
            <v>SHI</v>
          </cell>
          <cell r="E358" t="str">
            <v xml:space="preserve">1008X01566 </v>
          </cell>
          <cell r="F358" t="str">
            <v>TYO</v>
          </cell>
          <cell r="G358" t="str">
            <v>WHL</v>
          </cell>
        </row>
        <row r="359">
          <cell r="B359" t="str">
            <v>V180643</v>
          </cell>
          <cell r="C359">
            <v>8</v>
          </cell>
          <cell r="D359" t="str">
            <v>NIP</v>
          </cell>
          <cell r="E359" t="str">
            <v>1008X01691</v>
          </cell>
          <cell r="F359" t="str">
            <v>OSK</v>
          </cell>
          <cell r="G359" t="str">
            <v>WHL</v>
          </cell>
        </row>
        <row r="360">
          <cell r="B360" t="str">
            <v>V180644</v>
          </cell>
          <cell r="C360">
            <v>10</v>
          </cell>
          <cell r="D360" t="str">
            <v>NKV</v>
          </cell>
          <cell r="E360" t="str">
            <v>HPH18046000</v>
          </cell>
          <cell r="F360" t="str">
            <v>KWS</v>
          </cell>
          <cell r="G360" t="str">
            <v>SITC</v>
          </cell>
        </row>
        <row r="361">
          <cell r="B361" t="str">
            <v>V180645</v>
          </cell>
          <cell r="C361">
            <v>1</v>
          </cell>
          <cell r="D361" t="str">
            <v>SHI</v>
          </cell>
          <cell r="E361" t="str">
            <v>1008X01757</v>
          </cell>
          <cell r="F361" t="str">
            <v>NGO</v>
          </cell>
          <cell r="G361" t="str">
            <v>WHL</v>
          </cell>
        </row>
        <row r="362">
          <cell r="B362" t="str">
            <v>V180646</v>
          </cell>
          <cell r="C362">
            <v>10</v>
          </cell>
          <cell r="D362" t="str">
            <v>OCS</v>
          </cell>
          <cell r="E362" t="str">
            <v xml:space="preserve">1008X01753 </v>
          </cell>
          <cell r="F362" t="str">
            <v>OSK</v>
          </cell>
          <cell r="G362" t="str">
            <v>WHL</v>
          </cell>
        </row>
        <row r="363">
          <cell r="B363" t="str">
            <v>V180647</v>
          </cell>
          <cell r="C363">
            <v>5</v>
          </cell>
          <cell r="D363" t="str">
            <v>NIP</v>
          </cell>
          <cell r="E363" t="str">
            <v xml:space="preserve">1008X01756 </v>
          </cell>
          <cell r="F363" t="str">
            <v>HKT</v>
          </cell>
          <cell r="G363" t="str">
            <v>WHL</v>
          </cell>
        </row>
        <row r="364">
          <cell r="B364" t="str">
            <v>V180648</v>
          </cell>
          <cell r="C364">
            <v>2</v>
          </cell>
          <cell r="D364" t="str">
            <v>SHI</v>
          </cell>
          <cell r="E364" t="str">
            <v>VN00366669</v>
          </cell>
          <cell r="F364" t="str">
            <v>ISH</v>
          </cell>
          <cell r="G364" t="str">
            <v>KMTC</v>
          </cell>
        </row>
        <row r="365">
          <cell r="B365" t="str">
            <v>V180649</v>
          </cell>
          <cell r="C365">
            <v>7</v>
          </cell>
          <cell r="D365" t="str">
            <v>SHI</v>
          </cell>
          <cell r="E365" t="str">
            <v xml:space="preserve">1008X01765 </v>
          </cell>
          <cell r="F365" t="str">
            <v>TYO</v>
          </cell>
          <cell r="G365" t="str">
            <v>WHL</v>
          </cell>
        </row>
        <row r="366">
          <cell r="B366" t="str">
            <v>V180650</v>
          </cell>
          <cell r="C366">
            <v>4</v>
          </cell>
          <cell r="D366" t="str">
            <v>CEVA</v>
          </cell>
          <cell r="E366" t="str">
            <v xml:space="preserve">1008X01805 </v>
          </cell>
          <cell r="F366" t="str">
            <v>TYO</v>
          </cell>
          <cell r="G366" t="str">
            <v>WHL</v>
          </cell>
        </row>
        <row r="367">
          <cell r="B367" t="str">
            <v>V180651</v>
          </cell>
          <cell r="C367">
            <v>3</v>
          </cell>
          <cell r="D367" t="str">
            <v>KWE</v>
          </cell>
          <cell r="E367">
            <v>2603658800</v>
          </cell>
          <cell r="F367" t="str">
            <v>TYO</v>
          </cell>
          <cell r="G367" t="str">
            <v>OOCL</v>
          </cell>
        </row>
        <row r="368">
          <cell r="B368" t="str">
            <v>V180652</v>
          </cell>
          <cell r="C368">
            <v>7</v>
          </cell>
          <cell r="D368" t="str">
            <v>NKV</v>
          </cell>
          <cell r="E368" t="str">
            <v>HPH18046132</v>
          </cell>
          <cell r="F368" t="str">
            <v>KWS</v>
          </cell>
          <cell r="G368" t="str">
            <v>SITC</v>
          </cell>
        </row>
        <row r="369">
          <cell r="B369" t="str">
            <v>V180653</v>
          </cell>
          <cell r="C369">
            <v>5</v>
          </cell>
          <cell r="D369" t="str">
            <v>OCS</v>
          </cell>
          <cell r="E369" t="str">
            <v>1008X01802</v>
          </cell>
          <cell r="F369" t="str">
            <v>OSK</v>
          </cell>
          <cell r="G369" t="str">
            <v>WHL</v>
          </cell>
        </row>
        <row r="370">
          <cell r="B370" t="str">
            <v>V180654</v>
          </cell>
          <cell r="C370">
            <v>4</v>
          </cell>
          <cell r="D370" t="str">
            <v>NKV</v>
          </cell>
          <cell r="E370" t="str">
            <v>HPH18046138</v>
          </cell>
          <cell r="F370" t="str">
            <v>HKT</v>
          </cell>
          <cell r="G370" t="str">
            <v>SITC</v>
          </cell>
        </row>
        <row r="371">
          <cell r="B371" t="str">
            <v>V180655</v>
          </cell>
          <cell r="C371">
            <v>3</v>
          </cell>
          <cell r="D371" t="str">
            <v>SHI</v>
          </cell>
          <cell r="E371" t="str">
            <v>VN00366669</v>
          </cell>
          <cell r="F371" t="str">
            <v>ISH</v>
          </cell>
          <cell r="G371" t="str">
            <v>KMTC</v>
          </cell>
        </row>
        <row r="372">
          <cell r="B372" t="str">
            <v>V180656</v>
          </cell>
          <cell r="C372">
            <v>8</v>
          </cell>
          <cell r="D372" t="str">
            <v>SHI</v>
          </cell>
          <cell r="E372" t="str">
            <v>1008X01767</v>
          </cell>
          <cell r="F372" t="str">
            <v>TYO</v>
          </cell>
          <cell r="G372" t="str">
            <v>WHL</v>
          </cell>
        </row>
        <row r="373">
          <cell r="B373" t="str">
            <v>V180657</v>
          </cell>
          <cell r="C373">
            <v>2</v>
          </cell>
          <cell r="D373" t="str">
            <v>CEVA</v>
          </cell>
          <cell r="E373" t="str">
            <v>350BK8003931</v>
          </cell>
          <cell r="F373" t="str">
            <v>TYO</v>
          </cell>
          <cell r="G373" t="str">
            <v>TSL</v>
          </cell>
        </row>
        <row r="374">
          <cell r="B374" t="str">
            <v>V180658</v>
          </cell>
          <cell r="C374">
            <v>2</v>
          </cell>
          <cell r="D374" t="str">
            <v>KWE</v>
          </cell>
          <cell r="E374" t="str">
            <v>350BK8003932</v>
          </cell>
          <cell r="F374" t="str">
            <v>TYO</v>
          </cell>
          <cell r="G374" t="str">
            <v>TSL</v>
          </cell>
        </row>
        <row r="375">
          <cell r="B375" t="str">
            <v>V180659</v>
          </cell>
          <cell r="C375">
            <v>9</v>
          </cell>
          <cell r="D375" t="str">
            <v>OCS</v>
          </cell>
          <cell r="E375" t="str">
            <v>HPH18046133</v>
          </cell>
          <cell r="F375" t="str">
            <v>KWS</v>
          </cell>
          <cell r="G375" t="str">
            <v>SITC</v>
          </cell>
        </row>
        <row r="376">
          <cell r="B376" t="str">
            <v>V180660</v>
          </cell>
          <cell r="C376">
            <v>15</v>
          </cell>
          <cell r="D376" t="str">
            <v>NKV</v>
          </cell>
          <cell r="E376" t="str">
            <v>HPH18046134</v>
          </cell>
          <cell r="F376" t="str">
            <v>OSK</v>
          </cell>
          <cell r="G376" t="str">
            <v>SITC</v>
          </cell>
        </row>
        <row r="377">
          <cell r="B377" t="str">
            <v>V180661</v>
          </cell>
          <cell r="C377">
            <v>4</v>
          </cell>
          <cell r="D377" t="str">
            <v>KWE</v>
          </cell>
          <cell r="E377" t="str">
            <v>HPH18046137</v>
          </cell>
          <cell r="F377" t="str">
            <v>HKT</v>
          </cell>
          <cell r="G377" t="str">
            <v>SITC</v>
          </cell>
        </row>
        <row r="378">
          <cell r="B378" t="str">
            <v>V180662</v>
          </cell>
          <cell r="C378">
            <v>8</v>
          </cell>
          <cell r="D378" t="str">
            <v>NIP</v>
          </cell>
          <cell r="E378" t="str">
            <v>350BK8004133</v>
          </cell>
          <cell r="F378" t="str">
            <v>TAOYUAN</v>
          </cell>
          <cell r="G378" t="str">
            <v>TSL</v>
          </cell>
        </row>
        <row r="379">
          <cell r="B379" t="str">
            <v>V180663</v>
          </cell>
          <cell r="C379">
            <v>3</v>
          </cell>
          <cell r="D379" t="str">
            <v>SHI</v>
          </cell>
          <cell r="E379" t="str">
            <v>SNLTSD-02052018-08</v>
          </cell>
          <cell r="F379" t="str">
            <v>SHANGHAI</v>
          </cell>
          <cell r="G379" t="str">
            <v>SNL</v>
          </cell>
        </row>
        <row r="380">
          <cell r="B380" t="str">
            <v>V180664</v>
          </cell>
          <cell r="C380">
            <v>1</v>
          </cell>
          <cell r="D380" t="str">
            <v>KWE</v>
          </cell>
          <cell r="E380">
            <v>74554706</v>
          </cell>
          <cell r="F380" t="str">
            <v>NAHA</v>
          </cell>
          <cell r="G380" t="str">
            <v>APL</v>
          </cell>
        </row>
        <row r="381">
          <cell r="B381" t="str">
            <v>V180665</v>
          </cell>
          <cell r="C381">
            <v>1</v>
          </cell>
          <cell r="D381" t="str">
            <v>CEVA</v>
          </cell>
          <cell r="E381" t="str">
            <v>350BK8003931</v>
          </cell>
          <cell r="F381" t="str">
            <v>TYO</v>
          </cell>
          <cell r="G381" t="str">
            <v>TSL</v>
          </cell>
        </row>
        <row r="382">
          <cell r="B382" t="str">
            <v>V180666</v>
          </cell>
          <cell r="C382">
            <v>2</v>
          </cell>
          <cell r="D382" t="str">
            <v>KWE</v>
          </cell>
          <cell r="E382" t="str">
            <v>350BK8003932</v>
          </cell>
          <cell r="F382" t="str">
            <v>TYO</v>
          </cell>
          <cell r="G382" t="str">
            <v>TSL</v>
          </cell>
        </row>
        <row r="383">
          <cell r="B383" t="str">
            <v>V180667</v>
          </cell>
          <cell r="C383">
            <v>3</v>
          </cell>
          <cell r="D383" t="str">
            <v>OCS</v>
          </cell>
          <cell r="E383" t="str">
            <v>HPH18046133</v>
          </cell>
          <cell r="F383" t="str">
            <v>KWS</v>
          </cell>
          <cell r="G383" t="str">
            <v>SITC</v>
          </cell>
        </row>
        <row r="384">
          <cell r="B384" t="str">
            <v>V180668</v>
          </cell>
          <cell r="C384">
            <v>7</v>
          </cell>
          <cell r="D384" t="str">
            <v>NKV</v>
          </cell>
          <cell r="E384" t="str">
            <v>HPH18046134</v>
          </cell>
          <cell r="F384" t="str">
            <v>OSK</v>
          </cell>
          <cell r="G384" t="str">
            <v>SITC</v>
          </cell>
        </row>
        <row r="385">
          <cell r="B385" t="str">
            <v>V180669</v>
          </cell>
          <cell r="C385">
            <v>2</v>
          </cell>
          <cell r="D385" t="str">
            <v>KWE</v>
          </cell>
          <cell r="E385" t="str">
            <v>HPH18046137</v>
          </cell>
          <cell r="F385" t="str">
            <v>HKT</v>
          </cell>
          <cell r="G385" t="str">
            <v>SITC</v>
          </cell>
        </row>
        <row r="386">
          <cell r="B386" t="str">
            <v>V180698</v>
          </cell>
          <cell r="C386">
            <v>3</v>
          </cell>
          <cell r="D386" t="str">
            <v>SHI</v>
          </cell>
          <cell r="E386" t="str">
            <v>HPH18056386</v>
          </cell>
          <cell r="F386" t="str">
            <v>TYO</v>
          </cell>
          <cell r="G386" t="str">
            <v>SITC</v>
          </cell>
        </row>
        <row r="387">
          <cell r="B387" t="str">
            <v>V180670</v>
          </cell>
          <cell r="C387">
            <v>2</v>
          </cell>
          <cell r="D387" t="str">
            <v>NKV</v>
          </cell>
          <cell r="E387" t="str">
            <v>HPH18046155</v>
          </cell>
          <cell r="F387" t="str">
            <v>KWS</v>
          </cell>
          <cell r="G387" t="str">
            <v>SITC</v>
          </cell>
        </row>
        <row r="388">
          <cell r="B388" t="str">
            <v>V180671</v>
          </cell>
          <cell r="C388">
            <v>9</v>
          </cell>
          <cell r="D388" t="str">
            <v>NIP</v>
          </cell>
          <cell r="E388" t="str">
            <v>1008X01846</v>
          </cell>
          <cell r="F388" t="str">
            <v>OSK</v>
          </cell>
          <cell r="G388" t="str">
            <v>WHL</v>
          </cell>
        </row>
        <row r="389">
          <cell r="B389" t="str">
            <v>V180672</v>
          </cell>
          <cell r="C389">
            <v>8</v>
          </cell>
          <cell r="D389" t="str">
            <v>NKV</v>
          </cell>
          <cell r="E389" t="str">
            <v>HPH18056353</v>
          </cell>
          <cell r="F389" t="str">
            <v>KWS</v>
          </cell>
          <cell r="G389" t="str">
            <v>SITC</v>
          </cell>
        </row>
        <row r="390">
          <cell r="B390" t="str">
            <v>V180673</v>
          </cell>
          <cell r="C390">
            <v>13</v>
          </cell>
          <cell r="D390" t="str">
            <v>OCS</v>
          </cell>
          <cell r="E390" t="str">
            <v>HPH18056351</v>
          </cell>
          <cell r="F390" t="str">
            <v>OSK</v>
          </cell>
          <cell r="G390" t="str">
            <v>SITC</v>
          </cell>
        </row>
        <row r="391">
          <cell r="B391" t="str">
            <v>V180674</v>
          </cell>
          <cell r="C391">
            <v>3</v>
          </cell>
          <cell r="D391" t="str">
            <v>SHI</v>
          </cell>
          <cell r="E391" t="str">
            <v>1008X01882</v>
          </cell>
          <cell r="F391" t="str">
            <v>HKT</v>
          </cell>
          <cell r="G391" t="str">
            <v>WHL</v>
          </cell>
        </row>
        <row r="392">
          <cell r="B392" t="str">
            <v>V180675</v>
          </cell>
          <cell r="C392">
            <v>1</v>
          </cell>
          <cell r="D392" t="str">
            <v>SHI</v>
          </cell>
          <cell r="E392" t="str">
            <v>VN00367792</v>
          </cell>
          <cell r="F392" t="str">
            <v>ISH</v>
          </cell>
          <cell r="G392" t="str">
            <v>KMTC</v>
          </cell>
        </row>
        <row r="393">
          <cell r="B393" t="str">
            <v>V180676</v>
          </cell>
          <cell r="C393">
            <v>6</v>
          </cell>
          <cell r="D393" t="str">
            <v>KWE</v>
          </cell>
          <cell r="E393" t="str">
            <v>350BK8004172</v>
          </cell>
          <cell r="F393" t="str">
            <v>TYO</v>
          </cell>
          <cell r="G393" t="str">
            <v>TSL</v>
          </cell>
        </row>
        <row r="394">
          <cell r="B394" t="str">
            <v>V180677</v>
          </cell>
          <cell r="C394">
            <v>4</v>
          </cell>
          <cell r="D394" t="str">
            <v>CEVA</v>
          </cell>
          <cell r="E394">
            <v>237800125535</v>
          </cell>
          <cell r="F394" t="str">
            <v>TYO</v>
          </cell>
          <cell r="G394" t="str">
            <v>EGLV</v>
          </cell>
        </row>
        <row r="395">
          <cell r="B395" t="str">
            <v>V180678</v>
          </cell>
          <cell r="C395">
            <v>2</v>
          </cell>
          <cell r="D395" t="str">
            <v>CEVA</v>
          </cell>
          <cell r="E395">
            <v>237800125543</v>
          </cell>
          <cell r="F395" t="str">
            <v>TYO</v>
          </cell>
          <cell r="G395" t="str">
            <v>EGLV</v>
          </cell>
        </row>
        <row r="396">
          <cell r="B396" t="str">
            <v>V180679</v>
          </cell>
          <cell r="C396">
            <v>10</v>
          </cell>
          <cell r="D396" t="str">
            <v>NKV</v>
          </cell>
          <cell r="E396" t="str">
            <v>HPH18056353</v>
          </cell>
          <cell r="F396" t="str">
            <v>KWS</v>
          </cell>
          <cell r="G396" t="str">
            <v>SITC</v>
          </cell>
        </row>
        <row r="397">
          <cell r="B397" t="str">
            <v>V180680</v>
          </cell>
          <cell r="C397">
            <v>12</v>
          </cell>
          <cell r="D397" t="str">
            <v>OCS</v>
          </cell>
          <cell r="E397" t="str">
            <v>1008X01917</v>
          </cell>
          <cell r="F397" t="str">
            <v>OSK</v>
          </cell>
          <cell r="G397" t="str">
            <v>WHL</v>
          </cell>
        </row>
        <row r="398">
          <cell r="B398" t="str">
            <v>V180681</v>
          </cell>
          <cell r="C398">
            <v>6</v>
          </cell>
          <cell r="D398" t="str">
            <v>KWE</v>
          </cell>
          <cell r="E398" t="str">
            <v>350BK8004172</v>
          </cell>
          <cell r="F398" t="str">
            <v>TYO</v>
          </cell>
          <cell r="G398" t="str">
            <v>TSL</v>
          </cell>
        </row>
        <row r="399">
          <cell r="B399" t="str">
            <v>V180682</v>
          </cell>
          <cell r="C399">
            <v>6</v>
          </cell>
          <cell r="D399" t="str">
            <v>SHI</v>
          </cell>
          <cell r="E399" t="str">
            <v xml:space="preserve">1008X01905 </v>
          </cell>
          <cell r="F399" t="str">
            <v>TYO</v>
          </cell>
          <cell r="G399" t="str">
            <v>WHL</v>
          </cell>
        </row>
        <row r="400">
          <cell r="B400" t="str">
            <v>V180683</v>
          </cell>
          <cell r="C400">
            <v>4</v>
          </cell>
          <cell r="D400" t="str">
            <v>NKV</v>
          </cell>
          <cell r="E400" t="str">
            <v>HPH18056353</v>
          </cell>
          <cell r="F400" t="str">
            <v>KWS</v>
          </cell>
          <cell r="G400" t="str">
            <v>SITC</v>
          </cell>
        </row>
        <row r="401">
          <cell r="B401" t="str">
            <v>V180684</v>
          </cell>
          <cell r="C401">
            <v>6</v>
          </cell>
          <cell r="D401" t="str">
            <v>OCS</v>
          </cell>
          <cell r="E401" t="str">
            <v>1008X01917</v>
          </cell>
          <cell r="F401" t="str">
            <v>OSK</v>
          </cell>
          <cell r="G401" t="str">
            <v>WHL</v>
          </cell>
        </row>
        <row r="402">
          <cell r="B402" t="str">
            <v>V180685</v>
          </cell>
          <cell r="C402">
            <v>6</v>
          </cell>
          <cell r="D402" t="str">
            <v>NIP</v>
          </cell>
          <cell r="E402" t="str">
            <v>1008X01901</v>
          </cell>
          <cell r="F402" t="str">
            <v>HKT</v>
          </cell>
          <cell r="G402" t="str">
            <v>WHL</v>
          </cell>
        </row>
        <row r="403">
          <cell r="B403" t="str">
            <v>V180686</v>
          </cell>
          <cell r="C403">
            <v>8</v>
          </cell>
          <cell r="D403" t="str">
            <v>SHI</v>
          </cell>
          <cell r="E403" t="str">
            <v>HPH18056373</v>
          </cell>
          <cell r="F403" t="str">
            <v>TYO</v>
          </cell>
          <cell r="G403" t="str">
            <v>SITC</v>
          </cell>
        </row>
        <row r="404">
          <cell r="B404" t="str">
            <v>V180687</v>
          </cell>
          <cell r="C404">
            <v>5</v>
          </cell>
          <cell r="D404" t="str">
            <v>CEVA</v>
          </cell>
          <cell r="E404" t="str">
            <v xml:space="preserve">1008X01904 </v>
          </cell>
          <cell r="F404" t="str">
            <v>TYO</v>
          </cell>
          <cell r="G404" t="str">
            <v>WHL</v>
          </cell>
        </row>
        <row r="405">
          <cell r="B405" t="str">
            <v>V180688</v>
          </cell>
          <cell r="C405">
            <v>13</v>
          </cell>
          <cell r="D405" t="str">
            <v>NKV</v>
          </cell>
          <cell r="E405" t="str">
            <v>HPH18056353</v>
          </cell>
          <cell r="F405" t="str">
            <v>KWS</v>
          </cell>
          <cell r="G405" t="str">
            <v>SITC</v>
          </cell>
        </row>
        <row r="406">
          <cell r="B406" t="str">
            <v>V180689</v>
          </cell>
          <cell r="C406">
            <v>12</v>
          </cell>
          <cell r="D406" t="str">
            <v>NIP</v>
          </cell>
          <cell r="E406" t="str">
            <v xml:space="preserve">1008X01922 </v>
          </cell>
          <cell r="F406" t="str">
            <v>OSK</v>
          </cell>
          <cell r="G406" t="str">
            <v>WHL</v>
          </cell>
        </row>
        <row r="407">
          <cell r="B407" t="str">
            <v>V180690</v>
          </cell>
          <cell r="C407">
            <v>3</v>
          </cell>
          <cell r="D407" t="str">
            <v>SHI</v>
          </cell>
          <cell r="E407" t="str">
            <v>VN00367792</v>
          </cell>
          <cell r="F407" t="str">
            <v>ISH</v>
          </cell>
          <cell r="G407" t="str">
            <v>KMTC</v>
          </cell>
        </row>
        <row r="408">
          <cell r="B408" t="str">
            <v>V180691</v>
          </cell>
          <cell r="C408">
            <v>6</v>
          </cell>
          <cell r="D408" t="str">
            <v>EXP</v>
          </cell>
          <cell r="E408" t="str">
            <v>HPH18056375</v>
          </cell>
          <cell r="F408" t="str">
            <v>TYO</v>
          </cell>
          <cell r="G408" t="str">
            <v>SITC</v>
          </cell>
        </row>
        <row r="409">
          <cell r="B409" t="str">
            <v>V180692</v>
          </cell>
          <cell r="C409">
            <v>7</v>
          </cell>
          <cell r="D409" t="str">
            <v>NKV</v>
          </cell>
          <cell r="E409" t="str">
            <v>HPH18056376</v>
          </cell>
          <cell r="F409" t="str">
            <v>KWS</v>
          </cell>
          <cell r="G409" t="str">
            <v>SITC</v>
          </cell>
        </row>
        <row r="410">
          <cell r="B410" t="str">
            <v>V180693</v>
          </cell>
          <cell r="C410">
            <v>14</v>
          </cell>
          <cell r="D410" t="str">
            <v>OCS</v>
          </cell>
          <cell r="E410" t="str">
            <v xml:space="preserve">1008X01919 </v>
          </cell>
          <cell r="F410" t="str">
            <v>OSK</v>
          </cell>
          <cell r="G410" t="str">
            <v>WHL</v>
          </cell>
        </row>
        <row r="411">
          <cell r="B411" t="str">
            <v>V180694</v>
          </cell>
          <cell r="C411">
            <v>6</v>
          </cell>
          <cell r="D411" t="str">
            <v>NIP</v>
          </cell>
          <cell r="E411" t="str">
            <v>HPH18056378</v>
          </cell>
          <cell r="F411" t="str">
            <v>HKT</v>
          </cell>
          <cell r="G411" t="str">
            <v>SITC</v>
          </cell>
        </row>
        <row r="412">
          <cell r="B412" t="str">
            <v>V180695</v>
          </cell>
          <cell r="C412">
            <v>6</v>
          </cell>
          <cell r="D412" t="str">
            <v>SHI</v>
          </cell>
          <cell r="E412" t="str">
            <v>HPH18056374</v>
          </cell>
          <cell r="F412" t="str">
            <v>TYO</v>
          </cell>
          <cell r="G412" t="str">
            <v>SITC</v>
          </cell>
        </row>
        <row r="413">
          <cell r="B413" t="str">
            <v>V180696</v>
          </cell>
          <cell r="C413">
            <v>7</v>
          </cell>
          <cell r="D413" t="str">
            <v>NKV</v>
          </cell>
          <cell r="E413" t="str">
            <v>HPH18056376</v>
          </cell>
          <cell r="F413" t="str">
            <v>KWS</v>
          </cell>
          <cell r="G413" t="str">
            <v>SITC</v>
          </cell>
        </row>
        <row r="414">
          <cell r="B414" t="str">
            <v>V180697</v>
          </cell>
          <cell r="C414">
            <v>8</v>
          </cell>
          <cell r="D414" t="str">
            <v>NKV</v>
          </cell>
          <cell r="E414" t="str">
            <v>HPH18056377</v>
          </cell>
          <cell r="F414" t="str">
            <v>OSK</v>
          </cell>
          <cell r="G414" t="str">
            <v>SITC</v>
          </cell>
        </row>
        <row r="415">
          <cell r="B415" t="str">
            <v>V180699</v>
          </cell>
          <cell r="C415">
            <v>2</v>
          </cell>
          <cell r="D415" t="str">
            <v>KWE</v>
          </cell>
          <cell r="E415" t="str">
            <v>350BK8004426</v>
          </cell>
          <cell r="F415" t="str">
            <v>TAOYUAN</v>
          </cell>
          <cell r="G415" t="str">
            <v>TSL</v>
          </cell>
        </row>
        <row r="416">
          <cell r="B416" t="str">
            <v>V180700</v>
          </cell>
          <cell r="C416">
            <v>6</v>
          </cell>
          <cell r="D416" t="str">
            <v>NKV</v>
          </cell>
          <cell r="E416" t="str">
            <v>HPH18056377</v>
          </cell>
          <cell r="F416" t="str">
            <v>OSK</v>
          </cell>
          <cell r="G416" t="str">
            <v>SITC</v>
          </cell>
        </row>
        <row r="417">
          <cell r="B417" t="str">
            <v>V180701</v>
          </cell>
          <cell r="C417">
            <v>4</v>
          </cell>
          <cell r="D417" t="str">
            <v>NIP</v>
          </cell>
          <cell r="E417" t="str">
            <v>HPH18056378</v>
          </cell>
          <cell r="F417" t="str">
            <v>HKT</v>
          </cell>
          <cell r="G417" t="str">
            <v>SITC</v>
          </cell>
        </row>
        <row r="418">
          <cell r="B418" t="str">
            <v>V180731</v>
          </cell>
          <cell r="C418">
            <v>5</v>
          </cell>
          <cell r="D418" t="str">
            <v>SHI</v>
          </cell>
          <cell r="E418" t="str">
            <v>HPH18056374</v>
          </cell>
          <cell r="F418" t="str">
            <v>TYO</v>
          </cell>
          <cell r="G418" t="str">
            <v>SITC</v>
          </cell>
        </row>
        <row r="419">
          <cell r="B419" t="str">
            <v>V180732</v>
          </cell>
          <cell r="C419">
            <v>2</v>
          </cell>
          <cell r="D419" t="str">
            <v>NKV</v>
          </cell>
          <cell r="E419" t="str">
            <v>HPH18056376</v>
          </cell>
          <cell r="F419" t="str">
            <v>KWS</v>
          </cell>
          <cell r="G419" t="str">
            <v>SITC</v>
          </cell>
        </row>
        <row r="420">
          <cell r="B420" t="str">
            <v>V180702</v>
          </cell>
          <cell r="C420">
            <v>10</v>
          </cell>
          <cell r="D420" t="str">
            <v>OCS</v>
          </cell>
          <cell r="E420" t="str">
            <v>HPH18056648</v>
          </cell>
          <cell r="F420" t="str">
            <v>KWS</v>
          </cell>
          <cell r="G420" t="str">
            <v>SITC</v>
          </cell>
        </row>
        <row r="421">
          <cell r="B421" t="str">
            <v>V180703</v>
          </cell>
          <cell r="C421">
            <v>8</v>
          </cell>
          <cell r="D421" t="str">
            <v>SHI</v>
          </cell>
          <cell r="E421" t="str">
            <v>1008X02055</v>
          </cell>
          <cell r="F421" t="str">
            <v>OSK</v>
          </cell>
          <cell r="G421" t="str">
            <v>WHL</v>
          </cell>
        </row>
        <row r="422">
          <cell r="B422" t="str">
            <v>V180704</v>
          </cell>
          <cell r="C422">
            <v>7</v>
          </cell>
          <cell r="D422" t="str">
            <v>NIP</v>
          </cell>
          <cell r="E422" t="str">
            <v>1008X02056</v>
          </cell>
          <cell r="F422" t="str">
            <v>OSK</v>
          </cell>
          <cell r="G422" t="str">
            <v>WHL</v>
          </cell>
        </row>
        <row r="423">
          <cell r="B423" t="str">
            <v>V180705</v>
          </cell>
          <cell r="C423">
            <v>2</v>
          </cell>
          <cell r="D423" t="str">
            <v>CEVA</v>
          </cell>
          <cell r="E423" t="str">
            <v>VN00369030</v>
          </cell>
          <cell r="F423" t="str">
            <v>ISH</v>
          </cell>
          <cell r="G423" t="str">
            <v>KMTC</v>
          </cell>
        </row>
        <row r="424">
          <cell r="B424" t="str">
            <v>V180706</v>
          </cell>
          <cell r="C424">
            <v>7</v>
          </cell>
          <cell r="D424" t="str">
            <v>SHI</v>
          </cell>
          <cell r="E424" t="str">
            <v xml:space="preserve">1008X02065 </v>
          </cell>
          <cell r="F424" t="str">
            <v>TYO</v>
          </cell>
          <cell r="G424" t="str">
            <v>WHL</v>
          </cell>
        </row>
        <row r="425">
          <cell r="B425" t="str">
            <v>V180707</v>
          </cell>
          <cell r="C425">
            <v>6</v>
          </cell>
          <cell r="D425" t="str">
            <v>NKV</v>
          </cell>
          <cell r="E425" t="str">
            <v>HPH18056650</v>
          </cell>
          <cell r="F425" t="str">
            <v>KWS</v>
          </cell>
          <cell r="G425" t="str">
            <v>SITC</v>
          </cell>
        </row>
        <row r="426">
          <cell r="B426" t="str">
            <v>V180708</v>
          </cell>
          <cell r="C426">
            <v>9</v>
          </cell>
          <cell r="D426" t="str">
            <v>OCS</v>
          </cell>
          <cell r="E426" t="str">
            <v xml:space="preserve">1008X02064 </v>
          </cell>
          <cell r="F426" t="str">
            <v>OSK</v>
          </cell>
          <cell r="G426" t="str">
            <v>WHL</v>
          </cell>
        </row>
        <row r="427">
          <cell r="B427" t="str">
            <v>V180709</v>
          </cell>
          <cell r="C427">
            <v>5</v>
          </cell>
          <cell r="D427" t="str">
            <v>NIP</v>
          </cell>
          <cell r="E427" t="str">
            <v xml:space="preserve">1008X02061 </v>
          </cell>
          <cell r="F427" t="str">
            <v>HKT</v>
          </cell>
          <cell r="G427" t="str">
            <v>WHL</v>
          </cell>
        </row>
        <row r="428">
          <cell r="B428" t="str">
            <v>V180710</v>
          </cell>
          <cell r="C428">
            <v>8</v>
          </cell>
          <cell r="D428" t="str">
            <v>KWE</v>
          </cell>
          <cell r="E428" t="str">
            <v>350BK8004440</v>
          </cell>
          <cell r="F428" t="str">
            <v>TYO</v>
          </cell>
          <cell r="G428" t="str">
            <v>TSL</v>
          </cell>
        </row>
        <row r="429">
          <cell r="B429" t="str">
            <v>V180711</v>
          </cell>
          <cell r="C429">
            <v>4</v>
          </cell>
          <cell r="D429" t="str">
            <v>CEVA</v>
          </cell>
          <cell r="E429">
            <v>237800131501</v>
          </cell>
          <cell r="F429" t="str">
            <v>TYO</v>
          </cell>
          <cell r="G429" t="str">
            <v>EGLV</v>
          </cell>
        </row>
        <row r="430">
          <cell r="B430" t="str">
            <v>V180712</v>
          </cell>
          <cell r="C430">
            <v>8</v>
          </cell>
          <cell r="D430" t="str">
            <v>NKV</v>
          </cell>
          <cell r="E430" t="str">
            <v>HPH18056650</v>
          </cell>
          <cell r="F430" t="str">
            <v>KWS</v>
          </cell>
          <cell r="G430" t="str">
            <v>SITC</v>
          </cell>
        </row>
        <row r="431">
          <cell r="B431" t="str">
            <v>V180713</v>
          </cell>
          <cell r="C431">
            <v>8</v>
          </cell>
          <cell r="D431" t="str">
            <v>OCS</v>
          </cell>
          <cell r="E431" t="str">
            <v xml:space="preserve">1008X02064 </v>
          </cell>
          <cell r="F431" t="str">
            <v>OSK</v>
          </cell>
          <cell r="G431" t="str">
            <v>WHL</v>
          </cell>
        </row>
        <row r="432">
          <cell r="B432" t="str">
            <v>V180714</v>
          </cell>
          <cell r="C432">
            <v>7</v>
          </cell>
          <cell r="D432" t="str">
            <v>KWE</v>
          </cell>
          <cell r="E432" t="str">
            <v>350BK8004440</v>
          </cell>
          <cell r="F432" t="str">
            <v>TYO</v>
          </cell>
          <cell r="G432" t="str">
            <v>TSL</v>
          </cell>
        </row>
        <row r="433">
          <cell r="B433" t="str">
            <v>V180715</v>
          </cell>
          <cell r="C433">
            <v>6</v>
          </cell>
          <cell r="D433" t="str">
            <v>EXP</v>
          </cell>
          <cell r="E433" t="str">
            <v>1008X02068</v>
          </cell>
          <cell r="F433" t="str">
            <v>TYO</v>
          </cell>
          <cell r="G433" t="str">
            <v>WHL</v>
          </cell>
        </row>
        <row r="434">
          <cell r="B434" t="str">
            <v>V180716</v>
          </cell>
          <cell r="C434">
            <v>3</v>
          </cell>
          <cell r="D434" t="str">
            <v>CEVA</v>
          </cell>
          <cell r="E434">
            <v>237800131519</v>
          </cell>
          <cell r="F434" t="str">
            <v>TYO</v>
          </cell>
          <cell r="G434" t="str">
            <v>EGLV</v>
          </cell>
        </row>
        <row r="435">
          <cell r="B435" t="str">
            <v>V180717</v>
          </cell>
          <cell r="C435">
            <v>9</v>
          </cell>
          <cell r="D435" t="str">
            <v>SHI</v>
          </cell>
          <cell r="E435" t="str">
            <v>HPH18056652</v>
          </cell>
          <cell r="F435" t="str">
            <v>KWS</v>
          </cell>
          <cell r="G435" t="str">
            <v>SITC</v>
          </cell>
        </row>
        <row r="436">
          <cell r="B436" t="str">
            <v>V180718</v>
          </cell>
          <cell r="C436">
            <v>1</v>
          </cell>
          <cell r="D436" t="str">
            <v>NIP</v>
          </cell>
          <cell r="E436" t="str">
            <v>HPH18056653</v>
          </cell>
          <cell r="F436" t="str">
            <v>KWS</v>
          </cell>
          <cell r="G436" t="str">
            <v>SITC</v>
          </cell>
        </row>
        <row r="437">
          <cell r="B437" t="str">
            <v>V180719</v>
          </cell>
          <cell r="C437">
            <v>1</v>
          </cell>
          <cell r="D437" t="str">
            <v>SHI</v>
          </cell>
          <cell r="E437" t="str">
            <v xml:space="preserve">1008X02066 </v>
          </cell>
          <cell r="F437" t="str">
            <v>NGO</v>
          </cell>
          <cell r="G437" t="str">
            <v>WHL</v>
          </cell>
        </row>
        <row r="438">
          <cell r="B438" t="str">
            <v>V180720</v>
          </cell>
          <cell r="C438">
            <v>6</v>
          </cell>
          <cell r="D438" t="str">
            <v>OCS</v>
          </cell>
          <cell r="E438" t="str">
            <v xml:space="preserve">1008X02064 </v>
          </cell>
          <cell r="F438" t="str">
            <v>OSK</v>
          </cell>
          <cell r="G438" t="str">
            <v>WHL</v>
          </cell>
        </row>
        <row r="439">
          <cell r="B439" t="str">
            <v>V180721</v>
          </cell>
          <cell r="C439">
            <v>5</v>
          </cell>
          <cell r="D439" t="str">
            <v>NIP</v>
          </cell>
          <cell r="E439" t="str">
            <v xml:space="preserve">1008X02061 </v>
          </cell>
          <cell r="F439" t="str">
            <v>HKT</v>
          </cell>
          <cell r="G439" t="str">
            <v>WHL</v>
          </cell>
        </row>
        <row r="440">
          <cell r="B440" t="str">
            <v>V180722</v>
          </cell>
          <cell r="C440">
            <v>3</v>
          </cell>
          <cell r="D440" t="str">
            <v>CEVA</v>
          </cell>
          <cell r="E440" t="str">
            <v>VN00369030</v>
          </cell>
          <cell r="F440" t="str">
            <v>ISH</v>
          </cell>
          <cell r="G440" t="str">
            <v>KMTC</v>
          </cell>
        </row>
        <row r="441">
          <cell r="B441" t="str">
            <v>V180723</v>
          </cell>
          <cell r="C441">
            <v>3</v>
          </cell>
          <cell r="D441" t="str">
            <v>OCS</v>
          </cell>
          <cell r="E441" t="str">
            <v xml:space="preserve">1008X02069 </v>
          </cell>
          <cell r="F441" t="str">
            <v>TYO</v>
          </cell>
          <cell r="G441" t="str">
            <v>WHL</v>
          </cell>
        </row>
        <row r="442">
          <cell r="B442" t="str">
            <v>V180724</v>
          </cell>
          <cell r="C442">
            <v>16</v>
          </cell>
          <cell r="D442" t="str">
            <v>NKV</v>
          </cell>
          <cell r="E442" t="str">
            <v>HPH18056651</v>
          </cell>
          <cell r="F442" t="str">
            <v>KWS</v>
          </cell>
          <cell r="G442" t="str">
            <v>SITC</v>
          </cell>
        </row>
        <row r="443">
          <cell r="B443" t="str">
            <v>V180725</v>
          </cell>
          <cell r="C443">
            <v>10</v>
          </cell>
          <cell r="D443" t="str">
            <v>SHI</v>
          </cell>
          <cell r="E443" t="str">
            <v xml:space="preserve">1008X02070 </v>
          </cell>
          <cell r="F443" t="str">
            <v>OSK</v>
          </cell>
          <cell r="G443" t="str">
            <v>WHL</v>
          </cell>
        </row>
        <row r="444">
          <cell r="B444" t="str">
            <v>V180726</v>
          </cell>
          <cell r="C444">
            <v>2</v>
          </cell>
          <cell r="D444" t="str">
            <v>SHI</v>
          </cell>
          <cell r="E444" t="str">
            <v>1008X02067</v>
          </cell>
          <cell r="F444" t="str">
            <v>TYO</v>
          </cell>
          <cell r="G444" t="str">
            <v>WHL</v>
          </cell>
        </row>
        <row r="445">
          <cell r="B445" t="str">
            <v>V180727</v>
          </cell>
          <cell r="C445">
            <v>1</v>
          </cell>
          <cell r="D445" t="str">
            <v>SHI</v>
          </cell>
          <cell r="E445" t="str">
            <v>HPH18057237</v>
          </cell>
          <cell r="F445" t="str">
            <v>TYO</v>
          </cell>
          <cell r="G445" t="str">
            <v>SITC</v>
          </cell>
        </row>
        <row r="446">
          <cell r="B446" t="str">
            <v>V180728</v>
          </cell>
          <cell r="C446">
            <v>8</v>
          </cell>
          <cell r="D446" t="str">
            <v>NKV</v>
          </cell>
          <cell r="E446" t="str">
            <v>HPH18056651</v>
          </cell>
          <cell r="F446" t="str">
            <v>KWS</v>
          </cell>
          <cell r="G446" t="str">
            <v>SITC</v>
          </cell>
        </row>
        <row r="447">
          <cell r="B447" t="str">
            <v>V180729</v>
          </cell>
          <cell r="C447">
            <v>15</v>
          </cell>
          <cell r="D447" t="str">
            <v>OCS</v>
          </cell>
          <cell r="E447" t="str">
            <v>HPH18056654</v>
          </cell>
          <cell r="F447" t="str">
            <v>OSK</v>
          </cell>
          <cell r="G447" t="str">
            <v>SITC</v>
          </cell>
        </row>
        <row r="448">
          <cell r="B448" t="str">
            <v>V180730</v>
          </cell>
          <cell r="C448">
            <v>2</v>
          </cell>
          <cell r="D448" t="str">
            <v>KWE</v>
          </cell>
          <cell r="E448" t="str">
            <v>HPH18056655</v>
          </cell>
          <cell r="F448" t="str">
            <v>HKT</v>
          </cell>
          <cell r="G448" t="str">
            <v>SITC</v>
          </cell>
        </row>
        <row r="449">
          <cell r="B449" t="str">
            <v>V180733</v>
          </cell>
          <cell r="C449">
            <v>3</v>
          </cell>
          <cell r="D449" t="str">
            <v>SHI</v>
          </cell>
          <cell r="E449" t="str">
            <v>HPH18057232</v>
          </cell>
          <cell r="F449" t="str">
            <v>TYO</v>
          </cell>
          <cell r="G449" t="str">
            <v>SITC</v>
          </cell>
        </row>
        <row r="450">
          <cell r="B450" t="str">
            <v>V180734</v>
          </cell>
          <cell r="C450">
            <v>3</v>
          </cell>
          <cell r="D450" t="str">
            <v>NKV</v>
          </cell>
          <cell r="E450" t="str">
            <v>HPH18056651</v>
          </cell>
          <cell r="F450" t="str">
            <v>KWS</v>
          </cell>
          <cell r="G450" t="str">
            <v>SITC</v>
          </cell>
        </row>
        <row r="451">
          <cell r="B451" t="str">
            <v>V180735</v>
          </cell>
          <cell r="C451">
            <v>2</v>
          </cell>
          <cell r="D451" t="str">
            <v>OCS</v>
          </cell>
          <cell r="E451" t="str">
            <v>HPH18056654</v>
          </cell>
          <cell r="F451" t="str">
            <v>OSK</v>
          </cell>
          <cell r="G451" t="str">
            <v>SITC</v>
          </cell>
        </row>
        <row r="452">
          <cell r="B452" t="str">
            <v>V180736</v>
          </cell>
          <cell r="C452">
            <v>5</v>
          </cell>
          <cell r="D452" t="str">
            <v>OCS</v>
          </cell>
          <cell r="E452" t="str">
            <v>HPH18056654</v>
          </cell>
          <cell r="F452" t="str">
            <v>OSK</v>
          </cell>
          <cell r="G452" t="str">
            <v>SITC</v>
          </cell>
        </row>
        <row r="453">
          <cell r="B453" t="str">
            <v>V180737</v>
          </cell>
          <cell r="C453">
            <v>2</v>
          </cell>
          <cell r="D453" t="str">
            <v>KWE</v>
          </cell>
          <cell r="E453" t="str">
            <v>HPH18056655</v>
          </cell>
          <cell r="F453" t="str">
            <v>HKT</v>
          </cell>
          <cell r="G453" t="str">
            <v>SITC</v>
          </cell>
        </row>
        <row r="454">
          <cell r="B454" t="str">
            <v>V180738</v>
          </cell>
          <cell r="C454">
            <v>4</v>
          </cell>
          <cell r="D454" t="str">
            <v>NIP</v>
          </cell>
          <cell r="E454" t="str">
            <v>350BK8004887</v>
          </cell>
          <cell r="F454" t="str">
            <v>TAOYUAN</v>
          </cell>
          <cell r="G454" t="str">
            <v>TSL</v>
          </cell>
        </row>
        <row r="455">
          <cell r="B455" t="str">
            <v>V180739</v>
          </cell>
          <cell r="C455">
            <v>6</v>
          </cell>
          <cell r="D455" t="str">
            <v>SHI</v>
          </cell>
          <cell r="E455" t="str">
            <v>HPH18057223</v>
          </cell>
          <cell r="F455" t="str">
            <v>TYO</v>
          </cell>
          <cell r="G455" t="str">
            <v>SITC</v>
          </cell>
        </row>
        <row r="456">
          <cell r="B456" t="str">
            <v>V180740</v>
          </cell>
          <cell r="C456">
            <v>6</v>
          </cell>
          <cell r="D456" t="str">
            <v>SHI</v>
          </cell>
          <cell r="E456" t="str">
            <v>HPH18057024</v>
          </cell>
          <cell r="F456" t="str">
            <v>KWS</v>
          </cell>
          <cell r="G456" t="str">
            <v>SITC</v>
          </cell>
        </row>
        <row r="457">
          <cell r="B457" t="str">
            <v>V180741</v>
          </cell>
          <cell r="C457">
            <v>11</v>
          </cell>
          <cell r="D457" t="str">
            <v>SHI</v>
          </cell>
          <cell r="E457" t="str">
            <v>HPH18057024</v>
          </cell>
          <cell r="F457" t="str">
            <v>KWS</v>
          </cell>
          <cell r="G457" t="str">
            <v>SITC</v>
          </cell>
        </row>
        <row r="458">
          <cell r="B458" t="str">
            <v>V180742</v>
          </cell>
          <cell r="C458">
            <v>11</v>
          </cell>
          <cell r="D458" t="str">
            <v>NIP</v>
          </cell>
          <cell r="E458" t="str">
            <v>1008X02206</v>
          </cell>
          <cell r="F458" t="str">
            <v>OSK</v>
          </cell>
          <cell r="G458" t="str">
            <v>WHL</v>
          </cell>
        </row>
        <row r="459">
          <cell r="B459" t="str">
            <v>V180743</v>
          </cell>
          <cell r="C459">
            <v>5</v>
          </cell>
          <cell r="D459" t="str">
            <v>EXP</v>
          </cell>
          <cell r="E459" t="str">
            <v xml:space="preserve">1008X02227 </v>
          </cell>
          <cell r="F459" t="str">
            <v>TYO</v>
          </cell>
          <cell r="G459" t="str">
            <v>WHL</v>
          </cell>
        </row>
        <row r="460">
          <cell r="B460" t="str">
            <v>V180744</v>
          </cell>
          <cell r="C460">
            <v>7</v>
          </cell>
          <cell r="D460" t="str">
            <v>NIP</v>
          </cell>
          <cell r="E460" t="str">
            <v>HPH18057227</v>
          </cell>
          <cell r="F460" t="str">
            <v>KWS</v>
          </cell>
          <cell r="G460" t="str">
            <v>SITC</v>
          </cell>
        </row>
        <row r="461">
          <cell r="B461" t="str">
            <v>V180745</v>
          </cell>
          <cell r="C461">
            <v>10</v>
          </cell>
          <cell r="D461" t="str">
            <v>NKV</v>
          </cell>
          <cell r="E461" t="str">
            <v xml:space="preserve">1008X02216 </v>
          </cell>
          <cell r="F461" t="str">
            <v>OSK</v>
          </cell>
          <cell r="G461" t="str">
            <v>WHL</v>
          </cell>
        </row>
        <row r="462">
          <cell r="B462" t="str">
            <v>V180746</v>
          </cell>
          <cell r="C462">
            <v>6</v>
          </cell>
          <cell r="D462" t="str">
            <v>KWE</v>
          </cell>
          <cell r="E462" t="str">
            <v>350BK8004800</v>
          </cell>
          <cell r="F462" t="str">
            <v>HKT</v>
          </cell>
          <cell r="G462" t="str">
            <v>TSL</v>
          </cell>
        </row>
        <row r="463">
          <cell r="B463" t="str">
            <v>V180747</v>
          </cell>
          <cell r="C463">
            <v>5</v>
          </cell>
          <cell r="D463" t="str">
            <v>SHI</v>
          </cell>
          <cell r="E463" t="str">
            <v>HPH18057223</v>
          </cell>
          <cell r="F463" t="str">
            <v>TYO</v>
          </cell>
          <cell r="G463" t="str">
            <v>SITC</v>
          </cell>
        </row>
        <row r="464">
          <cell r="B464" t="str">
            <v>V180748</v>
          </cell>
          <cell r="C464">
            <v>4</v>
          </cell>
          <cell r="D464" t="str">
            <v>CEVA</v>
          </cell>
          <cell r="E464" t="str">
            <v xml:space="preserve">1008X02228 </v>
          </cell>
          <cell r="F464" t="str">
            <v>TYO</v>
          </cell>
          <cell r="G464" t="str">
            <v>WHL</v>
          </cell>
        </row>
        <row r="465">
          <cell r="B465" t="str">
            <v>V180749</v>
          </cell>
          <cell r="C465">
            <v>13</v>
          </cell>
          <cell r="D465" t="str">
            <v>NKV</v>
          </cell>
          <cell r="E465" t="str">
            <v>HPH18057225</v>
          </cell>
          <cell r="F465" t="str">
            <v>KWS</v>
          </cell>
          <cell r="G465" t="str">
            <v>SITC</v>
          </cell>
        </row>
        <row r="466">
          <cell r="B466" t="str">
            <v>V180750</v>
          </cell>
          <cell r="C466">
            <v>11</v>
          </cell>
          <cell r="D466" t="str">
            <v>OCS</v>
          </cell>
          <cell r="E466" t="str">
            <v xml:space="preserve">1008X02217 </v>
          </cell>
          <cell r="F466" t="str">
            <v>OSK</v>
          </cell>
          <cell r="G466" t="str">
            <v>WHL</v>
          </cell>
        </row>
        <row r="467">
          <cell r="B467" t="str">
            <v>V180751</v>
          </cell>
          <cell r="C467">
            <v>6</v>
          </cell>
          <cell r="D467" t="str">
            <v>KWE</v>
          </cell>
          <cell r="E467" t="str">
            <v xml:space="preserve">1008X02226 </v>
          </cell>
          <cell r="F467" t="str">
            <v>TYO</v>
          </cell>
          <cell r="G467" t="str">
            <v>WHL</v>
          </cell>
        </row>
        <row r="468">
          <cell r="B468" t="str">
            <v>V180752</v>
          </cell>
          <cell r="C468">
            <v>3</v>
          </cell>
          <cell r="D468" t="str">
            <v>KWE</v>
          </cell>
          <cell r="E468">
            <v>237800138459</v>
          </cell>
          <cell r="F468" t="str">
            <v>TYO</v>
          </cell>
          <cell r="G468" t="str">
            <v>EGLV</v>
          </cell>
        </row>
        <row r="469">
          <cell r="B469" t="str">
            <v>V180753</v>
          </cell>
          <cell r="C469">
            <v>1</v>
          </cell>
          <cell r="D469" t="str">
            <v>NIP</v>
          </cell>
          <cell r="E469">
            <v>237800138467</v>
          </cell>
          <cell r="F469" t="str">
            <v>TYO</v>
          </cell>
          <cell r="G469" t="str">
            <v>EGLV</v>
          </cell>
        </row>
        <row r="470">
          <cell r="B470" t="str">
            <v>V180754</v>
          </cell>
          <cell r="C470">
            <v>9</v>
          </cell>
          <cell r="D470" t="str">
            <v>NKV</v>
          </cell>
          <cell r="E470" t="str">
            <v>HPH18057225</v>
          </cell>
          <cell r="F470" t="str">
            <v>KWS</v>
          </cell>
          <cell r="G470" t="str">
            <v>SITC</v>
          </cell>
        </row>
        <row r="471">
          <cell r="B471" t="str">
            <v>V180755</v>
          </cell>
          <cell r="C471">
            <v>1</v>
          </cell>
          <cell r="D471" t="str">
            <v>NIP</v>
          </cell>
          <cell r="E471" t="str">
            <v>1008X02218</v>
          </cell>
          <cell r="F471" t="str">
            <v>NGO</v>
          </cell>
          <cell r="G471" t="str">
            <v>WHL</v>
          </cell>
        </row>
        <row r="472">
          <cell r="B472" t="str">
            <v>V180756</v>
          </cell>
          <cell r="C472">
            <v>9</v>
          </cell>
          <cell r="D472" t="str">
            <v>SHI</v>
          </cell>
          <cell r="E472" t="str">
            <v xml:space="preserve">1008X02215 </v>
          </cell>
          <cell r="F472" t="str">
            <v>OSK</v>
          </cell>
          <cell r="G472" t="str">
            <v>WHL</v>
          </cell>
        </row>
        <row r="473">
          <cell r="B473" t="str">
            <v>V180757</v>
          </cell>
          <cell r="C473">
            <v>5</v>
          </cell>
          <cell r="D473" t="str">
            <v>NIP</v>
          </cell>
          <cell r="E473" t="str">
            <v>HPH18057229</v>
          </cell>
          <cell r="F473" t="str">
            <v>HKT</v>
          </cell>
          <cell r="G473" t="str">
            <v>SITC</v>
          </cell>
        </row>
        <row r="474">
          <cell r="B474" t="str">
            <v>V180758</v>
          </cell>
          <cell r="C474">
            <v>5</v>
          </cell>
          <cell r="D474" t="str">
            <v>CEVA</v>
          </cell>
          <cell r="E474" t="str">
            <v>VN00370789</v>
          </cell>
          <cell r="F474" t="str">
            <v>ISH</v>
          </cell>
          <cell r="G474" t="str">
            <v>KMTC</v>
          </cell>
        </row>
        <row r="475">
          <cell r="B475" t="str">
            <v>V180759</v>
          </cell>
          <cell r="C475">
            <v>10</v>
          </cell>
          <cell r="D475" t="str">
            <v>SHI</v>
          </cell>
          <cell r="E475" t="str">
            <v>HPH18057223</v>
          </cell>
          <cell r="F475" t="str">
            <v>TYO</v>
          </cell>
          <cell r="G475" t="str">
            <v>SITC</v>
          </cell>
        </row>
        <row r="476">
          <cell r="B476" t="str">
            <v>V180760</v>
          </cell>
          <cell r="C476">
            <v>4</v>
          </cell>
          <cell r="D476" t="str">
            <v>CEVA</v>
          </cell>
          <cell r="E476" t="str">
            <v xml:space="preserve">1008X02228 </v>
          </cell>
          <cell r="F476" t="str">
            <v>TYO</v>
          </cell>
          <cell r="G476" t="str">
            <v>WHL</v>
          </cell>
        </row>
        <row r="477">
          <cell r="B477" t="str">
            <v>V180761</v>
          </cell>
          <cell r="C477">
            <v>10</v>
          </cell>
          <cell r="D477" t="str">
            <v>NKV</v>
          </cell>
          <cell r="E477" t="str">
            <v xml:space="preserve">1008X02216 </v>
          </cell>
          <cell r="F477" t="str">
            <v>OSK</v>
          </cell>
          <cell r="G477" t="str">
            <v>WHL</v>
          </cell>
        </row>
        <row r="478">
          <cell r="B478" t="str">
            <v>V180762</v>
          </cell>
          <cell r="C478">
            <v>5</v>
          </cell>
          <cell r="D478" t="str">
            <v>KWE</v>
          </cell>
          <cell r="E478" t="str">
            <v>350BK8004801</v>
          </cell>
          <cell r="F478" t="str">
            <v>TAOTUAN</v>
          </cell>
          <cell r="G478" t="str">
            <v>TSL</v>
          </cell>
        </row>
        <row r="479">
          <cell r="B479" t="str">
            <v>V180763</v>
          </cell>
          <cell r="C479">
            <v>2</v>
          </cell>
          <cell r="D479" t="str">
            <v>CEVA</v>
          </cell>
          <cell r="E479" t="str">
            <v>350BK8004797</v>
          </cell>
          <cell r="F479" t="str">
            <v>TYO</v>
          </cell>
          <cell r="G479" t="str">
            <v>TSL</v>
          </cell>
        </row>
        <row r="480">
          <cell r="B480" t="str">
            <v>V180764</v>
          </cell>
          <cell r="C480">
            <v>5</v>
          </cell>
          <cell r="D480" t="str">
            <v>NIP</v>
          </cell>
          <cell r="E480" t="str">
            <v>HPH18057228</v>
          </cell>
          <cell r="F480" t="str">
            <v>KWS</v>
          </cell>
          <cell r="G480" t="str">
            <v>SITC</v>
          </cell>
        </row>
        <row r="481">
          <cell r="B481" t="str">
            <v>V180765</v>
          </cell>
          <cell r="C481">
            <v>11</v>
          </cell>
          <cell r="D481" t="str">
            <v>OCS</v>
          </cell>
          <cell r="E481" t="str">
            <v xml:space="preserve">1008X02223 </v>
          </cell>
          <cell r="F481" t="str">
            <v>OSK</v>
          </cell>
          <cell r="G481" t="str">
            <v>WHL</v>
          </cell>
        </row>
        <row r="482">
          <cell r="B482" t="str">
            <v>V180766</v>
          </cell>
          <cell r="C482">
            <v>6</v>
          </cell>
          <cell r="D482" t="str">
            <v>NIP</v>
          </cell>
          <cell r="E482" t="str">
            <v>HPH18057229</v>
          </cell>
          <cell r="F482" t="str">
            <v>HKT</v>
          </cell>
          <cell r="G482" t="str">
            <v>SITC</v>
          </cell>
        </row>
        <row r="483">
          <cell r="B483" t="str">
            <v>V180767</v>
          </cell>
          <cell r="C483">
            <v>8</v>
          </cell>
          <cell r="D483" t="str">
            <v>SHI</v>
          </cell>
          <cell r="E483" t="str">
            <v>HPH18057224</v>
          </cell>
          <cell r="F483" t="str">
            <v>TYO</v>
          </cell>
          <cell r="G483" t="str">
            <v>SITC</v>
          </cell>
        </row>
        <row r="484">
          <cell r="B484" t="str">
            <v>V180768</v>
          </cell>
          <cell r="C484">
            <v>6</v>
          </cell>
          <cell r="D484" t="str">
            <v>NKV</v>
          </cell>
          <cell r="E484" t="str">
            <v>HPH18057226</v>
          </cell>
          <cell r="F484" t="str">
            <v>KWS</v>
          </cell>
          <cell r="G484" t="str">
            <v>SITC</v>
          </cell>
        </row>
        <row r="485">
          <cell r="B485" t="str">
            <v>V180769</v>
          </cell>
          <cell r="C485">
            <v>16</v>
          </cell>
          <cell r="D485" t="str">
            <v>OCS</v>
          </cell>
          <cell r="E485" t="str">
            <v>HPH18057230</v>
          </cell>
          <cell r="F485" t="str">
            <v>OSK</v>
          </cell>
          <cell r="G485" t="str">
            <v>SITC</v>
          </cell>
        </row>
        <row r="486">
          <cell r="B486" t="str">
            <v>V180770</v>
          </cell>
          <cell r="C486">
            <v>6</v>
          </cell>
          <cell r="D486" t="str">
            <v>OCS</v>
          </cell>
          <cell r="E486" t="str">
            <v>HPH18057413</v>
          </cell>
          <cell r="F486" t="str">
            <v>OSK</v>
          </cell>
          <cell r="G486" t="str">
            <v>SITC</v>
          </cell>
        </row>
        <row r="487">
          <cell r="B487" t="str">
            <v>V180771</v>
          </cell>
          <cell r="C487">
            <v>3</v>
          </cell>
          <cell r="D487" t="str">
            <v>SHI</v>
          </cell>
          <cell r="E487" t="str">
            <v>HPH18057224</v>
          </cell>
          <cell r="F487" t="str">
            <v>TYO</v>
          </cell>
          <cell r="G487" t="str">
            <v>SITC</v>
          </cell>
        </row>
        <row r="488">
          <cell r="B488" t="str">
            <v>V180772</v>
          </cell>
          <cell r="C488">
            <v>2</v>
          </cell>
          <cell r="D488" t="str">
            <v>NKV</v>
          </cell>
          <cell r="E488" t="str">
            <v>HPH18057226</v>
          </cell>
          <cell r="F488" t="str">
            <v>KWS</v>
          </cell>
          <cell r="G488" t="str">
            <v>SITC</v>
          </cell>
        </row>
        <row r="489">
          <cell r="B489" t="str">
            <v>V180773</v>
          </cell>
          <cell r="C489">
            <v>7</v>
          </cell>
          <cell r="D489" t="str">
            <v>OCS</v>
          </cell>
          <cell r="E489" t="str">
            <v>HPH18057413</v>
          </cell>
          <cell r="F489" t="str">
            <v>OSK</v>
          </cell>
          <cell r="G489" t="str">
            <v>SITC</v>
          </cell>
        </row>
        <row r="490">
          <cell r="B490" t="str">
            <v>V180774</v>
          </cell>
          <cell r="C490">
            <v>3</v>
          </cell>
          <cell r="D490" t="str">
            <v>NKV</v>
          </cell>
          <cell r="E490" t="str">
            <v>1008X02394</v>
          </cell>
          <cell r="F490" t="str">
            <v>OSK</v>
          </cell>
          <cell r="G490" t="str">
            <v>WHL</v>
          </cell>
        </row>
        <row r="491">
          <cell r="B491" t="str">
            <v>V180775</v>
          </cell>
          <cell r="C491">
            <v>5</v>
          </cell>
          <cell r="D491" t="str">
            <v>SHI</v>
          </cell>
          <cell r="E491" t="str">
            <v>HPH18057408</v>
          </cell>
          <cell r="F491" t="str">
            <v>TYO</v>
          </cell>
          <cell r="G491" t="str">
            <v>SITC</v>
          </cell>
        </row>
        <row r="492">
          <cell r="B492" t="str">
            <v>V180776</v>
          </cell>
          <cell r="C492">
            <v>9</v>
          </cell>
          <cell r="D492" t="str">
            <v>NKV</v>
          </cell>
          <cell r="E492" t="str">
            <v>HPH18057410</v>
          </cell>
          <cell r="F492" t="str">
            <v>KWS</v>
          </cell>
          <cell r="G492" t="str">
            <v>SITC</v>
          </cell>
        </row>
        <row r="493">
          <cell r="B493" t="str">
            <v>V180777</v>
          </cell>
          <cell r="C493">
            <v>6</v>
          </cell>
          <cell r="D493" t="str">
            <v>SHI</v>
          </cell>
          <cell r="E493" t="str">
            <v xml:space="preserve">1008X02225 </v>
          </cell>
          <cell r="F493" t="str">
            <v>TYO</v>
          </cell>
          <cell r="G493" t="str">
            <v>WHL</v>
          </cell>
        </row>
        <row r="494">
          <cell r="B494" t="str">
            <v>V180778</v>
          </cell>
          <cell r="C494">
            <v>14</v>
          </cell>
          <cell r="D494" t="str">
            <v>OCS</v>
          </cell>
          <cell r="E494" t="str">
            <v>1008X02214</v>
          </cell>
          <cell r="F494" t="str">
            <v>OSK</v>
          </cell>
          <cell r="G494" t="str">
            <v>WHL</v>
          </cell>
        </row>
        <row r="495">
          <cell r="B495" t="str">
            <v>V180779</v>
          </cell>
          <cell r="C495">
            <v>7</v>
          </cell>
          <cell r="D495" t="str">
            <v>NKV</v>
          </cell>
          <cell r="E495" t="str">
            <v>HPH18057231</v>
          </cell>
          <cell r="F495" t="str">
            <v>KWS</v>
          </cell>
          <cell r="G495" t="str">
            <v>SITC</v>
          </cell>
        </row>
        <row r="496">
          <cell r="B496" t="str">
            <v>V180780</v>
          </cell>
          <cell r="C496">
            <v>3</v>
          </cell>
          <cell r="D496" t="str">
            <v>SHI</v>
          </cell>
          <cell r="E496" t="str">
            <v>1008X02212</v>
          </cell>
          <cell r="F496" t="str">
            <v>HKT</v>
          </cell>
          <cell r="G496" t="str">
            <v>WHL</v>
          </cell>
        </row>
        <row r="497">
          <cell r="B497" t="str">
            <v>V180781</v>
          </cell>
          <cell r="C497">
            <v>7</v>
          </cell>
          <cell r="D497" t="str">
            <v>NIP</v>
          </cell>
          <cell r="E497" t="str">
            <v>1008X02213</v>
          </cell>
          <cell r="F497" t="str">
            <v>OSK</v>
          </cell>
          <cell r="G497" t="str">
            <v>WHL</v>
          </cell>
        </row>
        <row r="498">
          <cell r="B498" t="str">
            <v>V180782</v>
          </cell>
          <cell r="C498">
            <v>1</v>
          </cell>
          <cell r="D498" t="str">
            <v>SHI</v>
          </cell>
          <cell r="E498" t="str">
            <v xml:space="preserve">1008X02402 </v>
          </cell>
          <cell r="F498" t="str">
            <v>NGO</v>
          </cell>
          <cell r="G498" t="str">
            <v>WHL</v>
          </cell>
        </row>
        <row r="499">
          <cell r="B499" t="str">
            <v>V180783</v>
          </cell>
          <cell r="C499">
            <v>6</v>
          </cell>
          <cell r="D499" t="str">
            <v>OCS</v>
          </cell>
          <cell r="E499" t="str">
            <v xml:space="preserve">1008X02403 </v>
          </cell>
          <cell r="F499" t="str">
            <v>OSK</v>
          </cell>
          <cell r="G499" t="str">
            <v>WHL</v>
          </cell>
        </row>
        <row r="500">
          <cell r="B500" t="str">
            <v>V180784</v>
          </cell>
          <cell r="C500">
            <v>6</v>
          </cell>
          <cell r="D500" t="str">
            <v>KWE</v>
          </cell>
          <cell r="E500" t="str">
            <v>1008X02406</v>
          </cell>
          <cell r="F500" t="str">
            <v>HKT</v>
          </cell>
          <cell r="G500" t="str">
            <v>WHL</v>
          </cell>
        </row>
        <row r="501">
          <cell r="B501" t="str">
            <v>V180785</v>
          </cell>
          <cell r="C501">
            <v>5</v>
          </cell>
          <cell r="D501" t="str">
            <v>EXP</v>
          </cell>
          <cell r="E501" t="str">
            <v>1008X02470</v>
          </cell>
          <cell r="F501" t="str">
            <v>TYO</v>
          </cell>
          <cell r="G501" t="str">
            <v>WHL</v>
          </cell>
        </row>
        <row r="502">
          <cell r="B502" t="str">
            <v>V180786</v>
          </cell>
          <cell r="C502">
            <v>4</v>
          </cell>
          <cell r="D502" t="str">
            <v>CEVA</v>
          </cell>
          <cell r="E502" t="str">
            <v>350BK8005193</v>
          </cell>
          <cell r="F502" t="str">
            <v>TYO</v>
          </cell>
          <cell r="G502" t="str">
            <v>TSL</v>
          </cell>
        </row>
        <row r="503">
          <cell r="B503" t="str">
            <v>V180787</v>
          </cell>
          <cell r="C503">
            <v>8</v>
          </cell>
          <cell r="D503" t="str">
            <v>NKV</v>
          </cell>
          <cell r="E503" t="str">
            <v>HPH18057410</v>
          </cell>
          <cell r="F503" t="str">
            <v>KWS</v>
          </cell>
          <cell r="G503" t="str">
            <v>SITC</v>
          </cell>
        </row>
        <row r="504">
          <cell r="B504" t="str">
            <v>V180788</v>
          </cell>
          <cell r="C504">
            <v>9</v>
          </cell>
          <cell r="D504" t="str">
            <v>SHI</v>
          </cell>
          <cell r="E504" t="str">
            <v>1008X02405</v>
          </cell>
          <cell r="F504" t="str">
            <v>OSK</v>
          </cell>
          <cell r="G504" t="str">
            <v>WHL</v>
          </cell>
        </row>
        <row r="505">
          <cell r="B505" t="str">
            <v>V180789</v>
          </cell>
          <cell r="C505">
            <v>2</v>
          </cell>
          <cell r="D505" t="str">
            <v>CEVA</v>
          </cell>
          <cell r="E505" t="str">
            <v>VN00372371</v>
          </cell>
          <cell r="F505" t="str">
            <v>ISH</v>
          </cell>
          <cell r="G505" t="str">
            <v>KMTC</v>
          </cell>
        </row>
        <row r="506">
          <cell r="B506" t="str">
            <v>V180790</v>
          </cell>
          <cell r="C506">
            <v>5</v>
          </cell>
          <cell r="D506" t="str">
            <v>SHI</v>
          </cell>
          <cell r="E506" t="str">
            <v>HPH18057409</v>
          </cell>
          <cell r="F506" t="str">
            <v>TYO</v>
          </cell>
          <cell r="G506" t="str">
            <v>SITC</v>
          </cell>
        </row>
        <row r="507">
          <cell r="B507" t="str">
            <v>V180791</v>
          </cell>
          <cell r="C507">
            <v>12</v>
          </cell>
          <cell r="D507" t="str">
            <v>NKV</v>
          </cell>
          <cell r="E507" t="str">
            <v>HPH18057411</v>
          </cell>
          <cell r="F507" t="str">
            <v>KWS</v>
          </cell>
          <cell r="G507" t="str">
            <v>SITC</v>
          </cell>
        </row>
        <row r="508">
          <cell r="B508" t="str">
            <v>V180792</v>
          </cell>
          <cell r="C508">
            <v>9</v>
          </cell>
          <cell r="D508" t="str">
            <v>OCS</v>
          </cell>
          <cell r="E508" t="str">
            <v xml:space="preserve">1008X02404 </v>
          </cell>
          <cell r="F508" t="str">
            <v>OSK</v>
          </cell>
          <cell r="G508" t="str">
            <v>WHL</v>
          </cell>
        </row>
        <row r="509">
          <cell r="B509" t="str">
            <v>V180793</v>
          </cell>
          <cell r="C509">
            <v>4</v>
          </cell>
          <cell r="D509" t="str">
            <v>KWE</v>
          </cell>
          <cell r="E509" t="str">
            <v xml:space="preserve">1008X02407 </v>
          </cell>
          <cell r="F509" t="str">
            <v>HKT</v>
          </cell>
          <cell r="G509" t="str">
            <v>WHL</v>
          </cell>
        </row>
        <row r="510">
          <cell r="B510" t="str">
            <v>V180794</v>
          </cell>
          <cell r="C510">
            <v>2</v>
          </cell>
          <cell r="D510" t="str">
            <v>SHI</v>
          </cell>
          <cell r="E510" t="str">
            <v>HPH18057409</v>
          </cell>
          <cell r="F510" t="str">
            <v>TYO</v>
          </cell>
          <cell r="G510" t="str">
            <v>SITC</v>
          </cell>
        </row>
        <row r="511">
          <cell r="B511" t="str">
            <v>V180795</v>
          </cell>
          <cell r="C511">
            <v>2</v>
          </cell>
          <cell r="D511" t="str">
            <v>CEVA</v>
          </cell>
          <cell r="E511" t="str">
            <v>350BK8005192</v>
          </cell>
          <cell r="F511" t="str">
            <v>TYO</v>
          </cell>
          <cell r="G511" t="str">
            <v>TSL</v>
          </cell>
        </row>
        <row r="512">
          <cell r="B512" t="str">
            <v>V180796</v>
          </cell>
          <cell r="C512">
            <v>1</v>
          </cell>
          <cell r="D512" t="str">
            <v>OCS</v>
          </cell>
          <cell r="E512">
            <v>237800146222</v>
          </cell>
          <cell r="F512" t="str">
            <v>TYO</v>
          </cell>
          <cell r="G512" t="str">
            <v>EGLV</v>
          </cell>
        </row>
        <row r="513">
          <cell r="B513" t="str">
            <v>V180797</v>
          </cell>
          <cell r="C513">
            <v>7</v>
          </cell>
          <cell r="D513" t="str">
            <v>NKV</v>
          </cell>
          <cell r="E513" t="str">
            <v>HPH18057411</v>
          </cell>
          <cell r="F513" t="str">
            <v>KWS</v>
          </cell>
          <cell r="G513" t="str">
            <v>SITC</v>
          </cell>
        </row>
        <row r="514">
          <cell r="B514" t="str">
            <v>V180798</v>
          </cell>
          <cell r="C514">
            <v>16</v>
          </cell>
          <cell r="D514" t="str">
            <v>OCS</v>
          </cell>
          <cell r="E514" t="str">
            <v xml:space="preserve">1008X02404 </v>
          </cell>
          <cell r="F514" t="str">
            <v>OSK</v>
          </cell>
          <cell r="G514" t="str">
            <v>WHL</v>
          </cell>
        </row>
        <row r="515">
          <cell r="B515" t="str">
            <v>V180799</v>
          </cell>
          <cell r="C515">
            <v>5</v>
          </cell>
          <cell r="D515" t="str">
            <v>OCS</v>
          </cell>
          <cell r="E515" t="str">
            <v>350BK8005194</v>
          </cell>
          <cell r="F515" t="str">
            <v>TAOYUAN</v>
          </cell>
          <cell r="G515" t="str">
            <v>TSL</v>
          </cell>
        </row>
        <row r="516">
          <cell r="B516" t="str">
            <v>V180800</v>
          </cell>
          <cell r="C516">
            <v>2</v>
          </cell>
          <cell r="D516" t="str">
            <v>CEVA</v>
          </cell>
          <cell r="E516" t="str">
            <v>VN00372371</v>
          </cell>
          <cell r="F516" t="str">
            <v>ISH</v>
          </cell>
          <cell r="G516" t="str">
            <v>KMTC</v>
          </cell>
        </row>
        <row r="517">
          <cell r="B517" t="str">
            <v>V180801</v>
          </cell>
          <cell r="C517">
            <v>5</v>
          </cell>
          <cell r="D517" t="str">
            <v>SHI</v>
          </cell>
          <cell r="E517" t="str">
            <v>HPH18057409</v>
          </cell>
          <cell r="F517" t="str">
            <v>TYO</v>
          </cell>
          <cell r="G517" t="str">
            <v>SITC</v>
          </cell>
        </row>
        <row r="518">
          <cell r="B518" t="str">
            <v>V180802</v>
          </cell>
          <cell r="C518">
            <v>5</v>
          </cell>
          <cell r="D518" t="str">
            <v>NKV</v>
          </cell>
          <cell r="E518" t="str">
            <v>HPH18057664</v>
          </cell>
          <cell r="F518" t="str">
            <v>KWS</v>
          </cell>
          <cell r="G518" t="str">
            <v>SITC</v>
          </cell>
        </row>
        <row r="519">
          <cell r="B519" t="str">
            <v>V180803</v>
          </cell>
          <cell r="C519">
            <v>4</v>
          </cell>
          <cell r="D519" t="str">
            <v>OCS</v>
          </cell>
          <cell r="E519" t="str">
            <v xml:space="preserve">1008X02404 </v>
          </cell>
          <cell r="F519" t="str">
            <v>OSK</v>
          </cell>
          <cell r="G519" t="str">
            <v>WHL</v>
          </cell>
        </row>
        <row r="520">
          <cell r="B520" t="str">
            <v>V180804</v>
          </cell>
          <cell r="C520">
            <v>2</v>
          </cell>
          <cell r="D520" t="str">
            <v>KWE</v>
          </cell>
          <cell r="E520" t="str">
            <v xml:space="preserve">1008X02407 </v>
          </cell>
          <cell r="F520" t="str">
            <v>HKT</v>
          </cell>
          <cell r="G520" t="str">
            <v>WHL</v>
          </cell>
        </row>
        <row r="521">
          <cell r="B521" t="str">
            <v>V180805</v>
          </cell>
          <cell r="C521">
            <v>1</v>
          </cell>
          <cell r="D521" t="str">
            <v>KWE</v>
          </cell>
          <cell r="E521">
            <v>74555571</v>
          </cell>
          <cell r="F521" t="str">
            <v>NAHA</v>
          </cell>
          <cell r="G521" t="str">
            <v>APL</v>
          </cell>
        </row>
        <row r="522">
          <cell r="B522" t="str">
            <v>V180806</v>
          </cell>
          <cell r="C522">
            <v>5</v>
          </cell>
          <cell r="D522" t="str">
            <v>OCS</v>
          </cell>
          <cell r="E522" t="str">
            <v>HPH18058012</v>
          </cell>
          <cell r="F522" t="str">
            <v>OSK</v>
          </cell>
          <cell r="G522" t="str">
            <v>SITC</v>
          </cell>
        </row>
        <row r="523">
          <cell r="B523" t="str">
            <v>V180807</v>
          </cell>
          <cell r="C523">
            <v>5</v>
          </cell>
          <cell r="D523" t="str">
            <v>KWE</v>
          </cell>
          <cell r="E523" t="str">
            <v>HPH18058016</v>
          </cell>
          <cell r="F523" t="str">
            <v>TYO</v>
          </cell>
          <cell r="G523" t="str">
            <v>SITC</v>
          </cell>
        </row>
        <row r="524">
          <cell r="B524" t="str">
            <v>V180808</v>
          </cell>
          <cell r="C524">
            <v>2</v>
          </cell>
          <cell r="D524" t="str">
            <v>CEVA</v>
          </cell>
          <cell r="E524" t="str">
            <v>HPH18058004</v>
          </cell>
          <cell r="F524" t="str">
            <v>TYO</v>
          </cell>
          <cell r="G524" t="str">
            <v>SITC</v>
          </cell>
        </row>
        <row r="525">
          <cell r="B525" t="str">
            <v>V180809</v>
          </cell>
          <cell r="C525">
            <v>4</v>
          </cell>
          <cell r="D525" t="str">
            <v>NKV</v>
          </cell>
          <cell r="E525" t="str">
            <v>HPH18058009</v>
          </cell>
          <cell r="F525" t="str">
            <v>KWS</v>
          </cell>
          <cell r="G525" t="str">
            <v>SITC</v>
          </cell>
        </row>
        <row r="526">
          <cell r="B526" t="str">
            <v>V180810</v>
          </cell>
          <cell r="C526">
            <v>5</v>
          </cell>
          <cell r="D526" t="str">
            <v>OCS</v>
          </cell>
          <cell r="E526" t="str">
            <v>HPH18058012</v>
          </cell>
          <cell r="F526" t="str">
            <v>OSK</v>
          </cell>
          <cell r="G526" t="str">
            <v>SITC</v>
          </cell>
        </row>
        <row r="527">
          <cell r="B527" t="str">
            <v>V180811</v>
          </cell>
          <cell r="C527">
            <v>2</v>
          </cell>
          <cell r="D527" t="str">
            <v>KWE</v>
          </cell>
          <cell r="E527" t="str">
            <v>HPH18058014</v>
          </cell>
          <cell r="F527" t="str">
            <v>HKT</v>
          </cell>
          <cell r="G527" t="str">
            <v>SITC</v>
          </cell>
        </row>
        <row r="528">
          <cell r="B528" t="str">
            <v>V180812</v>
          </cell>
          <cell r="C528">
            <v>9</v>
          </cell>
          <cell r="D528" t="str">
            <v>NIP</v>
          </cell>
          <cell r="E528" t="str">
            <v>1008X02411</v>
          </cell>
          <cell r="F528" t="str">
            <v>OSK</v>
          </cell>
          <cell r="G528" t="str">
            <v>WHL</v>
          </cell>
        </row>
        <row r="529">
          <cell r="B529" t="str">
            <v>V180813</v>
          </cell>
          <cell r="C529">
            <v>9</v>
          </cell>
          <cell r="D529" t="str">
            <v>NIP</v>
          </cell>
          <cell r="E529" t="str">
            <v>1008X02411</v>
          </cell>
          <cell r="F529" t="str">
            <v>OSK</v>
          </cell>
          <cell r="G529" t="str">
            <v>WHL</v>
          </cell>
        </row>
        <row r="530">
          <cell r="B530" t="str">
            <v>V180814</v>
          </cell>
          <cell r="C530">
            <v>14</v>
          </cell>
          <cell r="D530" t="str">
            <v>NKV</v>
          </cell>
          <cell r="E530" t="str">
            <v>HPH18057412</v>
          </cell>
          <cell r="F530" t="str">
            <v>KWS</v>
          </cell>
          <cell r="G530" t="str">
            <v>SITC</v>
          </cell>
        </row>
        <row r="531">
          <cell r="B531" t="str">
            <v>V180815</v>
          </cell>
          <cell r="C531">
            <v>10</v>
          </cell>
          <cell r="D531" t="str">
            <v>NIP</v>
          </cell>
          <cell r="E531" t="str">
            <v xml:space="preserve">1008X02560 </v>
          </cell>
          <cell r="F531" t="str">
            <v>OSK</v>
          </cell>
          <cell r="G531" t="str">
            <v>WHL</v>
          </cell>
        </row>
        <row r="532">
          <cell r="B532" t="str">
            <v>V180816</v>
          </cell>
          <cell r="C532">
            <v>8</v>
          </cell>
          <cell r="D532" t="str">
            <v>SHI</v>
          </cell>
          <cell r="E532" t="str">
            <v>HPH18058019</v>
          </cell>
          <cell r="F532" t="str">
            <v>TYO</v>
          </cell>
          <cell r="G532" t="str">
            <v>SITC</v>
          </cell>
        </row>
        <row r="533">
          <cell r="B533" t="str">
            <v>V180817</v>
          </cell>
          <cell r="C533">
            <v>5</v>
          </cell>
          <cell r="D533" t="str">
            <v>SHI</v>
          </cell>
          <cell r="E533" t="str">
            <v>HPH18058018</v>
          </cell>
          <cell r="F533" t="str">
            <v>TYO</v>
          </cell>
          <cell r="G533" t="str">
            <v>SITC</v>
          </cell>
        </row>
        <row r="534">
          <cell r="B534" t="str">
            <v>V180818</v>
          </cell>
          <cell r="C534">
            <v>7</v>
          </cell>
          <cell r="D534" t="str">
            <v>NKV</v>
          </cell>
          <cell r="E534" t="str">
            <v>HPH18058007</v>
          </cell>
          <cell r="F534" t="str">
            <v>KWS</v>
          </cell>
          <cell r="G534" t="str">
            <v>SITC</v>
          </cell>
        </row>
        <row r="535">
          <cell r="B535" t="str">
            <v>V180819</v>
          </cell>
          <cell r="C535">
            <v>7</v>
          </cell>
          <cell r="D535" t="str">
            <v>OCS</v>
          </cell>
          <cell r="E535" t="str">
            <v>1008X02570</v>
          </cell>
          <cell r="F535" t="str">
            <v>OSK</v>
          </cell>
          <cell r="G535" t="str">
            <v>WHL</v>
          </cell>
        </row>
        <row r="536">
          <cell r="B536" t="str">
            <v>V180820</v>
          </cell>
          <cell r="C536">
            <v>6</v>
          </cell>
          <cell r="D536" t="str">
            <v>NIP</v>
          </cell>
          <cell r="E536" t="str">
            <v>1008X02575</v>
          </cell>
          <cell r="F536" t="str">
            <v>HKT</v>
          </cell>
          <cell r="G536" t="str">
            <v>WHL</v>
          </cell>
        </row>
        <row r="537">
          <cell r="B537" t="str">
            <v>V180821</v>
          </cell>
          <cell r="C537">
            <v>2</v>
          </cell>
          <cell r="D537" t="str">
            <v>OCS</v>
          </cell>
          <cell r="E537" t="str">
            <v>350BK8005728</v>
          </cell>
          <cell r="F537" t="str">
            <v>TAOYUAN</v>
          </cell>
          <cell r="G537" t="str">
            <v>TSL</v>
          </cell>
        </row>
        <row r="538">
          <cell r="B538" t="str">
            <v>V180822</v>
          </cell>
          <cell r="C538">
            <v>2</v>
          </cell>
          <cell r="D538" t="str">
            <v>CEVA</v>
          </cell>
          <cell r="E538" t="str">
            <v>VN00374069</v>
          </cell>
          <cell r="F538" t="str">
            <v>ISH</v>
          </cell>
          <cell r="G538" t="str">
            <v>KMTC</v>
          </cell>
        </row>
        <row r="539">
          <cell r="B539" t="str">
            <v>V180823</v>
          </cell>
          <cell r="C539">
            <v>5</v>
          </cell>
          <cell r="D539" t="str">
            <v>EXP</v>
          </cell>
          <cell r="E539" t="str">
            <v>350BK8005550</v>
          </cell>
          <cell r="F539" t="str">
            <v>TYO</v>
          </cell>
          <cell r="G539" t="str">
            <v>TSL</v>
          </cell>
        </row>
        <row r="540">
          <cell r="B540" t="str">
            <v>V180824</v>
          </cell>
          <cell r="C540">
            <v>8</v>
          </cell>
          <cell r="D540" t="str">
            <v>NKV</v>
          </cell>
          <cell r="E540" t="str">
            <v>HPH18058007</v>
          </cell>
          <cell r="F540" t="str">
            <v>KWS</v>
          </cell>
          <cell r="G540" t="str">
            <v>SITC</v>
          </cell>
        </row>
        <row r="541">
          <cell r="B541" t="str">
            <v>V180825</v>
          </cell>
          <cell r="C541">
            <v>7</v>
          </cell>
          <cell r="D541" t="str">
            <v>OCS</v>
          </cell>
          <cell r="E541" t="str">
            <v>HPH18058020</v>
          </cell>
          <cell r="F541" t="str">
            <v>OSK</v>
          </cell>
          <cell r="G541" t="str">
            <v>SITC</v>
          </cell>
        </row>
        <row r="542">
          <cell r="B542" t="str">
            <v>V180826</v>
          </cell>
          <cell r="C542">
            <v>1</v>
          </cell>
          <cell r="D542" t="str">
            <v>KWE</v>
          </cell>
          <cell r="E542" t="str">
            <v>350BK8006015</v>
          </cell>
          <cell r="F542" t="str">
            <v>TAOYUAN</v>
          </cell>
          <cell r="G542" t="str">
            <v>TSL</v>
          </cell>
        </row>
        <row r="543">
          <cell r="B543" t="str">
            <v>V180827</v>
          </cell>
          <cell r="C543">
            <v>5</v>
          </cell>
          <cell r="D543" t="str">
            <v>SHI</v>
          </cell>
          <cell r="E543" t="str">
            <v>HPH18058001</v>
          </cell>
          <cell r="F543" t="str">
            <v>TYO</v>
          </cell>
          <cell r="G543" t="str">
            <v>SITC</v>
          </cell>
        </row>
        <row r="544">
          <cell r="B544" t="str">
            <v>V180828</v>
          </cell>
          <cell r="C544">
            <v>8</v>
          </cell>
          <cell r="D544" t="str">
            <v>NKV</v>
          </cell>
          <cell r="E544" t="str">
            <v>HPH18058008</v>
          </cell>
          <cell r="F544" t="str">
            <v>KWS</v>
          </cell>
          <cell r="G544" t="str">
            <v>SITC</v>
          </cell>
        </row>
        <row r="545">
          <cell r="B545" t="str">
            <v>V180829</v>
          </cell>
          <cell r="C545">
            <v>1</v>
          </cell>
          <cell r="D545" t="str">
            <v>NKV</v>
          </cell>
          <cell r="E545" t="str">
            <v xml:space="preserve">1008X02586 </v>
          </cell>
          <cell r="F545" t="str">
            <v>NGO</v>
          </cell>
          <cell r="G545" t="str">
            <v>WHL</v>
          </cell>
        </row>
        <row r="546">
          <cell r="B546" t="str">
            <v>V180830</v>
          </cell>
          <cell r="C546">
            <v>8</v>
          </cell>
          <cell r="D546" t="str">
            <v>OCS</v>
          </cell>
          <cell r="E546" t="str">
            <v>1008X02572</v>
          </cell>
          <cell r="F546" t="str">
            <v>OSK</v>
          </cell>
          <cell r="G546" t="str">
            <v>WHL</v>
          </cell>
        </row>
        <row r="547">
          <cell r="B547" t="str">
            <v>V180831</v>
          </cell>
          <cell r="C547">
            <v>6</v>
          </cell>
          <cell r="D547" t="str">
            <v>NIP</v>
          </cell>
          <cell r="E547" t="str">
            <v xml:space="preserve">1008X02573 </v>
          </cell>
          <cell r="F547" t="str">
            <v>HKT</v>
          </cell>
          <cell r="G547" t="str">
            <v>WHL</v>
          </cell>
        </row>
        <row r="548">
          <cell r="B548" t="str">
            <v>V180832</v>
          </cell>
          <cell r="C548">
            <v>1</v>
          </cell>
          <cell r="D548" t="str">
            <v>CEVA</v>
          </cell>
          <cell r="E548" t="str">
            <v>VN00374164</v>
          </cell>
          <cell r="F548" t="str">
            <v>ISH</v>
          </cell>
          <cell r="G548" t="str">
            <v>KMTC</v>
          </cell>
        </row>
        <row r="549">
          <cell r="B549" t="str">
            <v>V180833</v>
          </cell>
          <cell r="C549">
            <v>4</v>
          </cell>
          <cell r="D549" t="str">
            <v>NKV</v>
          </cell>
          <cell r="E549" t="str">
            <v>HPH18058003</v>
          </cell>
          <cell r="F549" t="str">
            <v>TYO</v>
          </cell>
          <cell r="G549" t="str">
            <v>SITC</v>
          </cell>
        </row>
        <row r="550">
          <cell r="B550" t="str">
            <v>V180834</v>
          </cell>
          <cell r="C550">
            <v>5</v>
          </cell>
          <cell r="D550" t="str">
            <v>CEVA</v>
          </cell>
          <cell r="E550" t="str">
            <v>HPH18058005</v>
          </cell>
          <cell r="F550" t="str">
            <v>TYO</v>
          </cell>
          <cell r="G550" t="str">
            <v>SITC</v>
          </cell>
        </row>
        <row r="551">
          <cell r="B551" t="str">
            <v>V180835</v>
          </cell>
          <cell r="C551">
            <v>11</v>
          </cell>
          <cell r="D551" t="str">
            <v>NIP</v>
          </cell>
          <cell r="E551" t="str">
            <v>HPH18058011</v>
          </cell>
          <cell r="F551" t="str">
            <v>KWS</v>
          </cell>
          <cell r="G551" t="str">
            <v>SITC</v>
          </cell>
        </row>
        <row r="552">
          <cell r="B552" t="str">
            <v>V180836</v>
          </cell>
          <cell r="C552">
            <v>6</v>
          </cell>
          <cell r="D552" t="str">
            <v>OCS</v>
          </cell>
          <cell r="E552" t="str">
            <v>1008X02572</v>
          </cell>
          <cell r="F552" t="str">
            <v>OSK</v>
          </cell>
          <cell r="G552" t="str">
            <v>WHL</v>
          </cell>
        </row>
        <row r="553">
          <cell r="B553" t="str">
            <v>V180837</v>
          </cell>
          <cell r="C553">
            <v>5</v>
          </cell>
          <cell r="D553" t="str">
            <v>KWE</v>
          </cell>
          <cell r="E553" t="str">
            <v>HPH18058002</v>
          </cell>
          <cell r="F553" t="str">
            <v>TYO</v>
          </cell>
          <cell r="G553" t="str">
            <v>SITC</v>
          </cell>
        </row>
        <row r="554">
          <cell r="B554" t="str">
            <v>V180838</v>
          </cell>
          <cell r="C554">
            <v>8</v>
          </cell>
          <cell r="D554" t="str">
            <v>NKV</v>
          </cell>
          <cell r="E554" t="str">
            <v>HPH18058010</v>
          </cell>
          <cell r="F554" t="str">
            <v>KWS</v>
          </cell>
          <cell r="G554" t="str">
            <v>SITC</v>
          </cell>
        </row>
        <row r="555">
          <cell r="B555" t="str">
            <v>V180839</v>
          </cell>
          <cell r="C555">
            <v>7</v>
          </cell>
          <cell r="D555" t="str">
            <v>OCS</v>
          </cell>
          <cell r="E555" t="str">
            <v>HPH18058013</v>
          </cell>
          <cell r="F555" t="str">
            <v>OSK</v>
          </cell>
          <cell r="G555" t="str">
            <v>SITC</v>
          </cell>
        </row>
        <row r="556">
          <cell r="B556" t="str">
            <v>V180840</v>
          </cell>
          <cell r="C556">
            <v>3</v>
          </cell>
          <cell r="D556" t="str">
            <v>NIP</v>
          </cell>
          <cell r="E556" t="str">
            <v xml:space="preserve">1008X02573 </v>
          </cell>
          <cell r="F556" t="str">
            <v>HKT</v>
          </cell>
          <cell r="G556" t="str">
            <v>WHL</v>
          </cell>
        </row>
        <row r="557">
          <cell r="B557" t="str">
            <v>V180841</v>
          </cell>
          <cell r="C557">
            <v>2</v>
          </cell>
          <cell r="D557" t="str">
            <v>CEVA</v>
          </cell>
          <cell r="E557" t="str">
            <v>VN00374164</v>
          </cell>
          <cell r="F557" t="str">
            <v>ISH</v>
          </cell>
          <cell r="G557" t="str">
            <v>KMTC</v>
          </cell>
        </row>
        <row r="558">
          <cell r="B558" t="str">
            <v>V180842</v>
          </cell>
          <cell r="C558">
            <v>1</v>
          </cell>
          <cell r="D558" t="str">
            <v>KWE</v>
          </cell>
          <cell r="E558" t="str">
            <v>HPH18058002</v>
          </cell>
          <cell r="F558" t="str">
            <v>TYO</v>
          </cell>
          <cell r="G558" t="str">
            <v>SITC</v>
          </cell>
        </row>
        <row r="559">
          <cell r="B559" t="str">
            <v>V180843</v>
          </cell>
          <cell r="C559">
            <v>6</v>
          </cell>
          <cell r="D559" t="str">
            <v>NKV</v>
          </cell>
          <cell r="E559" t="str">
            <v>HPH18058010</v>
          </cell>
          <cell r="F559" t="str">
            <v>KWS</v>
          </cell>
          <cell r="G559" t="str">
            <v>SITC</v>
          </cell>
        </row>
        <row r="560">
          <cell r="B560" t="str">
            <v>V180844</v>
          </cell>
          <cell r="C560">
            <v>6</v>
          </cell>
          <cell r="D560" t="str">
            <v>OCS</v>
          </cell>
          <cell r="E560" t="str">
            <v>HPH18058013</v>
          </cell>
          <cell r="F560" t="str">
            <v>OSK</v>
          </cell>
          <cell r="G560" t="str">
            <v>SITC</v>
          </cell>
        </row>
        <row r="561">
          <cell r="B561" t="str">
            <v>V180845</v>
          </cell>
          <cell r="C561">
            <v>2</v>
          </cell>
          <cell r="D561" t="str">
            <v>NIP</v>
          </cell>
          <cell r="E561" t="str">
            <v>HPH18068345</v>
          </cell>
          <cell r="F561" t="str">
            <v>HKT</v>
          </cell>
          <cell r="G561" t="str">
            <v>SITC</v>
          </cell>
        </row>
        <row r="562">
          <cell r="B562" t="str">
            <v>V180846</v>
          </cell>
          <cell r="C562">
            <v>5</v>
          </cell>
          <cell r="D562" t="str">
            <v>KWE</v>
          </cell>
          <cell r="E562" t="str">
            <v>HPH18058002</v>
          </cell>
          <cell r="F562" t="str">
            <v>TYO</v>
          </cell>
          <cell r="G562" t="str">
            <v>SITC</v>
          </cell>
        </row>
        <row r="563">
          <cell r="B563" t="str">
            <v>V180847</v>
          </cell>
          <cell r="C563">
            <v>4</v>
          </cell>
          <cell r="D563" t="str">
            <v>KWE</v>
          </cell>
          <cell r="E563" t="str">
            <v>HPH18068334</v>
          </cell>
          <cell r="F563" t="str">
            <v>TYO</v>
          </cell>
          <cell r="G563" t="str">
            <v>SITC</v>
          </cell>
        </row>
        <row r="564">
          <cell r="B564" t="str">
            <v>V180848</v>
          </cell>
          <cell r="C564">
            <v>5</v>
          </cell>
          <cell r="D564" t="str">
            <v>EXP</v>
          </cell>
          <cell r="E564" t="str">
            <v>350BK8005907</v>
          </cell>
          <cell r="F564" t="str">
            <v>TYO</v>
          </cell>
          <cell r="G564" t="str">
            <v>TSL</v>
          </cell>
        </row>
        <row r="565">
          <cell r="B565" t="str">
            <v>V180849</v>
          </cell>
          <cell r="C565">
            <v>3</v>
          </cell>
          <cell r="D565" t="str">
            <v>CEVA</v>
          </cell>
          <cell r="E565" t="str">
            <v>VN00375807</v>
          </cell>
          <cell r="F565" t="str">
            <v>ISH</v>
          </cell>
          <cell r="G565" t="str">
            <v>KMTC</v>
          </cell>
        </row>
        <row r="566">
          <cell r="B566" t="str">
            <v>V180850</v>
          </cell>
          <cell r="C566">
            <v>10</v>
          </cell>
          <cell r="D566" t="str">
            <v>SHI</v>
          </cell>
          <cell r="E566" t="str">
            <v xml:space="preserve">1008X02576 </v>
          </cell>
          <cell r="F566" t="str">
            <v>OSK</v>
          </cell>
          <cell r="G566" t="str">
            <v>WHL</v>
          </cell>
        </row>
        <row r="567">
          <cell r="B567" t="str">
            <v>V180851</v>
          </cell>
          <cell r="C567">
            <v>19</v>
          </cell>
          <cell r="D567" t="str">
            <v>NKV</v>
          </cell>
          <cell r="E567" t="str">
            <v>HPH18058006</v>
          </cell>
          <cell r="F567" t="str">
            <v>KWS</v>
          </cell>
          <cell r="G567" t="str">
            <v>SITC</v>
          </cell>
        </row>
        <row r="568">
          <cell r="B568" t="str">
            <v>V180852</v>
          </cell>
          <cell r="C568">
            <v>5</v>
          </cell>
          <cell r="D568" t="str">
            <v>YUS</v>
          </cell>
          <cell r="E568" t="str">
            <v>1008X02587</v>
          </cell>
          <cell r="F568" t="str">
            <v>TYO</v>
          </cell>
          <cell r="G568" t="str">
            <v>WHL</v>
          </cell>
        </row>
        <row r="569">
          <cell r="B569" t="str">
            <v>V180853</v>
          </cell>
          <cell r="C569">
            <v>10</v>
          </cell>
          <cell r="D569" t="str">
            <v>SHI</v>
          </cell>
          <cell r="E569" t="str">
            <v xml:space="preserve">1008X02576 </v>
          </cell>
          <cell r="F569" t="str">
            <v>OSK</v>
          </cell>
          <cell r="G569" t="str">
            <v>WHL</v>
          </cell>
        </row>
        <row r="570">
          <cell r="B570" t="str">
            <v>V180854</v>
          </cell>
          <cell r="C570">
            <v>5</v>
          </cell>
          <cell r="D570" t="str">
            <v>NIP</v>
          </cell>
          <cell r="E570" t="str">
            <v xml:space="preserve">1008X02761 </v>
          </cell>
          <cell r="F570" t="str">
            <v>HKT</v>
          </cell>
          <cell r="G570" t="str">
            <v>WHL</v>
          </cell>
        </row>
        <row r="571">
          <cell r="B571" t="str">
            <v>V180855</v>
          </cell>
          <cell r="C571">
            <v>4</v>
          </cell>
          <cell r="D571" t="str">
            <v>YUS</v>
          </cell>
          <cell r="E571" t="str">
            <v xml:space="preserve">1008X02765 </v>
          </cell>
          <cell r="F571" t="str">
            <v>TYO</v>
          </cell>
          <cell r="G571" t="str">
            <v>WHL</v>
          </cell>
        </row>
        <row r="572">
          <cell r="B572" t="str">
            <v>V180856</v>
          </cell>
          <cell r="C572">
            <v>14</v>
          </cell>
          <cell r="D572" t="str">
            <v>NKV</v>
          </cell>
          <cell r="E572" t="str">
            <v>HPH18068337</v>
          </cell>
          <cell r="F572" t="str">
            <v>KWS</v>
          </cell>
          <cell r="G572" t="str">
            <v>SITC</v>
          </cell>
        </row>
        <row r="573">
          <cell r="B573" t="str">
            <v>V180857</v>
          </cell>
          <cell r="C573">
            <v>16</v>
          </cell>
          <cell r="D573" t="str">
            <v>OCS</v>
          </cell>
          <cell r="E573" t="str">
            <v xml:space="preserve">1008X02764 </v>
          </cell>
          <cell r="F573" t="str">
            <v>OSK</v>
          </cell>
          <cell r="G573" t="str">
            <v>WHL</v>
          </cell>
        </row>
        <row r="574">
          <cell r="B574" t="str">
            <v>V180858</v>
          </cell>
          <cell r="C574">
            <v>4</v>
          </cell>
          <cell r="D574" t="str">
            <v>CEVA</v>
          </cell>
          <cell r="E574">
            <v>237800161787</v>
          </cell>
          <cell r="F574" t="str">
            <v>TYO</v>
          </cell>
          <cell r="G574" t="str">
            <v>EGLV</v>
          </cell>
        </row>
        <row r="575">
          <cell r="B575" t="str">
            <v>V180859</v>
          </cell>
          <cell r="C575">
            <v>12</v>
          </cell>
          <cell r="D575" t="str">
            <v>OCS</v>
          </cell>
          <cell r="E575" t="str">
            <v xml:space="preserve">1008X02764 </v>
          </cell>
          <cell r="F575" t="str">
            <v>OSK</v>
          </cell>
          <cell r="G575" t="str">
            <v>WHL</v>
          </cell>
        </row>
        <row r="576">
          <cell r="B576" t="str">
            <v>V180860</v>
          </cell>
          <cell r="C576">
            <v>6</v>
          </cell>
          <cell r="D576" t="str">
            <v>NIP</v>
          </cell>
          <cell r="E576" t="str">
            <v xml:space="preserve">1008X02761 </v>
          </cell>
          <cell r="F576" t="str">
            <v>HKT</v>
          </cell>
          <cell r="G576" t="str">
            <v>WHL</v>
          </cell>
        </row>
        <row r="577">
          <cell r="B577" t="str">
            <v>V180861</v>
          </cell>
          <cell r="C577">
            <v>1</v>
          </cell>
          <cell r="D577" t="str">
            <v>CEVA</v>
          </cell>
          <cell r="E577" t="str">
            <v>VN00375807</v>
          </cell>
          <cell r="F577" t="str">
            <v>ISH</v>
          </cell>
          <cell r="G577" t="str">
            <v>KMTC</v>
          </cell>
        </row>
        <row r="578">
          <cell r="B578" t="str">
            <v>V180862</v>
          </cell>
          <cell r="C578">
            <v>9</v>
          </cell>
          <cell r="D578" t="str">
            <v>KWE</v>
          </cell>
          <cell r="E578" t="str">
            <v>HPH18068334</v>
          </cell>
          <cell r="F578" t="str">
            <v>TYO</v>
          </cell>
          <cell r="G578" t="str">
            <v>SITC</v>
          </cell>
        </row>
        <row r="579">
          <cell r="B579" t="str">
            <v>V180863</v>
          </cell>
          <cell r="C579">
            <v>12</v>
          </cell>
          <cell r="D579" t="str">
            <v>NKV</v>
          </cell>
          <cell r="E579" t="str">
            <v>HPH18068337</v>
          </cell>
          <cell r="F579" t="str">
            <v>KWS</v>
          </cell>
          <cell r="G579" t="str">
            <v>SITC</v>
          </cell>
        </row>
        <row r="580">
          <cell r="B580" t="str">
            <v>V180864</v>
          </cell>
          <cell r="C580">
            <v>4</v>
          </cell>
          <cell r="D580" t="str">
            <v>OCS</v>
          </cell>
          <cell r="E580" t="str">
            <v xml:space="preserve">1008X02764 </v>
          </cell>
          <cell r="F580" t="str">
            <v>OSK</v>
          </cell>
          <cell r="G580" t="str">
            <v>WHL</v>
          </cell>
        </row>
        <row r="581">
          <cell r="B581" t="str">
            <v>V180865</v>
          </cell>
          <cell r="C581">
            <v>1</v>
          </cell>
          <cell r="D581" t="str">
            <v>CEVA</v>
          </cell>
          <cell r="E581" t="str">
            <v>350BK8005908</v>
          </cell>
          <cell r="F581" t="str">
            <v>TYO</v>
          </cell>
          <cell r="G581" t="str">
            <v>TSL</v>
          </cell>
        </row>
        <row r="582">
          <cell r="B582" t="str">
            <v>V180866</v>
          </cell>
          <cell r="C582">
            <v>2</v>
          </cell>
          <cell r="D582" t="str">
            <v>CEVA</v>
          </cell>
          <cell r="E582" t="str">
            <v xml:space="preserve">1008X02766 </v>
          </cell>
          <cell r="F582" t="str">
            <v>TYO</v>
          </cell>
          <cell r="G582" t="str">
            <v>WHL</v>
          </cell>
        </row>
        <row r="583">
          <cell r="B583" t="str">
            <v>V180868</v>
          </cell>
          <cell r="C583">
            <v>3</v>
          </cell>
          <cell r="D583" t="str">
            <v>CEVA</v>
          </cell>
          <cell r="E583" t="str">
            <v>VN00375809</v>
          </cell>
          <cell r="F583" t="str">
            <v>ISH</v>
          </cell>
          <cell r="G583" t="str">
            <v>KMTC</v>
          </cell>
        </row>
        <row r="584">
          <cell r="B584" t="str">
            <v>V180869</v>
          </cell>
          <cell r="C584">
            <v>5</v>
          </cell>
          <cell r="D584" t="str">
            <v>KWE</v>
          </cell>
          <cell r="E584" t="str">
            <v>HPH18068335</v>
          </cell>
          <cell r="F584" t="str">
            <v>TYO</v>
          </cell>
          <cell r="G584" t="str">
            <v>SITC</v>
          </cell>
        </row>
        <row r="585">
          <cell r="B585" t="str">
            <v>V180870</v>
          </cell>
          <cell r="C585">
            <v>10</v>
          </cell>
          <cell r="D585" t="str">
            <v>YUS</v>
          </cell>
          <cell r="E585" t="str">
            <v>HPH18068336</v>
          </cell>
          <cell r="F585" t="str">
            <v>KWS</v>
          </cell>
          <cell r="G585" t="str">
            <v>SITC</v>
          </cell>
        </row>
        <row r="586">
          <cell r="B586" t="str">
            <v>V180871</v>
          </cell>
          <cell r="C586">
            <v>8</v>
          </cell>
          <cell r="D586" t="str">
            <v>SHI</v>
          </cell>
          <cell r="E586" t="str">
            <v>HPH18068338</v>
          </cell>
          <cell r="F586" t="str">
            <v>OSK</v>
          </cell>
          <cell r="G586" t="str">
            <v>SITC</v>
          </cell>
        </row>
        <row r="587">
          <cell r="B587" t="str">
            <v>V180872</v>
          </cell>
          <cell r="C587">
            <v>2</v>
          </cell>
          <cell r="D587" t="str">
            <v>NIP</v>
          </cell>
          <cell r="E587" t="str">
            <v>HPH18068339</v>
          </cell>
          <cell r="F587" t="str">
            <v>HKT</v>
          </cell>
          <cell r="G587" t="str">
            <v>SITC</v>
          </cell>
        </row>
        <row r="588">
          <cell r="B588" t="str">
            <v>V180873</v>
          </cell>
          <cell r="C588">
            <v>1</v>
          </cell>
          <cell r="D588" t="str">
            <v>CEVA</v>
          </cell>
          <cell r="E588" t="str">
            <v>HPH18068692</v>
          </cell>
          <cell r="F588" t="str">
            <v>TYO</v>
          </cell>
          <cell r="G588" t="str">
            <v>SITC</v>
          </cell>
        </row>
        <row r="589">
          <cell r="B589" t="str">
            <v>V180874</v>
          </cell>
          <cell r="C589">
            <v>3</v>
          </cell>
          <cell r="D589" t="str">
            <v>KWE</v>
          </cell>
          <cell r="E589" t="str">
            <v>HPH18068335</v>
          </cell>
          <cell r="F589" t="str">
            <v>TYO</v>
          </cell>
          <cell r="G589" t="str">
            <v>SITC</v>
          </cell>
        </row>
        <row r="590">
          <cell r="B590" t="str">
            <v>V180875</v>
          </cell>
          <cell r="C590">
            <v>4</v>
          </cell>
          <cell r="D590" t="str">
            <v>YUS</v>
          </cell>
          <cell r="E590" t="str">
            <v>HPH18068336</v>
          </cell>
          <cell r="F590" t="str">
            <v>KWS</v>
          </cell>
          <cell r="G590" t="str">
            <v>SITC</v>
          </cell>
        </row>
        <row r="591">
          <cell r="B591" t="str">
            <v>V180876</v>
          </cell>
          <cell r="C591">
            <v>5</v>
          </cell>
          <cell r="D591" t="str">
            <v>SHI</v>
          </cell>
          <cell r="E591" t="str">
            <v>HPH18068338</v>
          </cell>
          <cell r="F591" t="str">
            <v>OSK</v>
          </cell>
          <cell r="G591" t="str">
            <v>SITC</v>
          </cell>
        </row>
        <row r="592">
          <cell r="B592" t="str">
            <v>V180877</v>
          </cell>
          <cell r="C592">
            <v>3</v>
          </cell>
          <cell r="D592" t="str">
            <v>NIP</v>
          </cell>
          <cell r="E592" t="str">
            <v>HPH18068339</v>
          </cell>
          <cell r="F592" t="str">
            <v>HKT</v>
          </cell>
          <cell r="G592" t="str">
            <v>SITC</v>
          </cell>
        </row>
        <row r="593">
          <cell r="B593" t="str">
            <v>V180883</v>
          </cell>
          <cell r="C593">
            <v>2</v>
          </cell>
          <cell r="D593" t="str">
            <v>NKV</v>
          </cell>
          <cell r="E593" t="str">
            <v>HPH18068338</v>
          </cell>
          <cell r="F593" t="str">
            <v>OSK</v>
          </cell>
          <cell r="G593" t="str">
            <v>SITC</v>
          </cell>
        </row>
        <row r="594">
          <cell r="B594" t="str">
            <v>V180878</v>
          </cell>
          <cell r="C594">
            <v>5</v>
          </cell>
          <cell r="D594" t="str">
            <v>KWE</v>
          </cell>
          <cell r="E594" t="str">
            <v>HPH18068695</v>
          </cell>
          <cell r="F594" t="str">
            <v>TYO</v>
          </cell>
          <cell r="G594" t="str">
            <v>SITC</v>
          </cell>
        </row>
        <row r="595">
          <cell r="B595" t="str">
            <v>V180879</v>
          </cell>
          <cell r="C595">
            <v>5</v>
          </cell>
          <cell r="D595" t="str">
            <v>NKV</v>
          </cell>
          <cell r="E595" t="str">
            <v>HPH18068697</v>
          </cell>
          <cell r="F595" t="str">
            <v>KWS</v>
          </cell>
          <cell r="G595" t="str">
            <v>SITC</v>
          </cell>
        </row>
        <row r="596">
          <cell r="B596" t="str">
            <v>V180880</v>
          </cell>
          <cell r="C596">
            <v>11</v>
          </cell>
          <cell r="D596" t="str">
            <v>OCS</v>
          </cell>
          <cell r="E596" t="str">
            <v>350BK8006375</v>
          </cell>
          <cell r="F596" t="str">
            <v>OSK</v>
          </cell>
          <cell r="G596" t="str">
            <v>TSL</v>
          </cell>
        </row>
        <row r="597">
          <cell r="B597" t="str">
            <v>V180881</v>
          </cell>
          <cell r="C597">
            <v>6</v>
          </cell>
          <cell r="D597" t="str">
            <v>NIP</v>
          </cell>
          <cell r="E597" t="str">
            <v xml:space="preserve">1008X02950 </v>
          </cell>
          <cell r="F597" t="str">
            <v>HKT</v>
          </cell>
          <cell r="G597" t="str">
            <v>WHL</v>
          </cell>
        </row>
        <row r="598">
          <cell r="B598" t="str">
            <v>V180882</v>
          </cell>
          <cell r="C598">
            <v>6</v>
          </cell>
          <cell r="D598" t="str">
            <v>NKV</v>
          </cell>
          <cell r="E598" t="str">
            <v>HPH18068340</v>
          </cell>
          <cell r="F598" t="str">
            <v>KWS</v>
          </cell>
          <cell r="G598" t="str">
            <v>SITC</v>
          </cell>
        </row>
        <row r="599">
          <cell r="B599" t="str">
            <v>V180884</v>
          </cell>
          <cell r="C599">
            <v>8</v>
          </cell>
          <cell r="D599" t="str">
            <v>SHI</v>
          </cell>
          <cell r="E599" t="str">
            <v xml:space="preserve">1008X02771 </v>
          </cell>
          <cell r="F599" t="str">
            <v>OSK</v>
          </cell>
          <cell r="G599" t="str">
            <v>WHL</v>
          </cell>
        </row>
        <row r="600">
          <cell r="B600" t="str">
            <v>V180885</v>
          </cell>
          <cell r="C600">
            <v>4</v>
          </cell>
          <cell r="D600" t="str">
            <v>NIP</v>
          </cell>
          <cell r="E600" t="str">
            <v xml:space="preserve">1008X02760 </v>
          </cell>
          <cell r="F600" t="str">
            <v>HKT</v>
          </cell>
          <cell r="G600" t="str">
            <v>WHL</v>
          </cell>
        </row>
        <row r="601">
          <cell r="B601" t="str">
            <v>V180886</v>
          </cell>
          <cell r="C601">
            <v>5</v>
          </cell>
          <cell r="D601" t="str">
            <v>YUS</v>
          </cell>
          <cell r="E601" t="str">
            <v xml:space="preserve">1008X02780 </v>
          </cell>
          <cell r="F601" t="str">
            <v>TYO</v>
          </cell>
          <cell r="G601" t="str">
            <v>WHL</v>
          </cell>
        </row>
        <row r="602">
          <cell r="B602" t="str">
            <v>V180887</v>
          </cell>
          <cell r="C602">
            <v>15</v>
          </cell>
          <cell r="D602" t="str">
            <v>NKV</v>
          </cell>
          <cell r="E602" t="str">
            <v>HPH18068340</v>
          </cell>
          <cell r="F602" t="str">
            <v>KWS</v>
          </cell>
          <cell r="G602" t="str">
            <v>SITC</v>
          </cell>
        </row>
        <row r="603">
          <cell r="B603" t="str">
            <v>V180888</v>
          </cell>
          <cell r="C603">
            <v>12</v>
          </cell>
          <cell r="D603" t="str">
            <v>SHI</v>
          </cell>
          <cell r="E603" t="str">
            <v xml:space="preserve">1008X02771 </v>
          </cell>
          <cell r="F603" t="str">
            <v>OSK</v>
          </cell>
          <cell r="G603" t="str">
            <v>WHL</v>
          </cell>
        </row>
        <row r="604">
          <cell r="B604" t="str">
            <v>V180889</v>
          </cell>
          <cell r="C604">
            <v>3</v>
          </cell>
          <cell r="D604" t="str">
            <v>CEVA</v>
          </cell>
          <cell r="E604" t="str">
            <v>VN00377515</v>
          </cell>
          <cell r="F604" t="str">
            <v>ISH</v>
          </cell>
          <cell r="G604" t="str">
            <v>KMTC</v>
          </cell>
        </row>
        <row r="605">
          <cell r="B605" t="str">
            <v>V180890</v>
          </cell>
          <cell r="C605">
            <v>4</v>
          </cell>
          <cell r="D605" t="str">
            <v>YUS</v>
          </cell>
          <cell r="E605">
            <v>237800169338</v>
          </cell>
          <cell r="F605" t="str">
            <v>TYO</v>
          </cell>
          <cell r="G605" t="str">
            <v>EGLV</v>
          </cell>
        </row>
        <row r="606">
          <cell r="B606" t="str">
            <v>V180891</v>
          </cell>
          <cell r="C606">
            <v>2</v>
          </cell>
          <cell r="D606" t="str">
            <v>CEVA</v>
          </cell>
          <cell r="E606">
            <v>237800169354</v>
          </cell>
          <cell r="F606" t="str">
            <v>TYO</v>
          </cell>
          <cell r="G606" t="str">
            <v>EGLV</v>
          </cell>
        </row>
        <row r="607">
          <cell r="B607" t="str">
            <v>V180892</v>
          </cell>
          <cell r="C607">
            <v>5</v>
          </cell>
          <cell r="D607" t="str">
            <v>EXP</v>
          </cell>
          <cell r="E607" t="str">
            <v>350BK8006374</v>
          </cell>
          <cell r="F607" t="str">
            <v>TYO</v>
          </cell>
          <cell r="G607" t="str">
            <v>TSL</v>
          </cell>
        </row>
        <row r="608">
          <cell r="B608" t="str">
            <v>V180893</v>
          </cell>
          <cell r="C608">
            <v>5</v>
          </cell>
          <cell r="D608" t="str">
            <v>NKV</v>
          </cell>
          <cell r="E608" t="str">
            <v>HPH18068697</v>
          </cell>
          <cell r="F608" t="str">
            <v>KWS</v>
          </cell>
          <cell r="G608" t="str">
            <v>SITC</v>
          </cell>
        </row>
        <row r="609">
          <cell r="B609" t="str">
            <v>V180894</v>
          </cell>
          <cell r="C609">
            <v>1</v>
          </cell>
          <cell r="D609" t="str">
            <v>SHI</v>
          </cell>
          <cell r="E609" t="str">
            <v>HPH18069041</v>
          </cell>
          <cell r="F609" t="str">
            <v>TYO</v>
          </cell>
          <cell r="G609" t="str">
            <v>SITC</v>
          </cell>
        </row>
        <row r="610">
          <cell r="B610" t="str">
            <v>V180895</v>
          </cell>
          <cell r="C610">
            <v>8</v>
          </cell>
          <cell r="D610" t="str">
            <v>OCS</v>
          </cell>
          <cell r="E610">
            <v>237800169311</v>
          </cell>
          <cell r="F610" t="str">
            <v>OSK</v>
          </cell>
          <cell r="G610" t="str">
            <v>EGLV</v>
          </cell>
        </row>
        <row r="611">
          <cell r="B611" t="str">
            <v>V180896</v>
          </cell>
          <cell r="C611">
            <v>3</v>
          </cell>
          <cell r="D611" t="str">
            <v>CEVA</v>
          </cell>
          <cell r="E611" t="str">
            <v>VN00380049</v>
          </cell>
          <cell r="F611" t="str">
            <v>ISH</v>
          </cell>
          <cell r="G611" t="str">
            <v>KMTC</v>
          </cell>
        </row>
        <row r="612">
          <cell r="B612" t="str">
            <v>V180897</v>
          </cell>
          <cell r="C612">
            <v>1</v>
          </cell>
          <cell r="D612" t="str">
            <v>CEVA</v>
          </cell>
          <cell r="E612" t="str">
            <v>350BK8006373</v>
          </cell>
          <cell r="F612" t="str">
            <v>TYO</v>
          </cell>
          <cell r="G612" t="str">
            <v>TSL</v>
          </cell>
        </row>
        <row r="613">
          <cell r="B613" t="str">
            <v>V180898</v>
          </cell>
          <cell r="C613">
            <v>5</v>
          </cell>
          <cell r="D613" t="str">
            <v>NIP</v>
          </cell>
          <cell r="E613" t="str">
            <v>HPH18068699</v>
          </cell>
          <cell r="F613" t="str">
            <v>KWS</v>
          </cell>
          <cell r="G613" t="str">
            <v>SITC</v>
          </cell>
        </row>
        <row r="614">
          <cell r="B614" t="str">
            <v>V180899</v>
          </cell>
          <cell r="C614">
            <v>6</v>
          </cell>
          <cell r="D614" t="str">
            <v>OCS</v>
          </cell>
          <cell r="E614" t="str">
            <v xml:space="preserve">1008X02945 </v>
          </cell>
          <cell r="F614" t="str">
            <v>OSK</v>
          </cell>
          <cell r="G614" t="str">
            <v>WHL</v>
          </cell>
        </row>
        <row r="615">
          <cell r="B615" t="str">
            <v>V180900</v>
          </cell>
          <cell r="C615">
            <v>3</v>
          </cell>
          <cell r="D615" t="str">
            <v>NIP</v>
          </cell>
          <cell r="E615" t="str">
            <v xml:space="preserve">1008X02949 </v>
          </cell>
          <cell r="F615" t="str">
            <v>HKT</v>
          </cell>
          <cell r="G615" t="str">
            <v>WHL</v>
          </cell>
        </row>
        <row r="616">
          <cell r="B616" t="str">
            <v>V180901</v>
          </cell>
          <cell r="C616">
            <v>4</v>
          </cell>
          <cell r="D616" t="str">
            <v>KWE</v>
          </cell>
          <cell r="E616" t="str">
            <v>HPH18068696</v>
          </cell>
          <cell r="F616" t="str">
            <v>TYO</v>
          </cell>
          <cell r="G616" t="str">
            <v>SITC</v>
          </cell>
        </row>
        <row r="617">
          <cell r="B617" t="str">
            <v>V180902</v>
          </cell>
          <cell r="C617">
            <v>3</v>
          </cell>
          <cell r="D617" t="str">
            <v>YUS</v>
          </cell>
          <cell r="E617" t="str">
            <v xml:space="preserve">1008X02946 </v>
          </cell>
          <cell r="F617" t="str">
            <v>TYO</v>
          </cell>
          <cell r="G617" t="str">
            <v>WHL</v>
          </cell>
        </row>
        <row r="618">
          <cell r="B618" t="str">
            <v>V180903</v>
          </cell>
          <cell r="C618">
            <v>5</v>
          </cell>
          <cell r="D618" t="str">
            <v>NKV</v>
          </cell>
          <cell r="E618" t="str">
            <v>HPH18068698</v>
          </cell>
          <cell r="F618" t="str">
            <v>KWS</v>
          </cell>
          <cell r="G618" t="str">
            <v>SITC</v>
          </cell>
        </row>
        <row r="619">
          <cell r="B619" t="str">
            <v>V180904</v>
          </cell>
          <cell r="C619">
            <v>4</v>
          </cell>
          <cell r="D619" t="str">
            <v>NKV</v>
          </cell>
          <cell r="E619" t="str">
            <v>HPH18068701</v>
          </cell>
          <cell r="F619" t="str">
            <v>OSK</v>
          </cell>
          <cell r="G619" t="str">
            <v>SITC</v>
          </cell>
        </row>
        <row r="620">
          <cell r="B620" t="str">
            <v>V180905</v>
          </cell>
          <cell r="C620">
            <v>4</v>
          </cell>
          <cell r="D620" t="str">
            <v>CEVA</v>
          </cell>
          <cell r="E620" t="str">
            <v>350BK8006377</v>
          </cell>
          <cell r="F620" t="str">
            <v>TAOYUAN</v>
          </cell>
          <cell r="G620" t="str">
            <v>TSL</v>
          </cell>
        </row>
        <row r="621">
          <cell r="B621" t="str">
            <v>V180906</v>
          </cell>
          <cell r="C621">
            <v>6</v>
          </cell>
          <cell r="D621" t="str">
            <v>KWE</v>
          </cell>
          <cell r="E621" t="str">
            <v>HPH18068696</v>
          </cell>
          <cell r="F621" t="str">
            <v>TYO</v>
          </cell>
          <cell r="G621" t="str">
            <v>SITC</v>
          </cell>
        </row>
        <row r="622">
          <cell r="B622" t="str">
            <v>V180907</v>
          </cell>
          <cell r="C622">
            <v>4</v>
          </cell>
          <cell r="D622" t="str">
            <v>NKV</v>
          </cell>
          <cell r="E622" t="str">
            <v>HPH18068701</v>
          </cell>
          <cell r="F622" t="str">
            <v>OSK</v>
          </cell>
          <cell r="G622" t="str">
            <v>SITC</v>
          </cell>
        </row>
        <row r="623">
          <cell r="B623" t="str">
            <v>V180908</v>
          </cell>
          <cell r="C623">
            <v>3</v>
          </cell>
          <cell r="D623" t="str">
            <v>NIP</v>
          </cell>
          <cell r="E623" t="str">
            <v>HPH18069052</v>
          </cell>
          <cell r="F623" t="str">
            <v>HKT</v>
          </cell>
          <cell r="G623" t="str">
            <v>SITC</v>
          </cell>
        </row>
        <row r="624">
          <cell r="B624" t="str">
            <v>V180909</v>
          </cell>
          <cell r="C624">
            <v>6</v>
          </cell>
          <cell r="D624" t="str">
            <v>NKV</v>
          </cell>
          <cell r="E624" t="str">
            <v>HPH18068698</v>
          </cell>
          <cell r="F624" t="str">
            <v>KWS</v>
          </cell>
          <cell r="G624" t="str">
            <v>SITC</v>
          </cell>
        </row>
        <row r="625">
          <cell r="B625" t="str">
            <v>Z18001</v>
          </cell>
          <cell r="C625">
            <v>5</v>
          </cell>
          <cell r="D625" t="str">
            <v>SHI</v>
          </cell>
          <cell r="E625" t="str">
            <v xml:space="preserve">1008X02771 </v>
          </cell>
          <cell r="F625" t="str">
            <v>OSK</v>
          </cell>
          <cell r="G625" t="str">
            <v>WHL</v>
          </cell>
        </row>
        <row r="626">
          <cell r="B626" t="str">
            <v>Z18002</v>
          </cell>
          <cell r="C626">
            <v>9</v>
          </cell>
          <cell r="D626" t="str">
            <v>NKV</v>
          </cell>
          <cell r="E626" t="str">
            <v>HPH18068340</v>
          </cell>
          <cell r="F626" t="str">
            <v>KWS</v>
          </cell>
          <cell r="G626" t="str">
            <v>SITC</v>
          </cell>
        </row>
        <row r="627">
          <cell r="B627" t="str">
            <v>Z18003</v>
          </cell>
          <cell r="C627">
            <v>2</v>
          </cell>
          <cell r="D627" t="str">
            <v>NIP</v>
          </cell>
          <cell r="E627" t="str">
            <v xml:space="preserve">1008X02760 </v>
          </cell>
          <cell r="F627" t="str">
            <v>HKT</v>
          </cell>
          <cell r="G627" t="str">
            <v>WHL</v>
          </cell>
        </row>
        <row r="628">
          <cell r="B628" t="str">
            <v>Z18004</v>
          </cell>
          <cell r="C628">
            <v>5</v>
          </cell>
          <cell r="D628" t="str">
            <v>SHI</v>
          </cell>
          <cell r="E628" t="str">
            <v xml:space="preserve">1008X02771 </v>
          </cell>
          <cell r="F628" t="str">
            <v>OSK</v>
          </cell>
          <cell r="G628" t="str">
            <v>WHL</v>
          </cell>
        </row>
        <row r="629">
          <cell r="B629" t="str">
            <v>Z18005</v>
          </cell>
          <cell r="C629">
            <v>2</v>
          </cell>
          <cell r="D629" t="str">
            <v>YUS</v>
          </cell>
          <cell r="E629" t="str">
            <v xml:space="preserve">1008X02780 </v>
          </cell>
          <cell r="F629" t="str">
            <v>TYO</v>
          </cell>
          <cell r="G629" t="str">
            <v>WHL</v>
          </cell>
        </row>
        <row r="630">
          <cell r="B630" t="str">
            <v>Z18006</v>
          </cell>
          <cell r="C630">
            <v>4</v>
          </cell>
          <cell r="D630" t="str">
            <v>NKV</v>
          </cell>
          <cell r="E630" t="str">
            <v>HPH18068688</v>
          </cell>
          <cell r="F630" t="str">
            <v>KWS</v>
          </cell>
          <cell r="G630" t="str">
            <v>SITC</v>
          </cell>
        </row>
        <row r="631">
          <cell r="B631" t="str">
            <v>Z18007</v>
          </cell>
          <cell r="C631">
            <v>4</v>
          </cell>
          <cell r="D631" t="str">
            <v>NIP</v>
          </cell>
          <cell r="E631" t="str">
            <v xml:space="preserve">1008X02942 </v>
          </cell>
          <cell r="F631" t="str">
            <v>TYO</v>
          </cell>
          <cell r="G631" t="str">
            <v>WHL</v>
          </cell>
        </row>
        <row r="632">
          <cell r="B632" t="str">
            <v>Z18008</v>
          </cell>
          <cell r="C632">
            <v>5</v>
          </cell>
          <cell r="D632" t="str">
            <v>SHI</v>
          </cell>
          <cell r="E632" t="str">
            <v>HPH18068712</v>
          </cell>
          <cell r="F632" t="str">
            <v>TYO</v>
          </cell>
          <cell r="G632" t="str">
            <v>SITC</v>
          </cell>
        </row>
        <row r="633">
          <cell r="B633" t="str">
            <v>Z18009</v>
          </cell>
          <cell r="C633">
            <v>1</v>
          </cell>
          <cell r="D633" t="str">
            <v>KWE</v>
          </cell>
          <cell r="E633" t="str">
            <v>1008X02982</v>
          </cell>
          <cell r="F633" t="str">
            <v>HKT</v>
          </cell>
          <cell r="G633" t="str">
            <v>WHL</v>
          </cell>
        </row>
        <row r="634">
          <cell r="B634" t="str">
            <v>Z18010</v>
          </cell>
          <cell r="C634">
            <v>1</v>
          </cell>
          <cell r="D634" t="str">
            <v>NIP</v>
          </cell>
          <cell r="E634" t="str">
            <v>1008X03003</v>
          </cell>
          <cell r="F634" t="str">
            <v>NGO</v>
          </cell>
          <cell r="G634" t="str">
            <v>WHL</v>
          </cell>
        </row>
        <row r="635">
          <cell r="B635" t="str">
            <v>Z18011</v>
          </cell>
          <cell r="C635">
            <v>1</v>
          </cell>
          <cell r="D635" t="str">
            <v>CEVA</v>
          </cell>
          <cell r="E635" t="str">
            <v>VN00377515</v>
          </cell>
          <cell r="F635" t="str">
            <v>ISH</v>
          </cell>
          <cell r="G635" t="str">
            <v>KMTC</v>
          </cell>
        </row>
        <row r="636">
          <cell r="B636" t="str">
            <v>Z18012</v>
          </cell>
          <cell r="C636">
            <v>1</v>
          </cell>
          <cell r="D636" t="str">
            <v>NKV</v>
          </cell>
          <cell r="E636" t="str">
            <v>HPH18068697</v>
          </cell>
          <cell r="F636" t="str">
            <v>KWS</v>
          </cell>
          <cell r="G636" t="str">
            <v>SITC</v>
          </cell>
        </row>
        <row r="637">
          <cell r="B637" t="str">
            <v>Z18013</v>
          </cell>
          <cell r="C637">
            <v>1</v>
          </cell>
          <cell r="D637" t="str">
            <v>CEVA</v>
          </cell>
          <cell r="E637" t="str">
            <v>VN00377515</v>
          </cell>
          <cell r="F637" t="str">
            <v>ISH</v>
          </cell>
          <cell r="G637" t="str">
            <v>KMTC</v>
          </cell>
        </row>
        <row r="638">
          <cell r="B638" t="str">
            <v>Z18014</v>
          </cell>
          <cell r="C638">
            <v>2</v>
          </cell>
          <cell r="D638" t="str">
            <v>KWE</v>
          </cell>
          <cell r="E638" t="str">
            <v>HPH18068696</v>
          </cell>
          <cell r="F638" t="str">
            <v>TYO</v>
          </cell>
          <cell r="G638" t="str">
            <v>SITC</v>
          </cell>
        </row>
        <row r="639">
          <cell r="B639" t="str">
            <v>V180910</v>
          </cell>
          <cell r="C639">
            <v>1</v>
          </cell>
          <cell r="D639" t="str">
            <v>CEVA</v>
          </cell>
          <cell r="E639" t="str">
            <v>VN00379623</v>
          </cell>
          <cell r="F639" t="str">
            <v>ISH</v>
          </cell>
          <cell r="G639" t="str">
            <v>KMTC</v>
          </cell>
        </row>
        <row r="640">
          <cell r="B640" t="str">
            <v>V180911</v>
          </cell>
          <cell r="C640">
            <v>7</v>
          </cell>
          <cell r="D640" t="str">
            <v>SHI</v>
          </cell>
          <cell r="E640" t="str">
            <v>HPH18069043</v>
          </cell>
          <cell r="F640" t="str">
            <v>TYO</v>
          </cell>
          <cell r="G640" t="str">
            <v>SITC</v>
          </cell>
        </row>
        <row r="641">
          <cell r="B641" t="str">
            <v>V180912</v>
          </cell>
          <cell r="C641">
            <v>8</v>
          </cell>
          <cell r="D641" t="str">
            <v>YUS</v>
          </cell>
          <cell r="E641" t="str">
            <v xml:space="preserve">1008X03125 </v>
          </cell>
          <cell r="F641" t="str">
            <v>OSK</v>
          </cell>
          <cell r="G641" t="str">
            <v>WHL</v>
          </cell>
        </row>
        <row r="642">
          <cell r="B642" t="str">
            <v>V180913</v>
          </cell>
          <cell r="C642">
            <v>14</v>
          </cell>
          <cell r="D642" t="str">
            <v>NKV</v>
          </cell>
          <cell r="E642" t="str">
            <v>HPH18068702</v>
          </cell>
          <cell r="F642" t="str">
            <v>KWS</v>
          </cell>
          <cell r="G642" t="str">
            <v>SITC</v>
          </cell>
        </row>
        <row r="643">
          <cell r="B643" t="str">
            <v>V180914</v>
          </cell>
          <cell r="C643">
            <v>10</v>
          </cell>
          <cell r="D643" t="str">
            <v>SHI</v>
          </cell>
          <cell r="E643" t="str">
            <v>1008X02947</v>
          </cell>
          <cell r="F643" t="str">
            <v>OSK</v>
          </cell>
          <cell r="G643" t="str">
            <v>WHL</v>
          </cell>
        </row>
        <row r="644">
          <cell r="B644" t="str">
            <v>V180915</v>
          </cell>
          <cell r="C644">
            <v>9</v>
          </cell>
          <cell r="D644" t="str">
            <v>NKV</v>
          </cell>
          <cell r="E644" t="str">
            <v>HPH18068702</v>
          </cell>
          <cell r="F644" t="str">
            <v>KWS</v>
          </cell>
          <cell r="G644" t="str">
            <v>SITC</v>
          </cell>
        </row>
        <row r="645">
          <cell r="B645" t="str">
            <v>V180916</v>
          </cell>
          <cell r="C645">
            <v>4</v>
          </cell>
          <cell r="D645" t="str">
            <v>CEVA</v>
          </cell>
          <cell r="E645">
            <v>237800176458</v>
          </cell>
          <cell r="F645" t="str">
            <v>TYO</v>
          </cell>
          <cell r="G645" t="str">
            <v>EGLV</v>
          </cell>
        </row>
        <row r="646">
          <cell r="B646" t="str">
            <v>V180917</v>
          </cell>
          <cell r="C646">
            <v>4</v>
          </cell>
          <cell r="D646" t="str">
            <v>EXP</v>
          </cell>
          <cell r="E646" t="str">
            <v>350BK8006750</v>
          </cell>
          <cell r="F646" t="str">
            <v>TYO</v>
          </cell>
          <cell r="G646" t="str">
            <v>TSL</v>
          </cell>
        </row>
        <row r="647">
          <cell r="B647" t="str">
            <v>V180918</v>
          </cell>
          <cell r="C647">
            <v>7</v>
          </cell>
          <cell r="D647" t="str">
            <v>NKV</v>
          </cell>
          <cell r="E647" t="str">
            <v>HPH18069045</v>
          </cell>
          <cell r="F647" t="str">
            <v>KWS</v>
          </cell>
          <cell r="G647" t="str">
            <v>SITC</v>
          </cell>
        </row>
        <row r="648">
          <cell r="B648" t="str">
            <v>V180919</v>
          </cell>
          <cell r="C648">
            <v>4</v>
          </cell>
          <cell r="D648" t="str">
            <v>OCS</v>
          </cell>
          <cell r="E648" t="str">
            <v>1008X03123</v>
          </cell>
          <cell r="F648" t="str">
            <v>OSK</v>
          </cell>
          <cell r="G648" t="str">
            <v>WHL</v>
          </cell>
        </row>
        <row r="649">
          <cell r="B649" t="str">
            <v>V180920</v>
          </cell>
          <cell r="C649">
            <v>6</v>
          </cell>
          <cell r="D649" t="str">
            <v>SHI</v>
          </cell>
          <cell r="E649" t="str">
            <v xml:space="preserve">1008X03126 </v>
          </cell>
          <cell r="F649" t="str">
            <v>HKT</v>
          </cell>
          <cell r="G649" t="str">
            <v>WHL</v>
          </cell>
        </row>
        <row r="650">
          <cell r="B650" t="str">
            <v>V180921</v>
          </cell>
          <cell r="C650">
            <v>3</v>
          </cell>
          <cell r="D650" t="str">
            <v>SHI</v>
          </cell>
          <cell r="E650" t="str">
            <v>HPH18069043</v>
          </cell>
          <cell r="F650" t="str">
            <v>TYO</v>
          </cell>
          <cell r="G650" t="str">
            <v>SITC</v>
          </cell>
        </row>
        <row r="651">
          <cell r="B651" t="str">
            <v>V180922</v>
          </cell>
          <cell r="C651">
            <v>1</v>
          </cell>
          <cell r="D651" t="str">
            <v>CEVA</v>
          </cell>
          <cell r="E651" t="str">
            <v>HPH18069359</v>
          </cell>
          <cell r="F651" t="str">
            <v>TYO</v>
          </cell>
          <cell r="G651" t="str">
            <v>SITC</v>
          </cell>
        </row>
        <row r="652">
          <cell r="B652" t="str">
            <v>V180923</v>
          </cell>
          <cell r="C652">
            <v>1</v>
          </cell>
          <cell r="D652" t="str">
            <v>NIP</v>
          </cell>
          <cell r="E652" t="str">
            <v>HPH18069544</v>
          </cell>
          <cell r="F652" t="str">
            <v>HKT</v>
          </cell>
          <cell r="G652" t="str">
            <v>SITC</v>
          </cell>
        </row>
        <row r="653">
          <cell r="B653" t="str">
            <v>V180924</v>
          </cell>
          <cell r="C653">
            <v>6</v>
          </cell>
          <cell r="D653" t="str">
            <v>OCS</v>
          </cell>
          <cell r="E653" t="str">
            <v>1008X03123</v>
          </cell>
          <cell r="F653" t="str">
            <v>OSK</v>
          </cell>
          <cell r="G653" t="str">
            <v>WHL</v>
          </cell>
        </row>
        <row r="654">
          <cell r="B654" t="str">
            <v>V180925</v>
          </cell>
          <cell r="C654">
            <v>5</v>
          </cell>
          <cell r="D654" t="str">
            <v>SHI</v>
          </cell>
          <cell r="E654">
            <v>237800176474</v>
          </cell>
          <cell r="F654" t="str">
            <v>TYO</v>
          </cell>
          <cell r="G654" t="str">
            <v>EGLV</v>
          </cell>
        </row>
        <row r="655">
          <cell r="B655" t="str">
            <v>V180926</v>
          </cell>
          <cell r="C655">
            <v>1</v>
          </cell>
          <cell r="D655" t="str">
            <v>CEVA</v>
          </cell>
          <cell r="E655" t="str">
            <v>350BK8006751</v>
          </cell>
          <cell r="F655" t="str">
            <v>TYO</v>
          </cell>
          <cell r="G655" t="str">
            <v>TSL</v>
          </cell>
        </row>
        <row r="656">
          <cell r="B656" t="str">
            <v>V180927</v>
          </cell>
          <cell r="C656">
            <v>11</v>
          </cell>
          <cell r="D656" t="str">
            <v>NKV</v>
          </cell>
          <cell r="E656" t="str">
            <v>HPH18069045</v>
          </cell>
          <cell r="F656" t="str">
            <v>KWS</v>
          </cell>
          <cell r="G656" t="str">
            <v>SITC</v>
          </cell>
        </row>
        <row r="657">
          <cell r="B657" t="str">
            <v>V180928</v>
          </cell>
          <cell r="C657">
            <v>10</v>
          </cell>
          <cell r="D657" t="str">
            <v>OCS</v>
          </cell>
          <cell r="E657" t="str">
            <v>1008X03123</v>
          </cell>
          <cell r="F657" t="str">
            <v>OSK</v>
          </cell>
          <cell r="G657" t="str">
            <v>WHL</v>
          </cell>
        </row>
        <row r="658">
          <cell r="B658" t="str">
            <v>V180929</v>
          </cell>
          <cell r="C658">
            <v>3</v>
          </cell>
          <cell r="D658" t="str">
            <v>NIP</v>
          </cell>
          <cell r="E658" t="str">
            <v xml:space="preserve">1008X03127 </v>
          </cell>
          <cell r="F658" t="str">
            <v>HKT</v>
          </cell>
          <cell r="G658" t="str">
            <v>WHL</v>
          </cell>
        </row>
        <row r="659">
          <cell r="B659" t="str">
            <v>V180930</v>
          </cell>
          <cell r="C659">
            <v>2</v>
          </cell>
          <cell r="D659" t="str">
            <v>CEVA</v>
          </cell>
          <cell r="E659" t="str">
            <v>VN00381578</v>
          </cell>
          <cell r="F659" t="str">
            <v>ISH</v>
          </cell>
          <cell r="G659" t="str">
            <v>KMTC</v>
          </cell>
        </row>
        <row r="660">
          <cell r="B660" t="str">
            <v>V180931</v>
          </cell>
          <cell r="C660">
            <v>1</v>
          </cell>
          <cell r="D660" t="str">
            <v>CEVA</v>
          </cell>
          <cell r="E660" t="str">
            <v>VN00379623</v>
          </cell>
          <cell r="F660" t="str">
            <v>ISH</v>
          </cell>
          <cell r="G660" t="str">
            <v>KMTC</v>
          </cell>
        </row>
        <row r="661">
          <cell r="B661" t="str">
            <v>V180932</v>
          </cell>
          <cell r="C661">
            <v>1</v>
          </cell>
          <cell r="D661" t="str">
            <v>CEVA</v>
          </cell>
          <cell r="E661">
            <v>237800176466</v>
          </cell>
          <cell r="F661" t="str">
            <v>TYO</v>
          </cell>
          <cell r="G661" t="str">
            <v>EGLV</v>
          </cell>
        </row>
        <row r="662">
          <cell r="B662" t="str">
            <v>V180933</v>
          </cell>
          <cell r="C662">
            <v>5</v>
          </cell>
          <cell r="D662" t="str">
            <v>YUS</v>
          </cell>
          <cell r="E662" t="str">
            <v>HPH18069044</v>
          </cell>
          <cell r="F662" t="str">
            <v>KWS</v>
          </cell>
          <cell r="G662" t="str">
            <v>SITC</v>
          </cell>
        </row>
        <row r="663">
          <cell r="B663" t="str">
            <v>V180934</v>
          </cell>
          <cell r="C663">
            <v>6</v>
          </cell>
          <cell r="D663" t="str">
            <v>OCS</v>
          </cell>
          <cell r="E663" t="str">
            <v xml:space="preserve">1008X03130 </v>
          </cell>
          <cell r="F663" t="str">
            <v>OSK</v>
          </cell>
          <cell r="G663" t="str">
            <v>WHL</v>
          </cell>
        </row>
        <row r="664">
          <cell r="B664" t="str">
            <v>V180935</v>
          </cell>
          <cell r="C664">
            <v>1</v>
          </cell>
          <cell r="D664" t="str">
            <v>KWE</v>
          </cell>
          <cell r="E664" t="str">
            <v xml:space="preserve">1008X03120 </v>
          </cell>
          <cell r="F664" t="str">
            <v>TYO</v>
          </cell>
          <cell r="G664" t="str">
            <v>WHL</v>
          </cell>
        </row>
        <row r="665">
          <cell r="B665" t="str">
            <v>V180936</v>
          </cell>
          <cell r="C665">
            <v>6</v>
          </cell>
          <cell r="D665" t="str">
            <v>NKV</v>
          </cell>
          <cell r="E665" t="str">
            <v>HPH18069046</v>
          </cell>
          <cell r="F665" t="str">
            <v>KWS</v>
          </cell>
          <cell r="G665" t="str">
            <v>SITC</v>
          </cell>
        </row>
        <row r="666">
          <cell r="B666" t="str">
            <v>V180937</v>
          </cell>
          <cell r="C666">
            <v>5</v>
          </cell>
          <cell r="D666" t="str">
            <v>OCS</v>
          </cell>
          <cell r="E666" t="str">
            <v>HPH18069047</v>
          </cell>
          <cell r="F666" t="str">
            <v>OSK</v>
          </cell>
          <cell r="G666" t="str">
            <v>SITC</v>
          </cell>
        </row>
        <row r="667">
          <cell r="B667" t="str">
            <v>V180938</v>
          </cell>
          <cell r="C667">
            <v>3</v>
          </cell>
          <cell r="D667" t="str">
            <v>NIP</v>
          </cell>
          <cell r="E667" t="str">
            <v xml:space="preserve">1008X03127 </v>
          </cell>
          <cell r="F667" t="str">
            <v>HKT</v>
          </cell>
          <cell r="G667" t="str">
            <v>WHL</v>
          </cell>
        </row>
        <row r="668">
          <cell r="B668" t="str">
            <v>V180939</v>
          </cell>
          <cell r="C668">
            <v>5</v>
          </cell>
          <cell r="D668" t="str">
            <v>SHI</v>
          </cell>
          <cell r="E668" t="str">
            <v>HPH18069541</v>
          </cell>
          <cell r="F668" t="str">
            <v>TYO</v>
          </cell>
          <cell r="G668" t="str">
            <v>SITC</v>
          </cell>
        </row>
        <row r="669">
          <cell r="B669" t="str">
            <v>V180940</v>
          </cell>
          <cell r="C669">
            <v>1</v>
          </cell>
          <cell r="D669" t="str">
            <v>CEVA</v>
          </cell>
          <cell r="E669" t="str">
            <v>HPH18069543</v>
          </cell>
          <cell r="F669" t="str">
            <v>TYO</v>
          </cell>
          <cell r="G669" t="str">
            <v>SITC</v>
          </cell>
        </row>
        <row r="670">
          <cell r="B670" t="str">
            <v>V180941</v>
          </cell>
          <cell r="C670">
            <v>3</v>
          </cell>
          <cell r="D670" t="str">
            <v>NKV</v>
          </cell>
          <cell r="E670" t="str">
            <v>HPH18069046</v>
          </cell>
          <cell r="F670" t="str">
            <v>KWS</v>
          </cell>
          <cell r="G670" t="str">
            <v>SITC</v>
          </cell>
        </row>
        <row r="671">
          <cell r="B671" t="str">
            <v>V180942</v>
          </cell>
          <cell r="C671">
            <v>2</v>
          </cell>
          <cell r="D671" t="str">
            <v>OCS</v>
          </cell>
          <cell r="E671" t="str">
            <v>1008A02919</v>
          </cell>
          <cell r="F671" t="str">
            <v>OSK</v>
          </cell>
          <cell r="G671" t="str">
            <v>WHL</v>
          </cell>
        </row>
        <row r="672">
          <cell r="B672" t="str">
            <v>V180947</v>
          </cell>
          <cell r="C672">
            <v>1</v>
          </cell>
          <cell r="D672" t="str">
            <v>CEVA</v>
          </cell>
          <cell r="E672" t="str">
            <v>HPH18069359</v>
          </cell>
          <cell r="F672" t="str">
            <v>TYO</v>
          </cell>
          <cell r="G672" t="str">
            <v>SITC</v>
          </cell>
        </row>
        <row r="673">
          <cell r="B673" t="str">
            <v>Z18015</v>
          </cell>
          <cell r="C673">
            <v>1</v>
          </cell>
          <cell r="D673" t="str">
            <v>CEVA</v>
          </cell>
          <cell r="E673">
            <v>237800176458</v>
          </cell>
          <cell r="F673" t="str">
            <v>TYO</v>
          </cell>
          <cell r="G673" t="str">
            <v>EGLV</v>
          </cell>
        </row>
        <row r="674">
          <cell r="B674" t="str">
            <v>Z18016</v>
          </cell>
          <cell r="C674">
            <v>1</v>
          </cell>
          <cell r="D674" t="str">
            <v>EXP</v>
          </cell>
          <cell r="E674" t="str">
            <v>350BK8006750</v>
          </cell>
          <cell r="F674" t="str">
            <v>TYO</v>
          </cell>
          <cell r="G674" t="str">
            <v>TSL</v>
          </cell>
        </row>
        <row r="675">
          <cell r="B675" t="str">
            <v>Z18017</v>
          </cell>
          <cell r="C675">
            <v>4</v>
          </cell>
          <cell r="D675" t="str">
            <v>NKV</v>
          </cell>
          <cell r="E675" t="str">
            <v>HPH18069045</v>
          </cell>
          <cell r="F675" t="str">
            <v>KWS</v>
          </cell>
          <cell r="G675" t="str">
            <v>SITC</v>
          </cell>
        </row>
        <row r="676">
          <cell r="B676" t="str">
            <v>Z18018</v>
          </cell>
          <cell r="C676">
            <v>8</v>
          </cell>
          <cell r="D676" t="str">
            <v>OCS</v>
          </cell>
          <cell r="E676" t="str">
            <v>1008X03123</v>
          </cell>
          <cell r="F676" t="str">
            <v>OSK</v>
          </cell>
          <cell r="G676" t="str">
            <v>WHL</v>
          </cell>
        </row>
        <row r="677">
          <cell r="B677" t="str">
            <v>Z18019</v>
          </cell>
          <cell r="C677">
            <v>1</v>
          </cell>
          <cell r="D677" t="str">
            <v>CEVA</v>
          </cell>
          <cell r="E677" t="str">
            <v>VN00379623</v>
          </cell>
          <cell r="F677" t="str">
            <v>ISH</v>
          </cell>
          <cell r="G677" t="str">
            <v>KMTC</v>
          </cell>
        </row>
        <row r="678">
          <cell r="B678" t="str">
            <v>Z18020</v>
          </cell>
          <cell r="C678">
            <v>4</v>
          </cell>
          <cell r="D678" t="str">
            <v>SHI</v>
          </cell>
          <cell r="E678" t="str">
            <v>1008X02947</v>
          </cell>
          <cell r="F678" t="str">
            <v>OSK</v>
          </cell>
          <cell r="G678" t="str">
            <v>WHL</v>
          </cell>
        </row>
        <row r="679">
          <cell r="B679" t="str">
            <v>Z18021</v>
          </cell>
          <cell r="C679">
            <v>5</v>
          </cell>
          <cell r="D679" t="str">
            <v>SHI</v>
          </cell>
          <cell r="E679" t="str">
            <v xml:space="preserve">1008X03034 </v>
          </cell>
          <cell r="F679" t="str">
            <v>HKT</v>
          </cell>
          <cell r="G679" t="str">
            <v>WHL</v>
          </cell>
        </row>
        <row r="680">
          <cell r="B680" t="str">
            <v>Z18022</v>
          </cell>
          <cell r="C680">
            <v>2</v>
          </cell>
          <cell r="D680" t="str">
            <v>SHI</v>
          </cell>
          <cell r="E680" t="str">
            <v>1008X02947</v>
          </cell>
          <cell r="F680" t="str">
            <v>OSK</v>
          </cell>
          <cell r="G680" t="str">
            <v>WHL</v>
          </cell>
        </row>
        <row r="681">
          <cell r="B681" t="str">
            <v>Z18023</v>
          </cell>
          <cell r="C681">
            <v>10</v>
          </cell>
          <cell r="D681" t="str">
            <v>OCS</v>
          </cell>
          <cell r="E681" t="str">
            <v>HPH18069042</v>
          </cell>
          <cell r="F681" t="str">
            <v>KWS</v>
          </cell>
          <cell r="G681" t="str">
            <v>SITC</v>
          </cell>
        </row>
        <row r="682">
          <cell r="B682" t="str">
            <v>Z18024</v>
          </cell>
          <cell r="C682">
            <v>3</v>
          </cell>
          <cell r="D682" t="str">
            <v>SHI</v>
          </cell>
          <cell r="E682" t="str">
            <v>HPH18069043</v>
          </cell>
          <cell r="F682" t="str">
            <v>TYO</v>
          </cell>
          <cell r="G682" t="str">
            <v>SITC</v>
          </cell>
        </row>
        <row r="683">
          <cell r="B683" t="str">
            <v>Z18025</v>
          </cell>
          <cell r="C683">
            <v>1</v>
          </cell>
          <cell r="D683" t="str">
            <v>CEVA</v>
          </cell>
          <cell r="E683" t="str">
            <v>1008X03121</v>
          </cell>
          <cell r="F683" t="str">
            <v>NGO</v>
          </cell>
          <cell r="G683" t="str">
            <v>WHL</v>
          </cell>
        </row>
        <row r="684">
          <cell r="B684" t="str">
            <v>Z18026</v>
          </cell>
          <cell r="C684">
            <v>3</v>
          </cell>
          <cell r="D684" t="str">
            <v>OCS</v>
          </cell>
          <cell r="E684" t="str">
            <v>1008X03123</v>
          </cell>
          <cell r="F684" t="str">
            <v>OSK</v>
          </cell>
          <cell r="G684" t="str">
            <v>WHL</v>
          </cell>
        </row>
        <row r="685">
          <cell r="B685" t="str">
            <v>Z18027</v>
          </cell>
          <cell r="C685">
            <v>4</v>
          </cell>
          <cell r="D685" t="str">
            <v>YUS</v>
          </cell>
          <cell r="E685" t="str">
            <v>HPH18069542</v>
          </cell>
          <cell r="F685" t="str">
            <v>TYO</v>
          </cell>
          <cell r="G685" t="str">
            <v>SITC</v>
          </cell>
        </row>
        <row r="686">
          <cell r="B686" t="str">
            <v>Z18028</v>
          </cell>
          <cell r="C686">
            <v>1</v>
          </cell>
          <cell r="D686" t="str">
            <v>OCS</v>
          </cell>
          <cell r="E686" t="str">
            <v>HPH18069047</v>
          </cell>
          <cell r="F686" t="str">
            <v>OSK</v>
          </cell>
          <cell r="G686" t="str">
            <v>SITC</v>
          </cell>
        </row>
        <row r="687">
          <cell r="B687" t="str">
            <v>Z18029</v>
          </cell>
          <cell r="C687">
            <v>3</v>
          </cell>
          <cell r="D687" t="str">
            <v>NIP</v>
          </cell>
          <cell r="E687" t="str">
            <v xml:space="preserve">1008X03127 </v>
          </cell>
          <cell r="F687" t="str">
            <v>HKT</v>
          </cell>
          <cell r="G687" t="str">
            <v>WHL</v>
          </cell>
        </row>
        <row r="688">
          <cell r="B688" t="str">
            <v>Z18036</v>
          </cell>
          <cell r="C688">
            <v>2</v>
          </cell>
          <cell r="D688" t="str">
            <v>SHI</v>
          </cell>
          <cell r="E688" t="str">
            <v>HPH18069540</v>
          </cell>
          <cell r="F688" t="str">
            <v>OSK</v>
          </cell>
          <cell r="G688" t="str">
            <v>SITC</v>
          </cell>
        </row>
        <row r="689">
          <cell r="B689" t="str">
            <v>V180973</v>
          </cell>
          <cell r="C689">
            <v>1</v>
          </cell>
          <cell r="D689" t="str">
            <v>CEVA</v>
          </cell>
          <cell r="E689" t="str">
            <v>VN00381665</v>
          </cell>
          <cell r="F689" t="str">
            <v>ISH</v>
          </cell>
          <cell r="G689" t="str">
            <v>KMTC</v>
          </cell>
        </row>
        <row r="690">
          <cell r="B690" t="str">
            <v>V180974</v>
          </cell>
          <cell r="C690">
            <v>2</v>
          </cell>
          <cell r="D690" t="str">
            <v>NIP</v>
          </cell>
          <cell r="E690" t="str">
            <v>HPH18069544</v>
          </cell>
          <cell r="F690" t="str">
            <v>HKT</v>
          </cell>
          <cell r="G690" t="str">
            <v>SITC</v>
          </cell>
        </row>
        <row r="691">
          <cell r="B691" t="str">
            <v>V180975</v>
          </cell>
          <cell r="C691">
            <v>4</v>
          </cell>
          <cell r="D691" t="str">
            <v>OCS</v>
          </cell>
          <cell r="E691" t="str">
            <v>HPH18069047</v>
          </cell>
          <cell r="F691" t="str">
            <v>OSK</v>
          </cell>
          <cell r="G691" t="str">
            <v>SITC</v>
          </cell>
        </row>
        <row r="692">
          <cell r="B692" t="str">
            <v>V180943</v>
          </cell>
          <cell r="C692">
            <v>1</v>
          </cell>
          <cell r="D692" t="str">
            <v>CEVA</v>
          </cell>
          <cell r="E692" t="str">
            <v>VN00381947</v>
          </cell>
          <cell r="F692" t="str">
            <v>ISH</v>
          </cell>
          <cell r="G692" t="str">
            <v>KMTC</v>
          </cell>
        </row>
        <row r="693">
          <cell r="B693" t="str">
            <v>V180944</v>
          </cell>
          <cell r="C693">
            <v>2</v>
          </cell>
          <cell r="D693" t="str">
            <v>KWE</v>
          </cell>
          <cell r="E693" t="str">
            <v>HPH18069545</v>
          </cell>
          <cell r="F693" t="str">
            <v>TYO</v>
          </cell>
          <cell r="G693" t="str">
            <v>SITC</v>
          </cell>
        </row>
        <row r="694">
          <cell r="B694" t="str">
            <v>V180945</v>
          </cell>
          <cell r="C694">
            <v>3</v>
          </cell>
          <cell r="D694" t="str">
            <v>CEVA</v>
          </cell>
          <cell r="E694" t="str">
            <v>1008X03341</v>
          </cell>
          <cell r="F694" t="str">
            <v>TYO</v>
          </cell>
          <cell r="G694" t="str">
            <v>WHL</v>
          </cell>
        </row>
        <row r="695">
          <cell r="B695" t="str">
            <v>V180946</v>
          </cell>
          <cell r="C695">
            <v>3</v>
          </cell>
          <cell r="D695" t="str">
            <v>EXP</v>
          </cell>
          <cell r="E695" t="str">
            <v>350BK8007167</v>
          </cell>
          <cell r="F695" t="str">
            <v>TYO</v>
          </cell>
          <cell r="G695" t="str">
            <v>TSL</v>
          </cell>
        </row>
        <row r="696">
          <cell r="B696" t="str">
            <v>V180948</v>
          </cell>
          <cell r="C696">
            <v>4</v>
          </cell>
          <cell r="D696" t="str">
            <v>KWE</v>
          </cell>
          <cell r="E696" t="str">
            <v xml:space="preserve">1008X03131 </v>
          </cell>
          <cell r="F696" t="str">
            <v>TYO</v>
          </cell>
          <cell r="G696" t="str">
            <v>WHL</v>
          </cell>
        </row>
        <row r="697">
          <cell r="B697" t="str">
            <v>V180949</v>
          </cell>
          <cell r="C697">
            <v>15</v>
          </cell>
          <cell r="D697" t="str">
            <v>NKV</v>
          </cell>
          <cell r="E697" t="str">
            <v>HPH18069048</v>
          </cell>
          <cell r="F697" t="str">
            <v>KWS</v>
          </cell>
          <cell r="G697" t="str">
            <v>SITC</v>
          </cell>
        </row>
        <row r="698">
          <cell r="B698" t="str">
            <v>V180950</v>
          </cell>
          <cell r="C698">
            <v>8</v>
          </cell>
          <cell r="D698" t="str">
            <v>SHI</v>
          </cell>
          <cell r="E698" t="str">
            <v>HPH18069049</v>
          </cell>
          <cell r="F698" t="str">
            <v>OSK</v>
          </cell>
          <cell r="G698" t="str">
            <v>SITC</v>
          </cell>
        </row>
        <row r="699">
          <cell r="B699" t="str">
            <v>V180951</v>
          </cell>
          <cell r="C699">
            <v>2</v>
          </cell>
          <cell r="D699" t="str">
            <v>KWE</v>
          </cell>
          <cell r="E699" t="str">
            <v xml:space="preserve">1008X03131 </v>
          </cell>
          <cell r="F699" t="str">
            <v>TYO</v>
          </cell>
          <cell r="G699" t="str">
            <v>WHL</v>
          </cell>
        </row>
        <row r="700">
          <cell r="B700" t="str">
            <v>V180952</v>
          </cell>
          <cell r="C700">
            <v>6</v>
          </cell>
          <cell r="D700" t="str">
            <v>NIP</v>
          </cell>
          <cell r="E700" t="str">
            <v>1008X03244</v>
          </cell>
          <cell r="F700" t="str">
            <v>HKT</v>
          </cell>
          <cell r="G700" t="str">
            <v>WHL</v>
          </cell>
        </row>
        <row r="701">
          <cell r="B701" t="str">
            <v>V180953</v>
          </cell>
          <cell r="C701">
            <v>14</v>
          </cell>
          <cell r="D701" t="str">
            <v>SHI</v>
          </cell>
          <cell r="E701" t="str">
            <v>HPH18069049</v>
          </cell>
          <cell r="F701" t="str">
            <v>OSK</v>
          </cell>
          <cell r="G701" t="str">
            <v>SITC</v>
          </cell>
        </row>
        <row r="702">
          <cell r="B702" t="str">
            <v>V180954</v>
          </cell>
          <cell r="C702">
            <v>3</v>
          </cell>
          <cell r="D702" t="str">
            <v>SHI</v>
          </cell>
          <cell r="E702">
            <v>237800184485</v>
          </cell>
          <cell r="F702" t="str">
            <v>OSK</v>
          </cell>
          <cell r="G702" t="str">
            <v>EGLV</v>
          </cell>
        </row>
        <row r="703">
          <cell r="B703" t="str">
            <v>V180955</v>
          </cell>
          <cell r="C703">
            <v>2</v>
          </cell>
          <cell r="D703" t="str">
            <v>NIP</v>
          </cell>
          <cell r="E703" t="str">
            <v>1008X03338</v>
          </cell>
          <cell r="F703" t="str">
            <v>HKT</v>
          </cell>
          <cell r="G703" t="str">
            <v>WHL</v>
          </cell>
        </row>
        <row r="704">
          <cell r="B704" t="str">
            <v>V180956</v>
          </cell>
          <cell r="C704">
            <v>7</v>
          </cell>
          <cell r="D704" t="str">
            <v>KWE</v>
          </cell>
          <cell r="E704" t="str">
            <v>350BK8007163</v>
          </cell>
          <cell r="F704" t="str">
            <v>TYO</v>
          </cell>
          <cell r="G704" t="str">
            <v>TSL</v>
          </cell>
        </row>
        <row r="705">
          <cell r="B705" t="str">
            <v>V180957</v>
          </cell>
          <cell r="C705">
            <v>8</v>
          </cell>
          <cell r="D705" t="str">
            <v>NKV</v>
          </cell>
          <cell r="E705" t="str">
            <v>HPH18069547</v>
          </cell>
          <cell r="F705" t="str">
            <v>KWS</v>
          </cell>
          <cell r="G705" t="str">
            <v>SITC</v>
          </cell>
        </row>
        <row r="706">
          <cell r="B706" t="str">
            <v>V180958</v>
          </cell>
          <cell r="C706">
            <v>5</v>
          </cell>
          <cell r="D706" t="str">
            <v>SHI</v>
          </cell>
          <cell r="E706" t="str">
            <v xml:space="preserve">1008X03340 </v>
          </cell>
          <cell r="F706" t="str">
            <v>OSK</v>
          </cell>
          <cell r="G706" t="str">
            <v>WHL</v>
          </cell>
        </row>
        <row r="707">
          <cell r="B707" t="str">
            <v>V180959</v>
          </cell>
          <cell r="C707">
            <v>3</v>
          </cell>
          <cell r="D707" t="str">
            <v>YUS</v>
          </cell>
          <cell r="E707" t="str">
            <v>HPH18069548</v>
          </cell>
          <cell r="F707" t="str">
            <v>KWS</v>
          </cell>
          <cell r="G707" t="str">
            <v>SITC</v>
          </cell>
        </row>
        <row r="708">
          <cell r="B708" t="str">
            <v>V180960</v>
          </cell>
          <cell r="C708">
            <v>3</v>
          </cell>
          <cell r="D708" t="str">
            <v>NIP</v>
          </cell>
          <cell r="E708" t="str">
            <v>1008X03338</v>
          </cell>
          <cell r="F708" t="str">
            <v>HKT</v>
          </cell>
          <cell r="G708" t="str">
            <v>WHL</v>
          </cell>
        </row>
        <row r="709">
          <cell r="B709" t="str">
            <v>V180961</v>
          </cell>
          <cell r="C709">
            <v>2</v>
          </cell>
          <cell r="D709" t="str">
            <v>SHI</v>
          </cell>
          <cell r="E709">
            <v>237800184477</v>
          </cell>
          <cell r="F709" t="str">
            <v>TYO</v>
          </cell>
          <cell r="G709" t="str">
            <v>EGLV</v>
          </cell>
        </row>
        <row r="710">
          <cell r="B710" t="str">
            <v>V180962</v>
          </cell>
          <cell r="C710">
            <v>3</v>
          </cell>
          <cell r="D710" t="str">
            <v>EXP</v>
          </cell>
          <cell r="E710" t="str">
            <v>350BK8007466</v>
          </cell>
          <cell r="F710" t="str">
            <v>TYO</v>
          </cell>
          <cell r="G710" t="str">
            <v>TSL</v>
          </cell>
        </row>
        <row r="711">
          <cell r="B711" t="str">
            <v>V180963</v>
          </cell>
          <cell r="C711">
            <v>5</v>
          </cell>
          <cell r="D711" t="str">
            <v>NKV</v>
          </cell>
          <cell r="E711" t="str">
            <v>HPH18069547</v>
          </cell>
          <cell r="F711" t="str">
            <v>KWS</v>
          </cell>
          <cell r="G711" t="str">
            <v>SITC</v>
          </cell>
        </row>
        <row r="712">
          <cell r="B712" t="str">
            <v>V180964</v>
          </cell>
          <cell r="C712">
            <v>6</v>
          </cell>
          <cell r="D712" t="str">
            <v>SHI</v>
          </cell>
          <cell r="E712" t="str">
            <v xml:space="preserve">1008X03340 </v>
          </cell>
          <cell r="F712" t="str">
            <v>OSK</v>
          </cell>
          <cell r="G712" t="str">
            <v>WHL</v>
          </cell>
        </row>
        <row r="713">
          <cell r="B713" t="str">
            <v>V180965</v>
          </cell>
          <cell r="C713">
            <v>1</v>
          </cell>
          <cell r="D713" t="str">
            <v>CEVA</v>
          </cell>
          <cell r="E713" t="str">
            <v>VN00381947</v>
          </cell>
          <cell r="F713" t="str">
            <v>ISH</v>
          </cell>
          <cell r="G713" t="str">
            <v>KMTC</v>
          </cell>
        </row>
        <row r="714">
          <cell r="B714" t="str">
            <v>V180966</v>
          </cell>
          <cell r="C714">
            <v>3</v>
          </cell>
          <cell r="D714" t="str">
            <v>CEVA</v>
          </cell>
          <cell r="E714" t="str">
            <v>350BK8007164</v>
          </cell>
          <cell r="F714" t="str">
            <v>TYO</v>
          </cell>
          <cell r="G714" t="str">
            <v>TSL</v>
          </cell>
        </row>
        <row r="715">
          <cell r="B715" t="str">
            <v>V180967</v>
          </cell>
          <cell r="C715">
            <v>3</v>
          </cell>
          <cell r="D715" t="str">
            <v>NIP</v>
          </cell>
          <cell r="E715" t="str">
            <v xml:space="preserve">1008X03337 </v>
          </cell>
          <cell r="F715" t="str">
            <v>HKT</v>
          </cell>
          <cell r="G715" t="str">
            <v>WHL</v>
          </cell>
        </row>
        <row r="716">
          <cell r="B716" t="str">
            <v>V180968</v>
          </cell>
          <cell r="C716">
            <v>2</v>
          </cell>
          <cell r="D716" t="str">
            <v>KWE</v>
          </cell>
          <cell r="E716" t="str">
            <v>HPH18069546</v>
          </cell>
          <cell r="F716" t="str">
            <v>TYO</v>
          </cell>
          <cell r="G716" t="str">
            <v>SITC</v>
          </cell>
        </row>
        <row r="717">
          <cell r="B717" t="str">
            <v>V180969</v>
          </cell>
          <cell r="C717">
            <v>5</v>
          </cell>
          <cell r="D717" t="str">
            <v>YUS</v>
          </cell>
          <cell r="E717" t="str">
            <v>HPH18069549</v>
          </cell>
          <cell r="F717" t="str">
            <v>KWS</v>
          </cell>
          <cell r="G717" t="str">
            <v>SITC</v>
          </cell>
        </row>
        <row r="718">
          <cell r="B718" t="str">
            <v>V180970</v>
          </cell>
          <cell r="C718">
            <v>4</v>
          </cell>
          <cell r="D718" t="str">
            <v>SHI</v>
          </cell>
          <cell r="E718" t="str">
            <v xml:space="preserve">1008X03339 </v>
          </cell>
          <cell r="F718" t="str">
            <v>OSK</v>
          </cell>
          <cell r="G718" t="str">
            <v>WHL</v>
          </cell>
        </row>
        <row r="719">
          <cell r="B719" t="str">
            <v>V180971</v>
          </cell>
          <cell r="C719">
            <v>4</v>
          </cell>
          <cell r="D719" t="str">
            <v>KWE</v>
          </cell>
          <cell r="E719" t="str">
            <v>350BK8007523</v>
          </cell>
          <cell r="F719" t="str">
            <v>TAOYUAN</v>
          </cell>
          <cell r="G719" t="str">
            <v>TSL</v>
          </cell>
        </row>
        <row r="720">
          <cell r="B720" t="str">
            <v>V180972</v>
          </cell>
          <cell r="C720">
            <v>2</v>
          </cell>
          <cell r="D720" t="str">
            <v>YUS</v>
          </cell>
          <cell r="E720" t="str">
            <v>SNLTSD-290618-03</v>
          </cell>
          <cell r="F720" t="str">
            <v>SHANGHAI</v>
          </cell>
          <cell r="G720" t="str">
            <v>SNL</v>
          </cell>
        </row>
        <row r="721">
          <cell r="B721" t="str">
            <v>V180976</v>
          </cell>
          <cell r="C721">
            <v>2</v>
          </cell>
          <cell r="D721" t="str">
            <v>CEVA</v>
          </cell>
          <cell r="E721" t="str">
            <v>VN00381947</v>
          </cell>
          <cell r="F721" t="str">
            <v>ISH</v>
          </cell>
          <cell r="G721" t="str">
            <v>KMTC</v>
          </cell>
        </row>
        <row r="722">
          <cell r="B722" t="str">
            <v>V180977</v>
          </cell>
          <cell r="C722">
            <v>2</v>
          </cell>
          <cell r="D722" t="str">
            <v>YUS</v>
          </cell>
          <cell r="E722" t="str">
            <v>HPH18079816</v>
          </cell>
          <cell r="F722" t="str">
            <v>TYO</v>
          </cell>
          <cell r="G722" t="str">
            <v>SITC</v>
          </cell>
        </row>
        <row r="723">
          <cell r="B723" t="str">
            <v>V180978</v>
          </cell>
          <cell r="C723">
            <v>4</v>
          </cell>
          <cell r="D723" t="str">
            <v>OCS</v>
          </cell>
          <cell r="E723" t="str">
            <v>HPH18079817</v>
          </cell>
          <cell r="F723" t="str">
            <v>KWS</v>
          </cell>
          <cell r="G723" t="str">
            <v>SITC</v>
          </cell>
        </row>
        <row r="724">
          <cell r="B724" t="str">
            <v>V180979</v>
          </cell>
          <cell r="C724">
            <v>5</v>
          </cell>
          <cell r="D724" t="str">
            <v>OCS</v>
          </cell>
          <cell r="E724" t="str">
            <v>HPH18079818</v>
          </cell>
          <cell r="F724" t="str">
            <v>OSK</v>
          </cell>
          <cell r="G724" t="str">
            <v>SITC</v>
          </cell>
        </row>
        <row r="725">
          <cell r="B725" t="str">
            <v>V180991</v>
          </cell>
          <cell r="C725">
            <v>1</v>
          </cell>
          <cell r="D725" t="str">
            <v>NIP</v>
          </cell>
          <cell r="E725" t="str">
            <v>HPH18079820</v>
          </cell>
          <cell r="F725" t="str">
            <v>HKT</v>
          </cell>
          <cell r="G725" t="str">
            <v>SITC</v>
          </cell>
        </row>
        <row r="726">
          <cell r="B726" t="str">
            <v>V180992</v>
          </cell>
          <cell r="C726">
            <v>3</v>
          </cell>
          <cell r="D726" t="str">
            <v>YUS</v>
          </cell>
          <cell r="E726" t="str">
            <v>HPH18079816</v>
          </cell>
          <cell r="F726" t="str">
            <v>TYO</v>
          </cell>
          <cell r="G726" t="str">
            <v>SITC</v>
          </cell>
        </row>
        <row r="727">
          <cell r="B727" t="str">
            <v>Z18030</v>
          </cell>
          <cell r="C727">
            <v>3</v>
          </cell>
          <cell r="D727" t="str">
            <v>NKV</v>
          </cell>
          <cell r="E727" t="str">
            <v>HPH18069048</v>
          </cell>
          <cell r="F727" t="str">
            <v>KWS</v>
          </cell>
          <cell r="G727" t="str">
            <v>SITC</v>
          </cell>
        </row>
        <row r="728">
          <cell r="B728" t="str">
            <v>Z18031</v>
          </cell>
          <cell r="C728">
            <v>7</v>
          </cell>
          <cell r="D728" t="str">
            <v>NIP</v>
          </cell>
          <cell r="E728" t="str">
            <v xml:space="preserve">1008X03129 </v>
          </cell>
          <cell r="F728" t="str">
            <v>OSK</v>
          </cell>
          <cell r="G728" t="str">
            <v>WHL</v>
          </cell>
        </row>
        <row r="729">
          <cell r="B729" t="str">
            <v>Z18032</v>
          </cell>
          <cell r="C729">
            <v>2</v>
          </cell>
          <cell r="D729" t="str">
            <v>SHI</v>
          </cell>
          <cell r="E729" t="str">
            <v xml:space="preserve">1008X03243 </v>
          </cell>
          <cell r="F729" t="str">
            <v>TYO</v>
          </cell>
          <cell r="G729" t="str">
            <v>WHL</v>
          </cell>
        </row>
        <row r="730">
          <cell r="B730" t="str">
            <v>Z18033</v>
          </cell>
          <cell r="C730">
            <v>1</v>
          </cell>
          <cell r="D730" t="str">
            <v>KWE</v>
          </cell>
          <cell r="E730" t="str">
            <v xml:space="preserve">1008X03131 </v>
          </cell>
          <cell r="F730" t="str">
            <v>TYO</v>
          </cell>
          <cell r="G730" t="str">
            <v>WHL</v>
          </cell>
        </row>
        <row r="731">
          <cell r="B731" t="str">
            <v>Z18034</v>
          </cell>
          <cell r="C731">
            <v>4</v>
          </cell>
          <cell r="D731" t="str">
            <v>NKV</v>
          </cell>
          <cell r="E731" t="str">
            <v>HPH18069048</v>
          </cell>
          <cell r="F731" t="str">
            <v>KWS</v>
          </cell>
          <cell r="G731" t="str">
            <v>SITC</v>
          </cell>
        </row>
        <row r="732">
          <cell r="B732" t="str">
            <v>Z18035</v>
          </cell>
          <cell r="C732">
            <v>2</v>
          </cell>
          <cell r="D732" t="str">
            <v>NIP</v>
          </cell>
          <cell r="E732" t="str">
            <v>1008X03244</v>
          </cell>
          <cell r="F732" t="str">
            <v>HKT</v>
          </cell>
          <cell r="G732" t="str">
            <v>WHL</v>
          </cell>
        </row>
        <row r="733">
          <cell r="B733" t="str">
            <v>Z18037</v>
          </cell>
          <cell r="C733">
            <v>2</v>
          </cell>
          <cell r="D733" t="str">
            <v>KWE</v>
          </cell>
          <cell r="E733" t="str">
            <v>HPH18069545</v>
          </cell>
          <cell r="F733" t="str">
            <v>TYO</v>
          </cell>
          <cell r="G733" t="str">
            <v>SITC</v>
          </cell>
        </row>
        <row r="734">
          <cell r="B734" t="str">
            <v>Z18038</v>
          </cell>
          <cell r="C734">
            <v>1</v>
          </cell>
          <cell r="D734" t="str">
            <v>CEVA</v>
          </cell>
          <cell r="E734" t="str">
            <v>VN00381947</v>
          </cell>
          <cell r="F734" t="str">
            <v>ISH</v>
          </cell>
          <cell r="G734" t="str">
            <v>KMTC</v>
          </cell>
        </row>
        <row r="735">
          <cell r="B735" t="str">
            <v>Z18039</v>
          </cell>
          <cell r="C735">
            <v>1</v>
          </cell>
          <cell r="D735" t="str">
            <v>KWE</v>
          </cell>
          <cell r="E735" t="str">
            <v>HPH18069546</v>
          </cell>
          <cell r="F735" t="str">
            <v>TYO</v>
          </cell>
          <cell r="G735" t="str">
            <v>SITC</v>
          </cell>
        </row>
        <row r="736">
          <cell r="B736" t="str">
            <v>Z18041</v>
          </cell>
          <cell r="C736">
            <v>1</v>
          </cell>
          <cell r="D736" t="str">
            <v>NIP</v>
          </cell>
          <cell r="E736" t="str">
            <v xml:space="preserve">1008X03337 </v>
          </cell>
          <cell r="F736" t="str">
            <v>HKT</v>
          </cell>
          <cell r="G736" t="str">
            <v>WHL</v>
          </cell>
        </row>
        <row r="737">
          <cell r="B737" t="str">
            <v>Z18042</v>
          </cell>
          <cell r="C737">
            <v>1</v>
          </cell>
          <cell r="D737" t="str">
            <v>NIP</v>
          </cell>
          <cell r="E737" t="str">
            <v>HPH18079819</v>
          </cell>
          <cell r="F737" t="str">
            <v>OSK</v>
          </cell>
          <cell r="G737" t="str">
            <v>SITC</v>
          </cell>
        </row>
        <row r="738">
          <cell r="B738" t="str">
            <v>Z18047</v>
          </cell>
          <cell r="C738">
            <v>1</v>
          </cell>
          <cell r="D738" t="str">
            <v>NKV</v>
          </cell>
          <cell r="E738" t="str">
            <v>HPH18079813</v>
          </cell>
          <cell r="F738" t="str">
            <v>KWS</v>
          </cell>
          <cell r="G738" t="str">
            <v>SITC</v>
          </cell>
        </row>
        <row r="739">
          <cell r="B739" t="str">
            <v>Z18048</v>
          </cell>
          <cell r="C739">
            <v>8</v>
          </cell>
          <cell r="D739" t="str">
            <v>NKV</v>
          </cell>
          <cell r="E739" t="str">
            <v>HPH18069552</v>
          </cell>
          <cell r="F739" t="str">
            <v>KWS</v>
          </cell>
          <cell r="G739" t="str">
            <v>SITC</v>
          </cell>
        </row>
        <row r="740">
          <cell r="B740" t="str">
            <v>Z18049</v>
          </cell>
          <cell r="C740">
            <v>8</v>
          </cell>
          <cell r="D740" t="str">
            <v>OCS</v>
          </cell>
          <cell r="E740" t="str">
            <v>1008X03361</v>
          </cell>
          <cell r="F740" t="str">
            <v>OSK</v>
          </cell>
          <cell r="G740" t="str">
            <v>WHL</v>
          </cell>
        </row>
        <row r="741">
          <cell r="B741" t="str">
            <v>Z18050</v>
          </cell>
          <cell r="C741">
            <v>1</v>
          </cell>
          <cell r="D741" t="str">
            <v>NIP</v>
          </cell>
          <cell r="E741" t="str">
            <v xml:space="preserve">1008X03342 </v>
          </cell>
          <cell r="F741" t="str">
            <v>TYO</v>
          </cell>
          <cell r="G741" t="str">
            <v>WHL</v>
          </cell>
        </row>
        <row r="742">
          <cell r="B742" t="str">
            <v>Z18051</v>
          </cell>
          <cell r="C742">
            <v>2</v>
          </cell>
          <cell r="D742" t="str">
            <v>CEVA</v>
          </cell>
          <cell r="E742" t="str">
            <v>HPH18069550</v>
          </cell>
          <cell r="F742" t="str">
            <v>TYO</v>
          </cell>
          <cell r="G742" t="str">
            <v>SITC</v>
          </cell>
        </row>
        <row r="743">
          <cell r="B743" t="str">
            <v>Z18052</v>
          </cell>
          <cell r="C743">
            <v>2</v>
          </cell>
          <cell r="D743" t="str">
            <v>CEVA</v>
          </cell>
          <cell r="E743" t="str">
            <v>HPH18069551</v>
          </cell>
          <cell r="F743" t="str">
            <v>TYO</v>
          </cell>
          <cell r="G743" t="str">
            <v>SITC</v>
          </cell>
        </row>
        <row r="744">
          <cell r="B744" t="str">
            <v>Z18053</v>
          </cell>
          <cell r="C744">
            <v>1</v>
          </cell>
          <cell r="D744" t="str">
            <v>NKV</v>
          </cell>
          <cell r="E744" t="str">
            <v xml:space="preserve">1008X03336 </v>
          </cell>
          <cell r="F744" t="str">
            <v>HKT</v>
          </cell>
          <cell r="G744" t="str">
            <v>WHL</v>
          </cell>
        </row>
        <row r="745">
          <cell r="B745" t="str">
            <v>Z18054</v>
          </cell>
          <cell r="C745">
            <v>1</v>
          </cell>
          <cell r="D745" t="str">
            <v>SHI</v>
          </cell>
          <cell r="E745" t="str">
            <v>1008X03464</v>
          </cell>
          <cell r="F745" t="str">
            <v>TYO</v>
          </cell>
          <cell r="G745" t="str">
            <v>WHL</v>
          </cell>
        </row>
        <row r="746">
          <cell r="B746" t="str">
            <v>Z18055</v>
          </cell>
          <cell r="C746">
            <v>1</v>
          </cell>
          <cell r="D746" t="str">
            <v>KWE</v>
          </cell>
          <cell r="E746" t="str">
            <v xml:space="preserve">1008X03465 </v>
          </cell>
          <cell r="F746" t="str">
            <v>NGO</v>
          </cell>
          <cell r="G746" t="str">
            <v>WHL</v>
          </cell>
        </row>
        <row r="747">
          <cell r="B747" t="str">
            <v>Z18056</v>
          </cell>
          <cell r="C747">
            <v>2</v>
          </cell>
          <cell r="D747" t="str">
            <v>NIP</v>
          </cell>
          <cell r="E747" t="str">
            <v>1008X03466</v>
          </cell>
          <cell r="F747" t="str">
            <v>HKT</v>
          </cell>
          <cell r="G747" t="str">
            <v>WHL</v>
          </cell>
        </row>
        <row r="748">
          <cell r="B748" t="str">
            <v>Z18067</v>
          </cell>
          <cell r="C748">
            <v>1</v>
          </cell>
          <cell r="D748" t="str">
            <v>SHI</v>
          </cell>
          <cell r="E748">
            <v>237800198117</v>
          </cell>
          <cell r="F748" t="str">
            <v>OSK</v>
          </cell>
          <cell r="G748" t="str">
            <v>EGLV</v>
          </cell>
        </row>
        <row r="749">
          <cell r="B749" t="str">
            <v>Z18068</v>
          </cell>
          <cell r="C749">
            <v>1</v>
          </cell>
          <cell r="D749" t="str">
            <v>NKV</v>
          </cell>
          <cell r="E749" t="str">
            <v>HPH18079814</v>
          </cell>
          <cell r="F749" t="str">
            <v>KWS</v>
          </cell>
          <cell r="G749" t="str">
            <v>SITC</v>
          </cell>
        </row>
        <row r="750">
          <cell r="B750" t="str">
            <v>V180980</v>
          </cell>
          <cell r="C750">
            <v>8</v>
          </cell>
          <cell r="D750" t="str">
            <v>NIP</v>
          </cell>
          <cell r="E750" t="str">
            <v xml:space="preserve">1008X03342 </v>
          </cell>
          <cell r="F750" t="str">
            <v>TYO</v>
          </cell>
          <cell r="G750" t="str">
            <v>WHL</v>
          </cell>
        </row>
        <row r="751">
          <cell r="B751" t="str">
            <v>V180981</v>
          </cell>
          <cell r="C751">
            <v>2</v>
          </cell>
          <cell r="D751" t="str">
            <v>NKV</v>
          </cell>
          <cell r="E751" t="str">
            <v>HPH18069552</v>
          </cell>
          <cell r="F751" t="str">
            <v>KWS</v>
          </cell>
          <cell r="G751" t="str">
            <v>SITC</v>
          </cell>
        </row>
        <row r="752">
          <cell r="B752" t="str">
            <v>V180982</v>
          </cell>
          <cell r="C752">
            <v>2</v>
          </cell>
          <cell r="D752" t="str">
            <v>OCS</v>
          </cell>
          <cell r="E752" t="str">
            <v>1008X03361</v>
          </cell>
          <cell r="F752" t="str">
            <v>OSK</v>
          </cell>
          <cell r="G752" t="str">
            <v>WHL</v>
          </cell>
        </row>
        <row r="753">
          <cell r="B753" t="str">
            <v>V180983</v>
          </cell>
          <cell r="C753">
            <v>10</v>
          </cell>
          <cell r="D753" t="str">
            <v>NKV</v>
          </cell>
          <cell r="E753" t="str">
            <v>HPH18069552</v>
          </cell>
          <cell r="F753" t="str">
            <v>KWS</v>
          </cell>
          <cell r="G753" t="str">
            <v>SITC</v>
          </cell>
        </row>
        <row r="754">
          <cell r="B754" t="str">
            <v>V180984</v>
          </cell>
          <cell r="C754">
            <v>12</v>
          </cell>
          <cell r="D754" t="str">
            <v>OCS</v>
          </cell>
          <cell r="E754" t="str">
            <v>1008X03361</v>
          </cell>
          <cell r="F754" t="str">
            <v>OSK</v>
          </cell>
          <cell r="G754" t="str">
            <v>WHL</v>
          </cell>
        </row>
        <row r="755">
          <cell r="B755" t="str">
            <v>V180985</v>
          </cell>
          <cell r="C755">
            <v>5</v>
          </cell>
          <cell r="D755" t="str">
            <v>NIP</v>
          </cell>
          <cell r="E755" t="str">
            <v xml:space="preserve">1008X03342 </v>
          </cell>
          <cell r="F755" t="str">
            <v>TYO</v>
          </cell>
          <cell r="G755" t="str">
            <v>WHL</v>
          </cell>
        </row>
        <row r="756">
          <cell r="B756" t="str">
            <v>V180986</v>
          </cell>
          <cell r="C756">
            <v>3</v>
          </cell>
          <cell r="D756" t="str">
            <v>CEVA</v>
          </cell>
          <cell r="E756" t="str">
            <v>HPH18069550</v>
          </cell>
          <cell r="F756" t="str">
            <v>TYO</v>
          </cell>
          <cell r="G756" t="str">
            <v>SITC</v>
          </cell>
        </row>
        <row r="757">
          <cell r="B757" t="str">
            <v>V180987</v>
          </cell>
          <cell r="C757">
            <v>2</v>
          </cell>
          <cell r="D757" t="str">
            <v>CEVA</v>
          </cell>
          <cell r="E757" t="str">
            <v>HPH18069551</v>
          </cell>
          <cell r="F757" t="str">
            <v>TYO</v>
          </cell>
          <cell r="G757" t="str">
            <v>SITC</v>
          </cell>
        </row>
        <row r="758">
          <cell r="B758" t="str">
            <v>V180988</v>
          </cell>
          <cell r="C758">
            <v>7</v>
          </cell>
          <cell r="D758" t="str">
            <v>NKV</v>
          </cell>
          <cell r="E758" t="str">
            <v xml:space="preserve">1008X03336 </v>
          </cell>
          <cell r="F758" t="str">
            <v>HKT</v>
          </cell>
          <cell r="G758" t="str">
            <v>WHL</v>
          </cell>
        </row>
        <row r="759">
          <cell r="B759" t="str">
            <v>V180989</v>
          </cell>
          <cell r="C759">
            <v>11</v>
          </cell>
          <cell r="D759" t="str">
            <v>NKV</v>
          </cell>
          <cell r="E759" t="str">
            <v>HPH18069552</v>
          </cell>
          <cell r="F759" t="str">
            <v>KWS</v>
          </cell>
          <cell r="G759" t="str">
            <v>SITC</v>
          </cell>
        </row>
        <row r="760">
          <cell r="B760" t="str">
            <v>V180990</v>
          </cell>
          <cell r="C760">
            <v>11</v>
          </cell>
          <cell r="D760" t="str">
            <v>OCS</v>
          </cell>
          <cell r="E760" t="str">
            <v>1008X03361</v>
          </cell>
          <cell r="F760" t="str">
            <v>OSK</v>
          </cell>
          <cell r="G760" t="str">
            <v>WHL</v>
          </cell>
        </row>
        <row r="761">
          <cell r="B761" t="str">
            <v>V180993</v>
          </cell>
          <cell r="C761">
            <v>5</v>
          </cell>
          <cell r="D761" t="str">
            <v>KWE</v>
          </cell>
          <cell r="E761" t="str">
            <v xml:space="preserve">1008X03526 </v>
          </cell>
          <cell r="F761" t="str">
            <v>TYO</v>
          </cell>
          <cell r="G761" t="str">
            <v>WHL</v>
          </cell>
        </row>
        <row r="762">
          <cell r="B762" t="str">
            <v>V180994</v>
          </cell>
          <cell r="C762">
            <v>1</v>
          </cell>
          <cell r="D762" t="str">
            <v>CEVA</v>
          </cell>
          <cell r="E762" t="str">
            <v xml:space="preserve">1008X03525 </v>
          </cell>
          <cell r="F762" t="str">
            <v>TYO</v>
          </cell>
          <cell r="G762" t="str">
            <v>WHL</v>
          </cell>
        </row>
        <row r="763">
          <cell r="B763" t="str">
            <v>V180995</v>
          </cell>
          <cell r="C763">
            <v>3</v>
          </cell>
          <cell r="D763" t="str">
            <v>NKV</v>
          </cell>
          <cell r="E763" t="str">
            <v>HPH18079813</v>
          </cell>
          <cell r="F763" t="str">
            <v>KWS</v>
          </cell>
          <cell r="G763" t="str">
            <v>SITC</v>
          </cell>
        </row>
        <row r="764">
          <cell r="B764" t="str">
            <v>V180996</v>
          </cell>
          <cell r="C764">
            <v>7</v>
          </cell>
          <cell r="D764" t="str">
            <v>OCS</v>
          </cell>
          <cell r="E764" t="str">
            <v xml:space="preserve">1008X03535 </v>
          </cell>
          <cell r="F764" t="str">
            <v>OSK</v>
          </cell>
          <cell r="G764" t="str">
            <v>WHL</v>
          </cell>
        </row>
        <row r="765">
          <cell r="B765" t="str">
            <v>V180997</v>
          </cell>
          <cell r="C765">
            <v>1</v>
          </cell>
          <cell r="D765" t="str">
            <v>NIP</v>
          </cell>
          <cell r="E765" t="str">
            <v xml:space="preserve">1008X03534 </v>
          </cell>
          <cell r="F765" t="str">
            <v>HKT</v>
          </cell>
          <cell r="G765" t="str">
            <v>WHL</v>
          </cell>
        </row>
        <row r="766">
          <cell r="B766" t="str">
            <v>V180998</v>
          </cell>
          <cell r="C766">
            <v>2</v>
          </cell>
          <cell r="D766" t="str">
            <v>CEVA</v>
          </cell>
          <cell r="E766" t="str">
            <v>350BK8007521</v>
          </cell>
          <cell r="F766" t="str">
            <v>TYO</v>
          </cell>
          <cell r="G766" t="str">
            <v>TSL</v>
          </cell>
        </row>
        <row r="767">
          <cell r="B767" t="str">
            <v>V180999</v>
          </cell>
          <cell r="C767">
            <v>6</v>
          </cell>
          <cell r="D767" t="str">
            <v>YUS</v>
          </cell>
          <cell r="E767" t="str">
            <v>HPH18079812</v>
          </cell>
          <cell r="F767" t="str">
            <v>KWS</v>
          </cell>
          <cell r="G767" t="str">
            <v>SITC</v>
          </cell>
        </row>
        <row r="768">
          <cell r="B768" t="str">
            <v>V181000</v>
          </cell>
          <cell r="C768">
            <v>6</v>
          </cell>
          <cell r="D768" t="str">
            <v>OCS</v>
          </cell>
          <cell r="E768" t="str">
            <v xml:space="preserve">1008X03535 </v>
          </cell>
          <cell r="F768" t="str">
            <v>OSK</v>
          </cell>
          <cell r="G768" t="str">
            <v>WHL</v>
          </cell>
        </row>
        <row r="769">
          <cell r="B769" t="str">
            <v>V181001</v>
          </cell>
          <cell r="C769">
            <v>3</v>
          </cell>
          <cell r="D769" t="str">
            <v>KWE</v>
          </cell>
          <cell r="E769" t="str">
            <v xml:space="preserve">1008X03526 </v>
          </cell>
          <cell r="F769" t="str">
            <v>TYO</v>
          </cell>
          <cell r="G769" t="str">
            <v>WHL</v>
          </cell>
        </row>
        <row r="770">
          <cell r="B770" t="str">
            <v>V181002</v>
          </cell>
          <cell r="C770">
            <v>3</v>
          </cell>
          <cell r="D770" t="str">
            <v>NKV</v>
          </cell>
          <cell r="E770" t="str">
            <v>HPH18079813</v>
          </cell>
          <cell r="F770" t="str">
            <v>KWS</v>
          </cell>
          <cell r="G770" t="str">
            <v>SITC</v>
          </cell>
        </row>
        <row r="771">
          <cell r="B771" t="str">
            <v>V181003</v>
          </cell>
          <cell r="C771">
            <v>3</v>
          </cell>
          <cell r="D771" t="str">
            <v>SHI</v>
          </cell>
          <cell r="E771">
            <v>237800198117</v>
          </cell>
          <cell r="F771" t="str">
            <v>OSK</v>
          </cell>
          <cell r="G771" t="str">
            <v>EGLV</v>
          </cell>
        </row>
        <row r="772">
          <cell r="B772" t="str">
            <v>V181004</v>
          </cell>
          <cell r="C772">
            <v>1</v>
          </cell>
          <cell r="D772" t="str">
            <v>NIP</v>
          </cell>
          <cell r="E772" t="str">
            <v xml:space="preserve">1008X03534 </v>
          </cell>
          <cell r="F772" t="str">
            <v>HKT</v>
          </cell>
          <cell r="G772" t="str">
            <v>WHL</v>
          </cell>
        </row>
        <row r="773">
          <cell r="B773" t="str">
            <v>V181005</v>
          </cell>
          <cell r="C773">
            <v>1</v>
          </cell>
          <cell r="D773" t="str">
            <v>CEVA</v>
          </cell>
          <cell r="E773" t="str">
            <v>VN00383263</v>
          </cell>
          <cell r="F773" t="str">
            <v>ISH</v>
          </cell>
          <cell r="G773" t="str">
            <v>KMTC</v>
          </cell>
        </row>
        <row r="774">
          <cell r="B774" t="str">
            <v>V181006</v>
          </cell>
          <cell r="C774">
            <v>1</v>
          </cell>
          <cell r="D774" t="str">
            <v>CEVA</v>
          </cell>
          <cell r="E774" t="str">
            <v xml:space="preserve">1008X03528 </v>
          </cell>
          <cell r="F774" t="str">
            <v>TYO</v>
          </cell>
          <cell r="G774" t="str">
            <v>WHL</v>
          </cell>
        </row>
        <row r="775">
          <cell r="B775" t="str">
            <v>V181007</v>
          </cell>
          <cell r="C775">
            <v>1</v>
          </cell>
          <cell r="D775" t="str">
            <v>CEVA</v>
          </cell>
          <cell r="E775" t="str">
            <v>350BK8007522</v>
          </cell>
          <cell r="F775" t="str">
            <v>TYO</v>
          </cell>
          <cell r="G775" t="str">
            <v>TSL</v>
          </cell>
        </row>
        <row r="776">
          <cell r="B776" t="str">
            <v>V181008</v>
          </cell>
          <cell r="C776">
            <v>5</v>
          </cell>
          <cell r="D776" t="str">
            <v>SHI</v>
          </cell>
          <cell r="E776">
            <v>237800198117</v>
          </cell>
          <cell r="F776" t="str">
            <v>OSK</v>
          </cell>
          <cell r="G776" t="str">
            <v>EGLV</v>
          </cell>
        </row>
        <row r="777">
          <cell r="B777" t="str">
            <v>V181009</v>
          </cell>
          <cell r="C777">
            <v>2</v>
          </cell>
          <cell r="D777" t="str">
            <v>KWE</v>
          </cell>
          <cell r="E777" t="str">
            <v>HPH18079811</v>
          </cell>
          <cell r="F777" t="str">
            <v>TYO</v>
          </cell>
          <cell r="G777" t="str">
            <v>SITC</v>
          </cell>
        </row>
        <row r="778">
          <cell r="B778" t="str">
            <v>V181010</v>
          </cell>
          <cell r="C778">
            <v>1</v>
          </cell>
          <cell r="D778" t="str">
            <v>NKV</v>
          </cell>
          <cell r="E778" t="str">
            <v>HPH18079814</v>
          </cell>
          <cell r="F778" t="str">
            <v>KWS</v>
          </cell>
          <cell r="G778" t="str">
            <v>SITC</v>
          </cell>
        </row>
        <row r="779">
          <cell r="B779" t="str">
            <v>V181011</v>
          </cell>
          <cell r="C779">
            <v>3</v>
          </cell>
          <cell r="D779" t="str">
            <v>SHI</v>
          </cell>
          <cell r="E779">
            <v>237800198117</v>
          </cell>
          <cell r="F779" t="str">
            <v>OSK</v>
          </cell>
          <cell r="G779" t="str">
            <v>EGLV</v>
          </cell>
        </row>
        <row r="780">
          <cell r="B780" t="str">
            <v>V181012</v>
          </cell>
          <cell r="C780">
            <v>2</v>
          </cell>
          <cell r="D780" t="str">
            <v>NIP</v>
          </cell>
          <cell r="E780" t="str">
            <v>HPH18070280</v>
          </cell>
          <cell r="F780" t="str">
            <v>HKT</v>
          </cell>
          <cell r="G780" t="str">
            <v>SITC</v>
          </cell>
        </row>
        <row r="781">
          <cell r="B781" t="str">
            <v>V181013</v>
          </cell>
          <cell r="C781">
            <v>3</v>
          </cell>
          <cell r="D781" t="str">
            <v>YUS</v>
          </cell>
          <cell r="E781" t="str">
            <v>SNLTSD-090718-05</v>
          </cell>
          <cell r="F781" t="str">
            <v>SHANGHAI</v>
          </cell>
          <cell r="G781" t="str">
            <v>SNL</v>
          </cell>
        </row>
        <row r="782">
          <cell r="B782" t="str">
            <v>V181014</v>
          </cell>
          <cell r="C782">
            <v>2</v>
          </cell>
          <cell r="D782" t="str">
            <v>CEVA</v>
          </cell>
          <cell r="E782" t="str">
            <v>VN00383263</v>
          </cell>
          <cell r="F782" t="str">
            <v>ISH</v>
          </cell>
          <cell r="G782" t="str">
            <v>KMTC</v>
          </cell>
        </row>
        <row r="783">
          <cell r="B783" t="str">
            <v>V181015</v>
          </cell>
          <cell r="C783">
            <v>4</v>
          </cell>
          <cell r="D783" t="str">
            <v>KWE</v>
          </cell>
          <cell r="E783" t="str">
            <v>HPH18079811</v>
          </cell>
          <cell r="F783" t="str">
            <v>TYO</v>
          </cell>
          <cell r="G783" t="str">
            <v>SITC</v>
          </cell>
        </row>
        <row r="784">
          <cell r="B784" t="str">
            <v>V181016</v>
          </cell>
          <cell r="C784">
            <v>2</v>
          </cell>
          <cell r="D784" t="str">
            <v>CEVA</v>
          </cell>
          <cell r="E784" t="str">
            <v>HPH18070279</v>
          </cell>
          <cell r="F784" t="str">
            <v>TYO</v>
          </cell>
          <cell r="G784" t="str">
            <v>SITC</v>
          </cell>
        </row>
        <row r="785">
          <cell r="B785" t="str">
            <v>V181017</v>
          </cell>
          <cell r="C785">
            <v>1</v>
          </cell>
          <cell r="D785" t="str">
            <v>NKV</v>
          </cell>
          <cell r="E785" t="str">
            <v>HPH18079814</v>
          </cell>
          <cell r="F785" t="str">
            <v>KWS</v>
          </cell>
          <cell r="G785" t="str">
            <v>SITC</v>
          </cell>
        </row>
        <row r="786">
          <cell r="B786" t="str">
            <v>V181018</v>
          </cell>
          <cell r="C786">
            <v>2</v>
          </cell>
          <cell r="D786" t="str">
            <v>OCS</v>
          </cell>
          <cell r="E786" t="str">
            <v>HPH18070281</v>
          </cell>
          <cell r="F786" t="str">
            <v>OSK</v>
          </cell>
          <cell r="G786" t="str">
            <v>SITC</v>
          </cell>
        </row>
        <row r="787">
          <cell r="B787" t="str">
            <v>V181019</v>
          </cell>
          <cell r="C787">
            <v>4</v>
          </cell>
          <cell r="D787" t="str">
            <v>OCS</v>
          </cell>
          <cell r="E787" t="str">
            <v>HPH18070281</v>
          </cell>
          <cell r="F787" t="str">
            <v>OSK</v>
          </cell>
          <cell r="G787" t="str">
            <v>SITC</v>
          </cell>
        </row>
        <row r="788">
          <cell r="B788" t="str">
            <v>V181051</v>
          </cell>
          <cell r="C788">
            <v>2</v>
          </cell>
          <cell r="D788" t="str">
            <v>KWE</v>
          </cell>
          <cell r="E788" t="str">
            <v>350BK8007932</v>
          </cell>
          <cell r="F788" t="str">
            <v>TAOYUAN</v>
          </cell>
          <cell r="G788" t="str">
            <v>TSL</v>
          </cell>
        </row>
        <row r="789">
          <cell r="B789" t="str">
            <v>V181052</v>
          </cell>
          <cell r="C789">
            <v>1</v>
          </cell>
          <cell r="D789" t="str">
            <v>CEVA</v>
          </cell>
          <cell r="E789" t="str">
            <v>350BK8007522</v>
          </cell>
          <cell r="F789" t="str">
            <v>TYO</v>
          </cell>
          <cell r="G789" t="str">
            <v>TSL</v>
          </cell>
        </row>
        <row r="790">
          <cell r="B790" t="str">
            <v>V181053</v>
          </cell>
          <cell r="C790">
            <v>2</v>
          </cell>
          <cell r="D790" t="str">
            <v>CEVA</v>
          </cell>
          <cell r="E790" t="str">
            <v>VN00383263</v>
          </cell>
          <cell r="F790" t="str">
            <v>ISH</v>
          </cell>
          <cell r="G790" t="str">
            <v>KMTC</v>
          </cell>
        </row>
        <row r="791">
          <cell r="B791" t="str">
            <v>V181054</v>
          </cell>
          <cell r="C791">
            <v>1</v>
          </cell>
          <cell r="D791" t="str">
            <v>NIP</v>
          </cell>
          <cell r="E791" t="str">
            <v>HPH18070280</v>
          </cell>
          <cell r="F791" t="str">
            <v>HKT</v>
          </cell>
          <cell r="G791" t="str">
            <v>SITC</v>
          </cell>
        </row>
        <row r="792">
          <cell r="B792" t="str">
            <v>V181055</v>
          </cell>
          <cell r="C792">
            <v>3</v>
          </cell>
          <cell r="D792" t="str">
            <v>NKV</v>
          </cell>
          <cell r="E792" t="str">
            <v>HPH18079814</v>
          </cell>
          <cell r="F792" t="str">
            <v>KWS</v>
          </cell>
          <cell r="G792" t="str">
            <v>SITC</v>
          </cell>
        </row>
        <row r="793">
          <cell r="B793" t="str">
            <v>Z18057</v>
          </cell>
          <cell r="C793">
            <v>2</v>
          </cell>
          <cell r="D793" t="str">
            <v>KWE</v>
          </cell>
          <cell r="E793" t="str">
            <v xml:space="preserve">1008X03549 </v>
          </cell>
          <cell r="F793" t="str">
            <v>TYO</v>
          </cell>
          <cell r="G793" t="str">
            <v>WHL</v>
          </cell>
        </row>
        <row r="794">
          <cell r="B794" t="str">
            <v>Z18058</v>
          </cell>
          <cell r="C794">
            <v>3</v>
          </cell>
          <cell r="D794" t="str">
            <v>NKV</v>
          </cell>
          <cell r="E794" t="str">
            <v xml:space="preserve">1008X03548 </v>
          </cell>
          <cell r="F794" t="str">
            <v>HKT</v>
          </cell>
          <cell r="G794" t="str">
            <v>WHL</v>
          </cell>
        </row>
        <row r="795">
          <cell r="B795" t="str">
            <v>Z18059</v>
          </cell>
          <cell r="C795">
            <v>6</v>
          </cell>
          <cell r="D795" t="str">
            <v>SHI</v>
          </cell>
          <cell r="E795" t="str">
            <v xml:space="preserve">1008X03523 </v>
          </cell>
          <cell r="F795" t="str">
            <v>OSK</v>
          </cell>
          <cell r="G795" t="str">
            <v>WHL</v>
          </cell>
        </row>
        <row r="796">
          <cell r="B796" t="str">
            <v>Z18060</v>
          </cell>
          <cell r="C796">
            <v>10</v>
          </cell>
          <cell r="D796" t="str">
            <v>NKV</v>
          </cell>
          <cell r="E796" t="str">
            <v>HPH18079842</v>
          </cell>
          <cell r="F796" t="str">
            <v>KWS</v>
          </cell>
          <cell r="G796" t="str">
            <v>SITC</v>
          </cell>
        </row>
        <row r="797">
          <cell r="B797" t="str">
            <v>Z18061</v>
          </cell>
          <cell r="C797">
            <v>8</v>
          </cell>
          <cell r="D797" t="str">
            <v>OCS</v>
          </cell>
          <cell r="E797" t="str">
            <v>HPH18079844</v>
          </cell>
          <cell r="F797" t="str">
            <v>KWS</v>
          </cell>
          <cell r="G797" t="str">
            <v>SITC</v>
          </cell>
        </row>
        <row r="798">
          <cell r="B798" t="str">
            <v>Z18062</v>
          </cell>
          <cell r="C798">
            <v>1</v>
          </cell>
          <cell r="D798" t="str">
            <v>CEVA</v>
          </cell>
          <cell r="E798" t="str">
            <v>VN00384474</v>
          </cell>
          <cell r="F798" t="str">
            <v>ISH</v>
          </cell>
          <cell r="G798" t="str">
            <v>KMTC</v>
          </cell>
        </row>
        <row r="799">
          <cell r="B799" t="str">
            <v>Z18063</v>
          </cell>
          <cell r="C799">
            <v>1</v>
          </cell>
          <cell r="D799" t="str">
            <v>CEVA</v>
          </cell>
          <cell r="E799" t="str">
            <v>HPH18070098</v>
          </cell>
          <cell r="F799" t="str">
            <v>TYO</v>
          </cell>
          <cell r="G799" t="str">
            <v>SITC</v>
          </cell>
        </row>
        <row r="800">
          <cell r="B800" t="str">
            <v>Z18064</v>
          </cell>
          <cell r="C800">
            <v>1</v>
          </cell>
          <cell r="D800" t="str">
            <v>KWE</v>
          </cell>
          <cell r="E800" t="str">
            <v>HPH18070099</v>
          </cell>
          <cell r="F800" t="str">
            <v>TYO</v>
          </cell>
          <cell r="G800" t="str">
            <v>SITC</v>
          </cell>
        </row>
        <row r="801">
          <cell r="B801" t="str">
            <v>Z18065</v>
          </cell>
          <cell r="C801">
            <v>6</v>
          </cell>
          <cell r="D801" t="str">
            <v>OCS</v>
          </cell>
          <cell r="E801" t="str">
            <v>HPH18070100</v>
          </cell>
          <cell r="F801" t="str">
            <v>OSK</v>
          </cell>
          <cell r="G801" t="str">
            <v>SITC</v>
          </cell>
        </row>
        <row r="802">
          <cell r="B802" t="str">
            <v>Z18066</v>
          </cell>
          <cell r="C802">
            <v>2</v>
          </cell>
          <cell r="D802" t="str">
            <v>OCS</v>
          </cell>
          <cell r="E802" t="str">
            <v>HPH18070100</v>
          </cell>
          <cell r="F802" t="str">
            <v>OSK</v>
          </cell>
          <cell r="G802" t="str">
            <v>SITC</v>
          </cell>
        </row>
        <row r="803">
          <cell r="B803" t="str">
            <v>Z18069</v>
          </cell>
          <cell r="C803">
            <v>1</v>
          </cell>
          <cell r="D803" t="str">
            <v>NIP</v>
          </cell>
          <cell r="E803" t="str">
            <v xml:space="preserve">1008X03739 </v>
          </cell>
          <cell r="F803" t="str">
            <v>HKT</v>
          </cell>
          <cell r="G803" t="str">
            <v>WHL</v>
          </cell>
        </row>
        <row r="804">
          <cell r="B804" t="str">
            <v>Z18070</v>
          </cell>
          <cell r="C804">
            <v>1</v>
          </cell>
          <cell r="D804" t="str">
            <v>SHI</v>
          </cell>
          <cell r="E804">
            <v>237800206446</v>
          </cell>
          <cell r="F804" t="str">
            <v>OSK</v>
          </cell>
          <cell r="G804" t="str">
            <v>EGLV</v>
          </cell>
        </row>
        <row r="805">
          <cell r="B805" t="str">
            <v>Z18071</v>
          </cell>
          <cell r="C805">
            <v>1</v>
          </cell>
          <cell r="D805" t="str">
            <v>NIP</v>
          </cell>
          <cell r="E805" t="str">
            <v>HPH18070274</v>
          </cell>
          <cell r="F805" t="str">
            <v>HKT</v>
          </cell>
          <cell r="G805" t="str">
            <v>SITC</v>
          </cell>
        </row>
        <row r="806">
          <cell r="B806" t="str">
            <v>Z18073</v>
          </cell>
          <cell r="C806">
            <v>1</v>
          </cell>
          <cell r="D806" t="str">
            <v>OCS</v>
          </cell>
          <cell r="E806" t="str">
            <v>HPH18070273</v>
          </cell>
          <cell r="F806" t="str">
            <v>OSK</v>
          </cell>
          <cell r="G806" t="str">
            <v>SITC</v>
          </cell>
        </row>
        <row r="807">
          <cell r="B807" t="str">
            <v>V181020</v>
          </cell>
          <cell r="C807">
            <v>13</v>
          </cell>
          <cell r="D807" t="str">
            <v>SHI</v>
          </cell>
          <cell r="E807" t="str">
            <v xml:space="preserve">1008X03531 </v>
          </cell>
          <cell r="F807" t="str">
            <v>OSK</v>
          </cell>
          <cell r="G807" t="str">
            <v>WHL</v>
          </cell>
        </row>
        <row r="808">
          <cell r="B808" t="str">
            <v>V181021</v>
          </cell>
          <cell r="C808">
            <v>6</v>
          </cell>
          <cell r="D808" t="str">
            <v>NKV</v>
          </cell>
          <cell r="E808" t="str">
            <v>HPH18079815</v>
          </cell>
          <cell r="F808" t="str">
            <v>KWS</v>
          </cell>
          <cell r="G808" t="str">
            <v>SITC</v>
          </cell>
        </row>
        <row r="809">
          <cell r="B809" t="str">
            <v>V181022</v>
          </cell>
          <cell r="C809">
            <v>6</v>
          </cell>
          <cell r="D809" t="str">
            <v>EXP</v>
          </cell>
          <cell r="E809" t="str">
            <v>1008X03637</v>
          </cell>
          <cell r="F809" t="str">
            <v>TYO</v>
          </cell>
          <cell r="G809" t="str">
            <v>WHL</v>
          </cell>
        </row>
        <row r="810">
          <cell r="B810" t="str">
            <v>V181023</v>
          </cell>
          <cell r="C810">
            <v>6</v>
          </cell>
          <cell r="D810" t="str">
            <v>NIP</v>
          </cell>
          <cell r="E810" t="str">
            <v>HPH18079843</v>
          </cell>
          <cell r="F810" t="str">
            <v>KWS</v>
          </cell>
          <cell r="G810" t="str">
            <v>SITC</v>
          </cell>
        </row>
        <row r="811">
          <cell r="B811" t="str">
            <v>V181024</v>
          </cell>
          <cell r="C811">
            <v>2</v>
          </cell>
          <cell r="D811" t="str">
            <v>SHI</v>
          </cell>
          <cell r="E811" t="str">
            <v xml:space="preserve">1008X03636 </v>
          </cell>
          <cell r="F811" t="str">
            <v>OSK</v>
          </cell>
          <cell r="G811" t="str">
            <v>WHL</v>
          </cell>
        </row>
        <row r="812">
          <cell r="B812" t="str">
            <v>V181025</v>
          </cell>
          <cell r="C812">
            <v>10</v>
          </cell>
          <cell r="D812" t="str">
            <v>KWE</v>
          </cell>
          <cell r="E812" t="str">
            <v>HPH18070101</v>
          </cell>
          <cell r="F812" t="str">
            <v>TYO</v>
          </cell>
          <cell r="G812" t="str">
            <v>SITC</v>
          </cell>
        </row>
        <row r="813">
          <cell r="B813" t="str">
            <v>V181026</v>
          </cell>
          <cell r="C813">
            <v>6</v>
          </cell>
          <cell r="D813" t="str">
            <v>NKV</v>
          </cell>
          <cell r="E813" t="str">
            <v xml:space="preserve">1008X03697 </v>
          </cell>
          <cell r="F813" t="str">
            <v>OSK</v>
          </cell>
          <cell r="G813" t="str">
            <v>WHL</v>
          </cell>
        </row>
        <row r="814">
          <cell r="B814" t="str">
            <v>V181027</v>
          </cell>
          <cell r="C814">
            <v>1</v>
          </cell>
          <cell r="D814" t="str">
            <v>NKV</v>
          </cell>
          <cell r="E814" t="str">
            <v xml:space="preserve">1008X03548 </v>
          </cell>
          <cell r="F814" t="str">
            <v>HKT</v>
          </cell>
          <cell r="G814" t="str">
            <v>WHL</v>
          </cell>
        </row>
        <row r="815">
          <cell r="B815" t="str">
            <v>V181028</v>
          </cell>
          <cell r="C815">
            <v>10</v>
          </cell>
          <cell r="D815" t="str">
            <v>NIP</v>
          </cell>
          <cell r="E815" t="str">
            <v>HPH18079843</v>
          </cell>
          <cell r="F815" t="str">
            <v>KWS</v>
          </cell>
          <cell r="G815" t="str">
            <v>SITC</v>
          </cell>
        </row>
        <row r="816">
          <cell r="B816" t="str">
            <v>V181029</v>
          </cell>
          <cell r="C816">
            <v>3</v>
          </cell>
          <cell r="D816" t="str">
            <v>SHI</v>
          </cell>
          <cell r="E816" t="str">
            <v xml:space="preserve">1008X03636 </v>
          </cell>
          <cell r="F816" t="str">
            <v>OSK</v>
          </cell>
          <cell r="G816" t="str">
            <v>WHL</v>
          </cell>
        </row>
        <row r="817">
          <cell r="B817" t="str">
            <v>V181030</v>
          </cell>
          <cell r="C817">
            <v>1</v>
          </cell>
          <cell r="D817" t="str">
            <v>CEVA</v>
          </cell>
          <cell r="E817" t="str">
            <v>VN00385131</v>
          </cell>
          <cell r="F817" t="str">
            <v>ISH</v>
          </cell>
          <cell r="G817" t="str">
            <v>KMTC</v>
          </cell>
        </row>
        <row r="818">
          <cell r="B818" t="str">
            <v>V181031</v>
          </cell>
          <cell r="C818">
            <v>2</v>
          </cell>
          <cell r="D818" t="str">
            <v>CEVA</v>
          </cell>
          <cell r="E818">
            <v>237800206438</v>
          </cell>
          <cell r="F818" t="str">
            <v>TYO</v>
          </cell>
          <cell r="G818" t="str">
            <v>EGLV</v>
          </cell>
        </row>
        <row r="819">
          <cell r="B819" t="str">
            <v>V181032</v>
          </cell>
          <cell r="C819">
            <v>1</v>
          </cell>
          <cell r="D819" t="str">
            <v>CEVA</v>
          </cell>
          <cell r="E819" t="str">
            <v xml:space="preserve">1008X03740 </v>
          </cell>
          <cell r="F819" t="str">
            <v>TYO</v>
          </cell>
          <cell r="G819" t="str">
            <v>WHL</v>
          </cell>
        </row>
        <row r="820">
          <cell r="B820" t="str">
            <v>V181033</v>
          </cell>
          <cell r="C820">
            <v>1</v>
          </cell>
          <cell r="D820" t="str">
            <v>EXP</v>
          </cell>
          <cell r="E820" t="str">
            <v>350BK8007888</v>
          </cell>
          <cell r="F820" t="str">
            <v>TYO</v>
          </cell>
          <cell r="G820" t="str">
            <v>TSL</v>
          </cell>
        </row>
        <row r="821">
          <cell r="B821" t="str">
            <v>V181034</v>
          </cell>
          <cell r="C821">
            <v>2</v>
          </cell>
          <cell r="D821" t="str">
            <v>YUS</v>
          </cell>
          <cell r="E821" t="str">
            <v>HPH18070272</v>
          </cell>
          <cell r="F821" t="str">
            <v>KWS</v>
          </cell>
          <cell r="G821" t="str">
            <v>SITC</v>
          </cell>
        </row>
        <row r="822">
          <cell r="B822" t="str">
            <v>V181035</v>
          </cell>
          <cell r="C822">
            <v>8</v>
          </cell>
          <cell r="D822" t="str">
            <v>NKV</v>
          </cell>
          <cell r="E822" t="str">
            <v xml:space="preserve">1008X03747 </v>
          </cell>
          <cell r="F822" t="str">
            <v>OSK</v>
          </cell>
          <cell r="G822" t="str">
            <v>WHL</v>
          </cell>
        </row>
        <row r="823">
          <cell r="B823" t="str">
            <v>V181036</v>
          </cell>
          <cell r="C823">
            <v>6</v>
          </cell>
          <cell r="D823" t="str">
            <v>SHI</v>
          </cell>
          <cell r="E823" t="str">
            <v>350BK8007889</v>
          </cell>
          <cell r="F823" t="str">
            <v>HKT</v>
          </cell>
          <cell r="G823" t="str">
            <v>TSL</v>
          </cell>
        </row>
        <row r="824">
          <cell r="B824" t="str">
            <v>V181037</v>
          </cell>
          <cell r="C824">
            <v>3</v>
          </cell>
          <cell r="D824" t="str">
            <v>SHI</v>
          </cell>
          <cell r="E824" t="str">
            <v>1008X03735</v>
          </cell>
          <cell r="F824" t="str">
            <v>TYO</v>
          </cell>
          <cell r="G824" t="str">
            <v>WHL</v>
          </cell>
        </row>
        <row r="825">
          <cell r="B825" t="str">
            <v>V181038</v>
          </cell>
          <cell r="C825">
            <v>5</v>
          </cell>
          <cell r="D825" t="str">
            <v>OCS</v>
          </cell>
          <cell r="E825" t="str">
            <v xml:space="preserve">1008X03748 </v>
          </cell>
          <cell r="F825" t="str">
            <v>OSK</v>
          </cell>
          <cell r="G825" t="str">
            <v>WHL</v>
          </cell>
        </row>
        <row r="826">
          <cell r="B826" t="str">
            <v>V181039</v>
          </cell>
          <cell r="C826">
            <v>1</v>
          </cell>
          <cell r="D826" t="str">
            <v>YUS</v>
          </cell>
          <cell r="E826" t="str">
            <v>HPH18070272</v>
          </cell>
          <cell r="F826" t="str">
            <v>KWS</v>
          </cell>
          <cell r="G826" t="str">
            <v>SITC</v>
          </cell>
        </row>
        <row r="827">
          <cell r="B827" t="str">
            <v>V181040</v>
          </cell>
          <cell r="C827">
            <v>6</v>
          </cell>
          <cell r="D827" t="str">
            <v>SHI</v>
          </cell>
          <cell r="E827">
            <v>237800206446</v>
          </cell>
          <cell r="F827" t="str">
            <v>OSK</v>
          </cell>
          <cell r="G827" t="str">
            <v>EGLV</v>
          </cell>
        </row>
        <row r="828">
          <cell r="B828" t="str">
            <v>V181041</v>
          </cell>
          <cell r="C828">
            <v>3</v>
          </cell>
          <cell r="D828" t="str">
            <v>NIP</v>
          </cell>
          <cell r="E828" t="str">
            <v xml:space="preserve">1008X03739 </v>
          </cell>
          <cell r="F828" t="str">
            <v>HKT</v>
          </cell>
          <cell r="G828" t="str">
            <v>WHL</v>
          </cell>
        </row>
        <row r="829">
          <cell r="B829" t="str">
            <v>V181042</v>
          </cell>
          <cell r="C829">
            <v>1</v>
          </cell>
          <cell r="D829" t="str">
            <v>CEVA</v>
          </cell>
          <cell r="E829" t="str">
            <v>VN00385131</v>
          </cell>
          <cell r="F829" t="str">
            <v>ISH</v>
          </cell>
          <cell r="G829" t="str">
            <v>KMTC</v>
          </cell>
        </row>
        <row r="830">
          <cell r="B830" t="str">
            <v>V181043</v>
          </cell>
          <cell r="C830">
            <v>8</v>
          </cell>
          <cell r="D830" t="str">
            <v>YUS</v>
          </cell>
          <cell r="E830" t="str">
            <v>350BK8007887</v>
          </cell>
          <cell r="F830" t="str">
            <v>TYO</v>
          </cell>
          <cell r="G830" t="str">
            <v>TSL</v>
          </cell>
        </row>
        <row r="831">
          <cell r="B831" t="str">
            <v>V181044</v>
          </cell>
          <cell r="C831">
            <v>1</v>
          </cell>
          <cell r="D831" t="str">
            <v>CEVA</v>
          </cell>
          <cell r="E831" t="str">
            <v>HPH18070581</v>
          </cell>
          <cell r="F831" t="str">
            <v>TYO</v>
          </cell>
          <cell r="G831" t="str">
            <v>SITC</v>
          </cell>
        </row>
        <row r="832">
          <cell r="B832" t="str">
            <v>V181045</v>
          </cell>
          <cell r="C832">
            <v>1</v>
          </cell>
          <cell r="D832" t="str">
            <v>EXP</v>
          </cell>
          <cell r="E832" t="str">
            <v>350BK8007888</v>
          </cell>
          <cell r="F832" t="str">
            <v>TYO</v>
          </cell>
          <cell r="G832" t="str">
            <v>TSL</v>
          </cell>
        </row>
        <row r="833">
          <cell r="B833" t="str">
            <v>V181046</v>
          </cell>
          <cell r="C833">
            <v>4</v>
          </cell>
          <cell r="D833" t="str">
            <v>YUS</v>
          </cell>
          <cell r="E833" t="str">
            <v>HPH18070272</v>
          </cell>
          <cell r="F833" t="str">
            <v>KWS</v>
          </cell>
          <cell r="G833" t="str">
            <v>SITC</v>
          </cell>
        </row>
        <row r="834">
          <cell r="B834" t="str">
            <v>V181047</v>
          </cell>
          <cell r="C834">
            <v>9</v>
          </cell>
          <cell r="D834" t="str">
            <v>SHI</v>
          </cell>
          <cell r="E834">
            <v>237800206446</v>
          </cell>
          <cell r="F834" t="str">
            <v>OSK</v>
          </cell>
          <cell r="G834" t="str">
            <v>EGLV</v>
          </cell>
        </row>
        <row r="835">
          <cell r="B835" t="str">
            <v>V181048</v>
          </cell>
          <cell r="C835">
            <v>9</v>
          </cell>
          <cell r="D835" t="str">
            <v>KWE</v>
          </cell>
          <cell r="E835" t="str">
            <v>HPH18070271</v>
          </cell>
          <cell r="F835" t="str">
            <v>TYO</v>
          </cell>
          <cell r="G835" t="str">
            <v>SITC</v>
          </cell>
        </row>
        <row r="836">
          <cell r="B836" t="str">
            <v>V181049</v>
          </cell>
          <cell r="C836">
            <v>7</v>
          </cell>
          <cell r="D836" t="str">
            <v>OCS</v>
          </cell>
          <cell r="E836" t="str">
            <v>HPH18070273</v>
          </cell>
          <cell r="F836" t="str">
            <v>OSK</v>
          </cell>
          <cell r="G836" t="str">
            <v>SITC</v>
          </cell>
        </row>
        <row r="837">
          <cell r="B837" t="str">
            <v>V181050</v>
          </cell>
          <cell r="C837">
            <v>3</v>
          </cell>
          <cell r="D837" t="str">
            <v>NIP</v>
          </cell>
          <cell r="E837" t="str">
            <v>HPH18070274</v>
          </cell>
          <cell r="F837" t="str">
            <v>HKT</v>
          </cell>
          <cell r="G837" t="str">
            <v>SITC</v>
          </cell>
        </row>
        <row r="838">
          <cell r="B838" t="str">
            <v>V181056</v>
          </cell>
          <cell r="C838">
            <v>3</v>
          </cell>
          <cell r="D838" t="str">
            <v>NKV</v>
          </cell>
          <cell r="E838" t="str">
            <v>HPH18070303</v>
          </cell>
          <cell r="F838" t="str">
            <v>KWS</v>
          </cell>
          <cell r="G838" t="str">
            <v>SITC</v>
          </cell>
        </row>
        <row r="839">
          <cell r="B839" t="str">
            <v>V181057</v>
          </cell>
          <cell r="C839">
            <v>2</v>
          </cell>
          <cell r="D839" t="str">
            <v>NIP</v>
          </cell>
          <cell r="E839" t="str">
            <v>HPH18070274</v>
          </cell>
          <cell r="F839" t="str">
            <v>HKT</v>
          </cell>
          <cell r="G839" t="str">
            <v>SITC</v>
          </cell>
        </row>
        <row r="840">
          <cell r="B840" t="str">
            <v>V181058</v>
          </cell>
          <cell r="C840">
            <v>1</v>
          </cell>
          <cell r="D840" t="str">
            <v>CEVA</v>
          </cell>
          <cell r="E840" t="str">
            <v>VN00387160</v>
          </cell>
          <cell r="F840" t="str">
            <v>ISH</v>
          </cell>
          <cell r="G840" t="str">
            <v>KMTC</v>
          </cell>
        </row>
        <row r="841">
          <cell r="B841" t="str">
            <v>V181059</v>
          </cell>
          <cell r="C841">
            <v>2</v>
          </cell>
          <cell r="D841" t="str">
            <v>EXP</v>
          </cell>
          <cell r="E841" t="str">
            <v>HPH18070582</v>
          </cell>
          <cell r="F841" t="str">
            <v>TYO</v>
          </cell>
          <cell r="G841" t="str">
            <v>SITC</v>
          </cell>
        </row>
        <row r="842">
          <cell r="B842" t="str">
            <v>V181070</v>
          </cell>
          <cell r="C842">
            <v>2</v>
          </cell>
          <cell r="D842" t="str">
            <v>YUS</v>
          </cell>
          <cell r="E842" t="str">
            <v>HPH18070583</v>
          </cell>
          <cell r="F842" t="str">
            <v>KWS</v>
          </cell>
          <cell r="G842" t="str">
            <v>SITC</v>
          </cell>
        </row>
        <row r="843">
          <cell r="B843" t="str">
            <v>V181071</v>
          </cell>
          <cell r="C843">
            <v>5</v>
          </cell>
          <cell r="D843" t="str">
            <v>KWE</v>
          </cell>
          <cell r="E843" t="str">
            <v>HPH18070271</v>
          </cell>
          <cell r="F843" t="str">
            <v>TYO</v>
          </cell>
          <cell r="G843" t="str">
            <v>SITC</v>
          </cell>
        </row>
        <row r="844">
          <cell r="B844" t="str">
            <v>V181072</v>
          </cell>
          <cell r="C844">
            <v>6</v>
          </cell>
          <cell r="D844" t="str">
            <v>OCS</v>
          </cell>
          <cell r="E844" t="str">
            <v>HPH18070273</v>
          </cell>
          <cell r="F844" t="str">
            <v>OSK</v>
          </cell>
          <cell r="G844" t="str">
            <v>SITC</v>
          </cell>
        </row>
        <row r="845">
          <cell r="B845" t="str">
            <v>V181073</v>
          </cell>
          <cell r="C845">
            <v>1</v>
          </cell>
          <cell r="D845" t="str">
            <v>NIP</v>
          </cell>
          <cell r="E845" t="str">
            <v>HPH18070274</v>
          </cell>
          <cell r="F845" t="str">
            <v>HKT</v>
          </cell>
          <cell r="G845" t="str">
            <v>SITC</v>
          </cell>
        </row>
        <row r="846">
          <cell r="B846" t="str">
            <v>V181074</v>
          </cell>
          <cell r="C846">
            <v>2</v>
          </cell>
          <cell r="D846" t="str">
            <v>KWE</v>
          </cell>
          <cell r="E846" t="str">
            <v>350BK8008149</v>
          </cell>
          <cell r="F846" t="str">
            <v>TAOYUAN</v>
          </cell>
          <cell r="G846" t="str">
            <v>TSL</v>
          </cell>
        </row>
        <row r="847">
          <cell r="B847" t="str">
            <v>V181075</v>
          </cell>
          <cell r="C847">
            <v>2</v>
          </cell>
          <cell r="D847" t="str">
            <v>KWE</v>
          </cell>
          <cell r="E847" t="str">
            <v>HPH18070271</v>
          </cell>
          <cell r="F847" t="str">
            <v>TYO</v>
          </cell>
          <cell r="G847" t="str">
            <v>SITC</v>
          </cell>
        </row>
        <row r="848">
          <cell r="B848" t="str">
            <v>V181076</v>
          </cell>
          <cell r="C848">
            <v>1</v>
          </cell>
          <cell r="D848" t="str">
            <v>CEVA</v>
          </cell>
          <cell r="E848" t="str">
            <v>HPH18070581</v>
          </cell>
          <cell r="F848" t="str">
            <v>TYO</v>
          </cell>
          <cell r="G848" t="str">
            <v>SITC</v>
          </cell>
        </row>
        <row r="849">
          <cell r="B849" t="str">
            <v>V181077</v>
          </cell>
          <cell r="C849">
            <v>1</v>
          </cell>
          <cell r="D849" t="str">
            <v>YUS</v>
          </cell>
          <cell r="E849" t="str">
            <v>HPH18070583</v>
          </cell>
          <cell r="F849" t="str">
            <v>KWS</v>
          </cell>
          <cell r="G849" t="str">
            <v>SITC</v>
          </cell>
        </row>
        <row r="850">
          <cell r="B850" t="str">
            <v>V181078</v>
          </cell>
          <cell r="C850">
            <v>7</v>
          </cell>
          <cell r="D850" t="str">
            <v>OCS</v>
          </cell>
          <cell r="E850" t="str">
            <v>HPH18070273</v>
          </cell>
          <cell r="F850" t="str">
            <v>OSK</v>
          </cell>
          <cell r="G850" t="str">
            <v>SITC</v>
          </cell>
        </row>
        <row r="851">
          <cell r="B851" t="str">
            <v>V181079</v>
          </cell>
          <cell r="C851">
            <v>2</v>
          </cell>
          <cell r="D851" t="str">
            <v>NIP</v>
          </cell>
          <cell r="E851" t="str">
            <v>HPH18070274</v>
          </cell>
          <cell r="F851" t="str">
            <v>HKT</v>
          </cell>
          <cell r="G851" t="str">
            <v>SITC</v>
          </cell>
        </row>
        <row r="852">
          <cell r="B852" t="str">
            <v>V181080</v>
          </cell>
          <cell r="C852">
            <v>4</v>
          </cell>
          <cell r="D852" t="str">
            <v>OCS</v>
          </cell>
          <cell r="E852" t="str">
            <v>HPH18070273</v>
          </cell>
          <cell r="F852" t="str">
            <v>OSK</v>
          </cell>
          <cell r="G852" t="str">
            <v>SITC</v>
          </cell>
        </row>
        <row r="853">
          <cell r="B853" t="str">
            <v>V181081</v>
          </cell>
          <cell r="C853">
            <v>4</v>
          </cell>
          <cell r="D853" t="str">
            <v>KWE</v>
          </cell>
          <cell r="E853" t="str">
            <v>HPH18070271</v>
          </cell>
          <cell r="F853" t="str">
            <v>TYO</v>
          </cell>
          <cell r="G853" t="str">
            <v>SITC</v>
          </cell>
        </row>
        <row r="854">
          <cell r="B854" t="str">
            <v>V181082</v>
          </cell>
          <cell r="C854">
            <v>4</v>
          </cell>
          <cell r="D854" t="str">
            <v>YUS</v>
          </cell>
          <cell r="E854" t="str">
            <v>HPH18070583</v>
          </cell>
          <cell r="F854" t="str">
            <v>KWS</v>
          </cell>
          <cell r="G854" t="str">
            <v>SITC</v>
          </cell>
        </row>
        <row r="855">
          <cell r="B855" t="str">
            <v>V181060</v>
          </cell>
          <cell r="C855">
            <v>10</v>
          </cell>
          <cell r="D855" t="str">
            <v>NKV</v>
          </cell>
          <cell r="E855" t="str">
            <v>1008X03736</v>
          </cell>
          <cell r="F855" t="str">
            <v>OSK</v>
          </cell>
          <cell r="G855" t="str">
            <v>WHL</v>
          </cell>
        </row>
        <row r="856">
          <cell r="B856" t="str">
            <v>V181061</v>
          </cell>
          <cell r="C856">
            <v>10</v>
          </cell>
          <cell r="D856" t="str">
            <v>NIP</v>
          </cell>
          <cell r="E856" t="str">
            <v>HPH18070277</v>
          </cell>
          <cell r="F856" t="str">
            <v>KWS</v>
          </cell>
          <cell r="G856" t="str">
            <v>SITC</v>
          </cell>
        </row>
        <row r="857">
          <cell r="B857" t="str">
            <v>V181062</v>
          </cell>
          <cell r="C857">
            <v>6</v>
          </cell>
          <cell r="D857" t="str">
            <v>NKV</v>
          </cell>
          <cell r="E857" t="str">
            <v>1008X03734</v>
          </cell>
          <cell r="F857" t="str">
            <v>HKT</v>
          </cell>
          <cell r="G857" t="str">
            <v>WHL</v>
          </cell>
        </row>
        <row r="858">
          <cell r="B858" t="str">
            <v>V181063</v>
          </cell>
          <cell r="C858">
            <v>8</v>
          </cell>
          <cell r="D858" t="str">
            <v>KWE</v>
          </cell>
          <cell r="E858" t="str">
            <v xml:space="preserve">1008X03746 </v>
          </cell>
          <cell r="F858" t="str">
            <v>TYO</v>
          </cell>
          <cell r="G858" t="str">
            <v>WHL</v>
          </cell>
        </row>
        <row r="859">
          <cell r="B859" t="str">
            <v>V181064</v>
          </cell>
          <cell r="C859">
            <v>3</v>
          </cell>
          <cell r="D859" t="str">
            <v>NKV</v>
          </cell>
          <cell r="E859" t="str">
            <v>HPH18070275</v>
          </cell>
          <cell r="F859" t="str">
            <v>TYO</v>
          </cell>
          <cell r="G859" t="str">
            <v>SITC</v>
          </cell>
        </row>
        <row r="860">
          <cell r="B860" t="str">
            <v>V181065</v>
          </cell>
          <cell r="C860">
            <v>4</v>
          </cell>
          <cell r="D860" t="str">
            <v>NIP</v>
          </cell>
          <cell r="E860" t="str">
            <v xml:space="preserve">1008X03745 </v>
          </cell>
          <cell r="F860" t="str">
            <v>TYO</v>
          </cell>
          <cell r="G860" t="str">
            <v>WHL</v>
          </cell>
        </row>
        <row r="861">
          <cell r="B861" t="str">
            <v>V181066</v>
          </cell>
          <cell r="C861">
            <v>2</v>
          </cell>
          <cell r="D861" t="str">
            <v>CEVA</v>
          </cell>
          <cell r="E861" t="str">
            <v>350BK8007890</v>
          </cell>
          <cell r="F861" t="str">
            <v>TYO</v>
          </cell>
          <cell r="G861" t="str">
            <v>TSL</v>
          </cell>
        </row>
        <row r="862">
          <cell r="B862" t="str">
            <v>V181067</v>
          </cell>
          <cell r="C862">
            <v>8</v>
          </cell>
          <cell r="D862" t="str">
            <v>VIMA</v>
          </cell>
          <cell r="E862" t="str">
            <v>HPH18070276</v>
          </cell>
          <cell r="F862" t="str">
            <v>KWS</v>
          </cell>
          <cell r="G862" t="str">
            <v>SITC</v>
          </cell>
        </row>
        <row r="863">
          <cell r="B863" t="str">
            <v>V181068</v>
          </cell>
          <cell r="C863">
            <v>11</v>
          </cell>
          <cell r="D863" t="str">
            <v>NKV</v>
          </cell>
          <cell r="E863" t="str">
            <v>HPH18070278</v>
          </cell>
          <cell r="F863" t="str">
            <v>OSK</v>
          </cell>
          <cell r="G863" t="str">
            <v>SITC</v>
          </cell>
        </row>
        <row r="864">
          <cell r="B864" t="str">
            <v>V181069</v>
          </cell>
          <cell r="C864">
            <v>11</v>
          </cell>
          <cell r="D864" t="str">
            <v>NKV</v>
          </cell>
          <cell r="E864" t="str">
            <v>HPH18070584</v>
          </cell>
          <cell r="F864" t="str">
            <v>KWS</v>
          </cell>
          <cell r="G864" t="str">
            <v>SITC</v>
          </cell>
        </row>
        <row r="865">
          <cell r="B865" t="str">
            <v>V181083</v>
          </cell>
          <cell r="C865">
            <v>3</v>
          </cell>
          <cell r="D865" t="str">
            <v>CEVA</v>
          </cell>
          <cell r="E865" t="str">
            <v>350BK8008163</v>
          </cell>
          <cell r="F865" t="str">
            <v>TYO</v>
          </cell>
          <cell r="G865" t="str">
            <v>TSL</v>
          </cell>
        </row>
        <row r="866">
          <cell r="B866" t="str">
            <v>V181084</v>
          </cell>
          <cell r="C866">
            <v>6</v>
          </cell>
          <cell r="D866" t="str">
            <v>NKV</v>
          </cell>
          <cell r="E866" t="str">
            <v>HPH18070595</v>
          </cell>
          <cell r="F866" t="str">
            <v>KWS</v>
          </cell>
          <cell r="G866" t="str">
            <v>SITC</v>
          </cell>
        </row>
        <row r="867">
          <cell r="B867" t="str">
            <v>V181085</v>
          </cell>
          <cell r="C867">
            <v>13</v>
          </cell>
          <cell r="D867" t="str">
            <v>NIP</v>
          </cell>
          <cell r="E867" t="str">
            <v xml:space="preserve">1008X03901 </v>
          </cell>
          <cell r="F867" t="str">
            <v>OSK</v>
          </cell>
          <cell r="G867" t="str">
            <v>WHL</v>
          </cell>
        </row>
        <row r="868">
          <cell r="B868" t="str">
            <v>V181086</v>
          </cell>
          <cell r="C868">
            <v>6</v>
          </cell>
          <cell r="D868" t="str">
            <v>NKV</v>
          </cell>
          <cell r="E868" t="str">
            <v xml:space="preserve">1008X04013 </v>
          </cell>
          <cell r="F868" t="str">
            <v>TYO</v>
          </cell>
          <cell r="G868" t="str">
            <v>WHL</v>
          </cell>
        </row>
        <row r="869">
          <cell r="B869" t="str">
            <v>V181087</v>
          </cell>
          <cell r="C869">
            <v>4</v>
          </cell>
          <cell r="D869" t="str">
            <v>CEVA</v>
          </cell>
          <cell r="E869" t="str">
            <v>350BK8008164</v>
          </cell>
          <cell r="F869" t="str">
            <v>TYO</v>
          </cell>
          <cell r="G869" t="str">
            <v>TSL</v>
          </cell>
        </row>
        <row r="870">
          <cell r="B870" t="str">
            <v>V181088</v>
          </cell>
          <cell r="C870">
            <v>6</v>
          </cell>
          <cell r="D870" t="str">
            <v>VIMA</v>
          </cell>
          <cell r="E870" t="str">
            <v>HPH18070593</v>
          </cell>
          <cell r="F870" t="str">
            <v>KWS</v>
          </cell>
          <cell r="G870" t="str">
            <v>SITC</v>
          </cell>
        </row>
        <row r="871">
          <cell r="B871" t="str">
            <v>V181089</v>
          </cell>
          <cell r="C871">
            <v>3</v>
          </cell>
          <cell r="D871" t="str">
            <v>NIP</v>
          </cell>
          <cell r="E871" t="str">
            <v xml:space="preserve">1008X03901 </v>
          </cell>
          <cell r="F871" t="str">
            <v>OSK</v>
          </cell>
          <cell r="G871" t="str">
            <v>WHL</v>
          </cell>
        </row>
        <row r="872">
          <cell r="B872" t="str">
            <v>V181090</v>
          </cell>
          <cell r="C872">
            <v>3</v>
          </cell>
          <cell r="D872" t="str">
            <v>NKV</v>
          </cell>
          <cell r="E872" t="str">
            <v>350BK8008165</v>
          </cell>
          <cell r="F872" t="str">
            <v>HKT</v>
          </cell>
          <cell r="G872" t="str">
            <v>TSL</v>
          </cell>
        </row>
        <row r="873">
          <cell r="B873" t="str">
            <v>V181091</v>
          </cell>
          <cell r="C873">
            <v>5</v>
          </cell>
          <cell r="D873" t="str">
            <v>SHI</v>
          </cell>
          <cell r="E873" t="str">
            <v>HPH18070596</v>
          </cell>
          <cell r="F873" t="str">
            <v>KWS</v>
          </cell>
          <cell r="G873" t="str">
            <v>SITC</v>
          </cell>
        </row>
        <row r="874">
          <cell r="B874" t="str">
            <v>V181092</v>
          </cell>
          <cell r="C874">
            <v>6</v>
          </cell>
          <cell r="D874" t="str">
            <v>NIP</v>
          </cell>
          <cell r="E874">
            <v>237800216395</v>
          </cell>
          <cell r="F874" t="str">
            <v>OSK</v>
          </cell>
          <cell r="G874" t="str">
            <v>EGLV</v>
          </cell>
        </row>
        <row r="875">
          <cell r="B875" t="str">
            <v>V181093</v>
          </cell>
          <cell r="C875">
            <v>1</v>
          </cell>
          <cell r="D875" t="str">
            <v>KWE</v>
          </cell>
          <cell r="E875">
            <v>74557757</v>
          </cell>
          <cell r="F875" t="str">
            <v>NAHA</v>
          </cell>
          <cell r="G875" t="str">
            <v>APL</v>
          </cell>
        </row>
        <row r="876">
          <cell r="B876" t="str">
            <v>V181094</v>
          </cell>
          <cell r="C876">
            <v>1</v>
          </cell>
          <cell r="D876" t="str">
            <v>CEVA</v>
          </cell>
          <cell r="E876" t="str">
            <v>VN00386625</v>
          </cell>
          <cell r="F876" t="str">
            <v>ISH</v>
          </cell>
          <cell r="G876" t="str">
            <v>KMTC</v>
          </cell>
        </row>
        <row r="877">
          <cell r="B877" t="str">
            <v>V181095</v>
          </cell>
          <cell r="C877">
            <v>2</v>
          </cell>
          <cell r="D877" t="str">
            <v>EXP</v>
          </cell>
          <cell r="E877" t="str">
            <v>HPH18070591</v>
          </cell>
          <cell r="F877" t="str">
            <v>TYO</v>
          </cell>
          <cell r="G877" t="str">
            <v>SITC</v>
          </cell>
        </row>
        <row r="878">
          <cell r="B878" t="str">
            <v>V181096</v>
          </cell>
          <cell r="C878">
            <v>1</v>
          </cell>
          <cell r="D878" t="str">
            <v>CEVA</v>
          </cell>
          <cell r="E878" t="str">
            <v>350BK8008443</v>
          </cell>
          <cell r="F878" t="str">
            <v>TYO</v>
          </cell>
          <cell r="G878" t="str">
            <v>TSL</v>
          </cell>
        </row>
        <row r="879">
          <cell r="B879" t="str">
            <v>V181097</v>
          </cell>
          <cell r="C879">
            <v>16</v>
          </cell>
          <cell r="D879" t="str">
            <v>NIP</v>
          </cell>
          <cell r="E879" t="str">
            <v xml:space="preserve">1008X03901 </v>
          </cell>
          <cell r="F879" t="str">
            <v>OSK</v>
          </cell>
          <cell r="G879" t="str">
            <v>WHL</v>
          </cell>
        </row>
        <row r="880">
          <cell r="B880" t="str">
            <v>V181098</v>
          </cell>
          <cell r="C880">
            <v>1</v>
          </cell>
          <cell r="D880" t="str">
            <v>CEVA</v>
          </cell>
          <cell r="E880" t="str">
            <v>350BK8008448</v>
          </cell>
          <cell r="F880" t="str">
            <v>TYO</v>
          </cell>
          <cell r="G880" t="str">
            <v>TSL</v>
          </cell>
        </row>
        <row r="881">
          <cell r="B881" t="str">
            <v>V181099</v>
          </cell>
          <cell r="C881">
            <v>4</v>
          </cell>
          <cell r="D881" t="str">
            <v>VIMA</v>
          </cell>
          <cell r="E881" t="str">
            <v>HPH18070594</v>
          </cell>
          <cell r="F881" t="str">
            <v>KWS</v>
          </cell>
          <cell r="G881" t="str">
            <v>SITC</v>
          </cell>
        </row>
        <row r="882">
          <cell r="B882" t="str">
            <v>V181100</v>
          </cell>
          <cell r="C882">
            <v>4</v>
          </cell>
          <cell r="D882" t="str">
            <v>NIP</v>
          </cell>
          <cell r="E882" t="str">
            <v xml:space="preserve">1008X03900 </v>
          </cell>
          <cell r="F882" t="str">
            <v>OSK</v>
          </cell>
          <cell r="G882" t="str">
            <v>WHL</v>
          </cell>
        </row>
        <row r="883">
          <cell r="B883" t="str">
            <v>V181101</v>
          </cell>
          <cell r="C883">
            <v>2</v>
          </cell>
          <cell r="D883" t="str">
            <v>SHI</v>
          </cell>
          <cell r="E883" t="str">
            <v>HPH18070599</v>
          </cell>
          <cell r="F883" t="str">
            <v>HKT</v>
          </cell>
          <cell r="G883" t="str">
            <v>SITC</v>
          </cell>
        </row>
        <row r="884">
          <cell r="B884" t="str">
            <v>V181102</v>
          </cell>
          <cell r="C884">
            <v>2</v>
          </cell>
          <cell r="D884" t="str">
            <v>KWE</v>
          </cell>
          <cell r="E884" t="str">
            <v>350BK8008173</v>
          </cell>
          <cell r="F884" t="str">
            <v>TAOYUAN</v>
          </cell>
          <cell r="G884" t="str">
            <v>TSL</v>
          </cell>
        </row>
        <row r="885">
          <cell r="B885" t="str">
            <v>V181103</v>
          </cell>
          <cell r="C885">
            <v>1</v>
          </cell>
          <cell r="D885" t="str">
            <v>EXP</v>
          </cell>
          <cell r="E885" t="str">
            <v>HPH18070592</v>
          </cell>
          <cell r="F885" t="str">
            <v>TYO</v>
          </cell>
          <cell r="G885" t="str">
            <v>SITC</v>
          </cell>
        </row>
        <row r="886">
          <cell r="B886" t="str">
            <v>V181104</v>
          </cell>
          <cell r="C886">
            <v>2</v>
          </cell>
          <cell r="D886" t="str">
            <v>SHI</v>
          </cell>
          <cell r="E886" t="str">
            <v>HPH18070597</v>
          </cell>
          <cell r="F886" t="str">
            <v>KWS</v>
          </cell>
          <cell r="G886" t="str">
            <v>SITC</v>
          </cell>
        </row>
        <row r="887">
          <cell r="B887" t="str">
            <v>V181105</v>
          </cell>
          <cell r="C887">
            <v>5</v>
          </cell>
          <cell r="D887" t="str">
            <v>NIP</v>
          </cell>
          <cell r="E887" t="str">
            <v>HPH18070598</v>
          </cell>
          <cell r="F887" t="str">
            <v>OSK</v>
          </cell>
          <cell r="G887" t="str">
            <v>SITC</v>
          </cell>
        </row>
        <row r="888">
          <cell r="B888" t="str">
            <v>V181106</v>
          </cell>
          <cell r="C888">
            <v>1</v>
          </cell>
          <cell r="D888" t="str">
            <v>CEVA</v>
          </cell>
          <cell r="E888" t="str">
            <v>350BK8008443</v>
          </cell>
          <cell r="F888" t="str">
            <v>TYO</v>
          </cell>
          <cell r="G888" t="str">
            <v>TSL</v>
          </cell>
        </row>
        <row r="889">
          <cell r="B889" t="str">
            <v>V181107</v>
          </cell>
          <cell r="C889">
            <v>2</v>
          </cell>
          <cell r="D889" t="str">
            <v>CEVA</v>
          </cell>
          <cell r="E889" t="str">
            <v>350BK8008448</v>
          </cell>
          <cell r="F889" t="str">
            <v>TYO</v>
          </cell>
          <cell r="G889" t="str">
            <v>TSL</v>
          </cell>
        </row>
        <row r="890">
          <cell r="B890" t="str">
            <v>V181108</v>
          </cell>
          <cell r="C890">
            <v>2</v>
          </cell>
          <cell r="D890" t="str">
            <v>SHI</v>
          </cell>
          <cell r="E890" t="str">
            <v>HPH18070599</v>
          </cell>
          <cell r="F890" t="str">
            <v>HKT</v>
          </cell>
          <cell r="G890" t="str">
            <v>SITC</v>
          </cell>
        </row>
        <row r="891">
          <cell r="B891" t="str">
            <v>V181109</v>
          </cell>
          <cell r="C891">
            <v>3</v>
          </cell>
          <cell r="D891" t="str">
            <v>EXP</v>
          </cell>
          <cell r="E891" t="str">
            <v xml:space="preserve">1008X04122 </v>
          </cell>
          <cell r="F891" t="str">
            <v>TYO</v>
          </cell>
          <cell r="G891" t="str">
            <v>WHL</v>
          </cell>
        </row>
        <row r="892">
          <cell r="B892" t="str">
            <v>V181110</v>
          </cell>
          <cell r="C892">
            <v>2</v>
          </cell>
          <cell r="D892" t="str">
            <v>NIP</v>
          </cell>
          <cell r="E892" t="str">
            <v xml:space="preserve">1008X03900 </v>
          </cell>
          <cell r="F892" t="str">
            <v>OSK</v>
          </cell>
          <cell r="G892" t="str">
            <v>WHL</v>
          </cell>
        </row>
        <row r="893">
          <cell r="B893" t="str">
            <v>V181111</v>
          </cell>
          <cell r="C893">
            <v>2</v>
          </cell>
          <cell r="D893" t="str">
            <v>SHI</v>
          </cell>
          <cell r="E893" t="str">
            <v>HPH18070597</v>
          </cell>
          <cell r="F893" t="str">
            <v>KWS</v>
          </cell>
          <cell r="G893" t="str">
            <v>SITC</v>
          </cell>
        </row>
        <row r="894">
          <cell r="B894" t="str">
            <v>V181112</v>
          </cell>
          <cell r="C894">
            <v>3</v>
          </cell>
          <cell r="D894" t="str">
            <v>NIP</v>
          </cell>
          <cell r="E894" t="str">
            <v>HPH18070598</v>
          </cell>
          <cell r="F894" t="str">
            <v>OSK</v>
          </cell>
          <cell r="G894" t="str">
            <v>SITC</v>
          </cell>
        </row>
        <row r="895">
          <cell r="B895" t="str">
            <v>V181113</v>
          </cell>
          <cell r="C895">
            <v>2</v>
          </cell>
          <cell r="D895" t="str">
            <v>CEVA</v>
          </cell>
          <cell r="E895" t="str">
            <v>VN00386625</v>
          </cell>
          <cell r="F895" t="str">
            <v>ISH</v>
          </cell>
          <cell r="G895" t="str">
            <v>KMTC</v>
          </cell>
        </row>
        <row r="896">
          <cell r="B896" t="str">
            <v>V181114</v>
          </cell>
          <cell r="C896">
            <v>1</v>
          </cell>
          <cell r="D896" t="str">
            <v>SHI</v>
          </cell>
          <cell r="E896" t="str">
            <v>HPH18070930</v>
          </cell>
          <cell r="F896" t="str">
            <v>TYO</v>
          </cell>
          <cell r="G896" t="str">
            <v>SITC</v>
          </cell>
        </row>
        <row r="897">
          <cell r="B897" t="str">
            <v>V181115</v>
          </cell>
          <cell r="C897">
            <v>2</v>
          </cell>
          <cell r="D897" t="str">
            <v>SHI</v>
          </cell>
          <cell r="E897" t="str">
            <v>HPH18070597</v>
          </cell>
          <cell r="F897" t="str">
            <v>KWS</v>
          </cell>
          <cell r="G897" t="str">
            <v>SITC</v>
          </cell>
        </row>
        <row r="898">
          <cell r="B898" t="str">
            <v>V181116</v>
          </cell>
          <cell r="C898">
            <v>5</v>
          </cell>
          <cell r="D898" t="str">
            <v>NKV</v>
          </cell>
          <cell r="E898" t="str">
            <v xml:space="preserve">1008X04089 </v>
          </cell>
          <cell r="F898" t="str">
            <v>TYO</v>
          </cell>
          <cell r="G898" t="str">
            <v>WHL</v>
          </cell>
        </row>
        <row r="899">
          <cell r="B899" t="str">
            <v>V181117</v>
          </cell>
          <cell r="C899">
            <v>2</v>
          </cell>
          <cell r="D899" t="str">
            <v>CEVA</v>
          </cell>
          <cell r="E899">
            <v>237800224223</v>
          </cell>
          <cell r="F899" t="str">
            <v>TYO</v>
          </cell>
          <cell r="G899" t="str">
            <v>EGLV</v>
          </cell>
        </row>
        <row r="900">
          <cell r="B900" t="str">
            <v>V181118</v>
          </cell>
          <cell r="C900">
            <v>5</v>
          </cell>
          <cell r="D900" t="str">
            <v>VIMA</v>
          </cell>
          <cell r="E900" t="str">
            <v>HPH18070913</v>
          </cell>
          <cell r="F900" t="str">
            <v>KWS</v>
          </cell>
          <cell r="G900" t="str">
            <v>SITC</v>
          </cell>
        </row>
        <row r="901">
          <cell r="B901" t="str">
            <v>V181119</v>
          </cell>
          <cell r="C901">
            <v>6</v>
          </cell>
          <cell r="D901" t="str">
            <v>SHI</v>
          </cell>
          <cell r="E901">
            <v>237800224231</v>
          </cell>
          <cell r="F901" t="str">
            <v>OSK</v>
          </cell>
          <cell r="G901" t="str">
            <v>EGLV</v>
          </cell>
        </row>
        <row r="902">
          <cell r="B902" t="str">
            <v>Z18072</v>
          </cell>
          <cell r="C902">
            <v>7</v>
          </cell>
          <cell r="D902" t="str">
            <v>NIP</v>
          </cell>
          <cell r="E902" t="str">
            <v xml:space="preserve">1008X03703 </v>
          </cell>
          <cell r="F902" t="str">
            <v>OSK</v>
          </cell>
          <cell r="G902" t="str">
            <v>WHL</v>
          </cell>
        </row>
        <row r="903">
          <cell r="B903" t="str">
            <v>Z18074</v>
          </cell>
          <cell r="C903">
            <v>1</v>
          </cell>
          <cell r="D903" t="str">
            <v>CEVA</v>
          </cell>
          <cell r="E903" t="str">
            <v>350BK8008164</v>
          </cell>
          <cell r="F903" t="str">
            <v>TYO</v>
          </cell>
          <cell r="G903" t="str">
            <v>TSL</v>
          </cell>
        </row>
        <row r="904">
          <cell r="B904" t="str">
            <v>Z18075</v>
          </cell>
          <cell r="C904">
            <v>4</v>
          </cell>
          <cell r="D904" t="str">
            <v>SHI</v>
          </cell>
          <cell r="E904" t="str">
            <v>HPH18070585</v>
          </cell>
          <cell r="F904" t="str">
            <v>KWS</v>
          </cell>
          <cell r="G904" t="str">
            <v>SITC</v>
          </cell>
        </row>
        <row r="905">
          <cell r="B905" t="str">
            <v>Z18076</v>
          </cell>
          <cell r="C905">
            <v>1</v>
          </cell>
          <cell r="D905" t="str">
            <v>KWE</v>
          </cell>
          <cell r="E905" t="str">
            <v xml:space="preserve">1008X03746 </v>
          </cell>
          <cell r="F905" t="str">
            <v>TYO</v>
          </cell>
          <cell r="G905" t="str">
            <v>WHL</v>
          </cell>
        </row>
        <row r="906">
          <cell r="B906" t="str">
            <v>Z18077</v>
          </cell>
          <cell r="C906">
            <v>8</v>
          </cell>
          <cell r="D906" t="str">
            <v>NKV</v>
          </cell>
          <cell r="E906" t="str">
            <v>HPH18070110</v>
          </cell>
          <cell r="F906" t="str">
            <v>KWS</v>
          </cell>
          <cell r="G906" t="str">
            <v>SITC</v>
          </cell>
        </row>
        <row r="907">
          <cell r="B907" t="str">
            <v>Z18078</v>
          </cell>
          <cell r="C907">
            <v>1</v>
          </cell>
          <cell r="D907" t="str">
            <v>CEVA</v>
          </cell>
          <cell r="E907" t="str">
            <v>350BK8008163</v>
          </cell>
          <cell r="F907" t="str">
            <v>TYO</v>
          </cell>
          <cell r="G907" t="str">
            <v>TSL</v>
          </cell>
        </row>
        <row r="908">
          <cell r="B908" t="str">
            <v>Z18079</v>
          </cell>
          <cell r="C908">
            <v>1</v>
          </cell>
          <cell r="D908" t="str">
            <v>NKV</v>
          </cell>
          <cell r="E908" t="str">
            <v xml:space="preserve">1008X04013 </v>
          </cell>
          <cell r="F908" t="str">
            <v>TYO</v>
          </cell>
          <cell r="G908" t="str">
            <v>WHL</v>
          </cell>
        </row>
        <row r="909">
          <cell r="B909" t="str">
            <v>Z18080</v>
          </cell>
          <cell r="C909">
            <v>1</v>
          </cell>
          <cell r="D909" t="str">
            <v>NKV</v>
          </cell>
          <cell r="E909" t="str">
            <v>350BK8008165</v>
          </cell>
          <cell r="F909" t="str">
            <v>HKT</v>
          </cell>
          <cell r="G909" t="str">
            <v>TSL</v>
          </cell>
        </row>
        <row r="910">
          <cell r="B910" t="str">
            <v>Z18081</v>
          </cell>
          <cell r="C910">
            <v>5</v>
          </cell>
          <cell r="D910" t="str">
            <v>NIP</v>
          </cell>
          <cell r="E910" t="str">
            <v xml:space="preserve">1008X03901 </v>
          </cell>
          <cell r="F910" t="str">
            <v>OSK</v>
          </cell>
          <cell r="G910" t="str">
            <v>WHL</v>
          </cell>
        </row>
        <row r="911">
          <cell r="B911" t="str">
            <v>Z18082</v>
          </cell>
          <cell r="C911">
            <v>2</v>
          </cell>
          <cell r="D911" t="str">
            <v>SHI</v>
          </cell>
          <cell r="E911" t="str">
            <v>HPH18070596</v>
          </cell>
          <cell r="F911" t="str">
            <v>KWS</v>
          </cell>
          <cell r="G911" t="str">
            <v>SITC</v>
          </cell>
        </row>
        <row r="912">
          <cell r="B912" t="str">
            <v>Z18083</v>
          </cell>
          <cell r="C912">
            <v>4</v>
          </cell>
          <cell r="D912" t="str">
            <v>KWE</v>
          </cell>
          <cell r="E912" t="str">
            <v>HPH18070600</v>
          </cell>
          <cell r="F912" t="str">
            <v>KWS</v>
          </cell>
          <cell r="G912" t="str">
            <v>SITC</v>
          </cell>
        </row>
        <row r="913">
          <cell r="B913" t="str">
            <v>Z18084</v>
          </cell>
          <cell r="C913">
            <v>3</v>
          </cell>
          <cell r="D913" t="str">
            <v>KWE</v>
          </cell>
          <cell r="E913" t="str">
            <v>HPH18070600</v>
          </cell>
          <cell r="F913" t="str">
            <v>KWS</v>
          </cell>
          <cell r="G913" t="str">
            <v>SITC</v>
          </cell>
        </row>
        <row r="914">
          <cell r="B914" t="str">
            <v>Z18085</v>
          </cell>
          <cell r="C914">
            <v>6</v>
          </cell>
          <cell r="D914" t="str">
            <v>NKV</v>
          </cell>
          <cell r="E914" t="str">
            <v>1008X03907</v>
          </cell>
          <cell r="F914" t="str">
            <v>OSK</v>
          </cell>
          <cell r="G914" t="str">
            <v>WHL</v>
          </cell>
        </row>
        <row r="915">
          <cell r="B915" t="str">
            <v>Z18086</v>
          </cell>
          <cell r="C915">
            <v>1</v>
          </cell>
          <cell r="D915" t="str">
            <v>NKV</v>
          </cell>
          <cell r="E915" t="str">
            <v xml:space="preserve">1008X04035 </v>
          </cell>
          <cell r="F915" t="str">
            <v>TYO</v>
          </cell>
          <cell r="G915" t="str">
            <v>WHL</v>
          </cell>
        </row>
        <row r="916">
          <cell r="B916" t="str">
            <v>Z18087</v>
          </cell>
          <cell r="C916">
            <v>1</v>
          </cell>
          <cell r="D916" t="str">
            <v>NKV</v>
          </cell>
          <cell r="E916" t="str">
            <v xml:space="preserve">1008X04034 </v>
          </cell>
          <cell r="F916" t="str">
            <v>TYO</v>
          </cell>
          <cell r="G916" t="str">
            <v>WHL</v>
          </cell>
        </row>
        <row r="917">
          <cell r="B917" t="str">
            <v>Z18088</v>
          </cell>
          <cell r="C917">
            <v>2</v>
          </cell>
          <cell r="D917" t="str">
            <v>KWE</v>
          </cell>
          <cell r="E917" t="str">
            <v>HPH18070600</v>
          </cell>
          <cell r="F917" t="str">
            <v>KWS</v>
          </cell>
          <cell r="G917" t="str">
            <v>SITC</v>
          </cell>
        </row>
        <row r="918">
          <cell r="B918" t="str">
            <v>Z18089</v>
          </cell>
          <cell r="C918">
            <v>3</v>
          </cell>
          <cell r="D918" t="str">
            <v>KWE</v>
          </cell>
          <cell r="E918" t="str">
            <v>HPH18070904</v>
          </cell>
          <cell r="F918" t="str">
            <v>KWS</v>
          </cell>
          <cell r="G918" t="str">
            <v>SITC</v>
          </cell>
        </row>
        <row r="919">
          <cell r="B919" t="str">
            <v>Z18090</v>
          </cell>
          <cell r="C919">
            <v>1</v>
          </cell>
          <cell r="D919" t="str">
            <v>KWE</v>
          </cell>
          <cell r="E919" t="str">
            <v>HPH18070905</v>
          </cell>
          <cell r="F919" t="str">
            <v>OSK</v>
          </cell>
          <cell r="G919" t="str">
            <v>SITC</v>
          </cell>
        </row>
        <row r="920">
          <cell r="B920" t="str">
            <v>Z18091</v>
          </cell>
          <cell r="C920">
            <v>1</v>
          </cell>
          <cell r="D920" t="str">
            <v>KWE</v>
          </cell>
          <cell r="E920" t="str">
            <v>HPH18070906</v>
          </cell>
          <cell r="F920" t="str">
            <v>TYO</v>
          </cell>
          <cell r="G920" t="str">
            <v>SITC</v>
          </cell>
        </row>
        <row r="921">
          <cell r="B921" t="str">
            <v>Z18092</v>
          </cell>
          <cell r="C921">
            <v>1</v>
          </cell>
          <cell r="D921" t="str">
            <v>EXP</v>
          </cell>
          <cell r="E921" t="str">
            <v>HPH18070592</v>
          </cell>
          <cell r="F921" t="str">
            <v>TYO</v>
          </cell>
          <cell r="G921" t="str">
            <v>SITC</v>
          </cell>
        </row>
        <row r="922">
          <cell r="B922" t="str">
            <v>Z18093</v>
          </cell>
          <cell r="C922">
            <v>2</v>
          </cell>
          <cell r="D922" t="str">
            <v>NIP</v>
          </cell>
          <cell r="E922" t="str">
            <v>HPH18070915</v>
          </cell>
          <cell r="F922" t="str">
            <v>KWS</v>
          </cell>
          <cell r="G922" t="str">
            <v>SITC</v>
          </cell>
        </row>
        <row r="923">
          <cell r="B923" t="str">
            <v>Z18094</v>
          </cell>
          <cell r="C923">
            <v>6</v>
          </cell>
          <cell r="D923" t="str">
            <v>NKV</v>
          </cell>
          <cell r="E923" t="str">
            <v xml:space="preserve">1008X04093 </v>
          </cell>
          <cell r="F923" t="str">
            <v>OSK</v>
          </cell>
          <cell r="G923" t="str">
            <v>WHL</v>
          </cell>
        </row>
        <row r="924">
          <cell r="B924" t="str">
            <v>Z18095</v>
          </cell>
          <cell r="C924">
            <v>3</v>
          </cell>
          <cell r="D924" t="str">
            <v>NKV</v>
          </cell>
          <cell r="E924" t="str">
            <v xml:space="preserve">1008X04095 </v>
          </cell>
          <cell r="F924" t="str">
            <v>OSK</v>
          </cell>
          <cell r="G924" t="str">
            <v>WHL</v>
          </cell>
        </row>
        <row r="925">
          <cell r="B925" t="str">
            <v>Z18096</v>
          </cell>
          <cell r="C925">
            <v>8</v>
          </cell>
          <cell r="D925" t="str">
            <v>NIP</v>
          </cell>
          <cell r="E925" t="str">
            <v>HPH18081513</v>
          </cell>
          <cell r="F925" t="str">
            <v>KWS</v>
          </cell>
          <cell r="G925" t="str">
            <v>SITC</v>
          </cell>
        </row>
        <row r="926">
          <cell r="B926" t="str">
            <v>Z18097</v>
          </cell>
          <cell r="C926">
            <v>1</v>
          </cell>
          <cell r="D926" t="str">
            <v>NIP</v>
          </cell>
          <cell r="E926" t="str">
            <v>HPH18070916</v>
          </cell>
          <cell r="F926" t="str">
            <v>KWS</v>
          </cell>
          <cell r="G926" t="str">
            <v>SITC</v>
          </cell>
        </row>
        <row r="927">
          <cell r="B927" t="str">
            <v>Z18098</v>
          </cell>
          <cell r="C927">
            <v>3</v>
          </cell>
          <cell r="D927" t="str">
            <v>NKV</v>
          </cell>
          <cell r="E927" t="str">
            <v xml:space="preserve">1008X04097 </v>
          </cell>
          <cell r="F927" t="str">
            <v>OSK</v>
          </cell>
          <cell r="G927" t="str">
            <v>WHL</v>
          </cell>
        </row>
        <row r="928">
          <cell r="B928" t="str">
            <v>Z18099</v>
          </cell>
          <cell r="C928">
            <v>1</v>
          </cell>
          <cell r="D928" t="str">
            <v>NIP</v>
          </cell>
          <cell r="E928" t="str">
            <v>350BK8008561</v>
          </cell>
          <cell r="F928" t="str">
            <v>HKT</v>
          </cell>
          <cell r="G928" t="str">
            <v>TSL</v>
          </cell>
        </row>
        <row r="929">
          <cell r="B929" t="str">
            <v>Z18100</v>
          </cell>
          <cell r="C929">
            <v>1</v>
          </cell>
          <cell r="D929" t="str">
            <v>NIP</v>
          </cell>
          <cell r="E929" t="str">
            <v>HPH18070916</v>
          </cell>
          <cell r="F929" t="str">
            <v>KWS</v>
          </cell>
          <cell r="G929" t="str">
            <v>SITC</v>
          </cell>
        </row>
        <row r="930">
          <cell r="B930" t="str">
            <v>Z18101</v>
          </cell>
          <cell r="C930">
            <v>2</v>
          </cell>
          <cell r="D930" t="str">
            <v>NIP</v>
          </cell>
          <cell r="E930" t="str">
            <v>350BK8008560</v>
          </cell>
          <cell r="F930" t="str">
            <v>HKT</v>
          </cell>
          <cell r="G930" t="str">
            <v>TSL</v>
          </cell>
        </row>
        <row r="931">
          <cell r="B931" t="str">
            <v>Z18102</v>
          </cell>
          <cell r="C931">
            <v>4</v>
          </cell>
          <cell r="D931" t="str">
            <v>NIP</v>
          </cell>
          <cell r="E931" t="str">
            <v>HPH18070915</v>
          </cell>
          <cell r="F931" t="str">
            <v>KWS</v>
          </cell>
          <cell r="G931" t="str">
            <v>SITC</v>
          </cell>
        </row>
        <row r="932">
          <cell r="B932" t="str">
            <v>Z18103</v>
          </cell>
          <cell r="C932">
            <v>1</v>
          </cell>
          <cell r="D932" t="str">
            <v>NKV</v>
          </cell>
          <cell r="E932" t="str">
            <v>1008X04089</v>
          </cell>
          <cell r="F932" t="str">
            <v>TYO</v>
          </cell>
          <cell r="G932" t="str">
            <v>WHL</v>
          </cell>
        </row>
        <row r="933">
          <cell r="B933" t="str">
            <v>Z18104</v>
          </cell>
          <cell r="C933">
            <v>1</v>
          </cell>
          <cell r="D933" t="str">
            <v>NIP</v>
          </cell>
          <cell r="E933" t="str">
            <v>350BK8008560</v>
          </cell>
          <cell r="F933" t="str">
            <v>HKT</v>
          </cell>
          <cell r="G933" t="str">
            <v>TSL</v>
          </cell>
        </row>
        <row r="934">
          <cell r="B934" t="str">
            <v>Z18105</v>
          </cell>
          <cell r="C934">
            <v>1</v>
          </cell>
          <cell r="D934" t="str">
            <v>NIP</v>
          </cell>
          <cell r="E934" t="str">
            <v>HPH18070598</v>
          </cell>
          <cell r="F934" t="str">
            <v>OSK</v>
          </cell>
          <cell r="G934" t="str">
            <v>SITC</v>
          </cell>
        </row>
        <row r="935">
          <cell r="B935" t="str">
            <v>Z18106</v>
          </cell>
          <cell r="C935">
            <v>1</v>
          </cell>
          <cell r="D935" t="str">
            <v>CEVA</v>
          </cell>
          <cell r="E935">
            <v>237800244861</v>
          </cell>
          <cell r="F935" t="str">
            <v>TYO</v>
          </cell>
          <cell r="G935" t="str">
            <v>EGLV</v>
          </cell>
        </row>
        <row r="936">
          <cell r="B936" t="str">
            <v>Z18107</v>
          </cell>
          <cell r="C936">
            <v>2</v>
          </cell>
          <cell r="D936" t="str">
            <v>SHI</v>
          </cell>
          <cell r="E936" t="str">
            <v xml:space="preserve">1008X04306 </v>
          </cell>
          <cell r="F936" t="str">
            <v>HKT</v>
          </cell>
          <cell r="G936" t="str">
            <v>WHL</v>
          </cell>
        </row>
        <row r="937">
          <cell r="B937" t="str">
            <v>Z18108</v>
          </cell>
          <cell r="C937">
            <v>3</v>
          </cell>
          <cell r="D937" t="str">
            <v>NKV</v>
          </cell>
          <cell r="E937" t="str">
            <v xml:space="preserve">1008X04109 </v>
          </cell>
          <cell r="F937" t="str">
            <v>OSK</v>
          </cell>
          <cell r="G937" t="str">
            <v>WHL</v>
          </cell>
        </row>
        <row r="938">
          <cell r="B938" t="str">
            <v>Z18109</v>
          </cell>
          <cell r="C938">
            <v>4</v>
          </cell>
          <cell r="D938" t="str">
            <v>NKV</v>
          </cell>
          <cell r="E938" t="str">
            <v>HPH18071355</v>
          </cell>
          <cell r="F938" t="str">
            <v>KWS</v>
          </cell>
          <cell r="G938" t="str">
            <v>SITC</v>
          </cell>
        </row>
        <row r="939">
          <cell r="B939" t="str">
            <v>Z18110</v>
          </cell>
          <cell r="C939">
            <v>2</v>
          </cell>
          <cell r="D939" t="str">
            <v>NKV</v>
          </cell>
          <cell r="E939" t="str">
            <v xml:space="preserve">1008X04265 </v>
          </cell>
          <cell r="F939" t="str">
            <v>TYO</v>
          </cell>
          <cell r="G939" t="str">
            <v>WHL</v>
          </cell>
        </row>
        <row r="940">
          <cell r="B940" t="str">
            <v>Z18111</v>
          </cell>
          <cell r="C940">
            <v>2</v>
          </cell>
          <cell r="D940" t="str">
            <v>EXP</v>
          </cell>
          <cell r="E940" t="str">
            <v xml:space="preserve">1008X04330 </v>
          </cell>
          <cell r="F940" t="str">
            <v>TYO</v>
          </cell>
          <cell r="G940" t="str">
            <v>WHL</v>
          </cell>
        </row>
        <row r="941">
          <cell r="B941" t="str">
            <v>Z18112</v>
          </cell>
          <cell r="C941">
            <v>2</v>
          </cell>
          <cell r="D941" t="str">
            <v>CEVA</v>
          </cell>
          <cell r="E941">
            <v>237800244950</v>
          </cell>
          <cell r="F941" t="str">
            <v>OSK</v>
          </cell>
          <cell r="G941" t="str">
            <v>EGLV</v>
          </cell>
        </row>
        <row r="942">
          <cell r="B942" t="str">
            <v>Z18113</v>
          </cell>
          <cell r="C942">
            <v>2</v>
          </cell>
          <cell r="D942" t="str">
            <v>NIP</v>
          </cell>
          <cell r="E942" t="str">
            <v>1008X04285</v>
          </cell>
          <cell r="F942" t="str">
            <v>OSK</v>
          </cell>
          <cell r="G942" t="str">
            <v>WHL</v>
          </cell>
        </row>
        <row r="943">
          <cell r="B943" t="str">
            <v>Z18114</v>
          </cell>
          <cell r="C943">
            <v>4</v>
          </cell>
          <cell r="D943" t="str">
            <v>NIP</v>
          </cell>
          <cell r="E943" t="str">
            <v>HPH18081519</v>
          </cell>
          <cell r="F943" t="str">
            <v>KWS</v>
          </cell>
          <cell r="G943" t="str">
            <v>SITC</v>
          </cell>
        </row>
        <row r="944">
          <cell r="B944" t="str">
            <v>Z18115</v>
          </cell>
          <cell r="C944">
            <v>3</v>
          </cell>
          <cell r="D944" t="str">
            <v>KWE</v>
          </cell>
          <cell r="E944" t="str">
            <v>350BK8008965</v>
          </cell>
          <cell r="F944" t="str">
            <v>HKT</v>
          </cell>
          <cell r="G944" t="str">
            <v>TSL</v>
          </cell>
        </row>
        <row r="945">
          <cell r="B945" t="str">
            <v>Z18116</v>
          </cell>
          <cell r="C945">
            <v>1</v>
          </cell>
          <cell r="D945" t="str">
            <v>CEVA</v>
          </cell>
          <cell r="E945" t="str">
            <v>VN00390528</v>
          </cell>
          <cell r="F945" t="str">
            <v>ISH</v>
          </cell>
          <cell r="G945" t="str">
            <v>KMTC</v>
          </cell>
        </row>
        <row r="946">
          <cell r="B946" t="str">
            <v>Z18117</v>
          </cell>
          <cell r="C946">
            <v>3</v>
          </cell>
          <cell r="D946" t="str">
            <v>CEVA</v>
          </cell>
          <cell r="E946">
            <v>237800244950</v>
          </cell>
          <cell r="F946" t="str">
            <v>OSK</v>
          </cell>
          <cell r="G946" t="str">
            <v>EGLV</v>
          </cell>
        </row>
        <row r="947">
          <cell r="B947" t="str">
            <v>Z18118</v>
          </cell>
          <cell r="C947">
            <v>1</v>
          </cell>
          <cell r="D947" t="str">
            <v>EXP</v>
          </cell>
          <cell r="E947" t="str">
            <v>HPH18081521</v>
          </cell>
          <cell r="F947" t="str">
            <v>KWS</v>
          </cell>
          <cell r="G947" t="str">
            <v>SITC</v>
          </cell>
        </row>
        <row r="948">
          <cell r="B948" t="str">
            <v>Z18119</v>
          </cell>
          <cell r="C948">
            <v>1</v>
          </cell>
          <cell r="D948" t="str">
            <v>CEVA</v>
          </cell>
          <cell r="E948" t="str">
            <v>350BK8008966</v>
          </cell>
          <cell r="F948" t="str">
            <v>TYO</v>
          </cell>
          <cell r="G948" t="str">
            <v>TSL</v>
          </cell>
        </row>
        <row r="949">
          <cell r="B949" t="str">
            <v>Z18120</v>
          </cell>
          <cell r="C949">
            <v>4</v>
          </cell>
          <cell r="D949" t="str">
            <v>NIP</v>
          </cell>
          <cell r="E949" t="str">
            <v>1008X04285</v>
          </cell>
          <cell r="F949" t="str">
            <v>OSK</v>
          </cell>
          <cell r="G949" t="str">
            <v>WHL</v>
          </cell>
        </row>
        <row r="950">
          <cell r="B950" t="str">
            <v>Z18121</v>
          </cell>
          <cell r="C950">
            <v>1</v>
          </cell>
          <cell r="D950" t="str">
            <v>NIP</v>
          </cell>
          <cell r="E950" t="str">
            <v>HPH18081519</v>
          </cell>
          <cell r="F950" t="str">
            <v>KWS</v>
          </cell>
          <cell r="G950" t="str">
            <v>SITC</v>
          </cell>
        </row>
        <row r="951">
          <cell r="B951" t="str">
            <v>Z18122</v>
          </cell>
          <cell r="C951">
            <v>1</v>
          </cell>
          <cell r="D951" t="str">
            <v>CEVA</v>
          </cell>
          <cell r="E951" t="str">
            <v>VN00392153</v>
          </cell>
          <cell r="F951" t="str">
            <v>ISH</v>
          </cell>
          <cell r="G951" t="str">
            <v>KMTC</v>
          </cell>
        </row>
        <row r="952">
          <cell r="B952" t="str">
            <v>Z18123</v>
          </cell>
          <cell r="C952">
            <v>1</v>
          </cell>
          <cell r="D952" t="str">
            <v>SHI</v>
          </cell>
          <cell r="E952" t="str">
            <v>HPH18081534</v>
          </cell>
          <cell r="F952" t="str">
            <v>TYO</v>
          </cell>
          <cell r="G952" t="str">
            <v>SITC</v>
          </cell>
        </row>
        <row r="953">
          <cell r="B953" t="str">
            <v>Z18124</v>
          </cell>
          <cell r="C953">
            <v>2</v>
          </cell>
          <cell r="D953" t="str">
            <v>NKV</v>
          </cell>
          <cell r="E953" t="str">
            <v>HPH18071375</v>
          </cell>
          <cell r="F953" t="str">
            <v>OSK</v>
          </cell>
          <cell r="G953" t="str">
            <v>SITC</v>
          </cell>
        </row>
        <row r="954">
          <cell r="B954" t="str">
            <v>Z18125</v>
          </cell>
          <cell r="C954">
            <v>1</v>
          </cell>
          <cell r="D954" t="str">
            <v>KWE</v>
          </cell>
          <cell r="E954" t="str">
            <v>HPH18071374</v>
          </cell>
          <cell r="F954" t="str">
            <v>KWS</v>
          </cell>
          <cell r="G954" t="str">
            <v>SITC</v>
          </cell>
        </row>
        <row r="955">
          <cell r="B955" t="str">
            <v>Z18126</v>
          </cell>
          <cell r="C955">
            <v>2</v>
          </cell>
          <cell r="D955" t="str">
            <v>NKV</v>
          </cell>
          <cell r="E955" t="str">
            <v xml:space="preserve">1008X04278 </v>
          </cell>
          <cell r="F955" t="str">
            <v>OSK</v>
          </cell>
          <cell r="G955" t="str">
            <v>WHL</v>
          </cell>
        </row>
        <row r="956">
          <cell r="B956" t="str">
            <v>Z18127</v>
          </cell>
          <cell r="C956">
            <v>1</v>
          </cell>
          <cell r="D956" t="str">
            <v>EXP</v>
          </cell>
          <cell r="E956" t="str">
            <v xml:space="preserve">1008X04461 </v>
          </cell>
          <cell r="F956" t="str">
            <v>TYO</v>
          </cell>
          <cell r="G956" t="str">
            <v>WHL</v>
          </cell>
        </row>
        <row r="957">
          <cell r="B957" t="str">
            <v>Z18128</v>
          </cell>
          <cell r="C957">
            <v>1</v>
          </cell>
          <cell r="D957" t="str">
            <v>NKV</v>
          </cell>
          <cell r="E957" t="str">
            <v>HPH18081529</v>
          </cell>
          <cell r="F957" t="str">
            <v>TYO</v>
          </cell>
          <cell r="G957" t="str">
            <v>SITC</v>
          </cell>
        </row>
        <row r="958">
          <cell r="B958" t="str">
            <v>Z18129</v>
          </cell>
          <cell r="C958">
            <v>1</v>
          </cell>
          <cell r="D958" t="str">
            <v>CEVA</v>
          </cell>
          <cell r="E958" t="str">
            <v>VN00392049</v>
          </cell>
          <cell r="F958" t="str">
            <v>ISH</v>
          </cell>
          <cell r="G958" t="str">
            <v>KMTC</v>
          </cell>
        </row>
        <row r="959">
          <cell r="B959" t="str">
            <v>Z18130</v>
          </cell>
          <cell r="C959">
            <v>1</v>
          </cell>
          <cell r="D959" t="str">
            <v>SHI</v>
          </cell>
          <cell r="E959" t="str">
            <v>HPH18081538</v>
          </cell>
          <cell r="F959" t="str">
            <v>HKT</v>
          </cell>
          <cell r="G959" t="str">
            <v>SITC</v>
          </cell>
        </row>
        <row r="960">
          <cell r="B960" t="str">
            <v>V181120</v>
          </cell>
          <cell r="C960">
            <v>10</v>
          </cell>
          <cell r="D960" t="str">
            <v>KWE</v>
          </cell>
          <cell r="E960" t="str">
            <v>HPH18070600</v>
          </cell>
          <cell r="F960" t="str">
            <v>KWS</v>
          </cell>
          <cell r="G960" t="str">
            <v>SITC</v>
          </cell>
        </row>
        <row r="961">
          <cell r="B961" t="str">
            <v>V181121</v>
          </cell>
          <cell r="C961">
            <v>10</v>
          </cell>
          <cell r="D961" t="str">
            <v>NKV</v>
          </cell>
          <cell r="E961" t="str">
            <v xml:space="preserve">1008X03907 </v>
          </cell>
          <cell r="F961" t="str">
            <v>OSK</v>
          </cell>
          <cell r="G961" t="str">
            <v>WHL</v>
          </cell>
        </row>
        <row r="962">
          <cell r="B962" t="str">
            <v>V181122</v>
          </cell>
          <cell r="C962">
            <v>4</v>
          </cell>
          <cell r="D962" t="str">
            <v>CEVA</v>
          </cell>
          <cell r="E962" t="str">
            <v>1008X03904</v>
          </cell>
          <cell r="F962" t="str">
            <v>TYO</v>
          </cell>
          <cell r="G962" t="str">
            <v>WHL</v>
          </cell>
        </row>
        <row r="963">
          <cell r="B963" t="str">
            <v>V181123</v>
          </cell>
          <cell r="C963">
            <v>6</v>
          </cell>
          <cell r="D963" t="str">
            <v>NKV</v>
          </cell>
          <cell r="E963" t="str">
            <v xml:space="preserve">1008X03907 </v>
          </cell>
          <cell r="F963" t="str">
            <v>OSK</v>
          </cell>
          <cell r="G963" t="str">
            <v>WHL</v>
          </cell>
        </row>
        <row r="964">
          <cell r="B964" t="str">
            <v>V181124</v>
          </cell>
          <cell r="C964">
            <v>5</v>
          </cell>
          <cell r="D964" t="str">
            <v>SHI</v>
          </cell>
          <cell r="E964" t="str">
            <v xml:space="preserve">1008X03906 </v>
          </cell>
          <cell r="F964" t="str">
            <v>HKT</v>
          </cell>
          <cell r="G964" t="str">
            <v>WHL</v>
          </cell>
        </row>
        <row r="965">
          <cell r="B965" t="str">
            <v>V181125</v>
          </cell>
          <cell r="C965">
            <v>6</v>
          </cell>
          <cell r="D965" t="str">
            <v>KWE</v>
          </cell>
          <cell r="E965" t="str">
            <v>HPH18070600</v>
          </cell>
          <cell r="F965" t="str">
            <v>KWS</v>
          </cell>
          <cell r="G965" t="str">
            <v>SITC</v>
          </cell>
        </row>
        <row r="966">
          <cell r="B966" t="str">
            <v>V181126</v>
          </cell>
          <cell r="C966">
            <v>8</v>
          </cell>
          <cell r="D966" t="str">
            <v>NKV</v>
          </cell>
          <cell r="E966" t="str">
            <v xml:space="preserve">1008X03907 </v>
          </cell>
          <cell r="F966" t="str">
            <v>OSK</v>
          </cell>
          <cell r="G966" t="str">
            <v>WHL</v>
          </cell>
        </row>
        <row r="967">
          <cell r="B967" t="str">
            <v>V181127</v>
          </cell>
          <cell r="C967">
            <v>11</v>
          </cell>
          <cell r="D967" t="str">
            <v>KWE</v>
          </cell>
          <cell r="E967" t="str">
            <v>HPH18070600</v>
          </cell>
          <cell r="F967" t="str">
            <v>KWS</v>
          </cell>
          <cell r="G967" t="str">
            <v>SITC</v>
          </cell>
        </row>
        <row r="968">
          <cell r="B968" t="str">
            <v>V181128</v>
          </cell>
          <cell r="C968">
            <v>10</v>
          </cell>
          <cell r="D968" t="str">
            <v>NKV</v>
          </cell>
          <cell r="E968" t="str">
            <v xml:space="preserve">1008X03907 </v>
          </cell>
          <cell r="F968" t="str">
            <v>OSK</v>
          </cell>
          <cell r="G968" t="str">
            <v>WHL</v>
          </cell>
        </row>
        <row r="969">
          <cell r="B969" t="str">
            <v>V181129</v>
          </cell>
          <cell r="C969">
            <v>2</v>
          </cell>
          <cell r="D969" t="str">
            <v>CEVA</v>
          </cell>
          <cell r="E969" t="str">
            <v>VN00388785</v>
          </cell>
          <cell r="F969" t="str">
            <v>ISH</v>
          </cell>
          <cell r="G969" t="str">
            <v>KMTC</v>
          </cell>
        </row>
        <row r="970">
          <cell r="B970" t="str">
            <v>V181130</v>
          </cell>
          <cell r="C970">
            <v>1</v>
          </cell>
          <cell r="D970" t="str">
            <v>NKV</v>
          </cell>
          <cell r="E970" t="str">
            <v xml:space="preserve">1008X04089 </v>
          </cell>
          <cell r="F970" t="str">
            <v>TYO</v>
          </cell>
          <cell r="G970" t="str">
            <v>WHL</v>
          </cell>
        </row>
        <row r="971">
          <cell r="B971" t="str">
            <v>V181131</v>
          </cell>
          <cell r="C971">
            <v>1</v>
          </cell>
          <cell r="D971" t="str">
            <v>EXP</v>
          </cell>
          <cell r="E971" t="str">
            <v>350BK8008559</v>
          </cell>
          <cell r="F971" t="str">
            <v>TYO</v>
          </cell>
          <cell r="G971" t="str">
            <v>TSL</v>
          </cell>
        </row>
        <row r="972">
          <cell r="B972" t="str">
            <v>V181132</v>
          </cell>
          <cell r="C972">
            <v>3</v>
          </cell>
          <cell r="D972" t="str">
            <v>VIMA</v>
          </cell>
          <cell r="E972" t="str">
            <v>HPH18070913</v>
          </cell>
          <cell r="F972" t="str">
            <v>KWS</v>
          </cell>
          <cell r="G972" t="str">
            <v>SITC</v>
          </cell>
        </row>
        <row r="973">
          <cell r="B973" t="str">
            <v>V181133</v>
          </cell>
          <cell r="C973">
            <v>6</v>
          </cell>
          <cell r="D973" t="str">
            <v>KWE</v>
          </cell>
          <cell r="E973" t="str">
            <v>1008X04098</v>
          </cell>
          <cell r="F973" t="str">
            <v>OSK</v>
          </cell>
          <cell r="G973" t="str">
            <v>WHL</v>
          </cell>
        </row>
        <row r="974">
          <cell r="B974" t="str">
            <v>V181134</v>
          </cell>
          <cell r="C974">
            <v>3</v>
          </cell>
          <cell r="D974" t="str">
            <v>NIP</v>
          </cell>
          <cell r="E974" t="str">
            <v>350BK8008560</v>
          </cell>
          <cell r="F974" t="str">
            <v>HKT</v>
          </cell>
          <cell r="G974" t="str">
            <v>TSL</v>
          </cell>
        </row>
        <row r="975">
          <cell r="B975" t="str">
            <v>V181135</v>
          </cell>
          <cell r="C975">
            <v>3</v>
          </cell>
          <cell r="D975" t="str">
            <v>NKV</v>
          </cell>
          <cell r="E975" t="str">
            <v xml:space="preserve">1008X04090 </v>
          </cell>
          <cell r="F975" t="str">
            <v>TYO</v>
          </cell>
          <cell r="G975" t="str">
            <v>WHL</v>
          </cell>
        </row>
        <row r="976">
          <cell r="B976" t="str">
            <v>V181136</v>
          </cell>
          <cell r="C976">
            <v>2</v>
          </cell>
          <cell r="D976" t="str">
            <v>EXP</v>
          </cell>
          <cell r="E976" t="str">
            <v xml:space="preserve">1008X04092 </v>
          </cell>
          <cell r="F976" t="str">
            <v>TYO</v>
          </cell>
          <cell r="G976" t="str">
            <v>WHL</v>
          </cell>
        </row>
        <row r="977">
          <cell r="B977" t="str">
            <v>V181137</v>
          </cell>
          <cell r="C977">
            <v>5</v>
          </cell>
          <cell r="D977" t="str">
            <v>CEVA</v>
          </cell>
          <cell r="E977" t="str">
            <v>HPH18070912</v>
          </cell>
          <cell r="F977" t="str">
            <v>KWS</v>
          </cell>
          <cell r="G977" t="str">
            <v>SITC</v>
          </cell>
        </row>
        <row r="978">
          <cell r="B978" t="str">
            <v>V181138</v>
          </cell>
          <cell r="C978">
            <v>11</v>
          </cell>
          <cell r="D978" t="str">
            <v>KWE</v>
          </cell>
          <cell r="E978" t="str">
            <v xml:space="preserve">1008X04094 </v>
          </cell>
          <cell r="F978" t="str">
            <v>OSK</v>
          </cell>
          <cell r="G978" t="str">
            <v>WHL</v>
          </cell>
        </row>
        <row r="979">
          <cell r="B979" t="str">
            <v>V181139</v>
          </cell>
          <cell r="C979">
            <v>3</v>
          </cell>
          <cell r="D979" t="str">
            <v>CEVA</v>
          </cell>
          <cell r="E979" t="str">
            <v>350BK8008562</v>
          </cell>
          <cell r="F979" t="str">
            <v>TAOYUAN</v>
          </cell>
          <cell r="G979" t="str">
            <v>TSL</v>
          </cell>
        </row>
        <row r="980">
          <cell r="B980" t="str">
            <v>V181140</v>
          </cell>
          <cell r="C980">
            <v>2</v>
          </cell>
          <cell r="D980" t="str">
            <v>CEVA</v>
          </cell>
          <cell r="E980" t="str">
            <v>VN00388790</v>
          </cell>
          <cell r="F980" t="str">
            <v>ISH</v>
          </cell>
          <cell r="G980" t="str">
            <v>KMTC</v>
          </cell>
        </row>
        <row r="981">
          <cell r="B981" t="str">
            <v>V181141</v>
          </cell>
          <cell r="C981">
            <v>1</v>
          </cell>
          <cell r="D981" t="str">
            <v>SHI</v>
          </cell>
          <cell r="E981" t="str">
            <v>HPH18070911</v>
          </cell>
          <cell r="F981" t="str">
            <v>TYO</v>
          </cell>
          <cell r="G981" t="str">
            <v>SITC</v>
          </cell>
        </row>
        <row r="982">
          <cell r="B982" t="str">
            <v>V181142</v>
          </cell>
          <cell r="C982">
            <v>1</v>
          </cell>
          <cell r="D982" t="str">
            <v>CEVA</v>
          </cell>
          <cell r="E982">
            <v>237800224568</v>
          </cell>
          <cell r="F982" t="str">
            <v>TYO</v>
          </cell>
          <cell r="G982" t="str">
            <v>EGLV</v>
          </cell>
        </row>
        <row r="983">
          <cell r="B983" t="str">
            <v>V181143</v>
          </cell>
          <cell r="C983">
            <v>3</v>
          </cell>
          <cell r="D983" t="str">
            <v>VIMA</v>
          </cell>
          <cell r="E983" t="str">
            <v>HPH18070914</v>
          </cell>
          <cell r="F983" t="str">
            <v>KWS</v>
          </cell>
          <cell r="G983" t="str">
            <v>SITC</v>
          </cell>
        </row>
        <row r="984">
          <cell r="B984" t="str">
            <v>V181144</v>
          </cell>
          <cell r="C984">
            <v>6</v>
          </cell>
          <cell r="D984" t="str">
            <v>KWE</v>
          </cell>
          <cell r="E984" t="str">
            <v xml:space="preserve">1008X04094 </v>
          </cell>
          <cell r="F984" t="str">
            <v>OSK</v>
          </cell>
          <cell r="G984" t="str">
            <v>WHL</v>
          </cell>
        </row>
        <row r="985">
          <cell r="B985" t="str">
            <v>V181145</v>
          </cell>
          <cell r="C985">
            <v>3</v>
          </cell>
          <cell r="D985" t="str">
            <v>NIP</v>
          </cell>
          <cell r="E985" t="str">
            <v>HPH18070918</v>
          </cell>
          <cell r="F985" t="str">
            <v>HKT</v>
          </cell>
          <cell r="G985" t="str">
            <v>SITC</v>
          </cell>
        </row>
        <row r="986">
          <cell r="B986" t="str">
            <v>V181146</v>
          </cell>
          <cell r="C986">
            <v>2</v>
          </cell>
          <cell r="D986" t="str">
            <v>NIP</v>
          </cell>
          <cell r="E986" t="str">
            <v>HPH18070918</v>
          </cell>
          <cell r="F986" t="str">
            <v>HKT</v>
          </cell>
          <cell r="G986" t="str">
            <v>SITC</v>
          </cell>
        </row>
        <row r="987">
          <cell r="B987" t="str">
            <v>V181147</v>
          </cell>
          <cell r="C987">
            <v>1</v>
          </cell>
          <cell r="D987" t="str">
            <v>EXP</v>
          </cell>
          <cell r="E987" t="str">
            <v xml:space="preserve">1008X04092 </v>
          </cell>
          <cell r="F987" t="str">
            <v>TYO</v>
          </cell>
          <cell r="G987" t="str">
            <v>WHL</v>
          </cell>
        </row>
        <row r="988">
          <cell r="B988" t="str">
            <v>V181148</v>
          </cell>
          <cell r="C988">
            <v>3</v>
          </cell>
          <cell r="D988" t="str">
            <v>SHI</v>
          </cell>
          <cell r="E988" t="str">
            <v>HPH18070911</v>
          </cell>
          <cell r="F988" t="str">
            <v>TYO</v>
          </cell>
          <cell r="G988" t="str">
            <v>SITC</v>
          </cell>
        </row>
        <row r="989">
          <cell r="B989" t="str">
            <v>V181149</v>
          </cell>
          <cell r="C989">
            <v>5</v>
          </cell>
          <cell r="D989" t="str">
            <v>SHI</v>
          </cell>
          <cell r="E989" t="str">
            <v>HPH18070911</v>
          </cell>
          <cell r="F989" t="str">
            <v>TYO</v>
          </cell>
          <cell r="G989" t="str">
            <v>SITC</v>
          </cell>
        </row>
        <row r="990">
          <cell r="B990" t="str">
            <v>V181150</v>
          </cell>
          <cell r="C990">
            <v>1</v>
          </cell>
          <cell r="D990" t="str">
            <v>CEVA</v>
          </cell>
          <cell r="E990" t="str">
            <v>HPH18071361</v>
          </cell>
          <cell r="F990" t="str">
            <v>TYO</v>
          </cell>
          <cell r="G990" t="str">
            <v>SITC</v>
          </cell>
        </row>
        <row r="991">
          <cell r="B991" t="str">
            <v>V181151</v>
          </cell>
          <cell r="C991">
            <v>4</v>
          </cell>
          <cell r="D991" t="str">
            <v>NKV</v>
          </cell>
          <cell r="E991" t="str">
            <v>HPH18071362</v>
          </cell>
          <cell r="F991" t="str">
            <v>KWS</v>
          </cell>
          <cell r="G991" t="str">
            <v>SITC</v>
          </cell>
        </row>
        <row r="992">
          <cell r="B992" t="str">
            <v>V181152</v>
          </cell>
          <cell r="C992">
            <v>2</v>
          </cell>
          <cell r="D992" t="str">
            <v>NIP</v>
          </cell>
          <cell r="E992" t="str">
            <v>HPH18071363</v>
          </cell>
          <cell r="F992" t="str">
            <v>OSK</v>
          </cell>
          <cell r="G992" t="str">
            <v>SITC</v>
          </cell>
        </row>
        <row r="993">
          <cell r="B993" t="str">
            <v>V181153</v>
          </cell>
          <cell r="C993">
            <v>2</v>
          </cell>
          <cell r="D993" t="str">
            <v>NIP</v>
          </cell>
          <cell r="E993" t="str">
            <v>HPH18071363</v>
          </cell>
          <cell r="F993" t="str">
            <v>OSK</v>
          </cell>
          <cell r="G993" t="str">
            <v>SITC</v>
          </cell>
        </row>
        <row r="994">
          <cell r="B994" t="str">
            <v>V181154</v>
          </cell>
          <cell r="C994">
            <v>2</v>
          </cell>
          <cell r="D994" t="str">
            <v>NIP</v>
          </cell>
          <cell r="E994" t="str">
            <v>HPH18070918</v>
          </cell>
          <cell r="F994" t="str">
            <v>HKT</v>
          </cell>
          <cell r="G994" t="str">
            <v>SITC</v>
          </cell>
        </row>
        <row r="995">
          <cell r="B995" t="str">
            <v>V181155</v>
          </cell>
          <cell r="C995">
            <v>2</v>
          </cell>
          <cell r="D995" t="str">
            <v>NIP</v>
          </cell>
          <cell r="E995" t="str">
            <v>SNLTSD-010818-01</v>
          </cell>
          <cell r="F995" t="str">
            <v>SHA</v>
          </cell>
          <cell r="G995" t="str">
            <v>SNL</v>
          </cell>
        </row>
        <row r="996">
          <cell r="B996" t="str">
            <v>V181156</v>
          </cell>
          <cell r="C996">
            <v>1</v>
          </cell>
          <cell r="D996" t="str">
            <v>NKV</v>
          </cell>
          <cell r="E996" t="str">
            <v>HPH18071386</v>
          </cell>
          <cell r="F996" t="str">
            <v>TYO</v>
          </cell>
          <cell r="G996" t="str">
            <v>SITC</v>
          </cell>
        </row>
        <row r="997">
          <cell r="B997" t="str">
            <v>V181157</v>
          </cell>
          <cell r="C997">
            <v>5</v>
          </cell>
          <cell r="D997" t="str">
            <v>SHI</v>
          </cell>
          <cell r="E997" t="str">
            <v>HPH18070911</v>
          </cell>
          <cell r="F997" t="str">
            <v>TYO</v>
          </cell>
          <cell r="G997" t="str">
            <v>SITC</v>
          </cell>
        </row>
        <row r="998">
          <cell r="B998" t="str">
            <v>V181158</v>
          </cell>
          <cell r="C998">
            <v>3</v>
          </cell>
          <cell r="D998" t="str">
            <v>NKV</v>
          </cell>
          <cell r="E998" t="str">
            <v>HPH18071362</v>
          </cell>
          <cell r="F998" t="str">
            <v>KWS</v>
          </cell>
          <cell r="G998" t="str">
            <v>SITC</v>
          </cell>
        </row>
        <row r="999">
          <cell r="B999" t="str">
            <v>V181159</v>
          </cell>
          <cell r="C999">
            <v>5</v>
          </cell>
          <cell r="D999" t="str">
            <v>NIP</v>
          </cell>
          <cell r="E999" t="str">
            <v>HPH18071363</v>
          </cell>
          <cell r="F999" t="str">
            <v>OSK</v>
          </cell>
          <cell r="G999" t="str">
            <v>SITC</v>
          </cell>
        </row>
        <row r="1000">
          <cell r="B1000" t="str">
            <v>V181160</v>
          </cell>
          <cell r="C1000">
            <v>10</v>
          </cell>
          <cell r="D1000" t="str">
            <v>OCS</v>
          </cell>
          <cell r="E1000" t="str">
            <v>HPH18070917</v>
          </cell>
          <cell r="F1000" t="str">
            <v>KWS</v>
          </cell>
          <cell r="G1000" t="str">
            <v>SITC</v>
          </cell>
        </row>
        <row r="1001">
          <cell r="B1001" t="str">
            <v>V181161</v>
          </cell>
          <cell r="C1001">
            <v>4</v>
          </cell>
          <cell r="D1001" t="str">
            <v>NKV</v>
          </cell>
          <cell r="E1001" t="str">
            <v xml:space="preserve">1008X04109 </v>
          </cell>
          <cell r="F1001" t="str">
            <v>OSK</v>
          </cell>
          <cell r="G1001" t="str">
            <v>WHL</v>
          </cell>
        </row>
        <row r="1002">
          <cell r="B1002" t="str">
            <v>V181162</v>
          </cell>
          <cell r="C1002">
            <v>8</v>
          </cell>
          <cell r="D1002" t="str">
            <v>NKV</v>
          </cell>
          <cell r="E1002" t="str">
            <v xml:space="preserve">1008X04109 </v>
          </cell>
          <cell r="F1002" t="str">
            <v>OSK</v>
          </cell>
          <cell r="G1002" t="str">
            <v>WHL</v>
          </cell>
        </row>
        <row r="1003">
          <cell r="B1003" t="str">
            <v>V181163</v>
          </cell>
          <cell r="C1003">
            <v>7</v>
          </cell>
          <cell r="D1003" t="str">
            <v>NIP</v>
          </cell>
          <cell r="E1003" t="str">
            <v>HPH18071356</v>
          </cell>
          <cell r="F1003" t="str">
            <v>KWS</v>
          </cell>
          <cell r="G1003" t="str">
            <v>SITC</v>
          </cell>
        </row>
        <row r="1004">
          <cell r="B1004" t="str">
            <v>V181164</v>
          </cell>
          <cell r="C1004">
            <v>2</v>
          </cell>
          <cell r="D1004" t="str">
            <v>CEVA</v>
          </cell>
          <cell r="E1004" t="str">
            <v>VN00390527</v>
          </cell>
          <cell r="F1004" t="str">
            <v>ISH</v>
          </cell>
          <cell r="G1004" t="str">
            <v>KMTC</v>
          </cell>
        </row>
        <row r="1005">
          <cell r="B1005" t="str">
            <v>V181165</v>
          </cell>
          <cell r="C1005">
            <v>5</v>
          </cell>
          <cell r="D1005" t="str">
            <v>NIP</v>
          </cell>
          <cell r="E1005">
            <v>237800240440</v>
          </cell>
          <cell r="F1005" t="str">
            <v>TYO</v>
          </cell>
          <cell r="G1005" t="str">
            <v>EGLV</v>
          </cell>
        </row>
        <row r="1006">
          <cell r="B1006" t="str">
            <v>V181166</v>
          </cell>
          <cell r="C1006">
            <v>5</v>
          </cell>
          <cell r="D1006" t="str">
            <v>CEVA</v>
          </cell>
          <cell r="E1006">
            <v>237800240458</v>
          </cell>
          <cell r="F1006" t="str">
            <v>TYO</v>
          </cell>
          <cell r="G1006" t="str">
            <v>EGLV</v>
          </cell>
        </row>
        <row r="1007">
          <cell r="B1007" t="str">
            <v>V181167</v>
          </cell>
          <cell r="C1007">
            <v>4</v>
          </cell>
          <cell r="D1007" t="str">
            <v>VIMA</v>
          </cell>
          <cell r="E1007" t="str">
            <v>HPH18071365</v>
          </cell>
          <cell r="F1007" t="str">
            <v>KWS</v>
          </cell>
          <cell r="G1007" t="str">
            <v>SITC</v>
          </cell>
        </row>
        <row r="1008">
          <cell r="B1008" t="str">
            <v>V181168</v>
          </cell>
          <cell r="C1008">
            <v>10</v>
          </cell>
          <cell r="D1008" t="str">
            <v>NKV</v>
          </cell>
          <cell r="E1008" t="str">
            <v xml:space="preserve">1008X04282 </v>
          </cell>
          <cell r="F1008" t="str">
            <v>OSK</v>
          </cell>
          <cell r="G1008" t="str">
            <v>WHL</v>
          </cell>
        </row>
        <row r="1009">
          <cell r="B1009" t="str">
            <v>V181169</v>
          </cell>
          <cell r="C1009">
            <v>2</v>
          </cell>
          <cell r="D1009" t="str">
            <v>VIMA</v>
          </cell>
          <cell r="E1009" t="str">
            <v>HPH18071364</v>
          </cell>
          <cell r="F1009" t="str">
            <v>TYO</v>
          </cell>
          <cell r="G1009" t="str">
            <v>SITC</v>
          </cell>
        </row>
        <row r="1010">
          <cell r="B1010" t="str">
            <v>V181170</v>
          </cell>
          <cell r="C1010">
            <v>6</v>
          </cell>
          <cell r="D1010" t="str">
            <v>KWE</v>
          </cell>
          <cell r="E1010" t="str">
            <v>350BK8008963</v>
          </cell>
          <cell r="F1010" t="str">
            <v>HKT</v>
          </cell>
          <cell r="G1010" t="str">
            <v>TSL</v>
          </cell>
        </row>
        <row r="1011">
          <cell r="B1011" t="str">
            <v>V181171</v>
          </cell>
          <cell r="C1011">
            <v>2</v>
          </cell>
          <cell r="D1011" t="str">
            <v>CEVA</v>
          </cell>
          <cell r="E1011" t="str">
            <v>350BK8008964</v>
          </cell>
          <cell r="F1011" t="str">
            <v>TYO</v>
          </cell>
          <cell r="G1011" t="str">
            <v>TSL</v>
          </cell>
        </row>
        <row r="1012">
          <cell r="B1012" t="str">
            <v>V181172</v>
          </cell>
          <cell r="C1012">
            <v>2</v>
          </cell>
          <cell r="D1012" t="str">
            <v>CEVA</v>
          </cell>
          <cell r="E1012">
            <v>237800240466</v>
          </cell>
          <cell r="F1012" t="str">
            <v>TYO</v>
          </cell>
          <cell r="G1012" t="str">
            <v>EGLV</v>
          </cell>
        </row>
        <row r="1013">
          <cell r="B1013" t="str">
            <v>V181173</v>
          </cell>
          <cell r="C1013">
            <v>10</v>
          </cell>
          <cell r="D1013" t="str">
            <v>KWE</v>
          </cell>
          <cell r="E1013" t="str">
            <v>HPH18071366</v>
          </cell>
          <cell r="F1013" t="str">
            <v>KWS</v>
          </cell>
          <cell r="G1013" t="str">
            <v>SITC</v>
          </cell>
        </row>
        <row r="1014">
          <cell r="B1014" t="str">
            <v>V181174</v>
          </cell>
          <cell r="C1014">
            <v>10</v>
          </cell>
          <cell r="D1014" t="str">
            <v>NKV</v>
          </cell>
          <cell r="E1014" t="str">
            <v xml:space="preserve">1008X04281 </v>
          </cell>
          <cell r="F1014" t="str">
            <v>OSK</v>
          </cell>
          <cell r="G1014" t="str">
            <v>WHL</v>
          </cell>
        </row>
        <row r="1015">
          <cell r="B1015" t="str">
            <v>V181175</v>
          </cell>
          <cell r="C1015">
            <v>3</v>
          </cell>
          <cell r="D1015" t="str">
            <v>CEVA</v>
          </cell>
          <cell r="E1015" t="str">
            <v>VN00390528</v>
          </cell>
          <cell r="F1015" t="str">
            <v>ISH</v>
          </cell>
          <cell r="G1015" t="str">
            <v>KMTC</v>
          </cell>
        </row>
        <row r="1016">
          <cell r="B1016" t="str">
            <v>V181176</v>
          </cell>
          <cell r="C1016">
            <v>3</v>
          </cell>
          <cell r="D1016" t="str">
            <v>VIMA</v>
          </cell>
          <cell r="E1016" t="str">
            <v>HPH18071367</v>
          </cell>
          <cell r="F1016" t="str">
            <v>TYO</v>
          </cell>
          <cell r="G1016" t="str">
            <v>SITC</v>
          </cell>
        </row>
        <row r="1017">
          <cell r="B1017" t="str">
            <v>V181177</v>
          </cell>
          <cell r="C1017">
            <v>10</v>
          </cell>
          <cell r="D1017" t="str">
            <v>KWE</v>
          </cell>
          <cell r="E1017" t="str">
            <v>HPH18071368</v>
          </cell>
          <cell r="F1017" t="str">
            <v>KWS</v>
          </cell>
          <cell r="G1017" t="str">
            <v>SITC</v>
          </cell>
        </row>
        <row r="1018">
          <cell r="B1018" t="str">
            <v>V181178</v>
          </cell>
          <cell r="C1018">
            <v>9</v>
          </cell>
          <cell r="D1018" t="str">
            <v>NKV</v>
          </cell>
          <cell r="E1018" t="str">
            <v>1008X04280</v>
          </cell>
          <cell r="F1018" t="str">
            <v>OSK</v>
          </cell>
          <cell r="G1018" t="str">
            <v>WHL</v>
          </cell>
        </row>
        <row r="1019">
          <cell r="B1019" t="str">
            <v>V181179</v>
          </cell>
          <cell r="C1019">
            <v>1</v>
          </cell>
          <cell r="D1019" t="str">
            <v>KWE</v>
          </cell>
          <cell r="E1019" t="str">
            <v>350BK8008965</v>
          </cell>
          <cell r="F1019" t="str">
            <v>HKT</v>
          </cell>
          <cell r="G1019" t="str">
            <v>TSL</v>
          </cell>
        </row>
        <row r="1020">
          <cell r="B1020" t="str">
            <v>V181180</v>
          </cell>
          <cell r="C1020">
            <v>2</v>
          </cell>
          <cell r="D1020" t="str">
            <v>CEVA</v>
          </cell>
          <cell r="E1020" t="str">
            <v>350BK8008966</v>
          </cell>
          <cell r="F1020" t="str">
            <v>TYO</v>
          </cell>
          <cell r="G1020" t="str">
            <v>TSL</v>
          </cell>
        </row>
        <row r="1021">
          <cell r="B1021" t="str">
            <v>V181181</v>
          </cell>
          <cell r="C1021">
            <v>1</v>
          </cell>
          <cell r="D1021" t="str">
            <v>CEVA</v>
          </cell>
          <cell r="E1021" t="str">
            <v>350BK8008967</v>
          </cell>
          <cell r="F1021" t="str">
            <v>TYO</v>
          </cell>
          <cell r="G1021" t="str">
            <v>TSL</v>
          </cell>
        </row>
        <row r="1022">
          <cell r="B1022" t="str">
            <v>V181182</v>
          </cell>
          <cell r="C1022">
            <v>5</v>
          </cell>
          <cell r="D1022" t="str">
            <v>VIMA</v>
          </cell>
          <cell r="E1022" t="str">
            <v>HPH18071369</v>
          </cell>
          <cell r="F1022" t="str">
            <v>KWS</v>
          </cell>
          <cell r="G1022" t="str">
            <v>SITC</v>
          </cell>
        </row>
        <row r="1023">
          <cell r="B1023" t="str">
            <v>V181183</v>
          </cell>
          <cell r="C1023">
            <v>4</v>
          </cell>
          <cell r="D1023" t="str">
            <v>NIP</v>
          </cell>
          <cell r="E1023" t="str">
            <v>HPH18071370</v>
          </cell>
          <cell r="F1023" t="str">
            <v>OSK</v>
          </cell>
          <cell r="G1023" t="str">
            <v>SITC</v>
          </cell>
        </row>
        <row r="1024">
          <cell r="B1024" t="str">
            <v>V181184</v>
          </cell>
          <cell r="C1024">
            <v>1</v>
          </cell>
          <cell r="D1024" t="str">
            <v>SHI</v>
          </cell>
          <cell r="E1024" t="str">
            <v>HPH18071371</v>
          </cell>
          <cell r="F1024" t="str">
            <v>HKT</v>
          </cell>
          <cell r="G1024" t="str">
            <v>SITC</v>
          </cell>
        </row>
        <row r="1025">
          <cell r="B1025" t="str">
            <v>V181185</v>
          </cell>
          <cell r="C1025">
            <v>3</v>
          </cell>
          <cell r="D1025" t="str">
            <v>NIP</v>
          </cell>
          <cell r="E1025" t="str">
            <v>HPH18071372</v>
          </cell>
          <cell r="F1025" t="str">
            <v>TYO</v>
          </cell>
          <cell r="G1025" t="str">
            <v>SITC</v>
          </cell>
        </row>
        <row r="1026">
          <cell r="B1026" t="str">
            <v>V181186</v>
          </cell>
          <cell r="C1026">
            <v>2</v>
          </cell>
          <cell r="D1026" t="str">
            <v>KWE</v>
          </cell>
          <cell r="E1026" t="str">
            <v>HPH18071373</v>
          </cell>
          <cell r="F1026" t="str">
            <v>TYO</v>
          </cell>
          <cell r="G1026" t="str">
            <v>SITC</v>
          </cell>
        </row>
        <row r="1027">
          <cell r="B1027" t="str">
            <v>V181187</v>
          </cell>
          <cell r="C1027">
            <v>3</v>
          </cell>
          <cell r="D1027" t="str">
            <v>KWE</v>
          </cell>
          <cell r="E1027" t="str">
            <v>HPH18071374</v>
          </cell>
          <cell r="F1027" t="str">
            <v>KWS</v>
          </cell>
          <cell r="G1027" t="str">
            <v>SITC</v>
          </cell>
        </row>
        <row r="1028">
          <cell r="B1028" t="str">
            <v>V181188</v>
          </cell>
          <cell r="C1028">
            <v>4</v>
          </cell>
          <cell r="D1028" t="str">
            <v>NKV</v>
          </cell>
          <cell r="E1028" t="str">
            <v>HPH18071375</v>
          </cell>
          <cell r="F1028" t="str">
            <v>OSK</v>
          </cell>
          <cell r="G1028" t="str">
            <v>SITC</v>
          </cell>
        </row>
        <row r="1029">
          <cell r="B1029" t="str">
            <v>V181189</v>
          </cell>
          <cell r="C1029">
            <v>3</v>
          </cell>
          <cell r="D1029" t="str">
            <v>KWE</v>
          </cell>
          <cell r="E1029" t="str">
            <v>350BK8008968</v>
          </cell>
          <cell r="F1029" t="str">
            <v>TAOYUAN</v>
          </cell>
          <cell r="G1029" t="str">
            <v>TSL</v>
          </cell>
        </row>
        <row r="1030">
          <cell r="B1030" t="str">
            <v>V181190</v>
          </cell>
          <cell r="C1030">
            <v>1</v>
          </cell>
          <cell r="D1030" t="str">
            <v>CEVA</v>
          </cell>
          <cell r="E1030" t="str">
            <v>SNLTSD-010818-02</v>
          </cell>
          <cell r="F1030" t="str">
            <v>SHA</v>
          </cell>
          <cell r="G1030" t="str">
            <v>SNL</v>
          </cell>
        </row>
        <row r="1031">
          <cell r="B1031" t="str">
            <v>V181191</v>
          </cell>
          <cell r="C1031">
            <v>1</v>
          </cell>
          <cell r="D1031" t="str">
            <v>NIP</v>
          </cell>
          <cell r="E1031" t="str">
            <v>HPH18070918</v>
          </cell>
          <cell r="F1031" t="str">
            <v>HKT</v>
          </cell>
          <cell r="G1031" t="str">
            <v>SITC</v>
          </cell>
        </row>
        <row r="1032">
          <cell r="B1032" t="str">
            <v>V181192</v>
          </cell>
          <cell r="C1032">
            <v>1</v>
          </cell>
          <cell r="D1032" t="str">
            <v>SHI</v>
          </cell>
          <cell r="E1032" t="str">
            <v>HPH18071371</v>
          </cell>
          <cell r="F1032" t="str">
            <v>HKT</v>
          </cell>
          <cell r="G1032" t="str">
            <v>SITC</v>
          </cell>
        </row>
        <row r="1033">
          <cell r="B1033" t="str">
            <v>V181193</v>
          </cell>
          <cell r="C1033">
            <v>6</v>
          </cell>
          <cell r="D1033" t="str">
            <v>SHI</v>
          </cell>
          <cell r="E1033" t="str">
            <v>HPH18081534</v>
          </cell>
          <cell r="F1033" t="str">
            <v>TYO</v>
          </cell>
          <cell r="G1033" t="str">
            <v>SITC</v>
          </cell>
        </row>
        <row r="1034">
          <cell r="B1034" t="str">
            <v>V181194</v>
          </cell>
          <cell r="C1034">
            <v>8</v>
          </cell>
          <cell r="D1034" t="str">
            <v>NKV</v>
          </cell>
          <cell r="E1034" t="str">
            <v>HPH18081535</v>
          </cell>
          <cell r="F1034" t="str">
            <v>KWS</v>
          </cell>
          <cell r="G1034" t="str">
            <v>SITC</v>
          </cell>
        </row>
        <row r="1035">
          <cell r="B1035" t="str">
            <v>V181195</v>
          </cell>
          <cell r="C1035">
            <v>3</v>
          </cell>
          <cell r="D1035" t="str">
            <v>NIP</v>
          </cell>
          <cell r="E1035" t="str">
            <v>HPH18071370</v>
          </cell>
          <cell r="F1035" t="str">
            <v>OSK</v>
          </cell>
          <cell r="G1035" t="str">
            <v>SITC</v>
          </cell>
        </row>
        <row r="1036">
          <cell r="B1036" t="str">
            <v>V181196</v>
          </cell>
          <cell r="C1036">
            <v>5</v>
          </cell>
          <cell r="D1036" t="str">
            <v>NIP</v>
          </cell>
          <cell r="E1036" t="str">
            <v>HPH18071370</v>
          </cell>
          <cell r="F1036" t="str">
            <v>OSK</v>
          </cell>
          <cell r="G1036" t="str">
            <v>SITC</v>
          </cell>
        </row>
        <row r="1037">
          <cell r="B1037" t="str">
            <v>V181197</v>
          </cell>
          <cell r="C1037">
            <v>2</v>
          </cell>
          <cell r="D1037" t="str">
            <v>SHI</v>
          </cell>
          <cell r="E1037" t="str">
            <v>HPH18081538</v>
          </cell>
          <cell r="F1037" t="str">
            <v>HKT</v>
          </cell>
          <cell r="G1037" t="str">
            <v>SITC</v>
          </cell>
        </row>
        <row r="1038">
          <cell r="B1038" t="str">
            <v>Z18131</v>
          </cell>
          <cell r="C1038">
            <v>2</v>
          </cell>
          <cell r="D1038" t="str">
            <v>SHI</v>
          </cell>
          <cell r="E1038" t="str">
            <v xml:space="preserve">1008X04480 </v>
          </cell>
          <cell r="F1038" t="str">
            <v>HKT</v>
          </cell>
          <cell r="G1038" t="str">
            <v>WHL</v>
          </cell>
        </row>
        <row r="1039">
          <cell r="B1039" t="str">
            <v>Z18132</v>
          </cell>
          <cell r="C1039">
            <v>2</v>
          </cell>
          <cell r="D1039" t="str">
            <v>KWE</v>
          </cell>
          <cell r="E1039" t="str">
            <v>HPH18081536</v>
          </cell>
          <cell r="F1039" t="str">
            <v>KWS</v>
          </cell>
          <cell r="G1039" t="str">
            <v>SITC</v>
          </cell>
        </row>
        <row r="1040">
          <cell r="B1040" t="str">
            <v>Z18133</v>
          </cell>
          <cell r="C1040">
            <v>1</v>
          </cell>
          <cell r="D1040" t="str">
            <v>SHI</v>
          </cell>
          <cell r="E1040" t="str">
            <v>350BK8009430</v>
          </cell>
          <cell r="F1040" t="str">
            <v>TYO</v>
          </cell>
          <cell r="G1040" t="str">
            <v>TSL</v>
          </cell>
        </row>
        <row r="1041">
          <cell r="B1041" t="str">
            <v>Z18134</v>
          </cell>
          <cell r="C1041">
            <v>4</v>
          </cell>
          <cell r="D1041" t="str">
            <v>DEL</v>
          </cell>
          <cell r="E1041" t="str">
            <v>HPH18081543</v>
          </cell>
          <cell r="F1041" t="str">
            <v>KWS</v>
          </cell>
          <cell r="G1041" t="str">
            <v>SITC</v>
          </cell>
        </row>
        <row r="1042">
          <cell r="B1042" t="str">
            <v>Z18135</v>
          </cell>
          <cell r="C1042">
            <v>1</v>
          </cell>
          <cell r="D1042" t="str">
            <v>NKV</v>
          </cell>
          <cell r="E1042" t="str">
            <v>HPH18081544</v>
          </cell>
          <cell r="F1042" t="str">
            <v>TYO</v>
          </cell>
          <cell r="G1042" t="str">
            <v>SITC</v>
          </cell>
        </row>
        <row r="1043">
          <cell r="B1043" t="str">
            <v>Z18136</v>
          </cell>
          <cell r="C1043">
            <v>1</v>
          </cell>
          <cell r="D1043" t="str">
            <v>NIP</v>
          </cell>
          <cell r="E1043" t="str">
            <v>HPH18081896</v>
          </cell>
          <cell r="F1043" t="str">
            <v>TYO</v>
          </cell>
          <cell r="G1043" t="str">
            <v>SITC</v>
          </cell>
        </row>
        <row r="1044">
          <cell r="B1044" t="str">
            <v>Z18137</v>
          </cell>
          <cell r="C1044">
            <v>1</v>
          </cell>
          <cell r="D1044" t="str">
            <v>KWE</v>
          </cell>
          <cell r="E1044" t="str">
            <v>HPH18081545</v>
          </cell>
          <cell r="F1044" t="str">
            <v>KWS</v>
          </cell>
          <cell r="G1044" t="str">
            <v>SITC</v>
          </cell>
        </row>
        <row r="1045">
          <cell r="B1045" t="str">
            <v>Z18138</v>
          </cell>
          <cell r="C1045">
            <v>3</v>
          </cell>
          <cell r="D1045" t="str">
            <v>SHI</v>
          </cell>
          <cell r="E1045" t="str">
            <v>HPH18081897</v>
          </cell>
          <cell r="F1045" t="str">
            <v>OSK</v>
          </cell>
          <cell r="G1045" t="str">
            <v>SITC</v>
          </cell>
        </row>
        <row r="1046">
          <cell r="B1046" t="str">
            <v>Z18139</v>
          </cell>
          <cell r="C1046">
            <v>1</v>
          </cell>
          <cell r="D1046" t="str">
            <v>KWE</v>
          </cell>
          <cell r="E1046" t="str">
            <v>HPH18081545</v>
          </cell>
          <cell r="F1046" t="str">
            <v>KWS</v>
          </cell>
          <cell r="G1046" t="str">
            <v>SITC</v>
          </cell>
        </row>
        <row r="1047">
          <cell r="B1047" t="str">
            <v>Z18140</v>
          </cell>
          <cell r="C1047">
            <v>7</v>
          </cell>
          <cell r="D1047" t="str">
            <v>NIP</v>
          </cell>
          <cell r="E1047" t="str">
            <v>HPH18081901</v>
          </cell>
          <cell r="F1047" t="str">
            <v>OSK</v>
          </cell>
          <cell r="G1047" t="str">
            <v>SITC</v>
          </cell>
        </row>
        <row r="1048">
          <cell r="B1048" t="str">
            <v>V181198</v>
          </cell>
          <cell r="C1048">
            <v>2</v>
          </cell>
          <cell r="D1048" t="str">
            <v>CEVA</v>
          </cell>
          <cell r="E1048" t="str">
            <v>VN00392209</v>
          </cell>
          <cell r="F1048" t="str">
            <v>ISH</v>
          </cell>
          <cell r="G1048" t="str">
            <v>KMTC</v>
          </cell>
        </row>
        <row r="1049">
          <cell r="B1049" t="str">
            <v>V181199</v>
          </cell>
          <cell r="C1049">
            <v>5</v>
          </cell>
          <cell r="D1049" t="str">
            <v>EXP</v>
          </cell>
          <cell r="E1049" t="str">
            <v>350BK8009311</v>
          </cell>
          <cell r="F1049" t="str">
            <v>TYO</v>
          </cell>
          <cell r="G1049" t="str">
            <v>TSL</v>
          </cell>
        </row>
        <row r="1050">
          <cell r="B1050" t="str">
            <v>V181200</v>
          </cell>
          <cell r="C1050">
            <v>3</v>
          </cell>
          <cell r="D1050" t="str">
            <v>CEVA</v>
          </cell>
          <cell r="E1050">
            <v>237800249374</v>
          </cell>
          <cell r="F1050" t="str">
            <v>TYO</v>
          </cell>
          <cell r="G1050" t="str">
            <v>EGLV</v>
          </cell>
        </row>
        <row r="1051">
          <cell r="B1051" t="str">
            <v>V181201</v>
          </cell>
          <cell r="C1051">
            <v>2</v>
          </cell>
          <cell r="D1051" t="str">
            <v>VIMA</v>
          </cell>
          <cell r="E1051" t="str">
            <v>HPH18081533</v>
          </cell>
          <cell r="F1051" t="str">
            <v>TYO</v>
          </cell>
          <cell r="G1051" t="str">
            <v>SITC</v>
          </cell>
        </row>
        <row r="1052">
          <cell r="B1052" t="str">
            <v>V181202</v>
          </cell>
          <cell r="C1052">
            <v>13</v>
          </cell>
          <cell r="D1052" t="str">
            <v>NKV</v>
          </cell>
          <cell r="E1052" t="str">
            <v xml:space="preserve">1008X04482 </v>
          </cell>
          <cell r="F1052" t="str">
            <v>OSK</v>
          </cell>
          <cell r="G1052" t="str">
            <v>WHL</v>
          </cell>
        </row>
        <row r="1053">
          <cell r="B1053" t="str">
            <v>V181203</v>
          </cell>
          <cell r="C1053">
            <v>6</v>
          </cell>
          <cell r="D1053" t="str">
            <v>DEL</v>
          </cell>
          <cell r="E1053" t="str">
            <v xml:space="preserve">1008X04279 </v>
          </cell>
          <cell r="F1053" t="str">
            <v>TYO</v>
          </cell>
          <cell r="G1053" t="str">
            <v>WHL</v>
          </cell>
        </row>
        <row r="1054">
          <cell r="B1054" t="str">
            <v>V181204</v>
          </cell>
          <cell r="C1054">
            <v>8</v>
          </cell>
          <cell r="D1054" t="str">
            <v>NKV</v>
          </cell>
          <cell r="E1054" t="str">
            <v xml:space="preserve">1008X04278 </v>
          </cell>
          <cell r="F1054" t="str">
            <v>OSK</v>
          </cell>
          <cell r="G1054" t="str">
            <v>WHL</v>
          </cell>
        </row>
        <row r="1055">
          <cell r="B1055" t="str">
            <v>V181205</v>
          </cell>
          <cell r="C1055">
            <v>7</v>
          </cell>
          <cell r="D1055" t="str">
            <v>SHI</v>
          </cell>
          <cell r="E1055" t="str">
            <v>HPH18071376</v>
          </cell>
          <cell r="F1055" t="str">
            <v>KWS</v>
          </cell>
          <cell r="G1055" t="str">
            <v>SITC</v>
          </cell>
        </row>
        <row r="1056">
          <cell r="B1056" t="str">
            <v>V181206</v>
          </cell>
          <cell r="C1056">
            <v>7</v>
          </cell>
          <cell r="D1056" t="str">
            <v>SHI</v>
          </cell>
          <cell r="E1056" t="str">
            <v xml:space="preserve">1008X04386 </v>
          </cell>
          <cell r="F1056" t="str">
            <v>OSK</v>
          </cell>
          <cell r="G1056" t="str">
            <v>WHL</v>
          </cell>
        </row>
        <row r="1057">
          <cell r="B1057" t="str">
            <v>V181207</v>
          </cell>
          <cell r="C1057">
            <v>15</v>
          </cell>
          <cell r="D1057" t="str">
            <v>SHI</v>
          </cell>
          <cell r="E1057" t="str">
            <v>HPH18081528</v>
          </cell>
          <cell r="F1057" t="str">
            <v>KWS</v>
          </cell>
          <cell r="G1057" t="str">
            <v>SITC</v>
          </cell>
        </row>
        <row r="1058">
          <cell r="B1058" t="str">
            <v>V181208</v>
          </cell>
          <cell r="C1058">
            <v>7</v>
          </cell>
          <cell r="D1058" t="str">
            <v>SHI</v>
          </cell>
          <cell r="E1058" t="str">
            <v>350BK8009312</v>
          </cell>
          <cell r="F1058" t="str">
            <v>HKT</v>
          </cell>
          <cell r="G1058" t="str">
            <v>TSL</v>
          </cell>
        </row>
        <row r="1059">
          <cell r="B1059" t="str">
            <v>V181209</v>
          </cell>
          <cell r="C1059">
            <v>7</v>
          </cell>
          <cell r="D1059" t="str">
            <v>KWE</v>
          </cell>
          <cell r="E1059" t="str">
            <v>HPH18081536</v>
          </cell>
          <cell r="F1059" t="str">
            <v>KWS</v>
          </cell>
          <cell r="G1059" t="str">
            <v>SITC</v>
          </cell>
        </row>
        <row r="1060">
          <cell r="B1060" t="str">
            <v>V181210</v>
          </cell>
          <cell r="C1060">
            <v>4</v>
          </cell>
          <cell r="D1060" t="str">
            <v>VIMA</v>
          </cell>
          <cell r="E1060" t="str">
            <v>HPH18081537</v>
          </cell>
          <cell r="F1060" t="str">
            <v>OSK</v>
          </cell>
          <cell r="G1060" t="str">
            <v>SITC</v>
          </cell>
        </row>
        <row r="1061">
          <cell r="B1061" t="str">
            <v>V181211</v>
          </cell>
          <cell r="C1061">
            <v>4</v>
          </cell>
          <cell r="D1061" t="str">
            <v>VIMA</v>
          </cell>
          <cell r="E1061" t="str">
            <v>HPH18081539</v>
          </cell>
          <cell r="F1061" t="str">
            <v>TYO</v>
          </cell>
          <cell r="G1061" t="str">
            <v>SITC</v>
          </cell>
        </row>
        <row r="1062">
          <cell r="B1062" t="str">
            <v>V181212</v>
          </cell>
          <cell r="C1062">
            <v>1</v>
          </cell>
          <cell r="D1062" t="str">
            <v>EXP</v>
          </cell>
          <cell r="E1062" t="str">
            <v>HPH18081891</v>
          </cell>
          <cell r="F1062" t="str">
            <v>TYO</v>
          </cell>
          <cell r="G1062" t="str">
            <v>SITC</v>
          </cell>
        </row>
        <row r="1063">
          <cell r="B1063" t="str">
            <v>V181213</v>
          </cell>
          <cell r="C1063">
            <v>1</v>
          </cell>
          <cell r="D1063" t="str">
            <v>VIMA</v>
          </cell>
          <cell r="E1063" t="str">
            <v>HPH18081540</v>
          </cell>
          <cell r="F1063" t="str">
            <v>TYO</v>
          </cell>
          <cell r="G1063" t="str">
            <v>SITC</v>
          </cell>
        </row>
        <row r="1064">
          <cell r="B1064" t="str">
            <v>V181214</v>
          </cell>
          <cell r="C1064">
            <v>5</v>
          </cell>
          <cell r="D1064" t="str">
            <v>NKV</v>
          </cell>
          <cell r="E1064" t="str">
            <v>HPH18081541</v>
          </cell>
          <cell r="F1064" t="str">
            <v>KWS</v>
          </cell>
          <cell r="G1064" t="str">
            <v>SITC</v>
          </cell>
        </row>
        <row r="1065">
          <cell r="B1065" t="str">
            <v>V181215</v>
          </cell>
          <cell r="C1065">
            <v>9</v>
          </cell>
          <cell r="D1065" t="str">
            <v>NIP</v>
          </cell>
          <cell r="E1065" t="str">
            <v xml:space="preserve">1008X04481 </v>
          </cell>
          <cell r="F1065" t="str">
            <v>OSK</v>
          </cell>
          <cell r="G1065" t="str">
            <v>WHL</v>
          </cell>
        </row>
        <row r="1066">
          <cell r="B1066" t="str">
            <v>V181216</v>
          </cell>
          <cell r="C1066">
            <v>3</v>
          </cell>
          <cell r="D1066" t="str">
            <v>SHI</v>
          </cell>
          <cell r="E1066" t="str">
            <v xml:space="preserve">1008X04480 </v>
          </cell>
          <cell r="F1066" t="str">
            <v>HKT</v>
          </cell>
          <cell r="G1066" t="str">
            <v>WHL</v>
          </cell>
        </row>
        <row r="1067">
          <cell r="B1067" t="str">
            <v>V181217</v>
          </cell>
          <cell r="C1067">
            <v>1</v>
          </cell>
          <cell r="D1067" t="str">
            <v>CEVA</v>
          </cell>
          <cell r="E1067" t="str">
            <v>VN00392210</v>
          </cell>
          <cell r="F1067" t="str">
            <v>ISH</v>
          </cell>
          <cell r="G1067" t="str">
            <v>KMTC</v>
          </cell>
        </row>
        <row r="1068">
          <cell r="B1068" t="str">
            <v>V181218</v>
          </cell>
          <cell r="C1068">
            <v>1</v>
          </cell>
          <cell r="D1068" t="str">
            <v>VIMA</v>
          </cell>
          <cell r="E1068" t="str">
            <v>HPH18081542</v>
          </cell>
          <cell r="F1068" t="str">
            <v>TYO</v>
          </cell>
          <cell r="G1068" t="str">
            <v>SITC</v>
          </cell>
        </row>
        <row r="1069">
          <cell r="B1069" t="str">
            <v>V181219</v>
          </cell>
          <cell r="C1069">
            <v>2</v>
          </cell>
          <cell r="D1069" t="str">
            <v>DEL</v>
          </cell>
          <cell r="E1069" t="str">
            <v>HPH18081543</v>
          </cell>
          <cell r="F1069" t="str">
            <v>KWS</v>
          </cell>
          <cell r="G1069" t="str">
            <v>SITC</v>
          </cell>
        </row>
        <row r="1070">
          <cell r="B1070" t="str">
            <v>V181220</v>
          </cell>
          <cell r="C1070">
            <v>6</v>
          </cell>
          <cell r="D1070" t="str">
            <v>NIP</v>
          </cell>
          <cell r="E1070" t="str">
            <v>1008X04479</v>
          </cell>
          <cell r="F1070" t="str">
            <v>OSK</v>
          </cell>
          <cell r="G1070" t="str">
            <v>WHL</v>
          </cell>
        </row>
        <row r="1071">
          <cell r="B1071" t="str">
            <v>V181221</v>
          </cell>
          <cell r="C1071">
            <v>1</v>
          </cell>
          <cell r="D1071" t="str">
            <v>NKV</v>
          </cell>
          <cell r="E1071" t="str">
            <v>HPH18081544</v>
          </cell>
          <cell r="F1071" t="str">
            <v>TYO</v>
          </cell>
          <cell r="G1071" t="str">
            <v>SITC</v>
          </cell>
        </row>
        <row r="1072">
          <cell r="B1072" t="str">
            <v>V181222</v>
          </cell>
          <cell r="C1072">
            <v>5</v>
          </cell>
          <cell r="D1072" t="str">
            <v>KWE</v>
          </cell>
          <cell r="E1072" t="str">
            <v>HPH18081545</v>
          </cell>
          <cell r="F1072" t="str">
            <v>KWS</v>
          </cell>
          <cell r="G1072" t="str">
            <v>SITC</v>
          </cell>
        </row>
        <row r="1073">
          <cell r="B1073" t="str">
            <v>V181223</v>
          </cell>
          <cell r="C1073">
            <v>8</v>
          </cell>
          <cell r="D1073" t="str">
            <v>CEVA</v>
          </cell>
          <cell r="E1073" t="str">
            <v>HPH18081546</v>
          </cell>
          <cell r="F1073" t="str">
            <v>OSK</v>
          </cell>
          <cell r="G1073" t="str">
            <v>SITC</v>
          </cell>
        </row>
        <row r="1074">
          <cell r="B1074" t="str">
            <v>V181224</v>
          </cell>
          <cell r="C1074">
            <v>1</v>
          </cell>
          <cell r="D1074" t="str">
            <v>SHI</v>
          </cell>
          <cell r="E1074" t="str">
            <v xml:space="preserve">1008X04478 </v>
          </cell>
          <cell r="F1074" t="str">
            <v>HKT</v>
          </cell>
          <cell r="G1074" t="str">
            <v>WHL</v>
          </cell>
        </row>
        <row r="1075">
          <cell r="B1075" t="str">
            <v>V181225</v>
          </cell>
          <cell r="C1075">
            <v>1</v>
          </cell>
          <cell r="D1075" t="str">
            <v>NKV</v>
          </cell>
          <cell r="E1075" t="str">
            <v>HPH18081544</v>
          </cell>
          <cell r="F1075" t="str">
            <v>TYO</v>
          </cell>
          <cell r="G1075" t="str">
            <v>SITC</v>
          </cell>
        </row>
        <row r="1076">
          <cell r="B1076" t="str">
            <v>V181226</v>
          </cell>
          <cell r="C1076">
            <v>7</v>
          </cell>
          <cell r="D1076" t="str">
            <v>NKV</v>
          </cell>
          <cell r="E1076" t="str">
            <v xml:space="preserve">1008X04673 </v>
          </cell>
          <cell r="F1076" t="str">
            <v>OSK</v>
          </cell>
          <cell r="G1076" t="str">
            <v>WHL</v>
          </cell>
        </row>
        <row r="1077">
          <cell r="B1077" t="str">
            <v>V181227</v>
          </cell>
          <cell r="C1077">
            <v>1</v>
          </cell>
          <cell r="D1077" t="str">
            <v>CEVA</v>
          </cell>
          <cell r="E1077" t="str">
            <v>VN00392210</v>
          </cell>
          <cell r="F1077" t="str">
            <v>ISH</v>
          </cell>
          <cell r="G1077" t="str">
            <v>KMTC</v>
          </cell>
        </row>
        <row r="1078">
          <cell r="B1078" t="str">
            <v>V181228</v>
          </cell>
          <cell r="C1078">
            <v>1</v>
          </cell>
          <cell r="D1078" t="str">
            <v>VIMA</v>
          </cell>
          <cell r="E1078" t="str">
            <v>HPH18082183</v>
          </cell>
          <cell r="F1078" t="str">
            <v>TYO</v>
          </cell>
          <cell r="G1078" t="str">
            <v>SITC</v>
          </cell>
        </row>
        <row r="1079">
          <cell r="B1079" t="str">
            <v>V181229</v>
          </cell>
          <cell r="C1079">
            <v>1</v>
          </cell>
          <cell r="D1079" t="str">
            <v>KWE</v>
          </cell>
          <cell r="E1079" t="str">
            <v>HPH18082184</v>
          </cell>
          <cell r="F1079" t="str">
            <v>TYO</v>
          </cell>
          <cell r="G1079" t="str">
            <v>SITC</v>
          </cell>
        </row>
        <row r="1080">
          <cell r="B1080" t="str">
            <v>V181230</v>
          </cell>
          <cell r="C1080">
            <v>5</v>
          </cell>
          <cell r="D1080" t="str">
            <v>KWE</v>
          </cell>
          <cell r="E1080" t="str">
            <v>HPH18081545</v>
          </cell>
          <cell r="F1080" t="str">
            <v>KWS</v>
          </cell>
          <cell r="G1080" t="str">
            <v>SITC</v>
          </cell>
        </row>
        <row r="1081">
          <cell r="B1081" t="str">
            <v>V181231</v>
          </cell>
          <cell r="C1081">
            <v>6</v>
          </cell>
          <cell r="D1081" t="str">
            <v>NKV</v>
          </cell>
          <cell r="E1081" t="str">
            <v>HPH18081900</v>
          </cell>
          <cell r="F1081" t="str">
            <v>OSK</v>
          </cell>
          <cell r="G1081" t="str">
            <v>SITC</v>
          </cell>
        </row>
        <row r="1082">
          <cell r="B1082" t="str">
            <v>V181232</v>
          </cell>
          <cell r="C1082">
            <v>2</v>
          </cell>
          <cell r="D1082" t="str">
            <v>SHI</v>
          </cell>
          <cell r="E1082" t="str">
            <v>HPH18082186</v>
          </cell>
          <cell r="F1082" t="str">
            <v>HKT</v>
          </cell>
          <cell r="G1082" t="str">
            <v>SITC</v>
          </cell>
        </row>
        <row r="1083">
          <cell r="B1083" t="str">
            <v>V181233</v>
          </cell>
          <cell r="C1083">
            <v>3</v>
          </cell>
          <cell r="D1083" t="str">
            <v>CEVA</v>
          </cell>
          <cell r="E1083" t="str">
            <v>350BK8009631</v>
          </cell>
          <cell r="F1083" t="str">
            <v>TAOYUAN</v>
          </cell>
          <cell r="G1083" t="str">
            <v>TSL</v>
          </cell>
        </row>
        <row r="1084">
          <cell r="B1084" t="str">
            <v>V181234</v>
          </cell>
          <cell r="C1084">
            <v>2</v>
          </cell>
          <cell r="D1084" t="str">
            <v>VIMA</v>
          </cell>
          <cell r="E1084" t="str">
            <v>HPH18082183</v>
          </cell>
          <cell r="F1084" t="str">
            <v>TYO</v>
          </cell>
          <cell r="G1084" t="str">
            <v>SITC</v>
          </cell>
        </row>
        <row r="1085">
          <cell r="B1085" t="str">
            <v>V181235</v>
          </cell>
          <cell r="C1085">
            <v>2</v>
          </cell>
          <cell r="D1085" t="str">
            <v>EXP</v>
          </cell>
          <cell r="E1085" t="str">
            <v>350BK8009629</v>
          </cell>
          <cell r="F1085" t="str">
            <v>TYO</v>
          </cell>
          <cell r="G1085" t="str">
            <v>TSL</v>
          </cell>
        </row>
        <row r="1086">
          <cell r="B1086" t="str">
            <v>Z18141</v>
          </cell>
          <cell r="C1086">
            <v>4</v>
          </cell>
          <cell r="D1086" t="str">
            <v>NKV</v>
          </cell>
          <cell r="E1086" t="str">
            <v>HPH18081900</v>
          </cell>
          <cell r="F1086" t="str">
            <v>OSK</v>
          </cell>
          <cell r="G1086" t="str">
            <v>SITC</v>
          </cell>
        </row>
        <row r="1087">
          <cell r="B1087" t="str">
            <v>Z18142</v>
          </cell>
          <cell r="C1087">
            <v>9</v>
          </cell>
          <cell r="D1087" t="str">
            <v>SHI</v>
          </cell>
          <cell r="E1087" t="str">
            <v>HPH18082198</v>
          </cell>
          <cell r="F1087" t="str">
            <v>KWS</v>
          </cell>
          <cell r="G1087" t="str">
            <v>SITC</v>
          </cell>
        </row>
        <row r="1088">
          <cell r="B1088" t="str">
            <v>Z18143</v>
          </cell>
          <cell r="C1088">
            <v>2</v>
          </cell>
          <cell r="D1088" t="str">
            <v>NIP</v>
          </cell>
          <cell r="E1088" t="str">
            <v>1008X04619</v>
          </cell>
          <cell r="F1088" t="str">
            <v>OSK</v>
          </cell>
          <cell r="G1088" t="str">
            <v>WHL</v>
          </cell>
        </row>
        <row r="1089">
          <cell r="B1089" t="str">
            <v>Z18144</v>
          </cell>
          <cell r="C1089">
            <v>1</v>
          </cell>
          <cell r="D1089" t="str">
            <v>SHI</v>
          </cell>
          <cell r="E1089" t="str">
            <v>HPH18082182</v>
          </cell>
          <cell r="F1089" t="str">
            <v>KWS</v>
          </cell>
          <cell r="G1089" t="str">
            <v>SITC</v>
          </cell>
        </row>
        <row r="1090">
          <cell r="B1090" t="str">
            <v>Z18145</v>
          </cell>
          <cell r="C1090">
            <v>1</v>
          </cell>
          <cell r="D1090" t="str">
            <v>CEVA</v>
          </cell>
          <cell r="E1090" t="str">
            <v>HPH18082199</v>
          </cell>
          <cell r="F1090" t="str">
            <v>HKT</v>
          </cell>
          <cell r="G1090" t="str">
            <v>SITC</v>
          </cell>
        </row>
        <row r="1091">
          <cell r="B1091" t="str">
            <v>Z18146</v>
          </cell>
          <cell r="C1091">
            <v>2</v>
          </cell>
          <cell r="D1091" t="str">
            <v>CEVA</v>
          </cell>
          <cell r="E1091" t="str">
            <v>HPH18082209</v>
          </cell>
          <cell r="F1091" t="str">
            <v>TYO</v>
          </cell>
          <cell r="G1091" t="str">
            <v>SITC</v>
          </cell>
        </row>
        <row r="1092">
          <cell r="B1092" t="str">
            <v>Z18147</v>
          </cell>
          <cell r="C1092">
            <v>2</v>
          </cell>
          <cell r="D1092" t="str">
            <v>NIP</v>
          </cell>
          <cell r="E1092" t="str">
            <v xml:space="preserve">1008X04644 </v>
          </cell>
          <cell r="F1092" t="str">
            <v>OSK</v>
          </cell>
          <cell r="G1092" t="str">
            <v>WHL</v>
          </cell>
        </row>
        <row r="1093">
          <cell r="B1093" t="str">
            <v>Z18148</v>
          </cell>
          <cell r="C1093">
            <v>2</v>
          </cell>
          <cell r="D1093" t="str">
            <v>NKV</v>
          </cell>
          <cell r="E1093" t="str">
            <v>HPH18082188</v>
          </cell>
          <cell r="F1093" t="str">
            <v>KWS</v>
          </cell>
          <cell r="G1093" t="str">
            <v>SITC</v>
          </cell>
        </row>
        <row r="1094">
          <cell r="B1094" t="str">
            <v>V181269</v>
          </cell>
          <cell r="C1094">
            <v>1</v>
          </cell>
          <cell r="D1094" t="str">
            <v>KWE</v>
          </cell>
          <cell r="E1094" t="str">
            <v>HPH18082452</v>
          </cell>
          <cell r="F1094" t="str">
            <v>TYO</v>
          </cell>
          <cell r="G1094" t="str">
            <v>SITC</v>
          </cell>
        </row>
        <row r="1095">
          <cell r="B1095" t="str">
            <v>Z18150</v>
          </cell>
          <cell r="C1095">
            <v>4</v>
          </cell>
          <cell r="D1095" t="str">
            <v>NIP</v>
          </cell>
          <cell r="E1095" t="str">
            <v xml:space="preserve">1008X04644 </v>
          </cell>
          <cell r="F1095" t="str">
            <v>OSK</v>
          </cell>
          <cell r="G1095" t="str">
            <v>WHL</v>
          </cell>
        </row>
        <row r="1096">
          <cell r="B1096" t="str">
            <v>Z18153</v>
          </cell>
          <cell r="C1096">
            <v>6</v>
          </cell>
          <cell r="D1096" t="str">
            <v>NIP</v>
          </cell>
          <cell r="E1096" t="str">
            <v>HPH18082193</v>
          </cell>
          <cell r="F1096" t="str">
            <v>OSK</v>
          </cell>
          <cell r="G1096" t="str">
            <v>SITC</v>
          </cell>
        </row>
        <row r="1097">
          <cell r="B1097" t="str">
            <v>Z18154</v>
          </cell>
          <cell r="C1097">
            <v>4</v>
          </cell>
          <cell r="D1097" t="str">
            <v>NIP</v>
          </cell>
          <cell r="E1097" t="str">
            <v>HPH18082193</v>
          </cell>
          <cell r="F1097" t="str">
            <v>OSK</v>
          </cell>
          <cell r="G1097" t="str">
            <v>SITC</v>
          </cell>
        </row>
        <row r="1098">
          <cell r="B1098" t="str">
            <v>V181264</v>
          </cell>
          <cell r="C1098">
            <v>4</v>
          </cell>
          <cell r="D1098" t="str">
            <v>NIP</v>
          </cell>
          <cell r="E1098" t="str">
            <v>HPH18082193</v>
          </cell>
          <cell r="F1098" t="str">
            <v>OSK</v>
          </cell>
          <cell r="G1098" t="str">
            <v>SITC</v>
          </cell>
        </row>
        <row r="1099">
          <cell r="B1099" t="str">
            <v>V181267</v>
          </cell>
          <cell r="C1099">
            <v>3</v>
          </cell>
          <cell r="D1099" t="str">
            <v>NIP</v>
          </cell>
          <cell r="E1099" t="str">
            <v>HPH18082193</v>
          </cell>
          <cell r="F1099" t="str">
            <v>OSK</v>
          </cell>
          <cell r="G1099" t="str">
            <v>SITC</v>
          </cell>
        </row>
        <row r="1100">
          <cell r="B1100" t="str">
            <v>V181270</v>
          </cell>
          <cell r="C1100">
            <v>2</v>
          </cell>
          <cell r="D1100" t="str">
            <v>NIP</v>
          </cell>
          <cell r="E1100" t="str">
            <v>HPH18082453</v>
          </cell>
          <cell r="F1100" t="str">
            <v>TYO</v>
          </cell>
          <cell r="G1100" t="str">
            <v>SITC</v>
          </cell>
        </row>
        <row r="1101">
          <cell r="B1101" t="str">
            <v>V181272</v>
          </cell>
          <cell r="C1101">
            <v>7</v>
          </cell>
          <cell r="D1101" t="str">
            <v>NIP</v>
          </cell>
          <cell r="E1101" t="str">
            <v>HPH18082454</v>
          </cell>
          <cell r="F1101" t="str">
            <v>OSK</v>
          </cell>
          <cell r="G1101" t="str">
            <v>SITC</v>
          </cell>
        </row>
        <row r="1102">
          <cell r="B1102" t="str">
            <v>Z18151</v>
          </cell>
          <cell r="C1102">
            <v>3</v>
          </cell>
          <cell r="D1102" t="str">
            <v>NKV</v>
          </cell>
          <cell r="E1102" t="str">
            <v>HPH18082189</v>
          </cell>
          <cell r="F1102" t="str">
            <v>KWS</v>
          </cell>
          <cell r="G1102" t="str">
            <v>SITC</v>
          </cell>
        </row>
        <row r="1103">
          <cell r="B1103" t="str">
            <v>Z18158</v>
          </cell>
          <cell r="C1103">
            <v>1</v>
          </cell>
          <cell r="D1103" t="str">
            <v>CEVA</v>
          </cell>
          <cell r="E1103" t="str">
            <v>VN00393806</v>
          </cell>
          <cell r="F1103" t="str">
            <v>ISH</v>
          </cell>
          <cell r="G1103" t="str">
            <v>KMTC</v>
          </cell>
        </row>
        <row r="1104">
          <cell r="B1104" t="str">
            <v>Z18156</v>
          </cell>
          <cell r="C1104">
            <v>3</v>
          </cell>
          <cell r="D1104" t="str">
            <v>NKV</v>
          </cell>
          <cell r="E1104" t="str">
            <v>HPH18082470</v>
          </cell>
          <cell r="F1104" t="str">
            <v>TYO</v>
          </cell>
          <cell r="G1104" t="str">
            <v>SITC</v>
          </cell>
        </row>
        <row r="1105">
          <cell r="B1105" t="str">
            <v>V181236</v>
          </cell>
          <cell r="C1105">
            <v>5</v>
          </cell>
          <cell r="D1105" t="str">
            <v>NIP</v>
          </cell>
          <cell r="E1105" t="str">
            <v>HPH18081880</v>
          </cell>
          <cell r="F1105" t="str">
            <v>KWS</v>
          </cell>
          <cell r="G1105" t="str">
            <v>SITC</v>
          </cell>
        </row>
        <row r="1106">
          <cell r="B1106" t="str">
            <v>V181237</v>
          </cell>
          <cell r="C1106">
            <v>7</v>
          </cell>
          <cell r="D1106" t="str">
            <v>NKV</v>
          </cell>
          <cell r="E1106" t="str">
            <v xml:space="preserve">1008X04533 </v>
          </cell>
          <cell r="F1106" t="str">
            <v>OSK</v>
          </cell>
          <cell r="G1106" t="str">
            <v>WHL</v>
          </cell>
        </row>
        <row r="1107">
          <cell r="B1107" t="str">
            <v>V181238</v>
          </cell>
          <cell r="C1107">
            <v>3</v>
          </cell>
          <cell r="D1107" t="str">
            <v>NKV</v>
          </cell>
          <cell r="E1107" t="str">
            <v xml:space="preserve">1008X04559 </v>
          </cell>
          <cell r="F1107" t="str">
            <v>TYO</v>
          </cell>
          <cell r="G1107" t="str">
            <v>WHL</v>
          </cell>
        </row>
        <row r="1108">
          <cell r="B1108" t="str">
            <v>V181239</v>
          </cell>
          <cell r="C1108">
            <v>4</v>
          </cell>
          <cell r="D1108" t="str">
            <v>NKV</v>
          </cell>
          <cell r="E1108" t="str">
            <v>HPH18081890</v>
          </cell>
          <cell r="F1108" t="str">
            <v>KWS</v>
          </cell>
          <cell r="G1108" t="str">
            <v>SITC</v>
          </cell>
        </row>
        <row r="1109">
          <cell r="B1109" t="str">
            <v>V181240</v>
          </cell>
          <cell r="C1109">
            <v>13</v>
          </cell>
          <cell r="D1109" t="str">
            <v>KWE</v>
          </cell>
          <cell r="E1109" t="str">
            <v>1008X04593</v>
          </cell>
          <cell r="F1109" t="str">
            <v>OSK</v>
          </cell>
          <cell r="G1109" t="str">
            <v>WHL</v>
          </cell>
        </row>
        <row r="1110">
          <cell r="B1110" t="str">
            <v>V181241</v>
          </cell>
          <cell r="C1110">
            <v>3</v>
          </cell>
          <cell r="D1110" t="str">
            <v>NKV</v>
          </cell>
          <cell r="E1110" t="str">
            <v>HPH18081882</v>
          </cell>
          <cell r="F1110" t="str">
            <v>TYO</v>
          </cell>
          <cell r="G1110" t="str">
            <v>SITC</v>
          </cell>
        </row>
        <row r="1111">
          <cell r="B1111" t="str">
            <v>V181242</v>
          </cell>
          <cell r="C1111">
            <v>3</v>
          </cell>
          <cell r="D1111" t="str">
            <v>NIP</v>
          </cell>
          <cell r="E1111" t="str">
            <v>1008X04619</v>
          </cell>
          <cell r="F1111" t="str">
            <v>OSK</v>
          </cell>
          <cell r="G1111" t="str">
            <v>WHL</v>
          </cell>
        </row>
        <row r="1112">
          <cell r="B1112" t="str">
            <v>V181243</v>
          </cell>
          <cell r="C1112">
            <v>9</v>
          </cell>
          <cell r="D1112" t="str">
            <v>NKV</v>
          </cell>
          <cell r="E1112" t="str">
            <v>HPH18081890</v>
          </cell>
          <cell r="F1112" t="str">
            <v>KWS</v>
          </cell>
          <cell r="G1112" t="str">
            <v>SITC</v>
          </cell>
        </row>
        <row r="1113">
          <cell r="B1113" t="str">
            <v>V181244</v>
          </cell>
          <cell r="C1113">
            <v>2</v>
          </cell>
          <cell r="D1113" t="str">
            <v>NIP</v>
          </cell>
          <cell r="E1113" t="str">
            <v>1008X04622</v>
          </cell>
          <cell r="F1113" t="str">
            <v>HKT</v>
          </cell>
          <cell r="G1113" t="str">
            <v>WHL</v>
          </cell>
        </row>
        <row r="1114">
          <cell r="B1114" t="str">
            <v>V181245</v>
          </cell>
          <cell r="C1114">
            <v>2</v>
          </cell>
          <cell r="D1114" t="str">
            <v>EXP</v>
          </cell>
          <cell r="E1114" t="str">
            <v>350BK8009629</v>
          </cell>
          <cell r="F1114" t="str">
            <v>TYO</v>
          </cell>
          <cell r="G1114" t="str">
            <v>TSL</v>
          </cell>
        </row>
        <row r="1115">
          <cell r="B1115" t="str">
            <v>V181246</v>
          </cell>
          <cell r="C1115">
            <v>2</v>
          </cell>
          <cell r="D1115" t="str">
            <v>CEVA</v>
          </cell>
          <cell r="E1115" t="str">
            <v>VN00393799</v>
          </cell>
          <cell r="F1115" t="str">
            <v>ISH</v>
          </cell>
          <cell r="G1115" t="str">
            <v>KMTC</v>
          </cell>
        </row>
        <row r="1116">
          <cell r="B1116" t="str">
            <v>V181247</v>
          </cell>
          <cell r="C1116">
            <v>1</v>
          </cell>
          <cell r="D1116" t="str">
            <v>VIMA</v>
          </cell>
          <cell r="E1116" t="str">
            <v>HPH18082181</v>
          </cell>
          <cell r="F1116" t="str">
            <v>TYO</v>
          </cell>
          <cell r="G1116" t="str">
            <v>SITC</v>
          </cell>
        </row>
        <row r="1117">
          <cell r="B1117" t="str">
            <v>V181248</v>
          </cell>
          <cell r="C1117">
            <v>7</v>
          </cell>
          <cell r="D1117" t="str">
            <v>SHI</v>
          </cell>
          <cell r="E1117" t="str">
            <v>HPH18082182</v>
          </cell>
          <cell r="F1117" t="str">
            <v>KWS</v>
          </cell>
          <cell r="G1117" t="str">
            <v>SITC</v>
          </cell>
        </row>
        <row r="1118">
          <cell r="B1118" t="str">
            <v>V181249</v>
          </cell>
          <cell r="C1118">
            <v>5</v>
          </cell>
          <cell r="D1118" t="str">
            <v>NIP</v>
          </cell>
          <cell r="E1118" t="str">
            <v xml:space="preserve">1008X04641 </v>
          </cell>
          <cell r="F1118" t="str">
            <v>OSK</v>
          </cell>
          <cell r="G1118" t="str">
            <v>WHL</v>
          </cell>
        </row>
        <row r="1119">
          <cell r="B1119" t="str">
            <v>V181250</v>
          </cell>
          <cell r="C1119">
            <v>1</v>
          </cell>
          <cell r="D1119" t="str">
            <v>SHI</v>
          </cell>
          <cell r="E1119" t="str">
            <v>350BK8009630</v>
          </cell>
          <cell r="F1119" t="str">
            <v>HKT</v>
          </cell>
          <cell r="G1119" t="str">
            <v>TSL</v>
          </cell>
        </row>
        <row r="1120">
          <cell r="B1120" t="str">
            <v>V181251</v>
          </cell>
          <cell r="C1120">
            <v>8</v>
          </cell>
          <cell r="D1120" t="str">
            <v>NKV</v>
          </cell>
          <cell r="E1120" t="str">
            <v>HPH18082185</v>
          </cell>
          <cell r="F1120" t="str">
            <v>KWS</v>
          </cell>
          <cell r="G1120" t="str">
            <v>SITC</v>
          </cell>
        </row>
        <row r="1121">
          <cell r="B1121" t="str">
            <v>V181252</v>
          </cell>
          <cell r="C1121">
            <v>2</v>
          </cell>
          <cell r="D1121" t="str">
            <v>VIMA</v>
          </cell>
          <cell r="E1121" t="str">
            <v>HPH18082187</v>
          </cell>
          <cell r="F1121" t="str">
            <v>TYO</v>
          </cell>
          <cell r="G1121" t="str">
            <v>SITC</v>
          </cell>
        </row>
        <row r="1122">
          <cell r="B1122" t="str">
            <v>V181253</v>
          </cell>
          <cell r="C1122">
            <v>1</v>
          </cell>
          <cell r="D1122" t="str">
            <v>CEVA</v>
          </cell>
          <cell r="E1122">
            <v>237800259027</v>
          </cell>
          <cell r="F1122" t="str">
            <v>TYO</v>
          </cell>
          <cell r="G1122" t="str">
            <v>EGLV</v>
          </cell>
        </row>
        <row r="1123">
          <cell r="B1123" t="str">
            <v>V181254</v>
          </cell>
          <cell r="C1123">
            <v>4</v>
          </cell>
          <cell r="D1123" t="str">
            <v>NKV</v>
          </cell>
          <cell r="E1123" t="str">
            <v>HPH18082188</v>
          </cell>
          <cell r="F1123" t="str">
            <v>KWS</v>
          </cell>
          <cell r="G1123" t="str">
            <v>SITC</v>
          </cell>
        </row>
        <row r="1124">
          <cell r="B1124" t="str">
            <v>V181255</v>
          </cell>
          <cell r="C1124">
            <v>10</v>
          </cell>
          <cell r="D1124" t="str">
            <v>KWE</v>
          </cell>
          <cell r="E1124" t="str">
            <v>350BK8009632</v>
          </cell>
          <cell r="F1124" t="str">
            <v>OSK</v>
          </cell>
          <cell r="G1124" t="str">
            <v>TSL</v>
          </cell>
        </row>
        <row r="1125">
          <cell r="B1125" t="str">
            <v>V181256</v>
          </cell>
          <cell r="C1125">
            <v>2</v>
          </cell>
          <cell r="D1125" t="str">
            <v>SHI</v>
          </cell>
          <cell r="E1125" t="str">
            <v xml:space="preserve">1008X04643 </v>
          </cell>
          <cell r="F1125" t="str">
            <v>HKT</v>
          </cell>
          <cell r="G1125" t="str">
            <v>WHL</v>
          </cell>
        </row>
        <row r="1126">
          <cell r="B1126" t="str">
            <v>V181257</v>
          </cell>
          <cell r="C1126">
            <v>2</v>
          </cell>
          <cell r="D1126" t="str">
            <v>CEVA</v>
          </cell>
          <cell r="E1126" t="str">
            <v>VN00393806</v>
          </cell>
          <cell r="F1126" t="str">
            <v>ISH</v>
          </cell>
          <cell r="G1126" t="str">
            <v>KMTC</v>
          </cell>
        </row>
        <row r="1127">
          <cell r="B1127" t="str">
            <v>V181258</v>
          </cell>
          <cell r="C1127">
            <v>2</v>
          </cell>
          <cell r="D1127" t="str">
            <v>EXP</v>
          </cell>
          <cell r="E1127" t="str">
            <v>350BK8009634</v>
          </cell>
          <cell r="F1127" t="str">
            <v>TYO</v>
          </cell>
          <cell r="G1127" t="str">
            <v>TSL</v>
          </cell>
        </row>
        <row r="1128">
          <cell r="B1128" t="str">
            <v>Z18159</v>
          </cell>
          <cell r="C1128">
            <v>1</v>
          </cell>
          <cell r="D1128" t="str">
            <v>NKV</v>
          </cell>
          <cell r="E1128" t="str">
            <v>HPH18082470</v>
          </cell>
          <cell r="F1128" t="str">
            <v>TYO</v>
          </cell>
          <cell r="G1128" t="str">
            <v>SITC</v>
          </cell>
        </row>
        <row r="1129">
          <cell r="B1129" t="str">
            <v>V181260</v>
          </cell>
          <cell r="C1129">
            <v>6</v>
          </cell>
          <cell r="D1129" t="str">
            <v>NIP</v>
          </cell>
          <cell r="E1129" t="str">
            <v xml:space="preserve">1008X04642 </v>
          </cell>
          <cell r="F1129" t="str">
            <v>OSK</v>
          </cell>
          <cell r="G1129" t="str">
            <v>WHL</v>
          </cell>
        </row>
        <row r="1130">
          <cell r="B1130" t="str">
            <v>V181261</v>
          </cell>
          <cell r="C1130">
            <v>3</v>
          </cell>
          <cell r="D1130" t="str">
            <v>CEVA</v>
          </cell>
          <cell r="E1130" t="str">
            <v>350BK8009633</v>
          </cell>
          <cell r="F1130" t="str">
            <v>TAOYUAN</v>
          </cell>
          <cell r="G1130" t="str">
            <v>TSL</v>
          </cell>
        </row>
        <row r="1131">
          <cell r="B1131" t="str">
            <v>V181259</v>
          </cell>
          <cell r="C1131">
            <v>5</v>
          </cell>
          <cell r="D1131" t="str">
            <v>NKV</v>
          </cell>
          <cell r="E1131" t="str">
            <v>HPH18082189</v>
          </cell>
          <cell r="F1131" t="str">
            <v>KWS</v>
          </cell>
          <cell r="G1131" t="str">
            <v>SITC</v>
          </cell>
        </row>
        <row r="1132">
          <cell r="B1132" t="str">
            <v>V181263</v>
          </cell>
          <cell r="C1132">
            <v>6</v>
          </cell>
          <cell r="D1132" t="str">
            <v>NKV</v>
          </cell>
          <cell r="E1132" t="str">
            <v>HPH18082191</v>
          </cell>
          <cell r="F1132" t="str">
            <v>KWS</v>
          </cell>
          <cell r="G1132" t="str">
            <v>SITC</v>
          </cell>
        </row>
        <row r="1133">
          <cell r="B1133" t="str">
            <v>V181271</v>
          </cell>
          <cell r="C1133">
            <v>5</v>
          </cell>
          <cell r="D1133" t="str">
            <v>NKV</v>
          </cell>
          <cell r="E1133" t="str">
            <v>HPH18082191</v>
          </cell>
          <cell r="F1133" t="str">
            <v>KWS</v>
          </cell>
          <cell r="G1133" t="str">
            <v>SITC</v>
          </cell>
        </row>
        <row r="1134">
          <cell r="B1134" t="str">
            <v>V181301</v>
          </cell>
          <cell r="C1134">
            <v>6</v>
          </cell>
          <cell r="D1134" t="str">
            <v>NKV</v>
          </cell>
          <cell r="E1134" t="str">
            <v>HPH18082478</v>
          </cell>
          <cell r="F1134" t="str">
            <v>KWS</v>
          </cell>
          <cell r="G1134" t="str">
            <v>SITC</v>
          </cell>
        </row>
        <row r="1135">
          <cell r="B1135" t="str">
            <v>V181266</v>
          </cell>
          <cell r="C1135">
            <v>5</v>
          </cell>
          <cell r="D1135" t="str">
            <v>NIP</v>
          </cell>
          <cell r="E1135" t="str">
            <v xml:space="preserve">1008X04644 </v>
          </cell>
          <cell r="F1135" t="str">
            <v>OSK</v>
          </cell>
          <cell r="G1135" t="str">
            <v>WHL</v>
          </cell>
        </row>
        <row r="1136">
          <cell r="B1136" t="str">
            <v>Z18149</v>
          </cell>
          <cell r="C1136">
            <v>2</v>
          </cell>
          <cell r="D1136" t="str">
            <v>SHI</v>
          </cell>
          <cell r="E1136" t="str">
            <v>HPH18082194</v>
          </cell>
          <cell r="F1136" t="str">
            <v>HKT</v>
          </cell>
          <cell r="G1136" t="str">
            <v>SITC</v>
          </cell>
        </row>
        <row r="1137">
          <cell r="B1137" t="str">
            <v>V181268</v>
          </cell>
          <cell r="C1137">
            <v>4</v>
          </cell>
          <cell r="D1137" t="str">
            <v>SHI</v>
          </cell>
          <cell r="E1137" t="str">
            <v xml:space="preserve">1008X04643 </v>
          </cell>
          <cell r="F1137" t="str">
            <v>HKT</v>
          </cell>
          <cell r="G1137" t="str">
            <v>WHL</v>
          </cell>
        </row>
        <row r="1138">
          <cell r="B1138" t="str">
            <v>Z18152</v>
          </cell>
          <cell r="C1138">
            <v>3</v>
          </cell>
          <cell r="D1138" t="str">
            <v>SHI</v>
          </cell>
          <cell r="E1138" t="str">
            <v>HPH18082463</v>
          </cell>
          <cell r="F1138" t="str">
            <v>KWS</v>
          </cell>
          <cell r="G1138" t="str">
            <v>SITC</v>
          </cell>
        </row>
        <row r="1139">
          <cell r="B1139" t="str">
            <v>Z18155</v>
          </cell>
          <cell r="C1139">
            <v>3</v>
          </cell>
          <cell r="D1139" t="str">
            <v>SHI</v>
          </cell>
          <cell r="E1139" t="str">
            <v>HPH18082463</v>
          </cell>
          <cell r="F1139" t="str">
            <v>KWS</v>
          </cell>
          <cell r="G1139" t="str">
            <v>SITC</v>
          </cell>
        </row>
        <row r="1140">
          <cell r="B1140" t="str">
            <v>Z18157</v>
          </cell>
          <cell r="C1140">
            <v>2</v>
          </cell>
          <cell r="D1140" t="str">
            <v>SHI</v>
          </cell>
          <cell r="E1140" t="str">
            <v>HPH18082471</v>
          </cell>
          <cell r="F1140" t="str">
            <v>HKT</v>
          </cell>
          <cell r="G1140" t="str">
            <v>SITC</v>
          </cell>
        </row>
        <row r="1141">
          <cell r="B1141" t="str">
            <v>V181265</v>
          </cell>
          <cell r="C1141">
            <v>3</v>
          </cell>
          <cell r="D1141" t="str">
            <v>SHI</v>
          </cell>
          <cell r="E1141" t="str">
            <v>HPH18082194</v>
          </cell>
          <cell r="F1141" t="str">
            <v>HKT</v>
          </cell>
          <cell r="G1141" t="str">
            <v>SITC</v>
          </cell>
        </row>
        <row r="1142">
          <cell r="B1142" t="str">
            <v>V181273</v>
          </cell>
          <cell r="C1142">
            <v>3</v>
          </cell>
          <cell r="D1142" t="str">
            <v>EXP</v>
          </cell>
          <cell r="E1142" t="str">
            <v>350BK8010024</v>
          </cell>
          <cell r="F1142" t="str">
            <v>TYO</v>
          </cell>
          <cell r="G1142" t="str">
            <v>TSL</v>
          </cell>
        </row>
        <row r="1143">
          <cell r="B1143" t="str">
            <v>V181274</v>
          </cell>
          <cell r="C1143">
            <v>2</v>
          </cell>
          <cell r="D1143" t="str">
            <v>EXP</v>
          </cell>
          <cell r="E1143" t="str">
            <v>HPH18082772</v>
          </cell>
          <cell r="F1143" t="str">
            <v>TYO</v>
          </cell>
          <cell r="G1143" t="str">
            <v>SITC</v>
          </cell>
        </row>
        <row r="1144">
          <cell r="B1144" t="str">
            <v>V181275</v>
          </cell>
          <cell r="C1144">
            <v>4</v>
          </cell>
          <cell r="D1144" t="str">
            <v>DEL</v>
          </cell>
          <cell r="E1144" t="str">
            <v xml:space="preserve">1008X04647 </v>
          </cell>
          <cell r="F1144" t="str">
            <v>TYO</v>
          </cell>
          <cell r="G1144" t="str">
            <v>WHL</v>
          </cell>
        </row>
        <row r="1145">
          <cell r="B1145" t="str">
            <v>V181276</v>
          </cell>
          <cell r="C1145">
            <v>8</v>
          </cell>
          <cell r="D1145" t="str">
            <v>SHI</v>
          </cell>
          <cell r="E1145" t="str">
            <v xml:space="preserve">1008X04646 </v>
          </cell>
          <cell r="F1145" t="str">
            <v>OSK</v>
          </cell>
          <cell r="G1145" t="str">
            <v>WHL</v>
          </cell>
        </row>
        <row r="1146">
          <cell r="B1146" t="str">
            <v>V181277</v>
          </cell>
          <cell r="C1146">
            <v>10</v>
          </cell>
          <cell r="D1146" t="str">
            <v>KWE</v>
          </cell>
          <cell r="E1146" t="str">
            <v>HPH18082192</v>
          </cell>
          <cell r="F1146" t="str">
            <v>KWS</v>
          </cell>
          <cell r="G1146" t="str">
            <v>SITC</v>
          </cell>
        </row>
        <row r="1147">
          <cell r="B1147" t="str">
            <v>V181278</v>
          </cell>
          <cell r="C1147">
            <v>4</v>
          </cell>
          <cell r="D1147" t="str">
            <v>DEL</v>
          </cell>
          <cell r="E1147" t="str">
            <v xml:space="preserve">1008X04647 </v>
          </cell>
          <cell r="F1147" t="str">
            <v>TYO</v>
          </cell>
          <cell r="G1147" t="str">
            <v>WHL</v>
          </cell>
        </row>
        <row r="1148">
          <cell r="B1148" t="str">
            <v>V181279</v>
          </cell>
          <cell r="C1148">
            <v>5</v>
          </cell>
          <cell r="D1148" t="str">
            <v>NKV</v>
          </cell>
          <cell r="E1148" t="str">
            <v xml:space="preserve">1008X04794 </v>
          </cell>
          <cell r="F1148" t="str">
            <v>OSK</v>
          </cell>
          <cell r="G1148" t="str">
            <v>WHL</v>
          </cell>
        </row>
        <row r="1149">
          <cell r="B1149" t="str">
            <v>V181280</v>
          </cell>
          <cell r="C1149">
            <v>4</v>
          </cell>
          <cell r="D1149" t="str">
            <v>NIP</v>
          </cell>
          <cell r="E1149" t="str">
            <v>1008X04795</v>
          </cell>
          <cell r="F1149" t="str">
            <v>OSK</v>
          </cell>
          <cell r="G1149" t="str">
            <v>WHL</v>
          </cell>
        </row>
        <row r="1150">
          <cell r="B1150" t="str">
            <v>V181281</v>
          </cell>
          <cell r="C1150">
            <v>3</v>
          </cell>
          <cell r="D1150" t="str">
            <v>DEL</v>
          </cell>
          <cell r="E1150" t="str">
            <v xml:space="preserve">1008X04647 </v>
          </cell>
          <cell r="F1150" t="str">
            <v>TYO</v>
          </cell>
          <cell r="G1150" t="str">
            <v>WHL</v>
          </cell>
        </row>
        <row r="1151">
          <cell r="B1151" t="str">
            <v>V181282</v>
          </cell>
          <cell r="C1151">
            <v>7</v>
          </cell>
          <cell r="D1151" t="str">
            <v>CEVA</v>
          </cell>
          <cell r="E1151" t="str">
            <v xml:space="preserve">1008X04839 </v>
          </cell>
          <cell r="F1151" t="str">
            <v>OSK</v>
          </cell>
          <cell r="G1151" t="str">
            <v>WHL</v>
          </cell>
        </row>
        <row r="1152">
          <cell r="B1152" t="str">
            <v>V181283</v>
          </cell>
          <cell r="C1152">
            <v>3</v>
          </cell>
          <cell r="D1152" t="str">
            <v>CEVA</v>
          </cell>
          <cell r="E1152" t="str">
            <v>VN00395860</v>
          </cell>
          <cell r="F1152" t="str">
            <v>ISH</v>
          </cell>
          <cell r="G1152" t="str">
            <v>KMTC</v>
          </cell>
        </row>
        <row r="1153">
          <cell r="B1153" t="str">
            <v>V181284</v>
          </cell>
          <cell r="C1153">
            <v>7</v>
          </cell>
          <cell r="D1153" t="str">
            <v>KWE</v>
          </cell>
          <cell r="E1153" t="str">
            <v>HPH18082451</v>
          </cell>
          <cell r="F1153" t="str">
            <v>KWS</v>
          </cell>
          <cell r="G1153" t="str">
            <v>SITC</v>
          </cell>
        </row>
        <row r="1154">
          <cell r="B1154" t="str">
            <v>V181285</v>
          </cell>
          <cell r="C1154">
            <v>4</v>
          </cell>
          <cell r="D1154" t="str">
            <v>SHI</v>
          </cell>
          <cell r="E1154" t="str">
            <v xml:space="preserve">1008X04867 </v>
          </cell>
          <cell r="F1154" t="str">
            <v>OSK</v>
          </cell>
          <cell r="G1154" t="str">
            <v>WHL</v>
          </cell>
        </row>
        <row r="1155">
          <cell r="B1155" t="str">
            <v>V181286</v>
          </cell>
          <cell r="C1155">
            <v>3</v>
          </cell>
          <cell r="D1155" t="str">
            <v>DEL</v>
          </cell>
          <cell r="E1155" t="str">
            <v>350BK8010035</v>
          </cell>
          <cell r="F1155" t="str">
            <v>HKT</v>
          </cell>
          <cell r="G1155" t="str">
            <v>TSL</v>
          </cell>
        </row>
        <row r="1156">
          <cell r="B1156" t="str">
            <v>V181287</v>
          </cell>
          <cell r="C1156">
            <v>7</v>
          </cell>
          <cell r="D1156" t="str">
            <v>KWE</v>
          </cell>
          <cell r="E1156" t="str">
            <v>HPH18082455</v>
          </cell>
          <cell r="F1156" t="str">
            <v>KWS</v>
          </cell>
          <cell r="G1156" t="str">
            <v>SITC</v>
          </cell>
        </row>
        <row r="1157">
          <cell r="B1157" t="str">
            <v>V181288</v>
          </cell>
          <cell r="C1157">
            <v>5</v>
          </cell>
          <cell r="D1157" t="str">
            <v>SHI</v>
          </cell>
          <cell r="E1157" t="str">
            <v>350BK8010026</v>
          </cell>
          <cell r="F1157" t="str">
            <v>OSK</v>
          </cell>
          <cell r="G1157" t="str">
            <v>TSL</v>
          </cell>
        </row>
        <row r="1158">
          <cell r="B1158" t="str">
            <v>V181289</v>
          </cell>
          <cell r="C1158">
            <v>4</v>
          </cell>
          <cell r="D1158" t="str">
            <v>EXP</v>
          </cell>
          <cell r="E1158" t="str">
            <v>350BK8010025</v>
          </cell>
          <cell r="F1158" t="str">
            <v>TYO</v>
          </cell>
          <cell r="G1158" t="str">
            <v>TSL</v>
          </cell>
        </row>
        <row r="1159">
          <cell r="B1159" t="str">
            <v>V181290</v>
          </cell>
          <cell r="C1159">
            <v>1</v>
          </cell>
          <cell r="D1159" t="str">
            <v>CEVA</v>
          </cell>
          <cell r="E1159">
            <v>237800271001</v>
          </cell>
          <cell r="F1159" t="str">
            <v>TYO</v>
          </cell>
          <cell r="G1159" t="str">
            <v>EGLV</v>
          </cell>
        </row>
        <row r="1160">
          <cell r="B1160" t="str">
            <v>V181291</v>
          </cell>
          <cell r="C1160">
            <v>6</v>
          </cell>
          <cell r="D1160" t="str">
            <v>NKV</v>
          </cell>
          <cell r="E1160" t="str">
            <v>HPH18082456</v>
          </cell>
          <cell r="F1160" t="str">
            <v>KWS</v>
          </cell>
          <cell r="G1160" t="str">
            <v>SITC</v>
          </cell>
        </row>
        <row r="1161">
          <cell r="B1161" t="str">
            <v>V181292</v>
          </cell>
          <cell r="C1161">
            <v>6</v>
          </cell>
          <cell r="D1161" t="str">
            <v>NIP</v>
          </cell>
          <cell r="E1161" t="str">
            <v xml:space="preserve">1008X04866 </v>
          </cell>
          <cell r="F1161" t="str">
            <v>OSK</v>
          </cell>
          <cell r="G1161" t="str">
            <v>WHL</v>
          </cell>
        </row>
        <row r="1162">
          <cell r="B1162" t="str">
            <v>V181293</v>
          </cell>
          <cell r="C1162">
            <v>3</v>
          </cell>
          <cell r="D1162" t="str">
            <v>CEVA</v>
          </cell>
          <cell r="E1162" t="str">
            <v>VN00395866</v>
          </cell>
          <cell r="F1162" t="str">
            <v>ISH</v>
          </cell>
          <cell r="G1162" t="str">
            <v>KMTC</v>
          </cell>
        </row>
        <row r="1163">
          <cell r="B1163" t="str">
            <v>V181294</v>
          </cell>
          <cell r="C1163">
            <v>1</v>
          </cell>
          <cell r="D1163" t="str">
            <v>EXP</v>
          </cell>
          <cell r="E1163">
            <v>237800270993</v>
          </cell>
          <cell r="F1163" t="str">
            <v>TYO</v>
          </cell>
          <cell r="G1163" t="str">
            <v>EGLV</v>
          </cell>
        </row>
        <row r="1164">
          <cell r="B1164" t="str">
            <v>V181295</v>
          </cell>
          <cell r="C1164">
            <v>5</v>
          </cell>
          <cell r="D1164" t="str">
            <v>NKV</v>
          </cell>
          <cell r="E1164" t="str">
            <v>HPH18082456</v>
          </cell>
          <cell r="F1164" t="str">
            <v>KWS</v>
          </cell>
          <cell r="G1164" t="str">
            <v>SITC</v>
          </cell>
        </row>
        <row r="1165">
          <cell r="B1165" t="str">
            <v>V181296</v>
          </cell>
          <cell r="C1165">
            <v>5</v>
          </cell>
          <cell r="D1165" t="str">
            <v>KWE</v>
          </cell>
          <cell r="E1165" t="str">
            <v>350BK8010027</v>
          </cell>
          <cell r="F1165" t="str">
            <v>OSK</v>
          </cell>
          <cell r="G1165" t="str">
            <v>TSL</v>
          </cell>
        </row>
        <row r="1166">
          <cell r="B1166" t="str">
            <v>V181297</v>
          </cell>
          <cell r="C1166">
            <v>11</v>
          </cell>
          <cell r="D1166" t="str">
            <v>SHI</v>
          </cell>
          <cell r="E1166" t="str">
            <v xml:space="preserve">1008X04868 </v>
          </cell>
          <cell r="F1166" t="str">
            <v>HKT</v>
          </cell>
          <cell r="G1166" t="str">
            <v>WHL</v>
          </cell>
        </row>
        <row r="1167">
          <cell r="B1167" t="str">
            <v>V181298</v>
          </cell>
          <cell r="C1167">
            <v>4</v>
          </cell>
          <cell r="D1167" t="str">
            <v>SHI</v>
          </cell>
          <cell r="E1167" t="str">
            <v>HPH18082459</v>
          </cell>
          <cell r="F1167" t="str">
            <v>TYO</v>
          </cell>
          <cell r="G1167" t="str">
            <v>SITC</v>
          </cell>
        </row>
        <row r="1168">
          <cell r="B1168" t="str">
            <v>V181299</v>
          </cell>
          <cell r="C1168">
            <v>3</v>
          </cell>
          <cell r="D1168" t="str">
            <v>NKV</v>
          </cell>
          <cell r="E1168" t="str">
            <v>HPH18082458</v>
          </cell>
          <cell r="F1168" t="str">
            <v>KWS</v>
          </cell>
          <cell r="G1168" t="str">
            <v>SITC</v>
          </cell>
        </row>
        <row r="1169">
          <cell r="B1169" t="str">
            <v>V181300</v>
          </cell>
          <cell r="C1169">
            <v>8</v>
          </cell>
          <cell r="D1169" t="str">
            <v>NIP</v>
          </cell>
          <cell r="E1169" t="str">
            <v>HPH18082460</v>
          </cell>
          <cell r="F1169" t="str">
            <v>OSK</v>
          </cell>
          <cell r="G1169" t="str">
            <v>SITC</v>
          </cell>
        </row>
        <row r="1170">
          <cell r="B1170" t="str">
            <v>V181262</v>
          </cell>
          <cell r="C1170">
            <v>5</v>
          </cell>
          <cell r="D1170" t="str">
            <v>VIMA</v>
          </cell>
          <cell r="E1170" t="str">
            <v>HPH18082190</v>
          </cell>
          <cell r="F1170" t="str">
            <v>TYO</v>
          </cell>
          <cell r="G1170" t="str">
            <v>SITC</v>
          </cell>
        </row>
        <row r="1171">
          <cell r="B1171" t="str">
            <v>V181302</v>
          </cell>
          <cell r="C1171">
            <v>5</v>
          </cell>
          <cell r="D1171" t="str">
            <v>NKV</v>
          </cell>
          <cell r="E1171" t="str">
            <v xml:space="preserve">1008X05014 </v>
          </cell>
          <cell r="F1171" t="str">
            <v>HKT</v>
          </cell>
          <cell r="G1171" t="str">
            <v>WHL</v>
          </cell>
        </row>
        <row r="1172">
          <cell r="B1172" t="str">
            <v>V181303</v>
          </cell>
          <cell r="C1172">
            <v>2</v>
          </cell>
          <cell r="D1172" t="str">
            <v>CEVA</v>
          </cell>
          <cell r="E1172">
            <v>237800271001</v>
          </cell>
          <cell r="F1172" t="str">
            <v>TYO</v>
          </cell>
          <cell r="G1172" t="str">
            <v>EGLV</v>
          </cell>
        </row>
        <row r="1173">
          <cell r="B1173" t="str">
            <v>V181304</v>
          </cell>
          <cell r="C1173">
            <v>3</v>
          </cell>
          <cell r="D1173" t="str">
            <v>NKV</v>
          </cell>
          <cell r="E1173" t="str">
            <v>HPH18082890</v>
          </cell>
          <cell r="F1173" t="str">
            <v>HKT</v>
          </cell>
          <cell r="G1173" t="str">
            <v>SITC</v>
          </cell>
        </row>
        <row r="1174">
          <cell r="B1174" t="str">
            <v>V181305</v>
          </cell>
          <cell r="C1174">
            <v>7</v>
          </cell>
          <cell r="D1174" t="str">
            <v>NKV</v>
          </cell>
          <cell r="E1174" t="str">
            <v>HPH18082458</v>
          </cell>
          <cell r="F1174" t="str">
            <v>KWS</v>
          </cell>
          <cell r="G1174" t="str">
            <v>SITC</v>
          </cell>
        </row>
        <row r="1175">
          <cell r="B1175" t="str">
            <v>V181306</v>
          </cell>
          <cell r="C1175">
            <v>8</v>
          </cell>
          <cell r="D1175" t="str">
            <v>NIP</v>
          </cell>
          <cell r="E1175" t="str">
            <v>HPH18082896</v>
          </cell>
          <cell r="F1175" t="str">
            <v>OSK</v>
          </cell>
          <cell r="G1175" t="str">
            <v>SITC</v>
          </cell>
        </row>
        <row r="1176">
          <cell r="B1176" t="str">
            <v>V181307</v>
          </cell>
          <cell r="C1176">
            <v>5</v>
          </cell>
          <cell r="D1176" t="str">
            <v>NIP</v>
          </cell>
          <cell r="E1176" t="str">
            <v>HPH18082893</v>
          </cell>
          <cell r="F1176" t="str">
            <v>HKT</v>
          </cell>
          <cell r="G1176" t="str">
            <v>SITC</v>
          </cell>
        </row>
        <row r="1177">
          <cell r="B1177" t="str">
            <v>V181308</v>
          </cell>
          <cell r="C1177">
            <v>3</v>
          </cell>
          <cell r="D1177" t="str">
            <v>SHI</v>
          </cell>
          <cell r="E1177" t="str">
            <v>350BK8010548</v>
          </cell>
          <cell r="F1177" t="str">
            <v>TYO</v>
          </cell>
          <cell r="G1177" t="str">
            <v>TSL</v>
          </cell>
        </row>
        <row r="1178">
          <cell r="B1178" t="str">
            <v>V181309</v>
          </cell>
          <cell r="C1178">
            <v>16</v>
          </cell>
          <cell r="D1178" t="str">
            <v>NKV</v>
          </cell>
          <cell r="E1178" t="str">
            <v>HPH18082895</v>
          </cell>
          <cell r="F1178" t="str">
            <v>KWS</v>
          </cell>
          <cell r="G1178" t="str">
            <v>SITC</v>
          </cell>
        </row>
        <row r="1179">
          <cell r="B1179" t="str">
            <v>V181310</v>
          </cell>
          <cell r="C1179">
            <v>9</v>
          </cell>
          <cell r="D1179" t="str">
            <v>NIP</v>
          </cell>
          <cell r="E1179" t="str">
            <v>HPH18082892</v>
          </cell>
          <cell r="F1179" t="str">
            <v>OSK</v>
          </cell>
          <cell r="G1179" t="str">
            <v>SITC</v>
          </cell>
        </row>
        <row r="1180">
          <cell r="B1180" t="str">
            <v>V181311</v>
          </cell>
          <cell r="C1180">
            <v>7</v>
          </cell>
          <cell r="D1180" t="str">
            <v>DEL</v>
          </cell>
          <cell r="E1180" t="str">
            <v xml:space="preserve">1008X04882 </v>
          </cell>
          <cell r="F1180" t="str">
            <v>TYO</v>
          </cell>
          <cell r="G1180" t="str">
            <v>WHL</v>
          </cell>
        </row>
        <row r="1181">
          <cell r="B1181" t="str">
            <v>V181312</v>
          </cell>
          <cell r="C1181">
            <v>6</v>
          </cell>
          <cell r="D1181" t="str">
            <v>SHI</v>
          </cell>
          <cell r="E1181" t="str">
            <v xml:space="preserve">1008X04870 </v>
          </cell>
          <cell r="F1181" t="str">
            <v>OSK</v>
          </cell>
          <cell r="G1181" t="str">
            <v>WHL</v>
          </cell>
        </row>
        <row r="1182">
          <cell r="B1182" t="str">
            <v>V181313</v>
          </cell>
          <cell r="C1182">
            <v>3</v>
          </cell>
          <cell r="D1182" t="str">
            <v>NIP</v>
          </cell>
          <cell r="E1182" t="str">
            <v>HPH18082461</v>
          </cell>
          <cell r="F1182" t="str">
            <v>KWS</v>
          </cell>
          <cell r="G1182" t="str">
            <v>SITC</v>
          </cell>
        </row>
        <row r="1183">
          <cell r="B1183" t="str">
            <v>V181314</v>
          </cell>
          <cell r="C1183">
            <v>3</v>
          </cell>
          <cell r="D1183" t="str">
            <v>NIP</v>
          </cell>
          <cell r="E1183" t="str">
            <v xml:space="preserve">1008X04871 </v>
          </cell>
          <cell r="F1183" t="str">
            <v>HKT</v>
          </cell>
          <cell r="G1183" t="str">
            <v>WHL</v>
          </cell>
        </row>
        <row r="1184">
          <cell r="B1184" t="str">
            <v>V181315</v>
          </cell>
          <cell r="C1184">
            <v>6</v>
          </cell>
          <cell r="D1184" t="str">
            <v>NIP</v>
          </cell>
          <cell r="E1184" t="str">
            <v>HPH18082462</v>
          </cell>
          <cell r="F1184" t="str">
            <v>KWS</v>
          </cell>
          <cell r="G1184" t="str">
            <v>SITC</v>
          </cell>
        </row>
        <row r="1185">
          <cell r="B1185" t="str">
            <v>V181316</v>
          </cell>
          <cell r="C1185">
            <v>3</v>
          </cell>
          <cell r="D1185" t="str">
            <v>SHI</v>
          </cell>
          <cell r="E1185" t="str">
            <v xml:space="preserve">1008X04872 </v>
          </cell>
          <cell r="F1185" t="str">
            <v>OSK</v>
          </cell>
          <cell r="G1185" t="str">
            <v>WHL</v>
          </cell>
        </row>
        <row r="1186">
          <cell r="B1186" t="str">
            <v>V181317</v>
          </cell>
          <cell r="C1186">
            <v>5</v>
          </cell>
          <cell r="D1186" t="str">
            <v>KWE</v>
          </cell>
          <cell r="E1186" t="str">
            <v xml:space="preserve">1008X05065 </v>
          </cell>
          <cell r="F1186" t="str">
            <v>OSK</v>
          </cell>
          <cell r="G1186" t="str">
            <v>WHL</v>
          </cell>
        </row>
        <row r="1187">
          <cell r="B1187" t="str">
            <v>V181318</v>
          </cell>
          <cell r="C1187">
            <v>5</v>
          </cell>
          <cell r="D1187" t="str">
            <v>DEL</v>
          </cell>
          <cell r="E1187" t="str">
            <v xml:space="preserve">1008X05074 </v>
          </cell>
          <cell r="F1187" t="str">
            <v>TYO</v>
          </cell>
          <cell r="G1187" t="str">
            <v>WHL</v>
          </cell>
        </row>
        <row r="1188">
          <cell r="B1188" t="str">
            <v>V181319</v>
          </cell>
          <cell r="C1188">
            <v>1</v>
          </cell>
          <cell r="D1188" t="str">
            <v>CEVA</v>
          </cell>
          <cell r="E1188" t="str">
            <v>350BK8010474</v>
          </cell>
          <cell r="F1188" t="str">
            <v>TAOYUAN</v>
          </cell>
          <cell r="G1188" t="str">
            <v>TSL</v>
          </cell>
        </row>
        <row r="1189">
          <cell r="B1189" t="str">
            <v>V181320</v>
          </cell>
          <cell r="C1189">
            <v>1</v>
          </cell>
          <cell r="D1189" t="str">
            <v>SHI</v>
          </cell>
          <cell r="E1189" t="str">
            <v>350BK8010473</v>
          </cell>
          <cell r="F1189" t="str">
            <v>TAOYUAN</v>
          </cell>
          <cell r="G1189" t="str">
            <v>TSL</v>
          </cell>
        </row>
        <row r="1190">
          <cell r="B1190" t="str">
            <v>V181321</v>
          </cell>
          <cell r="C1190">
            <v>4</v>
          </cell>
          <cell r="D1190" t="str">
            <v>CEVA</v>
          </cell>
          <cell r="E1190" t="str">
            <v>VN00395866</v>
          </cell>
          <cell r="F1190" t="str">
            <v>ISH</v>
          </cell>
          <cell r="G1190" t="str">
            <v>KMTC</v>
          </cell>
        </row>
        <row r="1191">
          <cell r="B1191" t="str">
            <v>V181322</v>
          </cell>
          <cell r="C1191">
            <v>2</v>
          </cell>
          <cell r="D1191" t="str">
            <v>SHI</v>
          </cell>
          <cell r="E1191" t="str">
            <v>HPH18082907</v>
          </cell>
          <cell r="F1191" t="str">
            <v>TYO</v>
          </cell>
          <cell r="G1191" t="str">
            <v>SITC</v>
          </cell>
        </row>
        <row r="1192">
          <cell r="B1192" t="str">
            <v>V181323</v>
          </cell>
          <cell r="C1192">
            <v>6</v>
          </cell>
          <cell r="D1192" t="str">
            <v>SHI</v>
          </cell>
          <cell r="E1192" t="str">
            <v xml:space="preserve">1008X05092 </v>
          </cell>
          <cell r="F1192" t="str">
            <v>OSK</v>
          </cell>
          <cell r="G1192" t="str">
            <v>WHL</v>
          </cell>
        </row>
        <row r="1193">
          <cell r="B1193" t="str">
            <v>V181324</v>
          </cell>
          <cell r="C1193">
            <v>6</v>
          </cell>
          <cell r="D1193" t="str">
            <v>KWE</v>
          </cell>
          <cell r="E1193" t="str">
            <v>HPH18082898</v>
          </cell>
          <cell r="F1193" t="str">
            <v>KWS</v>
          </cell>
          <cell r="G1193" t="str">
            <v>SITC</v>
          </cell>
        </row>
        <row r="1194">
          <cell r="B1194" t="str">
            <v>V181325</v>
          </cell>
          <cell r="C1194">
            <v>10</v>
          </cell>
          <cell r="D1194" t="str">
            <v>CEVA</v>
          </cell>
          <cell r="E1194" t="str">
            <v>350BK8010471</v>
          </cell>
          <cell r="F1194" t="str">
            <v>OSK</v>
          </cell>
          <cell r="G1194" t="str">
            <v>TSL</v>
          </cell>
        </row>
        <row r="1195">
          <cell r="B1195" t="str">
            <v>V181326</v>
          </cell>
          <cell r="C1195">
            <v>3</v>
          </cell>
          <cell r="D1195" t="str">
            <v>SHI</v>
          </cell>
          <cell r="E1195" t="str">
            <v>VN00395923</v>
          </cell>
          <cell r="F1195" t="str">
            <v>ISH</v>
          </cell>
          <cell r="G1195" t="str">
            <v>KMTC</v>
          </cell>
        </row>
        <row r="1196">
          <cell r="B1196" t="str">
            <v>V181327</v>
          </cell>
          <cell r="C1196">
            <v>2</v>
          </cell>
          <cell r="D1196" t="str">
            <v>DEL</v>
          </cell>
          <cell r="E1196" t="str">
            <v xml:space="preserve">1008X05090 </v>
          </cell>
          <cell r="F1196" t="str">
            <v>TYO</v>
          </cell>
          <cell r="G1196" t="str">
            <v>WHL</v>
          </cell>
        </row>
        <row r="1197">
          <cell r="B1197" t="str">
            <v>V181328</v>
          </cell>
          <cell r="C1197">
            <v>1</v>
          </cell>
          <cell r="D1197" t="str">
            <v>CEVA</v>
          </cell>
          <cell r="E1197" t="str">
            <v>HPH18082899</v>
          </cell>
          <cell r="F1197" t="str">
            <v>TYO</v>
          </cell>
          <cell r="G1197" t="str">
            <v>SITC</v>
          </cell>
        </row>
        <row r="1198">
          <cell r="B1198" t="str">
            <v>V181329</v>
          </cell>
          <cell r="C1198">
            <v>1</v>
          </cell>
          <cell r="D1198" t="str">
            <v>CEVA</v>
          </cell>
          <cell r="E1198" t="str">
            <v xml:space="preserve">1008X05089 </v>
          </cell>
          <cell r="F1198" t="str">
            <v>TYO</v>
          </cell>
          <cell r="G1198" t="str">
            <v>WHL</v>
          </cell>
        </row>
        <row r="1199">
          <cell r="B1199" t="str">
            <v>V181330</v>
          </cell>
          <cell r="C1199">
            <v>2</v>
          </cell>
          <cell r="D1199" t="str">
            <v>NKV</v>
          </cell>
          <cell r="E1199" t="str">
            <v>HPH18082900</v>
          </cell>
          <cell r="F1199" t="str">
            <v>KWS</v>
          </cell>
          <cell r="G1199" t="str">
            <v>SITC</v>
          </cell>
        </row>
        <row r="1200">
          <cell r="B1200" t="str">
            <v>V181331</v>
          </cell>
          <cell r="C1200">
            <v>5</v>
          </cell>
          <cell r="D1200" t="str">
            <v>NIP</v>
          </cell>
          <cell r="E1200" t="str">
            <v xml:space="preserve">1008X05088 </v>
          </cell>
          <cell r="F1200" t="str">
            <v>OSK</v>
          </cell>
          <cell r="G1200" t="str">
            <v>WHL</v>
          </cell>
        </row>
        <row r="1201">
          <cell r="B1201" t="str">
            <v>V181332</v>
          </cell>
          <cell r="C1201">
            <v>3</v>
          </cell>
          <cell r="D1201" t="str">
            <v>EXP</v>
          </cell>
          <cell r="E1201" t="str">
            <v>350BK8010468</v>
          </cell>
          <cell r="F1201" t="str">
            <v>TYO</v>
          </cell>
          <cell r="G1201" t="str">
            <v>TSL</v>
          </cell>
        </row>
        <row r="1202">
          <cell r="B1202" t="str">
            <v>V181333</v>
          </cell>
          <cell r="C1202">
            <v>1</v>
          </cell>
          <cell r="D1202" t="str">
            <v>NKV</v>
          </cell>
          <cell r="E1202" t="str">
            <v>HPH18082901</v>
          </cell>
          <cell r="F1202" t="str">
            <v>TYO</v>
          </cell>
          <cell r="G1202" t="str">
            <v>SITC</v>
          </cell>
        </row>
        <row r="1203">
          <cell r="B1203" t="str">
            <v>V181334</v>
          </cell>
          <cell r="C1203">
            <v>2</v>
          </cell>
          <cell r="D1203" t="str">
            <v>SHI</v>
          </cell>
          <cell r="E1203" t="str">
            <v>HPH18082902</v>
          </cell>
          <cell r="F1203" t="str">
            <v>TYO</v>
          </cell>
          <cell r="G1203" t="str">
            <v>SITC</v>
          </cell>
        </row>
        <row r="1204">
          <cell r="B1204" t="str">
            <v>V181335</v>
          </cell>
          <cell r="C1204">
            <v>7</v>
          </cell>
          <cell r="D1204" t="str">
            <v>KWE</v>
          </cell>
          <cell r="E1204" t="str">
            <v>HPH18082903</v>
          </cell>
          <cell r="F1204" t="str">
            <v>KWS</v>
          </cell>
          <cell r="G1204" t="str">
            <v>SITC</v>
          </cell>
        </row>
        <row r="1205">
          <cell r="B1205" t="str">
            <v>V181336</v>
          </cell>
          <cell r="C1205">
            <v>10</v>
          </cell>
          <cell r="D1205" t="str">
            <v>NIP</v>
          </cell>
          <cell r="E1205" t="str">
            <v xml:space="preserve">1008X05087 </v>
          </cell>
          <cell r="F1205" t="str">
            <v>OSK</v>
          </cell>
          <cell r="G1205" t="str">
            <v>WHL</v>
          </cell>
        </row>
        <row r="1206">
          <cell r="B1206" t="str">
            <v>V181337</v>
          </cell>
          <cell r="C1206">
            <v>3</v>
          </cell>
          <cell r="D1206" t="str">
            <v>SHI</v>
          </cell>
          <cell r="E1206" t="str">
            <v>HPH18082904</v>
          </cell>
          <cell r="F1206" t="str">
            <v>HKT</v>
          </cell>
          <cell r="G1206" t="str">
            <v>SITC</v>
          </cell>
        </row>
        <row r="1207">
          <cell r="B1207" t="str">
            <v>V181338</v>
          </cell>
          <cell r="C1207">
            <v>3</v>
          </cell>
          <cell r="D1207" t="str">
            <v>SHI</v>
          </cell>
          <cell r="E1207" t="str">
            <v>HPH18082928</v>
          </cell>
          <cell r="F1207" t="str">
            <v>HKT</v>
          </cell>
          <cell r="G1207" t="str">
            <v>SITC</v>
          </cell>
        </row>
        <row r="1208">
          <cell r="B1208" t="str">
            <v>V181339</v>
          </cell>
          <cell r="C1208">
            <v>3</v>
          </cell>
          <cell r="D1208" t="str">
            <v>EXP</v>
          </cell>
          <cell r="E1208" t="str">
            <v>350BK8010469</v>
          </cell>
          <cell r="F1208" t="str">
            <v>TYO</v>
          </cell>
          <cell r="G1208" t="str">
            <v>TSL</v>
          </cell>
        </row>
        <row r="1209">
          <cell r="B1209" t="str">
            <v>V181340</v>
          </cell>
          <cell r="C1209">
            <v>8</v>
          </cell>
          <cell r="D1209" t="str">
            <v>KWE</v>
          </cell>
          <cell r="E1209" t="str">
            <v>HPH18082891</v>
          </cell>
          <cell r="F1209" t="str">
            <v>KWS</v>
          </cell>
          <cell r="G1209" t="str">
            <v>SITC</v>
          </cell>
        </row>
        <row r="1210">
          <cell r="B1210" t="str">
            <v>V181341</v>
          </cell>
          <cell r="C1210">
            <v>1</v>
          </cell>
          <cell r="D1210" t="str">
            <v>CEVA</v>
          </cell>
          <cell r="E1210" t="str">
            <v>SNLTSD-140818-05</v>
          </cell>
          <cell r="F1210" t="str">
            <v>SHA</v>
          </cell>
          <cell r="G1210" t="str">
            <v>SNL</v>
          </cell>
        </row>
        <row r="1211">
          <cell r="B1211" t="str">
            <v>V181342</v>
          </cell>
          <cell r="C1211">
            <v>6</v>
          </cell>
          <cell r="D1211" t="str">
            <v>NKV</v>
          </cell>
          <cell r="E1211" t="str">
            <v>HPH18082900</v>
          </cell>
          <cell r="F1211" t="str">
            <v>KWS</v>
          </cell>
          <cell r="G1211" t="str">
            <v>SITC</v>
          </cell>
        </row>
        <row r="1212">
          <cell r="B1212" t="str">
            <v>V181343</v>
          </cell>
          <cell r="C1212">
            <v>4</v>
          </cell>
          <cell r="D1212" t="str">
            <v>KWE</v>
          </cell>
          <cell r="E1212" t="str">
            <v>HPH18082903</v>
          </cell>
          <cell r="F1212" t="str">
            <v>KWS</v>
          </cell>
          <cell r="G1212" t="str">
            <v>SITC</v>
          </cell>
        </row>
        <row r="1213">
          <cell r="B1213" t="str">
            <v>V181344</v>
          </cell>
          <cell r="C1213">
            <v>2</v>
          </cell>
          <cell r="D1213" t="str">
            <v>NIP</v>
          </cell>
          <cell r="E1213" t="str">
            <v xml:space="preserve">1008X05087 </v>
          </cell>
          <cell r="F1213" t="str">
            <v>OSK</v>
          </cell>
          <cell r="G1213" t="str">
            <v>WHL</v>
          </cell>
        </row>
        <row r="1214">
          <cell r="B1214" t="str">
            <v>V181345</v>
          </cell>
          <cell r="C1214">
            <v>1</v>
          </cell>
          <cell r="D1214" t="str">
            <v>NKV</v>
          </cell>
          <cell r="E1214" t="str">
            <v>HPH18082901</v>
          </cell>
          <cell r="F1214" t="str">
            <v>TYO</v>
          </cell>
          <cell r="G1214" t="str">
            <v>SITC</v>
          </cell>
        </row>
        <row r="1215">
          <cell r="B1215" t="str">
            <v>V181346</v>
          </cell>
          <cell r="C1215">
            <v>1</v>
          </cell>
          <cell r="D1215" t="str">
            <v>SHI</v>
          </cell>
          <cell r="E1215" t="str">
            <v xml:space="preserve">1008X05327 </v>
          </cell>
          <cell r="F1215" t="str">
            <v>TYO</v>
          </cell>
          <cell r="G1215" t="str">
            <v>WHL</v>
          </cell>
        </row>
        <row r="1216">
          <cell r="B1216" t="str">
            <v>V181347</v>
          </cell>
          <cell r="C1216">
            <v>3</v>
          </cell>
          <cell r="D1216" t="str">
            <v>KWE</v>
          </cell>
          <cell r="E1216" t="str">
            <v>HPH18082903</v>
          </cell>
          <cell r="F1216" t="str">
            <v>KWS</v>
          </cell>
          <cell r="G1216" t="str">
            <v>SITC</v>
          </cell>
        </row>
        <row r="1217">
          <cell r="B1217" t="str">
            <v>V181348</v>
          </cell>
          <cell r="C1217">
            <v>7</v>
          </cell>
          <cell r="D1217" t="str">
            <v>NIP</v>
          </cell>
          <cell r="E1217" t="str">
            <v>HPH18093263</v>
          </cell>
          <cell r="F1217" t="str">
            <v>OSK</v>
          </cell>
          <cell r="G1217" t="str">
            <v>SITC</v>
          </cell>
        </row>
        <row r="1218">
          <cell r="B1218" t="str">
            <v>V181349</v>
          </cell>
          <cell r="C1218">
            <v>2</v>
          </cell>
          <cell r="D1218" t="str">
            <v>SHI</v>
          </cell>
          <cell r="E1218" t="str">
            <v>HPH18082904</v>
          </cell>
          <cell r="F1218" t="str">
            <v>HKT</v>
          </cell>
          <cell r="G1218" t="str">
            <v>SITC</v>
          </cell>
        </row>
        <row r="1219">
          <cell r="B1219" t="str">
            <v>V181350</v>
          </cell>
          <cell r="C1219">
            <v>8</v>
          </cell>
          <cell r="D1219" t="str">
            <v>VIMA</v>
          </cell>
          <cell r="E1219" t="str">
            <v>HPH18093262</v>
          </cell>
          <cell r="F1219" t="str">
            <v>KWS</v>
          </cell>
          <cell r="G1219" t="str">
            <v>SITC</v>
          </cell>
        </row>
        <row r="1220">
          <cell r="B1220" t="str">
            <v>V181351</v>
          </cell>
          <cell r="C1220">
            <v>9</v>
          </cell>
          <cell r="D1220" t="str">
            <v>NIP</v>
          </cell>
          <cell r="E1220" t="str">
            <v>HPH18093264</v>
          </cell>
          <cell r="F1220" t="str">
            <v>OSK</v>
          </cell>
          <cell r="G1220" t="str">
            <v>SITC</v>
          </cell>
        </row>
        <row r="1221">
          <cell r="B1221" t="str">
            <v>V181352</v>
          </cell>
          <cell r="C1221">
            <v>3</v>
          </cell>
          <cell r="D1221" t="str">
            <v>CEVA</v>
          </cell>
          <cell r="E1221" t="str">
            <v>VN00395924</v>
          </cell>
          <cell r="F1221" t="str">
            <v>ISH</v>
          </cell>
          <cell r="G1221" t="str">
            <v>KMTC</v>
          </cell>
        </row>
        <row r="1222">
          <cell r="B1222" t="str">
            <v>V181353</v>
          </cell>
          <cell r="C1222">
            <v>6</v>
          </cell>
          <cell r="D1222" t="str">
            <v>EXP</v>
          </cell>
          <cell r="E1222" t="str">
            <v>350BK8010721</v>
          </cell>
          <cell r="F1222" t="str">
            <v>TYO</v>
          </cell>
          <cell r="G1222" t="str">
            <v>TSL</v>
          </cell>
        </row>
        <row r="1223">
          <cell r="B1223" t="str">
            <v>V181354</v>
          </cell>
          <cell r="C1223">
            <v>2</v>
          </cell>
          <cell r="D1223" t="str">
            <v>VIMA</v>
          </cell>
          <cell r="E1223" t="str">
            <v>HPH18093265</v>
          </cell>
          <cell r="F1223" t="str">
            <v>TYO</v>
          </cell>
          <cell r="G1223" t="str">
            <v>SITC</v>
          </cell>
        </row>
        <row r="1224">
          <cell r="B1224" t="str">
            <v>V181355</v>
          </cell>
          <cell r="C1224">
            <v>8</v>
          </cell>
          <cell r="D1224" t="str">
            <v>NKV</v>
          </cell>
          <cell r="E1224" t="str">
            <v xml:space="preserve">1008X05152 </v>
          </cell>
          <cell r="F1224" t="str">
            <v>TYO</v>
          </cell>
          <cell r="G1224" t="str">
            <v>WHL</v>
          </cell>
        </row>
        <row r="1225">
          <cell r="B1225" t="str">
            <v>V181356</v>
          </cell>
          <cell r="C1225">
            <v>3</v>
          </cell>
          <cell r="D1225" t="str">
            <v>SHI</v>
          </cell>
          <cell r="E1225" t="str">
            <v>HPH18082919</v>
          </cell>
          <cell r="F1225" t="str">
            <v>KWS</v>
          </cell>
          <cell r="G1225" t="str">
            <v>SITC</v>
          </cell>
        </row>
        <row r="1226">
          <cell r="B1226" t="str">
            <v>V181357</v>
          </cell>
          <cell r="C1226">
            <v>5</v>
          </cell>
          <cell r="D1226" t="str">
            <v>NIP</v>
          </cell>
          <cell r="E1226" t="str">
            <v xml:space="preserve">1008X05153 </v>
          </cell>
          <cell r="F1226" t="str">
            <v>OSK</v>
          </cell>
          <cell r="G1226" t="str">
            <v>WHL</v>
          </cell>
        </row>
        <row r="1227">
          <cell r="B1227" t="str">
            <v>V181358</v>
          </cell>
          <cell r="C1227">
            <v>8</v>
          </cell>
          <cell r="D1227" t="str">
            <v>NKV</v>
          </cell>
          <cell r="E1227" t="str">
            <v>HPH18093081</v>
          </cell>
          <cell r="F1227" t="str">
            <v>TYO</v>
          </cell>
          <cell r="G1227" t="str">
            <v>SITC</v>
          </cell>
        </row>
        <row r="1228">
          <cell r="B1228" t="str">
            <v>V181359</v>
          </cell>
          <cell r="C1228">
            <v>7</v>
          </cell>
          <cell r="D1228" t="str">
            <v>NIP</v>
          </cell>
          <cell r="E1228" t="str">
            <v xml:space="preserve">1008X05153 </v>
          </cell>
          <cell r="F1228" t="str">
            <v>OSK</v>
          </cell>
          <cell r="G1228" t="str">
            <v>WHL</v>
          </cell>
        </row>
        <row r="1229">
          <cell r="B1229" t="str">
            <v>V181360</v>
          </cell>
          <cell r="C1229">
            <v>9</v>
          </cell>
          <cell r="D1229" t="str">
            <v>KWE</v>
          </cell>
          <cell r="E1229" t="str">
            <v xml:space="preserve">1008X05175 </v>
          </cell>
          <cell r="F1229" t="str">
            <v>HKT</v>
          </cell>
          <cell r="G1229" t="str">
            <v>WHL</v>
          </cell>
        </row>
        <row r="1230">
          <cell r="B1230" t="str">
            <v>V181361</v>
          </cell>
          <cell r="C1230">
            <v>5</v>
          </cell>
          <cell r="D1230" t="str">
            <v>DEL</v>
          </cell>
          <cell r="E1230" t="str">
            <v xml:space="preserve">1008X05209 </v>
          </cell>
          <cell r="F1230" t="str">
            <v>TYO</v>
          </cell>
          <cell r="G1230" t="str">
            <v>WHL</v>
          </cell>
        </row>
        <row r="1231">
          <cell r="B1231" t="str">
            <v>V181362</v>
          </cell>
          <cell r="C1231">
            <v>4</v>
          </cell>
          <cell r="D1231" t="str">
            <v>SHI</v>
          </cell>
          <cell r="E1231" t="str">
            <v xml:space="preserve">1008X05208 </v>
          </cell>
          <cell r="F1231" t="str">
            <v>HKT</v>
          </cell>
          <cell r="G1231" t="str">
            <v>WHL</v>
          </cell>
        </row>
        <row r="1232">
          <cell r="B1232" t="str">
            <v>V181363</v>
          </cell>
          <cell r="C1232">
            <v>8</v>
          </cell>
          <cell r="D1232" t="str">
            <v>NKV</v>
          </cell>
          <cell r="E1232" t="str">
            <v>HPH18093266</v>
          </cell>
          <cell r="F1232" t="str">
            <v>KWS</v>
          </cell>
          <cell r="G1232" t="str">
            <v>SITC</v>
          </cell>
        </row>
        <row r="1233">
          <cell r="B1233" t="str">
            <v>V181364</v>
          </cell>
          <cell r="C1233">
            <v>9</v>
          </cell>
          <cell r="D1233" t="str">
            <v>SHI</v>
          </cell>
          <cell r="E1233" t="str">
            <v xml:space="preserve">1008X05216 </v>
          </cell>
          <cell r="F1233" t="str">
            <v>OSK</v>
          </cell>
          <cell r="G1233" t="str">
            <v>WHL</v>
          </cell>
        </row>
        <row r="1234">
          <cell r="B1234" t="str">
            <v>V181365</v>
          </cell>
          <cell r="C1234">
            <v>4</v>
          </cell>
          <cell r="D1234" t="str">
            <v>KWE</v>
          </cell>
          <cell r="E1234" t="str">
            <v xml:space="preserve">1008X05346 </v>
          </cell>
          <cell r="F1234" t="str">
            <v>TYO</v>
          </cell>
          <cell r="G1234" t="str">
            <v>WHL</v>
          </cell>
        </row>
        <row r="1235">
          <cell r="B1235" t="str">
            <v>V181366</v>
          </cell>
          <cell r="C1235">
            <v>8</v>
          </cell>
          <cell r="D1235" t="str">
            <v>NKV</v>
          </cell>
          <cell r="E1235" t="str">
            <v>HPH18093268</v>
          </cell>
          <cell r="F1235" t="str">
            <v>KWS</v>
          </cell>
          <cell r="G1235" t="str">
            <v>SITC</v>
          </cell>
        </row>
        <row r="1236">
          <cell r="B1236" t="str">
            <v>V181367</v>
          </cell>
          <cell r="C1236">
            <v>10</v>
          </cell>
          <cell r="D1236" t="str">
            <v>CEVA</v>
          </cell>
          <cell r="E1236" t="str">
            <v>350BK8010862</v>
          </cell>
          <cell r="F1236" t="str">
            <v>OSK</v>
          </cell>
          <cell r="G1236" t="str">
            <v>TSL</v>
          </cell>
        </row>
        <row r="1237">
          <cell r="B1237" t="str">
            <v>V181368</v>
          </cell>
          <cell r="C1237">
            <v>3</v>
          </cell>
          <cell r="D1237" t="str">
            <v>EXP</v>
          </cell>
          <cell r="E1237" t="str">
            <v>350BK8010722</v>
          </cell>
          <cell r="F1237" t="str">
            <v>TYO</v>
          </cell>
          <cell r="G1237" t="str">
            <v>TSL</v>
          </cell>
        </row>
        <row r="1238">
          <cell r="B1238" t="str">
            <v>V181369</v>
          </cell>
          <cell r="C1238">
            <v>4</v>
          </cell>
          <cell r="D1238" t="str">
            <v>NKV</v>
          </cell>
          <cell r="E1238" t="str">
            <v>HPH18093269</v>
          </cell>
          <cell r="F1238" t="str">
            <v>KWS</v>
          </cell>
          <cell r="G1238" t="str">
            <v>SITC</v>
          </cell>
        </row>
        <row r="1239">
          <cell r="B1239" t="str">
            <v>V181370</v>
          </cell>
          <cell r="C1239">
            <v>9</v>
          </cell>
          <cell r="D1239" t="str">
            <v>NIP</v>
          </cell>
          <cell r="E1239" t="str">
            <v xml:space="preserve">1008X05217 </v>
          </cell>
          <cell r="F1239" t="str">
            <v>OSK</v>
          </cell>
          <cell r="G1239" t="str">
            <v>WHL</v>
          </cell>
        </row>
        <row r="1240">
          <cell r="B1240" t="str">
            <v>V181371</v>
          </cell>
          <cell r="C1240">
            <v>2</v>
          </cell>
          <cell r="D1240" t="str">
            <v>SHI</v>
          </cell>
          <cell r="E1240" t="str">
            <v>350BK8010723</v>
          </cell>
          <cell r="F1240" t="str">
            <v>HKT</v>
          </cell>
          <cell r="G1240" t="str">
            <v>TSL</v>
          </cell>
        </row>
        <row r="1241">
          <cell r="B1241" t="str">
            <v>V181372</v>
          </cell>
          <cell r="C1241">
            <v>5</v>
          </cell>
          <cell r="D1241" t="str">
            <v>NKV</v>
          </cell>
          <cell r="E1241" t="str">
            <v xml:space="preserve">1008X05345 </v>
          </cell>
          <cell r="F1241" t="str">
            <v>TYO</v>
          </cell>
          <cell r="G1241" t="str">
            <v>WHL</v>
          </cell>
        </row>
        <row r="1242">
          <cell r="B1242" t="str">
            <v>V181373</v>
          </cell>
          <cell r="C1242">
            <v>9</v>
          </cell>
          <cell r="D1242" t="str">
            <v>NKV</v>
          </cell>
          <cell r="E1242" t="str">
            <v>HPH18093271</v>
          </cell>
          <cell r="F1242" t="str">
            <v>KWS</v>
          </cell>
          <cell r="G1242" t="str">
            <v>SITC</v>
          </cell>
        </row>
        <row r="1243">
          <cell r="B1243" t="str">
            <v>V181374</v>
          </cell>
          <cell r="C1243">
            <v>5</v>
          </cell>
          <cell r="D1243" t="str">
            <v>NIP</v>
          </cell>
          <cell r="E1243" t="str">
            <v xml:space="preserve">1008X05218 </v>
          </cell>
          <cell r="F1243" t="str">
            <v>OSK</v>
          </cell>
          <cell r="G1243" t="str">
            <v>WHL</v>
          </cell>
        </row>
        <row r="1244">
          <cell r="B1244" t="str">
            <v>V181375</v>
          </cell>
          <cell r="C1244">
            <v>3</v>
          </cell>
          <cell r="D1244" t="str">
            <v>VIMA</v>
          </cell>
          <cell r="E1244" t="str">
            <v>HPH18093272</v>
          </cell>
          <cell r="F1244" t="str">
            <v>TYO</v>
          </cell>
          <cell r="G1244" t="str">
            <v>SITC</v>
          </cell>
        </row>
        <row r="1245">
          <cell r="B1245" t="str">
            <v>V181376</v>
          </cell>
          <cell r="C1245">
            <v>6</v>
          </cell>
          <cell r="D1245" t="str">
            <v>NKV</v>
          </cell>
          <cell r="E1245" t="str">
            <v>HPH18093273</v>
          </cell>
          <cell r="F1245" t="str">
            <v>KWS</v>
          </cell>
          <cell r="G1245" t="str">
            <v>SITC</v>
          </cell>
        </row>
        <row r="1246">
          <cell r="B1246" t="str">
            <v>V181377</v>
          </cell>
          <cell r="C1246">
            <v>5</v>
          </cell>
          <cell r="D1246" t="str">
            <v>NIP</v>
          </cell>
          <cell r="E1246" t="str">
            <v>HPH18093456</v>
          </cell>
          <cell r="F1246" t="str">
            <v>OSK</v>
          </cell>
          <cell r="G1246" t="str">
            <v>SITC</v>
          </cell>
        </row>
        <row r="1247">
          <cell r="B1247" t="str">
            <v>V181378</v>
          </cell>
          <cell r="C1247">
            <v>2</v>
          </cell>
          <cell r="D1247" t="str">
            <v>SHI</v>
          </cell>
          <cell r="E1247" t="str">
            <v>VN00398145</v>
          </cell>
          <cell r="F1247" t="str">
            <v>ISH</v>
          </cell>
          <cell r="G1247" t="str">
            <v>KMTC</v>
          </cell>
        </row>
        <row r="1248">
          <cell r="B1248" t="str">
            <v>V181379</v>
          </cell>
          <cell r="C1248">
            <v>3</v>
          </cell>
          <cell r="D1248" t="str">
            <v>CEVA</v>
          </cell>
          <cell r="E1248" t="str">
            <v>350BK8010715</v>
          </cell>
          <cell r="F1248" t="str">
            <v>TAOYUAN</v>
          </cell>
          <cell r="G1248" t="str">
            <v>TSL</v>
          </cell>
        </row>
        <row r="1249">
          <cell r="B1249" t="str">
            <v>V181380</v>
          </cell>
          <cell r="C1249">
            <v>3</v>
          </cell>
          <cell r="D1249" t="str">
            <v>NIP</v>
          </cell>
          <cell r="E1249" t="str">
            <v>VN00398147</v>
          </cell>
          <cell r="F1249" t="str">
            <v>ISH</v>
          </cell>
          <cell r="G1249" t="str">
            <v>KMTC</v>
          </cell>
        </row>
        <row r="1250">
          <cell r="B1250" t="str">
            <v>V181381</v>
          </cell>
          <cell r="C1250">
            <v>3</v>
          </cell>
          <cell r="D1250" t="str">
            <v>KWE</v>
          </cell>
          <cell r="E1250" t="str">
            <v>HPH18093274</v>
          </cell>
          <cell r="F1250" t="str">
            <v>TYO</v>
          </cell>
          <cell r="G1250" t="str">
            <v>SITC</v>
          </cell>
        </row>
        <row r="1251">
          <cell r="B1251" t="str">
            <v>V181382</v>
          </cell>
          <cell r="C1251">
            <v>4</v>
          </cell>
          <cell r="D1251" t="str">
            <v>VIMA</v>
          </cell>
          <cell r="E1251" t="str">
            <v>HPH18093275</v>
          </cell>
          <cell r="F1251" t="str">
            <v>TYO</v>
          </cell>
          <cell r="G1251" t="str">
            <v>SITC</v>
          </cell>
        </row>
        <row r="1252">
          <cell r="B1252" t="str">
            <v>V181383</v>
          </cell>
          <cell r="C1252">
            <v>5</v>
          </cell>
          <cell r="D1252" t="str">
            <v>NKV</v>
          </cell>
          <cell r="E1252" t="str">
            <v>HPH18093276</v>
          </cell>
          <cell r="F1252" t="str">
            <v>KWS</v>
          </cell>
          <cell r="G1252" t="str">
            <v>SITC</v>
          </cell>
        </row>
        <row r="1253">
          <cell r="B1253" t="str">
            <v>V181384</v>
          </cell>
          <cell r="C1253">
            <v>14</v>
          </cell>
          <cell r="D1253" t="str">
            <v>NIP</v>
          </cell>
          <cell r="E1253" t="str">
            <v>HPH18093277</v>
          </cell>
          <cell r="F1253" t="str">
            <v>OSK</v>
          </cell>
          <cell r="G1253" t="str">
            <v>SITC</v>
          </cell>
        </row>
        <row r="1254">
          <cell r="B1254" t="str">
            <v>V181385</v>
          </cell>
          <cell r="C1254">
            <v>4</v>
          </cell>
          <cell r="D1254" t="str">
            <v>SHI</v>
          </cell>
          <cell r="E1254" t="str">
            <v>350BK8010716</v>
          </cell>
          <cell r="F1254" t="str">
            <v>HKT</v>
          </cell>
          <cell r="G1254" t="str">
            <v>TSL</v>
          </cell>
        </row>
        <row r="1255">
          <cell r="B1255" t="str">
            <v>V181386</v>
          </cell>
          <cell r="C1255">
            <v>1</v>
          </cell>
          <cell r="D1255" t="str">
            <v>NKV</v>
          </cell>
          <cell r="E1255" t="str">
            <v>HPH18093257</v>
          </cell>
          <cell r="F1255" t="str">
            <v>OSK</v>
          </cell>
          <cell r="G1255" t="str">
            <v>SITC</v>
          </cell>
        </row>
        <row r="1256">
          <cell r="B1256" t="str">
            <v>V181387</v>
          </cell>
          <cell r="C1256">
            <v>1</v>
          </cell>
          <cell r="D1256" t="str">
            <v>NIP</v>
          </cell>
          <cell r="E1256" t="str">
            <v>1008X05260</v>
          </cell>
          <cell r="F1256" t="str">
            <v>OSK</v>
          </cell>
          <cell r="G1256" t="str">
            <v>WHL</v>
          </cell>
        </row>
        <row r="1257">
          <cell r="B1257" t="str">
            <v>V181388</v>
          </cell>
          <cell r="C1257">
            <v>1</v>
          </cell>
          <cell r="D1257" t="str">
            <v>NKV</v>
          </cell>
          <cell r="E1257" t="str">
            <v>HPH18082901</v>
          </cell>
          <cell r="F1257" t="str">
            <v>TYO</v>
          </cell>
          <cell r="G1257" t="str">
            <v>SITC</v>
          </cell>
        </row>
        <row r="1258">
          <cell r="B1258" t="str">
            <v>V181389</v>
          </cell>
          <cell r="C1258">
            <v>5</v>
          </cell>
          <cell r="D1258" t="str">
            <v>VIMA</v>
          </cell>
          <cell r="E1258" t="str">
            <v>HPH18093424</v>
          </cell>
          <cell r="F1258" t="str">
            <v>TYO</v>
          </cell>
          <cell r="G1258" t="str">
            <v>SITC</v>
          </cell>
        </row>
        <row r="1259">
          <cell r="B1259" t="str">
            <v>V181390</v>
          </cell>
          <cell r="C1259">
            <v>2</v>
          </cell>
          <cell r="D1259" t="str">
            <v>SHI</v>
          </cell>
          <cell r="E1259" t="str">
            <v>350BK8010889</v>
          </cell>
          <cell r="F1259" t="str">
            <v>HKT</v>
          </cell>
          <cell r="G1259" t="str">
            <v>TSL</v>
          </cell>
        </row>
        <row r="1260">
          <cell r="B1260" t="str">
            <v>V181391</v>
          </cell>
          <cell r="C1260">
            <v>5</v>
          </cell>
          <cell r="D1260" t="str">
            <v>SHI</v>
          </cell>
          <cell r="E1260" t="str">
            <v xml:space="preserve">1008X05228 </v>
          </cell>
          <cell r="F1260" t="str">
            <v>TYO</v>
          </cell>
          <cell r="G1260" t="str">
            <v>WHL</v>
          </cell>
        </row>
        <row r="1261">
          <cell r="B1261" t="str">
            <v>V181392</v>
          </cell>
          <cell r="C1261">
            <v>3</v>
          </cell>
          <cell r="D1261" t="str">
            <v>DEL</v>
          </cell>
          <cell r="E1261" t="str">
            <v xml:space="preserve">1008X05225 </v>
          </cell>
          <cell r="F1261" t="str">
            <v>HKT</v>
          </cell>
          <cell r="G1261" t="str">
            <v>WHL</v>
          </cell>
        </row>
        <row r="1262">
          <cell r="B1262" t="str">
            <v>V181393</v>
          </cell>
          <cell r="C1262">
            <v>8</v>
          </cell>
          <cell r="D1262" t="str">
            <v>DEL</v>
          </cell>
          <cell r="E1262" t="str">
            <v>HPH18093278</v>
          </cell>
          <cell r="F1262" t="str">
            <v>KWS</v>
          </cell>
          <cell r="G1262" t="str">
            <v>SITC</v>
          </cell>
        </row>
        <row r="1263">
          <cell r="B1263" t="str">
            <v>V181394</v>
          </cell>
          <cell r="C1263">
            <v>13</v>
          </cell>
          <cell r="D1263" t="str">
            <v>KWE</v>
          </cell>
          <cell r="E1263" t="str">
            <v xml:space="preserve">1008X05222 </v>
          </cell>
          <cell r="F1263" t="str">
            <v>OSK</v>
          </cell>
          <cell r="G1263" t="str">
            <v>WHL</v>
          </cell>
        </row>
        <row r="1264">
          <cell r="B1264" t="str">
            <v>V181395</v>
          </cell>
          <cell r="C1264">
            <v>6</v>
          </cell>
          <cell r="D1264" t="str">
            <v>KWE</v>
          </cell>
          <cell r="E1264" t="str">
            <v xml:space="preserve">1008X05220 </v>
          </cell>
          <cell r="F1264" t="str">
            <v>OSK</v>
          </cell>
          <cell r="G1264" t="str">
            <v>WHL</v>
          </cell>
        </row>
        <row r="1265">
          <cell r="B1265" t="str">
            <v>V181396</v>
          </cell>
          <cell r="C1265">
            <v>5</v>
          </cell>
          <cell r="D1265" t="str">
            <v>DEL</v>
          </cell>
          <cell r="E1265" t="str">
            <v>350BK8010722</v>
          </cell>
          <cell r="F1265" t="str">
            <v>TYO</v>
          </cell>
          <cell r="G1265" t="str">
            <v>TSL</v>
          </cell>
        </row>
        <row r="1266">
          <cell r="B1266" t="str">
            <v>V181397</v>
          </cell>
          <cell r="C1266">
            <v>1</v>
          </cell>
          <cell r="D1266" t="str">
            <v>VIMA</v>
          </cell>
          <cell r="E1266" t="str">
            <v>HPH18093452</v>
          </cell>
          <cell r="F1266" t="str">
            <v>TYO</v>
          </cell>
          <cell r="G1266" t="str">
            <v>SITC</v>
          </cell>
        </row>
        <row r="1267">
          <cell r="B1267" t="str">
            <v>V181398</v>
          </cell>
          <cell r="C1267">
            <v>2</v>
          </cell>
          <cell r="D1267" t="str">
            <v>SHI</v>
          </cell>
          <cell r="E1267" t="str">
            <v>350BK8011043</v>
          </cell>
          <cell r="F1267" t="str">
            <v>HKT</v>
          </cell>
          <cell r="G1267" t="str">
            <v>TSL</v>
          </cell>
        </row>
        <row r="1268">
          <cell r="B1268" t="str">
            <v>V181399</v>
          </cell>
          <cell r="C1268">
            <v>5</v>
          </cell>
          <cell r="D1268" t="str">
            <v>NKV</v>
          </cell>
          <cell r="E1268" t="str">
            <v>HPH18093457</v>
          </cell>
          <cell r="F1268" t="str">
            <v>KWS</v>
          </cell>
          <cell r="G1268" t="str">
            <v>SITC</v>
          </cell>
        </row>
        <row r="1269">
          <cell r="B1269" t="str">
            <v>V181400</v>
          </cell>
          <cell r="C1269">
            <v>2</v>
          </cell>
          <cell r="D1269" t="str">
            <v>SHI</v>
          </cell>
          <cell r="E1269" t="str">
            <v>350BK8011101</v>
          </cell>
          <cell r="F1269" t="str">
            <v>HKT</v>
          </cell>
          <cell r="G1269" t="str">
            <v>TSL</v>
          </cell>
        </row>
        <row r="1270">
          <cell r="B1270" t="str">
            <v>V181401</v>
          </cell>
          <cell r="C1270">
            <v>4</v>
          </cell>
          <cell r="D1270" t="str">
            <v>NIP</v>
          </cell>
          <cell r="E1270" t="str">
            <v>HPH18093555</v>
          </cell>
          <cell r="F1270" t="str">
            <v>OSK</v>
          </cell>
          <cell r="G1270" t="str">
            <v>SITC</v>
          </cell>
        </row>
        <row r="1271">
          <cell r="B1271" t="str">
            <v>V181402</v>
          </cell>
          <cell r="C1271">
            <v>3</v>
          </cell>
          <cell r="D1271" t="str">
            <v>SHI</v>
          </cell>
          <cell r="E1271" t="str">
            <v>HPH18093552</v>
          </cell>
          <cell r="F1271" t="str">
            <v>TYO</v>
          </cell>
          <cell r="G1271" t="str">
            <v>SITC</v>
          </cell>
        </row>
        <row r="1272">
          <cell r="B1272" t="str">
            <v>V181403</v>
          </cell>
          <cell r="C1272">
            <v>3</v>
          </cell>
          <cell r="D1272" t="str">
            <v>VIMA</v>
          </cell>
          <cell r="E1272" t="str">
            <v>HPH18093553</v>
          </cell>
          <cell r="F1272" t="str">
            <v>KWS</v>
          </cell>
          <cell r="G1272" t="str">
            <v>SITC</v>
          </cell>
        </row>
        <row r="1273">
          <cell r="B1273" t="str">
            <v>V181404</v>
          </cell>
          <cell r="C1273">
            <v>7</v>
          </cell>
          <cell r="D1273" t="str">
            <v>NIP</v>
          </cell>
          <cell r="E1273" t="str">
            <v>HPH18093556</v>
          </cell>
          <cell r="F1273" t="str">
            <v>OSK</v>
          </cell>
          <cell r="G1273" t="str">
            <v>SITC</v>
          </cell>
        </row>
        <row r="1274">
          <cell r="B1274" t="str">
            <v>V181405</v>
          </cell>
          <cell r="C1274">
            <v>3</v>
          </cell>
          <cell r="D1274" t="str">
            <v>SHI</v>
          </cell>
          <cell r="E1274" t="str">
            <v>350BK8011102</v>
          </cell>
          <cell r="F1274" t="str">
            <v>HKT</v>
          </cell>
          <cell r="G1274" t="str">
            <v>TSL</v>
          </cell>
        </row>
        <row r="1275">
          <cell r="B1275" t="str">
            <v>V181406</v>
          </cell>
          <cell r="C1275">
            <v>8</v>
          </cell>
          <cell r="D1275" t="str">
            <v>NKV</v>
          </cell>
          <cell r="E1275" t="str">
            <v>HPH18093554</v>
          </cell>
          <cell r="F1275" t="str">
            <v>KWS</v>
          </cell>
          <cell r="G1275" t="str">
            <v>SITC</v>
          </cell>
        </row>
        <row r="1276">
          <cell r="B1276" t="str">
            <v>V181407</v>
          </cell>
          <cell r="C1276">
            <v>2</v>
          </cell>
          <cell r="D1276" t="str">
            <v>SHI</v>
          </cell>
          <cell r="E1276" t="str">
            <v>350BK8011103</v>
          </cell>
          <cell r="F1276" t="str">
            <v>HKT</v>
          </cell>
          <cell r="G1276" t="str">
            <v>TSL</v>
          </cell>
        </row>
        <row r="1277">
          <cell r="B1277" t="str">
            <v>V181408</v>
          </cell>
          <cell r="C1277">
            <v>2</v>
          </cell>
          <cell r="D1277" t="str">
            <v>EXP</v>
          </cell>
          <cell r="E1277" t="str">
            <v>350BK8011098</v>
          </cell>
          <cell r="F1277" t="str">
            <v>TYO</v>
          </cell>
          <cell r="G1277" t="str">
            <v>TSL</v>
          </cell>
        </row>
        <row r="1278">
          <cell r="B1278" t="str">
            <v>V181409</v>
          </cell>
          <cell r="C1278">
            <v>5</v>
          </cell>
          <cell r="D1278" t="str">
            <v>VIMA</v>
          </cell>
          <cell r="E1278" t="str">
            <v>HPH18093557</v>
          </cell>
          <cell r="F1278" t="str">
            <v>TYO</v>
          </cell>
          <cell r="G1278" t="str">
            <v>SITC</v>
          </cell>
        </row>
        <row r="1279">
          <cell r="B1279" t="str">
            <v>V181410</v>
          </cell>
          <cell r="C1279">
            <v>7</v>
          </cell>
          <cell r="D1279" t="str">
            <v>NKV</v>
          </cell>
          <cell r="E1279" t="str">
            <v>HPH18093558</v>
          </cell>
          <cell r="F1279" t="str">
            <v>KWS</v>
          </cell>
          <cell r="G1279" t="str">
            <v>SITC</v>
          </cell>
        </row>
        <row r="1280">
          <cell r="B1280" t="str">
            <v>V181411</v>
          </cell>
          <cell r="C1280">
            <v>2</v>
          </cell>
          <cell r="D1280" t="str">
            <v>SHI</v>
          </cell>
          <cell r="E1280" t="str">
            <v>1008X05399</v>
          </cell>
          <cell r="F1280" t="str">
            <v>TYO</v>
          </cell>
          <cell r="G1280" t="str">
            <v>WHL</v>
          </cell>
        </row>
        <row r="1281">
          <cell r="B1281" t="str">
            <v>V181412</v>
          </cell>
          <cell r="C1281">
            <v>7</v>
          </cell>
          <cell r="D1281" t="str">
            <v>VIMA</v>
          </cell>
          <cell r="E1281" t="str">
            <v>HPH18093451</v>
          </cell>
          <cell r="F1281" t="str">
            <v>KWS</v>
          </cell>
          <cell r="G1281" t="str">
            <v>SITC</v>
          </cell>
        </row>
        <row r="1282">
          <cell r="B1282" t="str">
            <v>V181413</v>
          </cell>
          <cell r="C1282">
            <v>2</v>
          </cell>
          <cell r="D1282" t="str">
            <v>NKV</v>
          </cell>
          <cell r="E1282" t="str">
            <v xml:space="preserve">1008X05391 </v>
          </cell>
          <cell r="F1282" t="str">
            <v>HKT</v>
          </cell>
          <cell r="G1282" t="str">
            <v>WHL</v>
          </cell>
        </row>
        <row r="1283">
          <cell r="B1283" t="str">
            <v>V181414</v>
          </cell>
          <cell r="C1283">
            <v>3</v>
          </cell>
          <cell r="D1283" t="str">
            <v>SHI</v>
          </cell>
          <cell r="E1283" t="str">
            <v>VN00399113</v>
          </cell>
          <cell r="F1283" t="str">
            <v>ISH</v>
          </cell>
          <cell r="G1283" t="str">
            <v>KMTC</v>
          </cell>
        </row>
        <row r="1284">
          <cell r="B1284" t="str">
            <v>V181415</v>
          </cell>
          <cell r="C1284">
            <v>3</v>
          </cell>
          <cell r="D1284" t="str">
            <v>KWE</v>
          </cell>
          <cell r="E1284" t="str">
            <v xml:space="preserve">1008X05420 </v>
          </cell>
          <cell r="F1284" t="str">
            <v>TYO</v>
          </cell>
          <cell r="G1284" t="str">
            <v>WHL</v>
          </cell>
        </row>
        <row r="1285">
          <cell r="B1285" t="str">
            <v>V181416</v>
          </cell>
          <cell r="C1285">
            <v>1</v>
          </cell>
          <cell r="D1285" t="str">
            <v>DEL</v>
          </cell>
          <cell r="E1285" t="str">
            <v xml:space="preserve">1008X05412 </v>
          </cell>
          <cell r="F1285" t="str">
            <v>TYO</v>
          </cell>
          <cell r="G1285" t="str">
            <v>WHL</v>
          </cell>
        </row>
        <row r="1286">
          <cell r="B1286" t="str">
            <v>V181417</v>
          </cell>
          <cell r="C1286">
            <v>6</v>
          </cell>
          <cell r="D1286" t="str">
            <v>NKV</v>
          </cell>
          <cell r="E1286" t="str">
            <v>HPH18093454</v>
          </cell>
          <cell r="F1286" t="str">
            <v>KWS</v>
          </cell>
          <cell r="G1286" t="str">
            <v>SITC</v>
          </cell>
        </row>
        <row r="1287">
          <cell r="B1287" t="str">
            <v>V181418</v>
          </cell>
          <cell r="C1287">
            <v>5</v>
          </cell>
          <cell r="D1287" t="str">
            <v>NIP</v>
          </cell>
          <cell r="E1287" t="str">
            <v xml:space="preserve">1008X05424 </v>
          </cell>
          <cell r="F1287" t="str">
            <v>OSK</v>
          </cell>
          <cell r="G1287" t="str">
            <v>WHL</v>
          </cell>
        </row>
        <row r="1288">
          <cell r="B1288" t="str">
            <v>V181419</v>
          </cell>
          <cell r="C1288">
            <v>2</v>
          </cell>
          <cell r="D1288" t="str">
            <v>EXP</v>
          </cell>
          <cell r="E1288" t="str">
            <v>350BK8011099</v>
          </cell>
          <cell r="F1288" t="str">
            <v>TYO</v>
          </cell>
          <cell r="G1288" t="str">
            <v>TSL</v>
          </cell>
        </row>
        <row r="1289">
          <cell r="B1289" t="str">
            <v>V181420</v>
          </cell>
          <cell r="C1289">
            <v>5</v>
          </cell>
          <cell r="D1289" t="str">
            <v>NIP</v>
          </cell>
          <cell r="E1289" t="str">
            <v xml:space="preserve">1008X05422 </v>
          </cell>
          <cell r="F1289" t="str">
            <v>OSK</v>
          </cell>
          <cell r="G1289" t="str">
            <v>WHL</v>
          </cell>
        </row>
        <row r="1290">
          <cell r="B1290" t="str">
            <v>V181421</v>
          </cell>
          <cell r="C1290">
            <v>6</v>
          </cell>
          <cell r="D1290" t="str">
            <v>SHI</v>
          </cell>
          <cell r="E1290" t="str">
            <v>350BK8011084</v>
          </cell>
          <cell r="F1290" t="str">
            <v>HKT</v>
          </cell>
          <cell r="G1290" t="str">
            <v>TSL</v>
          </cell>
        </row>
        <row r="1291">
          <cell r="B1291" t="str">
            <v>V181422</v>
          </cell>
          <cell r="C1291">
            <v>1</v>
          </cell>
          <cell r="D1291" t="str">
            <v>SHI</v>
          </cell>
          <cell r="E1291" t="str">
            <v>VN00399114</v>
          </cell>
          <cell r="F1291" t="str">
            <v>ISH</v>
          </cell>
          <cell r="G1291" t="str">
            <v>KMTC</v>
          </cell>
        </row>
        <row r="1292">
          <cell r="B1292" t="str">
            <v>V181423</v>
          </cell>
          <cell r="C1292">
            <v>6</v>
          </cell>
          <cell r="D1292" t="str">
            <v>NKV</v>
          </cell>
          <cell r="E1292" t="str">
            <v>HPH18093559</v>
          </cell>
          <cell r="F1292" t="str">
            <v>KWS</v>
          </cell>
          <cell r="G1292" t="str">
            <v>SITC</v>
          </cell>
        </row>
        <row r="1293">
          <cell r="B1293" t="str">
            <v>V181424</v>
          </cell>
          <cell r="C1293">
            <v>5</v>
          </cell>
          <cell r="D1293" t="str">
            <v>KWE</v>
          </cell>
          <cell r="E1293" t="str">
            <v>1008X05425</v>
          </cell>
          <cell r="F1293" t="str">
            <v>OSK</v>
          </cell>
          <cell r="G1293" t="str">
            <v>WHL</v>
          </cell>
        </row>
        <row r="1294">
          <cell r="B1294" t="str">
            <v>V181425</v>
          </cell>
          <cell r="C1294">
            <v>1</v>
          </cell>
          <cell r="D1294" t="str">
            <v>SHI</v>
          </cell>
          <cell r="E1294" t="str">
            <v>350BK8011100</v>
          </cell>
          <cell r="F1294" t="str">
            <v>HKT</v>
          </cell>
          <cell r="G1294" t="str">
            <v>TSL</v>
          </cell>
        </row>
        <row r="1295">
          <cell r="B1295" t="str">
            <v>V181426</v>
          </cell>
          <cell r="C1295">
            <v>2</v>
          </cell>
          <cell r="D1295" t="str">
            <v>SHI</v>
          </cell>
          <cell r="E1295" t="str">
            <v xml:space="preserve">1008X05411 </v>
          </cell>
          <cell r="F1295" t="str">
            <v>TYO</v>
          </cell>
          <cell r="G1295" t="str">
            <v>WHL</v>
          </cell>
        </row>
        <row r="1296">
          <cell r="B1296" t="str">
            <v>V181427</v>
          </cell>
          <cell r="C1296">
            <v>4</v>
          </cell>
          <cell r="D1296" t="str">
            <v>NKV</v>
          </cell>
          <cell r="E1296" t="str">
            <v>HPH18093560</v>
          </cell>
          <cell r="F1296" t="str">
            <v>KWS</v>
          </cell>
          <cell r="G1296" t="str">
            <v>SITC</v>
          </cell>
        </row>
        <row r="1297">
          <cell r="B1297" t="str">
            <v>V181428</v>
          </cell>
          <cell r="C1297">
            <v>7</v>
          </cell>
          <cell r="D1297" t="str">
            <v>NIP</v>
          </cell>
          <cell r="E1297" t="str">
            <v xml:space="preserve">1008X05426 </v>
          </cell>
          <cell r="F1297" t="str">
            <v>OSK</v>
          </cell>
          <cell r="G1297" t="str">
            <v>WHL</v>
          </cell>
        </row>
        <row r="1298">
          <cell r="B1298" t="str">
            <v>V181429</v>
          </cell>
          <cell r="C1298">
            <v>2</v>
          </cell>
          <cell r="D1298" t="str">
            <v>SHI</v>
          </cell>
          <cell r="E1298" t="str">
            <v>350BK8011104</v>
          </cell>
          <cell r="F1298" t="str">
            <v>HKT</v>
          </cell>
          <cell r="G1298" t="str">
            <v>TSL</v>
          </cell>
        </row>
        <row r="1299">
          <cell r="B1299" t="str">
            <v>V181430</v>
          </cell>
          <cell r="C1299">
            <v>1</v>
          </cell>
          <cell r="D1299" t="str">
            <v>NKV</v>
          </cell>
          <cell r="E1299" t="str">
            <v>HPH18093561</v>
          </cell>
          <cell r="F1299" t="str">
            <v>TYO</v>
          </cell>
          <cell r="G1299" t="str">
            <v>SITC</v>
          </cell>
        </row>
        <row r="1300">
          <cell r="B1300" t="str">
            <v>V181431</v>
          </cell>
          <cell r="C1300">
            <v>1</v>
          </cell>
          <cell r="D1300" t="str">
            <v>DEL</v>
          </cell>
          <cell r="E1300" t="str">
            <v xml:space="preserve">1008X05432 </v>
          </cell>
          <cell r="F1300" t="str">
            <v>TYO</v>
          </cell>
          <cell r="G1300" t="str">
            <v>WHL</v>
          </cell>
        </row>
        <row r="1301">
          <cell r="B1301" t="str">
            <v>V181432</v>
          </cell>
          <cell r="C1301">
            <v>6</v>
          </cell>
          <cell r="D1301" t="str">
            <v>NKV</v>
          </cell>
          <cell r="E1301" t="str">
            <v>HPH18093562</v>
          </cell>
          <cell r="F1301" t="str">
            <v>KWS</v>
          </cell>
          <cell r="G1301" t="str">
            <v>SITC</v>
          </cell>
        </row>
        <row r="1302">
          <cell r="B1302" t="str">
            <v>V181433</v>
          </cell>
          <cell r="C1302">
            <v>6</v>
          </cell>
          <cell r="D1302" t="str">
            <v>NIP</v>
          </cell>
          <cell r="E1302" t="str">
            <v xml:space="preserve">1008X05433 </v>
          </cell>
          <cell r="F1302" t="str">
            <v>OSK</v>
          </cell>
          <cell r="G1302" t="str">
            <v>WHL</v>
          </cell>
        </row>
        <row r="1303">
          <cell r="B1303" t="str">
            <v>V181434</v>
          </cell>
          <cell r="C1303">
            <v>1</v>
          </cell>
          <cell r="D1303" t="str">
            <v>SHI</v>
          </cell>
          <cell r="E1303" t="str">
            <v xml:space="preserve">1008X05423 </v>
          </cell>
          <cell r="F1303" t="str">
            <v>TYO</v>
          </cell>
          <cell r="G1303" t="str">
            <v>WHL</v>
          </cell>
        </row>
        <row r="1304">
          <cell r="B1304" t="str">
            <v>V181435</v>
          </cell>
          <cell r="C1304">
            <v>2</v>
          </cell>
          <cell r="D1304" t="str">
            <v>DEL</v>
          </cell>
          <cell r="E1304" t="str">
            <v>HPH18093904</v>
          </cell>
          <cell r="F1304" t="str">
            <v>TYO</v>
          </cell>
          <cell r="G1304" t="str">
            <v>SITC</v>
          </cell>
        </row>
        <row r="1305">
          <cell r="B1305" t="str">
            <v>V181436</v>
          </cell>
          <cell r="C1305">
            <v>4</v>
          </cell>
          <cell r="D1305" t="str">
            <v>NIP</v>
          </cell>
          <cell r="E1305" t="str">
            <v>HPH18093903</v>
          </cell>
          <cell r="F1305" t="str">
            <v>OSK</v>
          </cell>
          <cell r="G1305" t="str">
            <v>SITC</v>
          </cell>
        </row>
        <row r="1306">
          <cell r="B1306" t="str">
            <v>V181437</v>
          </cell>
          <cell r="C1306">
            <v>6</v>
          </cell>
          <cell r="D1306" t="str">
            <v>VIMA</v>
          </cell>
          <cell r="E1306" t="str">
            <v>HPH18093563</v>
          </cell>
          <cell r="F1306" t="str">
            <v>KWS</v>
          </cell>
          <cell r="G1306" t="str">
            <v>SITC</v>
          </cell>
        </row>
        <row r="1307">
          <cell r="B1307" t="str">
            <v>V181438</v>
          </cell>
          <cell r="C1307">
            <v>7</v>
          </cell>
          <cell r="D1307" t="str">
            <v>NIP</v>
          </cell>
          <cell r="E1307" t="str">
            <v>HPH18093564</v>
          </cell>
          <cell r="F1307" t="str">
            <v>OSK</v>
          </cell>
          <cell r="G1307" t="str">
            <v>SITC</v>
          </cell>
        </row>
        <row r="1308">
          <cell r="B1308" t="str">
            <v>V181439</v>
          </cell>
          <cell r="C1308">
            <v>5</v>
          </cell>
          <cell r="D1308" t="str">
            <v>NIP</v>
          </cell>
          <cell r="E1308" t="str">
            <v>HPH18093565</v>
          </cell>
          <cell r="F1308" t="str">
            <v>HKT</v>
          </cell>
          <cell r="G1308" t="str">
            <v>SITC</v>
          </cell>
        </row>
        <row r="1309">
          <cell r="B1309" t="str">
            <v>V181440</v>
          </cell>
          <cell r="C1309">
            <v>2</v>
          </cell>
          <cell r="D1309" t="str">
            <v>SHI</v>
          </cell>
          <cell r="E1309" t="str">
            <v>VN00399114</v>
          </cell>
          <cell r="F1309" t="str">
            <v>ISH</v>
          </cell>
          <cell r="G1309" t="str">
            <v>KMTC</v>
          </cell>
        </row>
        <row r="1310">
          <cell r="B1310" t="str">
            <v>V181441</v>
          </cell>
          <cell r="D1310" t="str">
            <v>CEVA</v>
          </cell>
          <cell r="E1310" t="str">
            <v>350BK8011105</v>
          </cell>
          <cell r="F1310" t="str">
            <v>TAOYUAN</v>
          </cell>
          <cell r="G1310" t="str">
            <v>KMTC</v>
          </cell>
        </row>
        <row r="1311">
          <cell r="B1311" t="str">
            <v>V181442</v>
          </cell>
          <cell r="C1311">
            <v>1</v>
          </cell>
          <cell r="D1311" t="str">
            <v>SHI</v>
          </cell>
          <cell r="E1311" t="str">
            <v>350BK8011241</v>
          </cell>
          <cell r="F1311" t="str">
            <v>TYO</v>
          </cell>
          <cell r="G1311" t="str">
            <v>TSL</v>
          </cell>
        </row>
        <row r="1312">
          <cell r="B1312" t="str">
            <v>V181443</v>
          </cell>
          <cell r="C1312">
            <v>2</v>
          </cell>
          <cell r="D1312" t="str">
            <v>CEVA</v>
          </cell>
          <cell r="E1312" t="str">
            <v>VN00398147</v>
          </cell>
          <cell r="F1312" t="str">
            <v>ISH</v>
          </cell>
          <cell r="G1312" t="str">
            <v>KMTC</v>
          </cell>
        </row>
        <row r="1313">
          <cell r="B1313" t="str">
            <v>V181444</v>
          </cell>
          <cell r="C1313">
            <v>1</v>
          </cell>
          <cell r="D1313" t="str">
            <v>SHI</v>
          </cell>
          <cell r="E1313" t="str">
            <v>350BK8011101</v>
          </cell>
          <cell r="F1313" t="str">
            <v>HKT</v>
          </cell>
          <cell r="G1313" t="str">
            <v>TSL</v>
          </cell>
        </row>
        <row r="1314">
          <cell r="B1314" t="str">
            <v>V181445</v>
          </cell>
          <cell r="C1314">
            <v>1</v>
          </cell>
          <cell r="D1314" t="str">
            <v>SHI</v>
          </cell>
          <cell r="E1314" t="str">
            <v>VN00402714</v>
          </cell>
          <cell r="F1314" t="str">
            <v>ISH</v>
          </cell>
          <cell r="G1314" t="str">
            <v>KMTC</v>
          </cell>
        </row>
        <row r="1315">
          <cell r="B1315" t="str">
            <v>V181446</v>
          </cell>
          <cell r="C1315">
            <v>1</v>
          </cell>
          <cell r="D1315" t="str">
            <v>VIMA</v>
          </cell>
          <cell r="E1315" t="str">
            <v>HPH18093907</v>
          </cell>
          <cell r="F1315" t="str">
            <v>TYO</v>
          </cell>
          <cell r="G1315" t="str">
            <v>SITC</v>
          </cell>
        </row>
        <row r="1316">
          <cell r="B1316" t="str">
            <v>V181447</v>
          </cell>
          <cell r="C1316">
            <v>7</v>
          </cell>
          <cell r="D1316" t="str">
            <v>VIMA</v>
          </cell>
          <cell r="E1316" t="str">
            <v>HPH18093906</v>
          </cell>
          <cell r="F1316" t="str">
            <v>KWS</v>
          </cell>
          <cell r="G1316" t="str">
            <v>SITC</v>
          </cell>
        </row>
        <row r="1317">
          <cell r="B1317" t="str">
            <v>V181448</v>
          </cell>
          <cell r="C1317">
            <v>2</v>
          </cell>
          <cell r="D1317" t="str">
            <v>SHI</v>
          </cell>
          <cell r="E1317" t="str">
            <v>VN00402714</v>
          </cell>
          <cell r="F1317" t="str">
            <v>ISH</v>
          </cell>
          <cell r="G1317" t="str">
            <v>KMTC</v>
          </cell>
        </row>
        <row r="1318">
          <cell r="B1318" t="str">
            <v>V181449</v>
          </cell>
          <cell r="C1318">
            <v>11</v>
          </cell>
          <cell r="D1318" t="str">
            <v>NKV</v>
          </cell>
          <cell r="E1318" t="str">
            <v>HPH18093910</v>
          </cell>
          <cell r="F1318" t="str">
            <v>KWS</v>
          </cell>
          <cell r="G1318" t="str">
            <v>SITC</v>
          </cell>
        </row>
        <row r="1319">
          <cell r="B1319" t="str">
            <v>V181450</v>
          </cell>
          <cell r="C1319">
            <v>10</v>
          </cell>
          <cell r="D1319" t="str">
            <v>NIP</v>
          </cell>
          <cell r="E1319" t="str">
            <v>HPH18093911</v>
          </cell>
          <cell r="F1319" t="str">
            <v>OSK</v>
          </cell>
          <cell r="G1319" t="str">
            <v>SITC</v>
          </cell>
        </row>
        <row r="1320">
          <cell r="B1320" t="str">
            <v>V181451</v>
          </cell>
          <cell r="C1320">
            <v>2</v>
          </cell>
          <cell r="D1320" t="str">
            <v>NKV</v>
          </cell>
          <cell r="E1320" t="str">
            <v>350BK8011550</v>
          </cell>
          <cell r="F1320" t="str">
            <v>TYO</v>
          </cell>
          <cell r="G1320" t="str">
            <v>TSL</v>
          </cell>
        </row>
        <row r="1321">
          <cell r="B1321" t="str">
            <v>V181452</v>
          </cell>
          <cell r="C1321">
            <v>2</v>
          </cell>
          <cell r="D1321" t="str">
            <v>NKV</v>
          </cell>
          <cell r="E1321" t="str">
            <v>350BK8011550</v>
          </cell>
          <cell r="F1321" t="str">
            <v>TYO</v>
          </cell>
          <cell r="G1321" t="str">
            <v>TSL</v>
          </cell>
        </row>
        <row r="1322">
          <cell r="B1322" t="str">
            <v>V181453</v>
          </cell>
          <cell r="C1322">
            <v>2</v>
          </cell>
          <cell r="D1322" t="str">
            <v>SHI</v>
          </cell>
          <cell r="E1322" t="str">
            <v>VN00400268</v>
          </cell>
          <cell r="F1322" t="str">
            <v>ISH</v>
          </cell>
          <cell r="G1322" t="str">
            <v>KMTC</v>
          </cell>
        </row>
        <row r="1323">
          <cell r="B1323" t="str">
            <v>V181454</v>
          </cell>
          <cell r="C1323">
            <v>3</v>
          </cell>
          <cell r="D1323" t="str">
            <v>KWE</v>
          </cell>
          <cell r="E1323" t="str">
            <v>HPH18093902</v>
          </cell>
          <cell r="F1323" t="str">
            <v>KWS</v>
          </cell>
          <cell r="G1323" t="str">
            <v>SITC</v>
          </cell>
        </row>
        <row r="1324">
          <cell r="B1324" t="str">
            <v>V181455</v>
          </cell>
          <cell r="C1324">
            <v>10</v>
          </cell>
          <cell r="D1324" t="str">
            <v>NKV</v>
          </cell>
          <cell r="E1324" t="str">
            <v>HPH18093566</v>
          </cell>
          <cell r="F1324" t="str">
            <v>TYO</v>
          </cell>
          <cell r="G1324" t="str">
            <v>SITC</v>
          </cell>
        </row>
        <row r="1325">
          <cell r="B1325" t="str">
            <v>V181456</v>
          </cell>
          <cell r="C1325">
            <v>8</v>
          </cell>
          <cell r="D1325" t="str">
            <v>CEVA</v>
          </cell>
          <cell r="E1325" t="str">
            <v xml:space="preserve">1008X05429 </v>
          </cell>
          <cell r="F1325" t="str">
            <v>OSK</v>
          </cell>
          <cell r="G1325" t="str">
            <v>WHL</v>
          </cell>
        </row>
        <row r="1326">
          <cell r="B1326" t="str">
            <v>V181457</v>
          </cell>
          <cell r="C1326">
            <v>3</v>
          </cell>
          <cell r="D1326" t="str">
            <v>KWE</v>
          </cell>
          <cell r="E1326" t="str">
            <v>HPH18093567</v>
          </cell>
          <cell r="F1326" t="str">
            <v>KWS</v>
          </cell>
          <cell r="G1326" t="str">
            <v>SITC</v>
          </cell>
        </row>
        <row r="1327">
          <cell r="B1327" t="str">
            <v>V181458</v>
          </cell>
          <cell r="C1327">
            <v>5</v>
          </cell>
          <cell r="D1327" t="str">
            <v>NIP</v>
          </cell>
          <cell r="E1327" t="str">
            <v xml:space="preserve">1008X05427 </v>
          </cell>
          <cell r="F1327" t="str">
            <v>OSK</v>
          </cell>
          <cell r="G1327" t="str">
            <v>WHL</v>
          </cell>
        </row>
        <row r="1328">
          <cell r="B1328" t="str">
            <v>V181459</v>
          </cell>
          <cell r="C1328">
            <v>6</v>
          </cell>
          <cell r="D1328" t="str">
            <v>SHI</v>
          </cell>
          <cell r="E1328" t="str">
            <v xml:space="preserve">1008X05428 </v>
          </cell>
          <cell r="F1328" t="str">
            <v>HKT</v>
          </cell>
          <cell r="G1328" t="str">
            <v>WHL</v>
          </cell>
        </row>
        <row r="1329">
          <cell r="B1329" t="str">
            <v>V181460</v>
          </cell>
          <cell r="C1329">
            <v>2</v>
          </cell>
          <cell r="D1329" t="str">
            <v>NKV</v>
          </cell>
          <cell r="E1329" t="str">
            <v>HPH18093568</v>
          </cell>
          <cell r="F1329" t="str">
            <v>TYO</v>
          </cell>
          <cell r="G1329" t="str">
            <v>SITC</v>
          </cell>
        </row>
        <row r="1330">
          <cell r="B1330" t="str">
            <v>V181461</v>
          </cell>
          <cell r="C1330">
            <v>6</v>
          </cell>
          <cell r="D1330" t="str">
            <v>DEL</v>
          </cell>
          <cell r="E1330" t="str">
            <v xml:space="preserve">1008X05450 </v>
          </cell>
          <cell r="F1330" t="str">
            <v>TYO</v>
          </cell>
          <cell r="G1330" t="str">
            <v>WHL</v>
          </cell>
        </row>
        <row r="1331">
          <cell r="B1331" t="str">
            <v>V181462</v>
          </cell>
          <cell r="C1331">
            <v>2</v>
          </cell>
          <cell r="D1331" t="str">
            <v>SHI</v>
          </cell>
          <cell r="E1331" t="str">
            <v xml:space="preserve">1008X05491 </v>
          </cell>
          <cell r="F1331" t="str">
            <v>OSK</v>
          </cell>
          <cell r="G1331" t="str">
            <v>WHL</v>
          </cell>
        </row>
        <row r="1332">
          <cell r="B1332" t="str">
            <v>V181463</v>
          </cell>
          <cell r="C1332">
            <v>10</v>
          </cell>
          <cell r="D1332" t="str">
            <v>KWE</v>
          </cell>
          <cell r="E1332" t="str">
            <v>HPH18093567</v>
          </cell>
          <cell r="F1332" t="str">
            <v>KWS</v>
          </cell>
          <cell r="G1332" t="str">
            <v>SITC</v>
          </cell>
        </row>
        <row r="1333">
          <cell r="B1333" t="str">
            <v>V181464</v>
          </cell>
          <cell r="C1333">
            <v>3</v>
          </cell>
          <cell r="D1333" t="str">
            <v>CEVA</v>
          </cell>
          <cell r="E1333">
            <v>237800311401</v>
          </cell>
          <cell r="F1333" t="str">
            <v>OSK</v>
          </cell>
          <cell r="G1333" t="str">
            <v>EGLV</v>
          </cell>
        </row>
        <row r="1334">
          <cell r="B1334" t="str">
            <v>V181465</v>
          </cell>
          <cell r="C1334">
            <v>2</v>
          </cell>
          <cell r="D1334" t="str">
            <v>SHI</v>
          </cell>
          <cell r="E1334" t="str">
            <v>350BK8011480</v>
          </cell>
          <cell r="F1334" t="str">
            <v>HKT</v>
          </cell>
          <cell r="G1334" t="str">
            <v>TSL</v>
          </cell>
        </row>
        <row r="1335">
          <cell r="B1335" t="str">
            <v>V181466</v>
          </cell>
          <cell r="C1335">
            <v>3</v>
          </cell>
          <cell r="D1335" t="str">
            <v>DEL</v>
          </cell>
          <cell r="E1335" t="str">
            <v>350BK8011481</v>
          </cell>
          <cell r="F1335" t="str">
            <v>TYO</v>
          </cell>
          <cell r="G1335" t="str">
            <v>TSL</v>
          </cell>
        </row>
        <row r="1336">
          <cell r="B1336" t="str">
            <v>V181467</v>
          </cell>
          <cell r="C1336">
            <v>4</v>
          </cell>
          <cell r="D1336" t="str">
            <v>NKV</v>
          </cell>
          <cell r="E1336" t="str">
            <v>HPH18093905</v>
          </cell>
          <cell r="F1336" t="str">
            <v>KWS</v>
          </cell>
          <cell r="G1336" t="str">
            <v>SITC</v>
          </cell>
        </row>
        <row r="1337">
          <cell r="B1337" t="str">
            <v>V181468</v>
          </cell>
          <cell r="C1337">
            <v>7</v>
          </cell>
          <cell r="D1337" t="str">
            <v>SHI</v>
          </cell>
          <cell r="E1337" t="str">
            <v xml:space="preserve">1008X05604 </v>
          </cell>
          <cell r="F1337" t="str">
            <v>OSK</v>
          </cell>
          <cell r="G1337" t="str">
            <v>WHL</v>
          </cell>
        </row>
        <row r="1338">
          <cell r="B1338" t="str">
            <v>V181469</v>
          </cell>
          <cell r="D1338" t="str">
            <v>VIMA</v>
          </cell>
          <cell r="E1338" t="str">
            <v>HPH18093908</v>
          </cell>
          <cell r="F1338" t="str">
            <v>TYO</v>
          </cell>
          <cell r="G1338" t="str">
            <v>SITC</v>
          </cell>
        </row>
        <row r="1339">
          <cell r="B1339" t="str">
            <v>V181470</v>
          </cell>
          <cell r="D1339" t="str">
            <v>SHI</v>
          </cell>
          <cell r="E1339">
            <v>237800311410</v>
          </cell>
          <cell r="F1339" t="str">
            <v>TYO</v>
          </cell>
          <cell r="G1339" t="str">
            <v>EGLV</v>
          </cell>
        </row>
        <row r="1340">
          <cell r="B1340" t="str">
            <v>V181471</v>
          </cell>
          <cell r="D1340" t="str">
            <v>KWE</v>
          </cell>
          <cell r="E1340" t="str">
            <v>HPH18093909</v>
          </cell>
          <cell r="F1340" t="str">
            <v>KWS</v>
          </cell>
          <cell r="G1340" t="str">
            <v>SITC</v>
          </cell>
        </row>
        <row r="1341">
          <cell r="B1341" t="str">
            <v>V181472</v>
          </cell>
          <cell r="C1341">
            <v>5</v>
          </cell>
          <cell r="D1341" t="str">
            <v>NIP</v>
          </cell>
          <cell r="E1341" t="str">
            <v xml:space="preserve">1008X05603 </v>
          </cell>
          <cell r="F1341" t="str">
            <v>OSK</v>
          </cell>
          <cell r="G1341" t="str">
            <v>WHL</v>
          </cell>
        </row>
        <row r="1342">
          <cell r="B1342" t="str">
            <v>V181473</v>
          </cell>
          <cell r="D1342" t="str">
            <v>DEL</v>
          </cell>
          <cell r="E1342" t="str">
            <v>350BK8011482</v>
          </cell>
          <cell r="F1342" t="str">
            <v>TYO</v>
          </cell>
          <cell r="G1342" t="str">
            <v>TSL</v>
          </cell>
        </row>
        <row r="1343">
          <cell r="B1343" t="str">
            <v>V181474</v>
          </cell>
          <cell r="D1343" t="str">
            <v>KWE</v>
          </cell>
          <cell r="E1343" t="str">
            <v>HPH18093912</v>
          </cell>
          <cell r="F1343" t="str">
            <v>KWS</v>
          </cell>
          <cell r="G1343" t="str">
            <v>SITC</v>
          </cell>
        </row>
        <row r="1344">
          <cell r="B1344" t="str">
            <v>V181475</v>
          </cell>
          <cell r="D1344" t="str">
            <v>EXP</v>
          </cell>
          <cell r="E1344" t="str">
            <v>HPH18093913</v>
          </cell>
          <cell r="F1344" t="str">
            <v>OSK</v>
          </cell>
          <cell r="G1344" t="str">
            <v>SITC</v>
          </cell>
        </row>
        <row r="1345">
          <cell r="B1345" t="str">
            <v>V181476</v>
          </cell>
          <cell r="D1345" t="str">
            <v>SHI</v>
          </cell>
          <cell r="E1345" t="str">
            <v>350BK8011483</v>
          </cell>
          <cell r="F1345" t="str">
            <v>HKT</v>
          </cell>
          <cell r="G1345" t="str">
            <v>TSL</v>
          </cell>
        </row>
        <row r="1346">
          <cell r="B1346" t="str">
            <v>V181477</v>
          </cell>
          <cell r="C1346">
            <v>7</v>
          </cell>
          <cell r="D1346" t="str">
            <v>SHI</v>
          </cell>
          <cell r="E1346" t="str">
            <v>VN00401108</v>
          </cell>
          <cell r="F1346" t="str">
            <v>ISH</v>
          </cell>
          <cell r="G1346" t="str">
            <v>KMTC</v>
          </cell>
        </row>
        <row r="1347">
          <cell r="B1347" t="str">
            <v>V181478</v>
          </cell>
          <cell r="D1347" t="str">
            <v>VIMA</v>
          </cell>
          <cell r="E1347" t="str">
            <v>HPH18093914</v>
          </cell>
          <cell r="F1347" t="str">
            <v>TYO</v>
          </cell>
          <cell r="G1347" t="str">
            <v>SITC</v>
          </cell>
        </row>
        <row r="1348">
          <cell r="B1348" t="str">
            <v>V181479</v>
          </cell>
          <cell r="D1348" t="str">
            <v>VIMA</v>
          </cell>
          <cell r="E1348" t="str">
            <v>HPH18093915</v>
          </cell>
          <cell r="F1348" t="str">
            <v>TYO</v>
          </cell>
          <cell r="G1348" t="str">
            <v>SITC</v>
          </cell>
        </row>
        <row r="1349">
          <cell r="B1349" t="str">
            <v>V181480</v>
          </cell>
          <cell r="D1349" t="str">
            <v>NKV</v>
          </cell>
          <cell r="E1349" t="str">
            <v>HPH18093916</v>
          </cell>
          <cell r="F1349" t="str">
            <v>KWS</v>
          </cell>
          <cell r="G1349" t="str">
            <v>SITC</v>
          </cell>
        </row>
        <row r="1350">
          <cell r="B1350" t="str">
            <v>V181481</v>
          </cell>
          <cell r="G1350" t="b">
            <v>0</v>
          </cell>
        </row>
        <row r="1351">
          <cell r="B1351" t="str">
            <v>V181482</v>
          </cell>
          <cell r="D1351" t="str">
            <v>NIP</v>
          </cell>
          <cell r="E1351" t="str">
            <v>HPH18093918</v>
          </cell>
          <cell r="F1351" t="str">
            <v>TYO</v>
          </cell>
          <cell r="G1351" t="str">
            <v>SITC</v>
          </cell>
        </row>
        <row r="1352">
          <cell r="B1352" t="str">
            <v>V181483</v>
          </cell>
          <cell r="D1352" t="str">
            <v>NKV</v>
          </cell>
          <cell r="E1352" t="str">
            <v>HPH18093919</v>
          </cell>
          <cell r="F1352" t="str">
            <v>KWS</v>
          </cell>
          <cell r="G1352" t="str">
            <v>SITC</v>
          </cell>
        </row>
        <row r="1353">
          <cell r="B1353" t="str">
            <v>V181484</v>
          </cell>
          <cell r="G1353" t="b">
            <v>0</v>
          </cell>
        </row>
        <row r="1354">
          <cell r="B1354" t="str">
            <v>V181485</v>
          </cell>
          <cell r="G1354" t="b">
            <v>0</v>
          </cell>
        </row>
        <row r="1355">
          <cell r="B1355" t="str">
            <v>V181486</v>
          </cell>
          <cell r="D1355" t="str">
            <v>SHI</v>
          </cell>
          <cell r="E1355" t="str">
            <v>VN00402723</v>
          </cell>
          <cell r="F1355" t="str">
            <v>ISH</v>
          </cell>
          <cell r="G1355" t="str">
            <v>KMTC</v>
          </cell>
        </row>
        <row r="1356">
          <cell r="B1356" t="str">
            <v>V181487</v>
          </cell>
          <cell r="D1356" t="str">
            <v>CEVA</v>
          </cell>
          <cell r="E1356" t="str">
            <v>SNLTSD-120918-05</v>
          </cell>
          <cell r="F1356" t="str">
            <v>SHA</v>
          </cell>
          <cell r="G1356" t="str">
            <v>SNL</v>
          </cell>
        </row>
        <row r="1357">
          <cell r="B1357" t="str">
            <v>V181488</v>
          </cell>
          <cell r="D1357" t="str">
            <v>CEVA</v>
          </cell>
          <cell r="E1357" t="str">
            <v>350BK8011498</v>
          </cell>
          <cell r="F1357" t="str">
            <v>TAOYUAN</v>
          </cell>
          <cell r="G1357" t="str">
            <v>TSL</v>
          </cell>
        </row>
        <row r="1358">
          <cell r="B1358" t="str">
            <v>V181489</v>
          </cell>
          <cell r="C1358">
            <v>2</v>
          </cell>
          <cell r="D1358" t="str">
            <v>CEVA</v>
          </cell>
          <cell r="E1358" t="str">
            <v>VN00401108</v>
          </cell>
          <cell r="F1358" t="str">
            <v>ISH</v>
          </cell>
          <cell r="G1358" t="str">
            <v>KMTC</v>
          </cell>
        </row>
        <row r="1359">
          <cell r="B1359" t="str">
            <v>V181490</v>
          </cell>
          <cell r="G1359" t="b">
            <v>0</v>
          </cell>
        </row>
        <row r="1360">
          <cell r="B1360" t="str">
            <v>V181491</v>
          </cell>
          <cell r="G1360" t="b">
            <v>0</v>
          </cell>
        </row>
        <row r="1361">
          <cell r="B1361" t="str">
            <v>V181492</v>
          </cell>
          <cell r="G1361" t="b">
            <v>0</v>
          </cell>
        </row>
        <row r="1362">
          <cell r="B1362" t="str">
            <v>V181493</v>
          </cell>
          <cell r="G1362" t="b">
            <v>0</v>
          </cell>
        </row>
        <row r="1363">
          <cell r="B1363" t="str">
            <v>V181494</v>
          </cell>
          <cell r="G1363" t="b">
            <v>0</v>
          </cell>
        </row>
        <row r="1364">
          <cell r="B1364" t="str">
            <v>V181495</v>
          </cell>
          <cell r="G1364" t="b">
            <v>0</v>
          </cell>
        </row>
        <row r="1365">
          <cell r="B1365" t="str">
            <v>V181496</v>
          </cell>
          <cell r="G1365" t="b">
            <v>0</v>
          </cell>
        </row>
        <row r="1366">
          <cell r="B1366" t="str">
            <v>V181497</v>
          </cell>
          <cell r="G1366" t="b">
            <v>0</v>
          </cell>
        </row>
        <row r="1367">
          <cell r="B1367" t="str">
            <v>V181498</v>
          </cell>
          <cell r="G1367" t="b">
            <v>0</v>
          </cell>
        </row>
        <row r="1368">
          <cell r="B1368" t="str">
            <v>V181499</v>
          </cell>
          <cell r="G1368" t="b">
            <v>0</v>
          </cell>
        </row>
        <row r="1369">
          <cell r="B1369" t="str">
            <v>V181500</v>
          </cell>
          <cell r="G1369" t="b">
            <v>0</v>
          </cell>
        </row>
        <row r="1370">
          <cell r="B1370" t="str">
            <v>V181501</v>
          </cell>
          <cell r="C1370">
            <v>18</v>
          </cell>
          <cell r="D1370" t="str">
            <v>NKV</v>
          </cell>
          <cell r="E1370" t="str">
            <v xml:space="preserve">1008X05596 </v>
          </cell>
          <cell r="F1370" t="str">
            <v>TYO</v>
          </cell>
          <cell r="G1370" t="str">
            <v>WHL</v>
          </cell>
        </row>
        <row r="1371">
          <cell r="B1371" t="str">
            <v>V181502</v>
          </cell>
          <cell r="G1371" t="b">
            <v>0</v>
          </cell>
        </row>
        <row r="1372">
          <cell r="B1372" t="str">
            <v>V181503</v>
          </cell>
          <cell r="D1372" t="str">
            <v>DEL</v>
          </cell>
          <cell r="E1372" t="str">
            <v xml:space="preserve">1008X05601 </v>
          </cell>
          <cell r="F1372" t="str">
            <v>OSK</v>
          </cell>
          <cell r="G1372" t="str">
            <v>WHL</v>
          </cell>
        </row>
        <row r="1373">
          <cell r="B1373" t="str">
            <v>V181504</v>
          </cell>
          <cell r="D1373" t="str">
            <v>NKV</v>
          </cell>
          <cell r="E1373" t="str">
            <v xml:space="preserve">1008X05600 </v>
          </cell>
          <cell r="F1373" t="str">
            <v>TYO</v>
          </cell>
          <cell r="G1373" t="str">
            <v>WHL</v>
          </cell>
        </row>
        <row r="1374">
          <cell r="B1374" t="str">
            <v>V181505</v>
          </cell>
          <cell r="D1374" t="str">
            <v>NIP</v>
          </cell>
          <cell r="E1374" t="str">
            <v xml:space="preserve">1008X05599 </v>
          </cell>
          <cell r="F1374" t="str">
            <v>OSK</v>
          </cell>
          <cell r="G1374" t="str">
            <v>WHL</v>
          </cell>
        </row>
        <row r="1375">
          <cell r="B1375" t="str">
            <v>V181506</v>
          </cell>
          <cell r="D1375" t="str">
            <v>DEL</v>
          </cell>
          <cell r="E1375" t="str">
            <v xml:space="preserve">1008X05598 </v>
          </cell>
          <cell r="F1375" t="str">
            <v>HKT</v>
          </cell>
          <cell r="G1375" t="str">
            <v>WHL</v>
          </cell>
        </row>
        <row r="1376">
          <cell r="B1376" t="str">
            <v>V181507</v>
          </cell>
          <cell r="G1376" t="b">
            <v>0</v>
          </cell>
        </row>
        <row r="1377">
          <cell r="B1377" t="str">
            <v>V181508</v>
          </cell>
          <cell r="G1377" t="b">
            <v>0</v>
          </cell>
        </row>
        <row r="1378">
          <cell r="B1378" t="str">
            <v>V181509</v>
          </cell>
          <cell r="G1378" t="b">
            <v>0</v>
          </cell>
        </row>
        <row r="1379">
          <cell r="B1379" t="str">
            <v>V181510</v>
          </cell>
          <cell r="G1379" t="b">
            <v>0</v>
          </cell>
        </row>
        <row r="1380">
          <cell r="B1380" t="str">
            <v>V181511</v>
          </cell>
          <cell r="G1380" t="b">
            <v>0</v>
          </cell>
        </row>
        <row r="1381">
          <cell r="B1381" t="str">
            <v>V181512</v>
          </cell>
          <cell r="G1381" t="b">
            <v>0</v>
          </cell>
        </row>
        <row r="1382">
          <cell r="B1382" t="str">
            <v>V181513</v>
          </cell>
          <cell r="G1382" t="b">
            <v>0</v>
          </cell>
        </row>
        <row r="1383">
          <cell r="B1383" t="str">
            <v>V181514</v>
          </cell>
          <cell r="G1383" t="b">
            <v>0</v>
          </cell>
        </row>
        <row r="1384">
          <cell r="B1384" t="str">
            <v>V181515</v>
          </cell>
          <cell r="G1384" t="b">
            <v>0</v>
          </cell>
        </row>
        <row r="1385">
          <cell r="B1385" t="str">
            <v>V181516</v>
          </cell>
          <cell r="G1385" t="b">
            <v>0</v>
          </cell>
        </row>
        <row r="1386">
          <cell r="B1386" t="str">
            <v>V181517</v>
          </cell>
          <cell r="G1386" t="b">
            <v>0</v>
          </cell>
        </row>
        <row r="1387">
          <cell r="B1387" t="str">
            <v>V181518</v>
          </cell>
          <cell r="G1387" t="b">
            <v>0</v>
          </cell>
        </row>
        <row r="1388">
          <cell r="B1388" t="str">
            <v>V181519</v>
          </cell>
          <cell r="G1388" t="b">
            <v>0</v>
          </cell>
        </row>
        <row r="1389">
          <cell r="B1389" t="str">
            <v>V181520</v>
          </cell>
          <cell r="G1389" t="b">
            <v>0</v>
          </cell>
        </row>
        <row r="1390">
          <cell r="B1390" t="str">
            <v>V181521</v>
          </cell>
          <cell r="G1390" t="b">
            <v>0</v>
          </cell>
        </row>
        <row r="1391">
          <cell r="B1391" t="str">
            <v>V181522</v>
          </cell>
          <cell r="G1391" t="b">
            <v>0</v>
          </cell>
        </row>
        <row r="1392">
          <cell r="B1392" t="str">
            <v>V181523</v>
          </cell>
          <cell r="G1392" t="b">
            <v>0</v>
          </cell>
        </row>
        <row r="1393">
          <cell r="B1393" t="str">
            <v>V181524</v>
          </cell>
          <cell r="G1393" t="b">
            <v>0</v>
          </cell>
        </row>
        <row r="1394">
          <cell r="G1394" t="b">
            <v>0</v>
          </cell>
        </row>
        <row r="1395">
          <cell r="G1395" t="b">
            <v>0</v>
          </cell>
        </row>
        <row r="1396">
          <cell r="G1396" t="b">
            <v>0</v>
          </cell>
        </row>
        <row r="1397">
          <cell r="G1397" t="b">
            <v>0</v>
          </cell>
        </row>
        <row r="1398">
          <cell r="G1398" t="b">
            <v>0</v>
          </cell>
        </row>
        <row r="1399">
          <cell r="G1399" t="b">
            <v>0</v>
          </cell>
        </row>
        <row r="1400">
          <cell r="G1400" t="b">
            <v>0</v>
          </cell>
        </row>
        <row r="1401">
          <cell r="G1401" t="b">
            <v>0</v>
          </cell>
        </row>
        <row r="1402">
          <cell r="G1402" t="b">
            <v>0</v>
          </cell>
        </row>
        <row r="1403">
          <cell r="G1403" t="b">
            <v>0</v>
          </cell>
        </row>
        <row r="1404">
          <cell r="G1404" t="b">
            <v>0</v>
          </cell>
        </row>
        <row r="1405">
          <cell r="G1405" t="b">
            <v>0</v>
          </cell>
        </row>
        <row r="1406">
          <cell r="G1406" t="b">
            <v>0</v>
          </cell>
        </row>
        <row r="1407">
          <cell r="G1407" t="b">
            <v>0</v>
          </cell>
        </row>
        <row r="1408">
          <cell r="G1408" t="b">
            <v>0</v>
          </cell>
        </row>
        <row r="1409">
          <cell r="G1409" t="b">
            <v>0</v>
          </cell>
        </row>
        <row r="1410">
          <cell r="G1410" t="b">
            <v>0</v>
          </cell>
        </row>
        <row r="1411">
          <cell r="G1411" t="b">
            <v>0</v>
          </cell>
        </row>
        <row r="1412">
          <cell r="G1412" t="b">
            <v>0</v>
          </cell>
        </row>
        <row r="1413">
          <cell r="G1413" t="b">
            <v>0</v>
          </cell>
        </row>
        <row r="1414">
          <cell r="G1414" t="b">
            <v>0</v>
          </cell>
        </row>
        <row r="1415">
          <cell r="G1415" t="b">
            <v>0</v>
          </cell>
        </row>
        <row r="1416">
          <cell r="G1416" t="b">
            <v>0</v>
          </cell>
        </row>
        <row r="1417">
          <cell r="G1417" t="b">
            <v>0</v>
          </cell>
        </row>
        <row r="1418">
          <cell r="G1418" t="b">
            <v>0</v>
          </cell>
        </row>
        <row r="1419">
          <cell r="G1419" t="b">
            <v>0</v>
          </cell>
        </row>
        <row r="1420">
          <cell r="G1420" t="b">
            <v>0</v>
          </cell>
        </row>
        <row r="1421">
          <cell r="G1421" t="b">
            <v>0</v>
          </cell>
        </row>
        <row r="1422">
          <cell r="G1422" t="b">
            <v>0</v>
          </cell>
        </row>
        <row r="1423">
          <cell r="G1423" t="b">
            <v>0</v>
          </cell>
        </row>
        <row r="1424">
          <cell r="G1424" t="b">
            <v>0</v>
          </cell>
        </row>
        <row r="1425">
          <cell r="G1425" t="b">
            <v>0</v>
          </cell>
        </row>
        <row r="1426">
          <cell r="G1426" t="b">
            <v>0</v>
          </cell>
        </row>
        <row r="1427">
          <cell r="G1427" t="b">
            <v>0</v>
          </cell>
        </row>
        <row r="1428">
          <cell r="G1428" t="b">
            <v>0</v>
          </cell>
        </row>
        <row r="1429">
          <cell r="G1429" t="b">
            <v>0</v>
          </cell>
        </row>
        <row r="1430">
          <cell r="G1430" t="b">
            <v>0</v>
          </cell>
        </row>
        <row r="1431">
          <cell r="G1431" t="b">
            <v>0</v>
          </cell>
        </row>
        <row r="1432">
          <cell r="G1432" t="b">
            <v>0</v>
          </cell>
        </row>
        <row r="1433">
          <cell r="G1433" t="b">
            <v>0</v>
          </cell>
        </row>
        <row r="1434">
          <cell r="G1434" t="b">
            <v>0</v>
          </cell>
        </row>
        <row r="1435">
          <cell r="G1435" t="b">
            <v>0</v>
          </cell>
        </row>
        <row r="1436">
          <cell r="G1436" t="b">
            <v>0</v>
          </cell>
        </row>
        <row r="1437">
          <cell r="G1437" t="b">
            <v>0</v>
          </cell>
        </row>
        <row r="1438">
          <cell r="G1438" t="b">
            <v>0</v>
          </cell>
        </row>
        <row r="1439">
          <cell r="G1439" t="b">
            <v>0</v>
          </cell>
        </row>
        <row r="1440">
          <cell r="G1440" t="b">
            <v>0</v>
          </cell>
        </row>
        <row r="1441">
          <cell r="G1441" t="b">
            <v>0</v>
          </cell>
        </row>
        <row r="1442">
          <cell r="G1442" t="b">
            <v>0</v>
          </cell>
        </row>
        <row r="1443">
          <cell r="G1443" t="b">
            <v>0</v>
          </cell>
        </row>
        <row r="1444">
          <cell r="G1444" t="b">
            <v>0</v>
          </cell>
        </row>
        <row r="1445">
          <cell r="G1445" t="b">
            <v>0</v>
          </cell>
        </row>
        <row r="1446">
          <cell r="G1446" t="b">
            <v>0</v>
          </cell>
        </row>
        <row r="1447">
          <cell r="G1447" t="b">
            <v>0</v>
          </cell>
        </row>
        <row r="1448">
          <cell r="G1448" t="b">
            <v>0</v>
          </cell>
        </row>
        <row r="1449">
          <cell r="G1449" t="b">
            <v>0</v>
          </cell>
        </row>
        <row r="1450">
          <cell r="G1450" t="b">
            <v>0</v>
          </cell>
        </row>
        <row r="1451">
          <cell r="G1451" t="b">
            <v>0</v>
          </cell>
        </row>
        <row r="1452">
          <cell r="G1452" t="b">
            <v>0</v>
          </cell>
        </row>
        <row r="1453">
          <cell r="G1453" t="b">
            <v>0</v>
          </cell>
        </row>
        <row r="1454">
          <cell r="G1454" t="b">
            <v>0</v>
          </cell>
        </row>
        <row r="1455">
          <cell r="G1455" t="b">
            <v>0</v>
          </cell>
        </row>
        <row r="1456">
          <cell r="G1456" t="b">
            <v>0</v>
          </cell>
        </row>
        <row r="1457">
          <cell r="G1457" t="b">
            <v>0</v>
          </cell>
        </row>
        <row r="1458">
          <cell r="G1458" t="b">
            <v>0</v>
          </cell>
        </row>
        <row r="1459">
          <cell r="G1459" t="b">
            <v>0</v>
          </cell>
        </row>
        <row r="1460">
          <cell r="G1460" t="b">
            <v>0</v>
          </cell>
        </row>
        <row r="1461">
          <cell r="G1461" t="b">
            <v>0</v>
          </cell>
        </row>
        <row r="1462">
          <cell r="G1462" t="b">
            <v>0</v>
          </cell>
        </row>
        <row r="1463">
          <cell r="G1463" t="b">
            <v>0</v>
          </cell>
        </row>
        <row r="1464">
          <cell r="G1464" t="b">
            <v>0</v>
          </cell>
        </row>
        <row r="1465">
          <cell r="G1465" t="b">
            <v>0</v>
          </cell>
        </row>
        <row r="1466">
          <cell r="G1466" t="b">
            <v>0</v>
          </cell>
        </row>
        <row r="1467">
          <cell r="G1467" t="b">
            <v>0</v>
          </cell>
        </row>
        <row r="1468">
          <cell r="G1468" t="b">
            <v>0</v>
          </cell>
        </row>
        <row r="1469">
          <cell r="G1469" t="b">
            <v>0</v>
          </cell>
        </row>
        <row r="1470">
          <cell r="G1470" t="b">
            <v>0</v>
          </cell>
        </row>
        <row r="1471">
          <cell r="G1471" t="b">
            <v>0</v>
          </cell>
        </row>
        <row r="1472">
          <cell r="G1472" t="b">
            <v>0</v>
          </cell>
        </row>
        <row r="1473">
          <cell r="G1473" t="b">
            <v>0</v>
          </cell>
        </row>
        <row r="1474">
          <cell r="G1474" t="b">
            <v>0</v>
          </cell>
        </row>
        <row r="1475">
          <cell r="G1475" t="b">
            <v>0</v>
          </cell>
        </row>
        <row r="1476">
          <cell r="G1476" t="b">
            <v>0</v>
          </cell>
        </row>
        <row r="1477">
          <cell r="G1477" t="b">
            <v>0</v>
          </cell>
        </row>
        <row r="1478">
          <cell r="G1478" t="b">
            <v>0</v>
          </cell>
        </row>
        <row r="1479">
          <cell r="G1479" t="b">
            <v>0</v>
          </cell>
        </row>
        <row r="1480">
          <cell r="G1480" t="b">
            <v>0</v>
          </cell>
        </row>
        <row r="1481">
          <cell r="G1481" t="b">
            <v>0</v>
          </cell>
        </row>
        <row r="1482">
          <cell r="G1482" t="b">
            <v>0</v>
          </cell>
        </row>
        <row r="1483">
          <cell r="G1483" t="b">
            <v>0</v>
          </cell>
        </row>
        <row r="1484">
          <cell r="G1484" t="b">
            <v>0</v>
          </cell>
        </row>
        <row r="1485">
          <cell r="G1485" t="b">
            <v>0</v>
          </cell>
        </row>
        <row r="1486">
          <cell r="G1486" t="b">
            <v>0</v>
          </cell>
        </row>
        <row r="1487">
          <cell r="G1487" t="b">
            <v>0</v>
          </cell>
        </row>
        <row r="1488">
          <cell r="G1488" t="b">
            <v>0</v>
          </cell>
        </row>
        <row r="1489">
          <cell r="G1489" t="b">
            <v>0</v>
          </cell>
        </row>
        <row r="1490">
          <cell r="G1490" t="b">
            <v>0</v>
          </cell>
        </row>
        <row r="1491">
          <cell r="G1491" t="b">
            <v>0</v>
          </cell>
        </row>
        <row r="1492">
          <cell r="G1492" t="b">
            <v>0</v>
          </cell>
        </row>
        <row r="1493">
          <cell r="G1493" t="b">
            <v>0</v>
          </cell>
        </row>
        <row r="1494">
          <cell r="G1494" t="b">
            <v>0</v>
          </cell>
        </row>
        <row r="1495">
          <cell r="G1495" t="b">
            <v>0</v>
          </cell>
        </row>
        <row r="1496">
          <cell r="G1496" t="b">
            <v>0</v>
          </cell>
        </row>
        <row r="1497">
          <cell r="G1497" t="b">
            <v>0</v>
          </cell>
        </row>
        <row r="1498">
          <cell r="G1498" t="b">
            <v>0</v>
          </cell>
        </row>
        <row r="1499">
          <cell r="G1499" t="b">
            <v>0</v>
          </cell>
        </row>
        <row r="1500">
          <cell r="G1500" t="b">
            <v>0</v>
          </cell>
        </row>
        <row r="1501">
          <cell r="G1501" t="b">
            <v>0</v>
          </cell>
        </row>
        <row r="1502">
          <cell r="G1502" t="b">
            <v>0</v>
          </cell>
        </row>
        <row r="1503">
          <cell r="G1503" t="b">
            <v>0</v>
          </cell>
        </row>
        <row r="1504">
          <cell r="G1504" t="b">
            <v>0</v>
          </cell>
        </row>
        <row r="1505">
          <cell r="G1505" t="b">
            <v>0</v>
          </cell>
        </row>
        <row r="1506">
          <cell r="G1506" t="b">
            <v>0</v>
          </cell>
        </row>
        <row r="1507">
          <cell r="G1507" t="b">
            <v>0</v>
          </cell>
        </row>
        <row r="1508">
          <cell r="G1508" t="b">
            <v>0</v>
          </cell>
        </row>
        <row r="1509">
          <cell r="G1509" t="b">
            <v>0</v>
          </cell>
        </row>
        <row r="1510">
          <cell r="G1510" t="b">
            <v>0</v>
          </cell>
        </row>
        <row r="1511">
          <cell r="G1511" t="b">
            <v>0</v>
          </cell>
        </row>
        <row r="1512">
          <cell r="G1512" t="b">
            <v>0</v>
          </cell>
        </row>
        <row r="1513">
          <cell r="G1513" t="b">
            <v>0</v>
          </cell>
        </row>
        <row r="1514">
          <cell r="G1514" t="b">
            <v>0</v>
          </cell>
        </row>
        <row r="1515">
          <cell r="G1515" t="b">
            <v>0</v>
          </cell>
        </row>
        <row r="1516">
          <cell r="G1516" t="b">
            <v>0</v>
          </cell>
        </row>
        <row r="1517">
          <cell r="G1517" t="b">
            <v>0</v>
          </cell>
        </row>
        <row r="1518">
          <cell r="G1518" t="b">
            <v>0</v>
          </cell>
        </row>
        <row r="1519">
          <cell r="G1519" t="b">
            <v>0</v>
          </cell>
        </row>
        <row r="1520">
          <cell r="G1520" t="b">
            <v>0</v>
          </cell>
        </row>
        <row r="1521">
          <cell r="G1521" t="b">
            <v>0</v>
          </cell>
        </row>
        <row r="1522">
          <cell r="G1522" t="b">
            <v>0</v>
          </cell>
        </row>
        <row r="1523">
          <cell r="G1523" t="b">
            <v>0</v>
          </cell>
        </row>
        <row r="1524">
          <cell r="G1524" t="b">
            <v>0</v>
          </cell>
        </row>
        <row r="1525">
          <cell r="G1525" t="b">
            <v>0</v>
          </cell>
        </row>
        <row r="1526">
          <cell r="G1526" t="b">
            <v>0</v>
          </cell>
        </row>
        <row r="1527">
          <cell r="G1527" t="b">
            <v>0</v>
          </cell>
        </row>
        <row r="1528">
          <cell r="G1528" t="b">
            <v>0</v>
          </cell>
        </row>
        <row r="1529">
          <cell r="G1529" t="b">
            <v>0</v>
          </cell>
        </row>
        <row r="1530">
          <cell r="G1530" t="b">
            <v>0</v>
          </cell>
        </row>
        <row r="1531">
          <cell r="G1531" t="b">
            <v>0</v>
          </cell>
        </row>
        <row r="1532">
          <cell r="G1532" t="b">
            <v>0</v>
          </cell>
        </row>
        <row r="1533">
          <cell r="G1533" t="b">
            <v>0</v>
          </cell>
        </row>
        <row r="1534">
          <cell r="G1534" t="b">
            <v>0</v>
          </cell>
        </row>
        <row r="1535">
          <cell r="G1535" t="b">
            <v>0</v>
          </cell>
        </row>
        <row r="1536">
          <cell r="G1536" t="b">
            <v>0</v>
          </cell>
        </row>
        <row r="1537">
          <cell r="G1537" t="b">
            <v>0</v>
          </cell>
        </row>
        <row r="1538">
          <cell r="G1538" t="b">
            <v>0</v>
          </cell>
        </row>
        <row r="1539">
          <cell r="G1539" t="b">
            <v>0</v>
          </cell>
        </row>
        <row r="1540">
          <cell r="G1540" t="b">
            <v>0</v>
          </cell>
        </row>
        <row r="1541">
          <cell r="G1541" t="b">
            <v>0</v>
          </cell>
        </row>
        <row r="1542">
          <cell r="G1542" t="b">
            <v>0</v>
          </cell>
        </row>
        <row r="1543">
          <cell r="G1543" t="b">
            <v>0</v>
          </cell>
        </row>
        <row r="1544">
          <cell r="G1544" t="b">
            <v>0</v>
          </cell>
        </row>
        <row r="1545">
          <cell r="G1545" t="b">
            <v>0</v>
          </cell>
        </row>
        <row r="1546">
          <cell r="G1546" t="b">
            <v>0</v>
          </cell>
        </row>
        <row r="1547">
          <cell r="G1547" t="b">
            <v>0</v>
          </cell>
        </row>
        <row r="1548">
          <cell r="G1548" t="b">
            <v>0</v>
          </cell>
        </row>
        <row r="1549">
          <cell r="G1549" t="b">
            <v>0</v>
          </cell>
        </row>
        <row r="1550">
          <cell r="G1550" t="b">
            <v>0</v>
          </cell>
        </row>
        <row r="1551">
          <cell r="G1551" t="b">
            <v>0</v>
          </cell>
        </row>
        <row r="1552">
          <cell r="G1552" t="b">
            <v>0</v>
          </cell>
        </row>
        <row r="1553">
          <cell r="G1553" t="b">
            <v>0</v>
          </cell>
        </row>
        <row r="1554">
          <cell r="G1554" t="b">
            <v>0</v>
          </cell>
        </row>
        <row r="1555">
          <cell r="G1555" t="b">
            <v>0</v>
          </cell>
        </row>
        <row r="1556">
          <cell r="G1556" t="b">
            <v>0</v>
          </cell>
        </row>
        <row r="1557">
          <cell r="G1557" t="b">
            <v>0</v>
          </cell>
        </row>
        <row r="1558">
          <cell r="G1558" t="b">
            <v>0</v>
          </cell>
        </row>
        <row r="1559">
          <cell r="G1559" t="b">
            <v>0</v>
          </cell>
        </row>
        <row r="1560">
          <cell r="G1560" t="b">
            <v>0</v>
          </cell>
        </row>
        <row r="1561">
          <cell r="G1561" t="b">
            <v>0</v>
          </cell>
        </row>
        <row r="1562">
          <cell r="G1562" t="b">
            <v>0</v>
          </cell>
        </row>
        <row r="1563">
          <cell r="G1563" t="b">
            <v>0</v>
          </cell>
        </row>
        <row r="1564">
          <cell r="G1564" t="b">
            <v>0</v>
          </cell>
        </row>
        <row r="1565">
          <cell r="G1565" t="b">
            <v>0</v>
          </cell>
        </row>
        <row r="1566">
          <cell r="G1566" t="b">
            <v>0</v>
          </cell>
        </row>
        <row r="1567">
          <cell r="G1567" t="b">
            <v>0</v>
          </cell>
        </row>
        <row r="1568">
          <cell r="G1568" t="b">
            <v>0</v>
          </cell>
        </row>
        <row r="1569">
          <cell r="G1569" t="b">
            <v>0</v>
          </cell>
        </row>
        <row r="1570">
          <cell r="G1570" t="b">
            <v>0</v>
          </cell>
        </row>
        <row r="1571">
          <cell r="G1571" t="b">
            <v>0</v>
          </cell>
        </row>
        <row r="1572">
          <cell r="G1572" t="b">
            <v>0</v>
          </cell>
        </row>
        <row r="1573">
          <cell r="G1573" t="b">
            <v>0</v>
          </cell>
        </row>
        <row r="1574">
          <cell r="G1574" t="b">
            <v>0</v>
          </cell>
        </row>
        <row r="1575">
          <cell r="G1575" t="b">
            <v>0</v>
          </cell>
        </row>
        <row r="1576">
          <cell r="G1576" t="b">
            <v>0</v>
          </cell>
        </row>
        <row r="1577">
          <cell r="G1577" t="b">
            <v>0</v>
          </cell>
        </row>
        <row r="1578">
          <cell r="G1578" t="b">
            <v>0</v>
          </cell>
        </row>
        <row r="1579">
          <cell r="G1579" t="b">
            <v>0</v>
          </cell>
        </row>
        <row r="1580">
          <cell r="G1580" t="b">
            <v>0</v>
          </cell>
        </row>
        <row r="1581">
          <cell r="G1581" t="b">
            <v>0</v>
          </cell>
        </row>
        <row r="1582">
          <cell r="G1582" t="b">
            <v>0</v>
          </cell>
        </row>
        <row r="1583">
          <cell r="G1583" t="b">
            <v>0</v>
          </cell>
        </row>
        <row r="1584">
          <cell r="G1584" t="b">
            <v>0</v>
          </cell>
        </row>
        <row r="1585">
          <cell r="G1585" t="b">
            <v>0</v>
          </cell>
        </row>
        <row r="1586">
          <cell r="G1586" t="b">
            <v>0</v>
          </cell>
        </row>
        <row r="1587">
          <cell r="G1587" t="b">
            <v>0</v>
          </cell>
        </row>
        <row r="1588">
          <cell r="G1588" t="b">
            <v>0</v>
          </cell>
        </row>
        <row r="1589">
          <cell r="G1589" t="b">
            <v>0</v>
          </cell>
        </row>
        <row r="1590">
          <cell r="G1590" t="b">
            <v>0</v>
          </cell>
        </row>
        <row r="1591">
          <cell r="G1591" t="b">
            <v>0</v>
          </cell>
        </row>
        <row r="1592">
          <cell r="G1592" t="b">
            <v>0</v>
          </cell>
        </row>
        <row r="1593">
          <cell r="G1593" t="b">
            <v>0</v>
          </cell>
        </row>
        <row r="1594">
          <cell r="G1594" t="b">
            <v>0</v>
          </cell>
        </row>
        <row r="1595">
          <cell r="G1595" t="b">
            <v>0</v>
          </cell>
        </row>
        <row r="1596">
          <cell r="G1596" t="b">
            <v>0</v>
          </cell>
        </row>
        <row r="1597">
          <cell r="G1597" t="b">
            <v>0</v>
          </cell>
        </row>
        <row r="1598">
          <cell r="G1598" t="b">
            <v>0</v>
          </cell>
        </row>
        <row r="1599">
          <cell r="G1599" t="b">
            <v>0</v>
          </cell>
        </row>
        <row r="1600">
          <cell r="G1600" t="b">
            <v>0</v>
          </cell>
        </row>
        <row r="1601">
          <cell r="G1601" t="b">
            <v>0</v>
          </cell>
        </row>
        <row r="1602">
          <cell r="G1602" t="b">
            <v>0</v>
          </cell>
        </row>
        <row r="1603">
          <cell r="G1603" t="b">
            <v>0</v>
          </cell>
        </row>
        <row r="1604">
          <cell r="G1604" t="b">
            <v>0</v>
          </cell>
        </row>
        <row r="1605">
          <cell r="G1605" t="b">
            <v>0</v>
          </cell>
        </row>
        <row r="1606">
          <cell r="G1606" t="b">
            <v>0</v>
          </cell>
        </row>
        <row r="1607">
          <cell r="G1607" t="b">
            <v>0</v>
          </cell>
        </row>
        <row r="1608">
          <cell r="G1608" t="b">
            <v>0</v>
          </cell>
        </row>
        <row r="1609">
          <cell r="G1609" t="b">
            <v>0</v>
          </cell>
        </row>
        <row r="1610">
          <cell r="G1610" t="b">
            <v>0</v>
          </cell>
        </row>
        <row r="1611">
          <cell r="G1611" t="b">
            <v>0</v>
          </cell>
        </row>
        <row r="1612">
          <cell r="G1612" t="b">
            <v>0</v>
          </cell>
        </row>
        <row r="1613">
          <cell r="G1613" t="b">
            <v>0</v>
          </cell>
        </row>
        <row r="1614">
          <cell r="G1614" t="b">
            <v>0</v>
          </cell>
        </row>
        <row r="1615">
          <cell r="G1615" t="b">
            <v>0</v>
          </cell>
        </row>
        <row r="1616">
          <cell r="G1616" t="b">
            <v>0</v>
          </cell>
        </row>
        <row r="1617">
          <cell r="G1617" t="b">
            <v>0</v>
          </cell>
        </row>
        <row r="1618">
          <cell r="G1618" t="b">
            <v>0</v>
          </cell>
        </row>
        <row r="1619">
          <cell r="G1619" t="b">
            <v>0</v>
          </cell>
        </row>
        <row r="1620">
          <cell r="G1620" t="b">
            <v>0</v>
          </cell>
        </row>
        <row r="1621">
          <cell r="G1621" t="b">
            <v>0</v>
          </cell>
        </row>
        <row r="1622">
          <cell r="G1622" t="b">
            <v>0</v>
          </cell>
        </row>
        <row r="1623">
          <cell r="G1623" t="b">
            <v>0</v>
          </cell>
        </row>
        <row r="1624">
          <cell r="G1624" t="b">
            <v>0</v>
          </cell>
        </row>
        <row r="1625">
          <cell r="G1625" t="b">
            <v>0</v>
          </cell>
        </row>
        <row r="1626">
          <cell r="G1626" t="b">
            <v>0</v>
          </cell>
        </row>
        <row r="1627">
          <cell r="G1627" t="b">
            <v>0</v>
          </cell>
        </row>
        <row r="1628">
          <cell r="G1628" t="b">
            <v>0</v>
          </cell>
        </row>
        <row r="1629">
          <cell r="G1629" t="b">
            <v>0</v>
          </cell>
        </row>
        <row r="1630">
          <cell r="G1630" t="b">
            <v>0</v>
          </cell>
        </row>
        <row r="1631">
          <cell r="G1631" t="b">
            <v>0</v>
          </cell>
        </row>
        <row r="1632">
          <cell r="G1632" t="b">
            <v>0</v>
          </cell>
        </row>
        <row r="1633">
          <cell r="G1633" t="b">
            <v>0</v>
          </cell>
        </row>
        <row r="1634">
          <cell r="G1634" t="b">
            <v>0</v>
          </cell>
        </row>
        <row r="1635">
          <cell r="G1635" t="b">
            <v>0</v>
          </cell>
        </row>
        <row r="1636">
          <cell r="G1636" t="b">
            <v>0</v>
          </cell>
        </row>
        <row r="1637">
          <cell r="G1637" t="b">
            <v>0</v>
          </cell>
        </row>
        <row r="1638">
          <cell r="G1638" t="b">
            <v>0</v>
          </cell>
        </row>
        <row r="1639">
          <cell r="G1639" t="b">
            <v>0</v>
          </cell>
        </row>
        <row r="1640">
          <cell r="G1640" t="b">
            <v>0</v>
          </cell>
        </row>
        <row r="1641">
          <cell r="G1641" t="b">
            <v>0</v>
          </cell>
        </row>
        <row r="1642">
          <cell r="G1642" t="b">
            <v>0</v>
          </cell>
        </row>
        <row r="1643">
          <cell r="G1643" t="b">
            <v>0</v>
          </cell>
        </row>
        <row r="1644">
          <cell r="G1644" t="b">
            <v>0</v>
          </cell>
        </row>
        <row r="1645">
          <cell r="G1645" t="b">
            <v>0</v>
          </cell>
        </row>
        <row r="1646">
          <cell r="G1646" t="b">
            <v>0</v>
          </cell>
        </row>
        <row r="1647">
          <cell r="G1647" t="b">
            <v>0</v>
          </cell>
        </row>
        <row r="1648">
          <cell r="G1648" t="b">
            <v>0</v>
          </cell>
        </row>
        <row r="1649">
          <cell r="G1649" t="b">
            <v>0</v>
          </cell>
        </row>
        <row r="1650">
          <cell r="G1650" t="b">
            <v>0</v>
          </cell>
        </row>
        <row r="1651">
          <cell r="G1651" t="b">
            <v>0</v>
          </cell>
        </row>
        <row r="1652">
          <cell r="G1652" t="b">
            <v>0</v>
          </cell>
        </row>
        <row r="1653">
          <cell r="G1653" t="b">
            <v>0</v>
          </cell>
        </row>
        <row r="1654">
          <cell r="G1654" t="b">
            <v>0</v>
          </cell>
        </row>
        <row r="1655">
          <cell r="G1655" t="b">
            <v>0</v>
          </cell>
        </row>
        <row r="1656">
          <cell r="G1656" t="b">
            <v>0</v>
          </cell>
        </row>
        <row r="1657">
          <cell r="G1657" t="b">
            <v>0</v>
          </cell>
        </row>
        <row r="1658">
          <cell r="G1658" t="b">
            <v>0</v>
          </cell>
        </row>
        <row r="1659">
          <cell r="G1659" t="b">
            <v>0</v>
          </cell>
        </row>
        <row r="1660">
          <cell r="G1660" t="b">
            <v>0</v>
          </cell>
        </row>
        <row r="1661">
          <cell r="G1661" t="b">
            <v>0</v>
          </cell>
        </row>
        <row r="1662">
          <cell r="G1662" t="b">
            <v>0</v>
          </cell>
        </row>
        <row r="1663">
          <cell r="G1663" t="b">
            <v>0</v>
          </cell>
        </row>
        <row r="1664">
          <cell r="G1664" t="b">
            <v>0</v>
          </cell>
        </row>
        <row r="1665">
          <cell r="G1665" t="b">
            <v>0</v>
          </cell>
        </row>
        <row r="1666">
          <cell r="G1666" t="b">
            <v>0</v>
          </cell>
        </row>
        <row r="1667">
          <cell r="G1667" t="b">
            <v>0</v>
          </cell>
        </row>
        <row r="1668">
          <cell r="G1668" t="b">
            <v>0</v>
          </cell>
        </row>
        <row r="1669">
          <cell r="G1669" t="b">
            <v>0</v>
          </cell>
        </row>
        <row r="1670">
          <cell r="G1670" t="b">
            <v>0</v>
          </cell>
        </row>
        <row r="1671">
          <cell r="G1671" t="b">
            <v>0</v>
          </cell>
        </row>
        <row r="1672">
          <cell r="G1672" t="b">
            <v>0</v>
          </cell>
        </row>
        <row r="1673">
          <cell r="G1673" t="b">
            <v>0</v>
          </cell>
        </row>
        <row r="1674">
          <cell r="G1674" t="b">
            <v>0</v>
          </cell>
        </row>
        <row r="1675">
          <cell r="G1675" t="b">
            <v>0</v>
          </cell>
        </row>
        <row r="1676">
          <cell r="G1676" t="b">
            <v>0</v>
          </cell>
        </row>
        <row r="1677">
          <cell r="G1677" t="b">
            <v>0</v>
          </cell>
        </row>
        <row r="1678">
          <cell r="G1678" t="b">
            <v>0</v>
          </cell>
        </row>
        <row r="1679">
          <cell r="G1679" t="b">
            <v>0</v>
          </cell>
        </row>
        <row r="1680">
          <cell r="G1680" t="b">
            <v>0</v>
          </cell>
        </row>
        <row r="1681">
          <cell r="G1681" t="b">
            <v>0</v>
          </cell>
        </row>
        <row r="1682">
          <cell r="G1682" t="b">
            <v>0</v>
          </cell>
        </row>
        <row r="1683">
          <cell r="G1683" t="b">
            <v>0</v>
          </cell>
        </row>
        <row r="1684">
          <cell r="G1684" t="b">
            <v>0</v>
          </cell>
        </row>
        <row r="1685">
          <cell r="G1685" t="b">
            <v>0</v>
          </cell>
        </row>
        <row r="1686">
          <cell r="G1686" t="b">
            <v>0</v>
          </cell>
        </row>
        <row r="1687">
          <cell r="G1687" t="b">
            <v>0</v>
          </cell>
        </row>
        <row r="1688">
          <cell r="G1688" t="b">
            <v>0</v>
          </cell>
        </row>
        <row r="1689">
          <cell r="G1689" t="b">
            <v>0</v>
          </cell>
        </row>
        <row r="1690">
          <cell r="G1690" t="b">
            <v>0</v>
          </cell>
        </row>
        <row r="1691">
          <cell r="G1691" t="b">
            <v>0</v>
          </cell>
        </row>
        <row r="1692">
          <cell r="G1692" t="b">
            <v>0</v>
          </cell>
        </row>
        <row r="1693">
          <cell r="G1693" t="b">
            <v>0</v>
          </cell>
        </row>
        <row r="1694">
          <cell r="G1694" t="b">
            <v>0</v>
          </cell>
        </row>
        <row r="1695">
          <cell r="G1695" t="b">
            <v>0</v>
          </cell>
        </row>
        <row r="1696">
          <cell r="G1696" t="b">
            <v>0</v>
          </cell>
        </row>
        <row r="1697">
          <cell r="G1697" t="b">
            <v>0</v>
          </cell>
        </row>
        <row r="1698">
          <cell r="G1698" t="b">
            <v>0</v>
          </cell>
        </row>
        <row r="1699">
          <cell r="G1699" t="b">
            <v>0</v>
          </cell>
        </row>
        <row r="1700">
          <cell r="G1700" t="b">
            <v>0</v>
          </cell>
        </row>
        <row r="1701">
          <cell r="G1701" t="b">
            <v>0</v>
          </cell>
        </row>
        <row r="1702">
          <cell r="G1702" t="b">
            <v>0</v>
          </cell>
        </row>
        <row r="1703">
          <cell r="G1703" t="b">
            <v>0</v>
          </cell>
        </row>
        <row r="1704">
          <cell r="G1704" t="b">
            <v>0</v>
          </cell>
        </row>
        <row r="1705">
          <cell r="G1705" t="b">
            <v>0</v>
          </cell>
        </row>
        <row r="1706">
          <cell r="G1706" t="b">
            <v>0</v>
          </cell>
        </row>
        <row r="1707">
          <cell r="G1707" t="b">
            <v>0</v>
          </cell>
        </row>
        <row r="1708">
          <cell r="G1708" t="b">
            <v>0</v>
          </cell>
        </row>
        <row r="1709">
          <cell r="G1709" t="b">
            <v>0</v>
          </cell>
        </row>
        <row r="1710">
          <cell r="G1710" t="b">
            <v>0</v>
          </cell>
        </row>
        <row r="1711">
          <cell r="G1711" t="b">
            <v>0</v>
          </cell>
        </row>
        <row r="1712">
          <cell r="G1712" t="b">
            <v>0</v>
          </cell>
        </row>
        <row r="1713">
          <cell r="G1713" t="b">
            <v>0</v>
          </cell>
        </row>
        <row r="1714">
          <cell r="G1714" t="b">
            <v>0</v>
          </cell>
        </row>
        <row r="1715">
          <cell r="G1715" t="b">
            <v>0</v>
          </cell>
        </row>
        <row r="1716">
          <cell r="G1716" t="b">
            <v>0</v>
          </cell>
        </row>
        <row r="1717">
          <cell r="G1717" t="b">
            <v>0</v>
          </cell>
        </row>
        <row r="1718">
          <cell r="G1718" t="b">
            <v>0</v>
          </cell>
        </row>
        <row r="1719">
          <cell r="G1719" t="b">
            <v>0</v>
          </cell>
        </row>
        <row r="1720">
          <cell r="G1720" t="b">
            <v>0</v>
          </cell>
        </row>
        <row r="1721">
          <cell r="G1721" t="b">
            <v>0</v>
          </cell>
        </row>
        <row r="1722">
          <cell r="G1722" t="b">
            <v>0</v>
          </cell>
        </row>
        <row r="1723">
          <cell r="G1723" t="b">
            <v>0</v>
          </cell>
        </row>
        <row r="1724">
          <cell r="G1724" t="b">
            <v>0</v>
          </cell>
        </row>
        <row r="1725">
          <cell r="G1725" t="b">
            <v>0</v>
          </cell>
        </row>
        <row r="1726">
          <cell r="G1726" t="b">
            <v>0</v>
          </cell>
        </row>
        <row r="1727">
          <cell r="G1727" t="b">
            <v>0</v>
          </cell>
        </row>
        <row r="1728">
          <cell r="G1728" t="b">
            <v>0</v>
          </cell>
        </row>
        <row r="1729">
          <cell r="G1729" t="b">
            <v>0</v>
          </cell>
        </row>
        <row r="1730">
          <cell r="G1730" t="b">
            <v>0</v>
          </cell>
        </row>
        <row r="1731">
          <cell r="G1731" t="b">
            <v>0</v>
          </cell>
        </row>
        <row r="1732">
          <cell r="G1732" t="b">
            <v>0</v>
          </cell>
        </row>
        <row r="1733">
          <cell r="G1733" t="b">
            <v>0</v>
          </cell>
        </row>
        <row r="1734">
          <cell r="G1734" t="b">
            <v>0</v>
          </cell>
        </row>
        <row r="1735">
          <cell r="G1735" t="b">
            <v>0</v>
          </cell>
        </row>
        <row r="1736">
          <cell r="G1736" t="b">
            <v>0</v>
          </cell>
        </row>
        <row r="1737">
          <cell r="G1737" t="b">
            <v>0</v>
          </cell>
        </row>
        <row r="1738">
          <cell r="G1738" t="b">
            <v>0</v>
          </cell>
        </row>
        <row r="1739">
          <cell r="G1739" t="b">
            <v>0</v>
          </cell>
        </row>
        <row r="1740">
          <cell r="G1740" t="b">
            <v>0</v>
          </cell>
        </row>
        <row r="1741">
          <cell r="G1741" t="b">
            <v>0</v>
          </cell>
        </row>
        <row r="1742">
          <cell r="G1742" t="b">
            <v>0</v>
          </cell>
        </row>
        <row r="1743">
          <cell r="G1743" t="b">
            <v>0</v>
          </cell>
        </row>
        <row r="1744">
          <cell r="G1744" t="b">
            <v>0</v>
          </cell>
        </row>
        <row r="1745">
          <cell r="G1745" t="b">
            <v>0</v>
          </cell>
        </row>
        <row r="1746">
          <cell r="G1746" t="b">
            <v>0</v>
          </cell>
        </row>
        <row r="1747">
          <cell r="G1747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1748"/>
  <sheetViews>
    <sheetView tabSelected="1" zoomScale="71" zoomScaleNormal="71" workbookViewId="0">
      <pane xSplit="1" ySplit="2" topLeftCell="N1599" activePane="bottomRight" state="frozen"/>
      <selection pane="topRight" activeCell="C1" sqref="C1"/>
      <selection pane="bottomLeft" activeCell="A3" sqref="A3"/>
      <selection pane="bottomRight" activeCell="U1639" sqref="U1639"/>
    </sheetView>
  </sheetViews>
  <sheetFormatPr defaultColWidth="9.140625" defaultRowHeight="15.75" customHeight="1"/>
  <cols>
    <col min="1" max="1" width="16.5703125" style="6" customWidth="1"/>
    <col min="2" max="2" width="12.42578125" style="5" customWidth="1"/>
    <col min="3" max="3" width="17.42578125" style="7" customWidth="1"/>
    <col min="4" max="4" width="12.7109375" style="7" customWidth="1"/>
    <col min="5" max="5" width="17.42578125" style="7" customWidth="1"/>
    <col min="6" max="6" width="11.28515625" style="5" customWidth="1"/>
    <col min="7" max="7" width="17.42578125" style="7" customWidth="1"/>
    <col min="8" max="8" width="12.42578125" style="5" customWidth="1"/>
    <col min="9" max="9" width="17.42578125" style="7" customWidth="1"/>
    <col min="10" max="10" width="10.140625" style="7" customWidth="1"/>
    <col min="11" max="11" width="24.42578125" style="5" customWidth="1"/>
    <col min="12" max="12" width="10.7109375" style="5" customWidth="1"/>
    <col min="13" max="13" width="12.42578125" style="5" customWidth="1"/>
    <col min="14" max="14" width="12.140625" style="7" customWidth="1"/>
    <col min="15" max="15" width="17.42578125" style="7" customWidth="1"/>
    <col min="16" max="16" width="15.28515625" style="7" customWidth="1"/>
    <col min="17" max="17" width="10" style="5" customWidth="1"/>
    <col min="18" max="18" width="12.42578125" style="5" customWidth="1"/>
    <col min="19" max="19" width="17.42578125" style="7" customWidth="1"/>
    <col min="20" max="20" width="10.85546875" style="12" customWidth="1"/>
    <col min="21" max="21" width="10.140625" style="4" customWidth="1"/>
    <col min="22" max="22" width="17.7109375" style="4" hidden="1" customWidth="1"/>
    <col min="23" max="23" width="11.42578125" style="4" hidden="1" customWidth="1"/>
    <col min="24" max="24" width="20.85546875" style="4" customWidth="1"/>
    <col min="25" max="25" width="16.140625" style="14" customWidth="1"/>
    <col min="26" max="26" width="19.85546875" style="14" customWidth="1"/>
    <col min="27" max="27" width="31.140625" style="14" customWidth="1"/>
    <col min="28" max="28" width="20.42578125" style="14" customWidth="1"/>
    <col min="29" max="29" width="36.28515625" style="14" customWidth="1"/>
    <col min="30" max="30" width="22.140625" style="14" customWidth="1"/>
    <col min="31" max="31" width="20" style="24" customWidth="1"/>
    <col min="32" max="32" width="33.85546875" style="14" customWidth="1"/>
    <col min="33" max="33" width="15.5703125" hidden="1" customWidth="1"/>
    <col min="34" max="34" width="20.7109375" hidden="1" customWidth="1"/>
    <col min="35" max="35" width="16.28515625" style="57" bestFit="1" customWidth="1"/>
    <col min="36" max="36" width="30.5703125" bestFit="1" customWidth="1"/>
    <col min="37" max="37" width="7.28515625" hidden="1" customWidth="1"/>
    <col min="38" max="38" width="6.7109375" hidden="1" customWidth="1"/>
    <col min="39" max="39" width="5.7109375" hidden="1" customWidth="1"/>
    <col min="40" max="40" width="12.140625" customWidth="1"/>
    <col min="41" max="41" width="13.140625" customWidth="1"/>
    <col min="42" max="42" width="10.7109375" style="3" bestFit="1" customWidth="1"/>
    <col min="43" max="16384" width="9.140625" style="3"/>
  </cols>
  <sheetData>
    <row r="1" spans="1:35" customFormat="1" ht="28.5">
      <c r="A1" s="6"/>
      <c r="B1" s="66" t="s">
        <v>3</v>
      </c>
      <c r="C1" s="67"/>
      <c r="D1" s="68" t="s">
        <v>16</v>
      </c>
      <c r="E1" s="69"/>
      <c r="F1" s="69"/>
      <c r="G1" s="70"/>
      <c r="H1" s="59" t="s">
        <v>6</v>
      </c>
      <c r="I1" s="59"/>
      <c r="J1" s="63" t="s">
        <v>4</v>
      </c>
      <c r="K1" s="64"/>
      <c r="L1" s="64"/>
      <c r="M1" s="64"/>
      <c r="N1" s="64"/>
      <c r="O1" s="65"/>
      <c r="P1" s="60" t="s">
        <v>5</v>
      </c>
      <c r="Q1" s="61"/>
      <c r="R1" s="61"/>
      <c r="S1" s="62"/>
      <c r="T1" s="11" t="s">
        <v>7</v>
      </c>
      <c r="U1" s="8" t="s">
        <v>15</v>
      </c>
      <c r="V1" s="8" t="s">
        <v>10</v>
      </c>
      <c r="W1" s="9" t="s">
        <v>9</v>
      </c>
      <c r="X1" s="18" t="s">
        <v>28</v>
      </c>
      <c r="Y1" s="18" t="s">
        <v>22</v>
      </c>
      <c r="Z1" s="18" t="s">
        <v>23</v>
      </c>
      <c r="AA1" s="18" t="s">
        <v>24</v>
      </c>
      <c r="AB1" s="18" t="s">
        <v>25</v>
      </c>
      <c r="AC1" s="18" t="s">
        <v>26</v>
      </c>
      <c r="AD1" s="18" t="s">
        <v>27</v>
      </c>
      <c r="AE1" s="21"/>
      <c r="AF1" s="18"/>
      <c r="AI1" s="57"/>
    </row>
    <row r="2" spans="1:35" ht="40.5" customHeight="1">
      <c r="A2" s="6" t="s">
        <v>0</v>
      </c>
      <c r="B2" s="19" t="s">
        <v>1</v>
      </c>
      <c r="C2" s="19" t="s">
        <v>2</v>
      </c>
      <c r="D2" s="19" t="s">
        <v>18</v>
      </c>
      <c r="E2" s="1" t="s">
        <v>21</v>
      </c>
      <c r="F2" s="1" t="s">
        <v>17</v>
      </c>
      <c r="G2" s="19" t="s">
        <v>2</v>
      </c>
      <c r="H2" s="19" t="s">
        <v>1</v>
      </c>
      <c r="I2" s="19" t="s">
        <v>2</v>
      </c>
      <c r="J2" s="1" t="s">
        <v>19</v>
      </c>
      <c r="K2" s="10" t="s">
        <v>11</v>
      </c>
      <c r="L2" s="1" t="s">
        <v>12</v>
      </c>
      <c r="M2" s="20" t="s">
        <v>1</v>
      </c>
      <c r="N2" s="1" t="s">
        <v>20</v>
      </c>
      <c r="O2" s="19" t="s">
        <v>2</v>
      </c>
      <c r="P2" s="1" t="s">
        <v>14</v>
      </c>
      <c r="Q2" s="1" t="s">
        <v>13</v>
      </c>
      <c r="R2" s="19" t="s">
        <v>1</v>
      </c>
      <c r="S2" s="19" t="s">
        <v>2</v>
      </c>
      <c r="T2" s="17" t="s">
        <v>8</v>
      </c>
      <c r="U2" s="2" t="s">
        <v>8</v>
      </c>
      <c r="V2" s="15" t="s">
        <v>8</v>
      </c>
      <c r="W2" s="16" t="s">
        <v>8</v>
      </c>
      <c r="X2" s="16" t="s">
        <v>8</v>
      </c>
      <c r="Y2" s="16" t="s">
        <v>8</v>
      </c>
      <c r="Z2" s="16" t="s">
        <v>8</v>
      </c>
      <c r="AA2" s="16" t="s">
        <v>8</v>
      </c>
      <c r="AB2" s="16" t="s">
        <v>8</v>
      </c>
      <c r="AC2" s="16" t="s">
        <v>8</v>
      </c>
      <c r="AD2" s="16" t="s">
        <v>8</v>
      </c>
      <c r="AE2" s="22" t="s">
        <v>29</v>
      </c>
      <c r="AF2" s="16"/>
    </row>
    <row r="3" spans="1:35" ht="15.75" customHeight="1">
      <c r="A3" s="6" t="s">
        <v>34</v>
      </c>
      <c r="B3" s="5">
        <v>0</v>
      </c>
      <c r="C3" s="7">
        <v>0</v>
      </c>
      <c r="D3" s="7">
        <v>0</v>
      </c>
      <c r="E3" s="7">
        <v>0</v>
      </c>
      <c r="F3" s="5">
        <v>0</v>
      </c>
      <c r="G3" s="7">
        <v>0</v>
      </c>
      <c r="H3" s="5">
        <v>0</v>
      </c>
      <c r="I3" s="7">
        <v>0</v>
      </c>
      <c r="J3" s="7">
        <v>0</v>
      </c>
      <c r="K3" s="5">
        <v>0</v>
      </c>
      <c r="L3" s="5">
        <v>0</v>
      </c>
      <c r="M3" s="5">
        <v>0</v>
      </c>
      <c r="N3" s="7">
        <v>0</v>
      </c>
      <c r="O3" s="7">
        <v>0</v>
      </c>
      <c r="P3" s="7">
        <v>145</v>
      </c>
      <c r="Q3" s="5">
        <v>0</v>
      </c>
      <c r="R3" s="5">
        <v>145</v>
      </c>
      <c r="S3" s="7">
        <v>17910.5</v>
      </c>
      <c r="T3" s="12">
        <v>43102</v>
      </c>
      <c r="U3" s="4">
        <v>1</v>
      </c>
      <c r="V3" s="4">
        <v>1</v>
      </c>
      <c r="W3" s="4">
        <v>7</v>
      </c>
      <c r="X3" s="45">
        <v>17910.5</v>
      </c>
      <c r="Y3" s="14" t="s">
        <v>53</v>
      </c>
      <c r="Z3" s="14" t="s">
        <v>1355</v>
      </c>
      <c r="AA3" s="14" t="s">
        <v>826</v>
      </c>
      <c r="AB3" s="25">
        <v>43106</v>
      </c>
      <c r="AC3" s="14" t="s">
        <v>751</v>
      </c>
      <c r="AD3" s="14" t="s">
        <v>48</v>
      </c>
      <c r="AE3" s="23" t="s">
        <v>33</v>
      </c>
      <c r="AF3" s="25" t="s">
        <v>1264</v>
      </c>
      <c r="AG3" t="e">
        <f t="shared" ref="AG3:AG66" si="0">+VLOOKUP(AF3,AH:AH,2,0)</f>
        <v>#REF!</v>
      </c>
      <c r="AH3" t="s">
        <v>1264</v>
      </c>
      <c r="AI3"/>
    </row>
    <row r="4" spans="1:35" ht="15.75" customHeight="1">
      <c r="A4" s="6" t="s">
        <v>36</v>
      </c>
      <c r="B4" s="5">
        <v>0</v>
      </c>
      <c r="C4" s="7">
        <v>0</v>
      </c>
      <c r="D4" s="7">
        <v>280</v>
      </c>
      <c r="E4" s="7">
        <v>280</v>
      </c>
      <c r="F4" s="5">
        <v>0</v>
      </c>
      <c r="G4" s="7">
        <v>12046.5</v>
      </c>
      <c r="H4" s="5">
        <v>410</v>
      </c>
      <c r="I4" s="7">
        <v>49730.100000000006</v>
      </c>
      <c r="J4" s="7">
        <v>0</v>
      </c>
      <c r="K4" s="5">
        <v>0</v>
      </c>
      <c r="L4" s="5">
        <v>0</v>
      </c>
      <c r="M4" s="5">
        <v>0</v>
      </c>
      <c r="N4" s="7">
        <v>0</v>
      </c>
      <c r="O4" s="7">
        <v>0</v>
      </c>
      <c r="P4" s="7">
        <v>110</v>
      </c>
      <c r="Q4" s="5">
        <v>0</v>
      </c>
      <c r="R4" s="5">
        <v>110</v>
      </c>
      <c r="S4" s="7">
        <v>8834</v>
      </c>
      <c r="T4" s="12">
        <v>43102</v>
      </c>
      <c r="U4" s="4">
        <v>4</v>
      </c>
      <c r="V4" s="4">
        <v>1</v>
      </c>
      <c r="W4" s="4">
        <v>7</v>
      </c>
      <c r="X4" s="45">
        <v>70610.600000000006</v>
      </c>
      <c r="Y4" s="14" t="s">
        <v>54</v>
      </c>
      <c r="Z4" s="14" t="s">
        <v>55</v>
      </c>
      <c r="AA4" s="14" t="s">
        <v>827</v>
      </c>
      <c r="AB4" s="25">
        <v>43107</v>
      </c>
      <c r="AC4" s="14" t="s">
        <v>752</v>
      </c>
      <c r="AD4" s="14" t="s">
        <v>49</v>
      </c>
      <c r="AE4" s="23" t="s">
        <v>35</v>
      </c>
      <c r="AF4" s="25" t="s">
        <v>1265</v>
      </c>
      <c r="AG4" t="e">
        <f t="shared" si="0"/>
        <v>#REF!</v>
      </c>
      <c r="AH4" t="s">
        <v>1265</v>
      </c>
      <c r="AI4" s="58"/>
    </row>
    <row r="5" spans="1:35" ht="15.75" customHeight="1">
      <c r="A5" s="6" t="s">
        <v>38</v>
      </c>
      <c r="B5" s="5">
        <v>114</v>
      </c>
      <c r="C5" s="7">
        <v>13571.399999999998</v>
      </c>
      <c r="D5" s="7">
        <v>0</v>
      </c>
      <c r="E5" s="7">
        <v>0</v>
      </c>
      <c r="F5" s="5">
        <v>0</v>
      </c>
      <c r="G5" s="7">
        <v>0</v>
      </c>
      <c r="H5" s="5">
        <v>30</v>
      </c>
      <c r="I5" s="7">
        <v>1896.6</v>
      </c>
      <c r="J5" s="7">
        <v>38</v>
      </c>
      <c r="K5" s="5">
        <v>0</v>
      </c>
      <c r="L5" s="5">
        <v>0</v>
      </c>
      <c r="M5" s="5">
        <v>38</v>
      </c>
      <c r="N5" s="7">
        <v>38</v>
      </c>
      <c r="O5" s="7">
        <v>6405</v>
      </c>
      <c r="P5" s="7">
        <v>674</v>
      </c>
      <c r="Q5" s="5">
        <v>0</v>
      </c>
      <c r="R5" s="5">
        <v>674</v>
      </c>
      <c r="S5" s="7">
        <v>61772</v>
      </c>
      <c r="T5" s="12">
        <v>43102</v>
      </c>
      <c r="U5" s="4">
        <v>5</v>
      </c>
      <c r="V5" s="4">
        <v>1</v>
      </c>
      <c r="W5" s="4">
        <v>7</v>
      </c>
      <c r="X5" s="45">
        <v>83645</v>
      </c>
      <c r="Y5" s="14" t="s">
        <v>56</v>
      </c>
      <c r="Z5" s="14" t="s">
        <v>57</v>
      </c>
      <c r="AA5" s="14" t="s">
        <v>828</v>
      </c>
      <c r="AB5" s="25">
        <v>43107</v>
      </c>
      <c r="AC5" s="14" t="s">
        <v>753</v>
      </c>
      <c r="AD5" s="14" t="s">
        <v>49</v>
      </c>
      <c r="AE5" s="23" t="s">
        <v>37</v>
      </c>
      <c r="AF5" s="25" t="s">
        <v>1266</v>
      </c>
      <c r="AG5" t="e">
        <f t="shared" si="0"/>
        <v>#REF!</v>
      </c>
      <c r="AH5" t="s">
        <v>1266</v>
      </c>
      <c r="AI5" s="58"/>
    </row>
    <row r="6" spans="1:35" ht="15.75" customHeight="1">
      <c r="A6" s="13" t="s">
        <v>39</v>
      </c>
      <c r="B6" s="5">
        <v>111</v>
      </c>
      <c r="C6" s="7">
        <v>16158.100000000002</v>
      </c>
      <c r="D6" s="7">
        <v>0</v>
      </c>
      <c r="E6" s="7">
        <v>0</v>
      </c>
      <c r="F6" s="5">
        <v>0</v>
      </c>
      <c r="G6" s="7">
        <v>0</v>
      </c>
      <c r="H6" s="5">
        <v>50</v>
      </c>
      <c r="I6" s="7">
        <v>6398</v>
      </c>
      <c r="J6" s="7">
        <v>45</v>
      </c>
      <c r="K6" s="5">
        <v>0</v>
      </c>
      <c r="L6" s="5">
        <v>0</v>
      </c>
      <c r="M6" s="5">
        <v>45</v>
      </c>
      <c r="N6" s="7">
        <v>45</v>
      </c>
      <c r="O6" s="7">
        <v>7230</v>
      </c>
      <c r="P6" s="7">
        <v>454</v>
      </c>
      <c r="Q6" s="5">
        <v>0</v>
      </c>
      <c r="R6" s="5">
        <v>454</v>
      </c>
      <c r="S6" s="7">
        <v>50388</v>
      </c>
      <c r="T6" s="12">
        <v>43103</v>
      </c>
      <c r="U6" s="4">
        <v>5</v>
      </c>
      <c r="V6" s="4">
        <v>1</v>
      </c>
      <c r="W6" s="4">
        <v>7</v>
      </c>
      <c r="X6" s="45">
        <v>80174.100000000006</v>
      </c>
      <c r="Y6" s="14" t="s">
        <v>58</v>
      </c>
      <c r="Z6" s="14" t="s">
        <v>1355</v>
      </c>
      <c r="AA6" s="14" t="s">
        <v>829</v>
      </c>
      <c r="AB6" s="25">
        <v>43107</v>
      </c>
      <c r="AC6" s="14" t="s">
        <v>754</v>
      </c>
      <c r="AD6" s="14" t="s">
        <v>49</v>
      </c>
      <c r="AE6" s="23" t="s">
        <v>60</v>
      </c>
      <c r="AF6" s="25" t="s">
        <v>1267</v>
      </c>
      <c r="AG6" t="e">
        <f t="shared" si="0"/>
        <v>#REF!</v>
      </c>
      <c r="AH6" t="s">
        <v>1267</v>
      </c>
      <c r="AI6" s="58"/>
    </row>
    <row r="7" spans="1:35" ht="15.75" customHeight="1">
      <c r="A7" s="6" t="s">
        <v>41</v>
      </c>
      <c r="B7" s="5">
        <v>0</v>
      </c>
      <c r="C7" s="7">
        <v>0</v>
      </c>
      <c r="D7" s="7">
        <v>0</v>
      </c>
      <c r="E7" s="7">
        <v>0</v>
      </c>
      <c r="F7" s="5">
        <v>0</v>
      </c>
      <c r="G7" s="7">
        <v>0</v>
      </c>
      <c r="H7" s="5">
        <v>95</v>
      </c>
      <c r="I7" s="7">
        <v>12156.2</v>
      </c>
      <c r="J7" s="7">
        <v>0</v>
      </c>
      <c r="K7" s="5">
        <v>0</v>
      </c>
      <c r="L7" s="5">
        <v>0</v>
      </c>
      <c r="M7" s="5">
        <v>0</v>
      </c>
      <c r="N7" s="7">
        <v>0</v>
      </c>
      <c r="O7" s="7">
        <v>0</v>
      </c>
      <c r="P7" s="7">
        <v>80</v>
      </c>
      <c r="Q7" s="5">
        <v>0</v>
      </c>
      <c r="R7" s="5">
        <v>80</v>
      </c>
      <c r="S7" s="7">
        <v>12642</v>
      </c>
      <c r="T7" s="12">
        <v>43102</v>
      </c>
      <c r="U7" s="4">
        <v>2</v>
      </c>
      <c r="V7" s="4">
        <v>1</v>
      </c>
      <c r="W7" s="4">
        <v>7</v>
      </c>
      <c r="X7" s="45">
        <v>24798.2</v>
      </c>
      <c r="Y7" s="14" t="s">
        <v>56</v>
      </c>
      <c r="Z7" s="14" t="s">
        <v>1355</v>
      </c>
      <c r="AA7" s="14" t="s">
        <v>830</v>
      </c>
      <c r="AB7" s="25">
        <v>43104</v>
      </c>
      <c r="AC7" s="14" t="s">
        <v>755</v>
      </c>
      <c r="AD7" s="14" t="s">
        <v>49</v>
      </c>
      <c r="AE7" s="23" t="s">
        <v>40</v>
      </c>
      <c r="AF7" s="25" t="s">
        <v>1268</v>
      </c>
      <c r="AG7" t="e">
        <f t="shared" si="0"/>
        <v>#REF!</v>
      </c>
      <c r="AH7" t="s">
        <v>1268</v>
      </c>
      <c r="AI7" s="58"/>
    </row>
    <row r="8" spans="1:35" ht="15.75" customHeight="1">
      <c r="A8" s="6" t="s">
        <v>43</v>
      </c>
      <c r="B8" s="5">
        <v>667</v>
      </c>
      <c r="C8" s="7">
        <v>65254.9</v>
      </c>
      <c r="D8" s="7">
        <v>0</v>
      </c>
      <c r="E8" s="7">
        <v>0</v>
      </c>
      <c r="F8" s="5">
        <v>0</v>
      </c>
      <c r="G8" s="7">
        <v>0</v>
      </c>
      <c r="H8" s="5">
        <v>0</v>
      </c>
      <c r="I8" s="7">
        <v>0</v>
      </c>
      <c r="J8" s="7">
        <v>112</v>
      </c>
      <c r="K8" s="5">
        <v>0</v>
      </c>
      <c r="L8" s="5">
        <v>0</v>
      </c>
      <c r="M8" s="5">
        <v>112</v>
      </c>
      <c r="N8" s="7">
        <v>112</v>
      </c>
      <c r="O8" s="7">
        <v>20382.5</v>
      </c>
      <c r="P8" s="7">
        <v>274</v>
      </c>
      <c r="Q8" s="5">
        <v>0</v>
      </c>
      <c r="R8" s="5">
        <v>274</v>
      </c>
      <c r="S8" s="7">
        <v>49567.199999999997</v>
      </c>
      <c r="T8" s="12">
        <v>43102</v>
      </c>
      <c r="U8" s="4">
        <v>10</v>
      </c>
      <c r="V8" s="4">
        <v>1</v>
      </c>
      <c r="W8" s="4">
        <v>7</v>
      </c>
      <c r="X8" s="45">
        <v>135204.59999999998</v>
      </c>
      <c r="Y8" s="14" t="s">
        <v>54</v>
      </c>
      <c r="Z8" s="14" t="s">
        <v>59</v>
      </c>
      <c r="AA8" s="14" t="s">
        <v>831</v>
      </c>
      <c r="AB8" s="25">
        <v>43107</v>
      </c>
      <c r="AC8" s="14" t="s">
        <v>752</v>
      </c>
      <c r="AD8" s="14" t="s">
        <v>50</v>
      </c>
      <c r="AE8" s="23" t="s">
        <v>42</v>
      </c>
      <c r="AF8" s="25" t="s">
        <v>1269</v>
      </c>
      <c r="AG8" t="e">
        <f t="shared" si="0"/>
        <v>#REF!</v>
      </c>
      <c r="AH8" t="s">
        <v>1269</v>
      </c>
      <c r="AI8" s="58"/>
    </row>
    <row r="9" spans="1:35" ht="15.75" customHeight="1">
      <c r="A9" s="13" t="s">
        <v>45</v>
      </c>
      <c r="B9" s="5">
        <v>270</v>
      </c>
      <c r="C9" s="7">
        <v>35810.600000000006</v>
      </c>
      <c r="D9" s="7">
        <v>0</v>
      </c>
      <c r="E9" s="7">
        <v>0</v>
      </c>
      <c r="F9" s="5">
        <v>0</v>
      </c>
      <c r="G9" s="7">
        <v>0</v>
      </c>
      <c r="H9" s="5">
        <v>105</v>
      </c>
      <c r="I9" s="7">
        <v>14987.400000000001</v>
      </c>
      <c r="J9" s="7">
        <v>131</v>
      </c>
      <c r="K9" s="5">
        <v>0</v>
      </c>
      <c r="L9" s="5">
        <v>0</v>
      </c>
      <c r="M9" s="5">
        <v>131</v>
      </c>
      <c r="N9" s="7">
        <v>131</v>
      </c>
      <c r="O9" s="7">
        <v>10590.099999999999</v>
      </c>
      <c r="P9" s="7">
        <v>340</v>
      </c>
      <c r="Q9" s="5">
        <v>0</v>
      </c>
      <c r="R9" s="5">
        <v>340</v>
      </c>
      <c r="S9" s="7">
        <v>64894.400000000001</v>
      </c>
      <c r="T9" s="12">
        <v>43102</v>
      </c>
      <c r="U9" s="4">
        <v>9</v>
      </c>
      <c r="V9" s="4">
        <v>1</v>
      </c>
      <c r="W9" s="4">
        <v>7</v>
      </c>
      <c r="X9" s="45">
        <v>126282.5</v>
      </c>
      <c r="Y9" s="14" t="s">
        <v>54</v>
      </c>
      <c r="Z9" s="14" t="s">
        <v>30</v>
      </c>
      <c r="AA9" s="14" t="s">
        <v>832</v>
      </c>
      <c r="AB9" s="25">
        <v>43108</v>
      </c>
      <c r="AC9" s="14" t="s">
        <v>756</v>
      </c>
      <c r="AD9" s="14" t="s">
        <v>51</v>
      </c>
      <c r="AE9" s="23" t="s">
        <v>44</v>
      </c>
      <c r="AF9" s="25" t="s">
        <v>1270</v>
      </c>
      <c r="AG9" t="e">
        <f t="shared" si="0"/>
        <v>#REF!</v>
      </c>
      <c r="AH9" t="s">
        <v>1270</v>
      </c>
      <c r="AI9" s="58"/>
    </row>
    <row r="10" spans="1:35" ht="15.75" customHeight="1">
      <c r="A10" s="13" t="s">
        <v>47</v>
      </c>
      <c r="B10" s="5">
        <v>269</v>
      </c>
      <c r="C10" s="7">
        <v>25832</v>
      </c>
      <c r="D10" s="7">
        <v>30</v>
      </c>
      <c r="E10" s="7">
        <v>30</v>
      </c>
      <c r="F10" s="5">
        <v>0</v>
      </c>
      <c r="G10" s="7">
        <v>765</v>
      </c>
      <c r="H10" s="5">
        <v>0</v>
      </c>
      <c r="I10" s="7">
        <v>0</v>
      </c>
      <c r="J10" s="7">
        <v>68</v>
      </c>
      <c r="K10" s="5">
        <v>0</v>
      </c>
      <c r="L10" s="5">
        <v>0</v>
      </c>
      <c r="M10" s="5">
        <v>68</v>
      </c>
      <c r="N10" s="7">
        <v>68</v>
      </c>
      <c r="O10" s="7">
        <v>9816.2999999999993</v>
      </c>
      <c r="P10" s="7">
        <v>462</v>
      </c>
      <c r="Q10" s="5">
        <v>0</v>
      </c>
      <c r="R10" s="5">
        <v>462</v>
      </c>
      <c r="S10" s="7">
        <v>66056.899999999994</v>
      </c>
      <c r="T10" s="12">
        <v>43102</v>
      </c>
      <c r="U10" s="4">
        <v>6</v>
      </c>
      <c r="V10" s="4">
        <v>1</v>
      </c>
      <c r="W10" s="4">
        <v>7</v>
      </c>
      <c r="X10" s="45">
        <v>102470.2</v>
      </c>
      <c r="Y10" s="14" t="s">
        <v>56</v>
      </c>
      <c r="Z10" s="14" t="s">
        <v>1281</v>
      </c>
      <c r="AA10" s="14" t="s">
        <v>833</v>
      </c>
      <c r="AB10" s="25">
        <v>43107</v>
      </c>
      <c r="AC10" s="14" t="s">
        <v>753</v>
      </c>
      <c r="AD10" s="14" t="s">
        <v>52</v>
      </c>
      <c r="AE10" s="23" t="s">
        <v>46</v>
      </c>
      <c r="AF10" s="25" t="s">
        <v>1271</v>
      </c>
      <c r="AG10" t="e">
        <f t="shared" si="0"/>
        <v>#REF!</v>
      </c>
      <c r="AH10" t="s">
        <v>1271</v>
      </c>
      <c r="AI10" s="58"/>
    </row>
    <row r="11" spans="1:35" ht="15.75" customHeight="1">
      <c r="A11" s="13" t="s">
        <v>71</v>
      </c>
      <c r="B11" s="5">
        <v>59</v>
      </c>
      <c r="C11" s="7">
        <v>6056.9000000000005</v>
      </c>
      <c r="D11" s="7">
        <v>0</v>
      </c>
      <c r="E11" s="7">
        <v>0</v>
      </c>
      <c r="F11" s="5">
        <v>0</v>
      </c>
      <c r="G11" s="7">
        <v>0</v>
      </c>
      <c r="H11" s="5">
        <v>50</v>
      </c>
      <c r="I11" s="7">
        <v>6398</v>
      </c>
      <c r="J11" s="7">
        <v>0</v>
      </c>
      <c r="K11" s="5">
        <v>0</v>
      </c>
      <c r="L11" s="5">
        <v>0</v>
      </c>
      <c r="M11" s="5">
        <v>0</v>
      </c>
      <c r="N11" s="7">
        <v>0</v>
      </c>
      <c r="O11" s="7">
        <v>0</v>
      </c>
      <c r="P11" s="7">
        <v>599</v>
      </c>
      <c r="Q11" s="5">
        <v>0</v>
      </c>
      <c r="R11" s="5">
        <v>599</v>
      </c>
      <c r="S11" s="7">
        <v>79189.2</v>
      </c>
      <c r="T11" s="12">
        <v>43103</v>
      </c>
      <c r="U11" s="4">
        <v>5</v>
      </c>
      <c r="V11" s="4">
        <v>1</v>
      </c>
      <c r="W11" s="4">
        <v>7</v>
      </c>
      <c r="X11" s="45">
        <v>91644.1</v>
      </c>
      <c r="Y11" s="14" t="s">
        <v>56</v>
      </c>
      <c r="Z11" s="14" t="s">
        <v>57</v>
      </c>
      <c r="AA11" s="14" t="s">
        <v>828</v>
      </c>
      <c r="AB11" s="25">
        <v>43107</v>
      </c>
      <c r="AC11" s="14" t="s">
        <v>753</v>
      </c>
      <c r="AD11" s="14" t="s">
        <v>49</v>
      </c>
      <c r="AE11" s="23" t="s">
        <v>61</v>
      </c>
      <c r="AF11" s="25" t="s">
        <v>1266</v>
      </c>
      <c r="AG11" t="e">
        <f t="shared" si="0"/>
        <v>#REF!</v>
      </c>
      <c r="AH11" t="s">
        <v>1272</v>
      </c>
      <c r="AI11" s="58"/>
    </row>
    <row r="12" spans="1:35" ht="15.75" customHeight="1">
      <c r="A12" s="13" t="s">
        <v>63</v>
      </c>
      <c r="B12" s="5">
        <v>172</v>
      </c>
      <c r="C12" s="7">
        <v>15246.970000000001</v>
      </c>
      <c r="D12" s="7">
        <v>40</v>
      </c>
      <c r="E12" s="7">
        <v>40</v>
      </c>
      <c r="F12" s="5">
        <v>0</v>
      </c>
      <c r="G12" s="7">
        <v>1510</v>
      </c>
      <c r="H12" s="5">
        <v>180</v>
      </c>
      <c r="I12" s="7">
        <v>15925.850000000002</v>
      </c>
      <c r="J12" s="7">
        <v>42</v>
      </c>
      <c r="K12" s="5">
        <v>0</v>
      </c>
      <c r="L12" s="5">
        <v>0</v>
      </c>
      <c r="M12" s="5">
        <v>42</v>
      </c>
      <c r="N12" s="7">
        <v>42</v>
      </c>
      <c r="O12" s="7">
        <v>5168.2999999999993</v>
      </c>
      <c r="P12" s="7">
        <v>10</v>
      </c>
      <c r="Q12" s="5">
        <v>0</v>
      </c>
      <c r="R12" s="5">
        <v>10</v>
      </c>
      <c r="S12" s="7">
        <v>503.9</v>
      </c>
      <c r="T12" s="12">
        <v>43103</v>
      </c>
      <c r="U12" s="4">
        <v>3</v>
      </c>
      <c r="V12" s="4">
        <v>1</v>
      </c>
      <c r="W12" s="4">
        <v>7</v>
      </c>
      <c r="X12" s="45">
        <v>38355.020000000004</v>
      </c>
      <c r="Y12" s="14" t="s">
        <v>53</v>
      </c>
      <c r="Z12" s="14" t="s">
        <v>1355</v>
      </c>
      <c r="AA12" s="14" t="s">
        <v>834</v>
      </c>
      <c r="AB12" s="25">
        <v>43106</v>
      </c>
      <c r="AC12" s="14" t="s">
        <v>751</v>
      </c>
      <c r="AD12" s="14" t="s">
        <v>70</v>
      </c>
      <c r="AE12" s="23" t="s">
        <v>62</v>
      </c>
      <c r="AF12" s="25" t="s">
        <v>1273</v>
      </c>
      <c r="AG12" t="e">
        <f t="shared" si="0"/>
        <v>#REF!</v>
      </c>
      <c r="AH12" t="s">
        <v>1273</v>
      </c>
      <c r="AI12" s="58"/>
    </row>
    <row r="13" spans="1:35" ht="15.75" customHeight="1">
      <c r="A13" s="13" t="s">
        <v>65</v>
      </c>
      <c r="B13" s="5">
        <v>177</v>
      </c>
      <c r="C13" s="7">
        <v>10185.200000000001</v>
      </c>
      <c r="D13" s="7">
        <v>0</v>
      </c>
      <c r="E13" s="7">
        <v>0</v>
      </c>
      <c r="F13" s="5">
        <v>0</v>
      </c>
      <c r="G13" s="7">
        <v>0</v>
      </c>
      <c r="H13" s="5">
        <v>125</v>
      </c>
      <c r="I13" s="7">
        <v>16424.100000000002</v>
      </c>
      <c r="J13" s="7">
        <v>80</v>
      </c>
      <c r="K13" s="5">
        <v>0</v>
      </c>
      <c r="L13" s="5">
        <v>0</v>
      </c>
      <c r="M13" s="5">
        <v>80</v>
      </c>
      <c r="N13" s="7">
        <v>80</v>
      </c>
      <c r="O13" s="7">
        <v>7070</v>
      </c>
      <c r="P13" s="7">
        <v>20</v>
      </c>
      <c r="Q13" s="5">
        <v>0</v>
      </c>
      <c r="R13" s="5">
        <v>20</v>
      </c>
      <c r="S13" s="7">
        <v>1007.8</v>
      </c>
      <c r="T13" s="12">
        <v>43103</v>
      </c>
      <c r="U13" s="4">
        <v>3</v>
      </c>
      <c r="V13" s="4">
        <v>1</v>
      </c>
      <c r="W13" s="4">
        <v>7</v>
      </c>
      <c r="X13" s="45">
        <v>34687.100000000006</v>
      </c>
      <c r="Y13" s="14" t="s">
        <v>56</v>
      </c>
      <c r="Z13" s="14" t="s">
        <v>1281</v>
      </c>
      <c r="AA13" s="14" t="s">
        <v>833</v>
      </c>
      <c r="AB13" s="25">
        <v>43107</v>
      </c>
      <c r="AC13" s="14" t="s">
        <v>753</v>
      </c>
      <c r="AD13" s="14" t="s">
        <v>52</v>
      </c>
      <c r="AE13" s="23" t="s">
        <v>64</v>
      </c>
      <c r="AF13" s="25" t="s">
        <v>1271</v>
      </c>
      <c r="AG13" t="e">
        <f t="shared" si="0"/>
        <v>#REF!</v>
      </c>
      <c r="AH13" t="s">
        <v>1274</v>
      </c>
      <c r="AI13" s="58"/>
    </row>
    <row r="14" spans="1:35" ht="15.75" customHeight="1">
      <c r="A14" s="13" t="s">
        <v>67</v>
      </c>
      <c r="B14" s="5">
        <v>1301</v>
      </c>
      <c r="C14" s="7">
        <v>105363.30000000002</v>
      </c>
      <c r="D14" s="7">
        <v>130</v>
      </c>
      <c r="E14" s="7">
        <v>130</v>
      </c>
      <c r="F14" s="5">
        <v>0</v>
      </c>
      <c r="G14" s="7">
        <v>4508.5</v>
      </c>
      <c r="H14" s="5">
        <v>240</v>
      </c>
      <c r="I14" s="7">
        <v>32009.949999999993</v>
      </c>
      <c r="J14" s="7">
        <v>211</v>
      </c>
      <c r="K14" s="5">
        <v>0</v>
      </c>
      <c r="L14" s="5">
        <v>0</v>
      </c>
      <c r="M14" s="5">
        <v>211</v>
      </c>
      <c r="N14" s="7">
        <v>211</v>
      </c>
      <c r="O14" s="7">
        <v>3534.2</v>
      </c>
      <c r="P14" s="7">
        <v>372</v>
      </c>
      <c r="Q14" s="5">
        <v>0</v>
      </c>
      <c r="R14" s="5">
        <v>372</v>
      </c>
      <c r="S14" s="7">
        <v>43660</v>
      </c>
      <c r="T14" s="12">
        <v>43103</v>
      </c>
      <c r="U14" s="4">
        <v>14</v>
      </c>
      <c r="V14" s="4">
        <v>1</v>
      </c>
      <c r="W14" s="4">
        <v>7</v>
      </c>
      <c r="X14" s="45">
        <v>189075.95</v>
      </c>
      <c r="Y14" s="14" t="s">
        <v>54</v>
      </c>
      <c r="Z14" s="14" t="s">
        <v>30</v>
      </c>
      <c r="AA14" s="14" t="s">
        <v>832</v>
      </c>
      <c r="AB14" s="25">
        <v>43108</v>
      </c>
      <c r="AC14" s="14" t="s">
        <v>756</v>
      </c>
      <c r="AD14" s="14" t="s">
        <v>51</v>
      </c>
      <c r="AE14" s="23" t="s">
        <v>66</v>
      </c>
      <c r="AF14" s="25" t="s">
        <v>1270</v>
      </c>
      <c r="AG14" t="e">
        <f t="shared" si="0"/>
        <v>#REF!</v>
      </c>
      <c r="AH14" t="s">
        <v>1275</v>
      </c>
      <c r="AI14" s="58"/>
    </row>
    <row r="15" spans="1:35" ht="15.75" customHeight="1">
      <c r="A15" s="13" t="s">
        <v>68</v>
      </c>
      <c r="B15" s="5">
        <v>0</v>
      </c>
      <c r="C15" s="7">
        <v>0</v>
      </c>
      <c r="D15" s="7">
        <v>0</v>
      </c>
      <c r="E15" s="7">
        <v>0</v>
      </c>
      <c r="F15" s="5">
        <v>0</v>
      </c>
      <c r="G15" s="7">
        <v>0</v>
      </c>
      <c r="H15" s="5">
        <v>193</v>
      </c>
      <c r="I15" s="7">
        <v>23318.689999999995</v>
      </c>
      <c r="J15" s="7">
        <v>225</v>
      </c>
      <c r="K15" s="5">
        <v>0</v>
      </c>
      <c r="L15" s="5">
        <v>0</v>
      </c>
      <c r="M15" s="5">
        <v>225</v>
      </c>
      <c r="N15" s="7">
        <v>225</v>
      </c>
      <c r="O15" s="7">
        <v>6147</v>
      </c>
      <c r="P15" s="7">
        <v>486</v>
      </c>
      <c r="Q15" s="5">
        <v>0</v>
      </c>
      <c r="R15" s="5">
        <v>486</v>
      </c>
      <c r="S15" s="7">
        <v>46531.200000000004</v>
      </c>
      <c r="T15" s="12">
        <v>43104</v>
      </c>
      <c r="U15" s="4">
        <v>3</v>
      </c>
      <c r="V15" s="4">
        <v>1</v>
      </c>
      <c r="W15" s="4">
        <v>7</v>
      </c>
      <c r="X15" s="45">
        <v>75996.89</v>
      </c>
      <c r="Y15" s="14" t="s">
        <v>54</v>
      </c>
      <c r="Z15" s="14" t="s">
        <v>55</v>
      </c>
      <c r="AA15" s="14" t="s">
        <v>827</v>
      </c>
      <c r="AB15" s="25">
        <v>43107</v>
      </c>
      <c r="AC15" s="14" t="s">
        <v>752</v>
      </c>
      <c r="AD15" s="14" t="s">
        <v>49</v>
      </c>
      <c r="AE15" s="23" t="s">
        <v>72</v>
      </c>
      <c r="AF15" s="25" t="s">
        <v>1265</v>
      </c>
      <c r="AG15" t="e">
        <f t="shared" si="0"/>
        <v>#REF!</v>
      </c>
      <c r="AI15" s="58"/>
    </row>
    <row r="16" spans="1:35" ht="15.75" customHeight="1">
      <c r="A16" s="13" t="s">
        <v>69</v>
      </c>
      <c r="B16" s="5">
        <v>1822</v>
      </c>
      <c r="C16" s="7">
        <v>188774.37000000005</v>
      </c>
      <c r="D16" s="7">
        <v>0</v>
      </c>
      <c r="E16" s="7">
        <v>0</v>
      </c>
      <c r="F16" s="5">
        <v>0</v>
      </c>
      <c r="G16" s="7">
        <v>0</v>
      </c>
      <c r="H16" s="5">
        <v>15</v>
      </c>
      <c r="I16" s="7">
        <v>327.00000000000006</v>
      </c>
      <c r="J16" s="7">
        <v>292</v>
      </c>
      <c r="K16" s="5">
        <v>0</v>
      </c>
      <c r="L16" s="5">
        <v>0</v>
      </c>
      <c r="M16" s="5">
        <v>292</v>
      </c>
      <c r="N16" s="7">
        <v>292</v>
      </c>
      <c r="O16" s="7">
        <v>17194.099999999999</v>
      </c>
      <c r="P16" s="7">
        <v>491</v>
      </c>
      <c r="Q16" s="5">
        <v>0</v>
      </c>
      <c r="R16" s="5">
        <v>491</v>
      </c>
      <c r="S16" s="7">
        <v>46780.700000000004</v>
      </c>
      <c r="T16" s="12">
        <v>43104</v>
      </c>
      <c r="U16" s="4">
        <v>18</v>
      </c>
      <c r="V16" s="4">
        <v>1</v>
      </c>
      <c r="W16" s="4">
        <v>7</v>
      </c>
      <c r="X16" s="45">
        <v>253076.17000000007</v>
      </c>
      <c r="Y16" s="14" t="s">
        <v>54</v>
      </c>
      <c r="Z16" s="14" t="s">
        <v>59</v>
      </c>
      <c r="AA16" s="14" t="s">
        <v>831</v>
      </c>
      <c r="AB16" s="25">
        <v>43107</v>
      </c>
      <c r="AC16" s="14" t="s">
        <v>752</v>
      </c>
      <c r="AD16" s="14" t="s">
        <v>50</v>
      </c>
      <c r="AE16" s="23" t="s">
        <v>73</v>
      </c>
      <c r="AF16" s="25" t="s">
        <v>1269</v>
      </c>
      <c r="AG16" t="e">
        <f t="shared" si="0"/>
        <v>#REF!</v>
      </c>
      <c r="AI16" s="58"/>
    </row>
    <row r="17" spans="1:35" ht="15.75" customHeight="1">
      <c r="A17" s="13" t="s">
        <v>75</v>
      </c>
      <c r="B17" s="5">
        <v>138</v>
      </c>
      <c r="C17" s="7">
        <v>16228.3</v>
      </c>
      <c r="D17" s="7">
        <v>0</v>
      </c>
      <c r="E17" s="7">
        <v>0</v>
      </c>
      <c r="F17" s="5">
        <v>0</v>
      </c>
      <c r="G17" s="7">
        <v>0</v>
      </c>
      <c r="H17" s="5">
        <v>0</v>
      </c>
      <c r="I17" s="7">
        <v>0</v>
      </c>
      <c r="J17" s="7">
        <v>36</v>
      </c>
      <c r="K17" s="5">
        <v>0</v>
      </c>
      <c r="L17" s="5">
        <v>0</v>
      </c>
      <c r="M17" s="5">
        <v>36</v>
      </c>
      <c r="N17" s="7">
        <v>36</v>
      </c>
      <c r="O17" s="7">
        <v>5388.4</v>
      </c>
      <c r="P17" s="7">
        <v>0</v>
      </c>
      <c r="Q17" s="5">
        <v>0</v>
      </c>
      <c r="R17" s="5">
        <v>0</v>
      </c>
      <c r="S17" s="7">
        <v>0</v>
      </c>
      <c r="T17" s="12">
        <v>43104</v>
      </c>
      <c r="U17" s="4">
        <v>2</v>
      </c>
      <c r="V17" s="4">
        <v>1</v>
      </c>
      <c r="W17" s="4">
        <v>7</v>
      </c>
      <c r="X17" s="45">
        <v>21616.699999999997</v>
      </c>
      <c r="Y17" s="14" t="s">
        <v>54</v>
      </c>
      <c r="Z17" s="14" t="s">
        <v>1355</v>
      </c>
      <c r="AA17" s="14" t="s">
        <v>827</v>
      </c>
      <c r="AB17" s="25">
        <v>43107</v>
      </c>
      <c r="AC17" s="14" t="s">
        <v>752</v>
      </c>
      <c r="AD17" s="14" t="s">
        <v>49</v>
      </c>
      <c r="AE17" s="23" t="s">
        <v>74</v>
      </c>
      <c r="AF17" s="25" t="s">
        <v>1266</v>
      </c>
      <c r="AG17" t="e">
        <f t="shared" si="0"/>
        <v>#REF!</v>
      </c>
      <c r="AI17" s="58"/>
    </row>
    <row r="18" spans="1:35" ht="15.75" customHeight="1">
      <c r="A18" s="13" t="s">
        <v>77</v>
      </c>
      <c r="B18" s="5">
        <v>0</v>
      </c>
      <c r="C18" s="7">
        <v>0</v>
      </c>
      <c r="D18" s="7">
        <v>0</v>
      </c>
      <c r="E18" s="7">
        <v>0</v>
      </c>
      <c r="F18" s="5">
        <v>0</v>
      </c>
      <c r="G18" s="7">
        <v>0</v>
      </c>
      <c r="H18" s="5">
        <v>735</v>
      </c>
      <c r="I18" s="7">
        <v>90573.35</v>
      </c>
      <c r="J18" s="7">
        <v>0</v>
      </c>
      <c r="K18" s="5">
        <v>0</v>
      </c>
      <c r="L18" s="5">
        <v>0</v>
      </c>
      <c r="M18" s="5">
        <v>0</v>
      </c>
      <c r="N18" s="7">
        <v>0</v>
      </c>
      <c r="O18" s="7">
        <v>0</v>
      </c>
      <c r="P18" s="7">
        <v>192</v>
      </c>
      <c r="Q18" s="5">
        <v>0</v>
      </c>
      <c r="R18" s="5">
        <v>192</v>
      </c>
      <c r="S18" s="7">
        <v>15360</v>
      </c>
      <c r="T18" s="12">
        <v>43104</v>
      </c>
      <c r="U18" s="4">
        <v>7</v>
      </c>
      <c r="X18" s="45">
        <v>105933.35</v>
      </c>
      <c r="Y18" s="14" t="s">
        <v>85</v>
      </c>
      <c r="Z18" s="14" t="s">
        <v>55</v>
      </c>
      <c r="AA18" s="14">
        <v>350810000517</v>
      </c>
      <c r="AB18" s="25">
        <v>43110</v>
      </c>
      <c r="AC18" s="14" t="s">
        <v>757</v>
      </c>
      <c r="AD18" s="14" t="s">
        <v>49</v>
      </c>
      <c r="AE18" s="23" t="s">
        <v>76</v>
      </c>
      <c r="AF18" s="25" t="s">
        <v>1265</v>
      </c>
      <c r="AG18" t="e">
        <f t="shared" si="0"/>
        <v>#REF!</v>
      </c>
      <c r="AI18" s="58"/>
    </row>
    <row r="19" spans="1:35" ht="15.75" customHeight="1">
      <c r="A19" s="13" t="s">
        <v>79</v>
      </c>
      <c r="B19" s="5">
        <v>208</v>
      </c>
      <c r="C19" s="7">
        <v>21458.299999999992</v>
      </c>
      <c r="D19" s="7">
        <v>0</v>
      </c>
      <c r="E19" s="7">
        <v>0</v>
      </c>
      <c r="F19" s="5">
        <v>0</v>
      </c>
      <c r="G19" s="7">
        <v>0</v>
      </c>
      <c r="H19" s="5">
        <v>0</v>
      </c>
      <c r="I19" s="7">
        <v>0</v>
      </c>
      <c r="J19" s="7">
        <v>15</v>
      </c>
      <c r="K19" s="5">
        <v>0</v>
      </c>
      <c r="L19" s="5">
        <v>0</v>
      </c>
      <c r="M19" s="5">
        <v>15</v>
      </c>
      <c r="N19" s="7">
        <v>15</v>
      </c>
      <c r="O19" s="7">
        <v>1967.5</v>
      </c>
      <c r="P19" s="7">
        <v>0</v>
      </c>
      <c r="Q19" s="5">
        <v>0</v>
      </c>
      <c r="R19" s="5">
        <v>0</v>
      </c>
      <c r="S19" s="7">
        <v>0</v>
      </c>
      <c r="T19" s="12">
        <v>43104</v>
      </c>
      <c r="U19" s="4">
        <v>2</v>
      </c>
      <c r="X19" s="45">
        <v>23425.799999999992</v>
      </c>
      <c r="Y19" s="14" t="s">
        <v>54</v>
      </c>
      <c r="Z19" s="14" t="s">
        <v>30</v>
      </c>
      <c r="AA19" s="14" t="s">
        <v>827</v>
      </c>
      <c r="AB19" s="25">
        <v>43107</v>
      </c>
      <c r="AC19" s="14" t="s">
        <v>752</v>
      </c>
      <c r="AD19" s="14" t="s">
        <v>49</v>
      </c>
      <c r="AE19" s="23" t="s">
        <v>78</v>
      </c>
      <c r="AF19" s="25" t="s">
        <v>1267</v>
      </c>
      <c r="AG19" t="e">
        <f t="shared" si="0"/>
        <v>#REF!</v>
      </c>
      <c r="AI19" s="58"/>
    </row>
    <row r="20" spans="1:35" ht="15.75" customHeight="1">
      <c r="A20" s="13" t="s">
        <v>81</v>
      </c>
      <c r="B20" s="5">
        <v>909</v>
      </c>
      <c r="C20" s="7">
        <v>81565.750000000015</v>
      </c>
      <c r="D20" s="7">
        <v>0</v>
      </c>
      <c r="E20" s="7">
        <v>0</v>
      </c>
      <c r="F20" s="5">
        <v>0</v>
      </c>
      <c r="G20" s="7">
        <v>0</v>
      </c>
      <c r="H20" s="5">
        <v>112</v>
      </c>
      <c r="I20" s="7">
        <v>15250.220000000001</v>
      </c>
      <c r="J20" s="7">
        <v>20</v>
      </c>
      <c r="K20" s="5">
        <v>0</v>
      </c>
      <c r="L20" s="5">
        <v>0</v>
      </c>
      <c r="M20" s="5">
        <v>20</v>
      </c>
      <c r="N20" s="7">
        <v>20</v>
      </c>
      <c r="O20" s="7">
        <v>100</v>
      </c>
      <c r="P20" s="7">
        <v>108</v>
      </c>
      <c r="Q20" s="5">
        <v>0</v>
      </c>
      <c r="R20" s="5">
        <v>108</v>
      </c>
      <c r="S20" s="7">
        <v>20833.2</v>
      </c>
      <c r="T20" s="12">
        <v>43104</v>
      </c>
      <c r="U20" s="4">
        <v>8</v>
      </c>
      <c r="X20" s="45">
        <v>117749.17000000001</v>
      </c>
      <c r="Y20" s="14" t="s">
        <v>54</v>
      </c>
      <c r="Z20" s="14" t="s">
        <v>30</v>
      </c>
      <c r="AA20" s="14" t="s">
        <v>832</v>
      </c>
      <c r="AB20" s="25">
        <v>43108</v>
      </c>
      <c r="AC20" s="14" t="s">
        <v>756</v>
      </c>
      <c r="AD20" s="14" t="s">
        <v>51</v>
      </c>
      <c r="AE20" s="23" t="s">
        <v>80</v>
      </c>
      <c r="AF20" s="25" t="s">
        <v>1270</v>
      </c>
      <c r="AG20" t="e">
        <f t="shared" si="0"/>
        <v>#REF!</v>
      </c>
      <c r="AI20" s="58"/>
    </row>
    <row r="21" spans="1:35" ht="15.75" customHeight="1">
      <c r="A21" s="13" t="s">
        <v>83</v>
      </c>
      <c r="B21" s="5">
        <v>0</v>
      </c>
      <c r="C21" s="7">
        <v>0</v>
      </c>
      <c r="D21" s="7">
        <v>0</v>
      </c>
      <c r="E21" s="7">
        <v>0</v>
      </c>
      <c r="F21" s="5">
        <v>0</v>
      </c>
      <c r="G21" s="7">
        <v>0</v>
      </c>
      <c r="H21" s="5">
        <v>190</v>
      </c>
      <c r="I21" s="7">
        <v>24312.400000000001</v>
      </c>
      <c r="J21" s="7">
        <v>142</v>
      </c>
      <c r="K21" s="5">
        <v>0</v>
      </c>
      <c r="L21" s="5">
        <v>0</v>
      </c>
      <c r="M21" s="5">
        <v>142</v>
      </c>
      <c r="N21" s="7">
        <v>142</v>
      </c>
      <c r="O21" s="7">
        <v>26482.7</v>
      </c>
      <c r="P21" s="7">
        <v>245</v>
      </c>
      <c r="Q21" s="5">
        <v>0</v>
      </c>
      <c r="R21" s="5">
        <v>245</v>
      </c>
      <c r="S21" s="7">
        <v>42373.5</v>
      </c>
      <c r="T21" s="12">
        <v>43104</v>
      </c>
      <c r="U21" s="4">
        <v>8</v>
      </c>
      <c r="X21" s="45">
        <v>93168.6</v>
      </c>
      <c r="Y21" s="14" t="s">
        <v>85</v>
      </c>
      <c r="Z21" s="14" t="s">
        <v>57</v>
      </c>
      <c r="AA21" s="14">
        <v>350810000531</v>
      </c>
      <c r="AB21" s="25">
        <v>43110</v>
      </c>
      <c r="AC21" s="14" t="s">
        <v>757</v>
      </c>
      <c r="AD21" s="14" t="s">
        <v>51</v>
      </c>
      <c r="AE21" s="23" t="s">
        <v>82</v>
      </c>
      <c r="AF21" s="25" t="s">
        <v>1270</v>
      </c>
      <c r="AG21" t="e">
        <f t="shared" si="0"/>
        <v>#REF!</v>
      </c>
      <c r="AI21" s="58"/>
    </row>
    <row r="22" spans="1:35" ht="15.75" customHeight="1">
      <c r="A22" s="13" t="s">
        <v>84</v>
      </c>
      <c r="B22" s="5">
        <v>84</v>
      </c>
      <c r="C22" s="7">
        <v>11424</v>
      </c>
      <c r="D22" s="7">
        <v>0</v>
      </c>
      <c r="E22" s="7">
        <v>0</v>
      </c>
      <c r="F22" s="5">
        <v>0</v>
      </c>
      <c r="G22" s="7">
        <v>0</v>
      </c>
      <c r="H22" s="5">
        <v>0</v>
      </c>
      <c r="I22" s="7">
        <v>0</v>
      </c>
      <c r="J22" s="7">
        <v>115</v>
      </c>
      <c r="K22" s="5">
        <v>0</v>
      </c>
      <c r="L22" s="5">
        <v>0</v>
      </c>
      <c r="M22" s="5">
        <v>115</v>
      </c>
      <c r="N22" s="7">
        <v>115</v>
      </c>
      <c r="O22" s="7">
        <v>19823.800000000003</v>
      </c>
      <c r="P22" s="7">
        <v>694</v>
      </c>
      <c r="Q22" s="5">
        <v>0</v>
      </c>
      <c r="R22" s="5">
        <v>694</v>
      </c>
      <c r="S22" s="7">
        <v>95119.2</v>
      </c>
      <c r="T22" s="12">
        <v>43105</v>
      </c>
      <c r="U22" s="4">
        <v>10</v>
      </c>
      <c r="X22" s="45">
        <v>126367</v>
      </c>
      <c r="Y22" s="14" t="s">
        <v>54</v>
      </c>
      <c r="Z22" s="14" t="s">
        <v>1281</v>
      </c>
      <c r="AA22" s="14" t="s">
        <v>835</v>
      </c>
      <c r="AB22" s="25">
        <v>43111</v>
      </c>
      <c r="AC22" s="14" t="s">
        <v>758</v>
      </c>
      <c r="AD22" s="14" t="s">
        <v>50</v>
      </c>
      <c r="AE22" s="23" t="s">
        <v>98</v>
      </c>
      <c r="AF22" s="25" t="s">
        <v>1269</v>
      </c>
      <c r="AG22" t="e">
        <f t="shared" si="0"/>
        <v>#REF!</v>
      </c>
      <c r="AI22" s="58"/>
    </row>
    <row r="23" spans="1:35" ht="15.75" customHeight="1">
      <c r="A23" s="13" t="s">
        <v>87</v>
      </c>
      <c r="B23" s="5">
        <v>152</v>
      </c>
      <c r="C23" s="7">
        <v>23181.200000000001</v>
      </c>
      <c r="D23" s="7">
        <v>0</v>
      </c>
      <c r="E23" s="7">
        <v>0</v>
      </c>
      <c r="F23" s="5">
        <v>0</v>
      </c>
      <c r="G23" s="7">
        <v>0</v>
      </c>
      <c r="H23" s="5">
        <v>95</v>
      </c>
      <c r="I23" s="7">
        <v>12156.2</v>
      </c>
      <c r="J23" s="7">
        <v>0</v>
      </c>
      <c r="K23" s="5">
        <v>0</v>
      </c>
      <c r="L23" s="5">
        <v>0</v>
      </c>
      <c r="M23" s="5">
        <v>0</v>
      </c>
      <c r="N23" s="7">
        <v>0</v>
      </c>
      <c r="O23" s="7">
        <v>0</v>
      </c>
      <c r="P23" s="7">
        <v>120</v>
      </c>
      <c r="Q23" s="5">
        <v>0</v>
      </c>
      <c r="R23" s="5">
        <v>120</v>
      </c>
      <c r="S23" s="7">
        <v>14064</v>
      </c>
      <c r="T23" s="12">
        <v>43105</v>
      </c>
      <c r="U23" s="4">
        <v>4</v>
      </c>
      <c r="X23" s="45">
        <v>49401.4</v>
      </c>
      <c r="Y23" s="14" t="s">
        <v>105</v>
      </c>
      <c r="Z23" s="14" t="s">
        <v>30</v>
      </c>
      <c r="AA23" s="14" t="s">
        <v>836</v>
      </c>
      <c r="AB23" s="25">
        <v>43110</v>
      </c>
      <c r="AC23" s="14" t="s">
        <v>759</v>
      </c>
      <c r="AD23" s="14" t="s">
        <v>49</v>
      </c>
      <c r="AE23" s="23" t="s">
        <v>86</v>
      </c>
      <c r="AF23" s="25" t="s">
        <v>1267</v>
      </c>
      <c r="AG23" t="e">
        <f t="shared" si="0"/>
        <v>#REF!</v>
      </c>
      <c r="AI23" s="58"/>
    </row>
    <row r="24" spans="1:35" ht="15.75" customHeight="1">
      <c r="A24" s="13" t="s">
        <v>89</v>
      </c>
      <c r="B24" s="5">
        <v>243</v>
      </c>
      <c r="C24" s="7">
        <v>26259.659999999993</v>
      </c>
      <c r="D24" s="7">
        <v>0</v>
      </c>
      <c r="E24" s="7">
        <v>0</v>
      </c>
      <c r="F24" s="5">
        <v>0</v>
      </c>
      <c r="G24" s="7">
        <v>0</v>
      </c>
      <c r="H24" s="5">
        <v>0</v>
      </c>
      <c r="I24" s="7">
        <v>0</v>
      </c>
      <c r="J24" s="7">
        <v>95</v>
      </c>
      <c r="K24" s="5">
        <v>0</v>
      </c>
      <c r="L24" s="5">
        <v>0</v>
      </c>
      <c r="M24" s="5">
        <v>95</v>
      </c>
      <c r="N24" s="7">
        <v>95</v>
      </c>
      <c r="O24" s="7">
        <v>16226.5</v>
      </c>
      <c r="P24" s="7">
        <v>0</v>
      </c>
      <c r="Q24" s="5">
        <v>0</v>
      </c>
      <c r="R24" s="5">
        <v>0</v>
      </c>
      <c r="S24" s="7">
        <v>0</v>
      </c>
      <c r="T24" s="12">
        <v>43106</v>
      </c>
      <c r="U24" s="4">
        <v>3</v>
      </c>
      <c r="X24" s="45">
        <v>42486.159999999989</v>
      </c>
      <c r="Y24" s="14" t="s">
        <v>54</v>
      </c>
      <c r="Z24" s="14" t="s">
        <v>1355</v>
      </c>
      <c r="AA24" s="14" t="s">
        <v>837</v>
      </c>
      <c r="AB24" s="25">
        <v>43108</v>
      </c>
      <c r="AC24" s="14" t="s">
        <v>756</v>
      </c>
      <c r="AD24" s="14" t="s">
        <v>52</v>
      </c>
      <c r="AE24" s="23" t="s">
        <v>88</v>
      </c>
      <c r="AF24" s="25" t="s">
        <v>1271</v>
      </c>
      <c r="AG24" t="e">
        <f t="shared" si="0"/>
        <v>#REF!</v>
      </c>
      <c r="AI24" s="58"/>
    </row>
    <row r="25" spans="1:35" ht="15.75" customHeight="1">
      <c r="A25" s="13" t="s">
        <v>91</v>
      </c>
      <c r="B25" s="5">
        <v>215</v>
      </c>
      <c r="C25" s="7">
        <v>24212.5</v>
      </c>
      <c r="D25" s="7">
        <v>0</v>
      </c>
      <c r="E25" s="7">
        <v>0</v>
      </c>
      <c r="F25" s="5">
        <v>0</v>
      </c>
      <c r="G25" s="7">
        <v>0</v>
      </c>
      <c r="H25" s="5">
        <v>120</v>
      </c>
      <c r="I25" s="7">
        <v>15057.049999999997</v>
      </c>
      <c r="J25" s="7">
        <v>53</v>
      </c>
      <c r="K25" s="5">
        <v>0</v>
      </c>
      <c r="L25" s="5">
        <v>0</v>
      </c>
      <c r="M25" s="5">
        <v>53</v>
      </c>
      <c r="N25" s="7">
        <v>53</v>
      </c>
      <c r="O25" s="7">
        <v>9050.9</v>
      </c>
      <c r="P25" s="7">
        <v>82</v>
      </c>
      <c r="Q25" s="5">
        <v>0</v>
      </c>
      <c r="R25" s="5">
        <v>82</v>
      </c>
      <c r="S25" s="7">
        <v>14587.800000000001</v>
      </c>
      <c r="T25" s="12">
        <v>43105</v>
      </c>
      <c r="U25" s="4">
        <v>5</v>
      </c>
      <c r="X25" s="45">
        <v>62908.25</v>
      </c>
      <c r="Y25" s="14" t="s">
        <v>56</v>
      </c>
      <c r="Z25" s="14" t="s">
        <v>55</v>
      </c>
      <c r="AA25" s="14" t="s">
        <v>838</v>
      </c>
      <c r="AB25" s="25">
        <v>43113</v>
      </c>
      <c r="AC25" s="14" t="s">
        <v>760</v>
      </c>
      <c r="AD25" s="14" t="s">
        <v>52</v>
      </c>
      <c r="AE25" s="23" t="s">
        <v>90</v>
      </c>
      <c r="AF25" s="25" t="s">
        <v>1271</v>
      </c>
      <c r="AG25" t="e">
        <f t="shared" si="0"/>
        <v>#REF!</v>
      </c>
      <c r="AI25" s="58"/>
    </row>
    <row r="26" spans="1:35" ht="15.75" customHeight="1">
      <c r="A26" s="13" t="s">
        <v>93</v>
      </c>
      <c r="B26" s="5">
        <v>1322</v>
      </c>
      <c r="C26" s="7">
        <v>102929.52000000002</v>
      </c>
      <c r="D26" s="7">
        <v>0</v>
      </c>
      <c r="E26" s="7">
        <v>0</v>
      </c>
      <c r="F26" s="5">
        <v>0</v>
      </c>
      <c r="G26" s="7">
        <v>0</v>
      </c>
      <c r="H26" s="5">
        <v>163</v>
      </c>
      <c r="I26" s="7">
        <v>24641.09</v>
      </c>
      <c r="J26" s="7">
        <v>20</v>
      </c>
      <c r="K26" s="5">
        <v>0</v>
      </c>
      <c r="L26" s="5">
        <v>0</v>
      </c>
      <c r="M26" s="5">
        <v>20</v>
      </c>
      <c r="N26" s="7">
        <v>20</v>
      </c>
      <c r="O26" s="7">
        <v>2496</v>
      </c>
      <c r="P26" s="7">
        <v>1121</v>
      </c>
      <c r="Q26" s="5">
        <v>0</v>
      </c>
      <c r="R26" s="5">
        <v>1121</v>
      </c>
      <c r="S26" s="7">
        <v>127249.60000000001</v>
      </c>
      <c r="T26" s="12">
        <v>43105</v>
      </c>
      <c r="U26" s="4">
        <v>14</v>
      </c>
      <c r="X26" s="45">
        <v>257316.21000000002</v>
      </c>
      <c r="Y26" s="14" t="s">
        <v>54</v>
      </c>
      <c r="Z26" s="14" t="s">
        <v>30</v>
      </c>
      <c r="AA26" s="14" t="s">
        <v>832</v>
      </c>
      <c r="AB26" s="25">
        <v>43108</v>
      </c>
      <c r="AC26" s="14" t="s">
        <v>756</v>
      </c>
      <c r="AD26" s="14" t="s">
        <v>51</v>
      </c>
      <c r="AE26" s="23" t="s">
        <v>92</v>
      </c>
      <c r="AF26" s="25" t="s">
        <v>1270</v>
      </c>
      <c r="AG26" t="e">
        <f t="shared" si="0"/>
        <v>#REF!</v>
      </c>
      <c r="AI26" s="58"/>
    </row>
    <row r="27" spans="1:35" ht="15.75" customHeight="1">
      <c r="A27" s="13" t="s">
        <v>95</v>
      </c>
      <c r="B27" s="5">
        <v>100</v>
      </c>
      <c r="C27" s="7">
        <v>12536.7</v>
      </c>
      <c r="D27" s="7">
        <v>0</v>
      </c>
      <c r="E27" s="7">
        <v>0</v>
      </c>
      <c r="F27" s="5">
        <v>0</v>
      </c>
      <c r="G27" s="7">
        <v>0</v>
      </c>
      <c r="H27" s="5">
        <v>662</v>
      </c>
      <c r="I27" s="7">
        <v>79198.210000000006</v>
      </c>
      <c r="J27" s="7">
        <v>102</v>
      </c>
      <c r="K27" s="5">
        <v>0</v>
      </c>
      <c r="L27" s="5">
        <v>0</v>
      </c>
      <c r="M27" s="5">
        <v>102</v>
      </c>
      <c r="N27" s="7">
        <v>102</v>
      </c>
      <c r="O27" s="7">
        <v>18244.400000000001</v>
      </c>
      <c r="P27" s="7">
        <v>85</v>
      </c>
      <c r="Q27" s="5">
        <v>0</v>
      </c>
      <c r="R27" s="5">
        <v>85</v>
      </c>
      <c r="S27" s="7">
        <v>17748.5</v>
      </c>
      <c r="T27" s="12">
        <v>43105</v>
      </c>
      <c r="U27" s="4">
        <v>10</v>
      </c>
      <c r="X27" s="45">
        <v>127727.81</v>
      </c>
      <c r="Y27" s="14" t="s">
        <v>58</v>
      </c>
      <c r="Z27" s="14" t="s">
        <v>57</v>
      </c>
      <c r="AA27" s="14" t="s">
        <v>839</v>
      </c>
      <c r="AB27" s="25">
        <v>43110</v>
      </c>
      <c r="AC27" s="14" t="s">
        <v>761</v>
      </c>
      <c r="AD27" s="14" t="s">
        <v>51</v>
      </c>
      <c r="AE27" s="23" t="s">
        <v>94</v>
      </c>
      <c r="AF27" s="25" t="s">
        <v>1270</v>
      </c>
      <c r="AG27" t="e">
        <f t="shared" si="0"/>
        <v>#REF!</v>
      </c>
      <c r="AI27" s="58"/>
    </row>
    <row r="28" spans="1:35" ht="15.75" customHeight="1">
      <c r="A28" s="13" t="s">
        <v>97</v>
      </c>
      <c r="B28" s="5">
        <v>1782</v>
      </c>
      <c r="C28" s="7">
        <v>138436.90000000002</v>
      </c>
      <c r="D28" s="7">
        <v>0</v>
      </c>
      <c r="E28" s="7">
        <v>0</v>
      </c>
      <c r="F28" s="5">
        <v>0</v>
      </c>
      <c r="G28" s="7">
        <v>0</v>
      </c>
      <c r="H28" s="5">
        <v>0</v>
      </c>
      <c r="I28" s="7">
        <v>0</v>
      </c>
      <c r="J28" s="7">
        <v>105</v>
      </c>
      <c r="K28" s="5">
        <v>0</v>
      </c>
      <c r="L28" s="5">
        <v>0</v>
      </c>
      <c r="M28" s="5">
        <v>105</v>
      </c>
      <c r="N28" s="7">
        <v>105</v>
      </c>
      <c r="O28" s="7">
        <v>5101.5</v>
      </c>
      <c r="P28" s="7">
        <v>140</v>
      </c>
      <c r="Q28" s="5">
        <v>0</v>
      </c>
      <c r="R28" s="5">
        <v>140</v>
      </c>
      <c r="S28" s="7">
        <v>18015.25</v>
      </c>
      <c r="T28" s="12">
        <v>43105</v>
      </c>
      <c r="U28" s="4">
        <v>12</v>
      </c>
      <c r="X28" s="45">
        <v>161553.65000000002</v>
      </c>
      <c r="Y28" s="14" t="s">
        <v>54</v>
      </c>
      <c r="Z28" s="14" t="s">
        <v>59</v>
      </c>
      <c r="AA28" s="14" t="s">
        <v>831</v>
      </c>
      <c r="AB28" s="25">
        <v>43107</v>
      </c>
      <c r="AC28" s="14" t="s">
        <v>752</v>
      </c>
      <c r="AD28" s="14" t="s">
        <v>50</v>
      </c>
      <c r="AE28" s="23" t="s">
        <v>96</v>
      </c>
      <c r="AF28" s="25" t="s">
        <v>1269</v>
      </c>
      <c r="AG28" t="e">
        <f t="shared" si="0"/>
        <v>#REF!</v>
      </c>
      <c r="AI28" s="58"/>
    </row>
    <row r="29" spans="1:35" ht="15.75" customHeight="1">
      <c r="A29" s="13" t="s">
        <v>100</v>
      </c>
      <c r="B29" s="5">
        <v>68</v>
      </c>
      <c r="C29" s="7">
        <v>11757.2</v>
      </c>
      <c r="D29" s="7">
        <v>0</v>
      </c>
      <c r="E29" s="7">
        <v>0</v>
      </c>
      <c r="F29" s="5">
        <v>0</v>
      </c>
      <c r="G29" s="7">
        <v>0</v>
      </c>
      <c r="H29" s="5">
        <v>95</v>
      </c>
      <c r="I29" s="7">
        <v>12156.2</v>
      </c>
      <c r="J29" s="7">
        <v>0</v>
      </c>
      <c r="K29" s="5">
        <v>0</v>
      </c>
      <c r="L29" s="5">
        <v>0</v>
      </c>
      <c r="M29" s="5">
        <v>0</v>
      </c>
      <c r="N29" s="7">
        <v>0</v>
      </c>
      <c r="O29" s="7">
        <v>0</v>
      </c>
      <c r="P29" s="7">
        <v>120</v>
      </c>
      <c r="Q29" s="5">
        <v>0</v>
      </c>
      <c r="R29" s="5">
        <v>120</v>
      </c>
      <c r="S29" s="7">
        <v>13176</v>
      </c>
      <c r="T29" s="12">
        <v>43105</v>
      </c>
      <c r="U29" s="4">
        <v>3</v>
      </c>
      <c r="X29" s="45">
        <v>37089.4</v>
      </c>
      <c r="Y29" s="14" t="s">
        <v>85</v>
      </c>
      <c r="Z29" s="14" t="s">
        <v>59</v>
      </c>
      <c r="AA29" s="14">
        <v>350810000517</v>
      </c>
      <c r="AB29" s="25">
        <v>43110</v>
      </c>
      <c r="AC29" s="14" t="s">
        <v>757</v>
      </c>
      <c r="AD29" s="14" t="s">
        <v>49</v>
      </c>
      <c r="AE29" s="23" t="s">
        <v>99</v>
      </c>
      <c r="AF29" s="25" t="s">
        <v>1266</v>
      </c>
      <c r="AG29" t="e">
        <f t="shared" si="0"/>
        <v>#REF!</v>
      </c>
      <c r="AI29" s="58"/>
    </row>
    <row r="30" spans="1:35" ht="15.75" customHeight="1">
      <c r="A30" s="13" t="s">
        <v>102</v>
      </c>
      <c r="B30" s="5">
        <v>0</v>
      </c>
      <c r="C30" s="7">
        <v>0</v>
      </c>
      <c r="D30" s="7">
        <v>0</v>
      </c>
      <c r="E30" s="7">
        <v>0</v>
      </c>
      <c r="F30" s="5">
        <v>0</v>
      </c>
      <c r="G30" s="7">
        <v>0</v>
      </c>
      <c r="H30" s="5">
        <v>192</v>
      </c>
      <c r="I30" s="7">
        <v>25402.150000000009</v>
      </c>
      <c r="J30" s="7">
        <v>0</v>
      </c>
      <c r="K30" s="5">
        <v>0</v>
      </c>
      <c r="L30" s="5">
        <v>0</v>
      </c>
      <c r="M30" s="5">
        <v>0</v>
      </c>
      <c r="N30" s="7">
        <v>0</v>
      </c>
      <c r="O30" s="7">
        <v>0</v>
      </c>
      <c r="P30" s="7">
        <v>100</v>
      </c>
      <c r="Q30" s="5">
        <v>0</v>
      </c>
      <c r="R30" s="5">
        <v>100</v>
      </c>
      <c r="S30" s="7">
        <v>13922</v>
      </c>
      <c r="T30" s="12">
        <v>43105</v>
      </c>
      <c r="U30" s="4">
        <v>3</v>
      </c>
      <c r="X30" s="45">
        <v>39324.150000000009</v>
      </c>
      <c r="Y30" s="14" t="s">
        <v>53</v>
      </c>
      <c r="Z30" s="14" t="s">
        <v>1355</v>
      </c>
      <c r="AA30" s="14" t="s">
        <v>840</v>
      </c>
      <c r="AB30" s="25">
        <v>43113</v>
      </c>
      <c r="AC30" s="14" t="s">
        <v>762</v>
      </c>
      <c r="AD30" s="14" t="s">
        <v>70</v>
      </c>
      <c r="AE30" s="23" t="s">
        <v>101</v>
      </c>
      <c r="AF30" s="25" t="s">
        <v>1273</v>
      </c>
      <c r="AG30" t="e">
        <f t="shared" si="0"/>
        <v>#REF!</v>
      </c>
      <c r="AI30" s="58"/>
    </row>
    <row r="31" spans="1:35" ht="15.75" customHeight="1">
      <c r="A31" s="13" t="s">
        <v>104</v>
      </c>
      <c r="B31" s="5">
        <v>290</v>
      </c>
      <c r="C31" s="7">
        <v>9769.1999999999989</v>
      </c>
      <c r="D31" s="7">
        <v>0</v>
      </c>
      <c r="E31" s="7">
        <v>0</v>
      </c>
      <c r="F31" s="5">
        <v>0</v>
      </c>
      <c r="G31" s="7">
        <v>0</v>
      </c>
      <c r="H31" s="5">
        <v>730</v>
      </c>
      <c r="I31" s="7">
        <v>71079.750000000015</v>
      </c>
      <c r="J31" s="7">
        <v>0</v>
      </c>
      <c r="K31" s="5">
        <v>0</v>
      </c>
      <c r="L31" s="5">
        <v>0</v>
      </c>
      <c r="M31" s="5">
        <v>0</v>
      </c>
      <c r="N31" s="7">
        <v>0</v>
      </c>
      <c r="O31" s="7">
        <v>0</v>
      </c>
      <c r="P31" s="7">
        <v>0</v>
      </c>
      <c r="Q31" s="5">
        <v>0</v>
      </c>
      <c r="R31" s="5">
        <v>0</v>
      </c>
      <c r="S31" s="7">
        <v>0</v>
      </c>
      <c r="T31" s="12">
        <v>43106</v>
      </c>
      <c r="U31" s="4">
        <v>5</v>
      </c>
      <c r="V31" s="4">
        <v>0</v>
      </c>
      <c r="W31" s="4">
        <v>2</v>
      </c>
      <c r="X31" s="45">
        <v>80848.950000000012</v>
      </c>
      <c r="Y31" s="14" t="s">
        <v>54</v>
      </c>
      <c r="Z31" s="14" t="s">
        <v>55</v>
      </c>
      <c r="AA31" s="14" t="s">
        <v>827</v>
      </c>
      <c r="AB31" s="25">
        <v>43107</v>
      </c>
      <c r="AC31" s="14" t="s">
        <v>752</v>
      </c>
      <c r="AD31" s="14" t="s">
        <v>49</v>
      </c>
      <c r="AE31" s="23" t="s">
        <v>103</v>
      </c>
      <c r="AF31" s="25" t="s">
        <v>1265</v>
      </c>
      <c r="AG31" t="e">
        <f t="shared" si="0"/>
        <v>#REF!</v>
      </c>
      <c r="AI31" s="58"/>
    </row>
    <row r="32" spans="1:35" ht="15.75" customHeight="1">
      <c r="A32" s="13" t="s">
        <v>107</v>
      </c>
      <c r="B32" s="5">
        <v>223</v>
      </c>
      <c r="C32" s="7">
        <v>23153.600000000006</v>
      </c>
      <c r="D32" s="7">
        <v>0</v>
      </c>
      <c r="E32" s="7">
        <v>0</v>
      </c>
      <c r="F32" s="5">
        <v>0</v>
      </c>
      <c r="G32" s="7">
        <v>0</v>
      </c>
      <c r="H32" s="5">
        <v>25</v>
      </c>
      <c r="I32" s="7">
        <v>807.90000000000009</v>
      </c>
      <c r="J32" s="7">
        <v>2</v>
      </c>
      <c r="K32" s="5">
        <v>0</v>
      </c>
      <c r="L32" s="5">
        <v>0</v>
      </c>
      <c r="M32" s="5">
        <v>2</v>
      </c>
      <c r="N32" s="7">
        <v>2</v>
      </c>
      <c r="O32" s="7">
        <v>443.2</v>
      </c>
      <c r="P32" s="7">
        <v>85</v>
      </c>
      <c r="Q32" s="5">
        <v>0</v>
      </c>
      <c r="R32" s="5">
        <v>85</v>
      </c>
      <c r="S32" s="7">
        <v>12734.6</v>
      </c>
      <c r="T32" s="12">
        <v>43106</v>
      </c>
      <c r="U32" s="4">
        <v>3</v>
      </c>
      <c r="V32" s="4">
        <v>4</v>
      </c>
      <c r="W32" s="4">
        <v>7</v>
      </c>
      <c r="X32" s="45">
        <v>37139.30000000001</v>
      </c>
      <c r="Y32" s="14" t="s">
        <v>85</v>
      </c>
      <c r="Z32" s="14" t="s">
        <v>1355</v>
      </c>
      <c r="AA32" s="14">
        <v>350810000548</v>
      </c>
      <c r="AB32" s="25">
        <v>43110</v>
      </c>
      <c r="AC32" s="14" t="s">
        <v>757</v>
      </c>
      <c r="AD32" s="14" t="s">
        <v>115</v>
      </c>
      <c r="AE32" s="23" t="s">
        <v>106</v>
      </c>
      <c r="AF32" s="25" t="s">
        <v>1275</v>
      </c>
      <c r="AG32" t="e">
        <f t="shared" si="0"/>
        <v>#REF!</v>
      </c>
      <c r="AI32" s="58"/>
    </row>
    <row r="33" spans="1:35" ht="15.75" customHeight="1">
      <c r="A33" s="13" t="s">
        <v>109</v>
      </c>
      <c r="B33" s="5">
        <v>225</v>
      </c>
      <c r="C33" s="7">
        <v>14449.5</v>
      </c>
      <c r="D33" s="7">
        <v>0</v>
      </c>
      <c r="E33" s="7">
        <v>0</v>
      </c>
      <c r="F33" s="5">
        <v>0</v>
      </c>
      <c r="G33" s="7">
        <v>0</v>
      </c>
      <c r="H33" s="5">
        <v>0</v>
      </c>
      <c r="I33" s="7">
        <v>0</v>
      </c>
      <c r="J33" s="7">
        <v>131</v>
      </c>
      <c r="K33" s="5">
        <v>0</v>
      </c>
      <c r="L33" s="5">
        <v>0</v>
      </c>
      <c r="M33" s="5">
        <v>131</v>
      </c>
      <c r="N33" s="7">
        <v>131</v>
      </c>
      <c r="O33" s="7">
        <v>18162.599999999999</v>
      </c>
      <c r="P33" s="7">
        <v>204</v>
      </c>
      <c r="Q33" s="5">
        <v>0</v>
      </c>
      <c r="R33" s="5">
        <v>204</v>
      </c>
      <c r="S33" s="7">
        <v>29830.799999999999</v>
      </c>
      <c r="T33" s="12">
        <v>43106</v>
      </c>
      <c r="U33" s="4">
        <v>5</v>
      </c>
      <c r="V33" s="4">
        <v>4</v>
      </c>
      <c r="W33" s="4">
        <v>7</v>
      </c>
      <c r="X33" s="45">
        <v>62442.899999999994</v>
      </c>
      <c r="Y33" s="14" t="s">
        <v>54</v>
      </c>
      <c r="Z33" s="14" t="s">
        <v>1281</v>
      </c>
      <c r="AA33" s="14" t="s">
        <v>835</v>
      </c>
      <c r="AB33" s="25">
        <v>43111</v>
      </c>
      <c r="AC33" s="14" t="s">
        <v>758</v>
      </c>
      <c r="AD33" s="14" t="s">
        <v>50</v>
      </c>
      <c r="AE33" s="23" t="s">
        <v>108</v>
      </c>
      <c r="AF33" s="25" t="s">
        <v>1269</v>
      </c>
      <c r="AG33" t="e">
        <f t="shared" si="0"/>
        <v>#REF!</v>
      </c>
      <c r="AI33" s="58"/>
    </row>
    <row r="34" spans="1:35" ht="15.75" customHeight="1">
      <c r="A34" s="13" t="s">
        <v>111</v>
      </c>
      <c r="B34" s="5">
        <v>0</v>
      </c>
      <c r="C34" s="7">
        <v>0</v>
      </c>
      <c r="D34" s="7">
        <v>0</v>
      </c>
      <c r="E34" s="7">
        <v>0</v>
      </c>
      <c r="F34" s="5">
        <v>0</v>
      </c>
      <c r="G34" s="7">
        <v>0</v>
      </c>
      <c r="H34" s="5">
        <v>919</v>
      </c>
      <c r="I34" s="7">
        <v>113607.3</v>
      </c>
      <c r="J34" s="7">
        <v>0</v>
      </c>
      <c r="K34" s="5">
        <v>0</v>
      </c>
      <c r="L34" s="5">
        <v>0</v>
      </c>
      <c r="M34" s="5">
        <v>0</v>
      </c>
      <c r="N34" s="7">
        <v>0</v>
      </c>
      <c r="O34" s="7">
        <v>0</v>
      </c>
      <c r="P34" s="7">
        <v>0</v>
      </c>
      <c r="Q34" s="5">
        <v>0</v>
      </c>
      <c r="R34" s="5">
        <v>0</v>
      </c>
      <c r="S34" s="7">
        <v>0</v>
      </c>
      <c r="T34" s="12">
        <v>43106</v>
      </c>
      <c r="U34" s="4">
        <v>8</v>
      </c>
      <c r="V34" s="4">
        <v>4</v>
      </c>
      <c r="W34" s="4">
        <v>7</v>
      </c>
      <c r="X34" s="45">
        <v>113607.3</v>
      </c>
      <c r="Y34" s="14" t="s">
        <v>56</v>
      </c>
      <c r="Z34" s="14" t="s">
        <v>59</v>
      </c>
      <c r="AA34" s="14" t="s">
        <v>841</v>
      </c>
      <c r="AB34" s="25">
        <v>43112</v>
      </c>
      <c r="AC34" s="14" t="s">
        <v>763</v>
      </c>
      <c r="AD34" s="14" t="s">
        <v>49</v>
      </c>
      <c r="AE34" s="23" t="s">
        <v>110</v>
      </c>
      <c r="AF34" s="25" t="s">
        <v>1265</v>
      </c>
      <c r="AG34" t="e">
        <f t="shared" si="0"/>
        <v>#REF!</v>
      </c>
      <c r="AI34" s="58"/>
    </row>
    <row r="35" spans="1:35" ht="15.75" customHeight="1">
      <c r="A35" s="13" t="s">
        <v>113</v>
      </c>
      <c r="B35" s="5">
        <v>130</v>
      </c>
      <c r="C35" s="7">
        <v>13026</v>
      </c>
      <c r="D35" s="7">
        <v>0</v>
      </c>
      <c r="E35" s="7">
        <v>0</v>
      </c>
      <c r="F35" s="5">
        <v>0</v>
      </c>
      <c r="G35" s="7">
        <v>0</v>
      </c>
      <c r="H35" s="5">
        <v>95</v>
      </c>
      <c r="I35" s="7">
        <v>12156.2</v>
      </c>
      <c r="J35" s="7">
        <v>247</v>
      </c>
      <c r="K35" s="5">
        <v>0</v>
      </c>
      <c r="L35" s="5">
        <v>0</v>
      </c>
      <c r="M35" s="5">
        <v>247</v>
      </c>
      <c r="N35" s="7">
        <v>247</v>
      </c>
      <c r="O35" s="7">
        <v>23463.599999999999</v>
      </c>
      <c r="P35" s="7">
        <v>204</v>
      </c>
      <c r="Q35" s="5">
        <v>0</v>
      </c>
      <c r="R35" s="5">
        <v>204</v>
      </c>
      <c r="S35" s="7">
        <v>24684</v>
      </c>
      <c r="T35" s="12">
        <v>43106</v>
      </c>
      <c r="U35" s="4">
        <v>6</v>
      </c>
      <c r="V35" s="4">
        <v>4</v>
      </c>
      <c r="W35" s="4">
        <v>7</v>
      </c>
      <c r="X35" s="45">
        <v>73329.8</v>
      </c>
      <c r="Y35" s="14" t="s">
        <v>58</v>
      </c>
      <c r="Z35" s="14" t="s">
        <v>57</v>
      </c>
      <c r="AA35" s="14" t="s">
        <v>839</v>
      </c>
      <c r="AB35" s="25">
        <v>43110</v>
      </c>
      <c r="AC35" s="14" t="s">
        <v>761</v>
      </c>
      <c r="AD35" s="14" t="s">
        <v>51</v>
      </c>
      <c r="AE35" s="23" t="s">
        <v>112</v>
      </c>
      <c r="AF35" s="25" t="s">
        <v>1270</v>
      </c>
      <c r="AG35" t="e">
        <f t="shared" si="0"/>
        <v>#REF!</v>
      </c>
      <c r="AI35" s="58"/>
    </row>
    <row r="36" spans="1:35" ht="15.75" customHeight="1">
      <c r="A36" s="13" t="s">
        <v>114</v>
      </c>
      <c r="B36" s="5">
        <v>318</v>
      </c>
      <c r="C36" s="7">
        <v>43397.600000000006</v>
      </c>
      <c r="D36" s="7">
        <v>190</v>
      </c>
      <c r="E36" s="7">
        <v>190</v>
      </c>
      <c r="F36" s="5">
        <v>0</v>
      </c>
      <c r="G36" s="7">
        <v>8156</v>
      </c>
      <c r="H36" s="5">
        <v>663</v>
      </c>
      <c r="I36" s="7">
        <v>88848.53</v>
      </c>
      <c r="J36" s="7">
        <v>0</v>
      </c>
      <c r="K36" s="5">
        <v>0</v>
      </c>
      <c r="L36" s="5">
        <v>0</v>
      </c>
      <c r="M36" s="5">
        <v>0</v>
      </c>
      <c r="N36" s="7">
        <v>0</v>
      </c>
      <c r="O36" s="7">
        <v>0</v>
      </c>
      <c r="P36" s="7">
        <v>633</v>
      </c>
      <c r="Q36" s="5">
        <v>0</v>
      </c>
      <c r="R36" s="5">
        <v>633</v>
      </c>
      <c r="S36" s="7">
        <v>77218.5</v>
      </c>
      <c r="T36" s="12">
        <v>43108</v>
      </c>
      <c r="U36" s="4">
        <v>14</v>
      </c>
      <c r="V36" s="4">
        <v>4</v>
      </c>
      <c r="W36" s="4">
        <v>7</v>
      </c>
      <c r="X36" s="45">
        <v>217620.63</v>
      </c>
      <c r="Y36" s="14" t="s">
        <v>56</v>
      </c>
      <c r="Z36" s="14" t="s">
        <v>59</v>
      </c>
      <c r="AA36" s="14" t="s">
        <v>842</v>
      </c>
      <c r="AB36" s="25">
        <v>43111</v>
      </c>
      <c r="AC36" s="14" t="s">
        <v>764</v>
      </c>
      <c r="AD36" s="14" t="s">
        <v>51</v>
      </c>
      <c r="AE36" s="23" t="s">
        <v>136</v>
      </c>
      <c r="AF36" s="25" t="s">
        <v>1270</v>
      </c>
      <c r="AG36" t="e">
        <f t="shared" si="0"/>
        <v>#REF!</v>
      </c>
      <c r="AI36" s="58"/>
    </row>
    <row r="37" spans="1:35" ht="15.75" customHeight="1">
      <c r="A37" s="13" t="s">
        <v>117</v>
      </c>
      <c r="B37" s="5">
        <v>176</v>
      </c>
      <c r="C37" s="7">
        <v>24405.74</v>
      </c>
      <c r="D37" s="7">
        <v>0</v>
      </c>
      <c r="E37" s="7">
        <v>0</v>
      </c>
      <c r="F37" s="5">
        <v>0</v>
      </c>
      <c r="G37" s="7">
        <v>0</v>
      </c>
      <c r="H37" s="5">
        <v>0</v>
      </c>
      <c r="I37" s="7">
        <v>0</v>
      </c>
      <c r="J37" s="7">
        <v>95</v>
      </c>
      <c r="K37" s="5">
        <v>0</v>
      </c>
      <c r="L37" s="5">
        <v>0</v>
      </c>
      <c r="M37" s="5">
        <v>95</v>
      </c>
      <c r="N37" s="7">
        <v>95</v>
      </c>
      <c r="O37" s="7">
        <v>18535.900000000001</v>
      </c>
      <c r="P37" s="7">
        <v>192</v>
      </c>
      <c r="Q37" s="5">
        <v>0</v>
      </c>
      <c r="R37" s="5">
        <v>192</v>
      </c>
      <c r="S37" s="7">
        <v>35995.199999999997</v>
      </c>
      <c r="T37" s="12">
        <v>43107</v>
      </c>
      <c r="U37" s="4">
        <v>6</v>
      </c>
      <c r="V37" s="4">
        <v>4</v>
      </c>
      <c r="W37" s="4">
        <v>7</v>
      </c>
      <c r="X37" s="45">
        <v>78936.84</v>
      </c>
      <c r="Y37" s="14" t="s">
        <v>54</v>
      </c>
      <c r="Z37" s="14" t="s">
        <v>1281</v>
      </c>
      <c r="AA37" s="14" t="s">
        <v>835</v>
      </c>
      <c r="AB37" s="25">
        <v>43111</v>
      </c>
      <c r="AC37" s="14" t="s">
        <v>758</v>
      </c>
      <c r="AD37" s="14" t="s">
        <v>50</v>
      </c>
      <c r="AE37" s="23" t="s">
        <v>116</v>
      </c>
      <c r="AF37" s="25" t="s">
        <v>1269</v>
      </c>
      <c r="AG37" t="e">
        <f t="shared" si="0"/>
        <v>#REF!</v>
      </c>
      <c r="AI37" s="58"/>
    </row>
    <row r="38" spans="1:35" ht="15.75" customHeight="1">
      <c r="A38" s="13" t="s">
        <v>119</v>
      </c>
      <c r="B38" s="5">
        <v>538</v>
      </c>
      <c r="C38" s="7">
        <v>64008.759999999987</v>
      </c>
      <c r="D38" s="7">
        <v>0</v>
      </c>
      <c r="E38" s="7">
        <v>0</v>
      </c>
      <c r="F38" s="5">
        <v>0</v>
      </c>
      <c r="G38" s="7">
        <v>0</v>
      </c>
      <c r="H38" s="5">
        <v>615</v>
      </c>
      <c r="I38" s="7">
        <v>77772.900000000009</v>
      </c>
      <c r="J38" s="7">
        <v>0</v>
      </c>
      <c r="K38" s="5">
        <v>0</v>
      </c>
      <c r="L38" s="5">
        <v>0</v>
      </c>
      <c r="M38" s="5">
        <v>0</v>
      </c>
      <c r="N38" s="7">
        <v>0</v>
      </c>
      <c r="O38" s="7">
        <v>0</v>
      </c>
      <c r="P38" s="7">
        <v>387</v>
      </c>
      <c r="Q38" s="5">
        <v>0</v>
      </c>
      <c r="R38" s="5">
        <v>387</v>
      </c>
      <c r="S38" s="7">
        <v>52012.600000000006</v>
      </c>
      <c r="T38" s="12">
        <v>43107</v>
      </c>
      <c r="U38" s="4">
        <v>14</v>
      </c>
      <c r="V38" s="4">
        <v>4</v>
      </c>
      <c r="W38" s="4">
        <v>7</v>
      </c>
      <c r="X38" s="45">
        <v>193794.26</v>
      </c>
      <c r="Y38" s="14" t="s">
        <v>56</v>
      </c>
      <c r="Z38" s="14" t="s">
        <v>57</v>
      </c>
      <c r="AA38" s="14" t="s">
        <v>842</v>
      </c>
      <c r="AB38" s="25">
        <v>43111</v>
      </c>
      <c r="AC38" s="14" t="s">
        <v>764</v>
      </c>
      <c r="AD38" s="14" t="s">
        <v>51</v>
      </c>
      <c r="AE38" s="23" t="s">
        <v>118</v>
      </c>
      <c r="AF38" s="25" t="s">
        <v>1270</v>
      </c>
      <c r="AG38" t="e">
        <f t="shared" si="0"/>
        <v>#REF!</v>
      </c>
      <c r="AI38" s="58"/>
    </row>
    <row r="39" spans="1:35" ht="15.75" customHeight="1">
      <c r="A39" s="13" t="s">
        <v>121</v>
      </c>
      <c r="B39" s="5">
        <v>0</v>
      </c>
      <c r="C39" s="7">
        <v>0</v>
      </c>
      <c r="D39" s="7">
        <v>0</v>
      </c>
      <c r="E39" s="7">
        <v>0</v>
      </c>
      <c r="F39" s="5">
        <v>0</v>
      </c>
      <c r="G39" s="7">
        <v>0</v>
      </c>
      <c r="H39" s="5">
        <v>190</v>
      </c>
      <c r="I39" s="7">
        <v>24563.200000000001</v>
      </c>
      <c r="J39" s="7">
        <v>77</v>
      </c>
      <c r="K39" s="5">
        <v>0</v>
      </c>
      <c r="L39" s="5">
        <v>0</v>
      </c>
      <c r="M39" s="5">
        <v>77</v>
      </c>
      <c r="N39" s="7">
        <v>77</v>
      </c>
      <c r="O39" s="7">
        <v>8821.1999999999989</v>
      </c>
      <c r="P39" s="7">
        <v>290</v>
      </c>
      <c r="Q39" s="5">
        <v>0</v>
      </c>
      <c r="R39" s="5">
        <v>290</v>
      </c>
      <c r="S39" s="7">
        <v>46783</v>
      </c>
      <c r="T39" s="12">
        <v>43107</v>
      </c>
      <c r="U39" s="4">
        <v>6</v>
      </c>
      <c r="V39" s="4">
        <v>4</v>
      </c>
      <c r="W39" s="4">
        <v>7</v>
      </c>
      <c r="X39" s="45">
        <v>80167.399999999994</v>
      </c>
      <c r="Y39" s="14" t="s">
        <v>56</v>
      </c>
      <c r="Z39" s="14" t="s">
        <v>55</v>
      </c>
      <c r="AA39" s="14" t="s">
        <v>838</v>
      </c>
      <c r="AB39" s="25">
        <v>43113</v>
      </c>
      <c r="AC39" s="14" t="s">
        <v>760</v>
      </c>
      <c r="AD39" s="14" t="s">
        <v>52</v>
      </c>
      <c r="AE39" s="23" t="s">
        <v>120</v>
      </c>
      <c r="AF39" s="25" t="s">
        <v>1271</v>
      </c>
      <c r="AG39" t="e">
        <f t="shared" si="0"/>
        <v>#REF!</v>
      </c>
      <c r="AI39" s="58"/>
    </row>
    <row r="40" spans="1:35" ht="15.75" customHeight="1">
      <c r="A40" s="13" t="s">
        <v>123</v>
      </c>
      <c r="B40" s="5">
        <v>0</v>
      </c>
      <c r="C40" s="7">
        <v>0</v>
      </c>
      <c r="D40" s="7">
        <v>235</v>
      </c>
      <c r="E40" s="7">
        <v>235</v>
      </c>
      <c r="F40" s="5">
        <v>0</v>
      </c>
      <c r="G40" s="7">
        <v>9830</v>
      </c>
      <c r="H40" s="5">
        <v>1058</v>
      </c>
      <c r="I40" s="7">
        <v>123074.76000000002</v>
      </c>
      <c r="J40" s="7">
        <v>0</v>
      </c>
      <c r="K40" s="5">
        <v>0</v>
      </c>
      <c r="L40" s="5">
        <v>0</v>
      </c>
      <c r="M40" s="5">
        <v>0</v>
      </c>
      <c r="N40" s="7">
        <v>0</v>
      </c>
      <c r="O40" s="7">
        <v>0</v>
      </c>
      <c r="P40" s="7">
        <v>0</v>
      </c>
      <c r="Q40" s="5">
        <v>0</v>
      </c>
      <c r="R40" s="5">
        <v>0</v>
      </c>
      <c r="S40" s="7">
        <v>0</v>
      </c>
      <c r="T40" s="12">
        <v>43107</v>
      </c>
      <c r="U40" s="4">
        <v>10</v>
      </c>
      <c r="V40" s="4">
        <v>4</v>
      </c>
      <c r="W40" s="4">
        <v>7</v>
      </c>
      <c r="X40" s="45">
        <v>132904.76</v>
      </c>
      <c r="Y40" s="14" t="s">
        <v>56</v>
      </c>
      <c r="Z40" s="14" t="s">
        <v>59</v>
      </c>
      <c r="AA40" s="14" t="s">
        <v>841</v>
      </c>
      <c r="AB40" s="25">
        <v>43112</v>
      </c>
      <c r="AC40" s="14" t="s">
        <v>763</v>
      </c>
      <c r="AD40" s="14" t="s">
        <v>49</v>
      </c>
      <c r="AE40" s="23" t="s">
        <v>122</v>
      </c>
      <c r="AF40" s="25" t="s">
        <v>1265</v>
      </c>
      <c r="AG40" t="e">
        <f t="shared" si="0"/>
        <v>#REF!</v>
      </c>
      <c r="AI40" s="58"/>
    </row>
    <row r="41" spans="1:35" ht="15.75" customHeight="1">
      <c r="A41" s="13" t="s">
        <v>125</v>
      </c>
      <c r="B41" s="5">
        <v>0</v>
      </c>
      <c r="C41" s="7">
        <v>0</v>
      </c>
      <c r="D41" s="7">
        <v>0</v>
      </c>
      <c r="E41" s="7">
        <v>0</v>
      </c>
      <c r="F41" s="5">
        <v>0</v>
      </c>
      <c r="G41" s="7">
        <v>0</v>
      </c>
      <c r="H41" s="5">
        <v>0</v>
      </c>
      <c r="I41" s="7">
        <v>0</v>
      </c>
      <c r="J41" s="7">
        <v>0</v>
      </c>
      <c r="K41" s="5">
        <v>0</v>
      </c>
      <c r="L41" s="5">
        <v>0</v>
      </c>
      <c r="M41" s="5">
        <v>0</v>
      </c>
      <c r="N41" s="7">
        <v>0</v>
      </c>
      <c r="O41" s="7">
        <v>0</v>
      </c>
      <c r="P41" s="7">
        <v>364</v>
      </c>
      <c r="Q41" s="5">
        <v>0</v>
      </c>
      <c r="R41" s="5">
        <v>364</v>
      </c>
      <c r="S41" s="7">
        <v>41191.599999999999</v>
      </c>
      <c r="T41" s="12">
        <v>43107</v>
      </c>
      <c r="U41" s="4">
        <v>2</v>
      </c>
      <c r="V41" s="4">
        <v>4</v>
      </c>
      <c r="W41" s="4">
        <v>7</v>
      </c>
      <c r="X41" s="45">
        <v>41191.599999999999</v>
      </c>
      <c r="Y41" s="14" t="s">
        <v>56</v>
      </c>
      <c r="Z41" s="14" t="s">
        <v>1355</v>
      </c>
      <c r="AA41" s="14" t="s">
        <v>843</v>
      </c>
      <c r="AB41" s="25">
        <v>43112</v>
      </c>
      <c r="AC41" s="14" t="s">
        <v>763</v>
      </c>
      <c r="AD41" s="14" t="s">
        <v>218</v>
      </c>
      <c r="AE41" s="23" t="s">
        <v>124</v>
      </c>
      <c r="AF41" s="25" t="s">
        <v>1272</v>
      </c>
      <c r="AG41" t="e">
        <f t="shared" si="0"/>
        <v>#REF!</v>
      </c>
      <c r="AI41" s="58"/>
    </row>
    <row r="42" spans="1:35" ht="15.75" customHeight="1">
      <c r="A42" s="13" t="s">
        <v>127</v>
      </c>
      <c r="B42" s="5">
        <v>0</v>
      </c>
      <c r="C42" s="7">
        <v>0</v>
      </c>
      <c r="D42" s="7">
        <v>0</v>
      </c>
      <c r="E42" s="7">
        <v>0</v>
      </c>
      <c r="F42" s="5">
        <v>0</v>
      </c>
      <c r="G42" s="7">
        <v>0</v>
      </c>
      <c r="H42" s="5">
        <v>95</v>
      </c>
      <c r="I42" s="7">
        <v>12156.2</v>
      </c>
      <c r="J42" s="7">
        <v>0</v>
      </c>
      <c r="K42" s="5">
        <v>0</v>
      </c>
      <c r="L42" s="5">
        <v>0</v>
      </c>
      <c r="M42" s="5">
        <v>0</v>
      </c>
      <c r="N42" s="7">
        <v>0</v>
      </c>
      <c r="O42" s="7">
        <v>0</v>
      </c>
      <c r="P42" s="7">
        <v>646</v>
      </c>
      <c r="Q42" s="5">
        <v>0</v>
      </c>
      <c r="R42" s="5">
        <v>646</v>
      </c>
      <c r="S42" s="7">
        <v>60771</v>
      </c>
      <c r="T42" s="12">
        <v>43108</v>
      </c>
      <c r="U42" s="4">
        <v>4</v>
      </c>
      <c r="V42" s="4">
        <v>4</v>
      </c>
      <c r="W42" s="4">
        <v>7</v>
      </c>
      <c r="X42" s="45">
        <v>72927.199999999997</v>
      </c>
      <c r="Y42" s="14" t="s">
        <v>56</v>
      </c>
      <c r="Z42" s="14" t="s">
        <v>730</v>
      </c>
      <c r="AA42" s="14" t="s">
        <v>844</v>
      </c>
      <c r="AB42" s="25">
        <v>43110</v>
      </c>
      <c r="AC42" s="14" t="s">
        <v>761</v>
      </c>
      <c r="AD42" s="14" t="s">
        <v>49</v>
      </c>
      <c r="AE42" s="23" t="s">
        <v>126</v>
      </c>
      <c r="AF42" s="25" t="s">
        <v>1266</v>
      </c>
      <c r="AG42" t="e">
        <f t="shared" si="0"/>
        <v>#REF!</v>
      </c>
      <c r="AI42" s="58"/>
    </row>
    <row r="43" spans="1:35" ht="15.75" customHeight="1">
      <c r="A43" s="13" t="s">
        <v>129</v>
      </c>
      <c r="B43" s="5">
        <v>0</v>
      </c>
      <c r="C43" s="7">
        <v>0</v>
      </c>
      <c r="D43" s="7">
        <v>0</v>
      </c>
      <c r="E43" s="7">
        <v>0</v>
      </c>
      <c r="F43" s="5">
        <v>0</v>
      </c>
      <c r="G43" s="7">
        <v>0</v>
      </c>
      <c r="H43" s="5">
        <v>0</v>
      </c>
      <c r="I43" s="7">
        <v>0</v>
      </c>
      <c r="J43" s="7">
        <v>0</v>
      </c>
      <c r="K43" s="5">
        <v>0</v>
      </c>
      <c r="L43" s="5">
        <v>0</v>
      </c>
      <c r="M43" s="5">
        <v>0</v>
      </c>
      <c r="N43" s="7">
        <v>0</v>
      </c>
      <c r="O43" s="7">
        <v>0</v>
      </c>
      <c r="P43" s="7">
        <v>144</v>
      </c>
      <c r="Q43" s="5">
        <v>0</v>
      </c>
      <c r="R43" s="5">
        <v>144</v>
      </c>
      <c r="S43" s="7">
        <v>17732.599999999999</v>
      </c>
      <c r="T43" s="12">
        <v>43108</v>
      </c>
      <c r="U43" s="4">
        <v>1</v>
      </c>
      <c r="V43" s="4">
        <v>4</v>
      </c>
      <c r="W43" s="4">
        <v>7</v>
      </c>
      <c r="X43" s="45">
        <v>17732.599999999999</v>
      </c>
      <c r="Y43" s="14" t="s">
        <v>1634</v>
      </c>
      <c r="Z43" s="14" t="s">
        <v>1355</v>
      </c>
      <c r="AA43" s="14" t="s">
        <v>845</v>
      </c>
      <c r="AB43" s="25">
        <v>43113</v>
      </c>
      <c r="AC43" s="14" t="s">
        <v>762</v>
      </c>
      <c r="AD43" s="14" t="s">
        <v>48</v>
      </c>
      <c r="AE43" s="23" t="s">
        <v>128</v>
      </c>
      <c r="AF43" s="25" t="s">
        <v>1264</v>
      </c>
      <c r="AG43" t="e">
        <f t="shared" si="0"/>
        <v>#REF!</v>
      </c>
      <c r="AI43" s="58"/>
    </row>
    <row r="44" spans="1:35" ht="15.75" customHeight="1">
      <c r="A44" s="13" t="s">
        <v>131</v>
      </c>
      <c r="B44" s="5">
        <v>158</v>
      </c>
      <c r="C44" s="7">
        <v>17561.060000000001</v>
      </c>
      <c r="D44" s="7">
        <v>0</v>
      </c>
      <c r="E44" s="7">
        <v>0</v>
      </c>
      <c r="F44" s="5">
        <v>0</v>
      </c>
      <c r="G44" s="7">
        <v>0</v>
      </c>
      <c r="H44" s="5">
        <v>0</v>
      </c>
      <c r="I44" s="7">
        <v>0</v>
      </c>
      <c r="J44" s="7">
        <v>58</v>
      </c>
      <c r="K44" s="5">
        <v>0</v>
      </c>
      <c r="L44" s="5">
        <v>0</v>
      </c>
      <c r="M44" s="5">
        <v>58</v>
      </c>
      <c r="N44" s="7">
        <v>58</v>
      </c>
      <c r="O44" s="7">
        <v>4816.8999999999996</v>
      </c>
      <c r="P44" s="7">
        <v>310</v>
      </c>
      <c r="Q44" s="5">
        <v>0</v>
      </c>
      <c r="R44" s="5">
        <v>310</v>
      </c>
      <c r="S44" s="7">
        <v>25879.9</v>
      </c>
      <c r="T44" s="12">
        <v>43108</v>
      </c>
      <c r="U44" s="4">
        <v>3</v>
      </c>
      <c r="V44" s="4">
        <v>4</v>
      </c>
      <c r="W44" s="4">
        <v>7</v>
      </c>
      <c r="X44" s="45">
        <v>48257.86</v>
      </c>
      <c r="Y44" s="14" t="s">
        <v>1634</v>
      </c>
      <c r="Z44" s="14" t="s">
        <v>1355</v>
      </c>
      <c r="AA44" s="14" t="s">
        <v>840</v>
      </c>
      <c r="AB44" s="25">
        <v>43113</v>
      </c>
      <c r="AC44" s="14" t="s">
        <v>762</v>
      </c>
      <c r="AD44" s="14" t="s">
        <v>70</v>
      </c>
      <c r="AE44" s="23" t="s">
        <v>130</v>
      </c>
      <c r="AF44" s="25" t="s">
        <v>1273</v>
      </c>
      <c r="AG44" t="e">
        <f t="shared" si="0"/>
        <v>#REF!</v>
      </c>
      <c r="AI44" s="58"/>
    </row>
    <row r="45" spans="1:35" ht="15.75" customHeight="1">
      <c r="A45" s="13" t="s">
        <v>133</v>
      </c>
      <c r="B45" s="5">
        <v>512</v>
      </c>
      <c r="C45" s="7">
        <v>58957.80000000001</v>
      </c>
      <c r="D45" s="7">
        <v>0</v>
      </c>
      <c r="E45" s="7">
        <v>0</v>
      </c>
      <c r="F45" s="5">
        <v>0</v>
      </c>
      <c r="G45" s="7">
        <v>0</v>
      </c>
      <c r="H45" s="5">
        <v>0</v>
      </c>
      <c r="I45" s="7">
        <v>0</v>
      </c>
      <c r="J45" s="7">
        <v>64</v>
      </c>
      <c r="K45" s="5">
        <v>0</v>
      </c>
      <c r="L45" s="5">
        <v>0</v>
      </c>
      <c r="M45" s="5">
        <v>64</v>
      </c>
      <c r="N45" s="7">
        <v>64</v>
      </c>
      <c r="O45" s="7">
        <v>10259.9</v>
      </c>
      <c r="P45" s="7">
        <v>184</v>
      </c>
      <c r="Q45" s="5">
        <v>0</v>
      </c>
      <c r="R45" s="5">
        <v>184</v>
      </c>
      <c r="S45" s="7">
        <v>37568.400000000001</v>
      </c>
      <c r="T45" s="12">
        <v>43108</v>
      </c>
      <c r="U45" s="4">
        <v>8</v>
      </c>
      <c r="V45" s="4">
        <v>4</v>
      </c>
      <c r="W45" s="4">
        <v>7</v>
      </c>
      <c r="X45" s="45">
        <v>106786.1</v>
      </c>
      <c r="Y45" s="14" t="s">
        <v>54</v>
      </c>
      <c r="Z45" s="14" t="s">
        <v>57</v>
      </c>
      <c r="AA45" s="14" t="s">
        <v>835</v>
      </c>
      <c r="AB45" s="25">
        <v>43111</v>
      </c>
      <c r="AC45" s="14" t="s">
        <v>758</v>
      </c>
      <c r="AD45" s="14" t="s">
        <v>50</v>
      </c>
      <c r="AE45" s="23" t="s">
        <v>132</v>
      </c>
      <c r="AF45" s="25" t="s">
        <v>1269</v>
      </c>
      <c r="AG45" t="e">
        <f t="shared" si="0"/>
        <v>#REF!</v>
      </c>
      <c r="AI45" s="58"/>
    </row>
    <row r="46" spans="1:35" ht="15.75" customHeight="1">
      <c r="A46" s="13" t="s">
        <v>135</v>
      </c>
      <c r="B46" s="5">
        <v>95</v>
      </c>
      <c r="C46" s="7">
        <v>8455.3000000000011</v>
      </c>
      <c r="D46" s="7">
        <v>0</v>
      </c>
      <c r="E46" s="7">
        <v>0</v>
      </c>
      <c r="F46" s="5">
        <v>0</v>
      </c>
      <c r="G46" s="7">
        <v>0</v>
      </c>
      <c r="H46" s="5">
        <v>30</v>
      </c>
      <c r="I46" s="7">
        <v>1896.6</v>
      </c>
      <c r="J46" s="7">
        <v>15</v>
      </c>
      <c r="K46" s="5">
        <v>0</v>
      </c>
      <c r="L46" s="5">
        <v>0</v>
      </c>
      <c r="M46" s="5">
        <v>15</v>
      </c>
      <c r="N46" s="7">
        <v>15</v>
      </c>
      <c r="O46" s="7">
        <v>2003</v>
      </c>
      <c r="P46" s="7">
        <v>504</v>
      </c>
      <c r="Q46" s="5">
        <v>0</v>
      </c>
      <c r="R46" s="5">
        <v>504</v>
      </c>
      <c r="S46" s="7">
        <v>46245.8</v>
      </c>
      <c r="T46" s="12">
        <v>43108</v>
      </c>
      <c r="U46" s="4">
        <v>3</v>
      </c>
      <c r="V46" s="4">
        <v>4</v>
      </c>
      <c r="W46" s="4">
        <v>7</v>
      </c>
      <c r="X46" s="45">
        <v>58600.700000000004</v>
      </c>
      <c r="Y46" s="14" t="s">
        <v>56</v>
      </c>
      <c r="Z46" s="14" t="s">
        <v>730</v>
      </c>
      <c r="AA46" s="14" t="s">
        <v>844</v>
      </c>
      <c r="AB46" s="25">
        <v>43110</v>
      </c>
      <c r="AC46" s="14" t="s">
        <v>761</v>
      </c>
      <c r="AD46" s="14" t="s">
        <v>49</v>
      </c>
      <c r="AE46" s="23" t="s">
        <v>134</v>
      </c>
      <c r="AF46" s="25" t="s">
        <v>1267</v>
      </c>
      <c r="AG46" t="e">
        <f t="shared" si="0"/>
        <v>#REF!</v>
      </c>
      <c r="AI46" s="58"/>
    </row>
    <row r="47" spans="1:35" ht="15.75" customHeight="1">
      <c r="A47" s="13" t="s">
        <v>138</v>
      </c>
      <c r="B47" s="5">
        <v>557</v>
      </c>
      <c r="C47" s="7">
        <v>60792.100000000006</v>
      </c>
      <c r="D47" s="7">
        <v>0</v>
      </c>
      <c r="E47" s="7">
        <v>0</v>
      </c>
      <c r="F47" s="5">
        <v>0</v>
      </c>
      <c r="G47" s="7">
        <v>0</v>
      </c>
      <c r="H47" s="5">
        <v>0</v>
      </c>
      <c r="I47" s="7">
        <v>0</v>
      </c>
      <c r="J47" s="7">
        <v>0</v>
      </c>
      <c r="K47" s="5">
        <v>0</v>
      </c>
      <c r="L47" s="5">
        <v>0</v>
      </c>
      <c r="M47" s="5">
        <v>0</v>
      </c>
      <c r="N47" s="7">
        <v>0</v>
      </c>
      <c r="O47" s="7">
        <v>0</v>
      </c>
      <c r="P47" s="7">
        <v>81</v>
      </c>
      <c r="Q47" s="5">
        <v>0</v>
      </c>
      <c r="R47" s="5">
        <v>81</v>
      </c>
      <c r="S47" s="7">
        <v>16835.099999999999</v>
      </c>
      <c r="T47" s="12">
        <v>43109</v>
      </c>
      <c r="U47" s="4">
        <v>6</v>
      </c>
      <c r="V47" s="4">
        <v>4</v>
      </c>
      <c r="W47" s="4">
        <v>7</v>
      </c>
      <c r="X47" s="45">
        <v>77627.200000000012</v>
      </c>
      <c r="Y47" s="14" t="s">
        <v>54</v>
      </c>
      <c r="Z47" s="14" t="s">
        <v>1281</v>
      </c>
      <c r="AA47" s="14" t="s">
        <v>846</v>
      </c>
      <c r="AB47" s="25">
        <v>43114</v>
      </c>
      <c r="AC47" s="14" t="s">
        <v>765</v>
      </c>
      <c r="AD47" s="14" t="s">
        <v>50</v>
      </c>
      <c r="AE47" s="23" t="s">
        <v>137</v>
      </c>
      <c r="AF47" s="25" t="s">
        <v>1269</v>
      </c>
      <c r="AG47" t="e">
        <f t="shared" si="0"/>
        <v>#REF!</v>
      </c>
      <c r="AI47" s="58"/>
    </row>
    <row r="48" spans="1:35" ht="15.75" customHeight="1">
      <c r="A48" s="13" t="s">
        <v>140</v>
      </c>
      <c r="B48" s="5">
        <v>348</v>
      </c>
      <c r="C48" s="7">
        <v>36026.439999999995</v>
      </c>
      <c r="D48" s="7">
        <v>0</v>
      </c>
      <c r="E48" s="7">
        <v>0</v>
      </c>
      <c r="F48" s="5">
        <v>0</v>
      </c>
      <c r="G48" s="7">
        <v>0</v>
      </c>
      <c r="H48" s="5">
        <v>0</v>
      </c>
      <c r="I48" s="7">
        <v>0</v>
      </c>
      <c r="J48" s="7">
        <v>0</v>
      </c>
      <c r="K48" s="5">
        <v>0</v>
      </c>
      <c r="L48" s="5">
        <v>0</v>
      </c>
      <c r="M48" s="5">
        <v>0</v>
      </c>
      <c r="N48" s="7">
        <v>0</v>
      </c>
      <c r="O48" s="7">
        <v>0</v>
      </c>
      <c r="P48" s="7">
        <v>73</v>
      </c>
      <c r="Q48" s="5">
        <v>0</v>
      </c>
      <c r="R48" s="5">
        <v>73</v>
      </c>
      <c r="S48" s="7">
        <v>12970.099999999999</v>
      </c>
      <c r="T48" s="12">
        <v>43109</v>
      </c>
      <c r="U48" s="4">
        <v>4</v>
      </c>
      <c r="V48" s="4">
        <v>4</v>
      </c>
      <c r="W48" s="4">
        <v>7</v>
      </c>
      <c r="X48" s="45">
        <v>48996.539999999994</v>
      </c>
      <c r="Y48" s="14" t="s">
        <v>58</v>
      </c>
      <c r="Z48" s="14" t="s">
        <v>1355</v>
      </c>
      <c r="AA48" s="14" t="s">
        <v>847</v>
      </c>
      <c r="AB48" s="25">
        <v>43114</v>
      </c>
      <c r="AC48" s="14" t="s">
        <v>766</v>
      </c>
      <c r="AD48" s="14" t="s">
        <v>49</v>
      </c>
      <c r="AE48" s="23" t="s">
        <v>139</v>
      </c>
      <c r="AF48" s="25" t="s">
        <v>1266</v>
      </c>
      <c r="AG48" t="e">
        <f t="shared" si="0"/>
        <v>#REF!</v>
      </c>
      <c r="AI48" s="58"/>
    </row>
    <row r="49" spans="1:35" ht="15.75" customHeight="1">
      <c r="A49" s="13" t="s">
        <v>143</v>
      </c>
      <c r="B49" s="5">
        <v>705</v>
      </c>
      <c r="C49" s="7">
        <v>74250.17</v>
      </c>
      <c r="D49" s="7">
        <v>0</v>
      </c>
      <c r="E49" s="7">
        <v>0</v>
      </c>
      <c r="F49" s="5">
        <v>0</v>
      </c>
      <c r="G49" s="7">
        <v>0</v>
      </c>
      <c r="H49" s="5">
        <v>127</v>
      </c>
      <c r="I49" s="7">
        <v>17160.48</v>
      </c>
      <c r="J49" s="7">
        <v>0</v>
      </c>
      <c r="K49" s="5">
        <v>0</v>
      </c>
      <c r="L49" s="5">
        <v>0</v>
      </c>
      <c r="M49" s="5">
        <v>0</v>
      </c>
      <c r="N49" s="7">
        <v>0</v>
      </c>
      <c r="O49" s="7">
        <v>0</v>
      </c>
      <c r="P49" s="7">
        <v>556</v>
      </c>
      <c r="Q49" s="5">
        <v>0</v>
      </c>
      <c r="R49" s="5">
        <v>556</v>
      </c>
      <c r="S49" s="7">
        <v>45511.8</v>
      </c>
      <c r="T49" s="12">
        <v>43109</v>
      </c>
      <c r="U49" s="4">
        <v>9</v>
      </c>
      <c r="V49" s="4">
        <v>4</v>
      </c>
      <c r="W49" s="4">
        <v>7</v>
      </c>
      <c r="X49" s="45">
        <v>136922.45000000001</v>
      </c>
      <c r="Y49" s="14" t="s">
        <v>54</v>
      </c>
      <c r="Z49" s="14" t="s">
        <v>55</v>
      </c>
      <c r="AA49" s="14" t="s">
        <v>848</v>
      </c>
      <c r="AB49" s="25">
        <v>43112</v>
      </c>
      <c r="AC49" s="14" t="s">
        <v>767</v>
      </c>
      <c r="AD49" s="14" t="s">
        <v>51</v>
      </c>
      <c r="AE49" s="23" t="s">
        <v>142</v>
      </c>
      <c r="AF49" s="25" t="s">
        <v>1270</v>
      </c>
      <c r="AG49" t="e">
        <f t="shared" si="0"/>
        <v>#REF!</v>
      </c>
      <c r="AI49" s="58"/>
    </row>
    <row r="50" spans="1:35" ht="15.75" customHeight="1">
      <c r="A50" s="13" t="s">
        <v>145</v>
      </c>
      <c r="B50" s="5">
        <v>197</v>
      </c>
      <c r="C50" s="7">
        <v>19872.699999999997</v>
      </c>
      <c r="D50" s="7">
        <v>20</v>
      </c>
      <c r="E50" s="7">
        <v>20</v>
      </c>
      <c r="F50" s="5">
        <v>0</v>
      </c>
      <c r="G50" s="7">
        <v>946</v>
      </c>
      <c r="H50" s="5">
        <v>220</v>
      </c>
      <c r="I50" s="7">
        <v>28906.100000000002</v>
      </c>
      <c r="J50" s="7">
        <v>24</v>
      </c>
      <c r="K50" s="5">
        <v>0</v>
      </c>
      <c r="L50" s="5">
        <v>0</v>
      </c>
      <c r="M50" s="5">
        <v>24</v>
      </c>
      <c r="N50" s="7">
        <v>24</v>
      </c>
      <c r="O50" s="7">
        <v>3851.7</v>
      </c>
      <c r="P50" s="7">
        <v>570</v>
      </c>
      <c r="Q50" s="5">
        <v>0</v>
      </c>
      <c r="R50" s="5">
        <v>570</v>
      </c>
      <c r="S50" s="7">
        <v>45378.600000000006</v>
      </c>
      <c r="T50" s="12">
        <v>43109</v>
      </c>
      <c r="U50" s="4">
        <v>6</v>
      </c>
      <c r="V50" s="4">
        <v>4</v>
      </c>
      <c r="W50" s="4">
        <v>7</v>
      </c>
      <c r="X50" s="45">
        <v>98955.1</v>
      </c>
      <c r="Y50" s="14" t="s">
        <v>56</v>
      </c>
      <c r="Z50" s="14" t="s">
        <v>55</v>
      </c>
      <c r="AA50" s="14" t="s">
        <v>838</v>
      </c>
      <c r="AB50" s="25">
        <v>43113</v>
      </c>
      <c r="AC50" s="14" t="s">
        <v>760</v>
      </c>
      <c r="AD50" s="14" t="s">
        <v>52</v>
      </c>
      <c r="AE50" s="23" t="s">
        <v>144</v>
      </c>
      <c r="AF50" s="25" t="s">
        <v>1271</v>
      </c>
      <c r="AG50" t="e">
        <f t="shared" si="0"/>
        <v>#REF!</v>
      </c>
      <c r="AI50" s="58"/>
    </row>
    <row r="51" spans="1:35" ht="15.75" customHeight="1">
      <c r="A51" s="13" t="s">
        <v>147</v>
      </c>
      <c r="B51" s="5">
        <v>0</v>
      </c>
      <c r="C51" s="7">
        <v>0</v>
      </c>
      <c r="D51" s="7">
        <v>0</v>
      </c>
      <c r="E51" s="7">
        <v>0</v>
      </c>
      <c r="F51" s="5">
        <v>0</v>
      </c>
      <c r="G51" s="7">
        <v>0</v>
      </c>
      <c r="H51" s="5">
        <v>95</v>
      </c>
      <c r="I51" s="7">
        <v>12156.2</v>
      </c>
      <c r="J51" s="7">
        <v>0</v>
      </c>
      <c r="K51" s="5">
        <v>0</v>
      </c>
      <c r="L51" s="5">
        <v>0</v>
      </c>
      <c r="M51" s="5">
        <v>0</v>
      </c>
      <c r="N51" s="7">
        <v>0</v>
      </c>
      <c r="O51" s="7">
        <v>0</v>
      </c>
      <c r="P51" s="7">
        <v>320</v>
      </c>
      <c r="Q51" s="5">
        <v>0</v>
      </c>
      <c r="R51" s="5">
        <v>320</v>
      </c>
      <c r="S51" s="7">
        <v>37907</v>
      </c>
      <c r="T51" s="12">
        <v>43109</v>
      </c>
      <c r="U51" s="4">
        <v>3</v>
      </c>
      <c r="V51" s="4">
        <v>4</v>
      </c>
      <c r="W51" s="4">
        <v>7</v>
      </c>
      <c r="X51" s="45">
        <v>50063.199999999997</v>
      </c>
      <c r="Y51" s="14" t="s">
        <v>56</v>
      </c>
      <c r="Z51" s="14" t="s">
        <v>57</v>
      </c>
      <c r="AA51" s="14" t="s">
        <v>844</v>
      </c>
      <c r="AB51" s="25">
        <v>43110</v>
      </c>
      <c r="AC51" s="14" t="s">
        <v>761</v>
      </c>
      <c r="AD51" s="14" t="s">
        <v>49</v>
      </c>
      <c r="AE51" s="23" t="s">
        <v>146</v>
      </c>
      <c r="AF51" s="25" t="s">
        <v>1268</v>
      </c>
      <c r="AG51" t="e">
        <f t="shared" si="0"/>
        <v>#REF!</v>
      </c>
      <c r="AI51" s="58"/>
    </row>
    <row r="52" spans="1:35" ht="15.75" customHeight="1">
      <c r="A52" s="13" t="s">
        <v>149</v>
      </c>
      <c r="B52" s="5">
        <v>20</v>
      </c>
      <c r="C52" s="7">
        <v>2375.6999999999998</v>
      </c>
      <c r="D52" s="7">
        <v>0</v>
      </c>
      <c r="E52" s="7">
        <v>0</v>
      </c>
      <c r="F52" s="5">
        <v>0</v>
      </c>
      <c r="G52" s="7">
        <v>0</v>
      </c>
      <c r="H52" s="5">
        <v>38</v>
      </c>
      <c r="I52" s="7">
        <v>3821.28</v>
      </c>
      <c r="J52" s="7">
        <v>0</v>
      </c>
      <c r="K52" s="5">
        <v>0</v>
      </c>
      <c r="L52" s="5">
        <v>0</v>
      </c>
      <c r="M52" s="5">
        <v>0</v>
      </c>
      <c r="N52" s="7">
        <v>0</v>
      </c>
      <c r="O52" s="7">
        <v>0</v>
      </c>
      <c r="P52" s="7">
        <v>140</v>
      </c>
      <c r="Q52" s="5">
        <v>0</v>
      </c>
      <c r="R52" s="5">
        <v>140</v>
      </c>
      <c r="S52" s="7">
        <v>16549.5</v>
      </c>
      <c r="T52" s="12">
        <v>43109</v>
      </c>
      <c r="U52" s="4">
        <v>1</v>
      </c>
      <c r="V52" s="4">
        <v>4</v>
      </c>
      <c r="W52" s="4">
        <v>7</v>
      </c>
      <c r="X52" s="45">
        <v>22746.48</v>
      </c>
      <c r="Y52" s="14" t="s">
        <v>1354</v>
      </c>
      <c r="Z52" s="14" t="s">
        <v>730</v>
      </c>
      <c r="AA52" s="14" t="s">
        <v>849</v>
      </c>
      <c r="AB52" s="25">
        <v>43113</v>
      </c>
      <c r="AC52" s="14" t="s">
        <v>768</v>
      </c>
      <c r="AD52" s="14" t="s">
        <v>240</v>
      </c>
      <c r="AE52" s="23" t="s">
        <v>148</v>
      </c>
      <c r="AF52" s="25" t="s">
        <v>1274</v>
      </c>
      <c r="AG52" t="e">
        <f t="shared" si="0"/>
        <v>#REF!</v>
      </c>
      <c r="AI52" s="58"/>
    </row>
    <row r="53" spans="1:35" ht="15.75" customHeight="1">
      <c r="A53" s="13" t="s">
        <v>151</v>
      </c>
      <c r="B53" s="5">
        <v>0</v>
      </c>
      <c r="C53" s="7">
        <v>0</v>
      </c>
      <c r="D53" s="7">
        <v>0</v>
      </c>
      <c r="E53" s="7">
        <v>0</v>
      </c>
      <c r="F53" s="5">
        <v>0</v>
      </c>
      <c r="G53" s="7">
        <v>0</v>
      </c>
      <c r="H53" s="5">
        <v>652</v>
      </c>
      <c r="I53" s="7">
        <v>90603.639999999985</v>
      </c>
      <c r="J53" s="7">
        <v>0</v>
      </c>
      <c r="K53" s="5">
        <v>0</v>
      </c>
      <c r="L53" s="5">
        <v>0</v>
      </c>
      <c r="M53" s="5">
        <v>0</v>
      </c>
      <c r="N53" s="7">
        <v>0</v>
      </c>
      <c r="O53" s="7">
        <v>0</v>
      </c>
      <c r="P53" s="7">
        <v>0</v>
      </c>
      <c r="Q53" s="5">
        <v>0</v>
      </c>
      <c r="R53" s="5">
        <v>0</v>
      </c>
      <c r="S53" s="7">
        <v>0</v>
      </c>
      <c r="T53" s="12">
        <v>43109</v>
      </c>
      <c r="U53" s="4">
        <v>6</v>
      </c>
      <c r="V53" s="4">
        <v>4</v>
      </c>
      <c r="W53" s="4">
        <v>7</v>
      </c>
      <c r="X53" s="45">
        <v>90603.639999999985</v>
      </c>
      <c r="Y53" s="14" t="s">
        <v>56</v>
      </c>
      <c r="Z53" s="14" t="s">
        <v>59</v>
      </c>
      <c r="AA53" s="14" t="s">
        <v>841</v>
      </c>
      <c r="AB53" s="25">
        <v>43112</v>
      </c>
      <c r="AC53" s="14" t="s">
        <v>763</v>
      </c>
      <c r="AD53" s="14" t="s">
        <v>49</v>
      </c>
      <c r="AE53" s="23" t="s">
        <v>150</v>
      </c>
      <c r="AF53" s="25" t="s">
        <v>1265</v>
      </c>
      <c r="AG53" t="e">
        <f t="shared" si="0"/>
        <v>#REF!</v>
      </c>
      <c r="AI53" s="58"/>
    </row>
    <row r="54" spans="1:35" ht="15.75" customHeight="1">
      <c r="A54" s="13" t="s">
        <v>141</v>
      </c>
      <c r="B54" s="5">
        <v>215</v>
      </c>
      <c r="C54" s="7">
        <v>15654</v>
      </c>
      <c r="D54" s="7">
        <v>0</v>
      </c>
      <c r="E54" s="7">
        <v>0</v>
      </c>
      <c r="F54" s="5">
        <v>0</v>
      </c>
      <c r="G54" s="7">
        <v>0</v>
      </c>
      <c r="H54" s="5">
        <v>640</v>
      </c>
      <c r="I54" s="7">
        <v>66420.800000000003</v>
      </c>
      <c r="J54" s="7">
        <v>323</v>
      </c>
      <c r="K54" s="5">
        <v>0</v>
      </c>
      <c r="L54" s="5">
        <v>0</v>
      </c>
      <c r="M54" s="5">
        <v>323</v>
      </c>
      <c r="N54" s="7">
        <v>323</v>
      </c>
      <c r="O54" s="7">
        <v>48694.400000000001</v>
      </c>
      <c r="P54" s="7">
        <v>202</v>
      </c>
      <c r="Q54" s="5">
        <v>0</v>
      </c>
      <c r="R54" s="5">
        <v>202</v>
      </c>
      <c r="S54" s="7">
        <v>27640.800000000003</v>
      </c>
      <c r="T54" s="12">
        <v>43110</v>
      </c>
      <c r="U54" s="4">
        <v>13</v>
      </c>
      <c r="V54" s="4">
        <v>4</v>
      </c>
      <c r="W54" s="4">
        <v>7</v>
      </c>
      <c r="X54" s="45">
        <v>158410</v>
      </c>
      <c r="Y54" s="14" t="s">
        <v>54</v>
      </c>
      <c r="Z54" s="14" t="s">
        <v>730</v>
      </c>
      <c r="AA54" s="14" t="s">
        <v>850</v>
      </c>
      <c r="AB54" s="25">
        <v>43121</v>
      </c>
      <c r="AC54" s="14" t="s">
        <v>769</v>
      </c>
      <c r="AD54" s="14" t="s">
        <v>51</v>
      </c>
      <c r="AE54" s="23" t="s">
        <v>153</v>
      </c>
      <c r="AF54" s="25" t="s">
        <v>1270</v>
      </c>
      <c r="AG54" t="e">
        <f t="shared" si="0"/>
        <v>#REF!</v>
      </c>
      <c r="AI54" s="58"/>
    </row>
    <row r="55" spans="1:35" ht="15.75" customHeight="1">
      <c r="A55" s="13" t="s">
        <v>152</v>
      </c>
      <c r="B55" s="5">
        <v>0</v>
      </c>
      <c r="C55" s="7">
        <v>0</v>
      </c>
      <c r="D55" s="7">
        <v>0</v>
      </c>
      <c r="E55" s="7">
        <v>0</v>
      </c>
      <c r="F55" s="5">
        <v>0</v>
      </c>
      <c r="G55" s="7">
        <v>0</v>
      </c>
      <c r="H55" s="5">
        <v>1392</v>
      </c>
      <c r="I55" s="7">
        <v>163130.34999999998</v>
      </c>
      <c r="J55" s="7">
        <v>0</v>
      </c>
      <c r="K55" s="5">
        <v>0</v>
      </c>
      <c r="L55" s="5">
        <v>0</v>
      </c>
      <c r="M55" s="5">
        <v>0</v>
      </c>
      <c r="N55" s="7">
        <v>0</v>
      </c>
      <c r="O55" s="7">
        <v>0</v>
      </c>
      <c r="P55" s="7">
        <v>0</v>
      </c>
      <c r="Q55" s="5">
        <v>0</v>
      </c>
      <c r="R55" s="5">
        <v>0</v>
      </c>
      <c r="S55" s="7">
        <v>0</v>
      </c>
      <c r="T55" s="12">
        <v>43110</v>
      </c>
      <c r="U55" s="4">
        <v>12</v>
      </c>
      <c r="V55" s="4">
        <v>4</v>
      </c>
      <c r="W55" s="4">
        <v>7</v>
      </c>
      <c r="X55" s="45">
        <v>163130.34999999998</v>
      </c>
      <c r="Y55" s="14" t="s">
        <v>54</v>
      </c>
      <c r="Z55" s="14" t="s">
        <v>59</v>
      </c>
      <c r="AA55" s="14" t="s">
        <v>851</v>
      </c>
      <c r="AB55" s="25">
        <v>43118</v>
      </c>
      <c r="AC55" s="14" t="s">
        <v>770</v>
      </c>
      <c r="AD55" s="14" t="s">
        <v>49</v>
      </c>
      <c r="AE55" s="23" t="s">
        <v>154</v>
      </c>
      <c r="AF55" s="25" t="s">
        <v>1265</v>
      </c>
      <c r="AG55" t="e">
        <f t="shared" si="0"/>
        <v>#REF!</v>
      </c>
      <c r="AI55" s="58"/>
    </row>
    <row r="56" spans="1:35" ht="15.75" customHeight="1">
      <c r="A56" s="13" t="s">
        <v>156</v>
      </c>
      <c r="B56" s="5">
        <v>213</v>
      </c>
      <c r="C56" s="7">
        <v>20540.499999999996</v>
      </c>
      <c r="D56" s="7">
        <v>0</v>
      </c>
      <c r="E56" s="7">
        <v>0</v>
      </c>
      <c r="F56" s="5">
        <v>0</v>
      </c>
      <c r="G56" s="7">
        <v>0</v>
      </c>
      <c r="H56" s="5">
        <v>0</v>
      </c>
      <c r="I56" s="7">
        <v>0</v>
      </c>
      <c r="J56" s="7">
        <v>10</v>
      </c>
      <c r="K56" s="5">
        <v>0</v>
      </c>
      <c r="L56" s="5">
        <v>0</v>
      </c>
      <c r="M56" s="5">
        <v>10</v>
      </c>
      <c r="N56" s="7">
        <v>10</v>
      </c>
      <c r="O56" s="7">
        <v>1510</v>
      </c>
      <c r="P56" s="7">
        <v>0</v>
      </c>
      <c r="Q56" s="5">
        <v>0</v>
      </c>
      <c r="R56" s="5">
        <v>0</v>
      </c>
      <c r="S56" s="7">
        <v>0</v>
      </c>
      <c r="T56" s="12">
        <v>43110</v>
      </c>
      <c r="U56" s="4">
        <v>2</v>
      </c>
      <c r="V56" s="4">
        <v>4</v>
      </c>
      <c r="W56" s="4">
        <v>7</v>
      </c>
      <c r="X56" s="45">
        <v>22050.499999999996</v>
      </c>
      <c r="Y56" s="14" t="s">
        <v>54</v>
      </c>
      <c r="Z56" s="14" t="s">
        <v>730</v>
      </c>
      <c r="AA56" s="14" t="s">
        <v>852</v>
      </c>
      <c r="AB56" s="25">
        <v>43114</v>
      </c>
      <c r="AC56" s="14" t="s">
        <v>765</v>
      </c>
      <c r="AD56" s="14" t="s">
        <v>49</v>
      </c>
      <c r="AE56" s="23" t="s">
        <v>155</v>
      </c>
      <c r="AF56" s="25" t="s">
        <v>1267</v>
      </c>
      <c r="AG56" t="e">
        <f t="shared" si="0"/>
        <v>#REF!</v>
      </c>
      <c r="AI56" s="58"/>
    </row>
    <row r="57" spans="1:35" ht="15.75" customHeight="1">
      <c r="A57" s="13" t="s">
        <v>158</v>
      </c>
      <c r="B57" s="5">
        <v>711</v>
      </c>
      <c r="C57" s="7">
        <v>89638.9</v>
      </c>
      <c r="D57" s="7">
        <v>0</v>
      </c>
      <c r="E57" s="7">
        <v>0</v>
      </c>
      <c r="F57" s="5">
        <v>0</v>
      </c>
      <c r="G57" s="7">
        <v>0</v>
      </c>
      <c r="H57" s="5">
        <v>135</v>
      </c>
      <c r="I57" s="7">
        <v>16281.550000000001</v>
      </c>
      <c r="J57" s="7">
        <v>42</v>
      </c>
      <c r="K57" s="5">
        <v>0</v>
      </c>
      <c r="L57" s="5">
        <v>0</v>
      </c>
      <c r="M57" s="5">
        <v>42</v>
      </c>
      <c r="N57" s="7">
        <v>42</v>
      </c>
      <c r="O57" s="7">
        <v>7155</v>
      </c>
      <c r="P57" s="7">
        <v>160</v>
      </c>
      <c r="Q57" s="5">
        <v>0</v>
      </c>
      <c r="R57" s="5">
        <v>160</v>
      </c>
      <c r="S57" s="7">
        <v>32502</v>
      </c>
      <c r="T57" s="12">
        <v>43110</v>
      </c>
      <c r="U57" s="4">
        <v>12</v>
      </c>
      <c r="V57" s="4">
        <v>4</v>
      </c>
      <c r="W57" s="4">
        <v>7</v>
      </c>
      <c r="X57" s="45">
        <v>145577.45000000001</v>
      </c>
      <c r="Y57" s="14" t="s">
        <v>54</v>
      </c>
      <c r="Z57" s="14" t="s">
        <v>57</v>
      </c>
      <c r="AA57" s="14" t="s">
        <v>853</v>
      </c>
      <c r="AB57" s="25">
        <v>43114</v>
      </c>
      <c r="AC57" s="14" t="s">
        <v>771</v>
      </c>
      <c r="AD57" s="14" t="s">
        <v>51</v>
      </c>
      <c r="AE57" s="23" t="s">
        <v>157</v>
      </c>
      <c r="AF57" s="25" t="s">
        <v>1270</v>
      </c>
      <c r="AG57" t="e">
        <f t="shared" si="0"/>
        <v>#REF!</v>
      </c>
      <c r="AI57" s="58"/>
    </row>
    <row r="58" spans="1:35" ht="15.75" customHeight="1">
      <c r="A58" s="13" t="s">
        <v>160</v>
      </c>
      <c r="B58" s="5">
        <v>148</v>
      </c>
      <c r="C58" s="7">
        <v>14657.159999999998</v>
      </c>
      <c r="D58" s="7">
        <v>0</v>
      </c>
      <c r="E58" s="7">
        <v>0</v>
      </c>
      <c r="F58" s="5">
        <v>0</v>
      </c>
      <c r="G58" s="7">
        <v>0</v>
      </c>
      <c r="H58" s="5">
        <v>0</v>
      </c>
      <c r="I58" s="7">
        <v>0</v>
      </c>
      <c r="J58" s="7">
        <v>0</v>
      </c>
      <c r="K58" s="5">
        <v>0</v>
      </c>
      <c r="L58" s="5">
        <v>0</v>
      </c>
      <c r="M58" s="5">
        <v>0</v>
      </c>
      <c r="N58" s="7">
        <v>0</v>
      </c>
      <c r="O58" s="7">
        <v>0</v>
      </c>
      <c r="P58" s="7">
        <v>358</v>
      </c>
      <c r="Q58" s="5">
        <v>0</v>
      </c>
      <c r="R58" s="5">
        <v>358</v>
      </c>
      <c r="S58" s="7">
        <v>38946</v>
      </c>
      <c r="T58" s="12">
        <v>43110</v>
      </c>
      <c r="U58" s="4">
        <v>3</v>
      </c>
      <c r="V58" s="4">
        <v>4</v>
      </c>
      <c r="W58" s="4">
        <v>7</v>
      </c>
      <c r="X58" s="45">
        <v>53603.159999999996</v>
      </c>
      <c r="Y58" s="14" t="s">
        <v>54</v>
      </c>
      <c r="Z58" s="14" t="s">
        <v>55</v>
      </c>
      <c r="AA58" s="14" t="s">
        <v>854</v>
      </c>
      <c r="AB58" s="25">
        <v>43114</v>
      </c>
      <c r="AC58" s="14" t="s">
        <v>771</v>
      </c>
      <c r="AD58" s="14" t="s">
        <v>52</v>
      </c>
      <c r="AE58" s="23" t="s">
        <v>159</v>
      </c>
      <c r="AF58" s="25" t="s">
        <v>1271</v>
      </c>
      <c r="AG58" t="e">
        <f t="shared" si="0"/>
        <v>#REF!</v>
      </c>
      <c r="AI58" s="58"/>
    </row>
    <row r="59" spans="1:35" ht="15.75" customHeight="1">
      <c r="A59" s="13" t="s">
        <v>163</v>
      </c>
      <c r="B59" s="5">
        <v>191</v>
      </c>
      <c r="C59" s="7">
        <v>18929.079999999994</v>
      </c>
      <c r="D59" s="7">
        <v>0</v>
      </c>
      <c r="E59" s="7">
        <v>0</v>
      </c>
      <c r="F59" s="5">
        <v>0</v>
      </c>
      <c r="G59" s="7">
        <v>0</v>
      </c>
      <c r="H59" s="5">
        <v>85</v>
      </c>
      <c r="I59" s="7">
        <v>8767.5499999999993</v>
      </c>
      <c r="J59" s="7">
        <v>0</v>
      </c>
      <c r="K59" s="5">
        <v>0</v>
      </c>
      <c r="L59" s="5">
        <v>0</v>
      </c>
      <c r="M59" s="5">
        <v>0</v>
      </c>
      <c r="N59" s="7">
        <v>0</v>
      </c>
      <c r="O59" s="7">
        <v>0</v>
      </c>
      <c r="P59" s="7">
        <v>80</v>
      </c>
      <c r="Q59" s="5">
        <v>0</v>
      </c>
      <c r="R59" s="5">
        <v>80</v>
      </c>
      <c r="S59" s="7">
        <v>12314</v>
      </c>
      <c r="T59" s="12">
        <v>43111</v>
      </c>
      <c r="U59" s="4">
        <v>3</v>
      </c>
      <c r="V59" s="4">
        <v>4</v>
      </c>
      <c r="W59" s="4">
        <v>7</v>
      </c>
      <c r="X59" s="45">
        <v>40010.62999999999</v>
      </c>
      <c r="Y59" s="14" t="s">
        <v>1634</v>
      </c>
      <c r="Z59" s="14" t="s">
        <v>1355</v>
      </c>
      <c r="AA59" s="14" t="s">
        <v>840</v>
      </c>
      <c r="AB59" s="25">
        <v>43113</v>
      </c>
      <c r="AC59" s="14" t="s">
        <v>762</v>
      </c>
      <c r="AD59" s="14" t="s">
        <v>70</v>
      </c>
      <c r="AE59" s="23" t="s">
        <v>164</v>
      </c>
      <c r="AF59" s="25" t="s">
        <v>1273</v>
      </c>
      <c r="AG59" t="e">
        <f t="shared" si="0"/>
        <v>#REF!</v>
      </c>
      <c r="AI59" s="58"/>
    </row>
    <row r="60" spans="1:35" ht="15.75" customHeight="1">
      <c r="A60" s="13" t="s">
        <v>165</v>
      </c>
      <c r="B60" s="5">
        <v>0</v>
      </c>
      <c r="C60" s="7">
        <v>0</v>
      </c>
      <c r="D60" s="7">
        <v>0</v>
      </c>
      <c r="E60" s="7">
        <v>0</v>
      </c>
      <c r="F60" s="5">
        <v>0</v>
      </c>
      <c r="G60" s="7">
        <v>0</v>
      </c>
      <c r="H60" s="5">
        <v>115</v>
      </c>
      <c r="I60" s="7">
        <v>13487.3</v>
      </c>
      <c r="J60" s="7">
        <v>0</v>
      </c>
      <c r="K60" s="5">
        <v>0</v>
      </c>
      <c r="L60" s="5">
        <v>0</v>
      </c>
      <c r="M60" s="5">
        <v>0</v>
      </c>
      <c r="N60" s="7">
        <v>0</v>
      </c>
      <c r="O60" s="7">
        <v>0</v>
      </c>
      <c r="P60" s="7">
        <v>85</v>
      </c>
      <c r="Q60" s="5">
        <v>0</v>
      </c>
      <c r="R60" s="5">
        <v>85</v>
      </c>
      <c r="S60" s="7">
        <v>12173</v>
      </c>
      <c r="T60" s="12">
        <v>43111</v>
      </c>
      <c r="U60" s="4">
        <v>2</v>
      </c>
      <c r="X60" s="45">
        <v>25660.3</v>
      </c>
      <c r="Y60" s="14" t="s">
        <v>1634</v>
      </c>
      <c r="Z60" s="14" t="s">
        <v>1281</v>
      </c>
      <c r="AA60" s="14" t="s">
        <v>855</v>
      </c>
      <c r="AB60" s="25">
        <v>43118</v>
      </c>
      <c r="AC60" s="14" t="s">
        <v>772</v>
      </c>
      <c r="AD60" s="14" t="s">
        <v>70</v>
      </c>
      <c r="AE60" s="23" t="s">
        <v>166</v>
      </c>
      <c r="AF60" s="25" t="s">
        <v>1273</v>
      </c>
      <c r="AG60" t="e">
        <f t="shared" si="0"/>
        <v>#REF!</v>
      </c>
      <c r="AI60" s="58"/>
    </row>
    <row r="61" spans="1:35" ht="15.75" customHeight="1">
      <c r="A61" s="13" t="s">
        <v>162</v>
      </c>
      <c r="B61" s="5">
        <v>0</v>
      </c>
      <c r="C61" s="7">
        <v>0</v>
      </c>
      <c r="D61" s="7">
        <v>0</v>
      </c>
      <c r="E61" s="7">
        <v>0</v>
      </c>
      <c r="F61" s="5">
        <v>0</v>
      </c>
      <c r="G61" s="7">
        <v>0</v>
      </c>
      <c r="H61" s="5">
        <v>547</v>
      </c>
      <c r="I61" s="7">
        <v>61783.09</v>
      </c>
      <c r="J61" s="7">
        <v>284</v>
      </c>
      <c r="K61" s="5">
        <v>0</v>
      </c>
      <c r="L61" s="5">
        <v>0</v>
      </c>
      <c r="M61" s="5">
        <v>284</v>
      </c>
      <c r="N61" s="7">
        <v>284</v>
      </c>
      <c r="O61" s="7">
        <v>15061.3</v>
      </c>
      <c r="P61" s="7">
        <v>948</v>
      </c>
      <c r="Q61" s="5">
        <v>0</v>
      </c>
      <c r="R61" s="5">
        <v>948</v>
      </c>
      <c r="S61" s="7">
        <v>62094</v>
      </c>
      <c r="T61" s="12">
        <v>43111</v>
      </c>
      <c r="U61" s="4">
        <v>7</v>
      </c>
      <c r="X61" s="45">
        <v>138938.39000000001</v>
      </c>
      <c r="Y61" s="14" t="s">
        <v>54</v>
      </c>
      <c r="Z61" s="14" t="s">
        <v>59</v>
      </c>
      <c r="AA61" s="14" t="s">
        <v>852</v>
      </c>
      <c r="AB61" s="25">
        <v>43114</v>
      </c>
      <c r="AC61" s="14" t="s">
        <v>765</v>
      </c>
      <c r="AD61" s="14" t="s">
        <v>49</v>
      </c>
      <c r="AE61" s="23" t="s">
        <v>167</v>
      </c>
      <c r="AF61" s="25" t="s">
        <v>1265</v>
      </c>
      <c r="AG61" t="e">
        <f t="shared" si="0"/>
        <v>#REF!</v>
      </c>
      <c r="AI61" s="58"/>
    </row>
    <row r="62" spans="1:35" ht="15.75" customHeight="1">
      <c r="A62" s="13" t="s">
        <v>168</v>
      </c>
      <c r="B62" s="5">
        <v>0</v>
      </c>
      <c r="C62" s="7">
        <v>0</v>
      </c>
      <c r="D62" s="7">
        <v>0</v>
      </c>
      <c r="E62" s="7">
        <v>0</v>
      </c>
      <c r="F62" s="5">
        <v>0</v>
      </c>
      <c r="G62" s="7">
        <v>0</v>
      </c>
      <c r="H62" s="5">
        <v>237</v>
      </c>
      <c r="I62" s="7">
        <v>26166.920000000002</v>
      </c>
      <c r="J62" s="7">
        <v>48</v>
      </c>
      <c r="K62" s="5">
        <v>0</v>
      </c>
      <c r="L62" s="5">
        <v>0</v>
      </c>
      <c r="M62" s="5">
        <v>48</v>
      </c>
      <c r="N62" s="7">
        <v>48</v>
      </c>
      <c r="O62" s="7">
        <v>8528.4</v>
      </c>
      <c r="P62" s="7">
        <v>120</v>
      </c>
      <c r="Q62" s="5">
        <v>0</v>
      </c>
      <c r="R62" s="5">
        <v>120</v>
      </c>
      <c r="S62" s="7">
        <v>13320</v>
      </c>
      <c r="T62" s="12">
        <v>43111</v>
      </c>
      <c r="U62" s="4">
        <v>4</v>
      </c>
      <c r="X62" s="45">
        <v>48015.32</v>
      </c>
      <c r="Y62" s="14" t="s">
        <v>56</v>
      </c>
      <c r="Z62" s="14" t="s">
        <v>1635</v>
      </c>
      <c r="AA62" s="14" t="s">
        <v>856</v>
      </c>
      <c r="AB62" s="25">
        <v>43120</v>
      </c>
      <c r="AC62" s="14" t="s">
        <v>773</v>
      </c>
      <c r="AD62" s="14" t="s">
        <v>52</v>
      </c>
      <c r="AE62" s="23" t="s">
        <v>169</v>
      </c>
      <c r="AF62" s="25" t="s">
        <v>1271</v>
      </c>
      <c r="AG62" t="e">
        <f t="shared" si="0"/>
        <v>#REF!</v>
      </c>
      <c r="AI62" s="58"/>
    </row>
    <row r="63" spans="1:35" ht="15.75" customHeight="1">
      <c r="A63" s="13" t="s">
        <v>170</v>
      </c>
      <c r="B63" s="5">
        <v>743</v>
      </c>
      <c r="C63" s="7">
        <v>56258.95</v>
      </c>
      <c r="D63" s="7">
        <v>0</v>
      </c>
      <c r="E63" s="7">
        <v>0</v>
      </c>
      <c r="F63" s="5">
        <v>0</v>
      </c>
      <c r="G63" s="7">
        <v>0</v>
      </c>
      <c r="H63" s="5">
        <v>103</v>
      </c>
      <c r="I63" s="7">
        <v>13635.669999999998</v>
      </c>
      <c r="J63" s="7">
        <v>127</v>
      </c>
      <c r="K63" s="5">
        <v>0</v>
      </c>
      <c r="L63" s="5">
        <v>0</v>
      </c>
      <c r="M63" s="5">
        <v>127</v>
      </c>
      <c r="N63" s="7">
        <v>127</v>
      </c>
      <c r="O63" s="7">
        <v>10256.100000000002</v>
      </c>
      <c r="P63" s="7">
        <v>254</v>
      </c>
      <c r="Q63" s="5">
        <v>0</v>
      </c>
      <c r="R63" s="5">
        <v>254</v>
      </c>
      <c r="S63" s="7">
        <v>37574.160000000003</v>
      </c>
      <c r="T63" s="12">
        <v>43111</v>
      </c>
      <c r="U63" s="4">
        <v>8</v>
      </c>
      <c r="X63" s="45">
        <v>117724.88</v>
      </c>
      <c r="Y63" s="14" t="s">
        <v>54</v>
      </c>
      <c r="Z63" s="14" t="s">
        <v>57</v>
      </c>
      <c r="AA63" s="14" t="s">
        <v>853</v>
      </c>
      <c r="AB63" s="25">
        <v>43114</v>
      </c>
      <c r="AC63" s="14" t="s">
        <v>771</v>
      </c>
      <c r="AD63" s="14" t="s">
        <v>51</v>
      </c>
      <c r="AE63" s="23" t="s">
        <v>171</v>
      </c>
      <c r="AF63" s="25" t="s">
        <v>1270</v>
      </c>
      <c r="AG63" t="e">
        <f t="shared" si="0"/>
        <v>#REF!</v>
      </c>
      <c r="AI63" s="58"/>
    </row>
    <row r="64" spans="1:35" ht="15.75" customHeight="1">
      <c r="A64" s="13" t="s">
        <v>172</v>
      </c>
      <c r="B64" s="5">
        <v>218</v>
      </c>
      <c r="C64" s="7">
        <v>12640.9</v>
      </c>
      <c r="D64" s="7">
        <v>0</v>
      </c>
      <c r="E64" s="7">
        <v>0</v>
      </c>
      <c r="F64" s="5">
        <v>0</v>
      </c>
      <c r="G64" s="7">
        <v>0</v>
      </c>
      <c r="H64" s="5">
        <v>574</v>
      </c>
      <c r="I64" s="7">
        <v>67064.040000000008</v>
      </c>
      <c r="J64" s="7">
        <v>0</v>
      </c>
      <c r="K64" s="5">
        <v>0</v>
      </c>
      <c r="L64" s="5">
        <v>0</v>
      </c>
      <c r="M64" s="5">
        <v>0</v>
      </c>
      <c r="N64" s="7">
        <v>0</v>
      </c>
      <c r="O64" s="7">
        <v>0</v>
      </c>
      <c r="P64" s="7">
        <v>159</v>
      </c>
      <c r="Q64" s="5">
        <v>0</v>
      </c>
      <c r="R64" s="5">
        <v>159</v>
      </c>
      <c r="S64" s="7">
        <v>23785.5</v>
      </c>
      <c r="T64" s="12">
        <v>43111</v>
      </c>
      <c r="U64" s="4">
        <v>8</v>
      </c>
      <c r="X64" s="45">
        <v>103490.44</v>
      </c>
      <c r="Y64" s="14" t="s">
        <v>56</v>
      </c>
      <c r="Z64" s="14" t="s">
        <v>55</v>
      </c>
      <c r="AA64" s="14" t="s">
        <v>857</v>
      </c>
      <c r="AB64" s="25">
        <v>43118</v>
      </c>
      <c r="AC64" s="14" t="s">
        <v>774</v>
      </c>
      <c r="AD64" s="14" t="s">
        <v>51</v>
      </c>
      <c r="AE64" s="23" t="s">
        <v>173</v>
      </c>
      <c r="AF64" s="25" t="s">
        <v>1270</v>
      </c>
      <c r="AG64" t="e">
        <f t="shared" si="0"/>
        <v>#REF!</v>
      </c>
      <c r="AI64" s="58"/>
    </row>
    <row r="65" spans="1:35" ht="15.75" customHeight="1">
      <c r="A65" s="13" t="s">
        <v>161</v>
      </c>
      <c r="B65" s="5">
        <v>1187</v>
      </c>
      <c r="C65" s="7">
        <v>129199.78</v>
      </c>
      <c r="D65" s="7">
        <v>0</v>
      </c>
      <c r="E65" s="7">
        <v>0</v>
      </c>
      <c r="F65" s="5">
        <v>0</v>
      </c>
      <c r="G65" s="7">
        <v>0</v>
      </c>
      <c r="H65" s="5">
        <v>0</v>
      </c>
      <c r="I65" s="7">
        <v>0</v>
      </c>
      <c r="J65" s="7">
        <v>171</v>
      </c>
      <c r="K65" s="5">
        <v>0</v>
      </c>
      <c r="L65" s="5">
        <v>0</v>
      </c>
      <c r="M65" s="5">
        <v>171</v>
      </c>
      <c r="N65" s="7">
        <v>171</v>
      </c>
      <c r="O65" s="7">
        <v>27407.599999999999</v>
      </c>
      <c r="P65" s="7">
        <v>486</v>
      </c>
      <c r="Q65" s="5">
        <v>0</v>
      </c>
      <c r="R65" s="5">
        <v>486</v>
      </c>
      <c r="S65" s="7">
        <v>46442.400000000001</v>
      </c>
      <c r="T65" s="12">
        <v>43111</v>
      </c>
      <c r="U65" s="4">
        <v>14</v>
      </c>
      <c r="X65" s="45">
        <v>203049.78</v>
      </c>
      <c r="Y65" s="14" t="s">
        <v>54</v>
      </c>
      <c r="Z65" s="14" t="s">
        <v>1281</v>
      </c>
      <c r="AA65" s="14" t="s">
        <v>846</v>
      </c>
      <c r="AB65" s="25">
        <v>43114</v>
      </c>
      <c r="AC65" s="14" t="s">
        <v>765</v>
      </c>
      <c r="AD65" s="14" t="s">
        <v>50</v>
      </c>
      <c r="AE65" s="23" t="s">
        <v>174</v>
      </c>
      <c r="AF65" s="25" t="s">
        <v>1269</v>
      </c>
      <c r="AG65" t="e">
        <f t="shared" si="0"/>
        <v>#REF!</v>
      </c>
      <c r="AI65" s="58"/>
    </row>
    <row r="66" spans="1:35" ht="15.75" customHeight="1">
      <c r="A66" s="13" t="s">
        <v>175</v>
      </c>
      <c r="B66" s="5">
        <v>75</v>
      </c>
      <c r="C66" s="7">
        <v>12011.28</v>
      </c>
      <c r="D66" s="7">
        <v>0</v>
      </c>
      <c r="E66" s="7">
        <v>0</v>
      </c>
      <c r="F66" s="5">
        <v>0</v>
      </c>
      <c r="G66" s="7">
        <v>0</v>
      </c>
      <c r="H66" s="5">
        <v>0</v>
      </c>
      <c r="I66" s="7">
        <v>0</v>
      </c>
      <c r="J66" s="7">
        <v>192</v>
      </c>
      <c r="K66" s="5">
        <v>0</v>
      </c>
      <c r="L66" s="5">
        <v>0</v>
      </c>
      <c r="M66" s="5">
        <v>192</v>
      </c>
      <c r="N66" s="7">
        <v>192</v>
      </c>
      <c r="O66" s="7">
        <v>35841.399999999994</v>
      </c>
      <c r="P66" s="7">
        <v>275</v>
      </c>
      <c r="Q66" s="5">
        <v>0</v>
      </c>
      <c r="R66" s="5">
        <v>275</v>
      </c>
      <c r="S66" s="7">
        <v>46725.5</v>
      </c>
      <c r="T66" s="12">
        <v>43111</v>
      </c>
      <c r="U66" s="4">
        <v>8</v>
      </c>
      <c r="X66" s="45">
        <v>94578.18</v>
      </c>
      <c r="Y66" s="14" t="s">
        <v>54</v>
      </c>
      <c r="Z66" s="14" t="s">
        <v>59</v>
      </c>
      <c r="AA66" s="14" t="s">
        <v>858</v>
      </c>
      <c r="AB66" s="25">
        <v>43118</v>
      </c>
      <c r="AC66" s="14" t="s">
        <v>770</v>
      </c>
      <c r="AD66" s="14" t="s">
        <v>50</v>
      </c>
      <c r="AE66" s="23" t="s">
        <v>176</v>
      </c>
      <c r="AF66" s="25" t="s">
        <v>1269</v>
      </c>
      <c r="AG66" t="e">
        <f t="shared" si="0"/>
        <v>#REF!</v>
      </c>
      <c r="AI66" s="58"/>
    </row>
    <row r="67" spans="1:35" ht="15.75" customHeight="1">
      <c r="A67" s="13" t="s">
        <v>177</v>
      </c>
      <c r="B67" s="5">
        <v>0</v>
      </c>
      <c r="C67" s="7">
        <v>0</v>
      </c>
      <c r="D67" s="7">
        <v>0</v>
      </c>
      <c r="E67" s="7">
        <v>0</v>
      </c>
      <c r="F67" s="5">
        <v>0</v>
      </c>
      <c r="G67" s="7">
        <v>0</v>
      </c>
      <c r="H67" s="5">
        <v>95</v>
      </c>
      <c r="I67" s="7">
        <v>12156.2</v>
      </c>
      <c r="J67" s="7">
        <v>46</v>
      </c>
      <c r="K67" s="5">
        <v>0</v>
      </c>
      <c r="L67" s="5">
        <v>0</v>
      </c>
      <c r="M67" s="5">
        <v>46</v>
      </c>
      <c r="N67" s="7">
        <v>46</v>
      </c>
      <c r="O67" s="7">
        <v>7600.4</v>
      </c>
      <c r="P67" s="7">
        <v>74</v>
      </c>
      <c r="Q67" s="5">
        <v>0</v>
      </c>
      <c r="R67" s="5">
        <v>74</v>
      </c>
      <c r="S67" s="7">
        <v>15984</v>
      </c>
      <c r="T67" s="12">
        <v>43111</v>
      </c>
      <c r="U67" s="4">
        <v>3</v>
      </c>
      <c r="V67" s="4">
        <v>6</v>
      </c>
      <c r="W67" s="4">
        <v>8</v>
      </c>
      <c r="X67" s="45">
        <v>35740.6</v>
      </c>
      <c r="Y67" s="14" t="s">
        <v>85</v>
      </c>
      <c r="Z67" s="14" t="s">
        <v>730</v>
      </c>
      <c r="AA67" s="14">
        <v>350810003211</v>
      </c>
      <c r="AB67" s="25">
        <v>43123</v>
      </c>
      <c r="AC67" s="14" t="s">
        <v>775</v>
      </c>
      <c r="AD67" s="14" t="s">
        <v>49</v>
      </c>
      <c r="AE67" s="23" t="s">
        <v>178</v>
      </c>
      <c r="AF67" s="25" t="s">
        <v>1266</v>
      </c>
      <c r="AG67" t="e">
        <f t="shared" ref="AG67:AG130" si="1">+VLOOKUP(AF67,AH:AH,2,0)</f>
        <v>#REF!</v>
      </c>
      <c r="AI67" s="58"/>
    </row>
    <row r="68" spans="1:35" ht="15.75" customHeight="1">
      <c r="A68" s="13" t="s">
        <v>179</v>
      </c>
      <c r="B68" s="5">
        <v>0</v>
      </c>
      <c r="C68" s="7">
        <v>0</v>
      </c>
      <c r="D68" s="7">
        <v>0</v>
      </c>
      <c r="E68" s="7">
        <v>0</v>
      </c>
      <c r="F68" s="5">
        <v>0</v>
      </c>
      <c r="G68" s="7">
        <v>0</v>
      </c>
      <c r="H68" s="5">
        <v>321</v>
      </c>
      <c r="I68" s="7">
        <v>44035.649999999994</v>
      </c>
      <c r="J68" s="7">
        <v>0</v>
      </c>
      <c r="K68" s="5">
        <v>0</v>
      </c>
      <c r="L68" s="5">
        <v>0</v>
      </c>
      <c r="M68" s="5">
        <v>0</v>
      </c>
      <c r="N68" s="7">
        <v>0</v>
      </c>
      <c r="O68" s="7">
        <v>0</v>
      </c>
      <c r="P68" s="7">
        <v>0</v>
      </c>
      <c r="Q68" s="5">
        <v>0</v>
      </c>
      <c r="R68" s="5">
        <v>0</v>
      </c>
      <c r="S68" s="7">
        <v>0</v>
      </c>
      <c r="T68" s="12">
        <v>43112</v>
      </c>
      <c r="U68" s="4">
        <v>3</v>
      </c>
      <c r="V68" s="4">
        <v>3</v>
      </c>
      <c r="W68" s="4">
        <v>5</v>
      </c>
      <c r="X68" s="45">
        <v>44035.649999999994</v>
      </c>
      <c r="Y68" s="14" t="s">
        <v>85</v>
      </c>
      <c r="Z68" s="14" t="s">
        <v>1281</v>
      </c>
      <c r="AA68" s="14">
        <v>350810003211</v>
      </c>
      <c r="AB68" s="25">
        <v>43123</v>
      </c>
      <c r="AC68" s="14" t="s">
        <v>775</v>
      </c>
      <c r="AD68" s="14" t="s">
        <v>49</v>
      </c>
      <c r="AE68" s="23" t="s">
        <v>180</v>
      </c>
      <c r="AF68" s="25" t="s">
        <v>1265</v>
      </c>
      <c r="AG68" t="e">
        <f t="shared" si="1"/>
        <v>#REF!</v>
      </c>
      <c r="AI68" s="58"/>
    </row>
    <row r="69" spans="1:35" ht="15.75" customHeight="1">
      <c r="A69" s="13" t="s">
        <v>181</v>
      </c>
      <c r="B69" s="5">
        <v>224</v>
      </c>
      <c r="C69" s="7">
        <v>23171.179999999997</v>
      </c>
      <c r="D69" s="7">
        <v>0</v>
      </c>
      <c r="E69" s="7">
        <v>0</v>
      </c>
      <c r="F69" s="5">
        <v>0</v>
      </c>
      <c r="G69" s="7">
        <v>0</v>
      </c>
      <c r="H69" s="5">
        <v>0</v>
      </c>
      <c r="I69" s="7">
        <v>0</v>
      </c>
      <c r="J69" s="7">
        <v>0</v>
      </c>
      <c r="K69" s="5">
        <v>0</v>
      </c>
      <c r="L69" s="5">
        <v>0</v>
      </c>
      <c r="M69" s="5">
        <v>0</v>
      </c>
      <c r="N69" s="7">
        <v>0</v>
      </c>
      <c r="O69" s="7">
        <v>0</v>
      </c>
      <c r="P69" s="7">
        <v>87</v>
      </c>
      <c r="Q69" s="5">
        <v>0</v>
      </c>
      <c r="R69" s="5">
        <v>87</v>
      </c>
      <c r="S69" s="7">
        <v>14723.9</v>
      </c>
      <c r="T69" s="12">
        <v>43112</v>
      </c>
      <c r="U69" s="4">
        <v>3</v>
      </c>
      <c r="V69" s="4">
        <v>11</v>
      </c>
      <c r="W69" s="4">
        <v>12</v>
      </c>
      <c r="X69" s="45">
        <v>37895.079999999994</v>
      </c>
      <c r="Y69" s="14" t="s">
        <v>54</v>
      </c>
      <c r="Z69" s="14" t="s">
        <v>730</v>
      </c>
      <c r="AA69" s="14" t="s">
        <v>852</v>
      </c>
      <c r="AB69" s="25">
        <v>43114</v>
      </c>
      <c r="AC69" s="14" t="s">
        <v>765</v>
      </c>
      <c r="AD69" s="14" t="s">
        <v>49</v>
      </c>
      <c r="AE69" s="23" t="s">
        <v>182</v>
      </c>
      <c r="AF69" s="25" t="s">
        <v>1267</v>
      </c>
      <c r="AG69" t="e">
        <f t="shared" si="1"/>
        <v>#REF!</v>
      </c>
      <c r="AI69" s="58"/>
    </row>
    <row r="70" spans="1:35" ht="15.75" customHeight="1">
      <c r="A70" s="13" t="s">
        <v>183</v>
      </c>
      <c r="B70" s="5">
        <v>0</v>
      </c>
      <c r="C70" s="7">
        <v>0</v>
      </c>
      <c r="D70" s="7">
        <v>0</v>
      </c>
      <c r="E70" s="7">
        <v>0</v>
      </c>
      <c r="F70" s="5">
        <v>0</v>
      </c>
      <c r="G70" s="7">
        <v>0</v>
      </c>
      <c r="H70" s="5">
        <v>95</v>
      </c>
      <c r="I70" s="7">
        <v>12156.2</v>
      </c>
      <c r="J70" s="7">
        <v>35</v>
      </c>
      <c r="K70" s="5">
        <v>0</v>
      </c>
      <c r="L70" s="5">
        <v>0</v>
      </c>
      <c r="M70" s="5">
        <v>35</v>
      </c>
      <c r="N70" s="7">
        <v>35</v>
      </c>
      <c r="O70" s="7">
        <v>7171</v>
      </c>
      <c r="P70" s="7">
        <v>218</v>
      </c>
      <c r="Q70" s="5">
        <v>0</v>
      </c>
      <c r="R70" s="5">
        <v>218</v>
      </c>
      <c r="S70" s="7">
        <v>29639.200000000001</v>
      </c>
      <c r="T70" s="12">
        <v>43112</v>
      </c>
      <c r="U70" s="4">
        <v>4</v>
      </c>
      <c r="V70" s="4">
        <v>6</v>
      </c>
      <c r="W70" s="4">
        <v>12</v>
      </c>
      <c r="X70" s="45">
        <v>48966.400000000001</v>
      </c>
      <c r="Y70" s="14" t="s">
        <v>58</v>
      </c>
      <c r="Z70" s="14" t="s">
        <v>730</v>
      </c>
      <c r="AA70" s="14" t="s">
        <v>859</v>
      </c>
      <c r="AB70" s="25">
        <v>43118</v>
      </c>
      <c r="AC70" s="14" t="s">
        <v>776</v>
      </c>
      <c r="AD70" s="14" t="s">
        <v>49</v>
      </c>
      <c r="AE70" s="23" t="s">
        <v>184</v>
      </c>
      <c r="AF70" s="25" t="s">
        <v>1267</v>
      </c>
      <c r="AG70" t="e">
        <f t="shared" si="1"/>
        <v>#REF!</v>
      </c>
      <c r="AI70" s="58"/>
    </row>
    <row r="71" spans="1:35" ht="15.75" customHeight="1">
      <c r="A71" s="13" t="s">
        <v>185</v>
      </c>
      <c r="B71" s="5">
        <v>880</v>
      </c>
      <c r="C71" s="7">
        <v>86160.55</v>
      </c>
      <c r="D71" s="7">
        <v>0</v>
      </c>
      <c r="E71" s="7">
        <v>0</v>
      </c>
      <c r="F71" s="5">
        <v>0</v>
      </c>
      <c r="G71" s="7">
        <v>0</v>
      </c>
      <c r="H71" s="5">
        <v>225</v>
      </c>
      <c r="I71" s="7">
        <v>30002.850000000002</v>
      </c>
      <c r="J71" s="7">
        <v>7</v>
      </c>
      <c r="K71" s="5">
        <v>0</v>
      </c>
      <c r="L71" s="5">
        <v>0</v>
      </c>
      <c r="M71" s="5">
        <v>7</v>
      </c>
      <c r="N71" s="7">
        <v>7</v>
      </c>
      <c r="O71" s="7">
        <v>914.1</v>
      </c>
      <c r="P71" s="7">
        <v>219</v>
      </c>
      <c r="Q71" s="5">
        <v>0</v>
      </c>
      <c r="R71" s="5">
        <v>219</v>
      </c>
      <c r="S71" s="7">
        <v>31677.090000000004</v>
      </c>
      <c r="T71" s="12">
        <v>43112</v>
      </c>
      <c r="U71" s="4">
        <v>11</v>
      </c>
      <c r="V71" s="4">
        <v>4</v>
      </c>
      <c r="W71" s="4">
        <v>6</v>
      </c>
      <c r="X71" s="45">
        <v>148754.59000000003</v>
      </c>
      <c r="Y71" s="14" t="s">
        <v>54</v>
      </c>
      <c r="Z71" s="14" t="s">
        <v>57</v>
      </c>
      <c r="AA71" s="14" t="s">
        <v>853</v>
      </c>
      <c r="AB71" s="25">
        <v>43114</v>
      </c>
      <c r="AC71" s="14" t="s">
        <v>771</v>
      </c>
      <c r="AD71" s="14" t="s">
        <v>51</v>
      </c>
      <c r="AE71" s="23" t="s">
        <v>186</v>
      </c>
      <c r="AF71" s="25" t="s">
        <v>1270</v>
      </c>
      <c r="AG71" t="e">
        <f t="shared" si="1"/>
        <v>#REF!</v>
      </c>
      <c r="AI71" s="58"/>
    </row>
    <row r="72" spans="1:35" ht="15.75" customHeight="1">
      <c r="A72" s="13" t="s">
        <v>187</v>
      </c>
      <c r="B72" s="5">
        <v>201</v>
      </c>
      <c r="C72" s="7">
        <v>23242.95</v>
      </c>
      <c r="D72" s="7">
        <v>0</v>
      </c>
      <c r="E72" s="7">
        <v>0</v>
      </c>
      <c r="F72" s="5">
        <v>0</v>
      </c>
      <c r="G72" s="7">
        <v>0</v>
      </c>
      <c r="H72" s="5">
        <v>315</v>
      </c>
      <c r="I72" s="7">
        <v>40357.500000000007</v>
      </c>
      <c r="J72" s="7">
        <v>43</v>
      </c>
      <c r="K72" s="5">
        <v>0</v>
      </c>
      <c r="L72" s="5">
        <v>0</v>
      </c>
      <c r="M72" s="5">
        <v>43</v>
      </c>
      <c r="N72" s="7">
        <v>43</v>
      </c>
      <c r="O72" s="7">
        <v>8349.5</v>
      </c>
      <c r="P72" s="7">
        <v>204</v>
      </c>
      <c r="Q72" s="5">
        <v>0</v>
      </c>
      <c r="R72" s="5">
        <v>204</v>
      </c>
      <c r="S72" s="7">
        <v>32706</v>
      </c>
      <c r="T72" s="12">
        <v>43112</v>
      </c>
      <c r="U72" s="4">
        <v>8</v>
      </c>
      <c r="V72" s="4">
        <v>3</v>
      </c>
      <c r="W72" s="4">
        <v>10</v>
      </c>
      <c r="X72" s="45">
        <v>104655.95000000001</v>
      </c>
      <c r="Y72" s="14" t="s">
        <v>56</v>
      </c>
      <c r="Z72" s="14" t="s">
        <v>55</v>
      </c>
      <c r="AA72" s="14" t="s">
        <v>857</v>
      </c>
      <c r="AB72" s="25">
        <v>43118</v>
      </c>
      <c r="AC72" s="14" t="s">
        <v>774</v>
      </c>
      <c r="AD72" s="14" t="s">
        <v>51</v>
      </c>
      <c r="AE72" s="23" t="s">
        <v>188</v>
      </c>
      <c r="AF72" s="25" t="s">
        <v>1270</v>
      </c>
      <c r="AG72" t="e">
        <f t="shared" si="1"/>
        <v>#REF!</v>
      </c>
      <c r="AI72" s="58"/>
    </row>
    <row r="73" spans="1:35" ht="15.75" customHeight="1">
      <c r="A73" s="13" t="s">
        <v>189</v>
      </c>
      <c r="B73" s="5">
        <v>391</v>
      </c>
      <c r="C73" s="7">
        <v>43100.140000000007</v>
      </c>
      <c r="D73" s="7">
        <v>0</v>
      </c>
      <c r="E73" s="7">
        <v>0</v>
      </c>
      <c r="F73" s="5">
        <v>0</v>
      </c>
      <c r="G73" s="7">
        <v>0</v>
      </c>
      <c r="H73" s="5">
        <v>186</v>
      </c>
      <c r="I73" s="7">
        <v>7463.7999999999984</v>
      </c>
      <c r="J73" s="7">
        <v>15</v>
      </c>
      <c r="K73" s="5">
        <v>0</v>
      </c>
      <c r="L73" s="5">
        <v>0</v>
      </c>
      <c r="M73" s="5">
        <v>15</v>
      </c>
      <c r="N73" s="7">
        <v>15</v>
      </c>
      <c r="O73" s="7">
        <v>1115</v>
      </c>
      <c r="P73" s="7">
        <v>91</v>
      </c>
      <c r="Q73" s="5">
        <v>0</v>
      </c>
      <c r="R73" s="5">
        <v>91</v>
      </c>
      <c r="S73" s="7">
        <v>14859</v>
      </c>
      <c r="T73" s="12">
        <v>43112</v>
      </c>
      <c r="U73" s="4">
        <v>5</v>
      </c>
      <c r="V73" s="4">
        <v>3</v>
      </c>
      <c r="W73" s="4">
        <v>6</v>
      </c>
      <c r="X73" s="45">
        <v>66537.94</v>
      </c>
      <c r="Y73" s="14" t="s">
        <v>85</v>
      </c>
      <c r="Z73" s="14" t="s">
        <v>59</v>
      </c>
      <c r="AA73" s="14">
        <v>350810002771</v>
      </c>
      <c r="AB73" s="25">
        <v>43118</v>
      </c>
      <c r="AC73" s="14" t="s">
        <v>777</v>
      </c>
      <c r="AD73" s="14" t="s">
        <v>115</v>
      </c>
      <c r="AE73" s="23" t="s">
        <v>190</v>
      </c>
      <c r="AF73" s="25" t="s">
        <v>1275</v>
      </c>
      <c r="AG73" t="e">
        <f t="shared" si="1"/>
        <v>#REF!</v>
      </c>
      <c r="AI73" s="58"/>
    </row>
    <row r="74" spans="1:35" ht="15.75" customHeight="1">
      <c r="A74" s="13" t="s">
        <v>191</v>
      </c>
      <c r="B74" s="5">
        <v>1357</v>
      </c>
      <c r="C74" s="7">
        <v>112167.36</v>
      </c>
      <c r="D74" s="7">
        <v>0</v>
      </c>
      <c r="E74" s="7">
        <v>0</v>
      </c>
      <c r="F74" s="5">
        <v>0</v>
      </c>
      <c r="G74" s="7">
        <v>0</v>
      </c>
      <c r="H74" s="5">
        <v>0</v>
      </c>
      <c r="I74" s="7">
        <v>0</v>
      </c>
      <c r="J74" s="7">
        <v>131</v>
      </c>
      <c r="K74" s="5">
        <v>0</v>
      </c>
      <c r="L74" s="5">
        <v>0</v>
      </c>
      <c r="M74" s="5">
        <v>131</v>
      </c>
      <c r="N74" s="7">
        <v>131</v>
      </c>
      <c r="O74" s="7">
        <v>6362.7999999999993</v>
      </c>
      <c r="P74" s="7">
        <v>110</v>
      </c>
      <c r="Q74" s="5">
        <v>0</v>
      </c>
      <c r="R74" s="5">
        <v>110</v>
      </c>
      <c r="S74" s="7">
        <v>5525.2999999999993</v>
      </c>
      <c r="T74" s="12">
        <v>43112</v>
      </c>
      <c r="U74" s="4">
        <v>10</v>
      </c>
      <c r="V74" s="4">
        <v>8</v>
      </c>
      <c r="W74" s="4">
        <v>3</v>
      </c>
      <c r="X74" s="45">
        <v>124055.46</v>
      </c>
      <c r="Y74" s="14" t="s">
        <v>54</v>
      </c>
      <c r="Z74" s="14" t="s">
        <v>1281</v>
      </c>
      <c r="AA74" s="14" t="s">
        <v>846</v>
      </c>
      <c r="AB74" s="25">
        <v>43114</v>
      </c>
      <c r="AC74" s="14" t="s">
        <v>765</v>
      </c>
      <c r="AD74" s="14" t="s">
        <v>50</v>
      </c>
      <c r="AE74" s="23" t="s">
        <v>192</v>
      </c>
      <c r="AF74" s="25" t="s">
        <v>1269</v>
      </c>
      <c r="AG74" t="e">
        <f t="shared" si="1"/>
        <v>#REF!</v>
      </c>
      <c r="AI74" s="58"/>
    </row>
    <row r="75" spans="1:35" ht="15.75" customHeight="1">
      <c r="A75" s="13" t="s">
        <v>193</v>
      </c>
      <c r="B75" s="5">
        <v>214</v>
      </c>
      <c r="C75" s="7">
        <v>31980.700000000004</v>
      </c>
      <c r="D75" s="7">
        <v>0</v>
      </c>
      <c r="E75" s="7">
        <v>0</v>
      </c>
      <c r="F75" s="5">
        <v>0</v>
      </c>
      <c r="G75" s="7">
        <v>0</v>
      </c>
      <c r="H75" s="5">
        <v>0</v>
      </c>
      <c r="I75" s="7">
        <v>0</v>
      </c>
      <c r="J75" s="7">
        <v>92</v>
      </c>
      <c r="K75" s="5">
        <v>0</v>
      </c>
      <c r="L75" s="5">
        <v>0</v>
      </c>
      <c r="M75" s="5">
        <v>92</v>
      </c>
      <c r="N75" s="7">
        <v>92</v>
      </c>
      <c r="O75" s="7">
        <v>16281.7</v>
      </c>
      <c r="P75" s="7">
        <v>356</v>
      </c>
      <c r="Q75" s="5">
        <v>0</v>
      </c>
      <c r="R75" s="5">
        <v>356</v>
      </c>
      <c r="S75" s="7">
        <v>82355.3</v>
      </c>
      <c r="T75" s="12">
        <v>43112</v>
      </c>
      <c r="U75" s="4">
        <v>10</v>
      </c>
      <c r="V75" s="4">
        <v>2</v>
      </c>
      <c r="W75" s="4">
        <v>9</v>
      </c>
      <c r="X75" s="45">
        <v>130617.70000000001</v>
      </c>
      <c r="Y75" s="14" t="s">
        <v>54</v>
      </c>
      <c r="Z75" s="14" t="s">
        <v>59</v>
      </c>
      <c r="AA75" s="14" t="s">
        <v>858</v>
      </c>
      <c r="AB75" s="25">
        <v>43118</v>
      </c>
      <c r="AC75" s="14" t="s">
        <v>770</v>
      </c>
      <c r="AD75" s="14" t="s">
        <v>50</v>
      </c>
      <c r="AE75" s="23" t="s">
        <v>194</v>
      </c>
      <c r="AF75" s="25" t="s">
        <v>1269</v>
      </c>
      <c r="AG75" t="e">
        <f t="shared" si="1"/>
        <v>#REF!</v>
      </c>
      <c r="AI75" s="58"/>
    </row>
    <row r="76" spans="1:35" ht="15.75" customHeight="1">
      <c r="A76" s="13" t="s">
        <v>195</v>
      </c>
      <c r="B76" s="5">
        <v>279</v>
      </c>
      <c r="C76" s="7">
        <v>28431.9</v>
      </c>
      <c r="D76" s="7">
        <v>0</v>
      </c>
      <c r="E76" s="7">
        <v>0</v>
      </c>
      <c r="F76" s="5">
        <v>0</v>
      </c>
      <c r="G76" s="7">
        <v>0</v>
      </c>
      <c r="H76" s="5">
        <v>0</v>
      </c>
      <c r="I76" s="7">
        <v>0</v>
      </c>
      <c r="J76" s="7">
        <v>0</v>
      </c>
      <c r="K76" s="5">
        <v>0</v>
      </c>
      <c r="L76" s="5">
        <v>0</v>
      </c>
      <c r="M76" s="5">
        <v>0</v>
      </c>
      <c r="N76" s="7">
        <v>0</v>
      </c>
      <c r="O76" s="7">
        <v>0</v>
      </c>
      <c r="P76" s="7">
        <v>50</v>
      </c>
      <c r="Q76" s="5">
        <v>0</v>
      </c>
      <c r="R76" s="5">
        <v>50</v>
      </c>
      <c r="S76" s="7">
        <v>7720</v>
      </c>
      <c r="T76" s="12">
        <v>43112</v>
      </c>
      <c r="U76" s="4">
        <v>3</v>
      </c>
      <c r="V76" s="4">
        <v>3</v>
      </c>
      <c r="W76" s="4">
        <v>10</v>
      </c>
      <c r="X76" s="45">
        <v>36151.9</v>
      </c>
      <c r="Y76" s="14" t="s">
        <v>54</v>
      </c>
      <c r="Z76" s="14" t="s">
        <v>1355</v>
      </c>
      <c r="AA76" s="14" t="s">
        <v>852</v>
      </c>
      <c r="AB76" s="25">
        <v>43114</v>
      </c>
      <c r="AC76" s="14" t="s">
        <v>765</v>
      </c>
      <c r="AD76" s="14" t="s">
        <v>49</v>
      </c>
      <c r="AE76" s="23" t="s">
        <v>196</v>
      </c>
      <c r="AF76" s="25" t="s">
        <v>1266</v>
      </c>
      <c r="AG76" t="e">
        <f t="shared" si="1"/>
        <v>#REF!</v>
      </c>
      <c r="AI76" s="58"/>
    </row>
    <row r="77" spans="1:35" ht="15.75" customHeight="1">
      <c r="A77" s="13" t="s">
        <v>197</v>
      </c>
      <c r="B77" s="5">
        <v>508</v>
      </c>
      <c r="C77" s="7">
        <v>29280.9</v>
      </c>
      <c r="D77" s="7">
        <v>0</v>
      </c>
      <c r="E77" s="7">
        <v>0</v>
      </c>
      <c r="F77" s="5">
        <v>0</v>
      </c>
      <c r="G77" s="7">
        <v>0</v>
      </c>
      <c r="H77" s="5">
        <v>240</v>
      </c>
      <c r="I77" s="7">
        <v>35997.699999999997</v>
      </c>
      <c r="J77" s="7">
        <v>0</v>
      </c>
      <c r="K77" s="5">
        <v>0</v>
      </c>
      <c r="L77" s="5">
        <v>0</v>
      </c>
      <c r="M77" s="5">
        <v>0</v>
      </c>
      <c r="N77" s="7">
        <v>0</v>
      </c>
      <c r="O77" s="7">
        <v>0</v>
      </c>
      <c r="P77" s="7">
        <v>0</v>
      </c>
      <c r="Q77" s="5">
        <v>0</v>
      </c>
      <c r="R77" s="5">
        <v>0</v>
      </c>
      <c r="S77" s="7">
        <v>0</v>
      </c>
      <c r="T77" s="12">
        <v>43113</v>
      </c>
      <c r="U77" s="4">
        <v>4</v>
      </c>
      <c r="V77" s="4">
        <v>3</v>
      </c>
      <c r="W77" s="4">
        <v>6</v>
      </c>
      <c r="X77" s="45">
        <v>65278.6</v>
      </c>
      <c r="Y77" s="14" t="s">
        <v>54</v>
      </c>
      <c r="Z77" s="14" t="s">
        <v>59</v>
      </c>
      <c r="AA77" s="14" t="s">
        <v>852</v>
      </c>
      <c r="AB77" s="25">
        <v>43114</v>
      </c>
      <c r="AC77" s="14" t="s">
        <v>765</v>
      </c>
      <c r="AD77" s="14" t="s">
        <v>49</v>
      </c>
      <c r="AE77" s="23" t="s">
        <v>198</v>
      </c>
      <c r="AF77" s="25" t="s">
        <v>1265</v>
      </c>
      <c r="AG77" t="e">
        <f t="shared" si="1"/>
        <v>#REF!</v>
      </c>
      <c r="AI77" s="58"/>
    </row>
    <row r="78" spans="1:35" ht="15.75" customHeight="1">
      <c r="A78" s="13" t="s">
        <v>199</v>
      </c>
      <c r="B78" s="5">
        <v>189</v>
      </c>
      <c r="C78" s="7">
        <v>19272.450000000004</v>
      </c>
      <c r="D78" s="7">
        <v>0</v>
      </c>
      <c r="E78" s="7">
        <v>0</v>
      </c>
      <c r="F78" s="5">
        <v>0</v>
      </c>
      <c r="G78" s="7">
        <v>0</v>
      </c>
      <c r="H78" s="5">
        <v>230</v>
      </c>
      <c r="I78" s="7">
        <v>21139</v>
      </c>
      <c r="J78" s="7">
        <v>20</v>
      </c>
      <c r="K78" s="5">
        <v>0</v>
      </c>
      <c r="L78" s="5">
        <v>0</v>
      </c>
      <c r="M78" s="5">
        <v>20</v>
      </c>
      <c r="N78" s="7">
        <v>20</v>
      </c>
      <c r="O78" s="7">
        <v>368</v>
      </c>
      <c r="P78" s="7">
        <v>95</v>
      </c>
      <c r="Q78" s="5">
        <v>0</v>
      </c>
      <c r="R78" s="5">
        <v>95</v>
      </c>
      <c r="S78" s="7">
        <v>17164.3</v>
      </c>
      <c r="T78" s="12">
        <v>43113</v>
      </c>
      <c r="U78" s="4">
        <v>4</v>
      </c>
      <c r="V78" s="4">
        <v>8</v>
      </c>
      <c r="W78" s="4">
        <v>3</v>
      </c>
      <c r="X78" s="45">
        <v>57943.75</v>
      </c>
      <c r="Y78" s="14" t="s">
        <v>54</v>
      </c>
      <c r="Z78" s="14" t="s">
        <v>55</v>
      </c>
      <c r="AA78" s="14" t="s">
        <v>854</v>
      </c>
      <c r="AB78" s="25">
        <v>43114</v>
      </c>
      <c r="AC78" s="14" t="s">
        <v>771</v>
      </c>
      <c r="AD78" s="14" t="s">
        <v>52</v>
      </c>
      <c r="AE78" s="23" t="s">
        <v>200</v>
      </c>
      <c r="AF78" s="25" t="s">
        <v>1271</v>
      </c>
      <c r="AG78" t="e">
        <f t="shared" si="1"/>
        <v>#REF!</v>
      </c>
      <c r="AI78" s="58"/>
    </row>
    <row r="79" spans="1:35" ht="15.75" customHeight="1">
      <c r="A79" s="13" t="s">
        <v>201</v>
      </c>
      <c r="B79" s="5">
        <v>74</v>
      </c>
      <c r="C79" s="7">
        <v>11557.2</v>
      </c>
      <c r="D79" s="7">
        <v>0</v>
      </c>
      <c r="E79" s="7">
        <v>0</v>
      </c>
      <c r="F79" s="5">
        <v>0</v>
      </c>
      <c r="G79" s="7">
        <v>0</v>
      </c>
      <c r="H79" s="5">
        <v>215</v>
      </c>
      <c r="I79" s="7">
        <v>25630.399999999998</v>
      </c>
      <c r="J79" s="7">
        <v>67</v>
      </c>
      <c r="K79" s="5">
        <v>0</v>
      </c>
      <c r="L79" s="5">
        <v>0</v>
      </c>
      <c r="M79" s="5">
        <v>67</v>
      </c>
      <c r="N79" s="7">
        <v>67</v>
      </c>
      <c r="O79" s="7">
        <v>10761.9</v>
      </c>
      <c r="P79" s="7">
        <v>0</v>
      </c>
      <c r="Q79" s="5">
        <v>0</v>
      </c>
      <c r="R79" s="5">
        <v>0</v>
      </c>
      <c r="S79" s="7">
        <v>0</v>
      </c>
      <c r="T79" s="12">
        <v>43113</v>
      </c>
      <c r="U79" s="4">
        <v>4</v>
      </c>
      <c r="V79" s="4">
        <v>8</v>
      </c>
      <c r="W79" s="4">
        <v>3</v>
      </c>
      <c r="X79" s="45">
        <v>47949.5</v>
      </c>
      <c r="Y79" s="14" t="s">
        <v>56</v>
      </c>
      <c r="Z79" s="14" t="s">
        <v>1281</v>
      </c>
      <c r="AA79" s="14" t="s">
        <v>856</v>
      </c>
      <c r="AB79" s="25">
        <v>43120</v>
      </c>
      <c r="AC79" s="14" t="s">
        <v>773</v>
      </c>
      <c r="AD79" s="14" t="s">
        <v>52</v>
      </c>
      <c r="AE79" s="23" t="s">
        <v>202</v>
      </c>
      <c r="AF79" s="25" t="s">
        <v>1271</v>
      </c>
      <c r="AG79" t="e">
        <f t="shared" si="1"/>
        <v>#REF!</v>
      </c>
      <c r="AI79" s="58"/>
    </row>
    <row r="80" spans="1:35" ht="15.75" customHeight="1">
      <c r="A80" s="13" t="s">
        <v>203</v>
      </c>
      <c r="B80" s="5">
        <v>483</v>
      </c>
      <c r="C80" s="7">
        <v>41062.67</v>
      </c>
      <c r="D80" s="7">
        <v>0</v>
      </c>
      <c r="E80" s="7">
        <v>0</v>
      </c>
      <c r="F80" s="5">
        <v>0</v>
      </c>
      <c r="G80" s="7">
        <v>0</v>
      </c>
      <c r="H80" s="5">
        <v>0</v>
      </c>
      <c r="I80" s="7">
        <v>0</v>
      </c>
      <c r="J80" s="7">
        <v>163</v>
      </c>
      <c r="K80" s="5">
        <v>0</v>
      </c>
      <c r="L80" s="5">
        <v>0</v>
      </c>
      <c r="M80" s="5">
        <v>163</v>
      </c>
      <c r="N80" s="7">
        <v>163</v>
      </c>
      <c r="O80" s="7">
        <v>30212.3</v>
      </c>
      <c r="P80" s="7">
        <v>278</v>
      </c>
      <c r="Q80" s="5">
        <v>0</v>
      </c>
      <c r="R80" s="5">
        <v>278</v>
      </c>
      <c r="S80" s="7">
        <v>42355.199999999997</v>
      </c>
      <c r="T80" s="12">
        <v>43113</v>
      </c>
      <c r="U80" s="4">
        <v>9</v>
      </c>
      <c r="V80" s="4">
        <v>8</v>
      </c>
      <c r="W80" s="4">
        <v>3</v>
      </c>
      <c r="X80" s="45">
        <v>113630.17</v>
      </c>
      <c r="Y80" s="14" t="s">
        <v>54</v>
      </c>
      <c r="Z80" s="14" t="s">
        <v>730</v>
      </c>
      <c r="AA80" s="14" t="s">
        <v>858</v>
      </c>
      <c r="AB80" s="25">
        <v>43118</v>
      </c>
      <c r="AC80" s="14" t="s">
        <v>770</v>
      </c>
      <c r="AD80" s="14" t="s">
        <v>50</v>
      </c>
      <c r="AE80" s="23" t="s">
        <v>204</v>
      </c>
      <c r="AF80" s="25" t="s">
        <v>1269</v>
      </c>
      <c r="AG80" t="e">
        <f t="shared" si="1"/>
        <v>#REF!</v>
      </c>
      <c r="AI80" s="58"/>
    </row>
    <row r="81" spans="1:35" ht="15.75" customHeight="1">
      <c r="A81" s="13" t="s">
        <v>205</v>
      </c>
      <c r="B81" s="5">
        <v>212</v>
      </c>
      <c r="C81" s="7">
        <v>24058.58</v>
      </c>
      <c r="D81" s="7">
        <v>0</v>
      </c>
      <c r="E81" s="7">
        <v>0</v>
      </c>
      <c r="F81" s="5">
        <v>0</v>
      </c>
      <c r="G81" s="7">
        <v>0</v>
      </c>
      <c r="H81" s="5">
        <v>132</v>
      </c>
      <c r="I81" s="7">
        <v>16186.72</v>
      </c>
      <c r="J81" s="7">
        <v>59</v>
      </c>
      <c r="K81" s="5">
        <v>0</v>
      </c>
      <c r="L81" s="5">
        <v>0</v>
      </c>
      <c r="M81" s="5">
        <v>59</v>
      </c>
      <c r="N81" s="7">
        <v>59</v>
      </c>
      <c r="O81" s="7">
        <v>8507.4</v>
      </c>
      <c r="P81" s="7">
        <v>678</v>
      </c>
      <c r="Q81" s="5">
        <v>0</v>
      </c>
      <c r="R81" s="5">
        <v>678</v>
      </c>
      <c r="S81" s="7">
        <v>65992.2</v>
      </c>
      <c r="T81" s="12">
        <v>43113</v>
      </c>
      <c r="U81" s="4">
        <v>7</v>
      </c>
      <c r="V81" s="4">
        <v>8</v>
      </c>
      <c r="W81" s="4">
        <v>3</v>
      </c>
      <c r="X81" s="45">
        <v>114744.9</v>
      </c>
      <c r="Y81" s="14" t="s">
        <v>56</v>
      </c>
      <c r="Z81" s="14" t="s">
        <v>55</v>
      </c>
      <c r="AA81" s="14" t="s">
        <v>857</v>
      </c>
      <c r="AB81" s="25">
        <v>43118</v>
      </c>
      <c r="AC81" s="14" t="s">
        <v>774</v>
      </c>
      <c r="AD81" s="14" t="s">
        <v>51</v>
      </c>
      <c r="AE81" s="23" t="s">
        <v>206</v>
      </c>
      <c r="AF81" s="25" t="s">
        <v>1270</v>
      </c>
      <c r="AG81" t="e">
        <f t="shared" si="1"/>
        <v>#REF!</v>
      </c>
      <c r="AI81" s="58"/>
    </row>
    <row r="82" spans="1:35" ht="15.75" customHeight="1">
      <c r="A82" s="13" t="s">
        <v>207</v>
      </c>
      <c r="B82" s="5">
        <v>0</v>
      </c>
      <c r="C82" s="7">
        <v>0</v>
      </c>
      <c r="D82" s="7">
        <v>0</v>
      </c>
      <c r="E82" s="7">
        <v>0</v>
      </c>
      <c r="F82" s="5">
        <v>0</v>
      </c>
      <c r="G82" s="7">
        <v>0</v>
      </c>
      <c r="H82" s="5">
        <v>0</v>
      </c>
      <c r="I82" s="7">
        <v>0</v>
      </c>
      <c r="J82" s="7">
        <v>57</v>
      </c>
      <c r="K82" s="5">
        <v>0</v>
      </c>
      <c r="L82" s="5">
        <v>0</v>
      </c>
      <c r="M82" s="5">
        <v>57</v>
      </c>
      <c r="N82" s="7">
        <v>57</v>
      </c>
      <c r="O82" s="7">
        <v>8945.7999999999993</v>
      </c>
      <c r="P82" s="7">
        <v>436</v>
      </c>
      <c r="Q82" s="5">
        <v>0</v>
      </c>
      <c r="R82" s="5">
        <v>436</v>
      </c>
      <c r="S82" s="7">
        <v>31793.599999999999</v>
      </c>
      <c r="T82" s="12">
        <v>43113</v>
      </c>
      <c r="U82" s="4">
        <v>2</v>
      </c>
      <c r="V82" s="4">
        <v>8</v>
      </c>
      <c r="W82" s="4">
        <v>3</v>
      </c>
      <c r="X82" s="45">
        <v>40739.399999999994</v>
      </c>
      <c r="Y82" s="14" t="s">
        <v>1634</v>
      </c>
      <c r="Z82" s="14" t="s">
        <v>1281</v>
      </c>
      <c r="AA82" s="14" t="s">
        <v>855</v>
      </c>
      <c r="AB82" s="25">
        <v>43118</v>
      </c>
      <c r="AC82" s="14" t="s">
        <v>772</v>
      </c>
      <c r="AD82" s="14" t="s">
        <v>70</v>
      </c>
      <c r="AE82" s="23" t="s">
        <v>208</v>
      </c>
      <c r="AF82" s="25" t="s">
        <v>1273</v>
      </c>
      <c r="AG82" t="e">
        <f t="shared" si="1"/>
        <v>#REF!</v>
      </c>
      <c r="AI82" s="58"/>
    </row>
    <row r="83" spans="1:35" ht="15.75" customHeight="1">
      <c r="A83" s="13" t="s">
        <v>209</v>
      </c>
      <c r="B83" s="5">
        <v>0</v>
      </c>
      <c r="C83" s="7">
        <v>0</v>
      </c>
      <c r="D83" s="7">
        <v>576</v>
      </c>
      <c r="E83" s="7">
        <v>576</v>
      </c>
      <c r="F83" s="5">
        <v>0</v>
      </c>
      <c r="G83" s="7">
        <v>22137.1</v>
      </c>
      <c r="H83" s="5">
        <v>275</v>
      </c>
      <c r="I83" s="7">
        <v>37262.749999999993</v>
      </c>
      <c r="J83" s="7">
        <v>110</v>
      </c>
      <c r="K83" s="5">
        <v>0</v>
      </c>
      <c r="L83" s="5">
        <v>0</v>
      </c>
      <c r="M83" s="5">
        <v>110</v>
      </c>
      <c r="N83" s="7">
        <v>110</v>
      </c>
      <c r="O83" s="7">
        <v>5125.5</v>
      </c>
      <c r="P83" s="7">
        <v>0</v>
      </c>
      <c r="Q83" s="5">
        <v>0</v>
      </c>
      <c r="R83" s="5">
        <v>0</v>
      </c>
      <c r="S83" s="7">
        <v>0</v>
      </c>
      <c r="T83" s="12">
        <v>43114</v>
      </c>
      <c r="U83" s="4">
        <v>4</v>
      </c>
      <c r="V83" s="4">
        <v>8</v>
      </c>
      <c r="W83" s="4">
        <v>3</v>
      </c>
      <c r="X83" s="45">
        <v>64525.349999999991</v>
      </c>
      <c r="Y83" s="14" t="s">
        <v>56</v>
      </c>
      <c r="Z83" s="14" t="s">
        <v>55</v>
      </c>
      <c r="AA83" s="14" t="s">
        <v>860</v>
      </c>
      <c r="AB83" s="25">
        <v>43118</v>
      </c>
      <c r="AC83" s="14" t="s">
        <v>776</v>
      </c>
      <c r="AD83" s="14" t="s">
        <v>49</v>
      </c>
      <c r="AE83" s="23" t="s">
        <v>210</v>
      </c>
      <c r="AF83" s="25" t="s">
        <v>1265</v>
      </c>
      <c r="AG83" t="e">
        <f t="shared" si="1"/>
        <v>#REF!</v>
      </c>
      <c r="AI83" s="58"/>
    </row>
    <row r="84" spans="1:35" ht="15.75" customHeight="1">
      <c r="A84" s="13" t="s">
        <v>211</v>
      </c>
      <c r="B84" s="5">
        <v>0</v>
      </c>
      <c r="C84" s="7">
        <v>0</v>
      </c>
      <c r="D84" s="7">
        <v>0</v>
      </c>
      <c r="E84" s="7">
        <v>0</v>
      </c>
      <c r="F84" s="5">
        <v>0</v>
      </c>
      <c r="G84" s="7">
        <v>0</v>
      </c>
      <c r="H84" s="5">
        <v>525</v>
      </c>
      <c r="I84" s="7">
        <v>64057.05000000001</v>
      </c>
      <c r="J84" s="7">
        <v>382</v>
      </c>
      <c r="K84" s="5">
        <v>0</v>
      </c>
      <c r="L84" s="5">
        <v>0</v>
      </c>
      <c r="M84" s="5">
        <v>382</v>
      </c>
      <c r="N84" s="7">
        <v>382</v>
      </c>
      <c r="O84" s="7">
        <v>71118.8</v>
      </c>
      <c r="P84" s="7">
        <v>192</v>
      </c>
      <c r="Q84" s="5">
        <v>0</v>
      </c>
      <c r="R84" s="5">
        <v>192</v>
      </c>
      <c r="S84" s="7">
        <v>38422.800000000003</v>
      </c>
      <c r="T84" s="12">
        <v>43114</v>
      </c>
      <c r="U84" s="4">
        <v>14</v>
      </c>
      <c r="V84" s="4">
        <v>8</v>
      </c>
      <c r="W84" s="4">
        <v>3</v>
      </c>
      <c r="X84" s="45">
        <v>173598.65000000002</v>
      </c>
      <c r="Y84" s="14" t="s">
        <v>56</v>
      </c>
      <c r="Z84" s="14" t="s">
        <v>57</v>
      </c>
      <c r="AA84" s="14" t="s">
        <v>861</v>
      </c>
      <c r="AB84" s="25">
        <v>43125</v>
      </c>
      <c r="AC84" s="14" t="s">
        <v>778</v>
      </c>
      <c r="AD84" s="14" t="s">
        <v>51</v>
      </c>
      <c r="AE84" s="23" t="s">
        <v>212</v>
      </c>
      <c r="AF84" s="25" t="s">
        <v>1270</v>
      </c>
      <c r="AG84" t="e">
        <f t="shared" si="1"/>
        <v>#REF!</v>
      </c>
      <c r="AI84" s="58"/>
    </row>
    <row r="85" spans="1:35" ht="15.75" customHeight="1">
      <c r="A85" s="13" t="s">
        <v>213</v>
      </c>
      <c r="B85" s="5">
        <v>0</v>
      </c>
      <c r="C85" s="7">
        <v>0</v>
      </c>
      <c r="D85" s="7">
        <v>0</v>
      </c>
      <c r="E85" s="7">
        <v>0</v>
      </c>
      <c r="F85" s="5">
        <v>0</v>
      </c>
      <c r="G85" s="7">
        <v>0</v>
      </c>
      <c r="H85" s="5">
        <v>0</v>
      </c>
      <c r="I85" s="7">
        <v>0</v>
      </c>
      <c r="J85" s="7">
        <v>778</v>
      </c>
      <c r="K85" s="5">
        <v>0</v>
      </c>
      <c r="L85" s="5">
        <v>0</v>
      </c>
      <c r="M85" s="5">
        <v>778</v>
      </c>
      <c r="N85" s="7">
        <v>778</v>
      </c>
      <c r="O85" s="7">
        <v>153024.19999999998</v>
      </c>
      <c r="P85" s="7">
        <v>84</v>
      </c>
      <c r="Q85" s="5">
        <v>0</v>
      </c>
      <c r="R85" s="5">
        <v>84</v>
      </c>
      <c r="S85" s="7">
        <v>18194.399999999998</v>
      </c>
      <c r="T85" s="12">
        <v>43114</v>
      </c>
      <c r="U85" s="4">
        <v>15</v>
      </c>
      <c r="V85" s="4">
        <v>8</v>
      </c>
      <c r="W85" s="4">
        <v>3</v>
      </c>
      <c r="X85" s="45">
        <v>171218.59999999998</v>
      </c>
      <c r="Y85" s="14" t="s">
        <v>54</v>
      </c>
      <c r="Z85" s="14" t="s">
        <v>59</v>
      </c>
      <c r="AA85" s="14" t="s">
        <v>862</v>
      </c>
      <c r="AB85" s="25">
        <v>43125</v>
      </c>
      <c r="AC85" s="14" t="s">
        <v>779</v>
      </c>
      <c r="AD85" s="14" t="s">
        <v>50</v>
      </c>
      <c r="AE85" s="23" t="s">
        <v>214</v>
      </c>
      <c r="AF85" s="25" t="s">
        <v>1269</v>
      </c>
      <c r="AG85" t="e">
        <f t="shared" si="1"/>
        <v>#REF!</v>
      </c>
      <c r="AI85" s="58"/>
    </row>
    <row r="86" spans="1:35" ht="15.75" customHeight="1">
      <c r="A86" s="13" t="s">
        <v>216</v>
      </c>
      <c r="B86" s="5">
        <v>0</v>
      </c>
      <c r="C86" s="7">
        <v>0</v>
      </c>
      <c r="D86" s="7">
        <v>0</v>
      </c>
      <c r="E86" s="7">
        <v>0</v>
      </c>
      <c r="F86" s="5">
        <v>0</v>
      </c>
      <c r="G86" s="7">
        <v>0</v>
      </c>
      <c r="H86" s="5">
        <v>0</v>
      </c>
      <c r="I86" s="7">
        <v>0</v>
      </c>
      <c r="J86" s="7">
        <v>36</v>
      </c>
      <c r="K86" s="5">
        <v>0</v>
      </c>
      <c r="L86" s="5">
        <v>0</v>
      </c>
      <c r="M86" s="5">
        <v>36</v>
      </c>
      <c r="N86" s="7">
        <v>36</v>
      </c>
      <c r="O86" s="7">
        <v>6554.9</v>
      </c>
      <c r="P86" s="7">
        <v>97</v>
      </c>
      <c r="Q86" s="5">
        <v>0</v>
      </c>
      <c r="R86" s="5">
        <v>97</v>
      </c>
      <c r="S86" s="7">
        <v>14112.6</v>
      </c>
      <c r="T86" s="12">
        <v>43115</v>
      </c>
      <c r="U86" s="4">
        <v>2</v>
      </c>
      <c r="V86" s="4">
        <v>8</v>
      </c>
      <c r="W86" s="4">
        <v>3</v>
      </c>
      <c r="X86" s="45">
        <v>20667.5</v>
      </c>
      <c r="Y86" s="14" t="s">
        <v>56</v>
      </c>
      <c r="Z86" s="14" t="s">
        <v>59</v>
      </c>
      <c r="AA86" s="14" t="s">
        <v>863</v>
      </c>
      <c r="AB86" s="25">
        <v>43120</v>
      </c>
      <c r="AC86" s="14" t="s">
        <v>773</v>
      </c>
      <c r="AD86" s="14" t="s">
        <v>218</v>
      </c>
      <c r="AE86" s="23" t="s">
        <v>217</v>
      </c>
      <c r="AF86" s="25" t="s">
        <v>1272</v>
      </c>
      <c r="AG86" t="e">
        <f t="shared" si="1"/>
        <v>#REF!</v>
      </c>
      <c r="AI86" s="58"/>
    </row>
    <row r="87" spans="1:35" ht="15.75" customHeight="1">
      <c r="A87" s="13" t="s">
        <v>219</v>
      </c>
      <c r="B87" s="5">
        <v>0</v>
      </c>
      <c r="C87" s="7">
        <v>0</v>
      </c>
      <c r="D87" s="7">
        <v>0</v>
      </c>
      <c r="E87" s="7">
        <v>0</v>
      </c>
      <c r="F87" s="5">
        <v>0</v>
      </c>
      <c r="G87" s="7">
        <v>0</v>
      </c>
      <c r="H87" s="5">
        <v>0</v>
      </c>
      <c r="I87" s="7">
        <v>0</v>
      </c>
      <c r="J87" s="7">
        <v>37</v>
      </c>
      <c r="K87" s="5">
        <v>0</v>
      </c>
      <c r="L87" s="5">
        <v>0</v>
      </c>
      <c r="M87" s="5">
        <v>37</v>
      </c>
      <c r="N87" s="7">
        <v>37</v>
      </c>
      <c r="O87" s="7">
        <v>7052.8</v>
      </c>
      <c r="P87" s="7">
        <v>150</v>
      </c>
      <c r="Q87" s="5">
        <v>0</v>
      </c>
      <c r="R87" s="5">
        <v>150</v>
      </c>
      <c r="S87" s="7">
        <v>18737.5</v>
      </c>
      <c r="T87" s="12">
        <v>43115</v>
      </c>
      <c r="U87" s="4">
        <v>2</v>
      </c>
      <c r="V87" s="4">
        <v>8</v>
      </c>
      <c r="W87" s="4">
        <v>3</v>
      </c>
      <c r="X87" s="45">
        <v>25790.3</v>
      </c>
      <c r="Y87" s="14" t="s">
        <v>1634</v>
      </c>
      <c r="Z87" s="14" t="s">
        <v>1355</v>
      </c>
      <c r="AA87" s="14" t="s">
        <v>864</v>
      </c>
      <c r="AB87" s="25">
        <v>43118</v>
      </c>
      <c r="AC87" s="14" t="s">
        <v>772</v>
      </c>
      <c r="AD87" s="14" t="s">
        <v>48</v>
      </c>
      <c r="AE87" s="23" t="s">
        <v>220</v>
      </c>
      <c r="AF87" s="25" t="s">
        <v>1264</v>
      </c>
      <c r="AG87" t="e">
        <f t="shared" si="1"/>
        <v>#REF!</v>
      </c>
      <c r="AI87" s="58"/>
    </row>
    <row r="88" spans="1:35" ht="15.75" customHeight="1">
      <c r="A88" s="13" t="s">
        <v>224</v>
      </c>
      <c r="B88" s="5">
        <v>552</v>
      </c>
      <c r="C88" s="7">
        <v>82277.809999999983</v>
      </c>
      <c r="D88" s="7">
        <v>335</v>
      </c>
      <c r="E88" s="7">
        <v>335</v>
      </c>
      <c r="F88" s="5">
        <v>0</v>
      </c>
      <c r="G88" s="7">
        <v>14647</v>
      </c>
      <c r="H88" s="5">
        <v>470</v>
      </c>
      <c r="I88" s="7">
        <v>34942.39</v>
      </c>
      <c r="J88" s="7">
        <v>40</v>
      </c>
      <c r="K88" s="5">
        <v>0</v>
      </c>
      <c r="L88" s="5">
        <v>0</v>
      </c>
      <c r="M88" s="5">
        <v>40</v>
      </c>
      <c r="N88" s="7">
        <v>40</v>
      </c>
      <c r="O88" s="7">
        <v>932</v>
      </c>
      <c r="P88" s="7">
        <v>179</v>
      </c>
      <c r="Q88" s="5">
        <v>0</v>
      </c>
      <c r="R88" s="5">
        <v>179</v>
      </c>
      <c r="S88" s="7">
        <v>37842.400000000001</v>
      </c>
      <c r="T88" s="12">
        <v>43115</v>
      </c>
      <c r="U88" s="4">
        <v>12</v>
      </c>
      <c r="V88" s="4">
        <v>8</v>
      </c>
      <c r="W88" s="4">
        <v>3</v>
      </c>
      <c r="X88" s="45">
        <v>170641.59999999998</v>
      </c>
      <c r="Y88" s="14" t="s">
        <v>56</v>
      </c>
      <c r="Z88" s="14" t="s">
        <v>55</v>
      </c>
      <c r="AA88" s="14" t="s">
        <v>857</v>
      </c>
      <c r="AB88" s="25">
        <v>43118</v>
      </c>
      <c r="AC88" s="14" t="s">
        <v>774</v>
      </c>
      <c r="AD88" s="14" t="s">
        <v>51</v>
      </c>
      <c r="AE88" s="23" t="s">
        <v>225</v>
      </c>
      <c r="AF88" s="25" t="s">
        <v>1270</v>
      </c>
      <c r="AG88" t="e">
        <f t="shared" si="1"/>
        <v>#REF!</v>
      </c>
      <c r="AI88" s="58"/>
    </row>
    <row r="89" spans="1:35" ht="15.75" customHeight="1">
      <c r="A89" s="13" t="s">
        <v>226</v>
      </c>
      <c r="B89" s="5">
        <v>678</v>
      </c>
      <c r="C89" s="7">
        <v>74182.780000000013</v>
      </c>
      <c r="D89" s="7">
        <v>0</v>
      </c>
      <c r="E89" s="7">
        <v>0</v>
      </c>
      <c r="F89" s="5">
        <v>0</v>
      </c>
      <c r="G89" s="7">
        <v>0</v>
      </c>
      <c r="H89" s="5">
        <v>20</v>
      </c>
      <c r="I89" s="7">
        <v>495.5</v>
      </c>
      <c r="J89" s="7">
        <v>117</v>
      </c>
      <c r="K89" s="5">
        <v>0</v>
      </c>
      <c r="L89" s="5">
        <v>0</v>
      </c>
      <c r="M89" s="5">
        <v>117</v>
      </c>
      <c r="N89" s="7">
        <v>117</v>
      </c>
      <c r="O89" s="7">
        <v>9504.4000000000015</v>
      </c>
      <c r="P89" s="7">
        <v>233</v>
      </c>
      <c r="Q89" s="5">
        <v>0</v>
      </c>
      <c r="R89" s="5">
        <v>233</v>
      </c>
      <c r="S89" s="7">
        <v>30100.7</v>
      </c>
      <c r="T89" s="12">
        <v>43115</v>
      </c>
      <c r="U89" s="4">
        <v>9</v>
      </c>
      <c r="V89" s="4">
        <v>8</v>
      </c>
      <c r="W89" s="4">
        <v>3</v>
      </c>
      <c r="X89" s="45">
        <v>114283.38000000002</v>
      </c>
      <c r="Y89" s="14" t="s">
        <v>54</v>
      </c>
      <c r="Z89" s="14" t="s">
        <v>57</v>
      </c>
      <c r="AA89" s="14" t="s">
        <v>858</v>
      </c>
      <c r="AB89" s="25">
        <v>43118</v>
      </c>
      <c r="AC89" s="14" t="s">
        <v>770</v>
      </c>
      <c r="AD89" s="14" t="s">
        <v>50</v>
      </c>
      <c r="AE89" s="23" t="s">
        <v>227</v>
      </c>
      <c r="AF89" s="25" t="s">
        <v>1269</v>
      </c>
      <c r="AG89" t="e">
        <f t="shared" si="1"/>
        <v>#REF!</v>
      </c>
      <c r="AI89" s="58"/>
    </row>
    <row r="90" spans="1:35" ht="15.75" customHeight="1">
      <c r="A90" s="13" t="s">
        <v>215</v>
      </c>
      <c r="B90" s="5">
        <v>99</v>
      </c>
      <c r="C90" s="7">
        <v>11636.8</v>
      </c>
      <c r="D90" s="7">
        <v>0</v>
      </c>
      <c r="E90" s="7">
        <v>0</v>
      </c>
      <c r="F90" s="5">
        <v>0</v>
      </c>
      <c r="G90" s="7">
        <v>0</v>
      </c>
      <c r="H90" s="5">
        <v>190</v>
      </c>
      <c r="I90" s="7">
        <v>24312.400000000001</v>
      </c>
      <c r="J90" s="7">
        <v>0</v>
      </c>
      <c r="K90" s="5">
        <v>0</v>
      </c>
      <c r="L90" s="5">
        <v>0</v>
      </c>
      <c r="M90" s="5">
        <v>0</v>
      </c>
      <c r="N90" s="7">
        <v>0</v>
      </c>
      <c r="O90" s="7">
        <v>0</v>
      </c>
      <c r="P90" s="7">
        <v>263</v>
      </c>
      <c r="Q90" s="5">
        <v>0</v>
      </c>
      <c r="R90" s="5">
        <v>263</v>
      </c>
      <c r="S90" s="7">
        <v>45578.8</v>
      </c>
      <c r="T90" s="12">
        <v>43115</v>
      </c>
      <c r="U90" s="4">
        <v>6</v>
      </c>
      <c r="V90" s="4">
        <v>8</v>
      </c>
      <c r="W90" s="4">
        <v>3</v>
      </c>
      <c r="X90" s="45">
        <v>81528</v>
      </c>
      <c r="Y90" s="14" t="s">
        <v>56</v>
      </c>
      <c r="Z90" s="14" t="s">
        <v>59</v>
      </c>
      <c r="AA90" s="14" t="s">
        <v>860</v>
      </c>
      <c r="AB90" s="25">
        <v>43118</v>
      </c>
      <c r="AC90" s="14" t="s">
        <v>776</v>
      </c>
      <c r="AD90" s="14" t="s">
        <v>49</v>
      </c>
      <c r="AE90" s="23" t="s">
        <v>228</v>
      </c>
      <c r="AF90" s="25" t="s">
        <v>1266</v>
      </c>
      <c r="AG90" t="e">
        <f t="shared" si="1"/>
        <v>#REF!</v>
      </c>
      <c r="AI90" s="58"/>
    </row>
    <row r="91" spans="1:35" ht="15.75" customHeight="1">
      <c r="A91" s="13" t="s">
        <v>229</v>
      </c>
      <c r="B91" s="5">
        <v>0</v>
      </c>
      <c r="C91" s="7">
        <v>0</v>
      </c>
      <c r="D91" s="7">
        <v>0</v>
      </c>
      <c r="E91" s="7">
        <v>0</v>
      </c>
      <c r="F91" s="5">
        <v>0</v>
      </c>
      <c r="G91" s="7">
        <v>0</v>
      </c>
      <c r="H91" s="5">
        <v>0</v>
      </c>
      <c r="I91" s="7">
        <v>0</v>
      </c>
      <c r="J91" s="7">
        <v>0</v>
      </c>
      <c r="K91" s="5">
        <v>0</v>
      </c>
      <c r="L91" s="5">
        <v>0</v>
      </c>
      <c r="M91" s="5">
        <v>0</v>
      </c>
      <c r="N91" s="7">
        <v>0</v>
      </c>
      <c r="O91" s="7">
        <v>0</v>
      </c>
      <c r="P91" s="7">
        <v>186</v>
      </c>
      <c r="Q91" s="5">
        <v>0</v>
      </c>
      <c r="R91" s="5">
        <v>186</v>
      </c>
      <c r="S91" s="7">
        <v>30035.200000000001</v>
      </c>
      <c r="T91" s="12">
        <v>43116</v>
      </c>
      <c r="U91" s="4">
        <v>2</v>
      </c>
      <c r="V91" s="4">
        <v>8</v>
      </c>
      <c r="W91" s="4">
        <v>3</v>
      </c>
      <c r="X91" s="45">
        <v>30035.200000000001</v>
      </c>
      <c r="Y91" s="14" t="s">
        <v>85</v>
      </c>
      <c r="Z91" s="14" t="s">
        <v>59</v>
      </c>
      <c r="AA91" s="14">
        <v>350810003211</v>
      </c>
      <c r="AB91" s="25">
        <v>43123</v>
      </c>
      <c r="AC91" s="14" t="s">
        <v>775</v>
      </c>
      <c r="AD91" s="14" t="s">
        <v>49</v>
      </c>
      <c r="AE91" s="23" t="s">
        <v>230</v>
      </c>
      <c r="AF91" s="25" t="s">
        <v>1268</v>
      </c>
      <c r="AG91" t="e">
        <f t="shared" si="1"/>
        <v>#REF!</v>
      </c>
      <c r="AI91" s="58"/>
    </row>
    <row r="92" spans="1:35" ht="15.75" customHeight="1">
      <c r="A92" s="13" t="s">
        <v>232</v>
      </c>
      <c r="B92" s="5">
        <v>941</v>
      </c>
      <c r="C92" s="7">
        <v>88407.10000000002</v>
      </c>
      <c r="D92" s="7">
        <v>0</v>
      </c>
      <c r="E92" s="7">
        <v>0</v>
      </c>
      <c r="F92" s="5">
        <v>0</v>
      </c>
      <c r="G92" s="7">
        <v>0</v>
      </c>
      <c r="H92" s="5">
        <v>135</v>
      </c>
      <c r="I92" s="7">
        <v>15843.699999999999</v>
      </c>
      <c r="J92" s="7">
        <v>144</v>
      </c>
      <c r="K92" s="5">
        <v>0</v>
      </c>
      <c r="L92" s="5">
        <v>0</v>
      </c>
      <c r="M92" s="5">
        <v>144</v>
      </c>
      <c r="N92" s="7">
        <v>144</v>
      </c>
      <c r="O92" s="7">
        <v>9531.4</v>
      </c>
      <c r="P92" s="7">
        <v>332</v>
      </c>
      <c r="Q92" s="5">
        <v>0</v>
      </c>
      <c r="R92" s="5">
        <v>332</v>
      </c>
      <c r="S92" s="7">
        <v>59702.899999999994</v>
      </c>
      <c r="T92" s="12">
        <v>43116</v>
      </c>
      <c r="U92" s="4">
        <v>13</v>
      </c>
      <c r="V92" s="4">
        <v>8</v>
      </c>
      <c r="W92" s="4">
        <v>3</v>
      </c>
      <c r="X92" s="45">
        <v>173485.1</v>
      </c>
      <c r="Y92" s="14" t="s">
        <v>56</v>
      </c>
      <c r="Z92" s="14" t="s">
        <v>55</v>
      </c>
      <c r="AA92" s="14" t="s">
        <v>857</v>
      </c>
      <c r="AB92" s="25">
        <v>43118</v>
      </c>
      <c r="AC92" s="14" t="s">
        <v>774</v>
      </c>
      <c r="AD92" s="14" t="s">
        <v>51</v>
      </c>
      <c r="AE92" s="23" t="s">
        <v>233</v>
      </c>
      <c r="AF92" s="25" t="s">
        <v>1270</v>
      </c>
      <c r="AG92" t="e">
        <f t="shared" si="1"/>
        <v>#REF!</v>
      </c>
      <c r="AI92" s="58"/>
    </row>
    <row r="93" spans="1:35" ht="15.75" customHeight="1">
      <c r="A93" s="13" t="s">
        <v>223</v>
      </c>
      <c r="B93" s="5">
        <v>416</v>
      </c>
      <c r="C93" s="7">
        <v>44086.150000000009</v>
      </c>
      <c r="D93" s="7">
        <v>140</v>
      </c>
      <c r="E93" s="7">
        <v>140</v>
      </c>
      <c r="F93" s="5">
        <v>0</v>
      </c>
      <c r="G93" s="7">
        <v>5013</v>
      </c>
      <c r="H93" s="5">
        <v>200</v>
      </c>
      <c r="I93" s="7">
        <v>25059.7</v>
      </c>
      <c r="J93" s="7">
        <v>19</v>
      </c>
      <c r="K93" s="5">
        <v>0</v>
      </c>
      <c r="L93" s="5">
        <v>0</v>
      </c>
      <c r="M93" s="5">
        <v>19</v>
      </c>
      <c r="N93" s="7">
        <v>19</v>
      </c>
      <c r="O93" s="7">
        <v>1586.9</v>
      </c>
      <c r="P93" s="7">
        <v>165</v>
      </c>
      <c r="Q93" s="5">
        <v>0</v>
      </c>
      <c r="R93" s="5">
        <v>165</v>
      </c>
      <c r="S93" s="7">
        <v>33781</v>
      </c>
      <c r="T93" s="12">
        <v>43116</v>
      </c>
      <c r="U93" s="4">
        <v>8</v>
      </c>
      <c r="V93" s="4">
        <v>8</v>
      </c>
      <c r="W93" s="4">
        <v>3</v>
      </c>
      <c r="X93" s="45">
        <v>109526.75</v>
      </c>
      <c r="Y93" s="14" t="s">
        <v>56</v>
      </c>
      <c r="Z93" s="14" t="s">
        <v>1635</v>
      </c>
      <c r="AA93" s="14" t="s">
        <v>856</v>
      </c>
      <c r="AB93" s="25">
        <v>43120</v>
      </c>
      <c r="AC93" s="14" t="s">
        <v>773</v>
      </c>
      <c r="AD93" s="14" t="s">
        <v>52</v>
      </c>
      <c r="AE93" s="23" t="s">
        <v>234</v>
      </c>
      <c r="AF93" s="25" t="s">
        <v>1271</v>
      </c>
      <c r="AG93" t="e">
        <f t="shared" si="1"/>
        <v>#REF!</v>
      </c>
      <c r="AI93" s="58"/>
    </row>
    <row r="94" spans="1:35" ht="15.75" customHeight="1">
      <c r="A94" s="13" t="s">
        <v>222</v>
      </c>
      <c r="B94" s="5">
        <v>253</v>
      </c>
      <c r="C94" s="7">
        <v>27455.3</v>
      </c>
      <c r="D94" s="7">
        <v>0</v>
      </c>
      <c r="E94" s="7">
        <v>0</v>
      </c>
      <c r="F94" s="5">
        <v>0</v>
      </c>
      <c r="G94" s="7">
        <v>0</v>
      </c>
      <c r="H94" s="5">
        <v>0</v>
      </c>
      <c r="I94" s="7">
        <v>0</v>
      </c>
      <c r="J94" s="7">
        <v>50</v>
      </c>
      <c r="K94" s="5">
        <v>0</v>
      </c>
      <c r="L94" s="5">
        <v>0</v>
      </c>
      <c r="M94" s="5">
        <v>50</v>
      </c>
      <c r="N94" s="7">
        <v>50</v>
      </c>
      <c r="O94" s="7">
        <v>6775</v>
      </c>
      <c r="P94" s="7">
        <v>94</v>
      </c>
      <c r="Q94" s="5">
        <v>0</v>
      </c>
      <c r="R94" s="5">
        <v>94</v>
      </c>
      <c r="S94" s="7">
        <v>15227</v>
      </c>
      <c r="T94" s="12">
        <v>43116</v>
      </c>
      <c r="U94" s="4">
        <v>4</v>
      </c>
      <c r="V94" s="4">
        <v>8</v>
      </c>
      <c r="W94" s="4">
        <v>3</v>
      </c>
      <c r="X94" s="45">
        <v>49457.3</v>
      </c>
      <c r="Y94" s="14" t="s">
        <v>54</v>
      </c>
      <c r="Z94" s="14" t="s">
        <v>59</v>
      </c>
      <c r="AA94" s="14" t="s">
        <v>865</v>
      </c>
      <c r="AB94" s="25">
        <v>43123</v>
      </c>
      <c r="AC94" s="14" t="s">
        <v>780</v>
      </c>
      <c r="AD94" s="14" t="s">
        <v>49</v>
      </c>
      <c r="AE94" s="23" t="s">
        <v>235</v>
      </c>
      <c r="AF94" s="25" t="s">
        <v>1267</v>
      </c>
      <c r="AG94" t="e">
        <f t="shared" si="1"/>
        <v>#REF!</v>
      </c>
      <c r="AI94" s="58"/>
    </row>
    <row r="95" spans="1:35" ht="15.75" customHeight="1">
      <c r="A95" s="13" t="s">
        <v>221</v>
      </c>
      <c r="B95" s="5">
        <v>0</v>
      </c>
      <c r="C95" s="7">
        <v>0</v>
      </c>
      <c r="D95" s="7">
        <v>0</v>
      </c>
      <c r="E95" s="7">
        <v>0</v>
      </c>
      <c r="F95" s="5">
        <v>0</v>
      </c>
      <c r="G95" s="7">
        <v>0</v>
      </c>
      <c r="H95" s="5">
        <v>1072</v>
      </c>
      <c r="I95" s="7">
        <v>114054.09999999998</v>
      </c>
      <c r="J95" s="7">
        <v>25</v>
      </c>
      <c r="K95" s="5">
        <v>0</v>
      </c>
      <c r="L95" s="5">
        <v>0</v>
      </c>
      <c r="M95" s="5">
        <v>25</v>
      </c>
      <c r="N95" s="7">
        <v>25</v>
      </c>
      <c r="O95" s="7">
        <v>582.5</v>
      </c>
      <c r="P95" s="7">
        <v>1318</v>
      </c>
      <c r="Q95" s="5">
        <v>0</v>
      </c>
      <c r="R95" s="5">
        <v>1318</v>
      </c>
      <c r="S95" s="7">
        <v>96220</v>
      </c>
      <c r="T95" s="12">
        <v>43116</v>
      </c>
      <c r="U95" s="4">
        <v>11</v>
      </c>
      <c r="V95" s="4">
        <v>8</v>
      </c>
      <c r="W95" s="4">
        <v>3</v>
      </c>
      <c r="X95" s="45">
        <v>210856.59999999998</v>
      </c>
      <c r="Y95" s="14" t="s">
        <v>85</v>
      </c>
      <c r="Z95" s="14" t="s">
        <v>1281</v>
      </c>
      <c r="AA95" s="14">
        <v>350810003211</v>
      </c>
      <c r="AB95" s="25">
        <v>43123</v>
      </c>
      <c r="AC95" s="14" t="s">
        <v>775</v>
      </c>
      <c r="AD95" s="14" t="s">
        <v>49</v>
      </c>
      <c r="AE95" s="23" t="s">
        <v>237</v>
      </c>
      <c r="AF95" s="25" t="s">
        <v>1265</v>
      </c>
      <c r="AG95" t="e">
        <f t="shared" si="1"/>
        <v>#REF!</v>
      </c>
      <c r="AI95" s="58"/>
    </row>
    <row r="96" spans="1:35" ht="15.75" customHeight="1">
      <c r="A96" s="13" t="s">
        <v>238</v>
      </c>
      <c r="B96" s="5">
        <v>0</v>
      </c>
      <c r="C96" s="7">
        <v>0</v>
      </c>
      <c r="D96" s="7">
        <v>0</v>
      </c>
      <c r="E96" s="7">
        <v>0</v>
      </c>
      <c r="F96" s="5">
        <v>0</v>
      </c>
      <c r="G96" s="7">
        <v>0</v>
      </c>
      <c r="H96" s="5">
        <v>0</v>
      </c>
      <c r="I96" s="7">
        <v>0</v>
      </c>
      <c r="J96" s="7">
        <v>22</v>
      </c>
      <c r="K96" s="5">
        <v>0</v>
      </c>
      <c r="L96" s="5">
        <v>0</v>
      </c>
      <c r="M96" s="5">
        <v>22</v>
      </c>
      <c r="N96" s="7">
        <v>22</v>
      </c>
      <c r="O96" s="7">
        <v>5261.2000000000007</v>
      </c>
      <c r="P96" s="7">
        <v>70</v>
      </c>
      <c r="Q96" s="5">
        <v>0</v>
      </c>
      <c r="R96" s="5">
        <v>70</v>
      </c>
      <c r="S96" s="7">
        <v>10113</v>
      </c>
      <c r="T96" s="12">
        <v>43116</v>
      </c>
      <c r="U96" s="4">
        <v>1</v>
      </c>
      <c r="W96" s="14"/>
      <c r="X96" s="45">
        <v>15374.2</v>
      </c>
      <c r="Y96" s="14" t="s">
        <v>1354</v>
      </c>
      <c r="Z96" s="14" t="s">
        <v>730</v>
      </c>
      <c r="AA96" s="14" t="s">
        <v>866</v>
      </c>
      <c r="AB96" s="25">
        <v>43119</v>
      </c>
      <c r="AC96" s="14" t="s">
        <v>781</v>
      </c>
      <c r="AD96" s="14" t="s">
        <v>240</v>
      </c>
      <c r="AE96" s="23" t="s">
        <v>239</v>
      </c>
      <c r="AF96" s="25" t="s">
        <v>1274</v>
      </c>
      <c r="AG96" t="e">
        <f t="shared" si="1"/>
        <v>#REF!</v>
      </c>
      <c r="AI96" s="58"/>
    </row>
    <row r="97" spans="1:35" ht="15.75" customHeight="1">
      <c r="A97" s="13" t="s">
        <v>241</v>
      </c>
      <c r="B97" s="5">
        <v>863</v>
      </c>
      <c r="C97" s="7">
        <v>86894.19</v>
      </c>
      <c r="D97" s="7">
        <v>0</v>
      </c>
      <c r="E97" s="7">
        <v>0</v>
      </c>
      <c r="F97" s="5">
        <v>0</v>
      </c>
      <c r="G97" s="7">
        <v>0</v>
      </c>
      <c r="H97" s="5">
        <v>0</v>
      </c>
      <c r="I97" s="7">
        <v>0</v>
      </c>
      <c r="J97" s="7">
        <v>0</v>
      </c>
      <c r="K97" s="5">
        <v>0</v>
      </c>
      <c r="L97" s="5">
        <v>0</v>
      </c>
      <c r="M97" s="5">
        <v>0</v>
      </c>
      <c r="N97" s="7">
        <v>0</v>
      </c>
      <c r="O97" s="7">
        <v>0</v>
      </c>
      <c r="P97" s="7">
        <v>96</v>
      </c>
      <c r="Q97" s="5">
        <v>0</v>
      </c>
      <c r="R97" s="5">
        <v>96</v>
      </c>
      <c r="S97" s="7">
        <v>17462.400000000001</v>
      </c>
      <c r="T97" s="12">
        <v>43116</v>
      </c>
      <c r="U97" s="4">
        <v>8</v>
      </c>
      <c r="W97" s="14"/>
      <c r="X97" s="45">
        <v>104356.59</v>
      </c>
      <c r="Y97" s="14" t="s">
        <v>54</v>
      </c>
      <c r="Z97" s="14" t="s">
        <v>57</v>
      </c>
      <c r="AA97" s="14" t="s">
        <v>858</v>
      </c>
      <c r="AB97" s="25">
        <v>43118</v>
      </c>
      <c r="AC97" s="14" t="s">
        <v>770</v>
      </c>
      <c r="AD97" s="14" t="s">
        <v>50</v>
      </c>
      <c r="AE97" s="23" t="s">
        <v>242</v>
      </c>
      <c r="AF97" s="25" t="s">
        <v>1269</v>
      </c>
      <c r="AG97" t="e">
        <f t="shared" si="1"/>
        <v>#REF!</v>
      </c>
      <c r="AI97" s="58"/>
    </row>
    <row r="98" spans="1:35" ht="15.75" customHeight="1">
      <c r="A98" s="13" t="s">
        <v>243</v>
      </c>
      <c r="B98" s="5">
        <v>799</v>
      </c>
      <c r="C98" s="7">
        <v>56917</v>
      </c>
      <c r="D98" s="7">
        <v>0</v>
      </c>
      <c r="E98" s="7">
        <v>0</v>
      </c>
      <c r="F98" s="5">
        <v>0</v>
      </c>
      <c r="G98" s="7">
        <v>0</v>
      </c>
      <c r="H98" s="5">
        <v>0</v>
      </c>
      <c r="I98" s="7">
        <v>0</v>
      </c>
      <c r="J98" s="7">
        <v>346</v>
      </c>
      <c r="K98" s="5">
        <v>0</v>
      </c>
      <c r="L98" s="5">
        <v>0</v>
      </c>
      <c r="M98" s="5">
        <v>346</v>
      </c>
      <c r="N98" s="7">
        <v>346</v>
      </c>
      <c r="O98" s="7">
        <v>55496.200000000004</v>
      </c>
      <c r="P98" s="7">
        <v>0</v>
      </c>
      <c r="Q98" s="5">
        <v>0</v>
      </c>
      <c r="R98" s="5">
        <v>0</v>
      </c>
      <c r="S98" s="7">
        <v>0</v>
      </c>
      <c r="T98" s="12">
        <v>43117</v>
      </c>
      <c r="U98" s="4">
        <v>10</v>
      </c>
      <c r="W98" s="14"/>
      <c r="X98" s="45">
        <v>112413.20000000001</v>
      </c>
      <c r="Y98" s="14" t="s">
        <v>54</v>
      </c>
      <c r="Z98" s="14" t="s">
        <v>55</v>
      </c>
      <c r="AA98" s="14" t="s">
        <v>862</v>
      </c>
      <c r="AB98" s="25">
        <v>43125</v>
      </c>
      <c r="AC98" s="14" t="s">
        <v>779</v>
      </c>
      <c r="AD98" s="14" t="s">
        <v>50</v>
      </c>
      <c r="AE98" s="23" t="s">
        <v>244</v>
      </c>
      <c r="AF98" s="25" t="s">
        <v>1269</v>
      </c>
      <c r="AG98" t="e">
        <f t="shared" si="1"/>
        <v>#REF!</v>
      </c>
      <c r="AI98" s="58"/>
    </row>
    <row r="99" spans="1:35" ht="15.75" customHeight="1">
      <c r="A99" s="13" t="s">
        <v>245</v>
      </c>
      <c r="B99" s="5">
        <v>712</v>
      </c>
      <c r="C99" s="7">
        <v>49244.619999999995</v>
      </c>
      <c r="D99" s="7">
        <v>0</v>
      </c>
      <c r="E99" s="7">
        <v>0</v>
      </c>
      <c r="F99" s="5">
        <v>0</v>
      </c>
      <c r="G99" s="7">
        <v>0</v>
      </c>
      <c r="H99" s="5">
        <v>0</v>
      </c>
      <c r="I99" s="7">
        <v>0</v>
      </c>
      <c r="J99" s="7">
        <v>311</v>
      </c>
      <c r="K99" s="5">
        <v>0</v>
      </c>
      <c r="L99" s="5">
        <v>0</v>
      </c>
      <c r="M99" s="5">
        <v>311</v>
      </c>
      <c r="N99" s="7">
        <v>311</v>
      </c>
      <c r="O99" s="7">
        <v>31524.300000000003</v>
      </c>
      <c r="P99" s="7">
        <v>200</v>
      </c>
      <c r="Q99" s="5">
        <v>0</v>
      </c>
      <c r="R99" s="5">
        <v>200</v>
      </c>
      <c r="S99" s="7">
        <v>25356.68</v>
      </c>
      <c r="T99" s="12">
        <v>43117</v>
      </c>
      <c r="U99" s="4">
        <v>8</v>
      </c>
      <c r="W99" s="14"/>
      <c r="X99" s="45">
        <v>106125.6</v>
      </c>
      <c r="Y99" s="14" t="s">
        <v>54</v>
      </c>
      <c r="Z99" s="14" t="s">
        <v>57</v>
      </c>
      <c r="AA99" s="14" t="s">
        <v>858</v>
      </c>
      <c r="AB99" s="25">
        <v>43118</v>
      </c>
      <c r="AC99" s="14" t="s">
        <v>770</v>
      </c>
      <c r="AD99" s="14" t="s">
        <v>50</v>
      </c>
      <c r="AE99" s="23" t="s">
        <v>246</v>
      </c>
      <c r="AF99" s="25" t="s">
        <v>1269</v>
      </c>
      <c r="AG99" t="e">
        <f t="shared" si="1"/>
        <v>#REF!</v>
      </c>
      <c r="AI99" s="58"/>
    </row>
    <row r="100" spans="1:35" ht="15.75" customHeight="1">
      <c r="A100" s="13" t="s">
        <v>231</v>
      </c>
      <c r="B100" s="5">
        <v>455</v>
      </c>
      <c r="C100" s="7">
        <v>27426.47</v>
      </c>
      <c r="D100" s="7">
        <v>0</v>
      </c>
      <c r="E100" s="7">
        <v>0</v>
      </c>
      <c r="F100" s="5">
        <v>0</v>
      </c>
      <c r="G100" s="7">
        <v>0</v>
      </c>
      <c r="H100" s="5">
        <v>95</v>
      </c>
      <c r="I100" s="7">
        <v>12156.2</v>
      </c>
      <c r="J100" s="7">
        <v>227</v>
      </c>
      <c r="K100" s="5">
        <v>0</v>
      </c>
      <c r="L100" s="5">
        <v>0</v>
      </c>
      <c r="M100" s="5">
        <v>227</v>
      </c>
      <c r="N100" s="7">
        <v>227</v>
      </c>
      <c r="O100" s="7">
        <v>35800.699999999997</v>
      </c>
      <c r="P100" s="7">
        <v>0</v>
      </c>
      <c r="Q100" s="5">
        <v>0</v>
      </c>
      <c r="R100" s="5">
        <v>0</v>
      </c>
      <c r="S100" s="7">
        <v>0</v>
      </c>
      <c r="T100" s="12">
        <v>43117</v>
      </c>
      <c r="U100" s="4">
        <v>7</v>
      </c>
      <c r="W100" s="14"/>
      <c r="X100" s="45">
        <v>75383.37</v>
      </c>
      <c r="Y100" s="14" t="s">
        <v>56</v>
      </c>
      <c r="Z100" s="14" t="s">
        <v>1355</v>
      </c>
      <c r="AA100" s="14" t="s">
        <v>861</v>
      </c>
      <c r="AB100" s="25">
        <v>43125</v>
      </c>
      <c r="AC100" s="14" t="s">
        <v>778</v>
      </c>
      <c r="AD100" s="14" t="s">
        <v>51</v>
      </c>
      <c r="AE100" s="23" t="s">
        <v>247</v>
      </c>
      <c r="AF100" s="25" t="s">
        <v>1270</v>
      </c>
      <c r="AG100" t="e">
        <f t="shared" si="1"/>
        <v>#REF!</v>
      </c>
      <c r="AI100" s="58"/>
    </row>
    <row r="101" spans="1:35" ht="15.75" customHeight="1">
      <c r="A101" s="13" t="s">
        <v>248</v>
      </c>
      <c r="B101" s="5">
        <v>435</v>
      </c>
      <c r="C101" s="7">
        <v>55936.999999999993</v>
      </c>
      <c r="D101" s="7">
        <v>5</v>
      </c>
      <c r="E101" s="7">
        <v>5</v>
      </c>
      <c r="F101" s="5">
        <v>0</v>
      </c>
      <c r="G101" s="7">
        <v>206.5</v>
      </c>
      <c r="H101" s="5">
        <v>115</v>
      </c>
      <c r="I101" s="7">
        <v>12992.7</v>
      </c>
      <c r="J101" s="7">
        <v>82</v>
      </c>
      <c r="K101" s="5">
        <v>0</v>
      </c>
      <c r="L101" s="5">
        <v>0</v>
      </c>
      <c r="M101" s="5">
        <v>82</v>
      </c>
      <c r="N101" s="7">
        <v>82</v>
      </c>
      <c r="O101" s="7">
        <v>11763.6</v>
      </c>
      <c r="P101" s="7">
        <v>256</v>
      </c>
      <c r="Q101" s="5">
        <v>0</v>
      </c>
      <c r="R101" s="5">
        <v>256</v>
      </c>
      <c r="S101" s="7">
        <v>46614</v>
      </c>
      <c r="T101" s="12">
        <v>43117</v>
      </c>
      <c r="U101" s="4">
        <v>10</v>
      </c>
      <c r="W101" s="14"/>
      <c r="X101" s="45">
        <v>127513.8</v>
      </c>
      <c r="Y101" s="14" t="s">
        <v>54</v>
      </c>
      <c r="Z101" s="14" t="s">
        <v>1281</v>
      </c>
      <c r="AA101" s="14" t="s">
        <v>867</v>
      </c>
      <c r="AB101" s="25">
        <v>43122</v>
      </c>
      <c r="AC101" s="14" t="s">
        <v>782</v>
      </c>
      <c r="AD101" s="14" t="s">
        <v>51</v>
      </c>
      <c r="AE101" s="23" t="s">
        <v>249</v>
      </c>
      <c r="AF101" s="25" t="s">
        <v>1270</v>
      </c>
      <c r="AG101" t="e">
        <f t="shared" si="1"/>
        <v>#REF!</v>
      </c>
      <c r="AI101" s="58"/>
    </row>
    <row r="102" spans="1:35" ht="15.75" customHeight="1">
      <c r="A102" s="13" t="s">
        <v>250</v>
      </c>
      <c r="B102" s="5">
        <v>0</v>
      </c>
      <c r="C102" s="7">
        <v>0</v>
      </c>
      <c r="D102" s="7">
        <v>0</v>
      </c>
      <c r="E102" s="7">
        <v>0</v>
      </c>
      <c r="F102" s="5">
        <v>0</v>
      </c>
      <c r="G102" s="7">
        <v>0</v>
      </c>
      <c r="H102" s="5">
        <v>190</v>
      </c>
      <c r="I102" s="7">
        <v>24563.200000000001</v>
      </c>
      <c r="J102" s="7">
        <v>0</v>
      </c>
      <c r="K102" s="5">
        <v>0</v>
      </c>
      <c r="L102" s="5">
        <v>0</v>
      </c>
      <c r="M102" s="5">
        <v>0</v>
      </c>
      <c r="N102" s="7">
        <v>0</v>
      </c>
      <c r="O102" s="7">
        <v>0</v>
      </c>
      <c r="P102" s="7">
        <v>0</v>
      </c>
      <c r="Q102" s="5">
        <v>0</v>
      </c>
      <c r="R102" s="5">
        <v>0</v>
      </c>
      <c r="S102" s="7">
        <v>0</v>
      </c>
      <c r="T102" s="12">
        <v>43117</v>
      </c>
      <c r="U102" s="4">
        <v>2</v>
      </c>
      <c r="W102" s="14"/>
      <c r="X102" s="45">
        <v>24563.200000000001</v>
      </c>
      <c r="Y102" s="14" t="s">
        <v>56</v>
      </c>
      <c r="Z102" s="14" t="s">
        <v>59</v>
      </c>
      <c r="AA102" s="14" t="s">
        <v>868</v>
      </c>
      <c r="AB102" s="25">
        <v>43127</v>
      </c>
      <c r="AC102" s="14" t="s">
        <v>783</v>
      </c>
      <c r="AD102" s="14" t="s">
        <v>52</v>
      </c>
      <c r="AE102" s="23" t="s">
        <v>251</v>
      </c>
      <c r="AF102" s="25" t="s">
        <v>1271</v>
      </c>
      <c r="AG102" t="e">
        <f t="shared" si="1"/>
        <v>#REF!</v>
      </c>
      <c r="AI102" s="58"/>
    </row>
    <row r="103" spans="1:35" ht="15.75" customHeight="1">
      <c r="A103" s="13" t="s">
        <v>252</v>
      </c>
      <c r="B103" s="5">
        <v>92</v>
      </c>
      <c r="C103" s="7">
        <v>9003.4999999999982</v>
      </c>
      <c r="D103" s="7">
        <v>0</v>
      </c>
      <c r="E103" s="7">
        <v>0</v>
      </c>
      <c r="F103" s="5">
        <v>0</v>
      </c>
      <c r="G103" s="7">
        <v>0</v>
      </c>
      <c r="H103" s="5">
        <v>45</v>
      </c>
      <c r="I103" s="7">
        <v>3507.45</v>
      </c>
      <c r="J103" s="7">
        <v>10</v>
      </c>
      <c r="K103" s="5">
        <v>0</v>
      </c>
      <c r="L103" s="5">
        <v>0</v>
      </c>
      <c r="M103" s="5">
        <v>10</v>
      </c>
      <c r="N103" s="7">
        <v>10</v>
      </c>
      <c r="O103" s="7">
        <v>184</v>
      </c>
      <c r="P103" s="7">
        <v>10</v>
      </c>
      <c r="Q103" s="5">
        <v>0</v>
      </c>
      <c r="R103" s="5">
        <v>10</v>
      </c>
      <c r="S103" s="7">
        <v>503.9</v>
      </c>
      <c r="T103" s="12">
        <v>43117</v>
      </c>
      <c r="U103" s="4">
        <v>1</v>
      </c>
      <c r="W103" s="14"/>
      <c r="X103" s="45">
        <v>13198.849999999997</v>
      </c>
      <c r="Y103" s="14" t="s">
        <v>54</v>
      </c>
      <c r="Z103" s="14" t="s">
        <v>730</v>
      </c>
      <c r="AA103" s="14" t="s">
        <v>869</v>
      </c>
      <c r="AB103" s="25">
        <v>43122</v>
      </c>
      <c r="AC103" s="14" t="s">
        <v>782</v>
      </c>
      <c r="AD103" s="14" t="s">
        <v>52</v>
      </c>
      <c r="AE103" s="23" t="s">
        <v>253</v>
      </c>
      <c r="AF103" s="25" t="s">
        <v>1271</v>
      </c>
      <c r="AG103" t="e">
        <f t="shared" si="1"/>
        <v>#REF!</v>
      </c>
      <c r="AI103" s="58"/>
    </row>
    <row r="104" spans="1:35" ht="15.75" customHeight="1">
      <c r="A104" s="13" t="s">
        <v>255</v>
      </c>
      <c r="B104" s="5">
        <v>0</v>
      </c>
      <c r="C104" s="7">
        <v>0</v>
      </c>
      <c r="D104" s="7">
        <v>0</v>
      </c>
      <c r="E104" s="7">
        <v>0</v>
      </c>
      <c r="F104" s="5">
        <v>0</v>
      </c>
      <c r="G104" s="7">
        <v>0</v>
      </c>
      <c r="H104" s="5">
        <v>0</v>
      </c>
      <c r="I104" s="7">
        <v>0</v>
      </c>
      <c r="J104" s="7">
        <v>0</v>
      </c>
      <c r="K104" s="5">
        <v>0</v>
      </c>
      <c r="L104" s="5">
        <v>0</v>
      </c>
      <c r="M104" s="5">
        <v>0</v>
      </c>
      <c r="N104" s="7">
        <v>0</v>
      </c>
      <c r="O104" s="7">
        <v>0</v>
      </c>
      <c r="P104" s="7">
        <v>74</v>
      </c>
      <c r="Q104" s="5">
        <v>0</v>
      </c>
      <c r="R104" s="5">
        <v>74</v>
      </c>
      <c r="S104" s="7">
        <v>15984</v>
      </c>
      <c r="T104" s="12">
        <v>43117</v>
      </c>
      <c r="U104" s="4">
        <v>1</v>
      </c>
      <c r="W104" s="14"/>
      <c r="X104" s="45">
        <v>15984</v>
      </c>
      <c r="Y104" s="14" t="s">
        <v>54</v>
      </c>
      <c r="Z104" s="14" t="s">
        <v>59</v>
      </c>
      <c r="AA104" s="14" t="s">
        <v>865</v>
      </c>
      <c r="AB104" s="25">
        <v>43123</v>
      </c>
      <c r="AC104" s="14" t="s">
        <v>780</v>
      </c>
      <c r="AD104" s="14" t="s">
        <v>49</v>
      </c>
      <c r="AE104" s="23" t="s">
        <v>254</v>
      </c>
      <c r="AF104" s="25" t="s">
        <v>1267</v>
      </c>
      <c r="AG104" t="e">
        <f t="shared" si="1"/>
        <v>#REF!</v>
      </c>
      <c r="AI104" s="58"/>
    </row>
    <row r="105" spans="1:35" ht="15.75" customHeight="1">
      <c r="A105" s="13" t="s">
        <v>236</v>
      </c>
      <c r="B105" s="5">
        <v>0</v>
      </c>
      <c r="C105" s="7">
        <v>0</v>
      </c>
      <c r="D105" s="7">
        <v>0</v>
      </c>
      <c r="E105" s="7">
        <v>0</v>
      </c>
      <c r="F105" s="5">
        <v>0</v>
      </c>
      <c r="G105" s="7">
        <v>0</v>
      </c>
      <c r="H105" s="5">
        <v>843</v>
      </c>
      <c r="I105" s="7">
        <v>90423.61000000003</v>
      </c>
      <c r="J105" s="7">
        <v>0</v>
      </c>
      <c r="K105" s="5">
        <v>0</v>
      </c>
      <c r="L105" s="5">
        <v>0</v>
      </c>
      <c r="M105" s="5">
        <v>0</v>
      </c>
      <c r="N105" s="7">
        <v>0</v>
      </c>
      <c r="O105" s="7">
        <v>0</v>
      </c>
      <c r="P105" s="7">
        <v>0</v>
      </c>
      <c r="Q105" s="5">
        <v>0</v>
      </c>
      <c r="R105" s="5">
        <v>0</v>
      </c>
      <c r="S105" s="7">
        <v>0</v>
      </c>
      <c r="T105" s="12">
        <v>43117</v>
      </c>
      <c r="U105" s="4">
        <v>7</v>
      </c>
      <c r="W105" s="14"/>
      <c r="X105" s="45">
        <v>90423.61000000003</v>
      </c>
      <c r="Y105" s="14" t="s">
        <v>54</v>
      </c>
      <c r="Z105" s="14" t="s">
        <v>59</v>
      </c>
      <c r="AA105" s="14" t="s">
        <v>870</v>
      </c>
      <c r="AB105" s="25">
        <v>43125</v>
      </c>
      <c r="AC105" s="14" t="s">
        <v>779</v>
      </c>
      <c r="AD105" s="14" t="s">
        <v>49</v>
      </c>
      <c r="AE105" s="23" t="s">
        <v>256</v>
      </c>
      <c r="AF105" s="25" t="s">
        <v>1265</v>
      </c>
      <c r="AG105" t="e">
        <f t="shared" si="1"/>
        <v>#REF!</v>
      </c>
      <c r="AI105" s="58"/>
    </row>
    <row r="106" spans="1:35" ht="15.75" customHeight="1">
      <c r="A106" s="13" t="s">
        <v>259</v>
      </c>
      <c r="B106" s="5">
        <v>110</v>
      </c>
      <c r="C106" s="7">
        <v>10160.799999999999</v>
      </c>
      <c r="D106" s="7">
        <v>0</v>
      </c>
      <c r="E106" s="7">
        <v>0</v>
      </c>
      <c r="F106" s="5">
        <v>0</v>
      </c>
      <c r="G106" s="7">
        <v>0</v>
      </c>
      <c r="H106" s="5">
        <v>0</v>
      </c>
      <c r="I106" s="7">
        <v>0</v>
      </c>
      <c r="J106" s="7">
        <v>8</v>
      </c>
      <c r="K106" s="5">
        <v>0</v>
      </c>
      <c r="L106" s="5">
        <v>0</v>
      </c>
      <c r="M106" s="5">
        <v>8</v>
      </c>
      <c r="N106" s="7">
        <v>8</v>
      </c>
      <c r="O106" s="7">
        <v>1039.4000000000001</v>
      </c>
      <c r="P106" s="7">
        <v>120</v>
      </c>
      <c r="Q106" s="5">
        <v>0</v>
      </c>
      <c r="R106" s="5">
        <v>120</v>
      </c>
      <c r="S106" s="7">
        <v>13176</v>
      </c>
      <c r="T106" s="12">
        <v>43117</v>
      </c>
      <c r="U106" s="4">
        <v>2</v>
      </c>
      <c r="W106" s="14"/>
      <c r="X106" s="45">
        <v>24376.199999999997</v>
      </c>
      <c r="Y106" s="14" t="s">
        <v>54</v>
      </c>
      <c r="Z106" s="14" t="s">
        <v>1355</v>
      </c>
      <c r="AA106" s="14" t="s">
        <v>865</v>
      </c>
      <c r="AB106" s="25">
        <v>43123</v>
      </c>
      <c r="AC106" s="14" t="s">
        <v>780</v>
      </c>
      <c r="AD106" s="14" t="s">
        <v>49</v>
      </c>
      <c r="AE106" s="23" t="s">
        <v>260</v>
      </c>
      <c r="AF106" s="25" t="s">
        <v>1266</v>
      </c>
      <c r="AG106" t="e">
        <f t="shared" si="1"/>
        <v>#REF!</v>
      </c>
      <c r="AI106" s="58"/>
    </row>
    <row r="107" spans="1:35" ht="15.75" customHeight="1">
      <c r="A107" s="13" t="s">
        <v>258</v>
      </c>
      <c r="B107" s="5">
        <v>263</v>
      </c>
      <c r="C107" s="7">
        <v>22992.159999999996</v>
      </c>
      <c r="D107" s="7">
        <v>0</v>
      </c>
      <c r="E107" s="7">
        <v>0</v>
      </c>
      <c r="F107" s="5">
        <v>0</v>
      </c>
      <c r="G107" s="7">
        <v>0</v>
      </c>
      <c r="H107" s="5">
        <v>242</v>
      </c>
      <c r="I107" s="7">
        <v>22611.98</v>
      </c>
      <c r="J107" s="7">
        <v>15</v>
      </c>
      <c r="K107" s="5">
        <v>0</v>
      </c>
      <c r="L107" s="5">
        <v>0</v>
      </c>
      <c r="M107" s="5">
        <v>15</v>
      </c>
      <c r="N107" s="7">
        <v>15</v>
      </c>
      <c r="O107" s="7">
        <v>276</v>
      </c>
      <c r="P107" s="7">
        <v>125</v>
      </c>
      <c r="Q107" s="5">
        <v>0</v>
      </c>
      <c r="R107" s="5">
        <v>125</v>
      </c>
      <c r="S107" s="7">
        <v>26900.85</v>
      </c>
      <c r="T107" s="12">
        <v>43118</v>
      </c>
      <c r="U107" s="4">
        <v>5</v>
      </c>
      <c r="W107" s="14"/>
      <c r="X107" s="45">
        <v>72780.989999999991</v>
      </c>
      <c r="Y107" s="14" t="s">
        <v>1634</v>
      </c>
      <c r="Z107" s="14" t="s">
        <v>59</v>
      </c>
      <c r="AA107" s="14" t="s">
        <v>871</v>
      </c>
      <c r="AB107" s="25">
        <v>43120</v>
      </c>
      <c r="AC107" s="14" t="s">
        <v>784</v>
      </c>
      <c r="AD107" s="14" t="s">
        <v>70</v>
      </c>
      <c r="AE107" s="23" t="s">
        <v>261</v>
      </c>
      <c r="AF107" s="25" t="s">
        <v>1273</v>
      </c>
      <c r="AG107" t="e">
        <f t="shared" si="1"/>
        <v>#REF!</v>
      </c>
      <c r="AI107" s="58"/>
    </row>
    <row r="108" spans="1:35" ht="15.75" customHeight="1">
      <c r="A108" s="13" t="s">
        <v>262</v>
      </c>
      <c r="B108" s="5">
        <v>0</v>
      </c>
      <c r="C108" s="7">
        <v>0</v>
      </c>
      <c r="D108" s="7">
        <v>0</v>
      </c>
      <c r="E108" s="7">
        <v>0</v>
      </c>
      <c r="F108" s="5">
        <v>0</v>
      </c>
      <c r="G108" s="7">
        <v>0</v>
      </c>
      <c r="H108" s="5">
        <v>95</v>
      </c>
      <c r="I108" s="7">
        <v>12281.6</v>
      </c>
      <c r="J108" s="7">
        <v>0</v>
      </c>
      <c r="K108" s="5">
        <v>0</v>
      </c>
      <c r="L108" s="5">
        <v>0</v>
      </c>
      <c r="M108" s="5">
        <v>0</v>
      </c>
      <c r="N108" s="7">
        <v>0</v>
      </c>
      <c r="O108" s="7">
        <v>0</v>
      </c>
      <c r="P108" s="7">
        <v>0</v>
      </c>
      <c r="Q108" s="5">
        <v>0</v>
      </c>
      <c r="R108" s="5">
        <v>0</v>
      </c>
      <c r="S108" s="7">
        <v>0</v>
      </c>
      <c r="T108" s="12">
        <v>43118</v>
      </c>
      <c r="U108" s="4">
        <v>1</v>
      </c>
      <c r="W108" s="14"/>
      <c r="X108" s="45">
        <v>12281.6</v>
      </c>
      <c r="Y108" s="14" t="s">
        <v>1634</v>
      </c>
      <c r="Z108" s="14" t="s">
        <v>1355</v>
      </c>
      <c r="AA108" s="14" t="s">
        <v>872</v>
      </c>
      <c r="AB108" s="25">
        <v>43127</v>
      </c>
      <c r="AC108" s="14" t="s">
        <v>785</v>
      </c>
      <c r="AD108" s="14" t="s">
        <v>70</v>
      </c>
      <c r="AE108" s="23" t="s">
        <v>263</v>
      </c>
      <c r="AF108" s="25" t="s">
        <v>1273</v>
      </c>
      <c r="AG108" t="e">
        <f t="shared" si="1"/>
        <v>#REF!</v>
      </c>
      <c r="AI108" s="58"/>
    </row>
    <row r="109" spans="1:35" ht="15.75" customHeight="1">
      <c r="A109" s="13" t="s">
        <v>257</v>
      </c>
      <c r="B109" s="5">
        <v>296</v>
      </c>
      <c r="C109" s="7">
        <v>9893.1499999999978</v>
      </c>
      <c r="D109" s="7">
        <v>0</v>
      </c>
      <c r="E109" s="7">
        <v>0</v>
      </c>
      <c r="F109" s="5">
        <v>0</v>
      </c>
      <c r="G109" s="7">
        <v>0</v>
      </c>
      <c r="H109" s="5">
        <v>906</v>
      </c>
      <c r="I109" s="7">
        <v>86545.439999999988</v>
      </c>
      <c r="J109" s="7">
        <v>0</v>
      </c>
      <c r="K109" s="5">
        <v>0</v>
      </c>
      <c r="L109" s="5">
        <v>0</v>
      </c>
      <c r="M109" s="5">
        <v>0</v>
      </c>
      <c r="N109" s="7">
        <v>0</v>
      </c>
      <c r="O109" s="7">
        <v>0</v>
      </c>
      <c r="P109" s="7">
        <v>0</v>
      </c>
      <c r="Q109" s="5">
        <v>0</v>
      </c>
      <c r="R109" s="5">
        <v>0</v>
      </c>
      <c r="S109" s="7">
        <v>0</v>
      </c>
      <c r="T109" s="12">
        <v>43118</v>
      </c>
      <c r="U109" s="4">
        <v>6</v>
      </c>
      <c r="W109" s="14"/>
      <c r="X109" s="45">
        <v>96438.589999999982</v>
      </c>
      <c r="Y109" s="14" t="s">
        <v>54</v>
      </c>
      <c r="Z109" s="14" t="s">
        <v>59</v>
      </c>
      <c r="AA109" s="14" t="s">
        <v>865</v>
      </c>
      <c r="AB109" s="25">
        <v>43123</v>
      </c>
      <c r="AC109" s="14" t="s">
        <v>780</v>
      </c>
      <c r="AD109" s="14" t="s">
        <v>49</v>
      </c>
      <c r="AE109" s="23" t="s">
        <v>264</v>
      </c>
      <c r="AF109" s="25" t="s">
        <v>1265</v>
      </c>
      <c r="AG109" t="e">
        <f t="shared" si="1"/>
        <v>#REF!</v>
      </c>
      <c r="AI109" s="58"/>
    </row>
    <row r="110" spans="1:35" ht="15.75" customHeight="1">
      <c r="A110" s="13" t="s">
        <v>265</v>
      </c>
      <c r="B110" s="5">
        <v>131</v>
      </c>
      <c r="C110" s="7">
        <v>11535.9</v>
      </c>
      <c r="D110" s="7">
        <v>0</v>
      </c>
      <c r="E110" s="7">
        <v>0</v>
      </c>
      <c r="F110" s="5">
        <v>0</v>
      </c>
      <c r="G110" s="7">
        <v>0</v>
      </c>
      <c r="H110" s="5">
        <v>0</v>
      </c>
      <c r="I110" s="7">
        <v>0</v>
      </c>
      <c r="J110" s="7">
        <v>0</v>
      </c>
      <c r="K110" s="5">
        <v>0</v>
      </c>
      <c r="L110" s="5">
        <v>0</v>
      </c>
      <c r="M110" s="5">
        <v>0</v>
      </c>
      <c r="N110" s="7">
        <v>0</v>
      </c>
      <c r="O110" s="7">
        <v>0</v>
      </c>
      <c r="P110" s="7">
        <v>0</v>
      </c>
      <c r="Q110" s="5">
        <v>0</v>
      </c>
      <c r="R110" s="5">
        <v>0</v>
      </c>
      <c r="S110" s="7">
        <v>0</v>
      </c>
      <c r="T110" s="12">
        <v>43118</v>
      </c>
      <c r="U110" s="4">
        <v>1</v>
      </c>
      <c r="W110" s="14"/>
      <c r="X110" s="45">
        <v>11535.9</v>
      </c>
      <c r="Y110" s="14" t="s">
        <v>54</v>
      </c>
      <c r="Z110" s="14" t="s">
        <v>59</v>
      </c>
      <c r="AA110" s="14" t="s">
        <v>865</v>
      </c>
      <c r="AB110" s="25">
        <v>43123</v>
      </c>
      <c r="AC110" s="14" t="s">
        <v>780</v>
      </c>
      <c r="AD110" s="14" t="s">
        <v>49</v>
      </c>
      <c r="AE110" s="23" t="s">
        <v>266</v>
      </c>
      <c r="AF110" s="25" t="s">
        <v>1267</v>
      </c>
      <c r="AG110" t="e">
        <f t="shared" si="1"/>
        <v>#REF!</v>
      </c>
      <c r="AI110" s="58"/>
    </row>
    <row r="111" spans="1:35" ht="15.75" customHeight="1">
      <c r="A111" s="13" t="s">
        <v>267</v>
      </c>
      <c r="B111" s="5">
        <v>747</v>
      </c>
      <c r="C111" s="7">
        <v>76973.830000000031</v>
      </c>
      <c r="D111" s="7">
        <v>0</v>
      </c>
      <c r="E111" s="7">
        <v>0</v>
      </c>
      <c r="F111" s="5">
        <v>0</v>
      </c>
      <c r="G111" s="7">
        <v>0</v>
      </c>
      <c r="H111" s="5">
        <v>240</v>
      </c>
      <c r="I111" s="7">
        <v>28813.449999999997</v>
      </c>
      <c r="J111" s="7">
        <v>0</v>
      </c>
      <c r="K111" s="5">
        <v>0</v>
      </c>
      <c r="L111" s="5">
        <v>0</v>
      </c>
      <c r="M111" s="5">
        <v>0</v>
      </c>
      <c r="N111" s="7">
        <v>0</v>
      </c>
      <c r="O111" s="7">
        <v>0</v>
      </c>
      <c r="P111" s="7">
        <v>240</v>
      </c>
      <c r="Q111" s="5">
        <v>0</v>
      </c>
      <c r="R111" s="5">
        <v>240</v>
      </c>
      <c r="S111" s="7">
        <v>27240</v>
      </c>
      <c r="T111" s="12">
        <v>43118</v>
      </c>
      <c r="U111" s="4">
        <v>10</v>
      </c>
      <c r="W111" s="14"/>
      <c r="X111" s="45">
        <v>133027.28000000003</v>
      </c>
      <c r="Y111" s="14" t="s">
        <v>54</v>
      </c>
      <c r="Z111" s="14" t="s">
        <v>1281</v>
      </c>
      <c r="AA111" s="14" t="s">
        <v>867</v>
      </c>
      <c r="AB111" s="25">
        <v>43122</v>
      </c>
      <c r="AC111" s="14" t="s">
        <v>782</v>
      </c>
      <c r="AD111" s="14" t="s">
        <v>51</v>
      </c>
      <c r="AE111" s="23" t="s">
        <v>268</v>
      </c>
      <c r="AF111" s="25" t="s">
        <v>1270</v>
      </c>
      <c r="AG111" t="e">
        <f t="shared" si="1"/>
        <v>#REF!</v>
      </c>
      <c r="AI111" s="58"/>
    </row>
    <row r="112" spans="1:35" ht="15.75" customHeight="1">
      <c r="A112" s="13" t="s">
        <v>269</v>
      </c>
      <c r="B112" s="5">
        <v>150</v>
      </c>
      <c r="C112" s="7">
        <v>12870.3</v>
      </c>
      <c r="D112" s="7">
        <v>0</v>
      </c>
      <c r="E112" s="7">
        <v>0</v>
      </c>
      <c r="F112" s="5">
        <v>0</v>
      </c>
      <c r="G112" s="7">
        <v>0</v>
      </c>
      <c r="H112" s="5">
        <v>210</v>
      </c>
      <c r="I112" s="7">
        <v>25331.000000000004</v>
      </c>
      <c r="J112" s="7">
        <v>0</v>
      </c>
      <c r="K112" s="5">
        <v>0</v>
      </c>
      <c r="L112" s="5">
        <v>0</v>
      </c>
      <c r="M112" s="5">
        <v>0</v>
      </c>
      <c r="N112" s="7">
        <v>0</v>
      </c>
      <c r="O112" s="7">
        <v>0</v>
      </c>
      <c r="P112" s="7">
        <v>74</v>
      </c>
      <c r="Q112" s="5">
        <v>0</v>
      </c>
      <c r="R112" s="5">
        <v>74</v>
      </c>
      <c r="S112" s="7">
        <v>19284.400000000001</v>
      </c>
      <c r="T112" s="12">
        <v>43118</v>
      </c>
      <c r="U112" s="4">
        <v>4</v>
      </c>
      <c r="W112" s="14"/>
      <c r="X112" s="45">
        <v>57485.700000000004</v>
      </c>
      <c r="Y112" s="14" t="s">
        <v>58</v>
      </c>
      <c r="Z112" s="14" t="s">
        <v>1355</v>
      </c>
      <c r="AA112" s="14">
        <v>237800061715</v>
      </c>
      <c r="AB112" s="25">
        <v>43124</v>
      </c>
      <c r="AC112" s="14" t="s">
        <v>786</v>
      </c>
      <c r="AD112" s="14" t="s">
        <v>51</v>
      </c>
      <c r="AE112" s="23" t="s">
        <v>270</v>
      </c>
      <c r="AF112" s="25" t="s">
        <v>1270</v>
      </c>
      <c r="AG112" t="e">
        <f t="shared" si="1"/>
        <v>#REF!</v>
      </c>
      <c r="AI112" s="58"/>
    </row>
    <row r="113" spans="1:35" ht="15.75" customHeight="1">
      <c r="A113" s="13" t="s">
        <v>271</v>
      </c>
      <c r="B113" s="5">
        <v>898</v>
      </c>
      <c r="C113" s="7">
        <v>95612.000000000015</v>
      </c>
      <c r="D113" s="7">
        <v>0</v>
      </c>
      <c r="E113" s="7">
        <v>0</v>
      </c>
      <c r="F113" s="5">
        <v>0</v>
      </c>
      <c r="G113" s="7">
        <v>0</v>
      </c>
      <c r="H113" s="5">
        <v>0</v>
      </c>
      <c r="I113" s="7">
        <v>0</v>
      </c>
      <c r="J113" s="7">
        <v>21</v>
      </c>
      <c r="K113" s="5">
        <v>0</v>
      </c>
      <c r="L113" s="5">
        <v>0</v>
      </c>
      <c r="M113" s="5">
        <v>21</v>
      </c>
      <c r="N113" s="7">
        <v>21</v>
      </c>
      <c r="O113" s="7">
        <v>3333.8</v>
      </c>
      <c r="P113" s="7">
        <v>148</v>
      </c>
      <c r="Q113" s="5">
        <v>0</v>
      </c>
      <c r="R113" s="5">
        <v>148</v>
      </c>
      <c r="S113" s="7">
        <v>33226</v>
      </c>
      <c r="T113" s="12">
        <v>43118</v>
      </c>
      <c r="U113" s="4">
        <v>10</v>
      </c>
      <c r="W113" s="14"/>
      <c r="X113" s="45">
        <v>132171.80000000002</v>
      </c>
      <c r="Y113" s="14" t="s">
        <v>54</v>
      </c>
      <c r="Z113" s="14" t="s">
        <v>57</v>
      </c>
      <c r="AA113" s="14" t="s">
        <v>873</v>
      </c>
      <c r="AB113" s="25">
        <v>43123</v>
      </c>
      <c r="AC113" s="14" t="s">
        <v>780</v>
      </c>
      <c r="AD113" s="14" t="s">
        <v>50</v>
      </c>
      <c r="AE113" s="23" t="s">
        <v>272</v>
      </c>
      <c r="AF113" s="25" t="s">
        <v>1269</v>
      </c>
      <c r="AG113" t="e">
        <f t="shared" si="1"/>
        <v>#REF!</v>
      </c>
      <c r="AI113" s="58"/>
    </row>
    <row r="114" spans="1:35" ht="15.75" customHeight="1">
      <c r="A114" s="13" t="s">
        <v>273</v>
      </c>
      <c r="B114" s="5">
        <v>11</v>
      </c>
      <c r="C114" s="7">
        <v>903.81</v>
      </c>
      <c r="D114" s="7">
        <v>0</v>
      </c>
      <c r="E114" s="7">
        <v>0</v>
      </c>
      <c r="F114" s="5">
        <v>0</v>
      </c>
      <c r="G114" s="7">
        <v>0</v>
      </c>
      <c r="H114" s="5">
        <v>0</v>
      </c>
      <c r="I114" s="7">
        <v>0</v>
      </c>
      <c r="J114" s="7">
        <v>224</v>
      </c>
      <c r="K114" s="5">
        <v>0</v>
      </c>
      <c r="L114" s="5">
        <v>0</v>
      </c>
      <c r="M114" s="5">
        <v>224</v>
      </c>
      <c r="N114" s="7">
        <v>224</v>
      </c>
      <c r="O114" s="7">
        <v>38650.400000000001</v>
      </c>
      <c r="P114" s="7">
        <v>75</v>
      </c>
      <c r="Q114" s="5">
        <v>0</v>
      </c>
      <c r="R114" s="5">
        <v>75</v>
      </c>
      <c r="S114" s="7">
        <v>12277.5</v>
      </c>
      <c r="T114" s="12">
        <v>43118</v>
      </c>
      <c r="U114" s="4">
        <v>5</v>
      </c>
      <c r="W114" s="14"/>
      <c r="X114" s="45">
        <v>51831.71</v>
      </c>
      <c r="Y114" s="14" t="s">
        <v>54</v>
      </c>
      <c r="Z114" s="14" t="s">
        <v>59</v>
      </c>
      <c r="AA114" s="14" t="s">
        <v>862</v>
      </c>
      <c r="AB114" s="25">
        <v>43125</v>
      </c>
      <c r="AC114" s="14" t="s">
        <v>779</v>
      </c>
      <c r="AD114" s="14" t="s">
        <v>50</v>
      </c>
      <c r="AE114" s="23" t="s">
        <v>274</v>
      </c>
      <c r="AF114" s="25" t="s">
        <v>1269</v>
      </c>
      <c r="AG114" t="e">
        <f t="shared" si="1"/>
        <v>#REF!</v>
      </c>
      <c r="AI114" s="58"/>
    </row>
    <row r="115" spans="1:35" ht="15.75" customHeight="1">
      <c r="A115" s="13" t="s">
        <v>275</v>
      </c>
      <c r="B115" s="5">
        <v>95</v>
      </c>
      <c r="C115" s="7">
        <v>9529.9</v>
      </c>
      <c r="D115" s="7">
        <v>0</v>
      </c>
      <c r="E115" s="7">
        <v>0</v>
      </c>
      <c r="F115" s="5">
        <v>0</v>
      </c>
      <c r="G115" s="7">
        <v>0</v>
      </c>
      <c r="H115" s="5">
        <v>20</v>
      </c>
      <c r="I115" s="7">
        <v>1919.4</v>
      </c>
      <c r="J115" s="7">
        <v>0</v>
      </c>
      <c r="K115" s="5">
        <v>0</v>
      </c>
      <c r="L115" s="5">
        <v>0</v>
      </c>
      <c r="M115" s="5">
        <v>0</v>
      </c>
      <c r="N115" s="7">
        <v>0</v>
      </c>
      <c r="O115" s="7">
        <v>0</v>
      </c>
      <c r="P115" s="7">
        <v>88</v>
      </c>
      <c r="Q115" s="5">
        <v>0</v>
      </c>
      <c r="R115" s="5">
        <v>88</v>
      </c>
      <c r="S115" s="7">
        <v>19038.2</v>
      </c>
      <c r="T115" s="12">
        <v>43118</v>
      </c>
      <c r="U115" s="4">
        <v>2</v>
      </c>
      <c r="W115" s="14"/>
      <c r="X115" s="45">
        <v>30487.5</v>
      </c>
      <c r="Y115" s="14" t="s">
        <v>54</v>
      </c>
      <c r="Z115" s="14" t="s">
        <v>1355</v>
      </c>
      <c r="AA115" s="14" t="s">
        <v>865</v>
      </c>
      <c r="AB115" s="25">
        <v>43123</v>
      </c>
      <c r="AC115" s="14" t="s">
        <v>780</v>
      </c>
      <c r="AD115" s="14" t="s">
        <v>49</v>
      </c>
      <c r="AE115" s="23" t="s">
        <v>276</v>
      </c>
      <c r="AF115" s="25" t="s">
        <v>1266</v>
      </c>
      <c r="AG115" t="e">
        <f t="shared" si="1"/>
        <v>#REF!</v>
      </c>
      <c r="AI115" s="58"/>
    </row>
    <row r="116" spans="1:35" ht="15.75" customHeight="1">
      <c r="A116" s="13" t="s">
        <v>277</v>
      </c>
      <c r="B116" s="5">
        <v>0</v>
      </c>
      <c r="C116" s="7">
        <v>0</v>
      </c>
      <c r="D116" s="7">
        <v>0</v>
      </c>
      <c r="E116" s="7">
        <v>0</v>
      </c>
      <c r="F116" s="5">
        <v>0</v>
      </c>
      <c r="G116" s="7">
        <v>0</v>
      </c>
      <c r="H116" s="5">
        <v>190</v>
      </c>
      <c r="I116" s="7">
        <v>24312.400000000001</v>
      </c>
      <c r="J116" s="7">
        <v>58</v>
      </c>
      <c r="K116" s="5">
        <v>0</v>
      </c>
      <c r="L116" s="5">
        <v>0</v>
      </c>
      <c r="M116" s="5">
        <v>58</v>
      </c>
      <c r="N116" s="7">
        <v>58</v>
      </c>
      <c r="O116" s="7">
        <v>8758</v>
      </c>
      <c r="P116" s="7">
        <v>0</v>
      </c>
      <c r="Q116" s="5">
        <v>0</v>
      </c>
      <c r="R116" s="5">
        <v>0</v>
      </c>
      <c r="S116" s="7">
        <v>0</v>
      </c>
      <c r="T116" s="12">
        <v>43118</v>
      </c>
      <c r="U116" s="4">
        <v>3</v>
      </c>
      <c r="W116" s="14"/>
      <c r="X116" s="45">
        <v>33070.400000000001</v>
      </c>
      <c r="Y116" s="14" t="s">
        <v>85</v>
      </c>
      <c r="Z116" s="14" t="s">
        <v>730</v>
      </c>
      <c r="AA116" s="14">
        <v>350810005352</v>
      </c>
      <c r="AB116" s="25">
        <v>43128</v>
      </c>
      <c r="AC116" s="14" t="s">
        <v>787</v>
      </c>
      <c r="AD116" s="14" t="s">
        <v>49</v>
      </c>
      <c r="AE116" s="23" t="s">
        <v>278</v>
      </c>
      <c r="AF116" s="25" t="s">
        <v>1266</v>
      </c>
      <c r="AG116" t="e">
        <f t="shared" si="1"/>
        <v>#REF!</v>
      </c>
      <c r="AI116" s="58"/>
    </row>
    <row r="117" spans="1:35" ht="15.75" customHeight="1">
      <c r="A117" s="13" t="s">
        <v>279</v>
      </c>
      <c r="B117" s="5">
        <v>400</v>
      </c>
      <c r="C117" s="7">
        <v>38911.740000000013</v>
      </c>
      <c r="D117" s="7">
        <v>0</v>
      </c>
      <c r="E117" s="7">
        <v>0</v>
      </c>
      <c r="F117" s="5">
        <v>0</v>
      </c>
      <c r="G117" s="7">
        <v>0</v>
      </c>
      <c r="H117" s="5">
        <v>46</v>
      </c>
      <c r="I117" s="7">
        <v>1646.8</v>
      </c>
      <c r="J117" s="7">
        <v>0</v>
      </c>
      <c r="K117" s="5">
        <v>0</v>
      </c>
      <c r="L117" s="5">
        <v>0</v>
      </c>
      <c r="M117" s="5">
        <v>0</v>
      </c>
      <c r="N117" s="7">
        <v>0</v>
      </c>
      <c r="O117" s="7">
        <v>0</v>
      </c>
      <c r="P117" s="7">
        <v>237</v>
      </c>
      <c r="Q117" s="5">
        <v>0</v>
      </c>
      <c r="R117" s="5">
        <v>237</v>
      </c>
      <c r="S117" s="7">
        <v>34320.900000000009</v>
      </c>
      <c r="T117" s="12">
        <v>43119</v>
      </c>
      <c r="U117" s="4">
        <v>6</v>
      </c>
      <c r="W117" s="14"/>
      <c r="X117" s="45">
        <v>74879.440000000031</v>
      </c>
      <c r="Y117" s="14" t="s">
        <v>85</v>
      </c>
      <c r="Z117" s="14" t="s">
        <v>59</v>
      </c>
      <c r="AA117" s="14">
        <v>350810005383</v>
      </c>
      <c r="AB117" s="25">
        <v>43126</v>
      </c>
      <c r="AC117" s="14" t="s">
        <v>788</v>
      </c>
      <c r="AD117" s="14" t="s">
        <v>115</v>
      </c>
      <c r="AE117" s="23" t="s">
        <v>280</v>
      </c>
      <c r="AF117" s="25" t="s">
        <v>1275</v>
      </c>
      <c r="AG117" t="e">
        <f t="shared" si="1"/>
        <v>#REF!</v>
      </c>
      <c r="AI117" s="58"/>
    </row>
    <row r="118" spans="1:35" ht="15.75" customHeight="1">
      <c r="A118" s="13" t="s">
        <v>281</v>
      </c>
      <c r="B118" s="5">
        <v>305</v>
      </c>
      <c r="C118" s="7">
        <v>27950.5</v>
      </c>
      <c r="D118" s="7">
        <v>0</v>
      </c>
      <c r="E118" s="7">
        <v>0</v>
      </c>
      <c r="F118" s="5">
        <v>0</v>
      </c>
      <c r="G118" s="7">
        <v>0</v>
      </c>
      <c r="H118" s="5">
        <v>265</v>
      </c>
      <c r="I118" s="7">
        <v>28989.5</v>
      </c>
      <c r="J118" s="7">
        <v>0</v>
      </c>
      <c r="K118" s="5">
        <v>0</v>
      </c>
      <c r="L118" s="5">
        <v>0</v>
      </c>
      <c r="M118" s="5">
        <v>0</v>
      </c>
      <c r="N118" s="7">
        <v>0</v>
      </c>
      <c r="O118" s="7">
        <v>0</v>
      </c>
      <c r="P118" s="7">
        <v>278</v>
      </c>
      <c r="Q118" s="5">
        <v>0</v>
      </c>
      <c r="R118" s="5">
        <v>278</v>
      </c>
      <c r="S118" s="7">
        <v>41556</v>
      </c>
      <c r="T118" s="12">
        <v>43119</v>
      </c>
      <c r="U118" s="4">
        <v>7</v>
      </c>
      <c r="W118" s="14"/>
      <c r="X118" s="45">
        <v>98496</v>
      </c>
      <c r="Y118" s="14" t="s">
        <v>54</v>
      </c>
      <c r="Z118" s="14" t="s">
        <v>1281</v>
      </c>
      <c r="AA118" s="14" t="s">
        <v>867</v>
      </c>
      <c r="AB118" s="25">
        <v>43122</v>
      </c>
      <c r="AC118" s="14" t="s">
        <v>782</v>
      </c>
      <c r="AD118" s="14" t="s">
        <v>51</v>
      </c>
      <c r="AE118" s="23" t="s">
        <v>282</v>
      </c>
      <c r="AF118" s="25" t="s">
        <v>1270</v>
      </c>
      <c r="AG118" t="e">
        <f t="shared" si="1"/>
        <v>#REF!</v>
      </c>
      <c r="AI118" s="58"/>
    </row>
    <row r="119" spans="1:35" ht="15.75" customHeight="1">
      <c r="A119" s="13" t="s">
        <v>283</v>
      </c>
      <c r="B119" s="5">
        <v>444</v>
      </c>
      <c r="C119" s="7">
        <v>57925.5</v>
      </c>
      <c r="D119" s="7">
        <v>0</v>
      </c>
      <c r="E119" s="7">
        <v>0</v>
      </c>
      <c r="F119" s="5">
        <v>0</v>
      </c>
      <c r="G119" s="7">
        <v>0</v>
      </c>
      <c r="H119" s="5">
        <v>0</v>
      </c>
      <c r="I119" s="7">
        <v>0</v>
      </c>
      <c r="J119" s="7">
        <v>0</v>
      </c>
      <c r="K119" s="5">
        <v>0</v>
      </c>
      <c r="L119" s="5">
        <v>0</v>
      </c>
      <c r="M119" s="5">
        <v>0</v>
      </c>
      <c r="N119" s="7">
        <v>0</v>
      </c>
      <c r="O119" s="7">
        <v>0</v>
      </c>
      <c r="P119" s="7">
        <v>353</v>
      </c>
      <c r="Q119" s="5">
        <v>0</v>
      </c>
      <c r="R119" s="5">
        <v>353</v>
      </c>
      <c r="S119" s="7">
        <v>59176.4</v>
      </c>
      <c r="T119" s="12">
        <v>43119</v>
      </c>
      <c r="U119" s="4">
        <v>9</v>
      </c>
      <c r="W119" s="14"/>
      <c r="X119" s="45">
        <v>117101.9</v>
      </c>
      <c r="Y119" s="14" t="s">
        <v>54</v>
      </c>
      <c r="Z119" s="14" t="s">
        <v>57</v>
      </c>
      <c r="AA119" s="14" t="s">
        <v>873</v>
      </c>
      <c r="AB119" s="25">
        <v>43123</v>
      </c>
      <c r="AC119" s="14" t="s">
        <v>780</v>
      </c>
      <c r="AD119" s="14" t="s">
        <v>50</v>
      </c>
      <c r="AE119" s="23" t="s">
        <v>284</v>
      </c>
      <c r="AF119" s="25" t="s">
        <v>1269</v>
      </c>
      <c r="AG119" t="e">
        <f t="shared" si="1"/>
        <v>#REF!</v>
      </c>
      <c r="AI119" s="58"/>
    </row>
    <row r="120" spans="1:35" ht="15.75" customHeight="1">
      <c r="A120" s="13" t="s">
        <v>285</v>
      </c>
      <c r="B120" s="5">
        <v>32</v>
      </c>
      <c r="C120" s="7">
        <v>4069.4</v>
      </c>
      <c r="D120" s="7">
        <v>0</v>
      </c>
      <c r="E120" s="7">
        <v>0</v>
      </c>
      <c r="F120" s="5">
        <v>0</v>
      </c>
      <c r="G120" s="7">
        <v>0</v>
      </c>
      <c r="H120" s="5">
        <v>105</v>
      </c>
      <c r="I120" s="7">
        <v>7841.35</v>
      </c>
      <c r="J120" s="7">
        <v>20</v>
      </c>
      <c r="K120" s="5">
        <v>0</v>
      </c>
      <c r="L120" s="5">
        <v>0</v>
      </c>
      <c r="M120" s="5">
        <v>20</v>
      </c>
      <c r="N120" s="7">
        <v>20</v>
      </c>
      <c r="O120" s="7">
        <v>368</v>
      </c>
      <c r="P120" s="7">
        <v>250</v>
      </c>
      <c r="Q120" s="5">
        <v>0</v>
      </c>
      <c r="R120" s="5">
        <v>250</v>
      </c>
      <c r="S120" s="7">
        <v>49825.799999999996</v>
      </c>
      <c r="T120" s="12">
        <v>43119</v>
      </c>
      <c r="U120" s="4">
        <v>4</v>
      </c>
      <c r="W120" s="14"/>
      <c r="X120" s="45">
        <v>62104.549999999996</v>
      </c>
      <c r="Y120" s="14" t="s">
        <v>54</v>
      </c>
      <c r="Z120" s="14" t="s">
        <v>730</v>
      </c>
      <c r="AA120" s="14" t="s">
        <v>869</v>
      </c>
      <c r="AB120" s="25">
        <v>43122</v>
      </c>
      <c r="AC120" s="14" t="s">
        <v>782</v>
      </c>
      <c r="AD120" s="14" t="s">
        <v>52</v>
      </c>
      <c r="AE120" s="23" t="s">
        <v>286</v>
      </c>
      <c r="AF120" s="25" t="s">
        <v>1271</v>
      </c>
      <c r="AG120" t="e">
        <f t="shared" si="1"/>
        <v>#REF!</v>
      </c>
      <c r="AI120" s="58"/>
    </row>
    <row r="121" spans="1:35" ht="15.75" customHeight="1">
      <c r="A121" s="13" t="s">
        <v>287</v>
      </c>
      <c r="B121" s="5">
        <v>60</v>
      </c>
      <c r="C121" s="7">
        <v>1930.1999999999996</v>
      </c>
      <c r="D121" s="7">
        <v>0</v>
      </c>
      <c r="E121" s="7">
        <v>0</v>
      </c>
      <c r="F121" s="5">
        <v>0</v>
      </c>
      <c r="G121" s="7">
        <v>0</v>
      </c>
      <c r="H121" s="5">
        <v>357</v>
      </c>
      <c r="I121" s="7">
        <v>33263.350000000006</v>
      </c>
      <c r="J121" s="7">
        <v>0</v>
      </c>
      <c r="K121" s="5">
        <v>0</v>
      </c>
      <c r="L121" s="5">
        <v>0</v>
      </c>
      <c r="M121" s="5">
        <v>0</v>
      </c>
      <c r="N121" s="7">
        <v>0</v>
      </c>
      <c r="O121" s="7">
        <v>0</v>
      </c>
      <c r="P121" s="7">
        <v>0</v>
      </c>
      <c r="Q121" s="5">
        <v>0</v>
      </c>
      <c r="R121" s="5">
        <v>0</v>
      </c>
      <c r="S121" s="7">
        <v>0</v>
      </c>
      <c r="T121" s="12">
        <v>43119</v>
      </c>
      <c r="U121" s="4">
        <v>2</v>
      </c>
      <c r="W121" s="14"/>
      <c r="X121" s="45">
        <v>35193.550000000003</v>
      </c>
      <c r="Y121" s="14" t="s">
        <v>54</v>
      </c>
      <c r="Z121" s="14" t="s">
        <v>59</v>
      </c>
      <c r="AA121" s="14" t="s">
        <v>865</v>
      </c>
      <c r="AB121" s="25">
        <v>43123</v>
      </c>
      <c r="AC121" s="14" t="s">
        <v>780</v>
      </c>
      <c r="AD121" s="14" t="s">
        <v>49</v>
      </c>
      <c r="AE121" s="23" t="s">
        <v>288</v>
      </c>
      <c r="AF121" s="25" t="s">
        <v>1265</v>
      </c>
      <c r="AG121" t="e">
        <f t="shared" si="1"/>
        <v>#REF!</v>
      </c>
      <c r="AI121" s="58"/>
    </row>
    <row r="122" spans="1:35" ht="15.75" customHeight="1">
      <c r="A122" s="13" t="s">
        <v>294</v>
      </c>
      <c r="B122" s="5">
        <v>0</v>
      </c>
      <c r="C122" s="7">
        <v>0</v>
      </c>
      <c r="D122" s="7">
        <v>0</v>
      </c>
      <c r="E122" s="7">
        <v>0</v>
      </c>
      <c r="F122" s="5">
        <v>0</v>
      </c>
      <c r="G122" s="7">
        <v>0</v>
      </c>
      <c r="H122" s="5">
        <v>227</v>
      </c>
      <c r="I122" s="7">
        <v>26417.47</v>
      </c>
      <c r="J122" s="7">
        <v>0</v>
      </c>
      <c r="K122" s="5">
        <v>0</v>
      </c>
      <c r="L122" s="5">
        <v>0</v>
      </c>
      <c r="M122" s="5">
        <v>0</v>
      </c>
      <c r="N122" s="7">
        <v>0</v>
      </c>
      <c r="O122" s="7">
        <v>0</v>
      </c>
      <c r="P122" s="7">
        <v>0</v>
      </c>
      <c r="Q122" s="5">
        <v>0</v>
      </c>
      <c r="R122" s="5">
        <v>0</v>
      </c>
      <c r="S122" s="7">
        <v>0</v>
      </c>
      <c r="T122" s="12">
        <v>43119</v>
      </c>
      <c r="U122" s="4">
        <v>2</v>
      </c>
      <c r="W122" s="14"/>
      <c r="X122" s="45">
        <v>26417.47</v>
      </c>
      <c r="Y122" s="14" t="s">
        <v>56</v>
      </c>
      <c r="Z122" s="14" t="s">
        <v>55</v>
      </c>
      <c r="AA122" s="14" t="s">
        <v>874</v>
      </c>
      <c r="AB122" s="25">
        <v>43125</v>
      </c>
      <c r="AC122" s="14" t="s">
        <v>789</v>
      </c>
      <c r="AD122" s="14" t="s">
        <v>49</v>
      </c>
      <c r="AE122" s="23" t="s">
        <v>295</v>
      </c>
      <c r="AF122" s="25" t="s">
        <v>1265</v>
      </c>
      <c r="AG122" t="e">
        <f t="shared" si="1"/>
        <v>#REF!</v>
      </c>
      <c r="AI122" s="58"/>
    </row>
    <row r="123" spans="1:35" ht="15.75" customHeight="1">
      <c r="A123" s="13" t="s">
        <v>296</v>
      </c>
      <c r="B123" s="5">
        <v>0</v>
      </c>
      <c r="C123" s="7">
        <v>0</v>
      </c>
      <c r="D123" s="7">
        <v>0</v>
      </c>
      <c r="E123" s="7">
        <v>0</v>
      </c>
      <c r="F123" s="5">
        <v>0</v>
      </c>
      <c r="G123" s="7">
        <v>0</v>
      </c>
      <c r="H123" s="5">
        <v>190</v>
      </c>
      <c r="I123" s="7">
        <v>24312.400000000001</v>
      </c>
      <c r="J123" s="7">
        <v>58</v>
      </c>
      <c r="K123" s="5">
        <v>0</v>
      </c>
      <c r="L123" s="5">
        <v>0</v>
      </c>
      <c r="M123" s="5">
        <v>58</v>
      </c>
      <c r="N123" s="7">
        <v>58</v>
      </c>
      <c r="O123" s="7">
        <v>8758</v>
      </c>
      <c r="P123" s="7">
        <v>0</v>
      </c>
      <c r="Q123" s="5">
        <v>0</v>
      </c>
      <c r="R123" s="5">
        <v>0</v>
      </c>
      <c r="S123" s="7">
        <v>0</v>
      </c>
      <c r="T123" s="12">
        <v>43119</v>
      </c>
      <c r="U123" s="4">
        <v>3</v>
      </c>
      <c r="W123" s="14"/>
      <c r="X123" s="45">
        <v>33070.400000000001</v>
      </c>
      <c r="Y123" s="14" t="s">
        <v>85</v>
      </c>
      <c r="Z123" s="14" t="s">
        <v>730</v>
      </c>
      <c r="AA123" s="14">
        <v>350810005352</v>
      </c>
      <c r="AB123" s="25">
        <v>43128</v>
      </c>
      <c r="AC123" s="14" t="s">
        <v>787</v>
      </c>
      <c r="AD123" s="14" t="s">
        <v>49</v>
      </c>
      <c r="AE123" s="23" t="s">
        <v>297</v>
      </c>
      <c r="AF123" s="25" t="s">
        <v>1267</v>
      </c>
      <c r="AG123" t="e">
        <f t="shared" si="1"/>
        <v>#REF!</v>
      </c>
      <c r="AI123" s="58"/>
    </row>
    <row r="124" spans="1:35" ht="15.75" customHeight="1">
      <c r="A124" s="13" t="s">
        <v>298</v>
      </c>
      <c r="B124" s="5">
        <v>0</v>
      </c>
      <c r="C124" s="7">
        <v>0</v>
      </c>
      <c r="D124" s="7">
        <v>0</v>
      </c>
      <c r="E124" s="7">
        <v>0</v>
      </c>
      <c r="F124" s="5">
        <v>0</v>
      </c>
      <c r="G124" s="7">
        <v>0</v>
      </c>
      <c r="H124" s="5">
        <v>130</v>
      </c>
      <c r="I124" s="7">
        <v>14251.75</v>
      </c>
      <c r="J124" s="7">
        <v>188</v>
      </c>
      <c r="K124" s="5">
        <v>0</v>
      </c>
      <c r="L124" s="5">
        <v>0</v>
      </c>
      <c r="M124" s="5">
        <v>188</v>
      </c>
      <c r="N124" s="7">
        <v>188</v>
      </c>
      <c r="O124" s="7">
        <v>20764.7</v>
      </c>
      <c r="P124" s="7">
        <v>0</v>
      </c>
      <c r="Q124" s="5">
        <v>0</v>
      </c>
      <c r="R124" s="5">
        <v>0</v>
      </c>
      <c r="S124" s="7">
        <v>0</v>
      </c>
      <c r="T124" s="12">
        <v>43119</v>
      </c>
      <c r="U124" s="4">
        <v>3</v>
      </c>
      <c r="W124" s="14"/>
      <c r="X124" s="45">
        <v>35016.449999999997</v>
      </c>
      <c r="Y124" s="14" t="s">
        <v>56</v>
      </c>
      <c r="Z124" s="14" t="s">
        <v>55</v>
      </c>
      <c r="AA124" s="14" t="s">
        <v>868</v>
      </c>
      <c r="AB124" s="25">
        <v>43127</v>
      </c>
      <c r="AC124" s="14" t="s">
        <v>783</v>
      </c>
      <c r="AD124" s="14" t="s">
        <v>52</v>
      </c>
      <c r="AE124" s="23" t="s">
        <v>299</v>
      </c>
      <c r="AF124" s="25" t="s">
        <v>1271</v>
      </c>
      <c r="AG124" t="e">
        <f t="shared" si="1"/>
        <v>#REF!</v>
      </c>
      <c r="AI124" s="58"/>
    </row>
    <row r="125" spans="1:35" ht="15.75" customHeight="1">
      <c r="A125" s="13" t="s">
        <v>300</v>
      </c>
      <c r="B125" s="5">
        <v>278</v>
      </c>
      <c r="C125" s="7">
        <v>27856.11</v>
      </c>
      <c r="D125" s="7">
        <v>0</v>
      </c>
      <c r="E125" s="7">
        <v>0</v>
      </c>
      <c r="F125" s="5">
        <v>0</v>
      </c>
      <c r="G125" s="7">
        <v>0</v>
      </c>
      <c r="H125" s="5">
        <v>0</v>
      </c>
      <c r="I125" s="7">
        <v>0</v>
      </c>
      <c r="J125" s="7">
        <v>345</v>
      </c>
      <c r="K125" s="5">
        <v>0</v>
      </c>
      <c r="L125" s="5">
        <v>0</v>
      </c>
      <c r="M125" s="5">
        <v>345</v>
      </c>
      <c r="N125" s="7">
        <v>345</v>
      </c>
      <c r="O125" s="7">
        <v>51329.399999999994</v>
      </c>
      <c r="P125" s="7">
        <v>97</v>
      </c>
      <c r="Q125" s="5">
        <v>0</v>
      </c>
      <c r="R125" s="5">
        <v>97</v>
      </c>
      <c r="S125" s="7">
        <v>18148.7</v>
      </c>
      <c r="T125" s="12">
        <v>43119</v>
      </c>
      <c r="U125" s="4">
        <v>8</v>
      </c>
      <c r="W125" s="14"/>
      <c r="X125" s="45">
        <v>97334.209999999992</v>
      </c>
      <c r="Y125" s="14" t="s">
        <v>54</v>
      </c>
      <c r="Z125" s="14" t="s">
        <v>59</v>
      </c>
      <c r="AA125" s="14" t="s">
        <v>862</v>
      </c>
      <c r="AB125" s="25">
        <v>43125</v>
      </c>
      <c r="AC125" s="14" t="s">
        <v>779</v>
      </c>
      <c r="AD125" s="14" t="s">
        <v>50</v>
      </c>
      <c r="AE125" s="23" t="s">
        <v>301</v>
      </c>
      <c r="AF125" s="25" t="s">
        <v>1269</v>
      </c>
      <c r="AG125" t="e">
        <f t="shared" si="1"/>
        <v>#REF!</v>
      </c>
      <c r="AI125" s="58"/>
    </row>
    <row r="126" spans="1:35" ht="15.75" customHeight="1">
      <c r="A126" s="13" t="s">
        <v>289</v>
      </c>
      <c r="B126" s="5">
        <v>1330</v>
      </c>
      <c r="C126" s="7">
        <v>132234.78</v>
      </c>
      <c r="D126" s="7">
        <v>0</v>
      </c>
      <c r="E126" s="7">
        <v>0</v>
      </c>
      <c r="F126" s="5">
        <v>0</v>
      </c>
      <c r="G126" s="7">
        <v>0</v>
      </c>
      <c r="H126" s="5">
        <v>0</v>
      </c>
      <c r="I126" s="7">
        <v>0</v>
      </c>
      <c r="J126" s="7">
        <v>0</v>
      </c>
      <c r="K126" s="5">
        <v>0</v>
      </c>
      <c r="L126" s="5">
        <v>0</v>
      </c>
      <c r="M126" s="5">
        <v>0</v>
      </c>
      <c r="N126" s="7">
        <v>0</v>
      </c>
      <c r="O126" s="7">
        <v>0</v>
      </c>
      <c r="P126" s="7">
        <v>422</v>
      </c>
      <c r="Q126" s="5">
        <v>0</v>
      </c>
      <c r="R126" s="5">
        <v>422</v>
      </c>
      <c r="S126" s="7">
        <v>64057.2</v>
      </c>
      <c r="T126" s="12">
        <v>43120</v>
      </c>
      <c r="U126" s="4">
        <v>15</v>
      </c>
      <c r="W126" s="14"/>
      <c r="X126" s="45">
        <v>196291.97999999998</v>
      </c>
      <c r="Y126" s="14" t="s">
        <v>54</v>
      </c>
      <c r="Z126" s="14" t="s">
        <v>57</v>
      </c>
      <c r="AA126" s="14" t="s">
        <v>873</v>
      </c>
      <c r="AB126" s="25">
        <v>43123</v>
      </c>
      <c r="AC126" s="14" t="s">
        <v>780</v>
      </c>
      <c r="AD126" s="14" t="s">
        <v>50</v>
      </c>
      <c r="AE126" s="23" t="s">
        <v>306</v>
      </c>
      <c r="AF126" s="25" t="s">
        <v>1269</v>
      </c>
      <c r="AG126" t="e">
        <f t="shared" si="1"/>
        <v>#REF!</v>
      </c>
      <c r="AI126" s="58"/>
    </row>
    <row r="127" spans="1:35" ht="15.75" customHeight="1">
      <c r="A127" s="13" t="s">
        <v>290</v>
      </c>
      <c r="B127" s="5">
        <v>0</v>
      </c>
      <c r="C127" s="7">
        <v>0</v>
      </c>
      <c r="D127" s="7">
        <v>0</v>
      </c>
      <c r="E127" s="7">
        <v>0</v>
      </c>
      <c r="F127" s="5">
        <v>0</v>
      </c>
      <c r="G127" s="7">
        <v>0</v>
      </c>
      <c r="H127" s="5">
        <v>148</v>
      </c>
      <c r="I127" s="7">
        <v>14413.5</v>
      </c>
      <c r="J127" s="7">
        <v>0</v>
      </c>
      <c r="K127" s="5">
        <v>0</v>
      </c>
      <c r="L127" s="5">
        <v>0</v>
      </c>
      <c r="M127" s="5">
        <v>0</v>
      </c>
      <c r="N127" s="7">
        <v>0</v>
      </c>
      <c r="O127" s="7">
        <v>0</v>
      </c>
      <c r="P127" s="7">
        <v>96</v>
      </c>
      <c r="Q127" s="5">
        <v>0</v>
      </c>
      <c r="R127" s="5">
        <v>96</v>
      </c>
      <c r="S127" s="7">
        <v>14236.800000000001</v>
      </c>
      <c r="T127" s="12">
        <v>43120</v>
      </c>
      <c r="U127" s="4">
        <v>2</v>
      </c>
      <c r="W127" s="14"/>
      <c r="X127" s="45">
        <v>28650.300000000003</v>
      </c>
      <c r="Y127" s="14" t="s">
        <v>54</v>
      </c>
      <c r="Z127" s="14" t="s">
        <v>730</v>
      </c>
      <c r="AA127" s="14" t="s">
        <v>869</v>
      </c>
      <c r="AB127" s="25">
        <v>43122</v>
      </c>
      <c r="AC127" s="14" t="s">
        <v>782</v>
      </c>
      <c r="AD127" s="14" t="s">
        <v>52</v>
      </c>
      <c r="AE127" s="23" t="s">
        <v>291</v>
      </c>
      <c r="AF127" s="25" t="s">
        <v>1271</v>
      </c>
      <c r="AG127" t="e">
        <f t="shared" si="1"/>
        <v>#REF!</v>
      </c>
      <c r="AI127" s="58"/>
    </row>
    <row r="128" spans="1:35" ht="15.75" customHeight="1">
      <c r="A128" s="13" t="s">
        <v>292</v>
      </c>
      <c r="B128" s="5">
        <v>830</v>
      </c>
      <c r="C128" s="7">
        <v>95824.930000000008</v>
      </c>
      <c r="D128" s="7">
        <v>0</v>
      </c>
      <c r="E128" s="7">
        <v>0</v>
      </c>
      <c r="F128" s="5">
        <v>0</v>
      </c>
      <c r="G128" s="7">
        <v>0</v>
      </c>
      <c r="H128" s="5">
        <v>540</v>
      </c>
      <c r="I128" s="7">
        <v>40741.799999999996</v>
      </c>
      <c r="J128" s="7">
        <v>0</v>
      </c>
      <c r="K128" s="5">
        <v>0</v>
      </c>
      <c r="L128" s="5">
        <v>0</v>
      </c>
      <c r="M128" s="5">
        <v>0</v>
      </c>
      <c r="N128" s="7">
        <v>0</v>
      </c>
      <c r="O128" s="7">
        <v>0</v>
      </c>
      <c r="P128" s="7">
        <v>262</v>
      </c>
      <c r="Q128" s="5">
        <v>0</v>
      </c>
      <c r="R128" s="5">
        <v>262</v>
      </c>
      <c r="S128" s="7">
        <v>48054.6</v>
      </c>
      <c r="T128" s="12">
        <v>43120</v>
      </c>
      <c r="U128" s="4">
        <v>13</v>
      </c>
      <c r="W128" s="14"/>
      <c r="X128" s="45">
        <v>184621.33000000002</v>
      </c>
      <c r="Y128" s="14" t="s">
        <v>54</v>
      </c>
      <c r="Z128" s="14" t="s">
        <v>1281</v>
      </c>
      <c r="AA128" s="14" t="s">
        <v>867</v>
      </c>
      <c r="AB128" s="25">
        <v>43122</v>
      </c>
      <c r="AC128" s="14" t="s">
        <v>782</v>
      </c>
      <c r="AD128" s="14" t="s">
        <v>51</v>
      </c>
      <c r="AE128" s="23" t="s">
        <v>293</v>
      </c>
      <c r="AF128" s="25" t="s">
        <v>1270</v>
      </c>
      <c r="AG128" t="e">
        <f t="shared" si="1"/>
        <v>#REF!</v>
      </c>
      <c r="AI128" s="58"/>
    </row>
    <row r="129" spans="1:41" ht="15.75" customHeight="1">
      <c r="A129" s="13" t="s">
        <v>302</v>
      </c>
      <c r="B129" s="5">
        <v>101</v>
      </c>
      <c r="C129" s="7">
        <v>11100.8</v>
      </c>
      <c r="D129" s="7">
        <v>0</v>
      </c>
      <c r="E129" s="7">
        <v>0</v>
      </c>
      <c r="F129" s="5">
        <v>0</v>
      </c>
      <c r="G129" s="7">
        <v>0</v>
      </c>
      <c r="H129" s="5">
        <v>657</v>
      </c>
      <c r="I129" s="7">
        <v>27148.03</v>
      </c>
      <c r="J129" s="7">
        <v>254</v>
      </c>
      <c r="K129" s="5">
        <v>0</v>
      </c>
      <c r="L129" s="5">
        <v>0</v>
      </c>
      <c r="M129" s="5">
        <v>254</v>
      </c>
      <c r="N129" s="7">
        <v>254</v>
      </c>
      <c r="O129" s="7">
        <v>31388.199999999997</v>
      </c>
      <c r="P129" s="7">
        <v>74</v>
      </c>
      <c r="Q129" s="5">
        <v>0</v>
      </c>
      <c r="R129" s="5">
        <v>74</v>
      </c>
      <c r="S129" s="7">
        <v>17671.2</v>
      </c>
      <c r="T129" s="12">
        <v>43120</v>
      </c>
      <c r="U129" s="4">
        <v>7</v>
      </c>
      <c r="W129" s="14"/>
      <c r="X129" s="45">
        <v>87308.23</v>
      </c>
      <c r="Y129" s="14" t="s">
        <v>58</v>
      </c>
      <c r="Z129" s="14" t="s">
        <v>730</v>
      </c>
      <c r="AA129" s="14">
        <v>237800061715</v>
      </c>
      <c r="AB129" s="25">
        <v>43124</v>
      </c>
      <c r="AC129" s="14" t="s">
        <v>786</v>
      </c>
      <c r="AD129" s="14" t="s">
        <v>51</v>
      </c>
      <c r="AE129" s="23" t="s">
        <v>303</v>
      </c>
      <c r="AF129" s="25" t="s">
        <v>1270</v>
      </c>
      <c r="AG129" t="e">
        <f t="shared" si="1"/>
        <v>#REF!</v>
      </c>
      <c r="AI129" s="58"/>
    </row>
    <row r="130" spans="1:41" ht="15.75" customHeight="1">
      <c r="A130" s="13" t="s">
        <v>304</v>
      </c>
      <c r="B130" s="5">
        <v>0</v>
      </c>
      <c r="C130" s="7">
        <v>0</v>
      </c>
      <c r="D130" s="7">
        <v>0</v>
      </c>
      <c r="E130" s="7">
        <v>0</v>
      </c>
      <c r="F130" s="5">
        <v>0</v>
      </c>
      <c r="G130" s="7">
        <v>0</v>
      </c>
      <c r="H130" s="5">
        <v>155</v>
      </c>
      <c r="I130" s="7">
        <v>20404.95</v>
      </c>
      <c r="J130" s="7">
        <v>323</v>
      </c>
      <c r="K130" s="5">
        <v>0</v>
      </c>
      <c r="L130" s="5">
        <v>0</v>
      </c>
      <c r="M130" s="5">
        <v>323</v>
      </c>
      <c r="N130" s="7">
        <v>323</v>
      </c>
      <c r="O130" s="7">
        <v>9083.9</v>
      </c>
      <c r="P130" s="7">
        <v>474</v>
      </c>
      <c r="Q130" s="5">
        <v>0</v>
      </c>
      <c r="R130" s="5">
        <v>474</v>
      </c>
      <c r="S130" s="7">
        <v>31047</v>
      </c>
      <c r="T130" s="12">
        <v>43120</v>
      </c>
      <c r="U130" s="4">
        <v>3</v>
      </c>
      <c r="W130" s="14"/>
      <c r="X130" s="45">
        <v>60535.85</v>
      </c>
      <c r="Y130" s="14" t="s">
        <v>56</v>
      </c>
      <c r="Z130" s="14" t="s">
        <v>55</v>
      </c>
      <c r="AA130" s="14" t="s">
        <v>874</v>
      </c>
      <c r="AB130" s="25">
        <v>43125</v>
      </c>
      <c r="AC130" s="14" t="s">
        <v>789</v>
      </c>
      <c r="AD130" s="14" t="s">
        <v>49</v>
      </c>
      <c r="AE130" s="23" t="s">
        <v>305</v>
      </c>
      <c r="AF130" s="25" t="s">
        <v>1265</v>
      </c>
      <c r="AG130" t="e">
        <f t="shared" si="1"/>
        <v>#REF!</v>
      </c>
      <c r="AI130" s="58"/>
    </row>
    <row r="131" spans="1:41" s="31" customFormat="1" ht="15.75" customHeight="1">
      <c r="A131" s="13" t="s">
        <v>308</v>
      </c>
      <c r="B131" s="5">
        <v>350</v>
      </c>
      <c r="C131" s="7">
        <v>14879.54</v>
      </c>
      <c r="D131" s="7">
        <v>0</v>
      </c>
      <c r="E131" s="7">
        <v>0</v>
      </c>
      <c r="F131" s="5">
        <v>0</v>
      </c>
      <c r="G131" s="7">
        <v>0</v>
      </c>
      <c r="H131" s="5">
        <v>0</v>
      </c>
      <c r="I131" s="7">
        <v>0</v>
      </c>
      <c r="J131" s="7">
        <v>45</v>
      </c>
      <c r="K131" s="5">
        <v>0</v>
      </c>
      <c r="L131" s="5">
        <v>0</v>
      </c>
      <c r="M131" s="5">
        <v>45</v>
      </c>
      <c r="N131" s="7">
        <v>45</v>
      </c>
      <c r="O131" s="7">
        <v>8783.6</v>
      </c>
      <c r="P131" s="7">
        <v>132</v>
      </c>
      <c r="Q131" s="5">
        <v>0</v>
      </c>
      <c r="R131" s="5">
        <v>132</v>
      </c>
      <c r="S131" s="7">
        <v>35228.399999999994</v>
      </c>
      <c r="T131" s="12">
        <v>43121</v>
      </c>
      <c r="U131" s="4">
        <v>4</v>
      </c>
      <c r="V131" s="4"/>
      <c r="W131" s="14"/>
      <c r="X131" s="45">
        <v>58891.539999999994</v>
      </c>
      <c r="Y131" s="14" t="s">
        <v>54</v>
      </c>
      <c r="Z131" s="14" t="s">
        <v>57</v>
      </c>
      <c r="AA131" s="14" t="s">
        <v>862</v>
      </c>
      <c r="AB131" s="25">
        <v>43125</v>
      </c>
      <c r="AC131" s="14" t="s">
        <v>779</v>
      </c>
      <c r="AD131" s="14" t="s">
        <v>50</v>
      </c>
      <c r="AE131" s="23" t="s">
        <v>309</v>
      </c>
      <c r="AF131" s="25" t="s">
        <v>1269</v>
      </c>
      <c r="AG131" t="e">
        <f t="shared" ref="AG131:AG194" si="2">+VLOOKUP(AF131,AH:AH,2,0)</f>
        <v>#REF!</v>
      </c>
      <c r="AH131"/>
      <c r="AI131" s="58"/>
      <c r="AJ131"/>
      <c r="AK131"/>
      <c r="AL131"/>
      <c r="AM131"/>
      <c r="AN131" s="30"/>
      <c r="AO131" s="30"/>
    </row>
    <row r="132" spans="1:41" s="31" customFormat="1" ht="15.75" customHeight="1">
      <c r="A132" s="13" t="s">
        <v>314</v>
      </c>
      <c r="B132" s="5">
        <v>0</v>
      </c>
      <c r="C132" s="7">
        <v>0</v>
      </c>
      <c r="D132" s="7">
        <v>0</v>
      </c>
      <c r="E132" s="7">
        <v>0</v>
      </c>
      <c r="F132" s="5">
        <v>0</v>
      </c>
      <c r="G132" s="7">
        <v>0</v>
      </c>
      <c r="H132" s="5">
        <v>335</v>
      </c>
      <c r="I132" s="7">
        <v>38023.25</v>
      </c>
      <c r="J132" s="7">
        <v>0</v>
      </c>
      <c r="K132" s="5">
        <v>0</v>
      </c>
      <c r="L132" s="5">
        <v>0</v>
      </c>
      <c r="M132" s="5">
        <v>0</v>
      </c>
      <c r="N132" s="7">
        <v>0</v>
      </c>
      <c r="O132" s="7">
        <v>0</v>
      </c>
      <c r="P132" s="7">
        <v>0</v>
      </c>
      <c r="Q132" s="5">
        <v>0</v>
      </c>
      <c r="R132" s="5">
        <v>0</v>
      </c>
      <c r="S132" s="7">
        <v>0</v>
      </c>
      <c r="T132" s="12">
        <v>43121</v>
      </c>
      <c r="U132" s="4">
        <v>3</v>
      </c>
      <c r="V132" s="4"/>
      <c r="W132" s="14"/>
      <c r="X132" s="45">
        <v>38023.25</v>
      </c>
      <c r="Y132" s="14" t="s">
        <v>56</v>
      </c>
      <c r="Z132" s="14" t="s">
        <v>55</v>
      </c>
      <c r="AA132" s="14" t="s">
        <v>875</v>
      </c>
      <c r="AB132" s="25">
        <v>43132</v>
      </c>
      <c r="AC132" s="14" t="s">
        <v>790</v>
      </c>
      <c r="AD132" s="14" t="s">
        <v>49</v>
      </c>
      <c r="AE132" s="23" t="s">
        <v>315</v>
      </c>
      <c r="AF132" s="25" t="s">
        <v>1265</v>
      </c>
      <c r="AG132" t="e">
        <f t="shared" si="2"/>
        <v>#REF!</v>
      </c>
      <c r="AH132"/>
      <c r="AI132" s="58"/>
      <c r="AJ132"/>
      <c r="AK132"/>
      <c r="AL132"/>
      <c r="AM132"/>
      <c r="AN132" s="30"/>
      <c r="AO132" s="30"/>
    </row>
    <row r="133" spans="1:41" ht="15.75" customHeight="1">
      <c r="A133" s="13" t="s">
        <v>316</v>
      </c>
      <c r="B133" s="5">
        <v>12</v>
      </c>
      <c r="C133" s="7">
        <v>1445.8</v>
      </c>
      <c r="D133" s="7">
        <v>0</v>
      </c>
      <c r="E133" s="7">
        <v>0</v>
      </c>
      <c r="F133" s="5">
        <v>0</v>
      </c>
      <c r="G133" s="7">
        <v>0</v>
      </c>
      <c r="H133" s="5">
        <v>60</v>
      </c>
      <c r="I133" s="7">
        <v>7677.6</v>
      </c>
      <c r="J133" s="7">
        <v>15</v>
      </c>
      <c r="K133" s="5">
        <v>0</v>
      </c>
      <c r="L133" s="5">
        <v>0</v>
      </c>
      <c r="M133" s="5">
        <v>15</v>
      </c>
      <c r="N133" s="7">
        <v>15</v>
      </c>
      <c r="O133" s="7">
        <v>2307.5</v>
      </c>
      <c r="P133" s="7">
        <v>188</v>
      </c>
      <c r="Q133" s="5">
        <v>0</v>
      </c>
      <c r="R133" s="5">
        <v>188</v>
      </c>
      <c r="S133" s="7">
        <v>33779.9</v>
      </c>
      <c r="T133" s="12">
        <v>43121</v>
      </c>
      <c r="U133" s="4">
        <v>3</v>
      </c>
      <c r="W133" s="14"/>
      <c r="X133" s="45">
        <v>45210.8</v>
      </c>
      <c r="Y133" s="14" t="s">
        <v>56</v>
      </c>
      <c r="Z133" s="14" t="s">
        <v>59</v>
      </c>
      <c r="AA133" s="14" t="s">
        <v>874</v>
      </c>
      <c r="AB133" s="25">
        <v>43125</v>
      </c>
      <c r="AC133" s="14" t="s">
        <v>789</v>
      </c>
      <c r="AD133" s="14" t="s">
        <v>49</v>
      </c>
      <c r="AE133" s="23" t="s">
        <v>317</v>
      </c>
      <c r="AF133" s="25" t="s">
        <v>1266</v>
      </c>
      <c r="AG133" t="e">
        <f t="shared" si="2"/>
        <v>#REF!</v>
      </c>
      <c r="AI133" s="58"/>
    </row>
    <row r="134" spans="1:41" ht="15.75" customHeight="1">
      <c r="A134" s="13" t="s">
        <v>318</v>
      </c>
      <c r="B134" s="5">
        <v>0</v>
      </c>
      <c r="C134" s="7">
        <v>0</v>
      </c>
      <c r="D134" s="7">
        <v>0</v>
      </c>
      <c r="E134" s="7">
        <v>0</v>
      </c>
      <c r="F134" s="5">
        <v>0</v>
      </c>
      <c r="G134" s="7">
        <v>0</v>
      </c>
      <c r="H134" s="5">
        <v>95</v>
      </c>
      <c r="I134" s="7">
        <v>12156.2</v>
      </c>
      <c r="J134" s="7">
        <v>0</v>
      </c>
      <c r="K134" s="5">
        <v>0</v>
      </c>
      <c r="L134" s="5">
        <v>0</v>
      </c>
      <c r="M134" s="5">
        <v>0</v>
      </c>
      <c r="N134" s="7">
        <v>0</v>
      </c>
      <c r="O134" s="7">
        <v>0</v>
      </c>
      <c r="P134" s="7">
        <v>95</v>
      </c>
      <c r="Q134" s="5">
        <v>0</v>
      </c>
      <c r="R134" s="5">
        <v>95</v>
      </c>
      <c r="S134" s="7">
        <v>13837.5</v>
      </c>
      <c r="T134" s="12">
        <v>43122</v>
      </c>
      <c r="U134" s="4">
        <v>2</v>
      </c>
      <c r="W134" s="14"/>
      <c r="X134" s="45">
        <v>25993.7</v>
      </c>
      <c r="Y134" s="14" t="s">
        <v>85</v>
      </c>
      <c r="Z134" s="14" t="s">
        <v>1281</v>
      </c>
      <c r="AA134" s="14">
        <v>350810005352</v>
      </c>
      <c r="AB134" s="25">
        <v>43128</v>
      </c>
      <c r="AC134" s="14" t="s">
        <v>787</v>
      </c>
      <c r="AD134" s="14" t="s">
        <v>49</v>
      </c>
      <c r="AE134" s="23" t="s">
        <v>319</v>
      </c>
      <c r="AF134" s="25" t="s">
        <v>1268</v>
      </c>
      <c r="AG134" t="e">
        <f t="shared" si="2"/>
        <v>#REF!</v>
      </c>
      <c r="AI134" s="58"/>
    </row>
    <row r="135" spans="1:41" ht="15.75" customHeight="1">
      <c r="A135" s="13" t="s">
        <v>320</v>
      </c>
      <c r="B135" s="5">
        <v>0</v>
      </c>
      <c r="C135" s="7">
        <v>0</v>
      </c>
      <c r="D135" s="7">
        <v>0</v>
      </c>
      <c r="E135" s="7">
        <v>0</v>
      </c>
      <c r="F135" s="5">
        <v>0</v>
      </c>
      <c r="G135" s="7">
        <v>0</v>
      </c>
      <c r="H135" s="5">
        <v>0</v>
      </c>
      <c r="I135" s="7">
        <v>0</v>
      </c>
      <c r="J135" s="7">
        <v>0</v>
      </c>
      <c r="K135" s="5">
        <v>0</v>
      </c>
      <c r="L135" s="5">
        <v>0</v>
      </c>
      <c r="M135" s="5">
        <v>0</v>
      </c>
      <c r="N135" s="7">
        <v>0</v>
      </c>
      <c r="O135" s="7">
        <v>0</v>
      </c>
      <c r="P135" s="7">
        <v>90</v>
      </c>
      <c r="Q135" s="5">
        <v>0</v>
      </c>
      <c r="R135" s="5">
        <v>90</v>
      </c>
      <c r="S135" s="7">
        <v>13553</v>
      </c>
      <c r="T135" s="12">
        <v>43122</v>
      </c>
      <c r="U135" s="4">
        <v>1</v>
      </c>
      <c r="W135" s="14"/>
      <c r="X135" s="45">
        <v>13553</v>
      </c>
      <c r="Y135" s="14" t="s">
        <v>1634</v>
      </c>
      <c r="Z135" s="14" t="s">
        <v>1355</v>
      </c>
      <c r="AA135" s="14" t="s">
        <v>876</v>
      </c>
      <c r="AB135" s="25">
        <v>43127</v>
      </c>
      <c r="AC135" s="14" t="s">
        <v>785</v>
      </c>
      <c r="AD135" s="14" t="s">
        <v>48</v>
      </c>
      <c r="AE135" s="23" t="s">
        <v>321</v>
      </c>
      <c r="AF135" s="25" t="s">
        <v>1264</v>
      </c>
      <c r="AG135" t="e">
        <f t="shared" si="2"/>
        <v>#REF!</v>
      </c>
      <c r="AI135" s="58"/>
    </row>
    <row r="136" spans="1:41" ht="15.75" customHeight="1">
      <c r="A136" s="13" t="s">
        <v>322</v>
      </c>
      <c r="B136" s="5">
        <v>96</v>
      </c>
      <c r="C136" s="7">
        <v>11847.699999999999</v>
      </c>
      <c r="D136" s="7">
        <v>0</v>
      </c>
      <c r="E136" s="7">
        <v>0</v>
      </c>
      <c r="F136" s="5">
        <v>0</v>
      </c>
      <c r="G136" s="7">
        <v>0</v>
      </c>
      <c r="H136" s="5">
        <v>0</v>
      </c>
      <c r="I136" s="7">
        <v>0</v>
      </c>
      <c r="J136" s="7">
        <v>0</v>
      </c>
      <c r="K136" s="5">
        <v>0</v>
      </c>
      <c r="L136" s="5">
        <v>0</v>
      </c>
      <c r="M136" s="5">
        <v>0</v>
      </c>
      <c r="N136" s="7">
        <v>0</v>
      </c>
      <c r="O136" s="7">
        <v>0</v>
      </c>
      <c r="P136" s="7">
        <v>82</v>
      </c>
      <c r="Q136" s="5">
        <v>0</v>
      </c>
      <c r="R136" s="5">
        <v>82</v>
      </c>
      <c r="S136" s="7">
        <v>15009.4</v>
      </c>
      <c r="T136" s="12">
        <v>43122</v>
      </c>
      <c r="U136" s="4">
        <v>2</v>
      </c>
      <c r="W136" s="14"/>
      <c r="X136" s="45">
        <v>26857.1</v>
      </c>
      <c r="Y136" s="14" t="s">
        <v>1634</v>
      </c>
      <c r="Z136" s="14" t="s">
        <v>1355</v>
      </c>
      <c r="AA136" s="14" t="s">
        <v>872</v>
      </c>
      <c r="AB136" s="25">
        <v>43127</v>
      </c>
      <c r="AC136" s="14" t="s">
        <v>785</v>
      </c>
      <c r="AD136" s="14" t="s">
        <v>70</v>
      </c>
      <c r="AE136" s="23" t="s">
        <v>323</v>
      </c>
      <c r="AF136" s="25" t="s">
        <v>1273</v>
      </c>
      <c r="AG136" t="e">
        <f t="shared" si="2"/>
        <v>#REF!</v>
      </c>
      <c r="AI136" s="58"/>
    </row>
    <row r="137" spans="1:41" ht="15.75" customHeight="1">
      <c r="A137" s="13" t="s">
        <v>324</v>
      </c>
      <c r="B137" s="5">
        <v>0</v>
      </c>
      <c r="C137" s="7">
        <v>0</v>
      </c>
      <c r="D137" s="7">
        <v>192</v>
      </c>
      <c r="E137" s="7">
        <v>192</v>
      </c>
      <c r="F137" s="5">
        <v>0</v>
      </c>
      <c r="G137" s="7">
        <v>7738.8</v>
      </c>
      <c r="H137" s="5">
        <v>362</v>
      </c>
      <c r="I137" s="7">
        <v>35938.400000000001</v>
      </c>
      <c r="J137" s="7">
        <v>0</v>
      </c>
      <c r="K137" s="5">
        <v>0</v>
      </c>
      <c r="L137" s="5">
        <v>0</v>
      </c>
      <c r="M137" s="5">
        <v>0</v>
      </c>
      <c r="N137" s="7">
        <v>0</v>
      </c>
      <c r="O137" s="7">
        <v>0</v>
      </c>
      <c r="P137" s="7">
        <v>420</v>
      </c>
      <c r="Q137" s="5">
        <v>0</v>
      </c>
      <c r="R137" s="5">
        <v>420</v>
      </c>
      <c r="S137" s="7">
        <v>33600</v>
      </c>
      <c r="T137" s="12">
        <v>43122</v>
      </c>
      <c r="U137" s="4">
        <v>4</v>
      </c>
      <c r="W137" s="14"/>
      <c r="X137" s="45">
        <v>77277.200000000012</v>
      </c>
      <c r="Y137" s="14" t="s">
        <v>56</v>
      </c>
      <c r="Z137" s="14" t="s">
        <v>55</v>
      </c>
      <c r="AA137" s="14" t="s">
        <v>874</v>
      </c>
      <c r="AB137" s="25">
        <v>43125</v>
      </c>
      <c r="AC137" s="14" t="s">
        <v>789</v>
      </c>
      <c r="AD137" s="14" t="s">
        <v>49</v>
      </c>
      <c r="AE137" s="23" t="s">
        <v>325</v>
      </c>
      <c r="AF137" s="25" t="s">
        <v>1265</v>
      </c>
      <c r="AG137" t="e">
        <f t="shared" si="2"/>
        <v>#REF!</v>
      </c>
      <c r="AI137" s="58"/>
    </row>
    <row r="138" spans="1:41" ht="15.75" customHeight="1">
      <c r="A138" s="13" t="s">
        <v>313</v>
      </c>
      <c r="B138" s="5">
        <v>165</v>
      </c>
      <c r="C138" s="7">
        <v>15523.099999999999</v>
      </c>
      <c r="D138" s="7">
        <v>0</v>
      </c>
      <c r="E138" s="7">
        <v>0</v>
      </c>
      <c r="F138" s="5">
        <v>0</v>
      </c>
      <c r="G138" s="7">
        <v>0</v>
      </c>
      <c r="H138" s="5">
        <v>0</v>
      </c>
      <c r="I138" s="7">
        <v>0</v>
      </c>
      <c r="J138" s="7">
        <v>31</v>
      </c>
      <c r="K138" s="5">
        <v>0</v>
      </c>
      <c r="L138" s="5">
        <v>0</v>
      </c>
      <c r="M138" s="5">
        <v>31</v>
      </c>
      <c r="N138" s="7">
        <v>31</v>
      </c>
      <c r="O138" s="7">
        <v>5477.9</v>
      </c>
      <c r="P138" s="7">
        <v>75</v>
      </c>
      <c r="Q138" s="5">
        <v>0</v>
      </c>
      <c r="R138" s="5">
        <v>75</v>
      </c>
      <c r="S138" s="7">
        <v>12277.5</v>
      </c>
      <c r="T138" s="12">
        <v>43122</v>
      </c>
      <c r="U138" s="4">
        <v>3</v>
      </c>
      <c r="W138" s="14"/>
      <c r="X138" s="45">
        <v>33278.5</v>
      </c>
      <c r="Y138" s="14" t="s">
        <v>56</v>
      </c>
      <c r="Z138" s="14" t="s">
        <v>59</v>
      </c>
      <c r="AA138" s="14" t="s">
        <v>874</v>
      </c>
      <c r="AB138" s="25">
        <v>43125</v>
      </c>
      <c r="AC138" s="14" t="s">
        <v>789</v>
      </c>
      <c r="AD138" s="14" t="s">
        <v>49</v>
      </c>
      <c r="AE138" s="23" t="s">
        <v>327</v>
      </c>
      <c r="AF138" s="25" t="s">
        <v>1267</v>
      </c>
      <c r="AG138" t="e">
        <f t="shared" si="2"/>
        <v>#REF!</v>
      </c>
      <c r="AI138" s="58"/>
    </row>
    <row r="139" spans="1:41" ht="15.75" customHeight="1">
      <c r="A139" s="13" t="s">
        <v>312</v>
      </c>
      <c r="B139" s="5">
        <v>285</v>
      </c>
      <c r="C139" s="7">
        <v>35804.410000000011</v>
      </c>
      <c r="D139" s="7">
        <v>0</v>
      </c>
      <c r="E139" s="7">
        <v>0</v>
      </c>
      <c r="F139" s="5">
        <v>0</v>
      </c>
      <c r="G139" s="7">
        <v>0</v>
      </c>
      <c r="H139" s="5">
        <v>0</v>
      </c>
      <c r="I139" s="7">
        <v>0</v>
      </c>
      <c r="J139" s="7">
        <v>15</v>
      </c>
      <c r="K139" s="5">
        <v>0</v>
      </c>
      <c r="L139" s="5">
        <v>0</v>
      </c>
      <c r="M139" s="5">
        <v>15</v>
      </c>
      <c r="N139" s="7">
        <v>15</v>
      </c>
      <c r="O139" s="7">
        <v>2488.5</v>
      </c>
      <c r="P139" s="7">
        <v>84</v>
      </c>
      <c r="Q139" s="5">
        <v>0</v>
      </c>
      <c r="R139" s="5">
        <v>84</v>
      </c>
      <c r="S139" s="7">
        <v>11625.6</v>
      </c>
      <c r="T139" s="12">
        <v>43122</v>
      </c>
      <c r="U139" s="4">
        <v>4</v>
      </c>
      <c r="W139" s="14"/>
      <c r="X139" s="45">
        <v>49918.510000000009</v>
      </c>
      <c r="Y139" s="14" t="s">
        <v>56</v>
      </c>
      <c r="Z139" s="14" t="s">
        <v>55</v>
      </c>
      <c r="AA139" s="14" t="s">
        <v>868</v>
      </c>
      <c r="AB139" s="25">
        <v>43127</v>
      </c>
      <c r="AC139" s="14" t="s">
        <v>783</v>
      </c>
      <c r="AD139" s="14" t="s">
        <v>52</v>
      </c>
      <c r="AE139" s="23" t="s">
        <v>328</v>
      </c>
      <c r="AF139" s="25" t="s">
        <v>1271</v>
      </c>
      <c r="AG139" t="e">
        <f t="shared" si="2"/>
        <v>#REF!</v>
      </c>
      <c r="AI139" s="58"/>
    </row>
    <row r="140" spans="1:41" ht="15.75" customHeight="1">
      <c r="A140" s="13" t="s">
        <v>329</v>
      </c>
      <c r="B140" s="5">
        <v>534</v>
      </c>
      <c r="C140" s="7">
        <v>41926.280000000013</v>
      </c>
      <c r="D140" s="7">
        <v>30</v>
      </c>
      <c r="E140" s="7">
        <v>30</v>
      </c>
      <c r="F140" s="5">
        <v>0</v>
      </c>
      <c r="G140" s="7">
        <v>921</v>
      </c>
      <c r="H140" s="5">
        <v>170</v>
      </c>
      <c r="I140" s="7">
        <v>25498.53</v>
      </c>
      <c r="J140" s="7">
        <v>0</v>
      </c>
      <c r="K140" s="5">
        <v>0</v>
      </c>
      <c r="L140" s="5">
        <v>0</v>
      </c>
      <c r="M140" s="5">
        <v>0</v>
      </c>
      <c r="N140" s="7">
        <v>0</v>
      </c>
      <c r="O140" s="7">
        <v>0</v>
      </c>
      <c r="P140" s="7">
        <v>65</v>
      </c>
      <c r="Q140" s="5">
        <v>0</v>
      </c>
      <c r="R140" s="5">
        <v>65</v>
      </c>
      <c r="S140" s="7">
        <v>15353</v>
      </c>
      <c r="T140" s="12">
        <v>43122</v>
      </c>
      <c r="U140" s="4">
        <v>6</v>
      </c>
      <c r="W140" s="14"/>
      <c r="X140" s="45">
        <v>83698.810000000012</v>
      </c>
      <c r="Y140" s="14" t="s">
        <v>56</v>
      </c>
      <c r="Z140" s="14" t="s">
        <v>55</v>
      </c>
      <c r="AA140" s="14" t="s">
        <v>861</v>
      </c>
      <c r="AB140" s="25">
        <v>43125</v>
      </c>
      <c r="AC140" s="14" t="s">
        <v>778</v>
      </c>
      <c r="AD140" s="14" t="s">
        <v>51</v>
      </c>
      <c r="AE140" s="23" t="s">
        <v>330</v>
      </c>
      <c r="AF140" s="25" t="s">
        <v>1270</v>
      </c>
      <c r="AG140" t="e">
        <f t="shared" si="2"/>
        <v>#REF!</v>
      </c>
      <c r="AI140" s="58"/>
    </row>
    <row r="141" spans="1:41" ht="15.75" customHeight="1">
      <c r="A141" s="13" t="s">
        <v>310</v>
      </c>
      <c r="B141" s="5">
        <v>142</v>
      </c>
      <c r="C141" s="7">
        <v>24641.11</v>
      </c>
      <c r="D141" s="7">
        <v>0</v>
      </c>
      <c r="E141" s="7">
        <v>0</v>
      </c>
      <c r="F141" s="5">
        <v>0</v>
      </c>
      <c r="G141" s="7">
        <v>0</v>
      </c>
      <c r="H141" s="5">
        <v>910</v>
      </c>
      <c r="I141" s="7">
        <v>93467.85</v>
      </c>
      <c r="J141" s="7">
        <v>233</v>
      </c>
      <c r="K141" s="5">
        <v>0</v>
      </c>
      <c r="L141" s="5">
        <v>0</v>
      </c>
      <c r="M141" s="5">
        <v>233</v>
      </c>
      <c r="N141" s="7">
        <v>233</v>
      </c>
      <c r="O141" s="7">
        <v>38724.6</v>
      </c>
      <c r="P141" s="7">
        <v>1329</v>
      </c>
      <c r="Q141" s="5">
        <v>0</v>
      </c>
      <c r="R141" s="5">
        <v>1329</v>
      </c>
      <c r="S141" s="7">
        <v>99191.7</v>
      </c>
      <c r="T141" s="12">
        <v>43122</v>
      </c>
      <c r="U141" s="4">
        <v>16</v>
      </c>
      <c r="W141" s="14"/>
      <c r="X141" s="45">
        <v>256025.26</v>
      </c>
      <c r="Y141" s="14" t="s">
        <v>56</v>
      </c>
      <c r="Z141" s="14" t="s">
        <v>730</v>
      </c>
      <c r="AA141" s="14" t="s">
        <v>877</v>
      </c>
      <c r="AB141" s="25">
        <v>43132</v>
      </c>
      <c r="AC141" s="14" t="s">
        <v>791</v>
      </c>
      <c r="AD141" s="14" t="s">
        <v>51</v>
      </c>
      <c r="AE141" s="23" t="s">
        <v>331</v>
      </c>
      <c r="AF141" s="25" t="s">
        <v>1270</v>
      </c>
      <c r="AG141" t="e">
        <f t="shared" si="2"/>
        <v>#REF!</v>
      </c>
      <c r="AI141" s="58"/>
    </row>
    <row r="142" spans="1:41" ht="15.75" customHeight="1">
      <c r="A142" s="13" t="s">
        <v>334</v>
      </c>
      <c r="B142" s="5">
        <v>0</v>
      </c>
      <c r="C142" s="7">
        <v>0</v>
      </c>
      <c r="D142" s="7">
        <v>0</v>
      </c>
      <c r="E142" s="7">
        <v>0</v>
      </c>
      <c r="F142" s="5">
        <v>0</v>
      </c>
      <c r="G142" s="7">
        <v>0</v>
      </c>
      <c r="H142" s="5">
        <v>0</v>
      </c>
      <c r="I142" s="7">
        <v>0</v>
      </c>
      <c r="J142" s="7">
        <v>0</v>
      </c>
      <c r="K142" s="5">
        <v>0</v>
      </c>
      <c r="L142" s="5">
        <v>0</v>
      </c>
      <c r="M142" s="5">
        <v>0</v>
      </c>
      <c r="N142" s="7">
        <v>0</v>
      </c>
      <c r="O142" s="7">
        <v>0</v>
      </c>
      <c r="P142" s="7">
        <v>94</v>
      </c>
      <c r="Q142" s="5">
        <v>0</v>
      </c>
      <c r="R142" s="5">
        <v>94</v>
      </c>
      <c r="S142" s="7">
        <v>14278.8</v>
      </c>
      <c r="T142" s="12">
        <v>43123</v>
      </c>
      <c r="U142" s="4">
        <v>1</v>
      </c>
      <c r="W142" s="14"/>
      <c r="X142" s="45">
        <v>14278.8</v>
      </c>
      <c r="Y142" s="14" t="s">
        <v>56</v>
      </c>
      <c r="Z142" s="14" t="s">
        <v>59</v>
      </c>
      <c r="AA142" s="14" t="s">
        <v>878</v>
      </c>
      <c r="AB142" s="25">
        <v>43127</v>
      </c>
      <c r="AC142" s="14" t="s">
        <v>792</v>
      </c>
      <c r="AD142" s="14" t="s">
        <v>218</v>
      </c>
      <c r="AE142" s="23" t="s">
        <v>335</v>
      </c>
      <c r="AF142" s="25" t="s">
        <v>1272</v>
      </c>
      <c r="AG142" t="e">
        <f t="shared" si="2"/>
        <v>#REF!</v>
      </c>
      <c r="AI142" s="58"/>
    </row>
    <row r="143" spans="1:41" ht="15.75" customHeight="1">
      <c r="A143" s="13" t="s">
        <v>338</v>
      </c>
      <c r="B143" s="5">
        <v>0</v>
      </c>
      <c r="C143" s="7">
        <v>0</v>
      </c>
      <c r="D143" s="7">
        <v>0</v>
      </c>
      <c r="E143" s="7">
        <v>0</v>
      </c>
      <c r="F143" s="5">
        <v>0</v>
      </c>
      <c r="G143" s="7">
        <v>0</v>
      </c>
      <c r="H143" s="5">
        <v>342</v>
      </c>
      <c r="I143" s="7">
        <v>38758.179999999993</v>
      </c>
      <c r="J143" s="7">
        <v>0</v>
      </c>
      <c r="K143" s="5">
        <v>0</v>
      </c>
      <c r="L143" s="5">
        <v>0</v>
      </c>
      <c r="M143" s="5">
        <v>0</v>
      </c>
      <c r="N143" s="7">
        <v>0</v>
      </c>
      <c r="O143" s="7">
        <v>0</v>
      </c>
      <c r="P143" s="7">
        <v>474</v>
      </c>
      <c r="Q143" s="5">
        <v>0</v>
      </c>
      <c r="R143" s="5">
        <v>474</v>
      </c>
      <c r="S143" s="7">
        <v>31047</v>
      </c>
      <c r="T143" s="12">
        <v>43123</v>
      </c>
      <c r="U143" s="4">
        <v>4</v>
      </c>
      <c r="W143" s="14"/>
      <c r="X143" s="45">
        <v>69805.179999999993</v>
      </c>
      <c r="Y143" s="14" t="s">
        <v>56</v>
      </c>
      <c r="Z143" s="14" t="s">
        <v>1281</v>
      </c>
      <c r="AA143" s="14" t="s">
        <v>874</v>
      </c>
      <c r="AB143" s="25">
        <v>43125</v>
      </c>
      <c r="AC143" s="14" t="s">
        <v>789</v>
      </c>
      <c r="AD143" s="14" t="s">
        <v>49</v>
      </c>
      <c r="AE143" s="23" t="s">
        <v>337</v>
      </c>
      <c r="AF143" s="25" t="s">
        <v>1265</v>
      </c>
      <c r="AG143" t="e">
        <f t="shared" si="2"/>
        <v>#REF!</v>
      </c>
      <c r="AI143" s="58"/>
    </row>
    <row r="144" spans="1:41" ht="15.75" customHeight="1">
      <c r="A144" s="13" t="s">
        <v>326</v>
      </c>
      <c r="B144" s="5">
        <v>0</v>
      </c>
      <c r="C144" s="7">
        <v>0</v>
      </c>
      <c r="D144" s="7">
        <v>234</v>
      </c>
      <c r="E144" s="7">
        <v>234</v>
      </c>
      <c r="F144" s="5">
        <v>0</v>
      </c>
      <c r="G144" s="7">
        <v>9997.1</v>
      </c>
      <c r="H144" s="5">
        <v>515</v>
      </c>
      <c r="I144" s="7">
        <v>46113.150000000009</v>
      </c>
      <c r="J144" s="7">
        <v>0</v>
      </c>
      <c r="K144" s="5">
        <v>0</v>
      </c>
      <c r="L144" s="5">
        <v>0</v>
      </c>
      <c r="M144" s="5">
        <v>0</v>
      </c>
      <c r="N144" s="7">
        <v>0</v>
      </c>
      <c r="O144" s="7">
        <v>0</v>
      </c>
      <c r="P144" s="7">
        <v>960</v>
      </c>
      <c r="Q144" s="5">
        <v>0</v>
      </c>
      <c r="R144" s="5">
        <v>960</v>
      </c>
      <c r="S144" s="7">
        <v>63500.4</v>
      </c>
      <c r="T144" s="12">
        <v>43123</v>
      </c>
      <c r="U144" s="4">
        <v>5</v>
      </c>
      <c r="W144" s="14"/>
      <c r="X144" s="45">
        <v>119610.65000000001</v>
      </c>
      <c r="Y144" s="14" t="s">
        <v>56</v>
      </c>
      <c r="Z144" s="14" t="s">
        <v>59</v>
      </c>
      <c r="AA144" s="14" t="s">
        <v>875</v>
      </c>
      <c r="AB144" s="25">
        <v>43132</v>
      </c>
      <c r="AC144" s="14" t="s">
        <v>790</v>
      </c>
      <c r="AD144" s="14" t="s">
        <v>49</v>
      </c>
      <c r="AE144" s="23" t="s">
        <v>339</v>
      </c>
      <c r="AF144" s="25" t="s">
        <v>1265</v>
      </c>
      <c r="AG144" t="e">
        <f t="shared" si="2"/>
        <v>#REF!</v>
      </c>
      <c r="AI144" s="58"/>
    </row>
    <row r="145" spans="1:35" ht="15.75" customHeight="1">
      <c r="A145" s="13" t="s">
        <v>311</v>
      </c>
      <c r="B145" s="5">
        <v>59</v>
      </c>
      <c r="C145" s="7">
        <v>5723.3799999999992</v>
      </c>
      <c r="D145" s="7">
        <v>0</v>
      </c>
      <c r="E145" s="7">
        <v>0</v>
      </c>
      <c r="F145" s="5">
        <v>0</v>
      </c>
      <c r="G145" s="7">
        <v>0</v>
      </c>
      <c r="H145" s="5">
        <v>235</v>
      </c>
      <c r="I145" s="7">
        <v>25682.100000000002</v>
      </c>
      <c r="J145" s="7">
        <v>171</v>
      </c>
      <c r="K145" s="5">
        <v>0</v>
      </c>
      <c r="L145" s="5">
        <v>0</v>
      </c>
      <c r="M145" s="5">
        <v>171</v>
      </c>
      <c r="N145" s="7">
        <v>171</v>
      </c>
      <c r="O145" s="7">
        <v>26461.599999999999</v>
      </c>
      <c r="P145" s="7">
        <v>570</v>
      </c>
      <c r="Q145" s="5">
        <v>0</v>
      </c>
      <c r="R145" s="5">
        <v>570</v>
      </c>
      <c r="S145" s="7">
        <v>44187</v>
      </c>
      <c r="T145" s="12">
        <v>43123</v>
      </c>
      <c r="U145" s="4">
        <v>7</v>
      </c>
      <c r="W145" s="14"/>
      <c r="X145" s="45">
        <v>102054.08</v>
      </c>
      <c r="Y145" s="14" t="s">
        <v>56</v>
      </c>
      <c r="Z145" s="14" t="s">
        <v>1281</v>
      </c>
      <c r="AA145" s="14" t="s">
        <v>879</v>
      </c>
      <c r="AB145" s="25">
        <v>43134</v>
      </c>
      <c r="AC145" s="14" t="s">
        <v>793</v>
      </c>
      <c r="AD145" s="14" t="s">
        <v>52</v>
      </c>
      <c r="AE145" s="23" t="s">
        <v>340</v>
      </c>
      <c r="AF145" s="25" t="s">
        <v>1271</v>
      </c>
      <c r="AG145" t="e">
        <f t="shared" si="2"/>
        <v>#REF!</v>
      </c>
      <c r="AI145" s="58"/>
    </row>
    <row r="146" spans="1:35" ht="15.75" customHeight="1">
      <c r="A146" s="13" t="s">
        <v>341</v>
      </c>
      <c r="B146" s="5">
        <v>768</v>
      </c>
      <c r="C146" s="7">
        <v>74117.66</v>
      </c>
      <c r="D146" s="7">
        <v>0</v>
      </c>
      <c r="E146" s="7">
        <v>0</v>
      </c>
      <c r="F146" s="5">
        <v>0</v>
      </c>
      <c r="G146" s="7">
        <v>0</v>
      </c>
      <c r="H146" s="5">
        <v>469</v>
      </c>
      <c r="I146" s="7">
        <v>38767.49</v>
      </c>
      <c r="J146" s="7">
        <v>90</v>
      </c>
      <c r="K146" s="5">
        <v>0</v>
      </c>
      <c r="L146" s="5">
        <v>0</v>
      </c>
      <c r="M146" s="5">
        <v>90</v>
      </c>
      <c r="N146" s="7">
        <v>90</v>
      </c>
      <c r="O146" s="7">
        <v>1629.0000000000002</v>
      </c>
      <c r="P146" s="7">
        <v>534</v>
      </c>
      <c r="Q146" s="5">
        <v>0</v>
      </c>
      <c r="R146" s="5">
        <v>534</v>
      </c>
      <c r="S146" s="7">
        <v>51970.5</v>
      </c>
      <c r="T146" s="12">
        <v>43123</v>
      </c>
      <c r="U146" s="4">
        <v>11</v>
      </c>
      <c r="W146" s="14"/>
      <c r="X146" s="45">
        <v>166484.65</v>
      </c>
      <c r="Y146" s="14" t="s">
        <v>56</v>
      </c>
      <c r="Z146" s="14" t="s">
        <v>55</v>
      </c>
      <c r="AA146" s="14" t="s">
        <v>861</v>
      </c>
      <c r="AB146" s="25">
        <v>43125</v>
      </c>
      <c r="AC146" s="14" t="s">
        <v>778</v>
      </c>
      <c r="AD146" s="14" t="s">
        <v>51</v>
      </c>
      <c r="AE146" s="23" t="s">
        <v>342</v>
      </c>
      <c r="AF146" s="25" t="s">
        <v>1270</v>
      </c>
      <c r="AG146" t="e">
        <f t="shared" si="2"/>
        <v>#REF!</v>
      </c>
      <c r="AI146" s="58"/>
    </row>
    <row r="147" spans="1:35" ht="15.75" customHeight="1">
      <c r="A147" s="13" t="s">
        <v>343</v>
      </c>
      <c r="B147" s="5">
        <v>237</v>
      </c>
      <c r="C147" s="7">
        <v>24780.880000000005</v>
      </c>
      <c r="D147" s="7">
        <v>0</v>
      </c>
      <c r="E147" s="7">
        <v>0</v>
      </c>
      <c r="F147" s="5">
        <v>0</v>
      </c>
      <c r="G147" s="7">
        <v>0</v>
      </c>
      <c r="H147" s="5">
        <v>180</v>
      </c>
      <c r="I147" s="7">
        <v>15362.05</v>
      </c>
      <c r="J147" s="7">
        <v>61</v>
      </c>
      <c r="K147" s="5">
        <v>0</v>
      </c>
      <c r="L147" s="5">
        <v>0</v>
      </c>
      <c r="M147" s="5">
        <v>61</v>
      </c>
      <c r="N147" s="7">
        <v>61</v>
      </c>
      <c r="O147" s="7">
        <v>10063.4</v>
      </c>
      <c r="P147" s="7">
        <v>0</v>
      </c>
      <c r="Q147" s="5">
        <v>0</v>
      </c>
      <c r="R147" s="5">
        <v>0</v>
      </c>
      <c r="S147" s="7">
        <v>0</v>
      </c>
      <c r="T147" s="12">
        <v>43123</v>
      </c>
      <c r="U147" s="4">
        <v>4</v>
      </c>
      <c r="W147" s="14"/>
      <c r="X147" s="45">
        <v>50206.330000000009</v>
      </c>
      <c r="Y147" s="14" t="s">
        <v>56</v>
      </c>
      <c r="Z147" s="14" t="s">
        <v>59</v>
      </c>
      <c r="AA147" s="14" t="s">
        <v>877</v>
      </c>
      <c r="AB147" s="25">
        <v>43132</v>
      </c>
      <c r="AC147" s="14" t="s">
        <v>791</v>
      </c>
      <c r="AD147" s="14" t="s">
        <v>51</v>
      </c>
      <c r="AE147" s="23" t="s">
        <v>344</v>
      </c>
      <c r="AF147" s="25" t="s">
        <v>1270</v>
      </c>
      <c r="AG147" t="e">
        <f t="shared" si="2"/>
        <v>#REF!</v>
      </c>
      <c r="AI147" s="58"/>
    </row>
    <row r="148" spans="1:35" ht="15.75" customHeight="1">
      <c r="A148" s="13" t="s">
        <v>332</v>
      </c>
      <c r="B148" s="5">
        <v>627</v>
      </c>
      <c r="C148" s="7">
        <v>43151.640000000007</v>
      </c>
      <c r="D148" s="7">
        <v>0</v>
      </c>
      <c r="E148" s="7">
        <v>0</v>
      </c>
      <c r="F148" s="5">
        <v>0</v>
      </c>
      <c r="G148" s="7">
        <v>0</v>
      </c>
      <c r="H148" s="5">
        <v>0</v>
      </c>
      <c r="I148" s="7">
        <v>0</v>
      </c>
      <c r="J148" s="7">
        <v>0</v>
      </c>
      <c r="K148" s="5">
        <v>0</v>
      </c>
      <c r="L148" s="5">
        <v>0</v>
      </c>
      <c r="M148" s="5">
        <v>0</v>
      </c>
      <c r="N148" s="7">
        <v>0</v>
      </c>
      <c r="O148" s="7">
        <v>0</v>
      </c>
      <c r="P148" s="7">
        <v>67</v>
      </c>
      <c r="Q148" s="5">
        <v>0</v>
      </c>
      <c r="R148" s="5">
        <v>67</v>
      </c>
      <c r="S148" s="7">
        <v>18595.900000000001</v>
      </c>
      <c r="T148" s="12">
        <v>43123</v>
      </c>
      <c r="U148" s="4">
        <v>4</v>
      </c>
      <c r="W148" s="14"/>
      <c r="X148" s="45">
        <v>61747.540000000008</v>
      </c>
      <c r="Y148" s="14" t="s">
        <v>54</v>
      </c>
      <c r="Z148" s="14" t="s">
        <v>57</v>
      </c>
      <c r="AA148" s="14" t="s">
        <v>862</v>
      </c>
      <c r="AB148" s="25">
        <v>43125</v>
      </c>
      <c r="AC148" s="14" t="s">
        <v>779</v>
      </c>
      <c r="AD148" s="14" t="s">
        <v>50</v>
      </c>
      <c r="AE148" s="23" t="s">
        <v>333</v>
      </c>
      <c r="AF148" s="25" t="s">
        <v>1269</v>
      </c>
      <c r="AG148" t="e">
        <f t="shared" si="2"/>
        <v>#REF!</v>
      </c>
      <c r="AI148" s="58"/>
    </row>
    <row r="149" spans="1:35" ht="15.75" customHeight="1">
      <c r="A149" s="13" t="s">
        <v>345</v>
      </c>
      <c r="B149" s="5">
        <v>517</v>
      </c>
      <c r="C149" s="7">
        <v>53833.759999999995</v>
      </c>
      <c r="D149" s="7">
        <v>0</v>
      </c>
      <c r="E149" s="7">
        <v>0</v>
      </c>
      <c r="F149" s="5">
        <v>0</v>
      </c>
      <c r="G149" s="7">
        <v>0</v>
      </c>
      <c r="H149" s="5">
        <v>0</v>
      </c>
      <c r="I149" s="7">
        <v>0</v>
      </c>
      <c r="J149" s="7">
        <v>0</v>
      </c>
      <c r="K149" s="5">
        <v>0</v>
      </c>
      <c r="L149" s="5">
        <v>0</v>
      </c>
      <c r="M149" s="5">
        <v>0</v>
      </c>
      <c r="N149" s="7">
        <v>0</v>
      </c>
      <c r="O149" s="7">
        <v>0</v>
      </c>
      <c r="P149" s="7">
        <v>0</v>
      </c>
      <c r="Q149" s="5">
        <v>0</v>
      </c>
      <c r="R149" s="5">
        <v>0</v>
      </c>
      <c r="S149" s="7">
        <v>0</v>
      </c>
      <c r="T149" s="12">
        <v>43123</v>
      </c>
      <c r="U149" s="4">
        <v>4</v>
      </c>
      <c r="W149" s="14"/>
      <c r="X149" s="45">
        <v>53833.759999999995</v>
      </c>
      <c r="Y149" s="14" t="s">
        <v>54</v>
      </c>
      <c r="Z149" s="14" t="s">
        <v>57</v>
      </c>
      <c r="AA149" s="14" t="s">
        <v>880</v>
      </c>
      <c r="AB149" s="25">
        <v>43129</v>
      </c>
      <c r="AC149" s="14" t="s">
        <v>794</v>
      </c>
      <c r="AD149" s="14" t="s">
        <v>50</v>
      </c>
      <c r="AE149" s="23" t="s">
        <v>346</v>
      </c>
      <c r="AF149" s="25" t="s">
        <v>1269</v>
      </c>
      <c r="AG149" t="e">
        <f t="shared" si="2"/>
        <v>#REF!</v>
      </c>
      <c r="AI149" s="58"/>
    </row>
    <row r="150" spans="1:35" ht="15.75" customHeight="1">
      <c r="A150" s="13" t="s">
        <v>307</v>
      </c>
      <c r="B150" s="5">
        <v>231</v>
      </c>
      <c r="C150" s="7">
        <v>25901.81</v>
      </c>
      <c r="D150" s="7">
        <v>0</v>
      </c>
      <c r="E150" s="7">
        <v>0</v>
      </c>
      <c r="F150" s="5">
        <v>0</v>
      </c>
      <c r="G150" s="7">
        <v>0</v>
      </c>
      <c r="H150" s="5">
        <v>0</v>
      </c>
      <c r="I150" s="7">
        <v>0</v>
      </c>
      <c r="J150" s="7">
        <v>382</v>
      </c>
      <c r="K150" s="5">
        <v>0</v>
      </c>
      <c r="L150" s="5">
        <v>0</v>
      </c>
      <c r="M150" s="5">
        <v>382</v>
      </c>
      <c r="N150" s="7">
        <v>382</v>
      </c>
      <c r="O150" s="7">
        <v>65664.89999999998</v>
      </c>
      <c r="P150" s="7">
        <v>1133</v>
      </c>
      <c r="Q150" s="5">
        <v>0</v>
      </c>
      <c r="R150" s="5">
        <v>1133</v>
      </c>
      <c r="S150" s="7">
        <v>123736.40000000001</v>
      </c>
      <c r="T150" s="12">
        <v>43123</v>
      </c>
      <c r="U150" s="4">
        <v>13</v>
      </c>
      <c r="W150" s="14"/>
      <c r="X150" s="45">
        <v>215303.11</v>
      </c>
      <c r="Y150" s="14" t="s">
        <v>54</v>
      </c>
      <c r="Z150" s="14" t="s">
        <v>59</v>
      </c>
      <c r="AA150" s="14" t="s">
        <v>881</v>
      </c>
      <c r="AB150" s="25">
        <v>43135</v>
      </c>
      <c r="AC150" s="14" t="s">
        <v>795</v>
      </c>
      <c r="AD150" s="14" t="s">
        <v>50</v>
      </c>
      <c r="AE150" s="23" t="s">
        <v>347</v>
      </c>
      <c r="AF150" s="25" t="s">
        <v>1269</v>
      </c>
      <c r="AG150" t="e">
        <f t="shared" si="2"/>
        <v>#REF!</v>
      </c>
      <c r="AI150" s="58"/>
    </row>
    <row r="151" spans="1:35" ht="15.75" customHeight="1">
      <c r="A151" s="13" t="s">
        <v>348</v>
      </c>
      <c r="B151" s="5">
        <v>183</v>
      </c>
      <c r="C151" s="7">
        <v>24577.300000000003</v>
      </c>
      <c r="D151" s="7">
        <v>0</v>
      </c>
      <c r="E151" s="7">
        <v>0</v>
      </c>
      <c r="F151" s="5">
        <v>0</v>
      </c>
      <c r="G151" s="7">
        <v>0</v>
      </c>
      <c r="H151" s="5">
        <v>0</v>
      </c>
      <c r="I151" s="7">
        <v>0</v>
      </c>
      <c r="J151" s="7">
        <v>0</v>
      </c>
      <c r="K151" s="5">
        <v>0</v>
      </c>
      <c r="L151" s="5">
        <v>0</v>
      </c>
      <c r="M151" s="5">
        <v>0</v>
      </c>
      <c r="N151" s="7">
        <v>0</v>
      </c>
      <c r="O151" s="7">
        <v>0</v>
      </c>
      <c r="P151" s="7">
        <v>0</v>
      </c>
      <c r="Q151" s="5">
        <v>0</v>
      </c>
      <c r="R151" s="5">
        <v>0</v>
      </c>
      <c r="S151" s="7">
        <v>0</v>
      </c>
      <c r="T151" s="12">
        <v>43123</v>
      </c>
      <c r="U151" s="4">
        <v>2</v>
      </c>
      <c r="W151" s="14"/>
      <c r="X151" s="45">
        <v>24577.300000000003</v>
      </c>
      <c r="Y151" s="14" t="s">
        <v>85</v>
      </c>
      <c r="Z151" s="14" t="s">
        <v>730</v>
      </c>
      <c r="AA151" s="14">
        <v>350810005352</v>
      </c>
      <c r="AB151" s="25">
        <v>43128</v>
      </c>
      <c r="AC151" s="14" t="s">
        <v>787</v>
      </c>
      <c r="AD151" s="14" t="s">
        <v>49</v>
      </c>
      <c r="AE151" s="23" t="s">
        <v>349</v>
      </c>
      <c r="AF151" s="25" t="s">
        <v>1266</v>
      </c>
      <c r="AG151" t="e">
        <f t="shared" si="2"/>
        <v>#REF!</v>
      </c>
      <c r="AI151" s="58"/>
    </row>
    <row r="152" spans="1:35" ht="15.75" customHeight="1">
      <c r="A152" s="13" t="s">
        <v>351</v>
      </c>
      <c r="B152" s="5">
        <v>0</v>
      </c>
      <c r="C152" s="7">
        <v>0</v>
      </c>
      <c r="D152" s="7">
        <v>0</v>
      </c>
      <c r="E152" s="7">
        <v>0</v>
      </c>
      <c r="F152" s="5">
        <v>0</v>
      </c>
      <c r="G152" s="7">
        <v>0</v>
      </c>
      <c r="H152" s="5">
        <v>0</v>
      </c>
      <c r="I152" s="7">
        <v>0</v>
      </c>
      <c r="J152" s="7">
        <v>72</v>
      </c>
      <c r="K152" s="5">
        <v>0</v>
      </c>
      <c r="L152" s="5">
        <v>0</v>
      </c>
      <c r="M152" s="5">
        <v>72</v>
      </c>
      <c r="N152" s="7">
        <v>72</v>
      </c>
      <c r="O152" s="7">
        <v>12765.6</v>
      </c>
      <c r="P152" s="7">
        <v>120</v>
      </c>
      <c r="Q152" s="5">
        <v>0</v>
      </c>
      <c r="R152" s="5">
        <v>120</v>
      </c>
      <c r="S152" s="7">
        <v>13176</v>
      </c>
      <c r="T152" s="12">
        <v>43124</v>
      </c>
      <c r="U152" s="4">
        <v>4</v>
      </c>
      <c r="W152" s="14"/>
      <c r="X152" s="45">
        <v>25941.599999999999</v>
      </c>
      <c r="Y152" s="14" t="s">
        <v>56</v>
      </c>
      <c r="Z152" s="14" t="s">
        <v>730</v>
      </c>
      <c r="AA152" s="14" t="s">
        <v>877</v>
      </c>
      <c r="AB152" s="25">
        <v>43132</v>
      </c>
      <c r="AC152" s="14" t="s">
        <v>791</v>
      </c>
      <c r="AD152" s="14" t="s">
        <v>51</v>
      </c>
      <c r="AE152" s="23" t="s">
        <v>352</v>
      </c>
      <c r="AF152" s="25" t="s">
        <v>1270</v>
      </c>
      <c r="AG152" t="e">
        <f t="shared" si="2"/>
        <v>#REF!</v>
      </c>
      <c r="AI152" s="58"/>
    </row>
    <row r="153" spans="1:35" ht="15.75" customHeight="1">
      <c r="A153" s="13" t="s">
        <v>353</v>
      </c>
      <c r="B153" s="5">
        <v>593</v>
      </c>
      <c r="C153" s="7">
        <v>70701.900000000009</v>
      </c>
      <c r="D153" s="7">
        <v>0</v>
      </c>
      <c r="E153" s="7">
        <v>0</v>
      </c>
      <c r="F153" s="5">
        <v>0</v>
      </c>
      <c r="G153" s="7">
        <v>0</v>
      </c>
      <c r="H153" s="5">
        <v>475</v>
      </c>
      <c r="I153" s="7">
        <v>42169.600000000006</v>
      </c>
      <c r="J153" s="7">
        <v>40</v>
      </c>
      <c r="K153" s="5">
        <v>0</v>
      </c>
      <c r="L153" s="5">
        <v>0</v>
      </c>
      <c r="M153" s="5">
        <v>40</v>
      </c>
      <c r="N153" s="7">
        <v>40</v>
      </c>
      <c r="O153" s="7">
        <v>750</v>
      </c>
      <c r="P153" s="7">
        <v>160</v>
      </c>
      <c r="Q153" s="5">
        <v>0</v>
      </c>
      <c r="R153" s="5">
        <v>160</v>
      </c>
      <c r="S153" s="7">
        <v>16071.55</v>
      </c>
      <c r="T153" s="12">
        <v>43124</v>
      </c>
      <c r="U153" s="4">
        <v>10</v>
      </c>
      <c r="W153" s="14"/>
      <c r="X153" s="45">
        <v>129693.05000000002</v>
      </c>
      <c r="Y153" s="14" t="s">
        <v>54</v>
      </c>
      <c r="Z153" s="14" t="s">
        <v>55</v>
      </c>
      <c r="AA153" s="14" t="s">
        <v>882</v>
      </c>
      <c r="AB153" s="25">
        <v>43127</v>
      </c>
      <c r="AC153" s="14" t="s">
        <v>796</v>
      </c>
      <c r="AD153" s="14" t="s">
        <v>51</v>
      </c>
      <c r="AE153" s="23" t="s">
        <v>354</v>
      </c>
      <c r="AF153" s="25" t="s">
        <v>1270</v>
      </c>
      <c r="AG153" t="e">
        <f t="shared" si="2"/>
        <v>#REF!</v>
      </c>
      <c r="AI153" s="58"/>
    </row>
    <row r="154" spans="1:35" ht="15.75" customHeight="1">
      <c r="A154" s="13" t="s">
        <v>357</v>
      </c>
      <c r="B154" s="5">
        <v>0</v>
      </c>
      <c r="C154" s="7">
        <v>0</v>
      </c>
      <c r="D154" s="7">
        <v>0</v>
      </c>
      <c r="E154" s="7">
        <v>0</v>
      </c>
      <c r="F154" s="5">
        <v>0</v>
      </c>
      <c r="G154" s="7">
        <v>0</v>
      </c>
      <c r="H154" s="5">
        <v>0</v>
      </c>
      <c r="I154" s="7">
        <v>0</v>
      </c>
      <c r="J154" s="7">
        <v>72</v>
      </c>
      <c r="K154" s="5">
        <v>0</v>
      </c>
      <c r="L154" s="5">
        <v>0</v>
      </c>
      <c r="M154" s="5">
        <v>72</v>
      </c>
      <c r="N154" s="7">
        <v>72</v>
      </c>
      <c r="O154" s="7">
        <v>12765.6</v>
      </c>
      <c r="P154" s="7">
        <v>0</v>
      </c>
      <c r="Q154" s="5">
        <v>0</v>
      </c>
      <c r="R154" s="5">
        <v>0</v>
      </c>
      <c r="S154" s="7">
        <v>0</v>
      </c>
      <c r="T154" s="12">
        <v>43124</v>
      </c>
      <c r="U154" s="4">
        <v>3</v>
      </c>
      <c r="W154" s="14"/>
      <c r="X154" s="45">
        <v>12765.6</v>
      </c>
      <c r="Y154" s="14" t="s">
        <v>54</v>
      </c>
      <c r="Z154" s="14" t="s">
        <v>59</v>
      </c>
      <c r="AA154" s="14" t="s">
        <v>881</v>
      </c>
      <c r="AB154" s="25">
        <v>43135</v>
      </c>
      <c r="AC154" s="14" t="s">
        <v>795</v>
      </c>
      <c r="AD154" s="14" t="s">
        <v>50</v>
      </c>
      <c r="AE154" s="23" t="s">
        <v>356</v>
      </c>
      <c r="AF154" s="25" t="s">
        <v>1269</v>
      </c>
      <c r="AG154" t="e">
        <f t="shared" si="2"/>
        <v>#REF!</v>
      </c>
      <c r="AI154" s="58"/>
    </row>
    <row r="155" spans="1:35" ht="15.75" customHeight="1">
      <c r="A155" s="13" t="s">
        <v>358</v>
      </c>
      <c r="B155" s="5">
        <v>370</v>
      </c>
      <c r="C155" s="7">
        <v>36503.000000000007</v>
      </c>
      <c r="D155" s="7">
        <v>0</v>
      </c>
      <c r="E155" s="7">
        <v>0</v>
      </c>
      <c r="F155" s="5">
        <v>0</v>
      </c>
      <c r="G155" s="7">
        <v>0</v>
      </c>
      <c r="H155" s="5">
        <v>0</v>
      </c>
      <c r="I155" s="7">
        <v>0</v>
      </c>
      <c r="J155" s="7">
        <v>58</v>
      </c>
      <c r="K155" s="5">
        <v>0</v>
      </c>
      <c r="L155" s="5">
        <v>0</v>
      </c>
      <c r="M155" s="5">
        <v>58</v>
      </c>
      <c r="N155" s="7">
        <v>58</v>
      </c>
      <c r="O155" s="7">
        <v>8758</v>
      </c>
      <c r="P155" s="7">
        <v>171</v>
      </c>
      <c r="Q155" s="5">
        <v>0</v>
      </c>
      <c r="R155" s="5">
        <v>171</v>
      </c>
      <c r="S155" s="7">
        <v>33592.300000000003</v>
      </c>
      <c r="T155" s="12">
        <v>43124</v>
      </c>
      <c r="U155" s="4">
        <v>6</v>
      </c>
      <c r="W155" s="14"/>
      <c r="X155" s="45">
        <v>78853.300000000017</v>
      </c>
      <c r="Y155" s="14" t="s">
        <v>54</v>
      </c>
      <c r="Z155" s="14" t="s">
        <v>1355</v>
      </c>
      <c r="AA155" s="14" t="s">
        <v>883</v>
      </c>
      <c r="AB155" s="25">
        <v>43129</v>
      </c>
      <c r="AC155" s="14" t="s">
        <v>794</v>
      </c>
      <c r="AD155" s="14" t="s">
        <v>49</v>
      </c>
      <c r="AE155" s="3" t="s">
        <v>360</v>
      </c>
      <c r="AF155" s="25" t="s">
        <v>1267</v>
      </c>
      <c r="AG155" t="e">
        <f t="shared" si="2"/>
        <v>#REF!</v>
      </c>
      <c r="AI155" s="58"/>
    </row>
    <row r="156" spans="1:35" ht="15.75" customHeight="1">
      <c r="A156" s="13" t="s">
        <v>336</v>
      </c>
      <c r="B156" s="5">
        <v>61</v>
      </c>
      <c r="C156" s="7">
        <v>4997.079999999999</v>
      </c>
      <c r="D156" s="7">
        <v>0</v>
      </c>
      <c r="E156" s="7">
        <v>0</v>
      </c>
      <c r="F156" s="5">
        <v>0</v>
      </c>
      <c r="G156" s="7">
        <v>0</v>
      </c>
      <c r="H156" s="5">
        <v>140</v>
      </c>
      <c r="I156" s="7">
        <v>8429.1</v>
      </c>
      <c r="J156" s="7">
        <v>65</v>
      </c>
      <c r="K156" s="5">
        <v>0</v>
      </c>
      <c r="L156" s="5">
        <v>0</v>
      </c>
      <c r="M156" s="5">
        <v>65</v>
      </c>
      <c r="N156" s="7">
        <v>65</v>
      </c>
      <c r="O156" s="7">
        <v>9074.8000000000011</v>
      </c>
      <c r="P156" s="7">
        <v>10</v>
      </c>
      <c r="Q156" s="5">
        <v>0</v>
      </c>
      <c r="R156" s="5">
        <v>10</v>
      </c>
      <c r="S156" s="7">
        <v>503.9</v>
      </c>
      <c r="T156" s="12">
        <v>43124</v>
      </c>
      <c r="U156" s="4">
        <v>2</v>
      </c>
      <c r="W156" s="14"/>
      <c r="X156" s="45">
        <v>23004.880000000005</v>
      </c>
      <c r="Y156" s="14" t="s">
        <v>1634</v>
      </c>
      <c r="Z156" s="14" t="s">
        <v>1355</v>
      </c>
      <c r="AA156" s="14" t="s">
        <v>872</v>
      </c>
      <c r="AB156" s="25">
        <v>43127</v>
      </c>
      <c r="AC156" s="14" t="s">
        <v>785</v>
      </c>
      <c r="AD156" s="14" t="s">
        <v>70</v>
      </c>
      <c r="AE156" s="23" t="s">
        <v>359</v>
      </c>
      <c r="AF156" s="25" t="s">
        <v>1273</v>
      </c>
      <c r="AG156" t="e">
        <f t="shared" si="2"/>
        <v>#REF!</v>
      </c>
      <c r="AI156" s="58"/>
    </row>
    <row r="157" spans="1:35" ht="15.75" customHeight="1">
      <c r="A157" s="13" t="s">
        <v>361</v>
      </c>
      <c r="B157" s="5">
        <v>259</v>
      </c>
      <c r="C157" s="7">
        <v>25995.339999999997</v>
      </c>
      <c r="D157" s="7">
        <v>0</v>
      </c>
      <c r="E157" s="7">
        <v>0</v>
      </c>
      <c r="F157" s="5">
        <v>0</v>
      </c>
      <c r="G157" s="7">
        <v>0</v>
      </c>
      <c r="H157" s="5">
        <v>753</v>
      </c>
      <c r="I157" s="7">
        <v>42881.039999999986</v>
      </c>
      <c r="J157" s="7">
        <v>0</v>
      </c>
      <c r="K157" s="5">
        <v>0</v>
      </c>
      <c r="L157" s="5">
        <v>0</v>
      </c>
      <c r="M157" s="5">
        <v>0</v>
      </c>
      <c r="N157" s="7">
        <v>0</v>
      </c>
      <c r="O157" s="7">
        <v>0</v>
      </c>
      <c r="P157" s="7">
        <v>0</v>
      </c>
      <c r="Q157" s="5">
        <v>0</v>
      </c>
      <c r="R157" s="5">
        <v>0</v>
      </c>
      <c r="S157" s="7">
        <v>0</v>
      </c>
      <c r="T157" s="12">
        <v>43124</v>
      </c>
      <c r="U157" s="4">
        <v>5</v>
      </c>
      <c r="W157" s="14"/>
      <c r="X157" s="45">
        <v>68876.379999999976</v>
      </c>
      <c r="Y157" s="14" t="s">
        <v>54</v>
      </c>
      <c r="Z157" s="14" t="s">
        <v>59</v>
      </c>
      <c r="AA157" s="14" t="s">
        <v>883</v>
      </c>
      <c r="AB157" s="25">
        <v>43129</v>
      </c>
      <c r="AC157" s="14" t="s">
        <v>794</v>
      </c>
      <c r="AD157" s="14" t="s">
        <v>49</v>
      </c>
      <c r="AE157" s="23" t="s">
        <v>362</v>
      </c>
      <c r="AF157" s="25" t="s">
        <v>1265</v>
      </c>
      <c r="AG157" t="e">
        <f t="shared" si="2"/>
        <v>#REF!</v>
      </c>
      <c r="AI157" s="58"/>
    </row>
    <row r="158" spans="1:35" ht="15.75" customHeight="1">
      <c r="A158" s="13" t="s">
        <v>363</v>
      </c>
      <c r="B158" s="5">
        <v>0</v>
      </c>
      <c r="C158" s="7">
        <v>0</v>
      </c>
      <c r="D158" s="7">
        <v>0</v>
      </c>
      <c r="E158" s="7">
        <v>0</v>
      </c>
      <c r="F158" s="5">
        <v>0</v>
      </c>
      <c r="G158" s="7">
        <v>0</v>
      </c>
      <c r="H158" s="5">
        <v>120</v>
      </c>
      <c r="I158" s="7">
        <v>12282.449999999999</v>
      </c>
      <c r="J158" s="7">
        <v>0</v>
      </c>
      <c r="K158" s="5">
        <v>0</v>
      </c>
      <c r="L158" s="5">
        <v>0</v>
      </c>
      <c r="M158" s="5">
        <v>0</v>
      </c>
      <c r="N158" s="7">
        <v>0</v>
      </c>
      <c r="O158" s="7">
        <v>0</v>
      </c>
      <c r="P158" s="7">
        <v>186</v>
      </c>
      <c r="Q158" s="5">
        <v>0</v>
      </c>
      <c r="R158" s="5">
        <v>186</v>
      </c>
      <c r="S158" s="7">
        <v>29452.899999999998</v>
      </c>
      <c r="T158" s="12">
        <v>43125</v>
      </c>
      <c r="U158" s="4">
        <v>3</v>
      </c>
      <c r="W158" s="14"/>
      <c r="X158" s="45">
        <v>41735.35</v>
      </c>
      <c r="Y158" s="14" t="s">
        <v>1634</v>
      </c>
      <c r="Z158" s="14" t="s">
        <v>1355</v>
      </c>
      <c r="AA158" s="14" t="s">
        <v>884</v>
      </c>
      <c r="AB158" s="25">
        <v>43134</v>
      </c>
      <c r="AC158" s="14" t="s">
        <v>797</v>
      </c>
      <c r="AD158" s="14" t="s">
        <v>70</v>
      </c>
      <c r="AE158" s="23" t="s">
        <v>364</v>
      </c>
      <c r="AF158" s="25" t="s">
        <v>1273</v>
      </c>
      <c r="AG158" t="e">
        <f t="shared" si="2"/>
        <v>#REF!</v>
      </c>
      <c r="AI158" s="58"/>
    </row>
    <row r="159" spans="1:35" ht="15.75" customHeight="1">
      <c r="A159" s="13" t="s">
        <v>365</v>
      </c>
      <c r="B159" s="5">
        <v>0</v>
      </c>
      <c r="C159" s="7">
        <v>0</v>
      </c>
      <c r="D159" s="7">
        <v>0</v>
      </c>
      <c r="E159" s="7">
        <v>0</v>
      </c>
      <c r="F159" s="5">
        <v>0</v>
      </c>
      <c r="G159" s="7">
        <v>0</v>
      </c>
      <c r="H159" s="5">
        <v>350</v>
      </c>
      <c r="I159" s="7">
        <v>38205.1</v>
      </c>
      <c r="J159" s="7">
        <v>0</v>
      </c>
      <c r="K159" s="5">
        <v>0</v>
      </c>
      <c r="L159" s="5">
        <v>0</v>
      </c>
      <c r="M159" s="5">
        <v>0</v>
      </c>
      <c r="N159" s="7">
        <v>0</v>
      </c>
      <c r="O159" s="7">
        <v>0</v>
      </c>
      <c r="P159" s="7">
        <v>486</v>
      </c>
      <c r="Q159" s="5">
        <v>0</v>
      </c>
      <c r="R159" s="5">
        <v>486</v>
      </c>
      <c r="S159" s="7">
        <v>46531.200000000004</v>
      </c>
      <c r="T159" s="12">
        <v>43125</v>
      </c>
      <c r="U159" s="4">
        <v>4</v>
      </c>
      <c r="W159" s="14"/>
      <c r="X159" s="45">
        <v>84736.3</v>
      </c>
      <c r="Y159" s="14" t="s">
        <v>56</v>
      </c>
      <c r="Z159" s="14" t="s">
        <v>55</v>
      </c>
      <c r="AA159" s="14" t="s">
        <v>875</v>
      </c>
      <c r="AB159" s="25">
        <v>43132</v>
      </c>
      <c r="AC159" s="14" t="s">
        <v>790</v>
      </c>
      <c r="AD159" s="14" t="s">
        <v>49</v>
      </c>
      <c r="AE159" s="23" t="s">
        <v>366</v>
      </c>
      <c r="AF159" s="25" t="s">
        <v>1265</v>
      </c>
      <c r="AG159" t="e">
        <f t="shared" si="2"/>
        <v>#REF!</v>
      </c>
      <c r="AI159" s="58"/>
    </row>
    <row r="160" spans="1:35" ht="15.75" customHeight="1">
      <c r="A160" s="13" t="s">
        <v>367</v>
      </c>
      <c r="B160" s="5">
        <v>0</v>
      </c>
      <c r="C160" s="7">
        <v>0</v>
      </c>
      <c r="D160" s="7">
        <v>0</v>
      </c>
      <c r="E160" s="7">
        <v>0</v>
      </c>
      <c r="F160" s="5">
        <v>0</v>
      </c>
      <c r="G160" s="7">
        <v>0</v>
      </c>
      <c r="H160" s="5">
        <v>60</v>
      </c>
      <c r="I160" s="7">
        <v>2438</v>
      </c>
      <c r="J160" s="7">
        <v>93</v>
      </c>
      <c r="K160" s="5">
        <v>0</v>
      </c>
      <c r="L160" s="5">
        <v>0</v>
      </c>
      <c r="M160" s="5">
        <v>93</v>
      </c>
      <c r="N160" s="7">
        <v>93</v>
      </c>
      <c r="O160" s="7">
        <v>13478.1</v>
      </c>
      <c r="P160" s="7">
        <v>586</v>
      </c>
      <c r="Q160" s="5">
        <v>0</v>
      </c>
      <c r="R160" s="5">
        <v>586</v>
      </c>
      <c r="S160" s="7">
        <v>61971.8</v>
      </c>
      <c r="T160" s="12">
        <v>43125</v>
      </c>
      <c r="U160" s="4">
        <v>4</v>
      </c>
      <c r="W160" s="14"/>
      <c r="X160" s="45">
        <v>77887.900000000009</v>
      </c>
      <c r="Y160" s="14" t="s">
        <v>85</v>
      </c>
      <c r="Z160" s="14" t="s">
        <v>730</v>
      </c>
      <c r="AA160" s="14">
        <v>350810008070</v>
      </c>
      <c r="AB160" s="25">
        <v>43136</v>
      </c>
      <c r="AC160" s="14" t="s">
        <v>798</v>
      </c>
      <c r="AD160" s="14" t="s">
        <v>49</v>
      </c>
      <c r="AE160" s="23" t="s">
        <v>368</v>
      </c>
      <c r="AF160" s="25" t="s">
        <v>1267</v>
      </c>
      <c r="AG160" t="e">
        <f t="shared" si="2"/>
        <v>#REF!</v>
      </c>
      <c r="AI160" s="58"/>
    </row>
    <row r="161" spans="1:35" ht="15.75" customHeight="1">
      <c r="A161" s="13" t="s">
        <v>355</v>
      </c>
      <c r="B161" s="5">
        <v>304</v>
      </c>
      <c r="C161" s="7">
        <v>35213.42</v>
      </c>
      <c r="D161" s="7">
        <v>0</v>
      </c>
      <c r="E161" s="7">
        <v>0</v>
      </c>
      <c r="F161" s="5">
        <v>0</v>
      </c>
      <c r="G161" s="7">
        <v>0</v>
      </c>
      <c r="H161" s="5">
        <v>230</v>
      </c>
      <c r="I161" s="7">
        <v>13654.9</v>
      </c>
      <c r="J161" s="7">
        <v>40</v>
      </c>
      <c r="K161" s="5">
        <v>0</v>
      </c>
      <c r="L161" s="5">
        <v>0</v>
      </c>
      <c r="M161" s="5">
        <v>40</v>
      </c>
      <c r="N161" s="7">
        <v>40</v>
      </c>
      <c r="O161" s="7">
        <v>1823</v>
      </c>
      <c r="P161" s="7">
        <v>477</v>
      </c>
      <c r="Q161" s="5">
        <v>0</v>
      </c>
      <c r="R161" s="5">
        <v>477</v>
      </c>
      <c r="S161" s="7">
        <v>52089.599999999999</v>
      </c>
      <c r="T161" s="12">
        <v>43125</v>
      </c>
      <c r="U161" s="4">
        <v>6</v>
      </c>
      <c r="W161" s="14"/>
      <c r="X161" s="45">
        <v>102780.92</v>
      </c>
      <c r="Y161" s="14" t="s">
        <v>54</v>
      </c>
      <c r="Z161" s="14" t="s">
        <v>1281</v>
      </c>
      <c r="AA161" s="14" t="s">
        <v>885</v>
      </c>
      <c r="AB161" s="25">
        <v>43128</v>
      </c>
      <c r="AC161" s="14" t="s">
        <v>799</v>
      </c>
      <c r="AD161" s="14" t="s">
        <v>52</v>
      </c>
      <c r="AE161" s="23" t="s">
        <v>369</v>
      </c>
      <c r="AF161" s="25" t="s">
        <v>1271</v>
      </c>
      <c r="AG161" t="e">
        <f t="shared" si="2"/>
        <v>#REF!</v>
      </c>
      <c r="AI161" s="58"/>
    </row>
    <row r="162" spans="1:35" ht="15.75" customHeight="1">
      <c r="A162" s="13" t="s">
        <v>370</v>
      </c>
      <c r="B162" s="5">
        <v>0</v>
      </c>
      <c r="C162" s="7">
        <v>0</v>
      </c>
      <c r="D162" s="7">
        <v>30</v>
      </c>
      <c r="E162" s="7">
        <v>30</v>
      </c>
      <c r="F162" s="5">
        <v>0</v>
      </c>
      <c r="G162" s="7">
        <v>1446</v>
      </c>
      <c r="H162" s="5">
        <v>95</v>
      </c>
      <c r="I162" s="7">
        <v>12251.199999999999</v>
      </c>
      <c r="J162" s="7">
        <v>0</v>
      </c>
      <c r="K162" s="5">
        <v>0</v>
      </c>
      <c r="L162" s="5">
        <v>0</v>
      </c>
      <c r="M162" s="5">
        <v>0</v>
      </c>
      <c r="N162" s="7">
        <v>0</v>
      </c>
      <c r="O162" s="7">
        <v>0</v>
      </c>
      <c r="P162" s="7">
        <v>493</v>
      </c>
      <c r="Q162" s="5">
        <v>0</v>
      </c>
      <c r="R162" s="5">
        <v>493</v>
      </c>
      <c r="S162" s="7">
        <v>68745.600000000006</v>
      </c>
      <c r="T162" s="12">
        <v>43125</v>
      </c>
      <c r="U162" s="4">
        <v>6</v>
      </c>
      <c r="W162" s="14"/>
      <c r="X162" s="45">
        <v>82442.8</v>
      </c>
      <c r="Y162" s="14" t="s">
        <v>56</v>
      </c>
      <c r="Z162" s="14" t="s">
        <v>57</v>
      </c>
      <c r="AA162" s="14" t="s">
        <v>879</v>
      </c>
      <c r="AB162" s="25">
        <v>43134</v>
      </c>
      <c r="AC162" s="14" t="s">
        <v>793</v>
      </c>
      <c r="AD162" s="14" t="s">
        <v>52</v>
      </c>
      <c r="AE162" s="23" t="s">
        <v>371</v>
      </c>
      <c r="AF162" s="25" t="s">
        <v>1271</v>
      </c>
      <c r="AG162" t="e">
        <f t="shared" si="2"/>
        <v>#REF!</v>
      </c>
      <c r="AI162" s="58"/>
    </row>
    <row r="163" spans="1:35" ht="15.75" customHeight="1">
      <c r="A163" s="13" t="s">
        <v>372</v>
      </c>
      <c r="B163" s="5">
        <v>413</v>
      </c>
      <c r="C163" s="7">
        <v>50344.3</v>
      </c>
      <c r="D163" s="7">
        <v>0</v>
      </c>
      <c r="E163" s="7">
        <v>0</v>
      </c>
      <c r="F163" s="5">
        <v>0</v>
      </c>
      <c r="G163" s="7">
        <v>0</v>
      </c>
      <c r="H163" s="5">
        <v>0</v>
      </c>
      <c r="I163" s="7">
        <v>0</v>
      </c>
      <c r="J163" s="7">
        <v>65</v>
      </c>
      <c r="K163" s="5">
        <v>0</v>
      </c>
      <c r="L163" s="5">
        <v>0</v>
      </c>
      <c r="M163" s="5">
        <v>65</v>
      </c>
      <c r="N163" s="7">
        <v>65</v>
      </c>
      <c r="O163" s="7">
        <v>12048</v>
      </c>
      <c r="P163" s="7">
        <v>0</v>
      </c>
      <c r="Q163" s="5">
        <v>0</v>
      </c>
      <c r="R163" s="5">
        <v>0</v>
      </c>
      <c r="S163" s="7">
        <v>0</v>
      </c>
      <c r="T163" s="12">
        <v>43125</v>
      </c>
      <c r="U163" s="4">
        <v>5</v>
      </c>
      <c r="W163" s="14"/>
      <c r="X163" s="45">
        <v>62392.3</v>
      </c>
      <c r="Y163" s="14" t="s">
        <v>54</v>
      </c>
      <c r="Z163" s="14" t="s">
        <v>55</v>
      </c>
      <c r="AA163" s="14" t="s">
        <v>886</v>
      </c>
      <c r="AB163" s="25">
        <v>43128</v>
      </c>
      <c r="AC163" s="14" t="s">
        <v>799</v>
      </c>
      <c r="AD163" s="14" t="s">
        <v>51</v>
      </c>
      <c r="AE163" s="23" t="s">
        <v>373</v>
      </c>
      <c r="AF163" s="25" t="s">
        <v>1270</v>
      </c>
      <c r="AG163" t="e">
        <f t="shared" si="2"/>
        <v>#REF!</v>
      </c>
      <c r="AI163" s="58"/>
    </row>
    <row r="164" spans="1:35" ht="15.75" customHeight="1">
      <c r="A164" s="13" t="s">
        <v>374</v>
      </c>
      <c r="B164" s="5">
        <v>145</v>
      </c>
      <c r="C164" s="7">
        <v>13534.2</v>
      </c>
      <c r="D164" s="7">
        <v>0</v>
      </c>
      <c r="E164" s="7">
        <v>0</v>
      </c>
      <c r="F164" s="5">
        <v>0</v>
      </c>
      <c r="G164" s="7">
        <v>0</v>
      </c>
      <c r="H164" s="5">
        <v>95</v>
      </c>
      <c r="I164" s="7">
        <v>12156.2</v>
      </c>
      <c r="J164" s="7">
        <v>0</v>
      </c>
      <c r="K164" s="5">
        <v>0</v>
      </c>
      <c r="L164" s="5">
        <v>0</v>
      </c>
      <c r="M164" s="5">
        <v>0</v>
      </c>
      <c r="N164" s="7">
        <v>0</v>
      </c>
      <c r="O164" s="7">
        <v>0</v>
      </c>
      <c r="P164" s="7">
        <v>351</v>
      </c>
      <c r="Q164" s="5">
        <v>0</v>
      </c>
      <c r="R164" s="5">
        <v>351</v>
      </c>
      <c r="S164" s="7">
        <v>64249.5</v>
      </c>
      <c r="T164" s="12">
        <v>43125</v>
      </c>
      <c r="U164" s="4">
        <v>6</v>
      </c>
      <c r="W164" s="14"/>
      <c r="X164" s="45">
        <v>89939.9</v>
      </c>
      <c r="Y164" s="14" t="s">
        <v>54</v>
      </c>
      <c r="Z164" s="14" t="s">
        <v>730</v>
      </c>
      <c r="AA164" s="14" t="s">
        <v>887</v>
      </c>
      <c r="AB164" s="25">
        <v>43135</v>
      </c>
      <c r="AC164" s="14" t="s">
        <v>800</v>
      </c>
      <c r="AD164" s="14" t="s">
        <v>51</v>
      </c>
      <c r="AE164" s="23" t="s">
        <v>375</v>
      </c>
      <c r="AF164" s="25" t="s">
        <v>1270</v>
      </c>
      <c r="AG164" t="e">
        <f t="shared" si="2"/>
        <v>#REF!</v>
      </c>
      <c r="AI164" s="58"/>
    </row>
    <row r="165" spans="1:35" ht="15.75" customHeight="1">
      <c r="A165" s="13" t="s">
        <v>350</v>
      </c>
      <c r="B165" s="5">
        <v>1315</v>
      </c>
      <c r="C165" s="7">
        <v>139673.70000000001</v>
      </c>
      <c r="D165" s="7">
        <v>0</v>
      </c>
      <c r="E165" s="7">
        <v>0</v>
      </c>
      <c r="F165" s="5">
        <v>0</v>
      </c>
      <c r="G165" s="7">
        <v>0</v>
      </c>
      <c r="H165" s="5">
        <v>190</v>
      </c>
      <c r="I165" s="7">
        <v>7086</v>
      </c>
      <c r="J165" s="7">
        <v>148</v>
      </c>
      <c r="K165" s="5">
        <v>0</v>
      </c>
      <c r="L165" s="5">
        <v>0</v>
      </c>
      <c r="M165" s="5">
        <v>148</v>
      </c>
      <c r="N165" s="7">
        <v>148</v>
      </c>
      <c r="O165" s="7">
        <v>15301.3</v>
      </c>
      <c r="P165" s="7">
        <v>238</v>
      </c>
      <c r="Q165" s="5">
        <v>0</v>
      </c>
      <c r="R165" s="5">
        <v>238</v>
      </c>
      <c r="S165" s="7">
        <v>33186.9</v>
      </c>
      <c r="T165" s="12">
        <v>43125</v>
      </c>
      <c r="U165" s="4">
        <v>15</v>
      </c>
      <c r="W165" s="14"/>
      <c r="X165" s="45">
        <v>195247.9</v>
      </c>
      <c r="Y165" s="14" t="s">
        <v>54</v>
      </c>
      <c r="Z165" s="14" t="s">
        <v>57</v>
      </c>
      <c r="AA165" s="14" t="s">
        <v>880</v>
      </c>
      <c r="AB165" s="25">
        <v>43129</v>
      </c>
      <c r="AC165" s="14" t="s">
        <v>794</v>
      </c>
      <c r="AD165" s="14" t="s">
        <v>50</v>
      </c>
      <c r="AE165" s="23" t="s">
        <v>376</v>
      </c>
      <c r="AF165" s="25" t="s">
        <v>1269</v>
      </c>
      <c r="AG165" t="e">
        <f t="shared" si="2"/>
        <v>#REF!</v>
      </c>
      <c r="AI165" s="58"/>
    </row>
    <row r="166" spans="1:35" ht="15.75" customHeight="1">
      <c r="A166" s="13" t="s">
        <v>377</v>
      </c>
      <c r="B166" s="5">
        <v>290</v>
      </c>
      <c r="C166" s="7">
        <v>25636.5</v>
      </c>
      <c r="D166" s="7">
        <v>0</v>
      </c>
      <c r="E166" s="7">
        <v>0</v>
      </c>
      <c r="F166" s="5">
        <v>0</v>
      </c>
      <c r="G166" s="7">
        <v>0</v>
      </c>
      <c r="H166" s="5">
        <v>0</v>
      </c>
      <c r="I166" s="7">
        <v>0</v>
      </c>
      <c r="J166" s="7">
        <v>68</v>
      </c>
      <c r="K166" s="5">
        <v>0</v>
      </c>
      <c r="L166" s="5">
        <v>0</v>
      </c>
      <c r="M166" s="5">
        <v>68</v>
      </c>
      <c r="N166" s="7">
        <v>68</v>
      </c>
      <c r="O166" s="7">
        <v>9394.5</v>
      </c>
      <c r="P166" s="7">
        <v>0</v>
      </c>
      <c r="Q166" s="5">
        <v>0</v>
      </c>
      <c r="R166" s="5">
        <v>0</v>
      </c>
      <c r="S166" s="7">
        <v>0</v>
      </c>
      <c r="T166" s="12">
        <v>43125</v>
      </c>
      <c r="U166" s="4">
        <v>3</v>
      </c>
      <c r="W166" s="14"/>
      <c r="X166" s="45">
        <v>35031</v>
      </c>
      <c r="Y166" s="14" t="s">
        <v>54</v>
      </c>
      <c r="Z166" s="14" t="s">
        <v>59</v>
      </c>
      <c r="AA166" s="14" t="s">
        <v>881</v>
      </c>
      <c r="AB166" s="25">
        <v>43135</v>
      </c>
      <c r="AC166" s="14" t="s">
        <v>795</v>
      </c>
      <c r="AD166" s="14" t="s">
        <v>50</v>
      </c>
      <c r="AE166" s="23" t="s">
        <v>378</v>
      </c>
      <c r="AF166" s="25" t="s">
        <v>1269</v>
      </c>
      <c r="AG166" t="e">
        <f t="shared" si="2"/>
        <v>#REF!</v>
      </c>
      <c r="AI166" s="58"/>
    </row>
    <row r="167" spans="1:35" ht="15.75" customHeight="1">
      <c r="A167" s="13" t="s">
        <v>379</v>
      </c>
      <c r="B167" s="5">
        <v>1523</v>
      </c>
      <c r="C167" s="7">
        <v>162614.05000000005</v>
      </c>
      <c r="D167" s="7">
        <v>0</v>
      </c>
      <c r="E167" s="7">
        <v>0</v>
      </c>
      <c r="F167" s="5">
        <v>0</v>
      </c>
      <c r="G167" s="7">
        <v>0</v>
      </c>
      <c r="H167" s="5">
        <v>0</v>
      </c>
      <c r="I167" s="7">
        <v>0</v>
      </c>
      <c r="J167" s="7">
        <v>103</v>
      </c>
      <c r="K167" s="5">
        <v>0</v>
      </c>
      <c r="L167" s="5">
        <v>0</v>
      </c>
      <c r="M167" s="5">
        <v>103</v>
      </c>
      <c r="N167" s="7">
        <v>103</v>
      </c>
      <c r="O167" s="7">
        <v>16236.5</v>
      </c>
      <c r="P167" s="7">
        <v>0</v>
      </c>
      <c r="Q167" s="5">
        <v>0</v>
      </c>
      <c r="R167" s="5">
        <v>0</v>
      </c>
      <c r="S167" s="7">
        <v>0</v>
      </c>
      <c r="T167" s="12">
        <v>43126</v>
      </c>
      <c r="U167" s="4">
        <v>15</v>
      </c>
      <c r="W167" s="14"/>
      <c r="X167" s="45">
        <v>178850.55000000005</v>
      </c>
      <c r="Y167" s="14" t="s">
        <v>54</v>
      </c>
      <c r="Z167" s="14" t="s">
        <v>57</v>
      </c>
      <c r="AA167" s="14" t="s">
        <v>880</v>
      </c>
      <c r="AB167" s="25">
        <v>43129</v>
      </c>
      <c r="AC167" s="14" t="s">
        <v>794</v>
      </c>
      <c r="AD167" s="14" t="s">
        <v>50</v>
      </c>
      <c r="AE167" s="23" t="s">
        <v>380</v>
      </c>
      <c r="AF167" s="25" t="s">
        <v>1269</v>
      </c>
      <c r="AG167" t="e">
        <f t="shared" si="2"/>
        <v>#REF!</v>
      </c>
      <c r="AI167" s="58"/>
    </row>
    <row r="168" spans="1:35" ht="15.75" customHeight="1">
      <c r="A168" s="13" t="s">
        <v>383</v>
      </c>
      <c r="B168" s="5">
        <v>260</v>
      </c>
      <c r="C168" s="7">
        <v>34342.800000000003</v>
      </c>
      <c r="D168" s="7">
        <v>0</v>
      </c>
      <c r="E168" s="7">
        <v>0</v>
      </c>
      <c r="F168" s="5">
        <v>0</v>
      </c>
      <c r="G168" s="7">
        <v>0</v>
      </c>
      <c r="H168" s="5">
        <v>10</v>
      </c>
      <c r="I168" s="7">
        <v>959.7</v>
      </c>
      <c r="J168" s="7">
        <v>0</v>
      </c>
      <c r="K168" s="5">
        <v>0</v>
      </c>
      <c r="L168" s="5">
        <v>0</v>
      </c>
      <c r="M168" s="5">
        <v>0</v>
      </c>
      <c r="N168" s="7">
        <v>0</v>
      </c>
      <c r="O168" s="7">
        <v>0</v>
      </c>
      <c r="P168" s="7">
        <v>0</v>
      </c>
      <c r="Q168" s="5">
        <v>0</v>
      </c>
      <c r="R168" s="5">
        <v>0</v>
      </c>
      <c r="S168" s="7">
        <v>0</v>
      </c>
      <c r="T168" s="12">
        <v>43126</v>
      </c>
      <c r="U168" s="4">
        <v>3</v>
      </c>
      <c r="W168" s="14"/>
      <c r="X168" s="45">
        <v>35302.5</v>
      </c>
      <c r="Y168" s="14" t="s">
        <v>54</v>
      </c>
      <c r="Z168" s="14" t="s">
        <v>1355</v>
      </c>
      <c r="AA168" s="14" t="s">
        <v>883</v>
      </c>
      <c r="AB168" s="25">
        <v>43129</v>
      </c>
      <c r="AC168" s="14" t="s">
        <v>794</v>
      </c>
      <c r="AD168" s="14" t="s">
        <v>49</v>
      </c>
      <c r="AE168" s="23" t="s">
        <v>384</v>
      </c>
      <c r="AF168" s="25" t="s">
        <v>1267</v>
      </c>
      <c r="AG168" t="e">
        <f t="shared" si="2"/>
        <v>#REF!</v>
      </c>
      <c r="AI168" s="58"/>
    </row>
    <row r="169" spans="1:35" ht="15.75" customHeight="1">
      <c r="A169" s="13" t="s">
        <v>385</v>
      </c>
      <c r="B169" s="5">
        <v>305</v>
      </c>
      <c r="C169" s="7">
        <v>19047.849999999999</v>
      </c>
      <c r="D169" s="7">
        <v>0</v>
      </c>
      <c r="E169" s="7">
        <v>0</v>
      </c>
      <c r="F169" s="5">
        <v>0</v>
      </c>
      <c r="G169" s="7">
        <v>0</v>
      </c>
      <c r="H169" s="5">
        <v>565</v>
      </c>
      <c r="I169" s="7">
        <v>68912.62000000001</v>
      </c>
      <c r="J169" s="7">
        <v>0</v>
      </c>
      <c r="K169" s="5">
        <v>0</v>
      </c>
      <c r="L169" s="5">
        <v>0</v>
      </c>
      <c r="M169" s="5">
        <v>0</v>
      </c>
      <c r="N169" s="7">
        <v>0</v>
      </c>
      <c r="O169" s="7">
        <v>0</v>
      </c>
      <c r="P169" s="7">
        <v>0</v>
      </c>
      <c r="Q169" s="5">
        <v>0</v>
      </c>
      <c r="R169" s="5">
        <v>0</v>
      </c>
      <c r="S169" s="7">
        <v>0</v>
      </c>
      <c r="T169" s="12">
        <v>43126</v>
      </c>
      <c r="U169" s="4">
        <v>6</v>
      </c>
      <c r="W169" s="14"/>
      <c r="X169" s="45">
        <v>87960.47</v>
      </c>
      <c r="Y169" s="14" t="s">
        <v>54</v>
      </c>
      <c r="Z169" s="14" t="s">
        <v>59</v>
      </c>
      <c r="AA169" s="14" t="s">
        <v>883</v>
      </c>
      <c r="AB169" s="25">
        <v>43129</v>
      </c>
      <c r="AC169" s="14" t="s">
        <v>794</v>
      </c>
      <c r="AD169" s="14" t="s">
        <v>49</v>
      </c>
      <c r="AE169" s="23" t="s">
        <v>386</v>
      </c>
      <c r="AF169" s="25" t="s">
        <v>1265</v>
      </c>
      <c r="AG169" t="e">
        <f t="shared" si="2"/>
        <v>#REF!</v>
      </c>
      <c r="AI169" s="58"/>
    </row>
    <row r="170" spans="1:35" ht="15.75" customHeight="1">
      <c r="A170" s="13" t="s">
        <v>387</v>
      </c>
      <c r="B170" s="5">
        <v>118</v>
      </c>
      <c r="C170" s="7">
        <v>12150.259999999998</v>
      </c>
      <c r="D170" s="7">
        <v>0</v>
      </c>
      <c r="E170" s="7">
        <v>0</v>
      </c>
      <c r="F170" s="5">
        <v>0</v>
      </c>
      <c r="G170" s="7">
        <v>0</v>
      </c>
      <c r="H170" s="5">
        <v>0</v>
      </c>
      <c r="I170" s="7">
        <v>0</v>
      </c>
      <c r="J170" s="7">
        <v>0</v>
      </c>
      <c r="K170" s="5">
        <v>0</v>
      </c>
      <c r="L170" s="5">
        <v>0</v>
      </c>
      <c r="M170" s="5">
        <v>0</v>
      </c>
      <c r="N170" s="7">
        <v>0</v>
      </c>
      <c r="O170" s="7">
        <v>0</v>
      </c>
      <c r="P170" s="7">
        <v>0</v>
      </c>
      <c r="Q170" s="5">
        <v>0</v>
      </c>
      <c r="R170" s="5">
        <v>0</v>
      </c>
      <c r="S170" s="7">
        <v>0</v>
      </c>
      <c r="T170" s="12">
        <v>43126</v>
      </c>
      <c r="U170" s="4">
        <v>1</v>
      </c>
      <c r="W170" s="14"/>
      <c r="X170" s="45">
        <v>12150.259999999998</v>
      </c>
      <c r="Y170" s="14" t="s">
        <v>1634</v>
      </c>
      <c r="Z170" s="14" t="s">
        <v>1355</v>
      </c>
      <c r="AA170" s="14" t="s">
        <v>888</v>
      </c>
      <c r="AB170" s="25">
        <v>43130</v>
      </c>
      <c r="AC170" s="14" t="s">
        <v>801</v>
      </c>
      <c r="AD170" s="14" t="s">
        <v>70</v>
      </c>
      <c r="AE170" s="23" t="s">
        <v>388</v>
      </c>
      <c r="AF170" s="25" t="s">
        <v>1273</v>
      </c>
      <c r="AG170" t="e">
        <f t="shared" si="2"/>
        <v>#REF!</v>
      </c>
      <c r="AI170" s="58"/>
    </row>
    <row r="171" spans="1:35" ht="15.75" customHeight="1">
      <c r="A171" s="13" t="s">
        <v>389</v>
      </c>
      <c r="B171" s="5">
        <v>193</v>
      </c>
      <c r="C171" s="7">
        <v>23125.399999999994</v>
      </c>
      <c r="D171" s="7">
        <v>0</v>
      </c>
      <c r="E171" s="7">
        <v>0</v>
      </c>
      <c r="F171" s="5">
        <v>0</v>
      </c>
      <c r="G171" s="7">
        <v>0</v>
      </c>
      <c r="H171" s="5">
        <v>0</v>
      </c>
      <c r="I171" s="7">
        <v>0</v>
      </c>
      <c r="J171" s="7">
        <v>0</v>
      </c>
      <c r="K171" s="5">
        <v>0</v>
      </c>
      <c r="L171" s="5">
        <v>0</v>
      </c>
      <c r="M171" s="5">
        <v>0</v>
      </c>
      <c r="N171" s="7">
        <v>0</v>
      </c>
      <c r="O171" s="7">
        <v>0</v>
      </c>
      <c r="P171" s="7">
        <v>0</v>
      </c>
      <c r="Q171" s="5">
        <v>0</v>
      </c>
      <c r="R171" s="5">
        <v>0</v>
      </c>
      <c r="S171" s="7">
        <v>0</v>
      </c>
      <c r="T171" s="12">
        <v>43126</v>
      </c>
      <c r="U171" s="4">
        <v>2</v>
      </c>
      <c r="W171" s="14"/>
      <c r="X171" s="45">
        <v>23125.399999999994</v>
      </c>
      <c r="Y171" s="14" t="s">
        <v>85</v>
      </c>
      <c r="Z171" s="14" t="s">
        <v>730</v>
      </c>
      <c r="AA171" s="14">
        <v>350810005352</v>
      </c>
      <c r="AB171" s="25">
        <v>43128</v>
      </c>
      <c r="AC171" s="14" t="s">
        <v>787</v>
      </c>
      <c r="AD171" s="14" t="s">
        <v>49</v>
      </c>
      <c r="AE171" s="23" t="s">
        <v>390</v>
      </c>
      <c r="AF171" s="25" t="s">
        <v>1266</v>
      </c>
      <c r="AG171" t="e">
        <f t="shared" si="2"/>
        <v>#REF!</v>
      </c>
      <c r="AI171" s="58"/>
    </row>
    <row r="172" spans="1:35" ht="15.75" customHeight="1">
      <c r="A172" s="13" t="s">
        <v>391</v>
      </c>
      <c r="B172" s="5">
        <v>139</v>
      </c>
      <c r="C172" s="7">
        <v>12100.400000000001</v>
      </c>
      <c r="D172" s="7">
        <v>0</v>
      </c>
      <c r="E172" s="7">
        <v>0</v>
      </c>
      <c r="F172" s="5">
        <v>0</v>
      </c>
      <c r="G172" s="7">
        <v>0</v>
      </c>
      <c r="H172" s="5">
        <v>0</v>
      </c>
      <c r="I172" s="7">
        <v>0</v>
      </c>
      <c r="J172" s="7">
        <v>339</v>
      </c>
      <c r="K172" s="5">
        <v>0</v>
      </c>
      <c r="L172" s="5">
        <v>0</v>
      </c>
      <c r="M172" s="5">
        <v>339</v>
      </c>
      <c r="N172" s="7">
        <v>339</v>
      </c>
      <c r="O172" s="7">
        <v>61641.4</v>
      </c>
      <c r="P172" s="7">
        <v>180</v>
      </c>
      <c r="Q172" s="5">
        <v>0</v>
      </c>
      <c r="R172" s="5">
        <v>180</v>
      </c>
      <c r="S172" s="7">
        <v>32859.600000000006</v>
      </c>
      <c r="T172" s="12">
        <v>43126</v>
      </c>
      <c r="U172" s="4">
        <v>9</v>
      </c>
      <c r="W172" s="14"/>
      <c r="X172" s="45">
        <v>106601.40000000001</v>
      </c>
      <c r="Y172" s="14" t="s">
        <v>54</v>
      </c>
      <c r="Z172" s="14" t="s">
        <v>59</v>
      </c>
      <c r="AA172" s="14" t="s">
        <v>881</v>
      </c>
      <c r="AB172" s="25">
        <v>43135</v>
      </c>
      <c r="AC172" s="14" t="s">
        <v>795</v>
      </c>
      <c r="AD172" s="14" t="s">
        <v>50</v>
      </c>
      <c r="AE172" s="23" t="s">
        <v>392</v>
      </c>
      <c r="AF172" s="25" t="s">
        <v>1269</v>
      </c>
      <c r="AG172" t="e">
        <f t="shared" si="2"/>
        <v>#REF!</v>
      </c>
      <c r="AI172" s="58"/>
    </row>
    <row r="173" spans="1:35" ht="15.75" customHeight="1">
      <c r="A173" s="13" t="s">
        <v>393</v>
      </c>
      <c r="B173" s="5">
        <v>0</v>
      </c>
      <c r="C173" s="7">
        <v>0</v>
      </c>
      <c r="D173" s="7">
        <v>0</v>
      </c>
      <c r="E173" s="7">
        <v>0</v>
      </c>
      <c r="F173" s="5">
        <v>0</v>
      </c>
      <c r="G173" s="7">
        <v>0</v>
      </c>
      <c r="H173" s="5">
        <v>332</v>
      </c>
      <c r="I173" s="7">
        <v>38165.370000000003</v>
      </c>
      <c r="J173" s="7">
        <v>212</v>
      </c>
      <c r="K173" s="5">
        <v>0</v>
      </c>
      <c r="L173" s="5">
        <v>0</v>
      </c>
      <c r="M173" s="5">
        <v>212</v>
      </c>
      <c r="N173" s="7">
        <v>212</v>
      </c>
      <c r="O173" s="7">
        <v>29541.4</v>
      </c>
      <c r="P173" s="7">
        <v>139</v>
      </c>
      <c r="Q173" s="5">
        <v>0</v>
      </c>
      <c r="R173" s="5">
        <v>139</v>
      </c>
      <c r="S173" s="7">
        <v>30232</v>
      </c>
      <c r="T173" s="12">
        <v>43126</v>
      </c>
      <c r="U173" s="4">
        <v>8</v>
      </c>
      <c r="W173" s="14"/>
      <c r="X173" s="45">
        <v>97938.77</v>
      </c>
      <c r="Y173" s="14" t="s">
        <v>56</v>
      </c>
      <c r="Z173" s="14" t="s">
        <v>1281</v>
      </c>
      <c r="AA173" s="14" t="s">
        <v>877</v>
      </c>
      <c r="AB173" s="25">
        <v>43132</v>
      </c>
      <c r="AC173" s="14" t="s">
        <v>791</v>
      </c>
      <c r="AD173" s="14" t="s">
        <v>51</v>
      </c>
      <c r="AE173" s="23" t="s">
        <v>394</v>
      </c>
      <c r="AF173" s="25" t="s">
        <v>1270</v>
      </c>
      <c r="AG173" t="e">
        <f t="shared" si="2"/>
        <v>#REF!</v>
      </c>
      <c r="AI173" s="58"/>
    </row>
    <row r="174" spans="1:35" ht="15.75" customHeight="1">
      <c r="A174" s="13" t="s">
        <v>381</v>
      </c>
      <c r="B174" s="5">
        <v>1245</v>
      </c>
      <c r="C174" s="7">
        <v>141350.95000000001</v>
      </c>
      <c r="D174" s="7">
        <v>0</v>
      </c>
      <c r="E174" s="7">
        <v>0</v>
      </c>
      <c r="F174" s="5">
        <v>0</v>
      </c>
      <c r="G174" s="7">
        <v>0</v>
      </c>
      <c r="H174" s="5">
        <v>135</v>
      </c>
      <c r="I174" s="7">
        <v>14073.95</v>
      </c>
      <c r="J174" s="7">
        <v>311</v>
      </c>
      <c r="K174" s="5">
        <v>0</v>
      </c>
      <c r="L174" s="5">
        <v>0</v>
      </c>
      <c r="M174" s="5">
        <v>311</v>
      </c>
      <c r="N174" s="7">
        <v>311</v>
      </c>
      <c r="O174" s="7">
        <v>15702.3</v>
      </c>
      <c r="P174" s="7">
        <v>948</v>
      </c>
      <c r="Q174" s="5">
        <v>0</v>
      </c>
      <c r="R174" s="5">
        <v>948</v>
      </c>
      <c r="S174" s="7">
        <v>62094</v>
      </c>
      <c r="T174" s="12">
        <v>43126</v>
      </c>
      <c r="U174" s="4">
        <v>15</v>
      </c>
      <c r="W174" s="14"/>
      <c r="X174" s="45">
        <v>233221.2</v>
      </c>
      <c r="Y174" s="14" t="s">
        <v>54</v>
      </c>
      <c r="Z174" s="14" t="s">
        <v>55</v>
      </c>
      <c r="AA174" s="14" t="s">
        <v>886</v>
      </c>
      <c r="AB174" s="25">
        <v>43128</v>
      </c>
      <c r="AC174" s="14" t="s">
        <v>799</v>
      </c>
      <c r="AD174" s="14" t="s">
        <v>51</v>
      </c>
      <c r="AE174" s="23" t="s">
        <v>382</v>
      </c>
      <c r="AF174" s="25" t="s">
        <v>1270</v>
      </c>
      <c r="AG174" t="e">
        <f t="shared" si="2"/>
        <v>#REF!</v>
      </c>
      <c r="AI174" s="58"/>
    </row>
    <row r="175" spans="1:35" ht="15.75" customHeight="1">
      <c r="A175" s="13" t="s">
        <v>395</v>
      </c>
      <c r="B175" s="5">
        <v>0</v>
      </c>
      <c r="C175" s="7">
        <v>0</v>
      </c>
      <c r="D175" s="7">
        <v>0</v>
      </c>
      <c r="E175" s="7">
        <v>0</v>
      </c>
      <c r="F175" s="5">
        <v>0</v>
      </c>
      <c r="G175" s="7">
        <v>0</v>
      </c>
      <c r="H175" s="5">
        <v>285</v>
      </c>
      <c r="I175" s="7">
        <v>36468.600000000006</v>
      </c>
      <c r="J175" s="7">
        <v>0</v>
      </c>
      <c r="K175" s="5">
        <v>0</v>
      </c>
      <c r="L175" s="5">
        <v>0</v>
      </c>
      <c r="M175" s="5">
        <v>0</v>
      </c>
      <c r="N175" s="7">
        <v>0</v>
      </c>
      <c r="O175" s="7">
        <v>0</v>
      </c>
      <c r="P175" s="7">
        <v>202</v>
      </c>
      <c r="Q175" s="5">
        <v>0</v>
      </c>
      <c r="R175" s="5">
        <v>202</v>
      </c>
      <c r="S175" s="7">
        <v>28528.800000000003</v>
      </c>
      <c r="T175" s="12">
        <v>43126</v>
      </c>
      <c r="U175" s="4">
        <v>5</v>
      </c>
      <c r="W175" s="14"/>
      <c r="X175" s="45">
        <v>64997.400000000009</v>
      </c>
      <c r="Y175" s="14" t="s">
        <v>54</v>
      </c>
      <c r="Z175" s="14" t="s">
        <v>1355</v>
      </c>
      <c r="AA175" s="14" t="s">
        <v>889</v>
      </c>
      <c r="AB175" s="25">
        <v>43135</v>
      </c>
      <c r="AC175" s="14" t="s">
        <v>795</v>
      </c>
      <c r="AD175" s="14" t="s">
        <v>49</v>
      </c>
      <c r="AE175" s="23" t="s">
        <v>396</v>
      </c>
      <c r="AF175" s="25" t="s">
        <v>1266</v>
      </c>
      <c r="AG175" t="e">
        <f t="shared" si="2"/>
        <v>#REF!</v>
      </c>
      <c r="AI175" s="58"/>
    </row>
    <row r="176" spans="1:35" ht="15.75" customHeight="1">
      <c r="A176" s="13" t="s">
        <v>397</v>
      </c>
      <c r="B176" s="5">
        <v>77</v>
      </c>
      <c r="C176" s="7">
        <v>6052.2</v>
      </c>
      <c r="D176" s="7">
        <v>0</v>
      </c>
      <c r="E176" s="7">
        <v>0</v>
      </c>
      <c r="F176" s="5">
        <v>0</v>
      </c>
      <c r="G176" s="7">
        <v>0</v>
      </c>
      <c r="H176" s="5">
        <v>75</v>
      </c>
      <c r="I176" s="7">
        <v>7530.9499999999989</v>
      </c>
      <c r="J176" s="7">
        <v>0</v>
      </c>
      <c r="K176" s="5">
        <v>0</v>
      </c>
      <c r="L176" s="5">
        <v>0</v>
      </c>
      <c r="M176" s="5">
        <v>0</v>
      </c>
      <c r="N176" s="7">
        <v>0</v>
      </c>
      <c r="O176" s="7">
        <v>0</v>
      </c>
      <c r="P176" s="7">
        <v>66</v>
      </c>
      <c r="Q176" s="5">
        <v>0</v>
      </c>
      <c r="R176" s="5">
        <v>66</v>
      </c>
      <c r="S176" s="7">
        <v>16345.4</v>
      </c>
      <c r="T176" s="12">
        <v>43127</v>
      </c>
      <c r="U176" s="4">
        <v>2</v>
      </c>
      <c r="W176" s="14"/>
      <c r="X176" s="45">
        <v>29928.549999999996</v>
      </c>
      <c r="Y176" s="14" t="s">
        <v>54</v>
      </c>
      <c r="Z176" s="14" t="s">
        <v>1281</v>
      </c>
      <c r="AA176" s="14" t="s">
        <v>885</v>
      </c>
      <c r="AB176" s="25">
        <v>43128</v>
      </c>
      <c r="AC176" s="14" t="s">
        <v>799</v>
      </c>
      <c r="AD176" s="14" t="s">
        <v>52</v>
      </c>
      <c r="AE176" s="23" t="s">
        <v>398</v>
      </c>
      <c r="AF176" s="25" t="s">
        <v>1271</v>
      </c>
      <c r="AG176" t="e">
        <f t="shared" si="2"/>
        <v>#REF!</v>
      </c>
      <c r="AI176" s="58"/>
    </row>
    <row r="177" spans="1:41" ht="15.75" customHeight="1">
      <c r="A177" s="13" t="s">
        <v>399</v>
      </c>
      <c r="B177" s="5">
        <v>139</v>
      </c>
      <c r="C177" s="7">
        <v>12746.559999999998</v>
      </c>
      <c r="D177" s="7">
        <v>0</v>
      </c>
      <c r="E177" s="7">
        <v>0</v>
      </c>
      <c r="F177" s="5">
        <v>0</v>
      </c>
      <c r="G177" s="7">
        <v>0</v>
      </c>
      <c r="H177" s="5">
        <v>95</v>
      </c>
      <c r="I177" s="7">
        <v>12281.6</v>
      </c>
      <c r="J177" s="7">
        <v>70</v>
      </c>
      <c r="K177" s="5">
        <v>0</v>
      </c>
      <c r="L177" s="5">
        <v>0</v>
      </c>
      <c r="M177" s="5">
        <v>70</v>
      </c>
      <c r="N177" s="7">
        <v>70</v>
      </c>
      <c r="O177" s="7">
        <v>9842.7000000000007</v>
      </c>
      <c r="P177" s="7">
        <v>578</v>
      </c>
      <c r="Q177" s="5">
        <v>0</v>
      </c>
      <c r="R177" s="5">
        <v>578</v>
      </c>
      <c r="S177" s="7">
        <v>50040</v>
      </c>
      <c r="T177" s="12">
        <v>43127</v>
      </c>
      <c r="U177" s="4">
        <v>5</v>
      </c>
      <c r="W177" s="14"/>
      <c r="X177" s="45">
        <v>84910.86</v>
      </c>
      <c r="Y177" s="14" t="s">
        <v>1634</v>
      </c>
      <c r="Z177" s="14" t="s">
        <v>1355</v>
      </c>
      <c r="AA177" s="14" t="s">
        <v>884</v>
      </c>
      <c r="AB177" s="25">
        <v>43134</v>
      </c>
      <c r="AC177" s="14" t="s">
        <v>797</v>
      </c>
      <c r="AD177" s="14" t="s">
        <v>70</v>
      </c>
      <c r="AE177" s="23" t="s">
        <v>400</v>
      </c>
      <c r="AF177" s="25" t="s">
        <v>1273</v>
      </c>
      <c r="AG177" t="e">
        <f t="shared" si="2"/>
        <v>#REF!</v>
      </c>
      <c r="AI177" s="58"/>
    </row>
    <row r="178" spans="1:41" ht="15.75" customHeight="1">
      <c r="A178" s="13" t="s">
        <v>401</v>
      </c>
      <c r="B178" s="5">
        <v>7</v>
      </c>
      <c r="C178" s="7">
        <v>198.41</v>
      </c>
      <c r="D178" s="7">
        <v>0</v>
      </c>
      <c r="E178" s="7">
        <v>0</v>
      </c>
      <c r="F178" s="5">
        <v>0</v>
      </c>
      <c r="G178" s="7">
        <v>0</v>
      </c>
      <c r="H178" s="5">
        <v>100</v>
      </c>
      <c r="I178" s="7">
        <v>12684.4</v>
      </c>
      <c r="J178" s="7">
        <v>156</v>
      </c>
      <c r="K178" s="5">
        <v>0</v>
      </c>
      <c r="L178" s="5">
        <v>0</v>
      </c>
      <c r="M178" s="5">
        <v>156</v>
      </c>
      <c r="N178" s="7">
        <v>156</v>
      </c>
      <c r="O178" s="7">
        <v>30047.8</v>
      </c>
      <c r="P178" s="7">
        <v>1486</v>
      </c>
      <c r="Q178" s="5">
        <v>0</v>
      </c>
      <c r="R178" s="5">
        <v>1486</v>
      </c>
      <c r="S178" s="7">
        <v>142533.6</v>
      </c>
      <c r="T178" s="12">
        <v>43127</v>
      </c>
      <c r="U178" s="4">
        <v>8</v>
      </c>
      <c r="V178" s="4">
        <v>4</v>
      </c>
      <c r="W178" s="4">
        <v>7</v>
      </c>
      <c r="X178" s="45">
        <v>185464.21000000002</v>
      </c>
      <c r="Y178" s="14" t="s">
        <v>58</v>
      </c>
      <c r="Z178" s="14" t="s">
        <v>730</v>
      </c>
      <c r="AA178" s="14" t="s">
        <v>890</v>
      </c>
      <c r="AB178" s="25">
        <v>43132</v>
      </c>
      <c r="AC178" s="14" t="s">
        <v>802</v>
      </c>
      <c r="AD178" s="14" t="s">
        <v>51</v>
      </c>
      <c r="AE178" s="23" t="s">
        <v>402</v>
      </c>
      <c r="AF178" s="25" t="s">
        <v>1270</v>
      </c>
      <c r="AG178" t="e">
        <f t="shared" si="2"/>
        <v>#REF!</v>
      </c>
      <c r="AI178" s="58"/>
    </row>
    <row r="179" spans="1:41" ht="15.75" customHeight="1">
      <c r="A179" s="13" t="s">
        <v>403</v>
      </c>
      <c r="B179" s="5">
        <v>133</v>
      </c>
      <c r="C179" s="7">
        <v>12559.1</v>
      </c>
      <c r="D179" s="7">
        <v>0</v>
      </c>
      <c r="E179" s="7">
        <v>0</v>
      </c>
      <c r="F179" s="5">
        <v>0</v>
      </c>
      <c r="G179" s="7">
        <v>0</v>
      </c>
      <c r="H179" s="5">
        <v>400</v>
      </c>
      <c r="I179" s="7">
        <v>35546.399999999994</v>
      </c>
      <c r="J179" s="7">
        <v>143</v>
      </c>
      <c r="K179" s="5">
        <v>0</v>
      </c>
      <c r="L179" s="5">
        <v>0</v>
      </c>
      <c r="M179" s="5">
        <v>143</v>
      </c>
      <c r="N179" s="7">
        <v>143</v>
      </c>
      <c r="O179" s="7">
        <v>19207.7</v>
      </c>
      <c r="P179" s="7">
        <v>284</v>
      </c>
      <c r="Q179" s="5">
        <v>0</v>
      </c>
      <c r="R179" s="5">
        <v>284</v>
      </c>
      <c r="S179" s="7">
        <v>55825</v>
      </c>
      <c r="T179" s="12">
        <v>43127</v>
      </c>
      <c r="U179" s="4">
        <v>9</v>
      </c>
      <c r="W179" s="14"/>
      <c r="X179" s="45">
        <v>123138.2</v>
      </c>
      <c r="Y179" s="14" t="s">
        <v>56</v>
      </c>
      <c r="Z179" s="14" t="s">
        <v>59</v>
      </c>
      <c r="AA179" s="14" t="s">
        <v>879</v>
      </c>
      <c r="AB179" s="25">
        <v>43134</v>
      </c>
      <c r="AC179" s="14" t="s">
        <v>793</v>
      </c>
      <c r="AD179" s="14" t="s">
        <v>52</v>
      </c>
      <c r="AE179" s="23" t="s">
        <v>404</v>
      </c>
      <c r="AF179" s="25" t="s">
        <v>1271</v>
      </c>
      <c r="AG179" t="e">
        <f t="shared" si="2"/>
        <v>#REF!</v>
      </c>
      <c r="AI179" s="58"/>
    </row>
    <row r="180" spans="1:41" ht="15.75" customHeight="1">
      <c r="A180" s="13" t="s">
        <v>405</v>
      </c>
      <c r="B180" s="5">
        <v>297</v>
      </c>
      <c r="C180" s="7">
        <v>25377.210000000003</v>
      </c>
      <c r="D180" s="7">
        <v>0</v>
      </c>
      <c r="E180" s="7">
        <v>0</v>
      </c>
      <c r="F180" s="5">
        <v>0</v>
      </c>
      <c r="G180" s="7">
        <v>0</v>
      </c>
      <c r="H180" s="5">
        <v>40</v>
      </c>
      <c r="I180" s="7">
        <v>991</v>
      </c>
      <c r="J180" s="7">
        <v>367</v>
      </c>
      <c r="K180" s="5">
        <v>0</v>
      </c>
      <c r="L180" s="5">
        <v>0</v>
      </c>
      <c r="M180" s="5">
        <v>367</v>
      </c>
      <c r="N180" s="7">
        <v>367</v>
      </c>
      <c r="O180" s="7">
        <v>67020.899999999994</v>
      </c>
      <c r="P180" s="7">
        <v>10</v>
      </c>
      <c r="Q180" s="5">
        <v>0</v>
      </c>
      <c r="R180" s="5">
        <v>10</v>
      </c>
      <c r="S180" s="7">
        <v>499</v>
      </c>
      <c r="T180" s="12">
        <v>43128</v>
      </c>
      <c r="U180" s="4">
        <v>9</v>
      </c>
      <c r="W180" s="14"/>
      <c r="X180" s="45">
        <v>93888.11</v>
      </c>
      <c r="Y180" s="14" t="s">
        <v>54</v>
      </c>
      <c r="Z180" s="14" t="s">
        <v>59</v>
      </c>
      <c r="AA180" s="14" t="s">
        <v>891</v>
      </c>
      <c r="AB180" s="25">
        <v>43140</v>
      </c>
      <c r="AC180" s="14" t="s">
        <v>803</v>
      </c>
      <c r="AD180" s="14" t="s">
        <v>50</v>
      </c>
      <c r="AE180" s="23" t="s">
        <v>406</v>
      </c>
      <c r="AF180" s="25" t="s">
        <v>1269</v>
      </c>
      <c r="AG180" t="e">
        <f t="shared" si="2"/>
        <v>#REF!</v>
      </c>
      <c r="AI180" s="58"/>
    </row>
    <row r="181" spans="1:41" ht="15.75" customHeight="1">
      <c r="A181" s="13" t="s">
        <v>407</v>
      </c>
      <c r="B181" s="5">
        <v>0</v>
      </c>
      <c r="C181" s="7">
        <v>0</v>
      </c>
      <c r="D181" s="7">
        <v>0</v>
      </c>
      <c r="E181" s="7">
        <v>0</v>
      </c>
      <c r="F181" s="5">
        <v>0</v>
      </c>
      <c r="G181" s="7">
        <v>0</v>
      </c>
      <c r="H181" s="5">
        <v>0</v>
      </c>
      <c r="I181" s="7">
        <v>0</v>
      </c>
      <c r="J181" s="7">
        <v>0</v>
      </c>
      <c r="K181" s="5">
        <v>0</v>
      </c>
      <c r="L181" s="5">
        <v>0</v>
      </c>
      <c r="M181" s="5">
        <v>0</v>
      </c>
      <c r="N181" s="7">
        <v>0</v>
      </c>
      <c r="O181" s="7">
        <v>0</v>
      </c>
      <c r="P181" s="7">
        <v>199</v>
      </c>
      <c r="Q181" s="5">
        <v>0</v>
      </c>
      <c r="R181" s="5">
        <v>199</v>
      </c>
      <c r="S181" s="7">
        <v>27902.2</v>
      </c>
      <c r="T181" s="12">
        <v>43128</v>
      </c>
      <c r="U181" s="4">
        <v>2</v>
      </c>
      <c r="W181" s="14"/>
      <c r="X181" s="45">
        <v>27902.2</v>
      </c>
      <c r="Y181" s="14" t="s">
        <v>56</v>
      </c>
      <c r="Z181" s="14" t="s">
        <v>1355</v>
      </c>
      <c r="AA181" s="14" t="s">
        <v>892</v>
      </c>
      <c r="AB181" s="25">
        <v>43134</v>
      </c>
      <c r="AC181" s="14" t="s">
        <v>804</v>
      </c>
      <c r="AD181" s="14" t="s">
        <v>218</v>
      </c>
      <c r="AE181" s="23" t="s">
        <v>408</v>
      </c>
      <c r="AF181" s="25" t="s">
        <v>1272</v>
      </c>
      <c r="AG181" t="e">
        <f t="shared" si="2"/>
        <v>#REF!</v>
      </c>
      <c r="AI181" s="58"/>
    </row>
    <row r="182" spans="1:41" ht="15.75" customHeight="1">
      <c r="A182" s="13" t="s">
        <v>409</v>
      </c>
      <c r="B182" s="5">
        <v>341</v>
      </c>
      <c r="C182" s="7">
        <v>36525.950000000012</v>
      </c>
      <c r="D182" s="7">
        <v>108</v>
      </c>
      <c r="E182" s="7">
        <v>108</v>
      </c>
      <c r="F182" s="5">
        <v>0</v>
      </c>
      <c r="G182" s="7">
        <v>4024.2</v>
      </c>
      <c r="H182" s="5">
        <v>0</v>
      </c>
      <c r="I182" s="7">
        <v>0</v>
      </c>
      <c r="J182" s="7">
        <v>78</v>
      </c>
      <c r="K182" s="5">
        <v>0</v>
      </c>
      <c r="L182" s="5">
        <v>0</v>
      </c>
      <c r="M182" s="5">
        <v>78</v>
      </c>
      <c r="N182" s="7">
        <v>78</v>
      </c>
      <c r="O182" s="7">
        <v>10611.2</v>
      </c>
      <c r="P182" s="7">
        <v>192</v>
      </c>
      <c r="Q182" s="5">
        <v>0</v>
      </c>
      <c r="R182" s="5">
        <v>192</v>
      </c>
      <c r="S182" s="7">
        <v>28224</v>
      </c>
      <c r="T182" s="12">
        <v>43128</v>
      </c>
      <c r="U182" s="4">
        <v>6</v>
      </c>
      <c r="W182" s="14"/>
      <c r="X182" s="45">
        <v>79385.350000000006</v>
      </c>
      <c r="Y182" s="14" t="s">
        <v>56</v>
      </c>
      <c r="Z182" s="14" t="s">
        <v>1281</v>
      </c>
      <c r="AA182" s="14" t="s">
        <v>877</v>
      </c>
      <c r="AB182" s="25">
        <v>43132</v>
      </c>
      <c r="AC182" s="14" t="s">
        <v>791</v>
      </c>
      <c r="AD182" s="14" t="s">
        <v>51</v>
      </c>
      <c r="AE182" s="23" t="s">
        <v>410</v>
      </c>
      <c r="AF182" s="25" t="s">
        <v>1270</v>
      </c>
      <c r="AG182" t="e">
        <f t="shared" si="2"/>
        <v>#REF!</v>
      </c>
      <c r="AI182" s="58"/>
    </row>
    <row r="183" spans="1:41" ht="15.75" customHeight="1">
      <c r="A183" s="13" t="s">
        <v>411</v>
      </c>
      <c r="B183" s="5">
        <v>0</v>
      </c>
      <c r="C183" s="7">
        <v>0</v>
      </c>
      <c r="D183" s="7">
        <v>0</v>
      </c>
      <c r="E183" s="7">
        <v>0</v>
      </c>
      <c r="F183" s="5">
        <v>0</v>
      </c>
      <c r="G183" s="7">
        <v>0</v>
      </c>
      <c r="H183" s="5">
        <v>575</v>
      </c>
      <c r="I183" s="7">
        <v>63225.500000000015</v>
      </c>
      <c r="J183" s="7">
        <v>0</v>
      </c>
      <c r="K183" s="5">
        <v>0</v>
      </c>
      <c r="L183" s="5">
        <v>0</v>
      </c>
      <c r="M183" s="5">
        <v>0</v>
      </c>
      <c r="N183" s="7">
        <v>0</v>
      </c>
      <c r="O183" s="7">
        <v>0</v>
      </c>
      <c r="P183" s="7">
        <v>0</v>
      </c>
      <c r="Q183" s="5">
        <v>0</v>
      </c>
      <c r="R183" s="5">
        <v>0</v>
      </c>
      <c r="S183" s="7">
        <v>0</v>
      </c>
      <c r="T183" s="12">
        <v>43128</v>
      </c>
      <c r="U183" s="4">
        <v>4</v>
      </c>
      <c r="W183" s="14"/>
      <c r="X183" s="45">
        <v>63225.500000000015</v>
      </c>
      <c r="Y183" s="14" t="s">
        <v>56</v>
      </c>
      <c r="Z183" s="14" t="s">
        <v>59</v>
      </c>
      <c r="AA183" s="14" t="s">
        <v>875</v>
      </c>
      <c r="AB183" s="25">
        <v>43132</v>
      </c>
      <c r="AC183" s="14" t="s">
        <v>790</v>
      </c>
      <c r="AD183" s="14" t="s">
        <v>49</v>
      </c>
      <c r="AE183" s="23" t="s">
        <v>412</v>
      </c>
      <c r="AF183" s="25" t="s">
        <v>1265</v>
      </c>
      <c r="AG183" t="e">
        <f t="shared" si="2"/>
        <v>#REF!</v>
      </c>
      <c r="AI183" s="58"/>
    </row>
    <row r="184" spans="1:41" ht="15.75" customHeight="1">
      <c r="A184" s="13" t="s">
        <v>414</v>
      </c>
      <c r="B184" s="5">
        <v>0</v>
      </c>
      <c r="C184" s="7">
        <v>0</v>
      </c>
      <c r="D184" s="7">
        <v>0</v>
      </c>
      <c r="E184" s="7">
        <v>0</v>
      </c>
      <c r="F184" s="5">
        <v>0</v>
      </c>
      <c r="G184" s="7">
        <v>0</v>
      </c>
      <c r="H184" s="5">
        <v>0</v>
      </c>
      <c r="I184" s="7">
        <v>0</v>
      </c>
      <c r="J184" s="7">
        <v>0</v>
      </c>
      <c r="K184" s="5">
        <v>0</v>
      </c>
      <c r="L184" s="5">
        <v>0</v>
      </c>
      <c r="M184" s="5">
        <v>0</v>
      </c>
      <c r="N184" s="7">
        <v>0</v>
      </c>
      <c r="O184" s="7">
        <v>0</v>
      </c>
      <c r="P184" s="7">
        <v>379</v>
      </c>
      <c r="Q184" s="5">
        <v>0</v>
      </c>
      <c r="R184" s="5">
        <v>379</v>
      </c>
      <c r="S184" s="7">
        <v>63088.2</v>
      </c>
      <c r="T184" s="12">
        <v>43128</v>
      </c>
      <c r="U184" s="4">
        <v>4</v>
      </c>
      <c r="W184" s="14"/>
      <c r="X184" s="45">
        <v>63088.2</v>
      </c>
      <c r="Y184" s="14" t="s">
        <v>54</v>
      </c>
      <c r="Z184" s="14" t="s">
        <v>57</v>
      </c>
      <c r="AA184" s="14" t="s">
        <v>881</v>
      </c>
      <c r="AB184" s="25">
        <v>43135</v>
      </c>
      <c r="AC184" s="14" t="s">
        <v>795</v>
      </c>
      <c r="AD184" s="14" t="s">
        <v>50</v>
      </c>
      <c r="AE184" s="23" t="s">
        <v>415</v>
      </c>
      <c r="AF184" s="25" t="s">
        <v>1269</v>
      </c>
      <c r="AG184" t="e">
        <f t="shared" si="2"/>
        <v>#REF!</v>
      </c>
      <c r="AI184" s="58"/>
    </row>
    <row r="185" spans="1:41" ht="15.75" customHeight="1">
      <c r="A185" s="13" t="s">
        <v>416</v>
      </c>
      <c r="B185" s="5">
        <v>0</v>
      </c>
      <c r="C185" s="7">
        <v>0</v>
      </c>
      <c r="D185" s="7">
        <v>0</v>
      </c>
      <c r="E185" s="7">
        <v>0</v>
      </c>
      <c r="F185" s="5">
        <v>0</v>
      </c>
      <c r="G185" s="7">
        <v>0</v>
      </c>
      <c r="H185" s="5">
        <v>215</v>
      </c>
      <c r="I185" s="7">
        <v>17032.2</v>
      </c>
      <c r="J185" s="7">
        <v>88</v>
      </c>
      <c r="K185" s="5">
        <v>0</v>
      </c>
      <c r="L185" s="5">
        <v>0</v>
      </c>
      <c r="M185" s="5">
        <v>88</v>
      </c>
      <c r="N185" s="7">
        <v>88</v>
      </c>
      <c r="O185" s="7">
        <v>9234.4000000000015</v>
      </c>
      <c r="P185" s="7">
        <v>120</v>
      </c>
      <c r="Q185" s="5">
        <v>0</v>
      </c>
      <c r="R185" s="5">
        <v>120</v>
      </c>
      <c r="S185" s="7">
        <v>18047.2</v>
      </c>
      <c r="T185" s="12">
        <v>43128</v>
      </c>
      <c r="U185" s="4">
        <v>4</v>
      </c>
      <c r="W185" s="14"/>
      <c r="X185" s="45">
        <v>44313.8</v>
      </c>
      <c r="Y185" s="14" t="s">
        <v>56</v>
      </c>
      <c r="Z185" s="14" t="s">
        <v>55</v>
      </c>
      <c r="AA185" s="14" t="s">
        <v>875</v>
      </c>
      <c r="AB185" s="25">
        <v>43132</v>
      </c>
      <c r="AC185" s="14" t="s">
        <v>790</v>
      </c>
      <c r="AD185" s="14" t="s">
        <v>49</v>
      </c>
      <c r="AE185" s="23" t="s">
        <v>417</v>
      </c>
      <c r="AF185" s="25" t="s">
        <v>1266</v>
      </c>
      <c r="AG185" t="e">
        <f t="shared" si="2"/>
        <v>#REF!</v>
      </c>
      <c r="AI185" s="58"/>
    </row>
    <row r="186" spans="1:41" ht="15.75" customHeight="1">
      <c r="A186" s="13" t="s">
        <v>418</v>
      </c>
      <c r="B186" s="5">
        <v>641</v>
      </c>
      <c r="C186" s="7">
        <v>71581.170000000013</v>
      </c>
      <c r="D186" s="7">
        <v>0</v>
      </c>
      <c r="E186" s="7">
        <v>0</v>
      </c>
      <c r="F186" s="5">
        <v>0</v>
      </c>
      <c r="G186" s="7">
        <v>0</v>
      </c>
      <c r="H186" s="5">
        <v>315</v>
      </c>
      <c r="I186" s="7">
        <v>40512.1</v>
      </c>
      <c r="J186" s="7">
        <v>70</v>
      </c>
      <c r="K186" s="5">
        <v>0</v>
      </c>
      <c r="L186" s="5">
        <v>0</v>
      </c>
      <c r="M186" s="5">
        <v>70</v>
      </c>
      <c r="N186" s="7">
        <v>70</v>
      </c>
      <c r="O186" s="7">
        <v>9634.5</v>
      </c>
      <c r="P186" s="7">
        <v>240</v>
      </c>
      <c r="Q186" s="5">
        <v>0</v>
      </c>
      <c r="R186" s="5">
        <v>240</v>
      </c>
      <c r="S186" s="7">
        <v>28128</v>
      </c>
      <c r="T186" s="12">
        <v>43129</v>
      </c>
      <c r="U186" s="4">
        <v>12</v>
      </c>
      <c r="W186" s="14"/>
      <c r="X186" s="45">
        <v>149855.77000000002</v>
      </c>
      <c r="Y186" s="14" t="s">
        <v>56</v>
      </c>
      <c r="Z186" s="14" t="s">
        <v>1281</v>
      </c>
      <c r="AA186" s="14" t="s">
        <v>877</v>
      </c>
      <c r="AB186" s="25">
        <v>43132</v>
      </c>
      <c r="AC186" s="14" t="s">
        <v>791</v>
      </c>
      <c r="AD186" s="14" t="s">
        <v>51</v>
      </c>
      <c r="AE186" s="23" t="s">
        <v>419</v>
      </c>
      <c r="AF186" s="25" t="s">
        <v>1270</v>
      </c>
      <c r="AG186" t="e">
        <f t="shared" si="2"/>
        <v>#REF!</v>
      </c>
      <c r="AI186" s="58"/>
    </row>
    <row r="187" spans="1:41" ht="15.75" customHeight="1">
      <c r="A187" s="13" t="s">
        <v>413</v>
      </c>
      <c r="B187" s="5">
        <v>176</v>
      </c>
      <c r="C187" s="7">
        <v>17722.079999999998</v>
      </c>
      <c r="D187" s="7">
        <v>0</v>
      </c>
      <c r="E187" s="7">
        <v>0</v>
      </c>
      <c r="F187" s="5">
        <v>0</v>
      </c>
      <c r="G187" s="7">
        <v>0</v>
      </c>
      <c r="H187" s="5">
        <v>80</v>
      </c>
      <c r="I187" s="7">
        <v>4357.3999999999996</v>
      </c>
      <c r="J187" s="7">
        <v>59</v>
      </c>
      <c r="K187" s="5">
        <v>0</v>
      </c>
      <c r="L187" s="5">
        <v>0</v>
      </c>
      <c r="M187" s="5">
        <v>59</v>
      </c>
      <c r="N187" s="7">
        <v>59</v>
      </c>
      <c r="O187" s="7">
        <v>7835.7000000000007</v>
      </c>
      <c r="P187" s="7">
        <v>452</v>
      </c>
      <c r="Q187" s="5">
        <v>0</v>
      </c>
      <c r="R187" s="5">
        <v>452</v>
      </c>
      <c r="S187" s="7">
        <v>34641</v>
      </c>
      <c r="T187" s="12">
        <v>43129</v>
      </c>
      <c r="U187" s="4">
        <v>4</v>
      </c>
      <c r="W187" s="14"/>
      <c r="X187" s="45">
        <v>64556.179999999993</v>
      </c>
      <c r="Y187" s="14" t="s">
        <v>85</v>
      </c>
      <c r="Z187" s="14" t="s">
        <v>730</v>
      </c>
      <c r="AA187" s="14">
        <v>350810008070</v>
      </c>
      <c r="AB187" s="25">
        <v>43136</v>
      </c>
      <c r="AC187" s="14" t="s">
        <v>798</v>
      </c>
      <c r="AD187" s="14" t="s">
        <v>49</v>
      </c>
      <c r="AE187" s="23" t="s">
        <v>420</v>
      </c>
      <c r="AF187" s="25" t="s">
        <v>1267</v>
      </c>
      <c r="AG187" t="e">
        <f t="shared" si="2"/>
        <v>#REF!</v>
      </c>
      <c r="AI187" s="58"/>
    </row>
    <row r="188" spans="1:41" ht="15.75" customHeight="1">
      <c r="A188" s="13" t="s">
        <v>421</v>
      </c>
      <c r="B188" s="5">
        <v>0</v>
      </c>
      <c r="C188" s="7">
        <v>0</v>
      </c>
      <c r="D188" s="7">
        <v>255</v>
      </c>
      <c r="E188" s="7">
        <v>255</v>
      </c>
      <c r="F188" s="5">
        <v>0</v>
      </c>
      <c r="G188" s="7">
        <v>9391.5</v>
      </c>
      <c r="H188" s="5">
        <v>561</v>
      </c>
      <c r="I188" s="7">
        <v>69183.33</v>
      </c>
      <c r="J188" s="7">
        <v>0</v>
      </c>
      <c r="K188" s="5">
        <v>0</v>
      </c>
      <c r="L188" s="5">
        <v>0</v>
      </c>
      <c r="M188" s="5">
        <v>0</v>
      </c>
      <c r="N188" s="7">
        <v>0</v>
      </c>
      <c r="O188" s="7">
        <v>0</v>
      </c>
      <c r="P188" s="7">
        <v>0</v>
      </c>
      <c r="Q188" s="5">
        <v>0</v>
      </c>
      <c r="R188" s="5">
        <v>0</v>
      </c>
      <c r="S188" s="7">
        <v>0</v>
      </c>
      <c r="T188" s="12">
        <v>43129</v>
      </c>
      <c r="U188" s="4">
        <v>5</v>
      </c>
      <c r="W188" s="14"/>
      <c r="X188" s="45">
        <v>78574.83</v>
      </c>
      <c r="Y188" s="14" t="s">
        <v>56</v>
      </c>
      <c r="Z188" s="14" t="s">
        <v>59</v>
      </c>
      <c r="AA188" s="14" t="s">
        <v>893</v>
      </c>
      <c r="AB188" s="25">
        <v>43138</v>
      </c>
      <c r="AC188" s="14" t="s">
        <v>805</v>
      </c>
      <c r="AD188" s="14" t="s">
        <v>49</v>
      </c>
      <c r="AE188" s="23" t="s">
        <v>422</v>
      </c>
      <c r="AF188" s="25" t="s">
        <v>1265</v>
      </c>
      <c r="AG188" t="e">
        <f t="shared" si="2"/>
        <v>#REF!</v>
      </c>
      <c r="AI188" s="58"/>
    </row>
    <row r="189" spans="1:41" ht="15.75" customHeight="1">
      <c r="A189" s="13" t="s">
        <v>423</v>
      </c>
      <c r="B189" s="5">
        <v>0</v>
      </c>
      <c r="C189" s="7">
        <v>0</v>
      </c>
      <c r="D189" s="7">
        <v>101</v>
      </c>
      <c r="E189" s="7">
        <v>101</v>
      </c>
      <c r="F189" s="5">
        <v>0</v>
      </c>
      <c r="G189" s="7">
        <v>3903.5</v>
      </c>
      <c r="H189" s="5">
        <v>1020</v>
      </c>
      <c r="I189" s="7">
        <v>127627.84999999998</v>
      </c>
      <c r="J189" s="7">
        <v>0</v>
      </c>
      <c r="K189" s="5">
        <v>0</v>
      </c>
      <c r="L189" s="5">
        <v>0</v>
      </c>
      <c r="M189" s="5">
        <v>0</v>
      </c>
      <c r="N189" s="7">
        <v>0</v>
      </c>
      <c r="O189" s="7">
        <v>0</v>
      </c>
      <c r="P189" s="7">
        <v>0</v>
      </c>
      <c r="Q189" s="5">
        <v>0</v>
      </c>
      <c r="R189" s="5">
        <v>0</v>
      </c>
      <c r="S189" s="7">
        <v>0</v>
      </c>
      <c r="T189" s="12">
        <v>43129</v>
      </c>
      <c r="U189" s="4">
        <v>10</v>
      </c>
      <c r="W189" s="14"/>
      <c r="X189" s="45">
        <v>131531.34999999998</v>
      </c>
      <c r="Y189" s="14" t="s">
        <v>56</v>
      </c>
      <c r="Z189" s="14" t="s">
        <v>55</v>
      </c>
      <c r="AA189" s="14" t="s">
        <v>875</v>
      </c>
      <c r="AB189" s="25">
        <v>43132</v>
      </c>
      <c r="AC189" s="14" t="s">
        <v>790</v>
      </c>
      <c r="AD189" s="14" t="s">
        <v>49</v>
      </c>
      <c r="AE189" s="23" t="s">
        <v>424</v>
      </c>
      <c r="AF189" s="25" t="s">
        <v>1265</v>
      </c>
      <c r="AG189" t="e">
        <f t="shared" si="2"/>
        <v>#REF!</v>
      </c>
      <c r="AI189" s="58"/>
    </row>
    <row r="190" spans="1:41" s="31" customFormat="1" ht="15.75" customHeight="1">
      <c r="A190" s="13" t="s">
        <v>425</v>
      </c>
      <c r="B190" s="5">
        <v>247</v>
      </c>
      <c r="C190" s="7">
        <v>25839.8</v>
      </c>
      <c r="D190" s="7">
        <v>0</v>
      </c>
      <c r="E190" s="7">
        <v>0</v>
      </c>
      <c r="F190" s="5">
        <v>0</v>
      </c>
      <c r="G190" s="7">
        <v>0</v>
      </c>
      <c r="H190" s="5">
        <v>180</v>
      </c>
      <c r="I190" s="7">
        <v>7314</v>
      </c>
      <c r="J190" s="7">
        <v>80</v>
      </c>
      <c r="K190" s="5">
        <v>0</v>
      </c>
      <c r="L190" s="5">
        <v>0</v>
      </c>
      <c r="M190" s="5">
        <v>80</v>
      </c>
      <c r="N190" s="7">
        <v>80</v>
      </c>
      <c r="O190" s="7">
        <v>4202.8</v>
      </c>
      <c r="P190" s="7">
        <v>207</v>
      </c>
      <c r="Q190" s="5">
        <v>0</v>
      </c>
      <c r="R190" s="5">
        <v>207</v>
      </c>
      <c r="S190" s="7">
        <v>31726.6</v>
      </c>
      <c r="T190" s="12">
        <v>43129</v>
      </c>
      <c r="U190" s="4">
        <v>5</v>
      </c>
      <c r="V190" s="4"/>
      <c r="W190" s="14"/>
      <c r="X190" s="45">
        <v>69083.200000000012</v>
      </c>
      <c r="Y190" s="14" t="s">
        <v>54</v>
      </c>
      <c r="Z190" s="14" t="s">
        <v>57</v>
      </c>
      <c r="AA190" s="14" t="s">
        <v>881</v>
      </c>
      <c r="AB190" s="25">
        <v>43135</v>
      </c>
      <c r="AC190" s="14" t="s">
        <v>795</v>
      </c>
      <c r="AD190" s="14" t="s">
        <v>50</v>
      </c>
      <c r="AE190" s="23" t="s">
        <v>426</v>
      </c>
      <c r="AF190" s="25" t="s">
        <v>1269</v>
      </c>
      <c r="AG190" t="e">
        <f t="shared" si="2"/>
        <v>#REF!</v>
      </c>
      <c r="AH190"/>
      <c r="AI190" s="58"/>
      <c r="AJ190" s="30"/>
      <c r="AK190" s="34"/>
      <c r="AL190" s="34"/>
      <c r="AM190" s="34"/>
      <c r="AN190" s="30"/>
      <c r="AO190" s="30"/>
    </row>
    <row r="191" spans="1:41" ht="15.75" customHeight="1">
      <c r="A191" s="13" t="s">
        <v>427</v>
      </c>
      <c r="B191" s="5">
        <v>1395</v>
      </c>
      <c r="C191" s="7">
        <v>147164.74</v>
      </c>
      <c r="D191" s="7">
        <v>0</v>
      </c>
      <c r="E191" s="7">
        <v>0</v>
      </c>
      <c r="F191" s="5">
        <v>0</v>
      </c>
      <c r="G191" s="7">
        <v>0</v>
      </c>
      <c r="H191" s="5">
        <v>20</v>
      </c>
      <c r="I191" s="7">
        <v>495.5</v>
      </c>
      <c r="J191" s="7">
        <v>5</v>
      </c>
      <c r="K191" s="5">
        <v>0</v>
      </c>
      <c r="L191" s="5">
        <v>0</v>
      </c>
      <c r="M191" s="5">
        <v>5</v>
      </c>
      <c r="N191" s="7">
        <v>5</v>
      </c>
      <c r="O191" s="7">
        <v>116.5</v>
      </c>
      <c r="P191" s="7">
        <v>406</v>
      </c>
      <c r="Q191" s="5">
        <v>0</v>
      </c>
      <c r="R191" s="5">
        <v>406</v>
      </c>
      <c r="S191" s="7">
        <v>75930.100000000006</v>
      </c>
      <c r="T191" s="12">
        <v>43130</v>
      </c>
      <c r="U191" s="4">
        <v>17</v>
      </c>
      <c r="W191" s="14"/>
      <c r="X191" s="45">
        <v>223706.84</v>
      </c>
      <c r="Y191" s="14" t="s">
        <v>54</v>
      </c>
      <c r="Z191" s="14" t="s">
        <v>57</v>
      </c>
      <c r="AA191" s="14" t="s">
        <v>894</v>
      </c>
      <c r="AB191" s="25">
        <v>43137</v>
      </c>
      <c r="AC191" s="14" t="s">
        <v>806</v>
      </c>
      <c r="AD191" s="14" t="s">
        <v>50</v>
      </c>
      <c r="AE191" s="23" t="s">
        <v>449</v>
      </c>
      <c r="AF191" s="25" t="s">
        <v>1269</v>
      </c>
      <c r="AG191" t="e">
        <f t="shared" si="2"/>
        <v>#REF!</v>
      </c>
      <c r="AI191" s="58"/>
    </row>
    <row r="192" spans="1:41" ht="15.75" customHeight="1">
      <c r="A192" s="13" t="s">
        <v>428</v>
      </c>
      <c r="B192" s="5">
        <v>626</v>
      </c>
      <c r="C192" s="7">
        <v>44379.599999999991</v>
      </c>
      <c r="D192" s="7">
        <v>0</v>
      </c>
      <c r="E192" s="7">
        <v>0</v>
      </c>
      <c r="F192" s="5">
        <v>0</v>
      </c>
      <c r="G192" s="7">
        <v>0</v>
      </c>
      <c r="H192" s="5">
        <v>742</v>
      </c>
      <c r="I192" s="7">
        <v>91746.630000000034</v>
      </c>
      <c r="J192" s="7">
        <v>356</v>
      </c>
      <c r="K192" s="5">
        <v>0</v>
      </c>
      <c r="L192" s="5">
        <v>0</v>
      </c>
      <c r="M192" s="5">
        <v>356</v>
      </c>
      <c r="N192" s="7">
        <v>356</v>
      </c>
      <c r="O192" s="7">
        <v>59159.399999999994</v>
      </c>
      <c r="P192" s="7">
        <v>108</v>
      </c>
      <c r="Q192" s="5">
        <v>0</v>
      </c>
      <c r="R192" s="5">
        <v>108</v>
      </c>
      <c r="S192" s="7">
        <v>20833.2</v>
      </c>
      <c r="T192" s="12">
        <v>43130</v>
      </c>
      <c r="U192" s="4">
        <v>17</v>
      </c>
      <c r="W192" s="14"/>
      <c r="X192" s="45">
        <v>216118.83000000005</v>
      </c>
      <c r="Y192" s="14" t="s">
        <v>56</v>
      </c>
      <c r="Z192" s="14" t="s">
        <v>59</v>
      </c>
      <c r="AA192" s="14" t="s">
        <v>895</v>
      </c>
      <c r="AB192" s="25">
        <v>43139</v>
      </c>
      <c r="AC192" s="14" t="s">
        <v>807</v>
      </c>
      <c r="AD192" s="14" t="s">
        <v>51</v>
      </c>
      <c r="AE192" s="23" t="s">
        <v>429</v>
      </c>
      <c r="AF192" s="25" t="s">
        <v>1270</v>
      </c>
      <c r="AG192" t="e">
        <f t="shared" si="2"/>
        <v>#REF!</v>
      </c>
      <c r="AI192" s="58"/>
    </row>
    <row r="193" spans="1:41" ht="15.75" customHeight="1">
      <c r="A193" s="13" t="s">
        <v>430</v>
      </c>
      <c r="B193" s="5">
        <v>472</v>
      </c>
      <c r="C193" s="7">
        <v>54034.12000000001</v>
      </c>
      <c r="D193" s="7">
        <v>0</v>
      </c>
      <c r="E193" s="7">
        <v>0</v>
      </c>
      <c r="F193" s="5">
        <v>0</v>
      </c>
      <c r="G193" s="7">
        <v>0</v>
      </c>
      <c r="H193" s="5">
        <v>841</v>
      </c>
      <c r="I193" s="7">
        <v>90777.639999999985</v>
      </c>
      <c r="J193" s="7">
        <v>0</v>
      </c>
      <c r="K193" s="5">
        <v>0</v>
      </c>
      <c r="L193" s="5">
        <v>0</v>
      </c>
      <c r="M193" s="5">
        <v>0</v>
      </c>
      <c r="N193" s="7">
        <v>0</v>
      </c>
      <c r="O193" s="7">
        <v>0</v>
      </c>
      <c r="P193" s="7">
        <v>195</v>
      </c>
      <c r="Q193" s="5">
        <v>0</v>
      </c>
      <c r="R193" s="5">
        <v>195</v>
      </c>
      <c r="S193" s="7">
        <v>32076</v>
      </c>
      <c r="T193" s="12">
        <v>43130</v>
      </c>
      <c r="U193" s="4">
        <v>12</v>
      </c>
      <c r="W193" s="14"/>
      <c r="X193" s="45">
        <v>176887.76</v>
      </c>
      <c r="Y193" s="14" t="s">
        <v>56</v>
      </c>
      <c r="Z193" s="14" t="s">
        <v>1281</v>
      </c>
      <c r="AA193" s="14" t="s">
        <v>877</v>
      </c>
      <c r="AB193" s="25">
        <v>43132</v>
      </c>
      <c r="AC193" s="14" t="s">
        <v>791</v>
      </c>
      <c r="AD193" s="14" t="s">
        <v>51</v>
      </c>
      <c r="AE193" s="23" t="s">
        <v>431</v>
      </c>
      <c r="AF193" s="25" t="s">
        <v>1270</v>
      </c>
      <c r="AG193" t="e">
        <f t="shared" si="2"/>
        <v>#REF!</v>
      </c>
      <c r="AI193" s="58"/>
    </row>
    <row r="194" spans="1:41" s="37" customFormat="1" ht="15.75" customHeight="1">
      <c r="A194" s="13" t="s">
        <v>432</v>
      </c>
      <c r="B194" s="5">
        <v>0</v>
      </c>
      <c r="C194" s="7">
        <v>0</v>
      </c>
      <c r="D194" s="7">
        <v>0</v>
      </c>
      <c r="E194" s="7">
        <v>0</v>
      </c>
      <c r="F194" s="5">
        <v>0</v>
      </c>
      <c r="G194" s="7">
        <v>0</v>
      </c>
      <c r="H194" s="5">
        <v>135</v>
      </c>
      <c r="I194" s="7">
        <v>13961.999999999998</v>
      </c>
      <c r="J194" s="7">
        <v>53</v>
      </c>
      <c r="K194" s="5">
        <v>0</v>
      </c>
      <c r="L194" s="5">
        <v>0</v>
      </c>
      <c r="M194" s="5">
        <v>53</v>
      </c>
      <c r="N194" s="7">
        <v>53</v>
      </c>
      <c r="O194" s="7">
        <v>9655.2999999999993</v>
      </c>
      <c r="P194" s="7">
        <v>0</v>
      </c>
      <c r="Q194" s="5">
        <v>0</v>
      </c>
      <c r="R194" s="5">
        <v>0</v>
      </c>
      <c r="S194" s="7">
        <v>0</v>
      </c>
      <c r="T194" s="12">
        <v>43130</v>
      </c>
      <c r="U194" s="4">
        <v>2</v>
      </c>
      <c r="V194" s="4"/>
      <c r="W194" s="14"/>
      <c r="X194" s="45">
        <v>23617.299999999996</v>
      </c>
      <c r="Y194" s="14" t="s">
        <v>1634</v>
      </c>
      <c r="Z194" s="14" t="s">
        <v>1355</v>
      </c>
      <c r="AA194" s="14" t="s">
        <v>884</v>
      </c>
      <c r="AB194" s="25">
        <v>43134</v>
      </c>
      <c r="AC194" s="14" t="s">
        <v>797</v>
      </c>
      <c r="AD194" s="14" t="s">
        <v>70</v>
      </c>
      <c r="AE194" s="23" t="s">
        <v>433</v>
      </c>
      <c r="AF194" s="25" t="s">
        <v>1273</v>
      </c>
      <c r="AG194" t="e">
        <f t="shared" si="2"/>
        <v>#REF!</v>
      </c>
      <c r="AH194"/>
      <c r="AI194" s="58"/>
      <c r="AJ194"/>
      <c r="AK194" s="36"/>
      <c r="AL194" s="36"/>
      <c r="AM194" s="36"/>
      <c r="AN194" s="36"/>
      <c r="AO194" s="36"/>
    </row>
    <row r="195" spans="1:41" ht="15.75" customHeight="1">
      <c r="A195" s="13" t="s">
        <v>434</v>
      </c>
      <c r="B195" s="5">
        <v>0</v>
      </c>
      <c r="C195" s="7">
        <v>0</v>
      </c>
      <c r="D195" s="7">
        <v>0</v>
      </c>
      <c r="E195" s="7">
        <v>0</v>
      </c>
      <c r="F195" s="5">
        <v>0</v>
      </c>
      <c r="G195" s="7">
        <v>0</v>
      </c>
      <c r="H195" s="5">
        <v>0</v>
      </c>
      <c r="I195" s="7">
        <v>0</v>
      </c>
      <c r="J195" s="7">
        <v>0</v>
      </c>
      <c r="K195" s="5">
        <v>0</v>
      </c>
      <c r="L195" s="5">
        <v>0</v>
      </c>
      <c r="M195" s="5">
        <v>0</v>
      </c>
      <c r="N195" s="7">
        <v>0</v>
      </c>
      <c r="O195" s="7">
        <v>0</v>
      </c>
      <c r="P195" s="7">
        <v>100</v>
      </c>
      <c r="Q195" s="5">
        <v>0</v>
      </c>
      <c r="R195" s="5">
        <v>100</v>
      </c>
      <c r="S195" s="7">
        <v>14088</v>
      </c>
      <c r="T195" s="12">
        <v>43130</v>
      </c>
      <c r="U195" s="4">
        <v>1</v>
      </c>
      <c r="W195" s="14"/>
      <c r="X195" s="45">
        <v>14088</v>
      </c>
      <c r="Y195" s="14" t="s">
        <v>56</v>
      </c>
      <c r="Z195" s="14" t="s">
        <v>1355</v>
      </c>
      <c r="AA195" s="14" t="s">
        <v>875</v>
      </c>
      <c r="AB195" s="25">
        <v>43132</v>
      </c>
      <c r="AC195" s="14" t="s">
        <v>790</v>
      </c>
      <c r="AD195" s="14" t="s">
        <v>49</v>
      </c>
      <c r="AE195" s="23" t="s">
        <v>435</v>
      </c>
      <c r="AF195" s="25" t="s">
        <v>1268</v>
      </c>
      <c r="AG195" t="e">
        <f t="shared" ref="AG195:AG258" si="3">+VLOOKUP(AF195,AH:AH,2,0)</f>
        <v>#REF!</v>
      </c>
      <c r="AI195" s="58"/>
    </row>
    <row r="196" spans="1:41" ht="15.75" customHeight="1">
      <c r="A196" s="13" t="s">
        <v>436</v>
      </c>
      <c r="B196" s="5">
        <v>138</v>
      </c>
      <c r="C196" s="7">
        <v>13548.380000000001</v>
      </c>
      <c r="D196" s="7">
        <v>0</v>
      </c>
      <c r="E196" s="7">
        <v>0</v>
      </c>
      <c r="F196" s="5">
        <v>0</v>
      </c>
      <c r="G196" s="7">
        <v>0</v>
      </c>
      <c r="H196" s="5">
        <v>0</v>
      </c>
      <c r="I196" s="7">
        <v>0</v>
      </c>
      <c r="J196" s="7">
        <v>37</v>
      </c>
      <c r="K196" s="5">
        <v>0</v>
      </c>
      <c r="L196" s="5">
        <v>0</v>
      </c>
      <c r="M196" s="5">
        <v>37</v>
      </c>
      <c r="N196" s="7">
        <v>37</v>
      </c>
      <c r="O196" s="7">
        <v>6982</v>
      </c>
      <c r="P196" s="7">
        <v>539</v>
      </c>
      <c r="Q196" s="5">
        <v>0</v>
      </c>
      <c r="R196" s="5">
        <v>539</v>
      </c>
      <c r="S196" s="7">
        <v>55097.3</v>
      </c>
      <c r="T196" s="12">
        <v>43130</v>
      </c>
      <c r="U196" s="4">
        <v>4</v>
      </c>
      <c r="W196" s="14"/>
      <c r="X196" s="45">
        <v>75627.680000000008</v>
      </c>
      <c r="Y196" s="14" t="s">
        <v>56</v>
      </c>
      <c r="Z196" s="14" t="s">
        <v>55</v>
      </c>
      <c r="AA196" s="14" t="s">
        <v>875</v>
      </c>
      <c r="AB196" s="25">
        <v>43132</v>
      </c>
      <c r="AC196" s="14" t="s">
        <v>790</v>
      </c>
      <c r="AD196" s="14" t="s">
        <v>49</v>
      </c>
      <c r="AE196" s="23" t="s">
        <v>437</v>
      </c>
      <c r="AF196" s="25" t="s">
        <v>1266</v>
      </c>
      <c r="AG196" t="e">
        <f t="shared" si="3"/>
        <v>#REF!</v>
      </c>
      <c r="AI196" s="58"/>
    </row>
    <row r="197" spans="1:41" s="42" customFormat="1" ht="15.75" customHeight="1">
      <c r="A197" s="13" t="s">
        <v>438</v>
      </c>
      <c r="B197" s="5">
        <v>737</v>
      </c>
      <c r="C197" s="7">
        <v>97328.069999999992</v>
      </c>
      <c r="D197" s="7">
        <v>0</v>
      </c>
      <c r="E197" s="7">
        <v>0</v>
      </c>
      <c r="F197" s="5">
        <v>0</v>
      </c>
      <c r="G197" s="7">
        <v>0</v>
      </c>
      <c r="H197" s="5">
        <v>813</v>
      </c>
      <c r="I197" s="7">
        <v>80023.100000000006</v>
      </c>
      <c r="J197" s="7">
        <v>60</v>
      </c>
      <c r="K197" s="5">
        <v>0</v>
      </c>
      <c r="L197" s="5">
        <v>0</v>
      </c>
      <c r="M197" s="5">
        <v>60</v>
      </c>
      <c r="N197" s="7">
        <v>60</v>
      </c>
      <c r="O197" s="7">
        <v>1086</v>
      </c>
      <c r="P197" s="7">
        <v>180</v>
      </c>
      <c r="Q197" s="5">
        <v>0</v>
      </c>
      <c r="R197" s="5">
        <v>180</v>
      </c>
      <c r="S197" s="7">
        <v>16189.8</v>
      </c>
      <c r="T197" s="12">
        <v>43131</v>
      </c>
      <c r="U197" s="4">
        <v>15</v>
      </c>
      <c r="V197" s="4"/>
      <c r="W197" s="14"/>
      <c r="X197" s="45">
        <v>194626.96999999997</v>
      </c>
      <c r="Y197" s="14" t="s">
        <v>54</v>
      </c>
      <c r="Z197" s="14" t="s">
        <v>1281</v>
      </c>
      <c r="AA197" s="14" t="s">
        <v>896</v>
      </c>
      <c r="AB197" s="25">
        <v>43135</v>
      </c>
      <c r="AC197" s="14" t="s">
        <v>808</v>
      </c>
      <c r="AD197" s="14" t="s">
        <v>51</v>
      </c>
      <c r="AE197" s="23" t="s">
        <v>439</v>
      </c>
      <c r="AF197" s="25" t="s">
        <v>1270</v>
      </c>
      <c r="AG197" t="e">
        <f t="shared" si="3"/>
        <v>#REF!</v>
      </c>
      <c r="AH197"/>
      <c r="AI197" s="58"/>
      <c r="AJ197"/>
      <c r="AK197" s="41"/>
      <c r="AL197" s="41"/>
      <c r="AM197" s="41"/>
      <c r="AN197" s="41"/>
      <c r="AO197" s="41"/>
    </row>
    <row r="198" spans="1:41" s="42" customFormat="1" ht="15.75" customHeight="1">
      <c r="A198" s="13" t="s">
        <v>440</v>
      </c>
      <c r="B198" s="5">
        <v>286</v>
      </c>
      <c r="C198" s="7">
        <v>33423.460000000006</v>
      </c>
      <c r="D198" s="7">
        <v>0</v>
      </c>
      <c r="E198" s="7">
        <v>0</v>
      </c>
      <c r="F198" s="5">
        <v>0</v>
      </c>
      <c r="G198" s="7">
        <v>0</v>
      </c>
      <c r="H198" s="5">
        <v>77</v>
      </c>
      <c r="I198" s="7">
        <v>9770.9600000000009</v>
      </c>
      <c r="J198" s="7">
        <v>41</v>
      </c>
      <c r="K198" s="5">
        <v>0</v>
      </c>
      <c r="L198" s="5">
        <v>0</v>
      </c>
      <c r="M198" s="5">
        <v>41</v>
      </c>
      <c r="N198" s="7">
        <v>41</v>
      </c>
      <c r="O198" s="7">
        <v>5037.7000000000007</v>
      </c>
      <c r="P198" s="7">
        <v>0</v>
      </c>
      <c r="Q198" s="5">
        <v>0</v>
      </c>
      <c r="R198" s="5">
        <v>0</v>
      </c>
      <c r="S198" s="7">
        <v>0</v>
      </c>
      <c r="T198" s="12">
        <v>43131</v>
      </c>
      <c r="U198" s="4">
        <v>4</v>
      </c>
      <c r="V198" s="4"/>
      <c r="W198" s="14"/>
      <c r="X198" s="45">
        <v>48232.12000000001</v>
      </c>
      <c r="Y198" s="14" t="s">
        <v>54</v>
      </c>
      <c r="Z198" s="14" t="s">
        <v>730</v>
      </c>
      <c r="AA198" s="14" t="s">
        <v>897</v>
      </c>
      <c r="AB198" s="25">
        <v>43135</v>
      </c>
      <c r="AC198" s="14" t="s">
        <v>808</v>
      </c>
      <c r="AD198" s="14" t="s">
        <v>52</v>
      </c>
      <c r="AE198" s="23" t="s">
        <v>441</v>
      </c>
      <c r="AF198" s="25" t="s">
        <v>1271</v>
      </c>
      <c r="AG198" t="e">
        <f t="shared" si="3"/>
        <v>#REF!</v>
      </c>
      <c r="AH198"/>
      <c r="AI198" s="58"/>
      <c r="AJ198"/>
      <c r="AK198" s="41"/>
      <c r="AL198" s="41"/>
      <c r="AM198" s="41"/>
      <c r="AN198" s="41"/>
      <c r="AO198" s="41"/>
    </row>
    <row r="199" spans="1:41" s="42" customFormat="1" ht="15.75" customHeight="1">
      <c r="A199" s="13" t="s">
        <v>442</v>
      </c>
      <c r="B199" s="5">
        <v>128</v>
      </c>
      <c r="C199" s="7">
        <v>12636.2</v>
      </c>
      <c r="D199" s="7">
        <v>0</v>
      </c>
      <c r="E199" s="7">
        <v>0</v>
      </c>
      <c r="F199" s="5">
        <v>0</v>
      </c>
      <c r="G199" s="7">
        <v>0</v>
      </c>
      <c r="H199" s="5">
        <v>0</v>
      </c>
      <c r="I199" s="7">
        <v>0</v>
      </c>
      <c r="J199" s="7">
        <v>0</v>
      </c>
      <c r="K199" s="5">
        <v>0</v>
      </c>
      <c r="L199" s="5">
        <v>0</v>
      </c>
      <c r="M199" s="5">
        <v>0</v>
      </c>
      <c r="N199" s="7">
        <v>0</v>
      </c>
      <c r="O199" s="7">
        <v>0</v>
      </c>
      <c r="P199" s="7">
        <v>0</v>
      </c>
      <c r="Q199" s="5">
        <v>0</v>
      </c>
      <c r="R199" s="5">
        <v>0</v>
      </c>
      <c r="S199" s="7">
        <v>0</v>
      </c>
      <c r="T199" s="12">
        <v>43131</v>
      </c>
      <c r="U199" s="4">
        <v>1</v>
      </c>
      <c r="V199" s="4"/>
      <c r="W199" s="14"/>
      <c r="X199" s="45">
        <v>12636.2</v>
      </c>
      <c r="Y199" s="14" t="s">
        <v>54</v>
      </c>
      <c r="Z199" s="14" t="s">
        <v>730</v>
      </c>
      <c r="AA199" s="14" t="s">
        <v>889</v>
      </c>
      <c r="AB199" s="25">
        <v>43135</v>
      </c>
      <c r="AC199" s="14" t="s">
        <v>795</v>
      </c>
      <c r="AD199" s="14" t="s">
        <v>49</v>
      </c>
      <c r="AE199" s="23" t="s">
        <v>443</v>
      </c>
      <c r="AF199" s="25" t="s">
        <v>1267</v>
      </c>
      <c r="AG199" t="e">
        <f t="shared" si="3"/>
        <v>#REF!</v>
      </c>
      <c r="AH199"/>
      <c r="AI199" s="58"/>
      <c r="AJ199"/>
      <c r="AK199" s="41"/>
      <c r="AL199" s="41"/>
      <c r="AM199" s="41"/>
      <c r="AN199" s="41"/>
      <c r="AO199" s="41"/>
    </row>
    <row r="200" spans="1:41" s="42" customFormat="1" ht="15.75" customHeight="1">
      <c r="A200" s="13" t="s">
        <v>444</v>
      </c>
      <c r="B200" s="5">
        <v>0</v>
      </c>
      <c r="C200" s="7">
        <v>0</v>
      </c>
      <c r="D200" s="7">
        <v>0</v>
      </c>
      <c r="E200" s="7">
        <v>0</v>
      </c>
      <c r="F200" s="5">
        <v>0</v>
      </c>
      <c r="G200" s="7">
        <v>0</v>
      </c>
      <c r="H200" s="5">
        <v>1376</v>
      </c>
      <c r="I200" s="7">
        <v>155345.46999999997</v>
      </c>
      <c r="J200" s="7">
        <v>260</v>
      </c>
      <c r="K200" s="5">
        <v>0</v>
      </c>
      <c r="L200" s="5">
        <v>0</v>
      </c>
      <c r="M200" s="5">
        <v>260</v>
      </c>
      <c r="N200" s="7">
        <v>260</v>
      </c>
      <c r="O200" s="7">
        <v>10483</v>
      </c>
      <c r="P200" s="7">
        <v>0</v>
      </c>
      <c r="Q200" s="5">
        <v>0</v>
      </c>
      <c r="R200" s="5">
        <v>0</v>
      </c>
      <c r="S200" s="7">
        <v>0</v>
      </c>
      <c r="T200" s="12">
        <v>43131</v>
      </c>
      <c r="U200" s="4">
        <v>11</v>
      </c>
      <c r="V200" s="4"/>
      <c r="W200" s="14"/>
      <c r="X200" s="45">
        <v>165828.46999999997</v>
      </c>
      <c r="Y200" s="14" t="s">
        <v>54</v>
      </c>
      <c r="Z200" s="14" t="s">
        <v>59</v>
      </c>
      <c r="AA200" s="14" t="s">
        <v>889</v>
      </c>
      <c r="AB200" s="25">
        <v>43135</v>
      </c>
      <c r="AC200" s="14" t="s">
        <v>795</v>
      </c>
      <c r="AD200" s="14" t="s">
        <v>49</v>
      </c>
      <c r="AE200" s="23" t="s">
        <v>445</v>
      </c>
      <c r="AF200" s="25" t="s">
        <v>1265</v>
      </c>
      <c r="AG200" t="e">
        <f t="shared" si="3"/>
        <v>#REF!</v>
      </c>
      <c r="AH200"/>
      <c r="AI200" s="58"/>
      <c r="AJ200"/>
      <c r="AK200" s="41"/>
      <c r="AL200" s="41"/>
      <c r="AM200" s="41"/>
      <c r="AN200" s="41"/>
      <c r="AO200" s="41"/>
    </row>
    <row r="201" spans="1:41" s="42" customFormat="1" ht="15.75" customHeight="1">
      <c r="A201" s="13" t="s">
        <v>447</v>
      </c>
      <c r="B201" s="5">
        <v>0</v>
      </c>
      <c r="C201" s="7">
        <v>0</v>
      </c>
      <c r="D201" s="7">
        <v>0</v>
      </c>
      <c r="E201" s="7">
        <v>0</v>
      </c>
      <c r="F201" s="5">
        <v>0</v>
      </c>
      <c r="G201" s="7">
        <v>0</v>
      </c>
      <c r="H201" s="5">
        <v>0</v>
      </c>
      <c r="I201" s="7">
        <v>0</v>
      </c>
      <c r="J201" s="7">
        <v>69</v>
      </c>
      <c r="K201" s="5">
        <v>0</v>
      </c>
      <c r="L201" s="5">
        <v>0</v>
      </c>
      <c r="M201" s="5">
        <v>69</v>
      </c>
      <c r="N201" s="7">
        <v>69</v>
      </c>
      <c r="O201" s="7">
        <v>9839.7000000000007</v>
      </c>
      <c r="P201" s="7">
        <v>182</v>
      </c>
      <c r="Q201" s="5">
        <v>0</v>
      </c>
      <c r="R201" s="5">
        <v>182</v>
      </c>
      <c r="S201" s="7">
        <v>34346.400000000001</v>
      </c>
      <c r="T201" s="12">
        <v>43131</v>
      </c>
      <c r="U201" s="4">
        <v>3</v>
      </c>
      <c r="V201" s="4"/>
      <c r="W201" s="14"/>
      <c r="X201" s="45">
        <v>44186.100000000006</v>
      </c>
      <c r="Y201" s="14" t="s">
        <v>54</v>
      </c>
      <c r="Z201" s="14" t="s">
        <v>55</v>
      </c>
      <c r="AA201" s="14" t="s">
        <v>891</v>
      </c>
      <c r="AB201" s="25">
        <v>43140</v>
      </c>
      <c r="AC201" s="14" t="s">
        <v>803</v>
      </c>
      <c r="AD201" s="14" t="s">
        <v>50</v>
      </c>
      <c r="AE201" s="23" t="s">
        <v>448</v>
      </c>
      <c r="AF201" s="25" t="s">
        <v>1269</v>
      </c>
      <c r="AG201" t="e">
        <f t="shared" si="3"/>
        <v>#REF!</v>
      </c>
      <c r="AH201"/>
      <c r="AI201" s="58"/>
      <c r="AJ201"/>
      <c r="AK201" s="41"/>
      <c r="AL201" s="41"/>
      <c r="AM201" s="41"/>
      <c r="AN201" s="41"/>
      <c r="AO201" s="41"/>
    </row>
    <row r="202" spans="1:41" ht="15.75" customHeight="1">
      <c r="A202" s="13" t="s">
        <v>450</v>
      </c>
      <c r="B202" s="5">
        <v>1077</v>
      </c>
      <c r="C202" s="7">
        <v>125603.81999999998</v>
      </c>
      <c r="D202" s="7">
        <v>0</v>
      </c>
      <c r="E202" s="7">
        <v>0</v>
      </c>
      <c r="F202" s="5">
        <v>0</v>
      </c>
      <c r="G202" s="7">
        <v>0</v>
      </c>
      <c r="H202" s="5">
        <v>0</v>
      </c>
      <c r="I202" s="7">
        <v>0</v>
      </c>
      <c r="J202" s="7">
        <v>185</v>
      </c>
      <c r="K202" s="5">
        <v>0</v>
      </c>
      <c r="L202" s="5">
        <v>0</v>
      </c>
      <c r="M202" s="5">
        <v>185</v>
      </c>
      <c r="N202" s="7">
        <v>185</v>
      </c>
      <c r="O202" s="7">
        <v>20462.499999999996</v>
      </c>
      <c r="P202" s="7">
        <v>323</v>
      </c>
      <c r="Q202" s="5">
        <v>0</v>
      </c>
      <c r="R202" s="5">
        <v>323</v>
      </c>
      <c r="S202" s="7">
        <v>70624.899999999994</v>
      </c>
      <c r="T202" s="12">
        <v>43132</v>
      </c>
      <c r="U202" s="4">
        <v>16</v>
      </c>
      <c r="W202" s="14"/>
      <c r="X202" s="45">
        <v>216691.21999999997</v>
      </c>
      <c r="Y202" s="14" t="s">
        <v>54</v>
      </c>
      <c r="Z202" s="14" t="s">
        <v>57</v>
      </c>
      <c r="AA202" s="14" t="s">
        <v>894</v>
      </c>
      <c r="AB202" s="25">
        <v>43137</v>
      </c>
      <c r="AC202" s="14" t="s">
        <v>806</v>
      </c>
      <c r="AD202" s="14" t="s">
        <v>50</v>
      </c>
      <c r="AE202" s="23" t="s">
        <v>451</v>
      </c>
      <c r="AF202" s="25" t="s">
        <v>1269</v>
      </c>
      <c r="AG202" t="e">
        <f t="shared" si="3"/>
        <v>#REF!</v>
      </c>
      <c r="AI202" s="58"/>
    </row>
    <row r="203" spans="1:41" ht="15.75" customHeight="1">
      <c r="A203" s="13" t="s">
        <v>452</v>
      </c>
      <c r="B203" s="5">
        <v>496</v>
      </c>
      <c r="C203" s="7">
        <v>48665.280000000006</v>
      </c>
      <c r="D203" s="7">
        <v>0</v>
      </c>
      <c r="E203" s="7">
        <v>0</v>
      </c>
      <c r="F203" s="5">
        <v>0</v>
      </c>
      <c r="G203" s="7">
        <v>0</v>
      </c>
      <c r="H203" s="5">
        <v>512</v>
      </c>
      <c r="I203" s="7">
        <v>17985.8</v>
      </c>
      <c r="J203" s="7">
        <v>15</v>
      </c>
      <c r="K203" s="5">
        <v>0</v>
      </c>
      <c r="L203" s="5">
        <v>0</v>
      </c>
      <c r="M203" s="5">
        <v>15</v>
      </c>
      <c r="N203" s="7">
        <v>15</v>
      </c>
      <c r="O203" s="7">
        <v>1373.3</v>
      </c>
      <c r="P203" s="7">
        <v>426</v>
      </c>
      <c r="Q203" s="5">
        <v>0</v>
      </c>
      <c r="R203" s="5">
        <v>426</v>
      </c>
      <c r="S203" s="7">
        <v>66075.799999999988</v>
      </c>
      <c r="T203" s="12">
        <v>43132</v>
      </c>
      <c r="U203" s="4">
        <v>10</v>
      </c>
      <c r="W203" s="14"/>
      <c r="X203" s="45">
        <v>134100.18</v>
      </c>
      <c r="Y203" s="14" t="s">
        <v>85</v>
      </c>
      <c r="Z203" s="14" t="s">
        <v>1355</v>
      </c>
      <c r="AA203" s="14">
        <v>350810008087</v>
      </c>
      <c r="AB203" s="25">
        <v>43137</v>
      </c>
      <c r="AC203" s="14" t="s">
        <v>798</v>
      </c>
      <c r="AD203" s="14" t="s">
        <v>115</v>
      </c>
      <c r="AE203" s="23" t="s">
        <v>453</v>
      </c>
      <c r="AF203" s="25" t="s">
        <v>1275</v>
      </c>
      <c r="AG203" t="e">
        <f t="shared" si="3"/>
        <v>#REF!</v>
      </c>
      <c r="AI203" s="58"/>
    </row>
    <row r="204" spans="1:41" s="31" customFormat="1" ht="15.75" customHeight="1">
      <c r="A204" s="13" t="s">
        <v>454</v>
      </c>
      <c r="B204" s="5">
        <v>0</v>
      </c>
      <c r="C204" s="7">
        <v>0</v>
      </c>
      <c r="D204" s="7">
        <v>0</v>
      </c>
      <c r="E204" s="7">
        <v>0</v>
      </c>
      <c r="F204" s="5">
        <v>0</v>
      </c>
      <c r="G204" s="7">
        <v>0</v>
      </c>
      <c r="H204" s="5">
        <v>95</v>
      </c>
      <c r="I204" s="7">
        <v>12156.2</v>
      </c>
      <c r="J204" s="7">
        <v>0</v>
      </c>
      <c r="K204" s="5">
        <v>0</v>
      </c>
      <c r="L204" s="5">
        <v>0</v>
      </c>
      <c r="M204" s="5">
        <v>0</v>
      </c>
      <c r="N204" s="7">
        <v>0</v>
      </c>
      <c r="O204" s="7">
        <v>0</v>
      </c>
      <c r="P204" s="7">
        <v>159</v>
      </c>
      <c r="Q204" s="5">
        <v>0</v>
      </c>
      <c r="R204" s="5">
        <v>159</v>
      </c>
      <c r="S204" s="7">
        <v>30709</v>
      </c>
      <c r="T204" s="12">
        <v>43132</v>
      </c>
      <c r="U204" s="4">
        <v>3</v>
      </c>
      <c r="V204" s="4"/>
      <c r="W204" s="14"/>
      <c r="X204" s="45">
        <v>42865.2</v>
      </c>
      <c r="Y204" s="14" t="s">
        <v>85</v>
      </c>
      <c r="Z204" s="14" t="s">
        <v>1355</v>
      </c>
      <c r="AA204" s="14">
        <v>350810010592</v>
      </c>
      <c r="AB204" s="25">
        <v>43143</v>
      </c>
      <c r="AC204" s="14" t="s">
        <v>809</v>
      </c>
      <c r="AD204" s="14" t="s">
        <v>49</v>
      </c>
      <c r="AE204" s="23" t="s">
        <v>455</v>
      </c>
      <c r="AF204" s="25" t="s">
        <v>1267</v>
      </c>
      <c r="AG204" t="e">
        <f t="shared" si="3"/>
        <v>#REF!</v>
      </c>
      <c r="AH204"/>
      <c r="AI204" s="58"/>
      <c r="AJ204"/>
      <c r="AK204" s="30"/>
      <c r="AL204" s="30"/>
      <c r="AM204" s="30"/>
      <c r="AN204" s="30"/>
      <c r="AO204" s="30"/>
    </row>
    <row r="205" spans="1:41" s="31" customFormat="1" ht="15.75" customHeight="1">
      <c r="A205" s="13" t="s">
        <v>456</v>
      </c>
      <c r="B205" s="5">
        <v>0</v>
      </c>
      <c r="C205" s="7">
        <v>0</v>
      </c>
      <c r="D205" s="7">
        <v>0</v>
      </c>
      <c r="E205" s="7">
        <v>0</v>
      </c>
      <c r="F205" s="5">
        <v>0</v>
      </c>
      <c r="G205" s="7">
        <v>0</v>
      </c>
      <c r="H205" s="5">
        <v>496</v>
      </c>
      <c r="I205" s="7">
        <v>46142.400000000001</v>
      </c>
      <c r="J205" s="7">
        <v>0</v>
      </c>
      <c r="K205" s="5">
        <v>0</v>
      </c>
      <c r="L205" s="5">
        <v>0</v>
      </c>
      <c r="M205" s="5">
        <v>0</v>
      </c>
      <c r="N205" s="7">
        <v>0</v>
      </c>
      <c r="O205" s="7">
        <v>0</v>
      </c>
      <c r="P205" s="7">
        <v>1106</v>
      </c>
      <c r="Q205" s="5">
        <v>0</v>
      </c>
      <c r="R205" s="5">
        <v>1106</v>
      </c>
      <c r="S205" s="7">
        <v>88867.1</v>
      </c>
      <c r="T205" s="12">
        <v>43132</v>
      </c>
      <c r="U205" s="4">
        <v>5</v>
      </c>
      <c r="V205" s="4"/>
      <c r="W205" s="14"/>
      <c r="X205" s="45">
        <v>135009.5</v>
      </c>
      <c r="Y205" s="14" t="s">
        <v>56</v>
      </c>
      <c r="Z205" s="14" t="s">
        <v>59</v>
      </c>
      <c r="AA205" s="14" t="s">
        <v>893</v>
      </c>
      <c r="AB205" s="25">
        <v>43138</v>
      </c>
      <c r="AC205" s="14" t="s">
        <v>805</v>
      </c>
      <c r="AD205" s="14" t="s">
        <v>49</v>
      </c>
      <c r="AE205" s="23" t="s">
        <v>457</v>
      </c>
      <c r="AF205" s="25" t="s">
        <v>1265</v>
      </c>
      <c r="AG205" t="e">
        <f t="shared" si="3"/>
        <v>#REF!</v>
      </c>
      <c r="AH205"/>
      <c r="AI205" s="58"/>
      <c r="AJ205"/>
      <c r="AK205" s="30"/>
      <c r="AL205" s="30"/>
      <c r="AM205" s="30"/>
      <c r="AN205" s="30"/>
      <c r="AO205" s="30"/>
    </row>
    <row r="206" spans="1:41" s="31" customFormat="1" ht="15.75" customHeight="1">
      <c r="A206" s="13" t="s">
        <v>446</v>
      </c>
      <c r="B206" s="5">
        <v>155</v>
      </c>
      <c r="C206" s="7">
        <v>20462.7</v>
      </c>
      <c r="D206" s="7">
        <v>0</v>
      </c>
      <c r="E206" s="7">
        <v>0</v>
      </c>
      <c r="F206" s="5">
        <v>0</v>
      </c>
      <c r="G206" s="7">
        <v>0</v>
      </c>
      <c r="H206" s="5">
        <v>10</v>
      </c>
      <c r="I206" s="7">
        <v>1386.6</v>
      </c>
      <c r="J206" s="7">
        <v>9</v>
      </c>
      <c r="K206" s="5">
        <v>0</v>
      </c>
      <c r="L206" s="5">
        <v>0</v>
      </c>
      <c r="M206" s="5">
        <v>9</v>
      </c>
      <c r="N206" s="7">
        <v>9</v>
      </c>
      <c r="O206" s="7">
        <v>1225.5</v>
      </c>
      <c r="P206" s="7">
        <v>0</v>
      </c>
      <c r="Q206" s="5">
        <v>0</v>
      </c>
      <c r="R206" s="5">
        <v>0</v>
      </c>
      <c r="S206" s="7">
        <v>0</v>
      </c>
      <c r="T206" s="12">
        <v>43132</v>
      </c>
      <c r="U206" s="4">
        <v>2</v>
      </c>
      <c r="V206" s="4"/>
      <c r="W206" s="14"/>
      <c r="X206" s="45">
        <v>23074.799999999999</v>
      </c>
      <c r="Y206" s="14" t="s">
        <v>1634</v>
      </c>
      <c r="Z206" s="14" t="s">
        <v>1355</v>
      </c>
      <c r="AA206" s="14" t="s">
        <v>884</v>
      </c>
      <c r="AB206" s="25">
        <v>43134</v>
      </c>
      <c r="AC206" s="14" t="s">
        <v>797</v>
      </c>
      <c r="AD206" s="14" t="s">
        <v>70</v>
      </c>
      <c r="AE206" s="23" t="s">
        <v>458</v>
      </c>
      <c r="AF206" s="25" t="s">
        <v>1273</v>
      </c>
      <c r="AG206" t="e">
        <f t="shared" si="3"/>
        <v>#REF!</v>
      </c>
      <c r="AH206"/>
      <c r="AI206" s="58"/>
      <c r="AJ206"/>
      <c r="AK206" s="30"/>
      <c r="AL206" s="30"/>
      <c r="AM206" s="30"/>
      <c r="AN206" s="30"/>
      <c r="AO206" s="30"/>
    </row>
    <row r="207" spans="1:41" s="31" customFormat="1" ht="15.75" customHeight="1">
      <c r="A207" s="13" t="s">
        <v>459</v>
      </c>
      <c r="B207" s="5">
        <v>0</v>
      </c>
      <c r="C207" s="7">
        <v>0</v>
      </c>
      <c r="D207" s="7">
        <v>0</v>
      </c>
      <c r="E207" s="7">
        <v>0</v>
      </c>
      <c r="F207" s="5">
        <v>0</v>
      </c>
      <c r="G207" s="7">
        <v>0</v>
      </c>
      <c r="H207" s="5">
        <v>105</v>
      </c>
      <c r="I207" s="7">
        <v>12459.1</v>
      </c>
      <c r="J207" s="7">
        <v>0</v>
      </c>
      <c r="K207" s="5">
        <v>0</v>
      </c>
      <c r="L207" s="5">
        <v>0</v>
      </c>
      <c r="M207" s="5">
        <v>0</v>
      </c>
      <c r="N207" s="7">
        <v>0</v>
      </c>
      <c r="O207" s="7">
        <v>0</v>
      </c>
      <c r="P207" s="7">
        <v>97</v>
      </c>
      <c r="Q207" s="5">
        <v>0</v>
      </c>
      <c r="R207" s="5">
        <v>97</v>
      </c>
      <c r="S207" s="7">
        <v>13943</v>
      </c>
      <c r="T207" s="12">
        <v>43132</v>
      </c>
      <c r="U207" s="4">
        <v>2</v>
      </c>
      <c r="V207" s="4"/>
      <c r="W207" s="14"/>
      <c r="X207" s="45">
        <v>26402.1</v>
      </c>
      <c r="Y207" s="14" t="s">
        <v>1634</v>
      </c>
      <c r="Z207" s="14" t="s">
        <v>1355</v>
      </c>
      <c r="AA207" s="14" t="s">
        <v>898</v>
      </c>
      <c r="AB207" s="25">
        <v>43141</v>
      </c>
      <c r="AC207" s="14" t="s">
        <v>810</v>
      </c>
      <c r="AD207" s="14" t="s">
        <v>70</v>
      </c>
      <c r="AE207" s="23" t="s">
        <v>460</v>
      </c>
      <c r="AF207" s="25" t="s">
        <v>1273</v>
      </c>
      <c r="AG207" t="e">
        <f t="shared" si="3"/>
        <v>#REF!</v>
      </c>
      <c r="AH207"/>
      <c r="AI207" s="58"/>
      <c r="AJ207"/>
      <c r="AK207" s="30"/>
      <c r="AL207" s="30"/>
      <c r="AM207" s="30"/>
      <c r="AN207" s="30"/>
      <c r="AO207" s="30"/>
    </row>
    <row r="208" spans="1:41" s="31" customFormat="1" ht="15.75" customHeight="1">
      <c r="A208" s="13" t="s">
        <v>461</v>
      </c>
      <c r="B208" s="5">
        <v>266</v>
      </c>
      <c r="C208" s="7">
        <v>25251.099999999995</v>
      </c>
      <c r="D208" s="7">
        <v>0</v>
      </c>
      <c r="E208" s="7">
        <v>0</v>
      </c>
      <c r="F208" s="5">
        <v>0</v>
      </c>
      <c r="G208" s="7">
        <v>0</v>
      </c>
      <c r="H208" s="5">
        <v>180</v>
      </c>
      <c r="I208" s="7">
        <v>7314</v>
      </c>
      <c r="J208" s="7">
        <v>246</v>
      </c>
      <c r="K208" s="5">
        <v>0</v>
      </c>
      <c r="L208" s="5">
        <v>0</v>
      </c>
      <c r="M208" s="5">
        <v>246</v>
      </c>
      <c r="N208" s="7">
        <v>246</v>
      </c>
      <c r="O208" s="7">
        <v>34502.899999999994</v>
      </c>
      <c r="P208" s="7">
        <v>315</v>
      </c>
      <c r="Q208" s="5">
        <v>0</v>
      </c>
      <c r="R208" s="5">
        <v>315</v>
      </c>
      <c r="S208" s="7">
        <v>40911.300000000003</v>
      </c>
      <c r="T208" s="12">
        <v>43133</v>
      </c>
      <c r="U208" s="4">
        <v>10</v>
      </c>
      <c r="V208" s="4"/>
      <c r="W208" s="14"/>
      <c r="X208" s="45">
        <v>107979.29999999999</v>
      </c>
      <c r="Y208" s="14" t="s">
        <v>54</v>
      </c>
      <c r="Z208" s="14" t="s">
        <v>730</v>
      </c>
      <c r="AA208" s="14" t="s">
        <v>891</v>
      </c>
      <c r="AB208" s="25">
        <v>43140</v>
      </c>
      <c r="AC208" s="14" t="s">
        <v>803</v>
      </c>
      <c r="AD208" s="14" t="s">
        <v>50</v>
      </c>
      <c r="AE208" s="23" t="s">
        <v>464</v>
      </c>
      <c r="AF208" s="25" t="s">
        <v>1269</v>
      </c>
      <c r="AG208" t="e">
        <f t="shared" si="3"/>
        <v>#REF!</v>
      </c>
      <c r="AH208"/>
      <c r="AI208" s="58"/>
      <c r="AJ208"/>
      <c r="AK208" s="30"/>
      <c r="AL208" s="30"/>
      <c r="AM208" s="30"/>
      <c r="AN208" s="30"/>
      <c r="AO208" s="30"/>
    </row>
    <row r="209" spans="1:41" s="31" customFormat="1" ht="15.75" customHeight="1">
      <c r="A209" s="13" t="s">
        <v>462</v>
      </c>
      <c r="B209" s="5">
        <v>378</v>
      </c>
      <c r="C209" s="7">
        <v>36430.6</v>
      </c>
      <c r="D209" s="7">
        <v>0</v>
      </c>
      <c r="E209" s="7">
        <v>0</v>
      </c>
      <c r="F209" s="5">
        <v>0</v>
      </c>
      <c r="G209" s="7">
        <v>0</v>
      </c>
      <c r="H209" s="5">
        <v>0</v>
      </c>
      <c r="I209" s="7">
        <v>0</v>
      </c>
      <c r="J209" s="7">
        <v>25</v>
      </c>
      <c r="K209" s="5">
        <v>0</v>
      </c>
      <c r="L209" s="5">
        <v>0</v>
      </c>
      <c r="M209" s="5">
        <v>25</v>
      </c>
      <c r="N209" s="7">
        <v>25</v>
      </c>
      <c r="O209" s="7">
        <v>3855</v>
      </c>
      <c r="P209" s="7">
        <v>40</v>
      </c>
      <c r="Q209" s="5">
        <v>0</v>
      </c>
      <c r="R209" s="5">
        <v>40</v>
      </c>
      <c r="S209" s="7">
        <v>6548</v>
      </c>
      <c r="T209" s="12">
        <v>43133</v>
      </c>
      <c r="U209" s="4">
        <v>4</v>
      </c>
      <c r="V209" s="4"/>
      <c r="W209" s="14"/>
      <c r="X209" s="45">
        <v>46833.599999999999</v>
      </c>
      <c r="Y209" s="14" t="s">
        <v>54</v>
      </c>
      <c r="Z209" s="14" t="s">
        <v>55</v>
      </c>
      <c r="AA209" s="14" t="s">
        <v>889</v>
      </c>
      <c r="AB209" s="25">
        <v>43135</v>
      </c>
      <c r="AC209" s="14" t="s">
        <v>795</v>
      </c>
      <c r="AD209" s="29" t="s">
        <v>49</v>
      </c>
      <c r="AE209" s="43" t="s">
        <v>463</v>
      </c>
      <c r="AF209" s="25" t="s">
        <v>1266</v>
      </c>
      <c r="AG209" t="e">
        <f t="shared" si="3"/>
        <v>#REF!</v>
      </c>
      <c r="AH209"/>
      <c r="AI209" s="58"/>
      <c r="AJ209" s="30"/>
      <c r="AK209" s="30"/>
      <c r="AL209" s="30"/>
      <c r="AM209" s="30"/>
      <c r="AN209" s="30"/>
      <c r="AO209" s="30"/>
    </row>
    <row r="210" spans="1:41" s="31" customFormat="1" ht="15.75" customHeight="1">
      <c r="A210" s="13" t="s">
        <v>465</v>
      </c>
      <c r="B210" s="5">
        <v>233</v>
      </c>
      <c r="C210" s="7">
        <v>32856.5</v>
      </c>
      <c r="D210" s="7">
        <v>0</v>
      </c>
      <c r="E210" s="7">
        <v>0</v>
      </c>
      <c r="F210" s="5">
        <v>0</v>
      </c>
      <c r="G210" s="7">
        <v>0</v>
      </c>
      <c r="H210" s="5">
        <v>0</v>
      </c>
      <c r="I210" s="7">
        <v>0</v>
      </c>
      <c r="J210" s="7">
        <v>16</v>
      </c>
      <c r="K210" s="5">
        <v>0</v>
      </c>
      <c r="L210" s="5">
        <v>0</v>
      </c>
      <c r="M210" s="5">
        <v>16</v>
      </c>
      <c r="N210" s="7">
        <v>16</v>
      </c>
      <c r="O210" s="7">
        <v>3529</v>
      </c>
      <c r="P210" s="7">
        <v>84</v>
      </c>
      <c r="Q210" s="5">
        <v>0</v>
      </c>
      <c r="R210" s="5">
        <v>84</v>
      </c>
      <c r="S210" s="7">
        <v>19530</v>
      </c>
      <c r="T210" s="12">
        <v>43133</v>
      </c>
      <c r="U210" s="4">
        <v>4</v>
      </c>
      <c r="V210" s="4"/>
      <c r="W210" s="14"/>
      <c r="X210" s="45">
        <v>55915.5</v>
      </c>
      <c r="Y210" s="14" t="s">
        <v>54</v>
      </c>
      <c r="Z210" s="14" t="s">
        <v>57</v>
      </c>
      <c r="AA210" s="14" t="s">
        <v>894</v>
      </c>
      <c r="AB210" s="25">
        <v>43137</v>
      </c>
      <c r="AC210" s="14" t="s">
        <v>806</v>
      </c>
      <c r="AD210" s="29" t="s">
        <v>50</v>
      </c>
      <c r="AE210" s="43" t="s">
        <v>466</v>
      </c>
      <c r="AF210" s="25" t="s">
        <v>1269</v>
      </c>
      <c r="AG210" t="e">
        <f t="shared" si="3"/>
        <v>#REF!</v>
      </c>
      <c r="AH210"/>
      <c r="AI210" s="58"/>
      <c r="AJ210"/>
      <c r="AK210" s="30"/>
      <c r="AL210" s="30"/>
      <c r="AM210" s="30"/>
      <c r="AN210" s="30"/>
      <c r="AO210" s="30"/>
    </row>
    <row r="211" spans="1:41" s="31" customFormat="1" ht="15.75" customHeight="1">
      <c r="A211" s="13" t="s">
        <v>467</v>
      </c>
      <c r="B211" s="5">
        <v>0</v>
      </c>
      <c r="C211" s="7">
        <v>0</v>
      </c>
      <c r="D211" s="7">
        <v>0</v>
      </c>
      <c r="E211" s="7">
        <v>0</v>
      </c>
      <c r="F211" s="5">
        <v>0</v>
      </c>
      <c r="G211" s="7">
        <v>0</v>
      </c>
      <c r="H211" s="5">
        <v>334</v>
      </c>
      <c r="I211" s="7">
        <v>42785.51</v>
      </c>
      <c r="J211" s="7">
        <v>0</v>
      </c>
      <c r="K211" s="5">
        <v>0</v>
      </c>
      <c r="L211" s="5">
        <v>0</v>
      </c>
      <c r="M211" s="5">
        <v>0</v>
      </c>
      <c r="N211" s="7">
        <v>0</v>
      </c>
      <c r="O211" s="7">
        <v>0</v>
      </c>
      <c r="P211" s="7">
        <v>202</v>
      </c>
      <c r="Q211" s="5">
        <v>0</v>
      </c>
      <c r="R211" s="5">
        <v>202</v>
      </c>
      <c r="S211" s="7">
        <v>28528.800000000003</v>
      </c>
      <c r="T211" s="12">
        <v>43133</v>
      </c>
      <c r="U211" s="4">
        <v>5</v>
      </c>
      <c r="V211" s="4"/>
      <c r="W211" s="14"/>
      <c r="X211" s="45">
        <v>71314.31</v>
      </c>
      <c r="Y211" s="14" t="s">
        <v>58</v>
      </c>
      <c r="Z211" s="14" t="s">
        <v>59</v>
      </c>
      <c r="AA211" s="14" t="s">
        <v>899</v>
      </c>
      <c r="AB211" s="25">
        <v>43139</v>
      </c>
      <c r="AC211" s="14" t="s">
        <v>811</v>
      </c>
      <c r="AD211" s="29" t="s">
        <v>51</v>
      </c>
      <c r="AE211" s="43" t="s">
        <v>468</v>
      </c>
      <c r="AF211" s="25" t="s">
        <v>1270</v>
      </c>
      <c r="AG211" t="e">
        <f t="shared" si="3"/>
        <v>#REF!</v>
      </c>
      <c r="AH211"/>
      <c r="AI211" s="58"/>
      <c r="AJ211"/>
      <c r="AK211" s="30"/>
      <c r="AL211" s="30"/>
      <c r="AM211" s="30"/>
      <c r="AN211" s="30"/>
      <c r="AO211" s="30"/>
    </row>
    <row r="212" spans="1:41" s="31" customFormat="1" ht="15.75" customHeight="1">
      <c r="A212" s="13" t="s">
        <v>469</v>
      </c>
      <c r="B212" s="5">
        <v>1046</v>
      </c>
      <c r="C212" s="7">
        <v>102108.23000000003</v>
      </c>
      <c r="D212" s="7">
        <v>0</v>
      </c>
      <c r="E212" s="7">
        <v>0</v>
      </c>
      <c r="F212" s="5">
        <v>0</v>
      </c>
      <c r="G212" s="7">
        <v>0</v>
      </c>
      <c r="H212" s="5">
        <v>0</v>
      </c>
      <c r="I212" s="7">
        <v>0</v>
      </c>
      <c r="J212" s="7">
        <v>277</v>
      </c>
      <c r="K212" s="5">
        <v>0</v>
      </c>
      <c r="L212" s="5">
        <v>0</v>
      </c>
      <c r="M212" s="5">
        <v>277</v>
      </c>
      <c r="N212" s="7">
        <v>277</v>
      </c>
      <c r="O212" s="7">
        <v>24835.600000000006</v>
      </c>
      <c r="P212" s="7">
        <v>0</v>
      </c>
      <c r="Q212" s="5">
        <v>0</v>
      </c>
      <c r="R212" s="5">
        <v>0</v>
      </c>
      <c r="S212" s="7">
        <v>0</v>
      </c>
      <c r="T212" s="12">
        <v>43133</v>
      </c>
      <c r="U212" s="4">
        <v>11</v>
      </c>
      <c r="V212" s="4"/>
      <c r="W212" s="14"/>
      <c r="X212" s="45">
        <v>126943.83000000003</v>
      </c>
      <c r="Y212" s="14" t="s">
        <v>54</v>
      </c>
      <c r="Z212" s="14" t="s">
        <v>1281</v>
      </c>
      <c r="AA212" s="14" t="s">
        <v>896</v>
      </c>
      <c r="AB212" s="25">
        <v>43135</v>
      </c>
      <c r="AC212" s="14" t="s">
        <v>808</v>
      </c>
      <c r="AD212" s="29" t="s">
        <v>51</v>
      </c>
      <c r="AE212" s="43" t="s">
        <v>470</v>
      </c>
      <c r="AF212" s="25" t="s">
        <v>1270</v>
      </c>
      <c r="AG212" t="e">
        <f t="shared" si="3"/>
        <v>#REF!</v>
      </c>
      <c r="AH212"/>
      <c r="AI212" s="58"/>
      <c r="AJ212"/>
      <c r="AK212" s="30"/>
      <c r="AL212" s="30"/>
      <c r="AM212" s="30"/>
      <c r="AN212" s="30"/>
      <c r="AO212" s="30"/>
    </row>
    <row r="213" spans="1:41" s="31" customFormat="1" ht="15.75" customHeight="1">
      <c r="A213" s="13" t="s">
        <v>471</v>
      </c>
      <c r="B213" s="5">
        <v>0</v>
      </c>
      <c r="C213" s="7">
        <v>0</v>
      </c>
      <c r="D213" s="7">
        <v>0</v>
      </c>
      <c r="E213" s="7">
        <v>0</v>
      </c>
      <c r="F213" s="5">
        <v>0</v>
      </c>
      <c r="G213" s="7">
        <v>0</v>
      </c>
      <c r="H213" s="5">
        <v>440</v>
      </c>
      <c r="I213" s="7">
        <v>51572.4</v>
      </c>
      <c r="J213" s="7">
        <v>44</v>
      </c>
      <c r="K213" s="5">
        <v>0</v>
      </c>
      <c r="L213" s="5">
        <v>0</v>
      </c>
      <c r="M213" s="5">
        <v>44</v>
      </c>
      <c r="N213" s="7">
        <v>44</v>
      </c>
      <c r="O213" s="7">
        <v>4688</v>
      </c>
      <c r="P213" s="7">
        <v>102</v>
      </c>
      <c r="Q213" s="5">
        <v>0</v>
      </c>
      <c r="R213" s="5">
        <v>102</v>
      </c>
      <c r="S213" s="7">
        <v>15595.6</v>
      </c>
      <c r="T213" s="12">
        <v>43133</v>
      </c>
      <c r="U213" s="4">
        <v>6</v>
      </c>
      <c r="V213" s="4"/>
      <c r="W213" s="14"/>
      <c r="X213" s="45">
        <v>71856</v>
      </c>
      <c r="Y213" s="14" t="s">
        <v>58</v>
      </c>
      <c r="Z213" s="14" t="s">
        <v>59</v>
      </c>
      <c r="AA213" s="14" t="s">
        <v>900</v>
      </c>
      <c r="AB213" s="25">
        <v>43138</v>
      </c>
      <c r="AC213" s="14" t="s">
        <v>812</v>
      </c>
      <c r="AD213" s="29" t="s">
        <v>52</v>
      </c>
      <c r="AE213" s="43" t="s">
        <v>472</v>
      </c>
      <c r="AF213" s="25" t="s">
        <v>1271</v>
      </c>
      <c r="AG213" t="e">
        <f t="shared" si="3"/>
        <v>#REF!</v>
      </c>
      <c r="AH213"/>
      <c r="AI213" s="58"/>
      <c r="AJ213"/>
      <c r="AK213" s="30"/>
      <c r="AL213" s="30"/>
      <c r="AM213" s="30"/>
      <c r="AN213" s="30"/>
      <c r="AO213" s="30"/>
    </row>
    <row r="214" spans="1:41" s="31" customFormat="1" ht="15.75" customHeight="1">
      <c r="A214" s="13" t="s">
        <v>473</v>
      </c>
      <c r="B214" s="5">
        <v>112</v>
      </c>
      <c r="C214" s="7">
        <v>12527.9</v>
      </c>
      <c r="D214" s="7">
        <v>0</v>
      </c>
      <c r="E214" s="7">
        <v>0</v>
      </c>
      <c r="F214" s="5">
        <v>0</v>
      </c>
      <c r="G214" s="7">
        <v>0</v>
      </c>
      <c r="H214" s="5">
        <v>0</v>
      </c>
      <c r="I214" s="7">
        <v>0</v>
      </c>
      <c r="J214" s="7">
        <v>0</v>
      </c>
      <c r="K214" s="5">
        <v>0</v>
      </c>
      <c r="L214" s="5">
        <v>0</v>
      </c>
      <c r="M214" s="5">
        <v>0</v>
      </c>
      <c r="N214" s="7">
        <v>0</v>
      </c>
      <c r="O214" s="7">
        <v>0</v>
      </c>
      <c r="P214" s="7">
        <v>85</v>
      </c>
      <c r="Q214" s="5">
        <v>0</v>
      </c>
      <c r="R214" s="5">
        <v>85</v>
      </c>
      <c r="S214" s="7">
        <v>17213</v>
      </c>
      <c r="T214" s="12">
        <v>43133</v>
      </c>
      <c r="U214" s="4">
        <v>2</v>
      </c>
      <c r="V214" s="4"/>
      <c r="W214" s="14"/>
      <c r="X214" s="45">
        <v>29740.9</v>
      </c>
      <c r="Y214" s="14" t="s">
        <v>54</v>
      </c>
      <c r="Z214" s="14" t="s">
        <v>730</v>
      </c>
      <c r="AA214" s="14" t="s">
        <v>897</v>
      </c>
      <c r="AB214" s="25">
        <v>43135</v>
      </c>
      <c r="AC214" s="14" t="s">
        <v>808</v>
      </c>
      <c r="AD214" s="29" t="s">
        <v>52</v>
      </c>
      <c r="AE214" s="43" t="s">
        <v>474</v>
      </c>
      <c r="AF214" s="25" t="s">
        <v>1271</v>
      </c>
      <c r="AG214" t="e">
        <f t="shared" si="3"/>
        <v>#REF!</v>
      </c>
      <c r="AH214"/>
      <c r="AI214" s="58"/>
      <c r="AJ214"/>
      <c r="AK214" s="30"/>
      <c r="AL214" s="30"/>
      <c r="AM214" s="30"/>
      <c r="AN214" s="30"/>
      <c r="AO214" s="30"/>
    </row>
    <row r="215" spans="1:41" s="31" customFormat="1" ht="15.75" customHeight="1">
      <c r="A215" s="13" t="s">
        <v>475</v>
      </c>
      <c r="B215" s="5">
        <v>363</v>
      </c>
      <c r="C215" s="7">
        <v>39039.999999999993</v>
      </c>
      <c r="D215" s="7">
        <v>0</v>
      </c>
      <c r="E215" s="7">
        <v>0</v>
      </c>
      <c r="F215" s="5">
        <v>0</v>
      </c>
      <c r="G215" s="7">
        <v>0</v>
      </c>
      <c r="H215" s="5">
        <v>0</v>
      </c>
      <c r="I215" s="7">
        <v>0</v>
      </c>
      <c r="J215" s="7">
        <v>31</v>
      </c>
      <c r="K215" s="5">
        <v>0</v>
      </c>
      <c r="L215" s="5">
        <v>0</v>
      </c>
      <c r="M215" s="5">
        <v>31</v>
      </c>
      <c r="N215" s="7">
        <v>31</v>
      </c>
      <c r="O215" s="7">
        <v>5621.8</v>
      </c>
      <c r="P215" s="7">
        <v>0</v>
      </c>
      <c r="Q215" s="5">
        <v>0</v>
      </c>
      <c r="R215" s="5">
        <v>0</v>
      </c>
      <c r="S215" s="7">
        <v>0</v>
      </c>
      <c r="T215" s="12">
        <v>43133</v>
      </c>
      <c r="U215" s="4">
        <v>4</v>
      </c>
      <c r="V215" s="4"/>
      <c r="W215" s="14"/>
      <c r="X215" s="45">
        <v>44661.799999999996</v>
      </c>
      <c r="Y215" s="14" t="s">
        <v>54</v>
      </c>
      <c r="Z215" s="14" t="s">
        <v>730</v>
      </c>
      <c r="AA215" s="14" t="s">
        <v>889</v>
      </c>
      <c r="AB215" s="25">
        <v>43135</v>
      </c>
      <c r="AC215" s="14" t="s">
        <v>795</v>
      </c>
      <c r="AD215" s="29" t="s">
        <v>49</v>
      </c>
      <c r="AE215" s="43" t="s">
        <v>476</v>
      </c>
      <c r="AF215" s="25" t="s">
        <v>1267</v>
      </c>
      <c r="AG215" t="e">
        <f t="shared" si="3"/>
        <v>#REF!</v>
      </c>
      <c r="AH215"/>
      <c r="AI215" s="58"/>
      <c r="AJ215"/>
      <c r="AK215" s="30"/>
      <c r="AL215" s="30"/>
      <c r="AM215" s="30"/>
      <c r="AN215" s="30"/>
      <c r="AO215" s="30"/>
    </row>
    <row r="216" spans="1:41" s="31" customFormat="1" ht="15.75" customHeight="1">
      <c r="A216" s="13" t="s">
        <v>477</v>
      </c>
      <c r="B216" s="5">
        <v>245</v>
      </c>
      <c r="C216" s="7">
        <v>7821.4500000000007</v>
      </c>
      <c r="D216" s="7">
        <v>0</v>
      </c>
      <c r="E216" s="7">
        <v>0</v>
      </c>
      <c r="F216" s="5">
        <v>0</v>
      </c>
      <c r="G216" s="7">
        <v>0</v>
      </c>
      <c r="H216" s="5">
        <v>66</v>
      </c>
      <c r="I216" s="7">
        <v>9330.36</v>
      </c>
      <c r="J216" s="7">
        <v>0</v>
      </c>
      <c r="K216" s="5">
        <v>0</v>
      </c>
      <c r="L216" s="5">
        <v>0</v>
      </c>
      <c r="M216" s="5">
        <v>0</v>
      </c>
      <c r="N216" s="7">
        <v>0</v>
      </c>
      <c r="O216" s="7">
        <v>0</v>
      </c>
      <c r="P216" s="7">
        <v>0</v>
      </c>
      <c r="Q216" s="5">
        <v>0</v>
      </c>
      <c r="R216" s="5">
        <v>0</v>
      </c>
      <c r="S216" s="7">
        <v>0</v>
      </c>
      <c r="T216" s="12">
        <v>43133</v>
      </c>
      <c r="U216" s="4">
        <v>1</v>
      </c>
      <c r="V216" s="4"/>
      <c r="W216" s="14"/>
      <c r="X216" s="45">
        <v>17151.810000000001</v>
      </c>
      <c r="Y216" s="14" t="s">
        <v>54</v>
      </c>
      <c r="Z216" s="14" t="s">
        <v>59</v>
      </c>
      <c r="AA216" s="14" t="s">
        <v>889</v>
      </c>
      <c r="AB216" s="25">
        <v>43135</v>
      </c>
      <c r="AC216" s="14" t="s">
        <v>795</v>
      </c>
      <c r="AD216" s="29" t="s">
        <v>49</v>
      </c>
      <c r="AE216" s="43" t="s">
        <v>478</v>
      </c>
      <c r="AF216" s="25" t="s">
        <v>1265</v>
      </c>
      <c r="AG216" t="e">
        <f t="shared" si="3"/>
        <v>#REF!</v>
      </c>
      <c r="AH216"/>
      <c r="AI216" s="58"/>
      <c r="AJ216"/>
      <c r="AK216" s="30"/>
      <c r="AL216" s="30"/>
      <c r="AM216" s="30"/>
      <c r="AN216" s="30"/>
      <c r="AO216" s="30"/>
    </row>
    <row r="217" spans="1:41" s="31" customFormat="1" ht="15.75" customHeight="1">
      <c r="A217" s="13" t="s">
        <v>479</v>
      </c>
      <c r="B217" s="5">
        <v>0</v>
      </c>
      <c r="C217" s="7">
        <v>0</v>
      </c>
      <c r="D217" s="7">
        <v>0</v>
      </c>
      <c r="E217" s="7">
        <v>0</v>
      </c>
      <c r="F217" s="5">
        <v>0</v>
      </c>
      <c r="G217" s="7">
        <v>0</v>
      </c>
      <c r="H217" s="5">
        <v>285</v>
      </c>
      <c r="I217" s="7">
        <v>36468.600000000006</v>
      </c>
      <c r="J217" s="7">
        <v>0</v>
      </c>
      <c r="K217" s="5">
        <v>0</v>
      </c>
      <c r="L217" s="5">
        <v>0</v>
      </c>
      <c r="M217" s="5">
        <v>0</v>
      </c>
      <c r="N217" s="7">
        <v>0</v>
      </c>
      <c r="O217" s="7">
        <v>0</v>
      </c>
      <c r="P217" s="7">
        <v>120</v>
      </c>
      <c r="Q217" s="5">
        <v>0</v>
      </c>
      <c r="R217" s="5">
        <v>120</v>
      </c>
      <c r="S217" s="7">
        <v>14064</v>
      </c>
      <c r="T217" s="12">
        <v>43133</v>
      </c>
      <c r="U217" s="4">
        <v>4</v>
      </c>
      <c r="V217" s="4"/>
      <c r="W217" s="14"/>
      <c r="X217" s="45">
        <v>50532.600000000006</v>
      </c>
      <c r="Y217" s="14" t="s">
        <v>1636</v>
      </c>
      <c r="Z217" s="14" t="s">
        <v>1355</v>
      </c>
      <c r="AA217" s="14" t="s">
        <v>901</v>
      </c>
      <c r="AB217" s="25">
        <v>43139</v>
      </c>
      <c r="AC217" s="14" t="s">
        <v>813</v>
      </c>
      <c r="AD217" s="29" t="s">
        <v>49</v>
      </c>
      <c r="AE217" s="43" t="s">
        <v>480</v>
      </c>
      <c r="AF217" s="25" t="s">
        <v>1266</v>
      </c>
      <c r="AG217" t="e">
        <f t="shared" si="3"/>
        <v>#REF!</v>
      </c>
      <c r="AH217"/>
      <c r="AI217" s="58"/>
      <c r="AJ217"/>
      <c r="AK217" s="30"/>
      <c r="AL217" s="30"/>
      <c r="AM217" s="30"/>
      <c r="AN217" s="30"/>
      <c r="AO217" s="30"/>
    </row>
    <row r="218" spans="1:41" s="31" customFormat="1" ht="15.75" customHeight="1">
      <c r="A218" s="13" t="s">
        <v>481</v>
      </c>
      <c r="B218" s="5">
        <v>199</v>
      </c>
      <c r="C218" s="7">
        <v>13227.64</v>
      </c>
      <c r="D218" s="7">
        <v>135</v>
      </c>
      <c r="E218" s="7">
        <v>135</v>
      </c>
      <c r="F218" s="5">
        <v>0</v>
      </c>
      <c r="G218" s="7">
        <v>5275.5</v>
      </c>
      <c r="H218" s="5">
        <v>472</v>
      </c>
      <c r="I218" s="7">
        <v>43951.11</v>
      </c>
      <c r="J218" s="7">
        <v>300</v>
      </c>
      <c r="K218" s="5">
        <v>0</v>
      </c>
      <c r="L218" s="5">
        <v>0</v>
      </c>
      <c r="M218" s="5">
        <v>300</v>
      </c>
      <c r="N218" s="7">
        <v>300</v>
      </c>
      <c r="O218" s="7">
        <v>47999</v>
      </c>
      <c r="P218" s="7">
        <v>1184</v>
      </c>
      <c r="Q218" s="5">
        <v>0</v>
      </c>
      <c r="R218" s="5">
        <v>1184</v>
      </c>
      <c r="S218" s="7">
        <v>106823.79999999999</v>
      </c>
      <c r="T218" s="12">
        <v>43135</v>
      </c>
      <c r="U218" s="4">
        <v>14</v>
      </c>
      <c r="V218" s="4"/>
      <c r="W218" s="14"/>
      <c r="X218" s="45">
        <v>217277.05</v>
      </c>
      <c r="Y218" s="14" t="s">
        <v>56</v>
      </c>
      <c r="Z218" s="14" t="s">
        <v>55</v>
      </c>
      <c r="AA218" s="14" t="s">
        <v>895</v>
      </c>
      <c r="AB218" s="25">
        <v>43139</v>
      </c>
      <c r="AC218" s="14" t="s">
        <v>807</v>
      </c>
      <c r="AD218" s="29" t="s">
        <v>51</v>
      </c>
      <c r="AE218" s="43" t="s">
        <v>482</v>
      </c>
      <c r="AF218" s="25" t="s">
        <v>1270</v>
      </c>
      <c r="AG218" t="e">
        <f t="shared" si="3"/>
        <v>#REF!</v>
      </c>
      <c r="AH218"/>
      <c r="AI218" s="58"/>
      <c r="AJ218"/>
      <c r="AK218" s="30"/>
      <c r="AL218" s="30"/>
      <c r="AM218" s="30"/>
      <c r="AN218" s="30"/>
      <c r="AO218" s="30"/>
    </row>
    <row r="219" spans="1:41" s="31" customFormat="1" ht="15.75" customHeight="1">
      <c r="A219" s="13" t="s">
        <v>483</v>
      </c>
      <c r="B219" s="5">
        <v>353</v>
      </c>
      <c r="C219" s="7">
        <v>38224.500000000007</v>
      </c>
      <c r="D219" s="7">
        <v>0</v>
      </c>
      <c r="E219" s="7">
        <v>0</v>
      </c>
      <c r="F219" s="5">
        <v>0</v>
      </c>
      <c r="G219" s="7">
        <v>0</v>
      </c>
      <c r="H219" s="5">
        <v>235</v>
      </c>
      <c r="I219" s="7">
        <v>26694.249999999996</v>
      </c>
      <c r="J219" s="7">
        <v>109</v>
      </c>
      <c r="K219" s="5">
        <v>0</v>
      </c>
      <c r="L219" s="5">
        <v>0</v>
      </c>
      <c r="M219" s="5">
        <v>109</v>
      </c>
      <c r="N219" s="7">
        <v>109</v>
      </c>
      <c r="O219" s="7">
        <v>19906.5</v>
      </c>
      <c r="P219" s="7">
        <v>198</v>
      </c>
      <c r="Q219" s="5">
        <v>0</v>
      </c>
      <c r="R219" s="5">
        <v>198</v>
      </c>
      <c r="S219" s="7">
        <v>30514.799999999999</v>
      </c>
      <c r="T219" s="12">
        <v>43135</v>
      </c>
      <c r="U219" s="4">
        <v>9</v>
      </c>
      <c r="V219" s="4"/>
      <c r="W219" s="14"/>
      <c r="X219" s="45">
        <v>115340.05</v>
      </c>
      <c r="Y219" s="14" t="s">
        <v>56</v>
      </c>
      <c r="Z219" s="14" t="s">
        <v>730</v>
      </c>
      <c r="AA219" s="14" t="s">
        <v>902</v>
      </c>
      <c r="AB219" s="25">
        <v>43141</v>
      </c>
      <c r="AC219" s="14" t="s">
        <v>814</v>
      </c>
      <c r="AD219" s="29" t="s">
        <v>52</v>
      </c>
      <c r="AE219" s="43" t="s">
        <v>484</v>
      </c>
      <c r="AF219" s="25" t="s">
        <v>1271</v>
      </c>
      <c r="AG219" t="e">
        <f t="shared" si="3"/>
        <v>#REF!</v>
      </c>
      <c r="AH219"/>
      <c r="AI219" s="58"/>
      <c r="AJ219"/>
      <c r="AK219" s="30"/>
      <c r="AL219" s="30"/>
      <c r="AM219" s="30"/>
      <c r="AN219" s="30"/>
      <c r="AO219" s="30"/>
    </row>
    <row r="220" spans="1:41" ht="15.75" customHeight="1">
      <c r="A220" s="13" t="s">
        <v>485</v>
      </c>
      <c r="B220" s="5">
        <v>0</v>
      </c>
      <c r="C220" s="7">
        <v>0</v>
      </c>
      <c r="D220" s="7">
        <v>0</v>
      </c>
      <c r="E220" s="7">
        <v>0</v>
      </c>
      <c r="F220" s="5">
        <v>0</v>
      </c>
      <c r="G220" s="7">
        <v>0</v>
      </c>
      <c r="H220" s="5">
        <v>493</v>
      </c>
      <c r="I220" s="7">
        <v>63607.67</v>
      </c>
      <c r="J220" s="7">
        <v>308</v>
      </c>
      <c r="K220" s="5">
        <v>0</v>
      </c>
      <c r="L220" s="5">
        <v>0</v>
      </c>
      <c r="M220" s="5">
        <v>308</v>
      </c>
      <c r="N220" s="7">
        <v>308</v>
      </c>
      <c r="O220" s="7">
        <v>9644.5</v>
      </c>
      <c r="P220" s="7">
        <v>0</v>
      </c>
      <c r="Q220" s="5">
        <v>0</v>
      </c>
      <c r="R220" s="5">
        <v>0</v>
      </c>
      <c r="S220" s="7">
        <v>0</v>
      </c>
      <c r="T220" s="12">
        <v>43135</v>
      </c>
      <c r="U220" s="4">
        <v>5</v>
      </c>
      <c r="W220" s="14"/>
      <c r="X220" s="45">
        <v>73252.17</v>
      </c>
      <c r="Y220" s="14" t="s">
        <v>56</v>
      </c>
      <c r="Z220" s="14" t="s">
        <v>59</v>
      </c>
      <c r="AA220" s="14" t="s">
        <v>893</v>
      </c>
      <c r="AB220" s="25">
        <v>43138</v>
      </c>
      <c r="AC220" s="14" t="s">
        <v>805</v>
      </c>
      <c r="AD220" s="14" t="s">
        <v>49</v>
      </c>
      <c r="AE220" s="24" t="s">
        <v>486</v>
      </c>
      <c r="AF220" s="25" t="s">
        <v>1265</v>
      </c>
      <c r="AG220" t="e">
        <f t="shared" si="3"/>
        <v>#REF!</v>
      </c>
      <c r="AI220" s="58"/>
    </row>
    <row r="221" spans="1:41" ht="15.75" customHeight="1">
      <c r="A221" s="13" t="s">
        <v>487</v>
      </c>
      <c r="B221" s="5">
        <v>0</v>
      </c>
      <c r="C221" s="7">
        <v>0</v>
      </c>
      <c r="D221" s="7">
        <v>0</v>
      </c>
      <c r="E221" s="7">
        <v>0</v>
      </c>
      <c r="F221" s="5">
        <v>0</v>
      </c>
      <c r="G221" s="7">
        <v>0</v>
      </c>
      <c r="H221" s="5">
        <v>115</v>
      </c>
      <c r="I221" s="7">
        <v>13013.6</v>
      </c>
      <c r="J221" s="7">
        <v>44</v>
      </c>
      <c r="K221" s="5">
        <v>0</v>
      </c>
      <c r="L221" s="5">
        <v>0</v>
      </c>
      <c r="M221" s="5">
        <v>44</v>
      </c>
      <c r="N221" s="7">
        <v>44</v>
      </c>
      <c r="O221" s="7">
        <v>8734.2000000000007</v>
      </c>
      <c r="P221" s="7">
        <v>0</v>
      </c>
      <c r="Q221" s="5">
        <v>0</v>
      </c>
      <c r="R221" s="5">
        <v>0</v>
      </c>
      <c r="S221" s="7">
        <v>0</v>
      </c>
      <c r="T221" s="12">
        <v>43135</v>
      </c>
      <c r="U221" s="4">
        <v>2</v>
      </c>
      <c r="W221" s="14"/>
      <c r="X221" s="45">
        <v>21747.800000000003</v>
      </c>
      <c r="Y221" s="14" t="s">
        <v>1634</v>
      </c>
      <c r="Z221" s="14" t="s">
        <v>1355</v>
      </c>
      <c r="AA221" s="14" t="s">
        <v>898</v>
      </c>
      <c r="AB221" s="25">
        <v>43141</v>
      </c>
      <c r="AC221" s="14" t="s">
        <v>810</v>
      </c>
      <c r="AD221" s="14" t="s">
        <v>70</v>
      </c>
      <c r="AE221" s="24" t="s">
        <v>488</v>
      </c>
      <c r="AF221" s="25" t="s">
        <v>1273</v>
      </c>
      <c r="AG221" t="e">
        <f t="shared" si="3"/>
        <v>#REF!</v>
      </c>
      <c r="AI221" s="58"/>
    </row>
    <row r="222" spans="1:41" ht="15.75" customHeight="1">
      <c r="A222" s="13" t="s">
        <v>489</v>
      </c>
      <c r="B222" s="5">
        <v>264</v>
      </c>
      <c r="C222" s="7">
        <v>24292.93</v>
      </c>
      <c r="D222" s="7">
        <v>0</v>
      </c>
      <c r="E222" s="7">
        <v>0</v>
      </c>
      <c r="F222" s="5">
        <v>0</v>
      </c>
      <c r="G222" s="7">
        <v>0</v>
      </c>
      <c r="H222" s="5">
        <v>0</v>
      </c>
      <c r="I222" s="7">
        <v>0</v>
      </c>
      <c r="J222" s="7">
        <v>174</v>
      </c>
      <c r="K222" s="5">
        <v>0</v>
      </c>
      <c r="L222" s="5">
        <v>0</v>
      </c>
      <c r="M222" s="5">
        <v>174</v>
      </c>
      <c r="N222" s="7">
        <v>174</v>
      </c>
      <c r="O222" s="7">
        <v>28310.400000000001</v>
      </c>
      <c r="P222" s="7">
        <v>897</v>
      </c>
      <c r="Q222" s="5">
        <v>0</v>
      </c>
      <c r="R222" s="5">
        <v>897</v>
      </c>
      <c r="S222" s="7">
        <v>108794.80000000002</v>
      </c>
      <c r="T222" s="12">
        <v>43135</v>
      </c>
      <c r="U222" s="4">
        <v>10</v>
      </c>
      <c r="W222" s="14"/>
      <c r="X222" s="45">
        <v>161398.13</v>
      </c>
      <c r="Y222" s="14" t="s">
        <v>54</v>
      </c>
      <c r="Z222" s="14" t="s">
        <v>1281</v>
      </c>
      <c r="AA222" s="14" t="s">
        <v>891</v>
      </c>
      <c r="AB222" s="25">
        <v>43140</v>
      </c>
      <c r="AC222" s="14" t="s">
        <v>803</v>
      </c>
      <c r="AD222" s="14" t="s">
        <v>50</v>
      </c>
      <c r="AE222" s="24" t="s">
        <v>490</v>
      </c>
      <c r="AF222" s="25" t="s">
        <v>1269</v>
      </c>
      <c r="AG222" t="e">
        <f t="shared" si="3"/>
        <v>#REF!</v>
      </c>
      <c r="AI222" s="58"/>
    </row>
    <row r="223" spans="1:41" ht="15.75" customHeight="1">
      <c r="A223" s="13" t="s">
        <v>491</v>
      </c>
      <c r="B223" s="5">
        <v>111</v>
      </c>
      <c r="C223" s="7">
        <v>9206</v>
      </c>
      <c r="D223" s="7">
        <v>0</v>
      </c>
      <c r="E223" s="7">
        <v>0</v>
      </c>
      <c r="F223" s="5">
        <v>0</v>
      </c>
      <c r="G223" s="7">
        <v>0</v>
      </c>
      <c r="H223" s="5">
        <v>110</v>
      </c>
      <c r="I223" s="7">
        <v>2636</v>
      </c>
      <c r="J223" s="7">
        <v>576</v>
      </c>
      <c r="K223" s="5">
        <v>0</v>
      </c>
      <c r="L223" s="5">
        <v>0</v>
      </c>
      <c r="M223" s="5">
        <v>576</v>
      </c>
      <c r="N223" s="7">
        <v>576</v>
      </c>
      <c r="O223" s="7">
        <v>99136.099999999991</v>
      </c>
      <c r="P223" s="7">
        <v>30</v>
      </c>
      <c r="Q223" s="5">
        <v>0</v>
      </c>
      <c r="R223" s="5">
        <v>30</v>
      </c>
      <c r="S223" s="7">
        <v>1497</v>
      </c>
      <c r="T223" s="12">
        <v>43136</v>
      </c>
      <c r="U223" s="4">
        <v>11</v>
      </c>
      <c r="W223" s="14"/>
      <c r="X223" s="45">
        <v>112475.09999999999</v>
      </c>
      <c r="Y223" s="14" t="s">
        <v>54</v>
      </c>
      <c r="Z223" s="14" t="s">
        <v>59</v>
      </c>
      <c r="AA223" s="14" t="s">
        <v>903</v>
      </c>
      <c r="AB223" s="25">
        <v>43150</v>
      </c>
      <c r="AC223" s="14" t="s">
        <v>815</v>
      </c>
      <c r="AD223" s="29" t="s">
        <v>50</v>
      </c>
      <c r="AE223" s="24" t="s">
        <v>492</v>
      </c>
      <c r="AF223" s="25" t="s">
        <v>1269</v>
      </c>
      <c r="AG223" t="e">
        <f t="shared" si="3"/>
        <v>#REF!</v>
      </c>
      <c r="AI223" s="58"/>
    </row>
    <row r="224" spans="1:41" ht="15.75" customHeight="1">
      <c r="A224" s="13" t="s">
        <v>493</v>
      </c>
      <c r="B224" s="5">
        <v>467</v>
      </c>
      <c r="C224" s="7">
        <v>39480.899999999994</v>
      </c>
      <c r="D224" s="7">
        <v>0</v>
      </c>
      <c r="E224" s="7">
        <v>0</v>
      </c>
      <c r="F224" s="5">
        <v>0</v>
      </c>
      <c r="G224" s="7">
        <v>0</v>
      </c>
      <c r="H224" s="5">
        <v>0</v>
      </c>
      <c r="I224" s="7">
        <v>0</v>
      </c>
      <c r="J224" s="7">
        <v>0</v>
      </c>
      <c r="K224" s="5">
        <v>0</v>
      </c>
      <c r="L224" s="5">
        <v>0</v>
      </c>
      <c r="M224" s="5">
        <v>0</v>
      </c>
      <c r="N224" s="7">
        <v>0</v>
      </c>
      <c r="O224" s="7">
        <v>0</v>
      </c>
      <c r="P224" s="7">
        <v>140</v>
      </c>
      <c r="Q224" s="5">
        <v>0</v>
      </c>
      <c r="R224" s="5">
        <v>140</v>
      </c>
      <c r="S224" s="7">
        <v>31308</v>
      </c>
      <c r="T224" s="12">
        <v>43136</v>
      </c>
      <c r="U224" s="4">
        <v>5</v>
      </c>
      <c r="W224" s="14"/>
      <c r="X224" s="45">
        <v>70788.899999999994</v>
      </c>
      <c r="Y224" s="14" t="s">
        <v>54</v>
      </c>
      <c r="Z224" s="14" t="s">
        <v>1281</v>
      </c>
      <c r="AA224" s="14" t="s">
        <v>891</v>
      </c>
      <c r="AB224" s="25">
        <v>43140</v>
      </c>
      <c r="AC224" s="14" t="s">
        <v>803</v>
      </c>
      <c r="AD224" s="14" t="s">
        <v>50</v>
      </c>
      <c r="AE224" s="24" t="s">
        <v>494</v>
      </c>
      <c r="AF224" s="25" t="s">
        <v>1269</v>
      </c>
      <c r="AG224" t="e">
        <f t="shared" si="3"/>
        <v>#REF!</v>
      </c>
      <c r="AI224" s="58"/>
    </row>
    <row r="225" spans="1:41" s="31" customFormat="1" ht="15.75" customHeight="1">
      <c r="A225" s="13" t="s">
        <v>495</v>
      </c>
      <c r="B225" s="5">
        <v>0</v>
      </c>
      <c r="C225" s="7">
        <v>0</v>
      </c>
      <c r="D225" s="7">
        <v>0</v>
      </c>
      <c r="E225" s="7">
        <v>0</v>
      </c>
      <c r="F225" s="5">
        <v>0</v>
      </c>
      <c r="G225" s="7">
        <v>0</v>
      </c>
      <c r="H225" s="5">
        <v>620</v>
      </c>
      <c r="I225" s="7">
        <v>66386.2</v>
      </c>
      <c r="J225" s="7">
        <v>316</v>
      </c>
      <c r="K225" s="5">
        <v>0</v>
      </c>
      <c r="L225" s="5">
        <v>0</v>
      </c>
      <c r="M225" s="5">
        <v>316</v>
      </c>
      <c r="N225" s="7">
        <v>316</v>
      </c>
      <c r="O225" s="7">
        <v>62895.199999999997</v>
      </c>
      <c r="P225" s="7">
        <v>0</v>
      </c>
      <c r="Q225" s="5">
        <v>0</v>
      </c>
      <c r="R225" s="5">
        <v>0</v>
      </c>
      <c r="S225" s="7">
        <v>0</v>
      </c>
      <c r="T225" s="12">
        <v>43136</v>
      </c>
      <c r="U225" s="4">
        <v>11</v>
      </c>
      <c r="V225" s="4"/>
      <c r="W225" s="14"/>
      <c r="X225" s="45">
        <v>129281.4</v>
      </c>
      <c r="Y225" s="14" t="s">
        <v>56</v>
      </c>
      <c r="Z225" s="14" t="s">
        <v>57</v>
      </c>
      <c r="AA225" s="14" t="s">
        <v>904</v>
      </c>
      <c r="AB225" s="25">
        <v>43145</v>
      </c>
      <c r="AC225" s="14" t="s">
        <v>816</v>
      </c>
      <c r="AD225" s="29" t="s">
        <v>51</v>
      </c>
      <c r="AE225" s="24" t="s">
        <v>496</v>
      </c>
      <c r="AF225" s="25" t="s">
        <v>1270</v>
      </c>
      <c r="AG225" t="e">
        <f t="shared" si="3"/>
        <v>#REF!</v>
      </c>
      <c r="AH225"/>
      <c r="AI225" s="58"/>
      <c r="AJ225"/>
      <c r="AK225" s="30"/>
      <c r="AL225" s="30"/>
      <c r="AM225" s="30"/>
      <c r="AN225" s="30"/>
      <c r="AO225" s="30"/>
    </row>
    <row r="226" spans="1:41" s="31" customFormat="1" ht="15.75" customHeight="1">
      <c r="A226" s="13" t="s">
        <v>497</v>
      </c>
      <c r="B226" s="5">
        <v>153</v>
      </c>
      <c r="C226" s="7">
        <v>13631.700000000003</v>
      </c>
      <c r="D226" s="7">
        <v>0</v>
      </c>
      <c r="E226" s="7">
        <v>0</v>
      </c>
      <c r="F226" s="5">
        <v>0</v>
      </c>
      <c r="G226" s="7">
        <v>0</v>
      </c>
      <c r="H226" s="5">
        <v>60</v>
      </c>
      <c r="I226" s="7">
        <v>2438</v>
      </c>
      <c r="J226" s="7">
        <v>103</v>
      </c>
      <c r="K226" s="5">
        <v>0</v>
      </c>
      <c r="L226" s="5">
        <v>0</v>
      </c>
      <c r="M226" s="5">
        <v>103</v>
      </c>
      <c r="N226" s="7">
        <v>103</v>
      </c>
      <c r="O226" s="7">
        <v>15374.2</v>
      </c>
      <c r="P226" s="7">
        <v>350</v>
      </c>
      <c r="Q226" s="5">
        <v>0</v>
      </c>
      <c r="R226" s="5">
        <v>350</v>
      </c>
      <c r="S226" s="7">
        <v>51179.6</v>
      </c>
      <c r="T226" s="12">
        <v>43136</v>
      </c>
      <c r="U226" s="4">
        <v>7</v>
      </c>
      <c r="V226" s="4"/>
      <c r="W226" s="14"/>
      <c r="X226" s="45">
        <v>82623.5</v>
      </c>
      <c r="Y226" s="14" t="s">
        <v>56</v>
      </c>
      <c r="Z226" s="14" t="s">
        <v>55</v>
      </c>
      <c r="AA226" s="14" t="s">
        <v>895</v>
      </c>
      <c r="AB226" s="25">
        <v>43139</v>
      </c>
      <c r="AC226" s="14" t="s">
        <v>807</v>
      </c>
      <c r="AD226" s="14" t="s">
        <v>51</v>
      </c>
      <c r="AE226" s="24" t="s">
        <v>498</v>
      </c>
      <c r="AF226" s="25" t="s">
        <v>1270</v>
      </c>
      <c r="AG226" t="e">
        <f t="shared" si="3"/>
        <v>#REF!</v>
      </c>
      <c r="AH226"/>
      <c r="AI226" s="58"/>
      <c r="AJ226"/>
      <c r="AK226" s="30"/>
      <c r="AL226" s="30"/>
      <c r="AM226" s="30"/>
      <c r="AN226" s="30"/>
      <c r="AO226" s="30"/>
    </row>
    <row r="227" spans="1:41" s="31" customFormat="1" ht="15.75" customHeight="1">
      <c r="A227" s="13" t="s">
        <v>499</v>
      </c>
      <c r="B227" s="5">
        <v>93</v>
      </c>
      <c r="C227" s="7">
        <v>11564.5</v>
      </c>
      <c r="D227" s="7">
        <v>0</v>
      </c>
      <c r="E227" s="7">
        <v>0</v>
      </c>
      <c r="F227" s="5">
        <v>0</v>
      </c>
      <c r="G227" s="7">
        <v>0</v>
      </c>
      <c r="H227" s="5">
        <v>0</v>
      </c>
      <c r="I227" s="7">
        <v>0</v>
      </c>
      <c r="J227" s="7">
        <v>87</v>
      </c>
      <c r="K227" s="5">
        <v>0</v>
      </c>
      <c r="L227" s="5">
        <v>0</v>
      </c>
      <c r="M227" s="5">
        <v>87</v>
      </c>
      <c r="N227" s="7">
        <v>87</v>
      </c>
      <c r="O227" s="7">
        <v>10063.299999999999</v>
      </c>
      <c r="P227" s="7">
        <v>155</v>
      </c>
      <c r="Q227" s="5">
        <v>0</v>
      </c>
      <c r="R227" s="5">
        <v>155</v>
      </c>
      <c r="S227" s="7">
        <v>33253</v>
      </c>
      <c r="T227" s="12">
        <v>43136</v>
      </c>
      <c r="U227" s="4">
        <v>4</v>
      </c>
      <c r="V227" s="4"/>
      <c r="W227" s="14"/>
      <c r="X227" s="45">
        <v>54880.800000000003</v>
      </c>
      <c r="Y227" s="14" t="s">
        <v>56</v>
      </c>
      <c r="Z227" s="14" t="s">
        <v>730</v>
      </c>
      <c r="AA227" s="14" t="s">
        <v>902</v>
      </c>
      <c r="AB227" s="25">
        <v>43141</v>
      </c>
      <c r="AC227" s="14" t="s">
        <v>814</v>
      </c>
      <c r="AD227" s="29" t="s">
        <v>52</v>
      </c>
      <c r="AE227" s="24" t="s">
        <v>500</v>
      </c>
      <c r="AF227" s="25" t="s">
        <v>1271</v>
      </c>
      <c r="AG227" t="e">
        <f t="shared" si="3"/>
        <v>#REF!</v>
      </c>
      <c r="AH227"/>
      <c r="AI227" s="58"/>
      <c r="AJ227"/>
      <c r="AK227" s="30"/>
      <c r="AL227" s="30"/>
      <c r="AM227" s="30"/>
      <c r="AN227" s="30"/>
      <c r="AO227" s="30"/>
    </row>
    <row r="228" spans="1:41" s="31" customFormat="1" ht="15.75" customHeight="1">
      <c r="A228" s="13" t="s">
        <v>501</v>
      </c>
      <c r="B228" s="5">
        <v>170</v>
      </c>
      <c r="C228" s="7">
        <v>5072.5</v>
      </c>
      <c r="D228" s="7">
        <v>0</v>
      </c>
      <c r="E228" s="7">
        <v>0</v>
      </c>
      <c r="F228" s="5">
        <v>0</v>
      </c>
      <c r="G228" s="7">
        <v>0</v>
      </c>
      <c r="H228" s="5">
        <v>216</v>
      </c>
      <c r="I228" s="7">
        <v>22646.339999999997</v>
      </c>
      <c r="J228" s="7">
        <v>0</v>
      </c>
      <c r="K228" s="5">
        <v>0</v>
      </c>
      <c r="L228" s="5">
        <v>0</v>
      </c>
      <c r="M228" s="5">
        <v>0</v>
      </c>
      <c r="N228" s="7">
        <v>0</v>
      </c>
      <c r="O228" s="7">
        <v>0</v>
      </c>
      <c r="P228" s="7">
        <v>497</v>
      </c>
      <c r="Q228" s="5">
        <v>0</v>
      </c>
      <c r="R228" s="5">
        <v>497</v>
      </c>
      <c r="S228" s="7">
        <v>39760</v>
      </c>
      <c r="T228" s="12">
        <v>43136</v>
      </c>
      <c r="U228" s="4">
        <v>3</v>
      </c>
      <c r="V228" s="4"/>
      <c r="W228" s="14"/>
      <c r="X228" s="45">
        <v>67478.84</v>
      </c>
      <c r="Y228" s="14" t="s">
        <v>85</v>
      </c>
      <c r="Z228" s="14" t="s">
        <v>59</v>
      </c>
      <c r="AA228" s="14">
        <v>350810010592</v>
      </c>
      <c r="AB228" s="25">
        <v>43143</v>
      </c>
      <c r="AC228" s="14" t="s">
        <v>809</v>
      </c>
      <c r="AD228" s="14" t="s">
        <v>49</v>
      </c>
      <c r="AE228" s="24" t="s">
        <v>502</v>
      </c>
      <c r="AF228" s="25" t="s">
        <v>1265</v>
      </c>
      <c r="AG228" t="e">
        <f t="shared" si="3"/>
        <v>#REF!</v>
      </c>
      <c r="AH228"/>
      <c r="AI228" s="58"/>
      <c r="AJ228"/>
      <c r="AK228" s="30"/>
      <c r="AL228" s="30"/>
      <c r="AM228" s="30"/>
      <c r="AN228" s="30"/>
      <c r="AO228" s="30"/>
    </row>
    <row r="229" spans="1:41" s="31" customFormat="1" ht="15.75" customHeight="1">
      <c r="A229" s="13" t="s">
        <v>503</v>
      </c>
      <c r="B229" s="5">
        <v>28</v>
      </c>
      <c r="C229" s="7">
        <v>4722.2</v>
      </c>
      <c r="D229" s="7">
        <v>0</v>
      </c>
      <c r="E229" s="7">
        <v>0</v>
      </c>
      <c r="F229" s="5">
        <v>0</v>
      </c>
      <c r="G229" s="7">
        <v>0</v>
      </c>
      <c r="H229" s="5">
        <v>0</v>
      </c>
      <c r="I229" s="7">
        <v>0</v>
      </c>
      <c r="J229" s="7">
        <v>0</v>
      </c>
      <c r="K229" s="5">
        <v>0</v>
      </c>
      <c r="L229" s="5">
        <v>0</v>
      </c>
      <c r="M229" s="5">
        <v>0</v>
      </c>
      <c r="N229" s="7">
        <v>0</v>
      </c>
      <c r="O229" s="7">
        <v>0</v>
      </c>
      <c r="P229" s="7">
        <v>70</v>
      </c>
      <c r="Q229" s="5">
        <v>0</v>
      </c>
      <c r="R229" s="5">
        <v>70</v>
      </c>
      <c r="S229" s="7">
        <v>10147.5</v>
      </c>
      <c r="T229" s="12">
        <v>43136</v>
      </c>
      <c r="U229" s="4">
        <v>1</v>
      </c>
      <c r="V229" s="4"/>
      <c r="W229" s="14"/>
      <c r="X229" s="45">
        <v>14869.7</v>
      </c>
      <c r="Y229" s="14" t="s">
        <v>1354</v>
      </c>
      <c r="Z229" s="14" t="s">
        <v>730</v>
      </c>
      <c r="AA229" s="14" t="s">
        <v>905</v>
      </c>
      <c r="AB229" s="25">
        <v>43140</v>
      </c>
      <c r="AC229" s="14" t="s">
        <v>817</v>
      </c>
      <c r="AD229" s="29" t="s">
        <v>240</v>
      </c>
      <c r="AE229" s="24" t="s">
        <v>504</v>
      </c>
      <c r="AF229" s="25" t="s">
        <v>1274</v>
      </c>
      <c r="AG229" t="e">
        <f t="shared" si="3"/>
        <v>#REF!</v>
      </c>
      <c r="AH229"/>
      <c r="AI229" s="58"/>
      <c r="AJ229"/>
      <c r="AK229" s="30"/>
      <c r="AL229" s="30"/>
      <c r="AM229" s="30"/>
      <c r="AN229" s="30"/>
      <c r="AO229" s="30"/>
    </row>
    <row r="230" spans="1:41" s="31" customFormat="1" ht="15.75" customHeight="1">
      <c r="A230" s="13" t="s">
        <v>506</v>
      </c>
      <c r="B230" s="5">
        <v>176</v>
      </c>
      <c r="C230" s="7">
        <v>23174.299999999996</v>
      </c>
      <c r="D230" s="7">
        <v>0</v>
      </c>
      <c r="E230" s="7">
        <v>0</v>
      </c>
      <c r="F230" s="5">
        <v>0</v>
      </c>
      <c r="G230" s="7">
        <v>0</v>
      </c>
      <c r="H230" s="5">
        <v>0</v>
      </c>
      <c r="I230" s="7">
        <v>0</v>
      </c>
      <c r="J230" s="7">
        <v>0</v>
      </c>
      <c r="K230" s="5">
        <v>0</v>
      </c>
      <c r="L230" s="5">
        <v>0</v>
      </c>
      <c r="M230" s="5">
        <v>0</v>
      </c>
      <c r="N230" s="7">
        <v>0</v>
      </c>
      <c r="O230" s="7">
        <v>0</v>
      </c>
      <c r="P230" s="7">
        <v>0</v>
      </c>
      <c r="Q230" s="5">
        <v>0</v>
      </c>
      <c r="R230" s="5">
        <v>0</v>
      </c>
      <c r="S230" s="7">
        <v>0</v>
      </c>
      <c r="T230" s="12">
        <v>43136</v>
      </c>
      <c r="U230" s="4">
        <v>2</v>
      </c>
      <c r="V230" s="4"/>
      <c r="W230" s="14"/>
      <c r="X230" s="45">
        <v>23174.299999999996</v>
      </c>
      <c r="Y230" s="14" t="s">
        <v>1636</v>
      </c>
      <c r="Z230" s="14" t="s">
        <v>1355</v>
      </c>
      <c r="AA230" s="14" t="s">
        <v>901</v>
      </c>
      <c r="AB230" s="25">
        <v>43139</v>
      </c>
      <c r="AC230" s="14" t="s">
        <v>813</v>
      </c>
      <c r="AD230" s="29" t="s">
        <v>49</v>
      </c>
      <c r="AE230" s="24" t="s">
        <v>507</v>
      </c>
      <c r="AF230" s="25" t="s">
        <v>1266</v>
      </c>
      <c r="AG230" t="e">
        <f t="shared" si="3"/>
        <v>#REF!</v>
      </c>
      <c r="AH230"/>
      <c r="AI230" s="58"/>
      <c r="AJ230"/>
      <c r="AK230" s="30"/>
      <c r="AL230" s="30"/>
      <c r="AM230" s="30"/>
      <c r="AN230" s="30"/>
      <c r="AO230" s="30"/>
    </row>
    <row r="231" spans="1:41" s="31" customFormat="1" ht="15.75" customHeight="1">
      <c r="A231" s="13" t="s">
        <v>508</v>
      </c>
      <c r="B231" s="5">
        <v>451</v>
      </c>
      <c r="C231" s="7">
        <v>36389.340000000004</v>
      </c>
      <c r="D231" s="7">
        <v>0</v>
      </c>
      <c r="E231" s="7">
        <v>0</v>
      </c>
      <c r="F231" s="5">
        <v>0</v>
      </c>
      <c r="G231" s="7">
        <v>0</v>
      </c>
      <c r="H231" s="5">
        <v>120</v>
      </c>
      <c r="I231" s="7">
        <v>4876</v>
      </c>
      <c r="J231" s="7">
        <v>40</v>
      </c>
      <c r="K231" s="5">
        <v>0</v>
      </c>
      <c r="L231" s="5">
        <v>0</v>
      </c>
      <c r="M231" s="5">
        <v>40</v>
      </c>
      <c r="N231" s="7">
        <v>40</v>
      </c>
      <c r="O231" s="7">
        <v>724</v>
      </c>
      <c r="P231" s="7">
        <v>114</v>
      </c>
      <c r="Q231" s="5">
        <v>0</v>
      </c>
      <c r="R231" s="5">
        <v>114</v>
      </c>
      <c r="S231" s="7">
        <v>17993.2</v>
      </c>
      <c r="T231" s="12">
        <v>43137</v>
      </c>
      <c r="U231" s="4">
        <v>4</v>
      </c>
      <c r="V231" s="4"/>
      <c r="W231" s="14"/>
      <c r="X231" s="45">
        <v>59982.540000000008</v>
      </c>
      <c r="Y231" s="14" t="s">
        <v>54</v>
      </c>
      <c r="Z231" s="14" t="s">
        <v>730</v>
      </c>
      <c r="AA231" s="14" t="s">
        <v>906</v>
      </c>
      <c r="AB231" s="25">
        <v>43146</v>
      </c>
      <c r="AC231" s="14" t="s">
        <v>818</v>
      </c>
      <c r="AD231" s="14" t="s">
        <v>50</v>
      </c>
      <c r="AE231" s="24" t="s">
        <v>509</v>
      </c>
      <c r="AF231" s="25" t="s">
        <v>1269</v>
      </c>
      <c r="AG231" t="e">
        <f t="shared" si="3"/>
        <v>#REF!</v>
      </c>
      <c r="AH231"/>
      <c r="AI231" s="58"/>
      <c r="AJ231"/>
      <c r="AK231" s="30"/>
      <c r="AL231" s="30"/>
      <c r="AM231" s="30"/>
      <c r="AN231" s="30"/>
      <c r="AO231" s="30"/>
    </row>
    <row r="232" spans="1:41" s="31" customFormat="1" ht="15.75" customHeight="1">
      <c r="A232" s="13" t="s">
        <v>510</v>
      </c>
      <c r="B232" s="5">
        <v>772</v>
      </c>
      <c r="C232" s="7">
        <v>84004.459999999992</v>
      </c>
      <c r="D232" s="7">
        <v>0</v>
      </c>
      <c r="E232" s="7">
        <v>0</v>
      </c>
      <c r="F232" s="5">
        <v>0</v>
      </c>
      <c r="G232" s="7">
        <v>0</v>
      </c>
      <c r="H232" s="5">
        <v>458</v>
      </c>
      <c r="I232" s="7">
        <v>57927.659999999989</v>
      </c>
      <c r="J232" s="7">
        <v>0</v>
      </c>
      <c r="K232" s="5">
        <v>0</v>
      </c>
      <c r="L232" s="5">
        <v>0</v>
      </c>
      <c r="M232" s="5">
        <v>0</v>
      </c>
      <c r="N232" s="7">
        <v>0</v>
      </c>
      <c r="O232" s="7">
        <v>0</v>
      </c>
      <c r="P232" s="7">
        <v>627</v>
      </c>
      <c r="Q232" s="5">
        <v>0</v>
      </c>
      <c r="R232" s="5">
        <v>627</v>
      </c>
      <c r="S232" s="7">
        <v>68200.399999999994</v>
      </c>
      <c r="T232" s="12">
        <v>43137</v>
      </c>
      <c r="U232" s="4">
        <v>13</v>
      </c>
      <c r="V232" s="4"/>
      <c r="W232" s="14"/>
      <c r="X232" s="45">
        <v>210132.52</v>
      </c>
      <c r="Y232" s="14" t="s">
        <v>56</v>
      </c>
      <c r="Z232" s="14" t="s">
        <v>55</v>
      </c>
      <c r="AA232" s="14" t="s">
        <v>907</v>
      </c>
      <c r="AB232" s="25">
        <v>43138</v>
      </c>
      <c r="AC232" s="14" t="s">
        <v>805</v>
      </c>
      <c r="AD232" s="29" t="s">
        <v>51</v>
      </c>
      <c r="AE232" s="24" t="s">
        <v>511</v>
      </c>
      <c r="AF232" s="25" t="s">
        <v>1270</v>
      </c>
      <c r="AG232" t="e">
        <f t="shared" si="3"/>
        <v>#REF!</v>
      </c>
      <c r="AH232"/>
      <c r="AI232" s="58"/>
      <c r="AJ232"/>
      <c r="AK232" s="30"/>
      <c r="AL232" s="30"/>
      <c r="AM232" s="30"/>
      <c r="AN232" s="30"/>
      <c r="AO232" s="30"/>
    </row>
    <row r="233" spans="1:41" ht="15.75" customHeight="1">
      <c r="A233" s="13" t="s">
        <v>512</v>
      </c>
      <c r="B233" s="5">
        <v>164</v>
      </c>
      <c r="C233" s="7">
        <v>14825.690000000002</v>
      </c>
      <c r="D233" s="7">
        <v>0</v>
      </c>
      <c r="E233" s="7">
        <v>0</v>
      </c>
      <c r="F233" s="5">
        <v>0</v>
      </c>
      <c r="G233" s="7">
        <v>0</v>
      </c>
      <c r="H233" s="5">
        <v>286</v>
      </c>
      <c r="I233" s="7">
        <v>37956.94</v>
      </c>
      <c r="J233" s="7">
        <v>164</v>
      </c>
      <c r="K233" s="5">
        <v>0</v>
      </c>
      <c r="L233" s="5">
        <v>0</v>
      </c>
      <c r="M233" s="5">
        <v>164</v>
      </c>
      <c r="N233" s="7">
        <v>164</v>
      </c>
      <c r="O233" s="7">
        <v>36746.199999999997</v>
      </c>
      <c r="P233" s="7">
        <v>0</v>
      </c>
      <c r="Q233" s="5">
        <v>0</v>
      </c>
      <c r="R233" s="5">
        <v>0</v>
      </c>
      <c r="S233" s="7">
        <v>0</v>
      </c>
      <c r="T233" s="12">
        <v>43137</v>
      </c>
      <c r="U233" s="4">
        <v>8</v>
      </c>
      <c r="W233" s="14"/>
      <c r="X233" s="45">
        <v>89528.83</v>
      </c>
      <c r="Y233" s="14" t="s">
        <v>56</v>
      </c>
      <c r="Z233" s="14" t="s">
        <v>59</v>
      </c>
      <c r="AA233" s="14" t="s">
        <v>904</v>
      </c>
      <c r="AB233" s="25">
        <v>43145</v>
      </c>
      <c r="AC233" s="14" t="s">
        <v>816</v>
      </c>
      <c r="AD233" s="14" t="s">
        <v>51</v>
      </c>
      <c r="AE233" s="24" t="s">
        <v>513</v>
      </c>
      <c r="AF233" s="25" t="s">
        <v>1270</v>
      </c>
      <c r="AG233" t="e">
        <f t="shared" si="3"/>
        <v>#REF!</v>
      </c>
      <c r="AI233" s="58"/>
    </row>
    <row r="234" spans="1:41" s="42" customFormat="1" ht="15.75" customHeight="1">
      <c r="A234" s="13" t="s">
        <v>515</v>
      </c>
      <c r="B234" s="5">
        <v>232</v>
      </c>
      <c r="C234" s="7">
        <v>24333.399999999998</v>
      </c>
      <c r="D234" s="7">
        <v>0</v>
      </c>
      <c r="E234" s="7">
        <v>0</v>
      </c>
      <c r="F234" s="5">
        <v>0</v>
      </c>
      <c r="G234" s="7">
        <v>0</v>
      </c>
      <c r="H234" s="5">
        <v>0</v>
      </c>
      <c r="I234" s="7">
        <v>0</v>
      </c>
      <c r="J234" s="7">
        <v>0</v>
      </c>
      <c r="K234" s="5">
        <v>0</v>
      </c>
      <c r="L234" s="5">
        <v>0</v>
      </c>
      <c r="M234" s="5">
        <v>0</v>
      </c>
      <c r="N234" s="7">
        <v>0</v>
      </c>
      <c r="O234" s="7">
        <v>0</v>
      </c>
      <c r="P234" s="7">
        <v>0</v>
      </c>
      <c r="Q234" s="5">
        <v>0</v>
      </c>
      <c r="R234" s="5">
        <v>0</v>
      </c>
      <c r="S234" s="7">
        <v>0</v>
      </c>
      <c r="T234" s="12">
        <v>43137</v>
      </c>
      <c r="U234" s="4">
        <v>2</v>
      </c>
      <c r="V234" s="4"/>
      <c r="W234" s="14"/>
      <c r="X234" s="45">
        <v>24333.399999999998</v>
      </c>
      <c r="Y234" s="14" t="s">
        <v>85</v>
      </c>
      <c r="Z234" s="14" t="s">
        <v>1355</v>
      </c>
      <c r="AA234" s="14">
        <v>350810010592</v>
      </c>
      <c r="AB234" s="25">
        <v>43143</v>
      </c>
      <c r="AC234" s="14" t="s">
        <v>809</v>
      </c>
      <c r="AD234" s="14" t="s">
        <v>49</v>
      </c>
      <c r="AE234" s="24" t="s">
        <v>516</v>
      </c>
      <c r="AF234" s="25" t="s">
        <v>1267</v>
      </c>
      <c r="AG234" t="e">
        <f t="shared" si="3"/>
        <v>#REF!</v>
      </c>
      <c r="AH234"/>
      <c r="AI234" s="58"/>
      <c r="AJ234"/>
      <c r="AK234" s="41"/>
      <c r="AL234" s="41"/>
      <c r="AM234" s="41"/>
      <c r="AN234" s="41"/>
      <c r="AO234" s="41"/>
    </row>
    <row r="235" spans="1:41" s="31" customFormat="1" ht="15.75" customHeight="1">
      <c r="A235" s="13" t="s">
        <v>517</v>
      </c>
      <c r="B235" s="5">
        <v>0</v>
      </c>
      <c r="C235" s="7">
        <v>0</v>
      </c>
      <c r="D235" s="7">
        <v>0</v>
      </c>
      <c r="E235" s="7">
        <v>0</v>
      </c>
      <c r="F235" s="5">
        <v>0</v>
      </c>
      <c r="G235" s="7">
        <v>0</v>
      </c>
      <c r="H235" s="5">
        <v>571</v>
      </c>
      <c r="I235" s="7">
        <v>67000.34</v>
      </c>
      <c r="J235" s="7">
        <v>0</v>
      </c>
      <c r="K235" s="5">
        <v>0</v>
      </c>
      <c r="L235" s="5">
        <v>0</v>
      </c>
      <c r="M235" s="5">
        <v>0</v>
      </c>
      <c r="N235" s="7">
        <v>0</v>
      </c>
      <c r="O235" s="7">
        <v>0</v>
      </c>
      <c r="P235" s="7">
        <v>0</v>
      </c>
      <c r="Q235" s="5">
        <v>0</v>
      </c>
      <c r="R235" s="5">
        <v>0</v>
      </c>
      <c r="S235" s="7">
        <v>0</v>
      </c>
      <c r="T235" s="12">
        <v>43137</v>
      </c>
      <c r="U235" s="4">
        <v>5</v>
      </c>
      <c r="V235" s="4"/>
      <c r="W235" s="14"/>
      <c r="X235" s="45">
        <v>67000.34</v>
      </c>
      <c r="Y235" s="14" t="s">
        <v>56</v>
      </c>
      <c r="Z235" s="14" t="s">
        <v>59</v>
      </c>
      <c r="AA235" s="14" t="s">
        <v>893</v>
      </c>
      <c r="AB235" s="25">
        <v>43138</v>
      </c>
      <c r="AC235" s="14" t="s">
        <v>805</v>
      </c>
      <c r="AD235" s="29" t="s">
        <v>49</v>
      </c>
      <c r="AE235" s="24" t="s">
        <v>518</v>
      </c>
      <c r="AF235" s="25" t="s">
        <v>1265</v>
      </c>
      <c r="AG235" t="e">
        <f t="shared" si="3"/>
        <v>#REF!</v>
      </c>
      <c r="AH235"/>
      <c r="AI235" s="58"/>
      <c r="AJ235"/>
      <c r="AK235" s="30"/>
      <c r="AL235" s="30"/>
      <c r="AM235" s="30"/>
      <c r="AN235" s="30"/>
      <c r="AO235" s="30"/>
    </row>
    <row r="236" spans="1:41" s="31" customFormat="1" ht="15.75" customHeight="1">
      <c r="A236" s="13" t="s">
        <v>520</v>
      </c>
      <c r="B236" s="5">
        <v>0</v>
      </c>
      <c r="C236" s="7">
        <v>0</v>
      </c>
      <c r="D236" s="7">
        <v>0</v>
      </c>
      <c r="E236" s="7">
        <v>0</v>
      </c>
      <c r="F236" s="5">
        <v>0</v>
      </c>
      <c r="G236" s="7">
        <v>0</v>
      </c>
      <c r="H236" s="5">
        <v>0</v>
      </c>
      <c r="I236" s="7">
        <v>0</v>
      </c>
      <c r="J236" s="7">
        <v>0</v>
      </c>
      <c r="K236" s="5">
        <v>0</v>
      </c>
      <c r="L236" s="5">
        <v>0</v>
      </c>
      <c r="M236" s="5">
        <v>0</v>
      </c>
      <c r="N236" s="7">
        <v>0</v>
      </c>
      <c r="O236" s="7">
        <v>0</v>
      </c>
      <c r="P236" s="7">
        <v>102</v>
      </c>
      <c r="Q236" s="5">
        <v>0</v>
      </c>
      <c r="R236" s="5">
        <v>102</v>
      </c>
      <c r="S236" s="7">
        <v>14322.400000000001</v>
      </c>
      <c r="T236" s="12">
        <v>43137</v>
      </c>
      <c r="U236" s="4">
        <v>1</v>
      </c>
      <c r="V236" s="4"/>
      <c r="W236" s="14"/>
      <c r="X236" s="45">
        <v>14322.400000000001</v>
      </c>
      <c r="Y236" s="14" t="s">
        <v>56</v>
      </c>
      <c r="Z236" s="14" t="s">
        <v>1355</v>
      </c>
      <c r="AA236" s="14" t="s">
        <v>908</v>
      </c>
      <c r="AB236" s="25">
        <v>43141</v>
      </c>
      <c r="AC236" s="14" t="s">
        <v>814</v>
      </c>
      <c r="AD236" s="29" t="s">
        <v>218</v>
      </c>
      <c r="AE236" s="24" t="s">
        <v>521</v>
      </c>
      <c r="AF236" s="25" t="s">
        <v>1272</v>
      </c>
      <c r="AG236" t="e">
        <f t="shared" si="3"/>
        <v>#REF!</v>
      </c>
      <c r="AH236"/>
      <c r="AI236" s="58"/>
      <c r="AJ236"/>
      <c r="AK236" s="30"/>
      <c r="AL236" s="30"/>
      <c r="AM236" s="30"/>
      <c r="AN236" s="30"/>
      <c r="AO236" s="30"/>
    </row>
    <row r="237" spans="1:41" s="31" customFormat="1" ht="15.75" customHeight="1">
      <c r="A237" s="13" t="s">
        <v>505</v>
      </c>
      <c r="B237" s="5">
        <v>0</v>
      </c>
      <c r="C237" s="7">
        <v>0</v>
      </c>
      <c r="D237" s="7">
        <v>0</v>
      </c>
      <c r="E237" s="7">
        <v>0</v>
      </c>
      <c r="F237" s="5">
        <v>0</v>
      </c>
      <c r="G237" s="7">
        <v>0</v>
      </c>
      <c r="H237" s="5">
        <v>0</v>
      </c>
      <c r="I237" s="7">
        <v>0</v>
      </c>
      <c r="J237" s="7">
        <v>0</v>
      </c>
      <c r="K237" s="5">
        <v>0</v>
      </c>
      <c r="L237" s="5">
        <v>0</v>
      </c>
      <c r="M237" s="5">
        <v>0</v>
      </c>
      <c r="N237" s="7">
        <v>0</v>
      </c>
      <c r="O237" s="7">
        <v>0</v>
      </c>
      <c r="P237" s="7">
        <v>186</v>
      </c>
      <c r="Q237" s="5">
        <v>0</v>
      </c>
      <c r="R237" s="5">
        <v>186</v>
      </c>
      <c r="S237" s="7">
        <v>31059.200000000001</v>
      </c>
      <c r="T237" s="12">
        <v>43137</v>
      </c>
      <c r="U237" s="4">
        <v>2</v>
      </c>
      <c r="V237" s="4"/>
      <c r="W237" s="14"/>
      <c r="X237" s="45">
        <v>31059.200000000001</v>
      </c>
      <c r="Y237" s="14" t="s">
        <v>58</v>
      </c>
      <c r="Z237" s="14" t="s">
        <v>1355</v>
      </c>
      <c r="AA237" s="14" t="s">
        <v>909</v>
      </c>
      <c r="AB237" s="25">
        <v>43142</v>
      </c>
      <c r="AC237" s="14" t="s">
        <v>819</v>
      </c>
      <c r="AD237" s="14" t="s">
        <v>49</v>
      </c>
      <c r="AE237" s="24" t="s">
        <v>522</v>
      </c>
      <c r="AF237" s="25" t="s">
        <v>1268</v>
      </c>
      <c r="AG237" t="e">
        <f t="shared" si="3"/>
        <v>#REF!</v>
      </c>
      <c r="AH237"/>
      <c r="AI237" s="58"/>
      <c r="AJ237"/>
      <c r="AK237" s="30"/>
      <c r="AL237" s="30"/>
      <c r="AM237" s="30"/>
      <c r="AN237" s="30"/>
      <c r="AO237" s="30"/>
    </row>
    <row r="238" spans="1:41" s="31" customFormat="1" ht="15.75" customHeight="1">
      <c r="A238" s="13" t="s">
        <v>523</v>
      </c>
      <c r="B238" s="5">
        <v>184</v>
      </c>
      <c r="C238" s="7">
        <v>15546.939999999999</v>
      </c>
      <c r="D238" s="7">
        <v>0</v>
      </c>
      <c r="E238" s="7">
        <v>0</v>
      </c>
      <c r="F238" s="5">
        <v>0</v>
      </c>
      <c r="G238" s="7">
        <v>0</v>
      </c>
      <c r="H238" s="5">
        <v>0</v>
      </c>
      <c r="I238" s="7">
        <v>0</v>
      </c>
      <c r="J238" s="7">
        <v>324</v>
      </c>
      <c r="K238" s="5">
        <v>0</v>
      </c>
      <c r="L238" s="5">
        <v>0</v>
      </c>
      <c r="M238" s="5">
        <v>324</v>
      </c>
      <c r="N238" s="7">
        <v>324</v>
      </c>
      <c r="O238" s="7">
        <v>68318.999999999985</v>
      </c>
      <c r="P238" s="7">
        <v>149</v>
      </c>
      <c r="Q238" s="5">
        <v>0</v>
      </c>
      <c r="R238" s="5">
        <v>149</v>
      </c>
      <c r="S238" s="7">
        <v>26861</v>
      </c>
      <c r="T238" s="12">
        <v>43138</v>
      </c>
      <c r="U238" s="4">
        <v>10</v>
      </c>
      <c r="V238" s="4"/>
      <c r="W238" s="14"/>
      <c r="X238" s="45">
        <v>110726.93999999999</v>
      </c>
      <c r="Y238" s="14" t="s">
        <v>54</v>
      </c>
      <c r="Z238" s="14" t="s">
        <v>1281</v>
      </c>
      <c r="AA238" s="14" t="s">
        <v>903</v>
      </c>
      <c r="AB238" s="25">
        <v>43150</v>
      </c>
      <c r="AC238" s="14" t="s">
        <v>815</v>
      </c>
      <c r="AD238" s="29" t="s">
        <v>50</v>
      </c>
      <c r="AE238" s="24" t="s">
        <v>524</v>
      </c>
      <c r="AF238" s="25" t="s">
        <v>1269</v>
      </c>
      <c r="AG238" t="e">
        <f t="shared" si="3"/>
        <v>#REF!</v>
      </c>
      <c r="AH238"/>
      <c r="AI238" s="58"/>
      <c r="AJ238"/>
      <c r="AK238" s="30"/>
      <c r="AL238" s="30"/>
      <c r="AM238" s="30"/>
      <c r="AN238" s="30"/>
      <c r="AO238" s="30"/>
    </row>
    <row r="239" spans="1:41" s="31" customFormat="1" ht="15.75" customHeight="1">
      <c r="A239" s="13" t="s">
        <v>526</v>
      </c>
      <c r="B239" s="5">
        <v>0</v>
      </c>
      <c r="C239" s="7">
        <v>0</v>
      </c>
      <c r="D239" s="7">
        <v>0</v>
      </c>
      <c r="E239" s="7">
        <v>0</v>
      </c>
      <c r="F239" s="5">
        <v>0</v>
      </c>
      <c r="G239" s="7">
        <v>0</v>
      </c>
      <c r="H239" s="5">
        <v>595</v>
      </c>
      <c r="I239" s="7">
        <v>60233.559999999983</v>
      </c>
      <c r="J239" s="7">
        <v>360</v>
      </c>
      <c r="K239" s="5">
        <v>0</v>
      </c>
      <c r="L239" s="5">
        <v>0</v>
      </c>
      <c r="M239" s="5">
        <v>360</v>
      </c>
      <c r="N239" s="7">
        <v>360</v>
      </c>
      <c r="O239" s="7">
        <v>54216.2</v>
      </c>
      <c r="P239" s="7">
        <v>0</v>
      </c>
      <c r="Q239" s="5">
        <v>0</v>
      </c>
      <c r="R239" s="5">
        <v>0</v>
      </c>
      <c r="S239" s="7">
        <v>0</v>
      </c>
      <c r="T239" s="12">
        <v>43138</v>
      </c>
      <c r="U239" s="4">
        <v>9</v>
      </c>
      <c r="V239" s="4"/>
      <c r="W239" s="14"/>
      <c r="X239" s="45">
        <v>114449.75999999998</v>
      </c>
      <c r="Y239" s="14" t="s">
        <v>56</v>
      </c>
      <c r="Z239" s="14" t="s">
        <v>1355</v>
      </c>
      <c r="AA239" s="14" t="s">
        <v>904</v>
      </c>
      <c r="AB239" s="25">
        <v>43145</v>
      </c>
      <c r="AC239" s="14" t="s">
        <v>816</v>
      </c>
      <c r="AD239" s="29" t="s">
        <v>51</v>
      </c>
      <c r="AE239" s="24" t="s">
        <v>527</v>
      </c>
      <c r="AF239" s="25" t="s">
        <v>1270</v>
      </c>
      <c r="AG239" t="e">
        <f t="shared" si="3"/>
        <v>#REF!</v>
      </c>
      <c r="AH239"/>
      <c r="AI239" s="58"/>
      <c r="AJ239"/>
      <c r="AK239" s="30"/>
      <c r="AL239" s="30"/>
      <c r="AM239" s="30"/>
      <c r="AN239" s="30"/>
      <c r="AO239" s="30"/>
    </row>
    <row r="240" spans="1:41" s="31" customFormat="1" ht="15.75" customHeight="1">
      <c r="A240" s="13" t="s">
        <v>514</v>
      </c>
      <c r="B240" s="5">
        <v>213</v>
      </c>
      <c r="C240" s="7">
        <v>24250.680000000004</v>
      </c>
      <c r="D240" s="7">
        <v>25</v>
      </c>
      <c r="E240" s="7">
        <v>25</v>
      </c>
      <c r="F240" s="5">
        <v>0</v>
      </c>
      <c r="G240" s="7">
        <v>882.5</v>
      </c>
      <c r="H240" s="5">
        <v>285</v>
      </c>
      <c r="I240" s="7">
        <v>26877.300000000003</v>
      </c>
      <c r="J240" s="7">
        <v>15</v>
      </c>
      <c r="K240" s="5">
        <v>0</v>
      </c>
      <c r="L240" s="5">
        <v>0</v>
      </c>
      <c r="M240" s="5">
        <v>15</v>
      </c>
      <c r="N240" s="7">
        <v>15</v>
      </c>
      <c r="O240" s="7">
        <v>276</v>
      </c>
      <c r="P240" s="7">
        <v>919</v>
      </c>
      <c r="Q240" s="5">
        <v>0</v>
      </c>
      <c r="R240" s="5">
        <v>919</v>
      </c>
      <c r="S240" s="7">
        <v>72982.649999999994</v>
      </c>
      <c r="T240" s="12">
        <v>43138</v>
      </c>
      <c r="U240" s="4">
        <v>6</v>
      </c>
      <c r="V240" s="4"/>
      <c r="W240" s="14"/>
      <c r="X240" s="45">
        <v>125269.13</v>
      </c>
      <c r="Y240" s="14" t="s">
        <v>54</v>
      </c>
      <c r="Z240" s="14" t="s">
        <v>1281</v>
      </c>
      <c r="AA240" s="14" t="s">
        <v>910</v>
      </c>
      <c r="AB240" s="25">
        <v>43144</v>
      </c>
      <c r="AC240" s="14" t="s">
        <v>820</v>
      </c>
      <c r="AD240" s="29" t="s">
        <v>52</v>
      </c>
      <c r="AE240" s="24" t="s">
        <v>529</v>
      </c>
      <c r="AF240" s="25" t="s">
        <v>1271</v>
      </c>
      <c r="AG240" t="e">
        <f t="shared" si="3"/>
        <v>#REF!</v>
      </c>
      <c r="AH240"/>
      <c r="AI240" s="58"/>
      <c r="AJ240"/>
      <c r="AK240" s="30"/>
      <c r="AL240" s="30"/>
      <c r="AM240" s="30"/>
      <c r="AN240" s="30"/>
      <c r="AO240" s="30"/>
    </row>
    <row r="241" spans="1:41" s="31" customFormat="1" ht="15.75" customHeight="1">
      <c r="A241" s="13" t="s">
        <v>530</v>
      </c>
      <c r="B241" s="5">
        <v>0</v>
      </c>
      <c r="C241" s="7">
        <v>0</v>
      </c>
      <c r="D241" s="7">
        <v>0</v>
      </c>
      <c r="E241" s="7">
        <v>0</v>
      </c>
      <c r="F241" s="5">
        <v>0</v>
      </c>
      <c r="G241" s="7">
        <v>0</v>
      </c>
      <c r="H241" s="5">
        <v>1018</v>
      </c>
      <c r="I241" s="7">
        <v>130532.75</v>
      </c>
      <c r="J241" s="7">
        <v>0</v>
      </c>
      <c r="K241" s="5">
        <v>0</v>
      </c>
      <c r="L241" s="5">
        <v>0</v>
      </c>
      <c r="M241" s="5">
        <v>0</v>
      </c>
      <c r="N241" s="7">
        <v>0</v>
      </c>
      <c r="O241" s="7">
        <v>0</v>
      </c>
      <c r="P241" s="7">
        <v>0</v>
      </c>
      <c r="Q241" s="5">
        <v>0</v>
      </c>
      <c r="R241" s="5">
        <v>0</v>
      </c>
      <c r="S241" s="7">
        <v>0</v>
      </c>
      <c r="T241" s="12">
        <v>43138</v>
      </c>
      <c r="U241" s="4">
        <v>10</v>
      </c>
      <c r="V241" s="4"/>
      <c r="W241" s="14"/>
      <c r="X241" s="45">
        <v>130532.75</v>
      </c>
      <c r="Y241" s="14" t="s">
        <v>54</v>
      </c>
      <c r="Z241" s="14" t="s">
        <v>59</v>
      </c>
      <c r="AA241" s="14" t="s">
        <v>911</v>
      </c>
      <c r="AB241" s="25">
        <v>43146</v>
      </c>
      <c r="AC241" s="14" t="s">
        <v>815</v>
      </c>
      <c r="AD241" s="14" t="s">
        <v>49</v>
      </c>
      <c r="AE241" s="24" t="s">
        <v>531</v>
      </c>
      <c r="AF241" s="25" t="s">
        <v>1265</v>
      </c>
      <c r="AG241" t="e">
        <f t="shared" si="3"/>
        <v>#REF!</v>
      </c>
      <c r="AH241"/>
      <c r="AI241" s="58"/>
      <c r="AJ241"/>
      <c r="AK241" s="30"/>
      <c r="AL241" s="30"/>
      <c r="AM241" s="30"/>
      <c r="AN241" s="30"/>
      <c r="AO241" s="30"/>
    </row>
    <row r="242" spans="1:41" s="31" customFormat="1" ht="15.75" customHeight="1">
      <c r="A242" s="13" t="s">
        <v>519</v>
      </c>
      <c r="B242" s="5">
        <v>194</v>
      </c>
      <c r="C242" s="7">
        <v>19609.149999999998</v>
      </c>
      <c r="D242" s="7">
        <v>0</v>
      </c>
      <c r="E242" s="7">
        <v>0</v>
      </c>
      <c r="F242" s="5">
        <v>0</v>
      </c>
      <c r="G242" s="7">
        <v>0</v>
      </c>
      <c r="H242" s="5">
        <v>70</v>
      </c>
      <c r="I242" s="7">
        <v>4510.5499999999993</v>
      </c>
      <c r="J242" s="7">
        <v>73</v>
      </c>
      <c r="K242" s="5">
        <v>0</v>
      </c>
      <c r="L242" s="5">
        <v>0</v>
      </c>
      <c r="M242" s="5">
        <v>73</v>
      </c>
      <c r="N242" s="7">
        <v>73</v>
      </c>
      <c r="O242" s="7">
        <v>10287.1</v>
      </c>
      <c r="P242" s="7">
        <v>100</v>
      </c>
      <c r="Q242" s="5">
        <v>0</v>
      </c>
      <c r="R242" s="5">
        <v>100</v>
      </c>
      <c r="S242" s="7">
        <v>17259.849999999999</v>
      </c>
      <c r="T242" s="12">
        <v>43138</v>
      </c>
      <c r="U242" s="4">
        <v>4</v>
      </c>
      <c r="V242" s="4"/>
      <c r="W242" s="14"/>
      <c r="X242" s="45">
        <v>51666.649999999994</v>
      </c>
      <c r="Y242" s="14" t="s">
        <v>1634</v>
      </c>
      <c r="Z242" s="14" t="s">
        <v>1355</v>
      </c>
      <c r="AA242" s="14" t="s">
        <v>898</v>
      </c>
      <c r="AB242" s="25">
        <v>43141</v>
      </c>
      <c r="AC242" s="14" t="s">
        <v>810</v>
      </c>
      <c r="AD242" s="14" t="s">
        <v>70</v>
      </c>
      <c r="AE242" s="24" t="s">
        <v>533</v>
      </c>
      <c r="AF242" s="25" t="s">
        <v>1273</v>
      </c>
      <c r="AG242" t="e">
        <f t="shared" si="3"/>
        <v>#REF!</v>
      </c>
      <c r="AH242"/>
      <c r="AI242" s="58"/>
      <c r="AJ242"/>
      <c r="AK242" s="30"/>
      <c r="AL242" s="30"/>
      <c r="AM242" s="30"/>
      <c r="AN242" s="30"/>
      <c r="AO242" s="30"/>
    </row>
    <row r="243" spans="1:41" s="31" customFormat="1" ht="15.75" customHeight="1">
      <c r="A243" s="13" t="s">
        <v>534</v>
      </c>
      <c r="B243" s="5">
        <v>106</v>
      </c>
      <c r="C243" s="7">
        <v>11967.400000000001</v>
      </c>
      <c r="D243" s="7">
        <v>0</v>
      </c>
      <c r="E243" s="7">
        <v>0</v>
      </c>
      <c r="F243" s="5">
        <v>0</v>
      </c>
      <c r="G243" s="7">
        <v>0</v>
      </c>
      <c r="H243" s="5">
        <v>30</v>
      </c>
      <c r="I243" s="7">
        <v>2879.1</v>
      </c>
      <c r="J243" s="7">
        <v>26</v>
      </c>
      <c r="K243" s="5">
        <v>0</v>
      </c>
      <c r="L243" s="5">
        <v>0</v>
      </c>
      <c r="M243" s="5">
        <v>26</v>
      </c>
      <c r="N243" s="7">
        <v>26</v>
      </c>
      <c r="O243" s="7">
        <v>4999.2000000000007</v>
      </c>
      <c r="P243" s="7">
        <v>0</v>
      </c>
      <c r="Q243" s="5">
        <v>0</v>
      </c>
      <c r="R243" s="5">
        <v>0</v>
      </c>
      <c r="S243" s="7">
        <v>0</v>
      </c>
      <c r="T243" s="12">
        <v>43138</v>
      </c>
      <c r="U243" s="4">
        <v>2</v>
      </c>
      <c r="V243" s="4"/>
      <c r="W243" s="14"/>
      <c r="X243" s="45">
        <v>19845.700000000004</v>
      </c>
      <c r="Y243" s="14" t="s">
        <v>54</v>
      </c>
      <c r="Z243" s="14" t="s">
        <v>1355</v>
      </c>
      <c r="AA243" s="14" t="s">
        <v>912</v>
      </c>
      <c r="AB243" s="25">
        <v>43146</v>
      </c>
      <c r="AC243" s="14" t="s">
        <v>818</v>
      </c>
      <c r="AD243" s="29" t="s">
        <v>49</v>
      </c>
      <c r="AE243" s="24" t="s">
        <v>535</v>
      </c>
      <c r="AF243" s="25" t="s">
        <v>1266</v>
      </c>
      <c r="AG243" t="e">
        <f t="shared" si="3"/>
        <v>#REF!</v>
      </c>
      <c r="AH243"/>
      <c r="AI243" s="58"/>
      <c r="AJ243"/>
      <c r="AK243" s="30"/>
      <c r="AL243" s="30"/>
      <c r="AM243" s="30"/>
      <c r="AN243" s="30"/>
      <c r="AO243" s="30"/>
    </row>
    <row r="244" spans="1:41" s="31" customFormat="1" ht="15.75" customHeight="1">
      <c r="A244" s="13" t="s">
        <v>525</v>
      </c>
      <c r="B244" s="5">
        <v>1347</v>
      </c>
      <c r="C244" s="7">
        <v>154459.12</v>
      </c>
      <c r="D244" s="7">
        <v>0</v>
      </c>
      <c r="E244" s="7">
        <v>0</v>
      </c>
      <c r="F244" s="5">
        <v>0</v>
      </c>
      <c r="G244" s="7">
        <v>0</v>
      </c>
      <c r="H244" s="5">
        <v>0</v>
      </c>
      <c r="I244" s="7">
        <v>0</v>
      </c>
      <c r="J244" s="7">
        <v>107</v>
      </c>
      <c r="K244" s="5">
        <v>0</v>
      </c>
      <c r="L244" s="5">
        <v>0</v>
      </c>
      <c r="M244" s="5">
        <v>107</v>
      </c>
      <c r="N244" s="7">
        <v>107</v>
      </c>
      <c r="O244" s="7">
        <v>19990.3</v>
      </c>
      <c r="P244" s="7">
        <v>213</v>
      </c>
      <c r="Q244" s="5">
        <v>0</v>
      </c>
      <c r="R244" s="5">
        <v>213</v>
      </c>
      <c r="S244" s="7">
        <v>49516.4</v>
      </c>
      <c r="T244" s="12">
        <v>43139</v>
      </c>
      <c r="U244" s="4">
        <v>18</v>
      </c>
      <c r="V244" s="4"/>
      <c r="W244" s="14"/>
      <c r="X244" s="45">
        <v>223965.81999999998</v>
      </c>
      <c r="Y244" s="14" t="s">
        <v>54</v>
      </c>
      <c r="Z244" s="14" t="s">
        <v>730</v>
      </c>
      <c r="AA244" s="14" t="s">
        <v>906</v>
      </c>
      <c r="AB244" s="25">
        <v>43146</v>
      </c>
      <c r="AC244" s="14" t="s">
        <v>818</v>
      </c>
      <c r="AD244" s="14" t="s">
        <v>50</v>
      </c>
      <c r="AE244" s="24" t="s">
        <v>536</v>
      </c>
      <c r="AF244" s="25" t="s">
        <v>1269</v>
      </c>
      <c r="AG244" t="e">
        <f t="shared" si="3"/>
        <v>#REF!</v>
      </c>
      <c r="AH244"/>
      <c r="AI244" s="58"/>
      <c r="AJ244"/>
      <c r="AK244" s="30"/>
      <c r="AL244" s="30"/>
      <c r="AM244" s="30"/>
      <c r="AN244" s="30"/>
      <c r="AO244" s="30"/>
    </row>
    <row r="245" spans="1:41" s="31" customFormat="1" ht="15.75" customHeight="1">
      <c r="A245" s="13" t="s">
        <v>532</v>
      </c>
      <c r="B245" s="5">
        <v>0</v>
      </c>
      <c r="C245" s="7">
        <v>0</v>
      </c>
      <c r="D245" s="7">
        <v>0</v>
      </c>
      <c r="E245" s="7">
        <v>0</v>
      </c>
      <c r="F245" s="5">
        <v>0</v>
      </c>
      <c r="G245" s="7">
        <v>0</v>
      </c>
      <c r="H245" s="5">
        <v>1272</v>
      </c>
      <c r="I245" s="7">
        <v>151253.08000000002</v>
      </c>
      <c r="J245" s="7">
        <v>0</v>
      </c>
      <c r="K245" s="5">
        <v>0</v>
      </c>
      <c r="L245" s="5">
        <v>0</v>
      </c>
      <c r="M245" s="5">
        <v>0</v>
      </c>
      <c r="N245" s="7">
        <v>0</v>
      </c>
      <c r="O245" s="7">
        <v>0</v>
      </c>
      <c r="P245" s="7">
        <v>0</v>
      </c>
      <c r="Q245" s="5">
        <v>0</v>
      </c>
      <c r="R245" s="5">
        <v>0</v>
      </c>
      <c r="S245" s="7">
        <v>0</v>
      </c>
      <c r="T245" s="12">
        <v>43139</v>
      </c>
      <c r="U245" s="4">
        <v>11</v>
      </c>
      <c r="V245" s="4"/>
      <c r="W245" s="14"/>
      <c r="X245" s="45">
        <v>151253.08000000002</v>
      </c>
      <c r="Y245" s="14" t="s">
        <v>54</v>
      </c>
      <c r="Z245" s="14" t="s">
        <v>59</v>
      </c>
      <c r="AA245" s="14" t="s">
        <v>912</v>
      </c>
      <c r="AB245" s="25">
        <v>43146</v>
      </c>
      <c r="AC245" s="14" t="s">
        <v>818</v>
      </c>
      <c r="AD245" s="29" t="s">
        <v>49</v>
      </c>
      <c r="AE245" s="24" t="s">
        <v>537</v>
      </c>
      <c r="AF245" s="25" t="s">
        <v>1265</v>
      </c>
      <c r="AG245" t="e">
        <f t="shared" si="3"/>
        <v>#REF!</v>
      </c>
      <c r="AH245"/>
      <c r="AI245" s="58"/>
      <c r="AJ245"/>
      <c r="AK245" s="30"/>
      <c r="AL245" s="30"/>
      <c r="AM245" s="30"/>
      <c r="AN245" s="30"/>
      <c r="AO245" s="30"/>
    </row>
    <row r="246" spans="1:41" s="31" customFormat="1" ht="15.75" customHeight="1">
      <c r="A246" s="13" t="s">
        <v>538</v>
      </c>
      <c r="B246" s="5">
        <v>211</v>
      </c>
      <c r="C246" s="7">
        <v>17675.96</v>
      </c>
      <c r="D246" s="7">
        <v>0</v>
      </c>
      <c r="E246" s="7">
        <v>0</v>
      </c>
      <c r="F246" s="5">
        <v>0</v>
      </c>
      <c r="G246" s="7">
        <v>0</v>
      </c>
      <c r="H246" s="5">
        <v>523</v>
      </c>
      <c r="I246" s="7">
        <v>44948</v>
      </c>
      <c r="J246" s="7">
        <v>88</v>
      </c>
      <c r="K246" s="5">
        <v>0</v>
      </c>
      <c r="L246" s="5">
        <v>0</v>
      </c>
      <c r="M246" s="5">
        <v>88</v>
      </c>
      <c r="N246" s="7">
        <v>88</v>
      </c>
      <c r="O246" s="7">
        <v>11445.5</v>
      </c>
      <c r="P246" s="7">
        <v>248</v>
      </c>
      <c r="Q246" s="5">
        <v>0</v>
      </c>
      <c r="R246" s="5">
        <v>248</v>
      </c>
      <c r="S246" s="7">
        <v>30460.400000000001</v>
      </c>
      <c r="T246" s="12">
        <v>43139</v>
      </c>
      <c r="U246" s="4">
        <v>7</v>
      </c>
      <c r="V246" s="28">
        <v>1</v>
      </c>
      <c r="W246" s="28">
        <v>6</v>
      </c>
      <c r="X246" s="45">
        <v>104529.85999999999</v>
      </c>
      <c r="Y246" s="14" t="s">
        <v>56</v>
      </c>
      <c r="Z246" s="14" t="s">
        <v>730</v>
      </c>
      <c r="AA246" s="14" t="s">
        <v>904</v>
      </c>
      <c r="AB246" s="25">
        <v>43145</v>
      </c>
      <c r="AC246" s="14" t="s">
        <v>816</v>
      </c>
      <c r="AD246" s="29" t="s">
        <v>51</v>
      </c>
      <c r="AE246" s="43" t="s">
        <v>539</v>
      </c>
      <c r="AF246" s="25" t="s">
        <v>1270</v>
      </c>
      <c r="AG246" t="e">
        <f t="shared" si="3"/>
        <v>#REF!</v>
      </c>
      <c r="AH246"/>
      <c r="AI246" s="58"/>
      <c r="AJ246"/>
      <c r="AK246" s="30"/>
      <c r="AL246" s="30"/>
      <c r="AM246" s="30"/>
      <c r="AN246" s="30"/>
      <c r="AO246" s="30"/>
    </row>
    <row r="247" spans="1:41" s="31" customFormat="1" ht="15.75" customHeight="1">
      <c r="A247" s="13" t="s">
        <v>528</v>
      </c>
      <c r="B247" s="5">
        <v>571</v>
      </c>
      <c r="C247" s="7">
        <v>71872.31</v>
      </c>
      <c r="D247" s="7">
        <v>0</v>
      </c>
      <c r="E247" s="7">
        <v>0</v>
      </c>
      <c r="F247" s="5">
        <v>0</v>
      </c>
      <c r="G247" s="7">
        <v>0</v>
      </c>
      <c r="H247" s="5">
        <v>392</v>
      </c>
      <c r="I247" s="7">
        <v>41788.559999999998</v>
      </c>
      <c r="J247" s="7">
        <v>30</v>
      </c>
      <c r="K247" s="5">
        <v>0</v>
      </c>
      <c r="L247" s="5">
        <v>0</v>
      </c>
      <c r="M247" s="5">
        <v>30</v>
      </c>
      <c r="N247" s="7">
        <v>30</v>
      </c>
      <c r="O247" s="7">
        <v>543</v>
      </c>
      <c r="P247" s="7">
        <v>318</v>
      </c>
      <c r="Q247" s="5">
        <v>0</v>
      </c>
      <c r="R247" s="5">
        <v>318</v>
      </c>
      <c r="S247" s="7">
        <v>48703.9</v>
      </c>
      <c r="T247" s="12">
        <v>43139</v>
      </c>
      <c r="U247" s="4">
        <v>12</v>
      </c>
      <c r="V247" s="28">
        <v>2</v>
      </c>
      <c r="W247" s="28">
        <v>7</v>
      </c>
      <c r="X247" s="45">
        <v>162907.76999999999</v>
      </c>
      <c r="Y247" s="14" t="s">
        <v>54</v>
      </c>
      <c r="Z247" s="14" t="s">
        <v>55</v>
      </c>
      <c r="AA247" s="14" t="s">
        <v>913</v>
      </c>
      <c r="AB247" s="25">
        <v>43144</v>
      </c>
      <c r="AC247" s="14" t="s">
        <v>820</v>
      </c>
      <c r="AD247" s="29" t="s">
        <v>51</v>
      </c>
      <c r="AE247" s="43" t="s">
        <v>540</v>
      </c>
      <c r="AF247" s="25" t="s">
        <v>1270</v>
      </c>
      <c r="AG247" t="e">
        <f t="shared" si="3"/>
        <v>#REF!</v>
      </c>
      <c r="AH247"/>
      <c r="AI247" s="58"/>
      <c r="AJ247"/>
      <c r="AK247" s="30"/>
      <c r="AL247" s="30"/>
      <c r="AM247" s="30"/>
      <c r="AN247" s="30"/>
      <c r="AO247" s="30"/>
    </row>
    <row r="248" spans="1:41" s="31" customFormat="1" ht="15.75" customHeight="1">
      <c r="A248" s="13" t="s">
        <v>541</v>
      </c>
      <c r="B248" s="5">
        <v>0</v>
      </c>
      <c r="C248" s="7">
        <v>0</v>
      </c>
      <c r="D248" s="7">
        <v>0</v>
      </c>
      <c r="E248" s="7">
        <v>0</v>
      </c>
      <c r="F248" s="5">
        <v>0</v>
      </c>
      <c r="G248" s="7">
        <v>0</v>
      </c>
      <c r="H248" s="5">
        <v>215</v>
      </c>
      <c r="I248" s="7">
        <v>24764.550000000003</v>
      </c>
      <c r="J248" s="7">
        <v>104</v>
      </c>
      <c r="K248" s="5">
        <v>0</v>
      </c>
      <c r="L248" s="5">
        <v>0</v>
      </c>
      <c r="M248" s="5">
        <v>104</v>
      </c>
      <c r="N248" s="7">
        <v>104</v>
      </c>
      <c r="O248" s="7">
        <v>20733.900000000001</v>
      </c>
      <c r="P248" s="7">
        <v>518</v>
      </c>
      <c r="Q248" s="5">
        <v>0</v>
      </c>
      <c r="R248" s="5">
        <v>518</v>
      </c>
      <c r="S248" s="7">
        <v>34032.6</v>
      </c>
      <c r="T248" s="12">
        <v>43139</v>
      </c>
      <c r="U248" s="4">
        <v>5</v>
      </c>
      <c r="V248" s="28">
        <v>3</v>
      </c>
      <c r="W248" s="28">
        <v>6</v>
      </c>
      <c r="X248" s="45">
        <v>79531.05</v>
      </c>
      <c r="Y248" s="14" t="s">
        <v>56</v>
      </c>
      <c r="Z248" s="14" t="s">
        <v>59</v>
      </c>
      <c r="AA248" s="14" t="s">
        <v>914</v>
      </c>
      <c r="AB248" s="25">
        <v>43148</v>
      </c>
      <c r="AC248" s="14" t="s">
        <v>626</v>
      </c>
      <c r="AD248" s="29" t="s">
        <v>52</v>
      </c>
      <c r="AE248" s="43" t="s">
        <v>542</v>
      </c>
      <c r="AF248" s="25" t="s">
        <v>1271</v>
      </c>
      <c r="AG248" t="e">
        <f t="shared" si="3"/>
        <v>#REF!</v>
      </c>
      <c r="AH248"/>
      <c r="AI248" s="58"/>
      <c r="AJ248"/>
      <c r="AK248" s="30"/>
      <c r="AL248" s="30"/>
      <c r="AM248" s="30"/>
      <c r="AN248" s="30"/>
      <c r="AO248" s="30"/>
    </row>
    <row r="249" spans="1:41" s="31" customFormat="1" ht="15.75" customHeight="1">
      <c r="A249" s="13" t="s">
        <v>543</v>
      </c>
      <c r="B249" s="5">
        <v>0</v>
      </c>
      <c r="C249" s="7">
        <v>0</v>
      </c>
      <c r="D249" s="7">
        <v>0</v>
      </c>
      <c r="E249" s="7">
        <v>0</v>
      </c>
      <c r="F249" s="5">
        <v>0</v>
      </c>
      <c r="G249" s="7">
        <v>0</v>
      </c>
      <c r="H249" s="5">
        <v>188</v>
      </c>
      <c r="I249" s="7">
        <v>26326.55</v>
      </c>
      <c r="J249" s="7">
        <v>567</v>
      </c>
      <c r="K249" s="5">
        <v>0</v>
      </c>
      <c r="L249" s="5">
        <v>0</v>
      </c>
      <c r="M249" s="5">
        <v>567</v>
      </c>
      <c r="N249" s="7">
        <v>567</v>
      </c>
      <c r="O249" s="7">
        <v>34691.4</v>
      </c>
      <c r="P249" s="7">
        <v>0</v>
      </c>
      <c r="Q249" s="5">
        <v>0</v>
      </c>
      <c r="R249" s="5">
        <v>0</v>
      </c>
      <c r="S249" s="7">
        <v>0</v>
      </c>
      <c r="T249" s="12">
        <v>43139</v>
      </c>
      <c r="U249" s="4">
        <v>4</v>
      </c>
      <c r="V249" s="28">
        <v>2</v>
      </c>
      <c r="W249" s="28">
        <v>2</v>
      </c>
      <c r="X249" s="45">
        <v>61017.95</v>
      </c>
      <c r="Y249" s="14" t="s">
        <v>56</v>
      </c>
      <c r="Z249" s="14" t="s">
        <v>57</v>
      </c>
      <c r="AA249" s="14" t="s">
        <v>915</v>
      </c>
      <c r="AB249" s="25">
        <v>43146</v>
      </c>
      <c r="AC249" s="14" t="s">
        <v>821</v>
      </c>
      <c r="AD249" s="29" t="s">
        <v>49</v>
      </c>
      <c r="AE249" s="43" t="s">
        <v>544</v>
      </c>
      <c r="AF249" s="25" t="s">
        <v>1265</v>
      </c>
      <c r="AG249" t="e">
        <f t="shared" si="3"/>
        <v>#REF!</v>
      </c>
      <c r="AH249"/>
      <c r="AI249" s="58"/>
      <c r="AJ249"/>
      <c r="AK249" s="30"/>
      <c r="AL249" s="30"/>
      <c r="AM249" s="30"/>
      <c r="AN249" s="30"/>
      <c r="AO249" s="30"/>
    </row>
    <row r="250" spans="1:41" s="31" customFormat="1" ht="15.75" customHeight="1">
      <c r="A250" s="13" t="s">
        <v>545</v>
      </c>
      <c r="B250" s="5">
        <v>0</v>
      </c>
      <c r="C250" s="7">
        <v>0</v>
      </c>
      <c r="D250" s="7">
        <v>0</v>
      </c>
      <c r="E250" s="7">
        <v>0</v>
      </c>
      <c r="F250" s="5">
        <v>0</v>
      </c>
      <c r="G250" s="7">
        <v>0</v>
      </c>
      <c r="H250" s="5">
        <v>95</v>
      </c>
      <c r="I250" s="7">
        <v>12156.2</v>
      </c>
      <c r="J250" s="7">
        <v>91</v>
      </c>
      <c r="K250" s="5">
        <v>0</v>
      </c>
      <c r="L250" s="5">
        <v>0</v>
      </c>
      <c r="M250" s="5">
        <v>91</v>
      </c>
      <c r="N250" s="7">
        <v>91</v>
      </c>
      <c r="O250" s="7">
        <v>16090.4</v>
      </c>
      <c r="P250" s="7">
        <v>85</v>
      </c>
      <c r="Q250" s="5">
        <v>0</v>
      </c>
      <c r="R250" s="5">
        <v>85</v>
      </c>
      <c r="S250" s="7">
        <v>13230</v>
      </c>
      <c r="T250" s="12">
        <v>43139</v>
      </c>
      <c r="U250" s="4">
        <v>4</v>
      </c>
      <c r="V250" s="28">
        <v>0</v>
      </c>
      <c r="W250" s="28">
        <v>1</v>
      </c>
      <c r="X250" s="45">
        <v>41476.6</v>
      </c>
      <c r="Y250" s="14" t="s">
        <v>1636</v>
      </c>
      <c r="Z250" s="14" t="s">
        <v>55</v>
      </c>
      <c r="AA250" s="14" t="s">
        <v>916</v>
      </c>
      <c r="AB250" s="25">
        <v>43147</v>
      </c>
      <c r="AC250" s="14" t="s">
        <v>822</v>
      </c>
      <c r="AD250" s="29" t="s">
        <v>49</v>
      </c>
      <c r="AE250" s="43" t="s">
        <v>546</v>
      </c>
      <c r="AF250" s="25" t="s">
        <v>1267</v>
      </c>
      <c r="AG250" t="e">
        <f t="shared" si="3"/>
        <v>#REF!</v>
      </c>
      <c r="AH250"/>
      <c r="AI250" s="58"/>
      <c r="AJ250"/>
      <c r="AK250" s="30"/>
      <c r="AL250" s="30"/>
      <c r="AM250" s="30"/>
      <c r="AN250" s="30"/>
      <c r="AO250" s="30"/>
    </row>
    <row r="251" spans="1:41" s="31" customFormat="1" ht="15.75" customHeight="1">
      <c r="A251" s="13" t="s">
        <v>547</v>
      </c>
      <c r="B251" s="5">
        <v>0</v>
      </c>
      <c r="C251" s="7">
        <v>0</v>
      </c>
      <c r="D251" s="7">
        <v>0</v>
      </c>
      <c r="E251" s="7">
        <v>0</v>
      </c>
      <c r="F251" s="5">
        <v>0</v>
      </c>
      <c r="G251" s="7">
        <v>0</v>
      </c>
      <c r="H251" s="5">
        <v>0</v>
      </c>
      <c r="I251" s="7">
        <v>0</v>
      </c>
      <c r="J251" s="7">
        <v>105</v>
      </c>
      <c r="K251" s="5">
        <v>0</v>
      </c>
      <c r="L251" s="5">
        <v>0</v>
      </c>
      <c r="M251" s="5">
        <v>105</v>
      </c>
      <c r="N251" s="7">
        <v>105</v>
      </c>
      <c r="O251" s="7">
        <v>18245.399999999998</v>
      </c>
      <c r="P251" s="7">
        <v>0</v>
      </c>
      <c r="Q251" s="5">
        <v>0</v>
      </c>
      <c r="R251" s="5">
        <v>0</v>
      </c>
      <c r="S251" s="7">
        <v>0</v>
      </c>
      <c r="T251" s="12">
        <v>43139</v>
      </c>
      <c r="U251" s="4">
        <v>2</v>
      </c>
      <c r="V251" s="28">
        <v>1</v>
      </c>
      <c r="W251" s="28">
        <v>7</v>
      </c>
      <c r="X251" s="45">
        <v>18245.399999999998</v>
      </c>
      <c r="Y251" s="14" t="s">
        <v>1633</v>
      </c>
      <c r="Z251" s="14" t="s">
        <v>1355</v>
      </c>
      <c r="AA251" s="14" t="s">
        <v>917</v>
      </c>
      <c r="AB251" s="25">
        <v>43147</v>
      </c>
      <c r="AC251" s="14" t="s">
        <v>627</v>
      </c>
      <c r="AD251" s="29" t="s">
        <v>70</v>
      </c>
      <c r="AE251" s="54" t="s">
        <v>548</v>
      </c>
      <c r="AF251" s="25" t="s">
        <v>1273</v>
      </c>
      <c r="AG251" t="e">
        <f t="shared" si="3"/>
        <v>#REF!</v>
      </c>
      <c r="AH251"/>
      <c r="AI251" s="58"/>
      <c r="AJ251"/>
      <c r="AK251" s="30"/>
      <c r="AL251" s="30"/>
      <c r="AM251" s="30"/>
      <c r="AN251" s="30"/>
      <c r="AO251" s="30"/>
    </row>
    <row r="252" spans="1:41" s="31" customFormat="1" ht="15.75" customHeight="1">
      <c r="A252" s="13" t="s">
        <v>550</v>
      </c>
      <c r="B252" s="5">
        <v>512</v>
      </c>
      <c r="C252" s="7">
        <v>61113.39</v>
      </c>
      <c r="D252" s="7">
        <v>0</v>
      </c>
      <c r="E252" s="7">
        <v>0</v>
      </c>
      <c r="F252" s="5">
        <v>0</v>
      </c>
      <c r="G252" s="7">
        <v>0</v>
      </c>
      <c r="H252" s="5">
        <v>115</v>
      </c>
      <c r="I252" s="7">
        <v>12992.7</v>
      </c>
      <c r="J252" s="7">
        <v>269</v>
      </c>
      <c r="K252" s="5">
        <v>0</v>
      </c>
      <c r="L252" s="5">
        <v>0</v>
      </c>
      <c r="M252" s="5">
        <v>269</v>
      </c>
      <c r="N252" s="7">
        <v>269</v>
      </c>
      <c r="O252" s="7">
        <v>13710</v>
      </c>
      <c r="P252" s="7">
        <v>141</v>
      </c>
      <c r="Q252" s="5">
        <v>0</v>
      </c>
      <c r="R252" s="5">
        <v>141</v>
      </c>
      <c r="S252" s="7">
        <v>34772.699999999997</v>
      </c>
      <c r="T252" s="12">
        <v>43140</v>
      </c>
      <c r="U252" s="4">
        <v>9</v>
      </c>
      <c r="V252" s="28">
        <v>5</v>
      </c>
      <c r="W252" s="28">
        <v>6</v>
      </c>
      <c r="X252" s="45">
        <v>122588.79</v>
      </c>
      <c r="Y252" s="14" t="s">
        <v>54</v>
      </c>
      <c r="Z252" s="14" t="s">
        <v>55</v>
      </c>
      <c r="AA252" s="14" t="s">
        <v>913</v>
      </c>
      <c r="AB252" s="25">
        <v>43144</v>
      </c>
      <c r="AC252" s="14" t="s">
        <v>820</v>
      </c>
      <c r="AD252" s="29" t="s">
        <v>51</v>
      </c>
      <c r="AE252" s="43" t="s">
        <v>551</v>
      </c>
      <c r="AF252" s="25" t="s">
        <v>1270</v>
      </c>
      <c r="AG252" t="e">
        <f t="shared" si="3"/>
        <v>#REF!</v>
      </c>
      <c r="AH252"/>
      <c r="AI252" s="58"/>
      <c r="AJ252"/>
      <c r="AK252" s="30"/>
      <c r="AL252" s="30"/>
      <c r="AM252" s="30"/>
      <c r="AN252" s="30"/>
      <c r="AO252" s="30"/>
    </row>
    <row r="253" spans="1:41" s="31" customFormat="1" ht="15.75" customHeight="1">
      <c r="A253" s="13" t="s">
        <v>552</v>
      </c>
      <c r="B253" s="5">
        <v>157</v>
      </c>
      <c r="C253" s="7">
        <v>16718.8</v>
      </c>
      <c r="D253" s="7">
        <v>0</v>
      </c>
      <c r="E253" s="7">
        <v>0</v>
      </c>
      <c r="F253" s="5">
        <v>0</v>
      </c>
      <c r="G253" s="7">
        <v>0</v>
      </c>
      <c r="H253" s="5">
        <v>162</v>
      </c>
      <c r="I253" s="7">
        <v>19032.07</v>
      </c>
      <c r="J253" s="7">
        <v>52</v>
      </c>
      <c r="K253" s="5">
        <v>0</v>
      </c>
      <c r="L253" s="5">
        <v>0</v>
      </c>
      <c r="M253" s="5">
        <v>52</v>
      </c>
      <c r="N253" s="7">
        <v>52</v>
      </c>
      <c r="O253" s="7">
        <v>8927.3000000000011</v>
      </c>
      <c r="P253" s="7">
        <v>0</v>
      </c>
      <c r="Q253" s="5">
        <v>0</v>
      </c>
      <c r="R253" s="5">
        <v>0</v>
      </c>
      <c r="S253" s="7">
        <v>0</v>
      </c>
      <c r="T253" s="12">
        <v>43140</v>
      </c>
      <c r="U253" s="4">
        <v>4</v>
      </c>
      <c r="V253" s="28">
        <v>4</v>
      </c>
      <c r="W253" s="28">
        <v>11</v>
      </c>
      <c r="X253" s="45">
        <v>44678.17</v>
      </c>
      <c r="Y253" s="14" t="s">
        <v>54</v>
      </c>
      <c r="Z253" s="14" t="s">
        <v>1281</v>
      </c>
      <c r="AA253" s="14" t="s">
        <v>910</v>
      </c>
      <c r="AB253" s="25">
        <v>43144</v>
      </c>
      <c r="AC253" s="14" t="s">
        <v>820</v>
      </c>
      <c r="AD253" s="29" t="s">
        <v>52</v>
      </c>
      <c r="AE253" s="43" t="s">
        <v>553</v>
      </c>
      <c r="AF253" s="25" t="s">
        <v>1271</v>
      </c>
      <c r="AG253" t="e">
        <f t="shared" si="3"/>
        <v>#REF!</v>
      </c>
      <c r="AH253"/>
      <c r="AI253" s="58"/>
      <c r="AJ253"/>
      <c r="AK253" s="30"/>
      <c r="AL253" s="30"/>
      <c r="AM253" s="30"/>
      <c r="AN253" s="30"/>
      <c r="AO253" s="30"/>
    </row>
    <row r="254" spans="1:41" s="31" customFormat="1" ht="15.75" customHeight="1">
      <c r="A254" s="13" t="s">
        <v>554</v>
      </c>
      <c r="B254" s="5">
        <v>0</v>
      </c>
      <c r="C254" s="7">
        <v>0</v>
      </c>
      <c r="D254" s="7">
        <v>0</v>
      </c>
      <c r="E254" s="7">
        <v>0</v>
      </c>
      <c r="F254" s="5">
        <v>0</v>
      </c>
      <c r="G254" s="7">
        <v>0</v>
      </c>
      <c r="H254" s="5">
        <v>0</v>
      </c>
      <c r="I254" s="7">
        <v>0</v>
      </c>
      <c r="J254" s="7">
        <v>0</v>
      </c>
      <c r="K254" s="5">
        <v>0</v>
      </c>
      <c r="L254" s="5">
        <v>0</v>
      </c>
      <c r="M254" s="5">
        <v>0</v>
      </c>
      <c r="N254" s="7">
        <v>0</v>
      </c>
      <c r="O254" s="7">
        <v>0</v>
      </c>
      <c r="P254" s="7">
        <v>97</v>
      </c>
      <c r="Q254" s="5">
        <v>0</v>
      </c>
      <c r="R254" s="5">
        <v>97</v>
      </c>
      <c r="S254" s="7">
        <v>14381.1</v>
      </c>
      <c r="T254" s="12">
        <v>43140</v>
      </c>
      <c r="U254" s="4">
        <v>1</v>
      </c>
      <c r="V254" s="28">
        <v>5</v>
      </c>
      <c r="W254" s="28">
        <v>6</v>
      </c>
      <c r="X254" s="45">
        <v>14381.1</v>
      </c>
      <c r="Y254" s="14" t="s">
        <v>1634</v>
      </c>
      <c r="Z254" s="14" t="s">
        <v>1355</v>
      </c>
      <c r="AA254" s="14" t="s">
        <v>918</v>
      </c>
      <c r="AB254" s="25">
        <v>43144</v>
      </c>
      <c r="AC254" s="14" t="s">
        <v>823</v>
      </c>
      <c r="AD254" s="29" t="s">
        <v>48</v>
      </c>
      <c r="AE254" s="43" t="s">
        <v>555</v>
      </c>
      <c r="AF254" s="25" t="s">
        <v>1264</v>
      </c>
      <c r="AG254" t="e">
        <f t="shared" si="3"/>
        <v>#REF!</v>
      </c>
      <c r="AH254"/>
      <c r="AI254" s="58"/>
      <c r="AJ254"/>
      <c r="AK254" s="30"/>
      <c r="AL254" s="30"/>
      <c r="AM254" s="30"/>
      <c r="AN254" s="30"/>
      <c r="AO254" s="30"/>
    </row>
    <row r="255" spans="1:41" s="31" customFormat="1" ht="15.75" customHeight="1">
      <c r="A255" s="13" t="s">
        <v>556</v>
      </c>
      <c r="B255" s="5">
        <v>376</v>
      </c>
      <c r="C255" s="7">
        <v>46661.2</v>
      </c>
      <c r="D255" s="7">
        <v>0</v>
      </c>
      <c r="E255" s="7">
        <v>0</v>
      </c>
      <c r="F255" s="5">
        <v>0</v>
      </c>
      <c r="G255" s="7">
        <v>0</v>
      </c>
      <c r="H255" s="5">
        <v>0</v>
      </c>
      <c r="I255" s="7">
        <v>0</v>
      </c>
      <c r="J255" s="7">
        <v>190</v>
      </c>
      <c r="K255" s="5">
        <v>0</v>
      </c>
      <c r="L255" s="5">
        <v>0</v>
      </c>
      <c r="M255" s="5">
        <v>190</v>
      </c>
      <c r="N255" s="7">
        <v>190</v>
      </c>
      <c r="O255" s="7">
        <v>11011.599999999999</v>
      </c>
      <c r="P255" s="7">
        <v>120</v>
      </c>
      <c r="Q255" s="5">
        <v>0</v>
      </c>
      <c r="R255" s="5">
        <v>120</v>
      </c>
      <c r="S255" s="7">
        <v>14064</v>
      </c>
      <c r="T255" s="12">
        <v>43140</v>
      </c>
      <c r="U255" s="4">
        <v>6</v>
      </c>
      <c r="V255" s="28">
        <v>4</v>
      </c>
      <c r="W255" s="28">
        <v>11</v>
      </c>
      <c r="X255" s="45">
        <v>71736.799999999988</v>
      </c>
      <c r="Y255" s="14" t="s">
        <v>54</v>
      </c>
      <c r="Z255" s="14" t="s">
        <v>730</v>
      </c>
      <c r="AA255" s="14" t="s">
        <v>906</v>
      </c>
      <c r="AB255" s="25">
        <v>43146</v>
      </c>
      <c r="AC255" s="14" t="s">
        <v>818</v>
      </c>
      <c r="AD255" s="29" t="s">
        <v>50</v>
      </c>
      <c r="AE255" s="43" t="s">
        <v>557</v>
      </c>
      <c r="AF255" s="25" t="s">
        <v>1269</v>
      </c>
      <c r="AG255" t="e">
        <f t="shared" si="3"/>
        <v>#REF!</v>
      </c>
      <c r="AH255"/>
      <c r="AI255" s="58"/>
      <c r="AJ255"/>
      <c r="AK255" s="30"/>
      <c r="AL255" s="30"/>
      <c r="AM255" s="30"/>
      <c r="AN255" s="30"/>
      <c r="AO255" s="30"/>
    </row>
    <row r="256" spans="1:41" s="31" customFormat="1" ht="15.75" customHeight="1">
      <c r="A256" s="13" t="s">
        <v>558</v>
      </c>
      <c r="B256" s="5">
        <v>279</v>
      </c>
      <c r="C256" s="7">
        <v>36257.700000000004</v>
      </c>
      <c r="D256" s="7">
        <v>0</v>
      </c>
      <c r="E256" s="7">
        <v>0</v>
      </c>
      <c r="F256" s="5">
        <v>0</v>
      </c>
      <c r="G256" s="7">
        <v>0</v>
      </c>
      <c r="H256" s="5">
        <v>0</v>
      </c>
      <c r="I256" s="7">
        <v>0</v>
      </c>
      <c r="J256" s="7">
        <v>28</v>
      </c>
      <c r="K256" s="5">
        <v>0</v>
      </c>
      <c r="L256" s="5">
        <v>0</v>
      </c>
      <c r="M256" s="5">
        <v>28</v>
      </c>
      <c r="N256" s="7">
        <v>28</v>
      </c>
      <c r="O256" s="7">
        <v>5082.6000000000004</v>
      </c>
      <c r="P256" s="7">
        <v>0</v>
      </c>
      <c r="Q256" s="5">
        <v>0</v>
      </c>
      <c r="R256" s="5">
        <v>0</v>
      </c>
      <c r="S256" s="7">
        <v>0</v>
      </c>
      <c r="T256" s="12">
        <v>43140</v>
      </c>
      <c r="U256" s="4">
        <v>4</v>
      </c>
      <c r="V256" s="28">
        <v>5</v>
      </c>
      <c r="W256" s="28">
        <v>6</v>
      </c>
      <c r="X256" s="45">
        <v>41340.300000000003</v>
      </c>
      <c r="Y256" s="14" t="s">
        <v>54</v>
      </c>
      <c r="Z256" s="14" t="s">
        <v>1355</v>
      </c>
      <c r="AA256" s="14" t="s">
        <v>912</v>
      </c>
      <c r="AB256" s="25">
        <v>43146</v>
      </c>
      <c r="AC256" s="14" t="s">
        <v>818</v>
      </c>
      <c r="AD256" s="29" t="s">
        <v>49</v>
      </c>
      <c r="AE256" s="43" t="s">
        <v>559</v>
      </c>
      <c r="AF256" s="25" t="s">
        <v>1267</v>
      </c>
      <c r="AG256" t="e">
        <f t="shared" si="3"/>
        <v>#REF!</v>
      </c>
      <c r="AH256"/>
      <c r="AI256" s="58"/>
      <c r="AJ256"/>
      <c r="AK256" s="30"/>
      <c r="AL256" s="30"/>
      <c r="AM256" s="30"/>
      <c r="AN256" s="30"/>
      <c r="AO256" s="30"/>
    </row>
    <row r="257" spans="1:41" s="31" customFormat="1" ht="15.75" customHeight="1">
      <c r="A257" s="13" t="s">
        <v>560</v>
      </c>
      <c r="B257" s="5">
        <v>202</v>
      </c>
      <c r="C257" s="7">
        <v>11562.1</v>
      </c>
      <c r="D257" s="7">
        <v>0</v>
      </c>
      <c r="E257" s="7">
        <v>0</v>
      </c>
      <c r="F257" s="5">
        <v>0</v>
      </c>
      <c r="G257" s="7">
        <v>0</v>
      </c>
      <c r="H257" s="5">
        <v>681</v>
      </c>
      <c r="I257" s="7">
        <v>82003.070000000007</v>
      </c>
      <c r="J257" s="7">
        <v>0</v>
      </c>
      <c r="K257" s="5">
        <v>0</v>
      </c>
      <c r="L257" s="5">
        <v>0</v>
      </c>
      <c r="M257" s="5">
        <v>0</v>
      </c>
      <c r="N257" s="7">
        <v>0</v>
      </c>
      <c r="O257" s="7">
        <v>0</v>
      </c>
      <c r="P257" s="7">
        <v>0</v>
      </c>
      <c r="Q257" s="5">
        <v>0</v>
      </c>
      <c r="R257" s="5">
        <v>0</v>
      </c>
      <c r="S257" s="7">
        <v>0</v>
      </c>
      <c r="T257" s="12">
        <v>43140</v>
      </c>
      <c r="U257" s="4">
        <v>7</v>
      </c>
      <c r="V257" s="28">
        <v>4</v>
      </c>
      <c r="W257" s="28">
        <v>11</v>
      </c>
      <c r="X257" s="45">
        <v>93565.170000000013</v>
      </c>
      <c r="Y257" s="14" t="s">
        <v>85</v>
      </c>
      <c r="Z257" s="14" t="s">
        <v>59</v>
      </c>
      <c r="AA257" s="14">
        <v>350810010592</v>
      </c>
      <c r="AB257" s="25">
        <v>43143</v>
      </c>
      <c r="AC257" s="14" t="s">
        <v>809</v>
      </c>
      <c r="AD257" s="29" t="s">
        <v>49</v>
      </c>
      <c r="AE257" s="43" t="s">
        <v>561</v>
      </c>
      <c r="AF257" s="25" t="s">
        <v>1265</v>
      </c>
      <c r="AG257" t="e">
        <f t="shared" si="3"/>
        <v>#REF!</v>
      </c>
      <c r="AH257"/>
      <c r="AI257" s="58"/>
      <c r="AJ257"/>
      <c r="AK257" s="30"/>
      <c r="AL257" s="30"/>
      <c r="AM257" s="30"/>
      <c r="AN257" s="30"/>
      <c r="AO257" s="30"/>
    </row>
    <row r="258" spans="1:41" s="31" customFormat="1" ht="15.75" customHeight="1">
      <c r="A258" s="13" t="s">
        <v>549</v>
      </c>
      <c r="B258" s="5">
        <v>0</v>
      </c>
      <c r="C258" s="7">
        <v>0</v>
      </c>
      <c r="D258" s="7">
        <v>0</v>
      </c>
      <c r="E258" s="7">
        <v>0</v>
      </c>
      <c r="F258" s="5">
        <v>0</v>
      </c>
      <c r="G258" s="7">
        <v>0</v>
      </c>
      <c r="H258" s="5">
        <v>0</v>
      </c>
      <c r="I258" s="7">
        <v>0</v>
      </c>
      <c r="J258" s="7">
        <v>181</v>
      </c>
      <c r="K258" s="5">
        <v>0</v>
      </c>
      <c r="L258" s="5">
        <v>0</v>
      </c>
      <c r="M258" s="5">
        <v>181</v>
      </c>
      <c r="N258" s="7">
        <v>181</v>
      </c>
      <c r="O258" s="7">
        <v>29884.5</v>
      </c>
      <c r="P258" s="7">
        <v>149</v>
      </c>
      <c r="Q258" s="5">
        <v>0</v>
      </c>
      <c r="R258" s="5">
        <v>149</v>
      </c>
      <c r="S258" s="7">
        <v>30750.2</v>
      </c>
      <c r="T258" s="12">
        <v>43140</v>
      </c>
      <c r="U258" s="4">
        <v>5</v>
      </c>
      <c r="V258" s="28">
        <v>4</v>
      </c>
      <c r="W258" s="28">
        <v>11</v>
      </c>
      <c r="X258" s="45">
        <v>60634.7</v>
      </c>
      <c r="Y258" s="14" t="s">
        <v>54</v>
      </c>
      <c r="Z258" s="14" t="s">
        <v>1281</v>
      </c>
      <c r="AA258" s="14" t="s">
        <v>903</v>
      </c>
      <c r="AB258" s="25">
        <v>43150</v>
      </c>
      <c r="AC258" s="14" t="s">
        <v>815</v>
      </c>
      <c r="AD258" s="29" t="s">
        <v>50</v>
      </c>
      <c r="AE258" s="43" t="s">
        <v>568</v>
      </c>
      <c r="AF258" s="25" t="s">
        <v>1269</v>
      </c>
      <c r="AG258" t="e">
        <f t="shared" si="3"/>
        <v>#REF!</v>
      </c>
      <c r="AH258"/>
      <c r="AI258" s="58"/>
      <c r="AJ258"/>
      <c r="AK258" s="30"/>
      <c r="AL258" s="30"/>
      <c r="AM258" s="30"/>
      <c r="AN258" s="30"/>
      <c r="AO258" s="30"/>
    </row>
    <row r="259" spans="1:41" s="31" customFormat="1" ht="15.75" customHeight="1">
      <c r="A259" s="13" t="s">
        <v>569</v>
      </c>
      <c r="B259" s="5">
        <v>0</v>
      </c>
      <c r="C259" s="7">
        <v>0</v>
      </c>
      <c r="D259" s="7">
        <v>0</v>
      </c>
      <c r="E259" s="7">
        <v>0</v>
      </c>
      <c r="F259" s="5">
        <v>0</v>
      </c>
      <c r="G259" s="7">
        <v>0</v>
      </c>
      <c r="H259" s="5">
        <v>245</v>
      </c>
      <c r="I259" s="7">
        <v>29971.799999999996</v>
      </c>
      <c r="J259" s="7">
        <v>274</v>
      </c>
      <c r="K259" s="5">
        <v>0</v>
      </c>
      <c r="L259" s="5">
        <v>0</v>
      </c>
      <c r="M259" s="5">
        <v>274</v>
      </c>
      <c r="N259" s="7">
        <v>274</v>
      </c>
      <c r="O259" s="7">
        <v>46303.8</v>
      </c>
      <c r="P259" s="7">
        <v>713</v>
      </c>
      <c r="Q259" s="5">
        <v>0</v>
      </c>
      <c r="R259" s="5">
        <v>713</v>
      </c>
      <c r="S259" s="7">
        <v>72486.7</v>
      </c>
      <c r="T259" s="12">
        <v>43140</v>
      </c>
      <c r="U259" s="4">
        <v>9</v>
      </c>
      <c r="V259" s="28">
        <v>5</v>
      </c>
      <c r="W259" s="28">
        <v>6</v>
      </c>
      <c r="X259" s="45">
        <v>148762.29999999999</v>
      </c>
      <c r="Y259" s="14" t="s">
        <v>56</v>
      </c>
      <c r="Z259" s="14" t="s">
        <v>59</v>
      </c>
      <c r="AA259" s="14" t="s">
        <v>904</v>
      </c>
      <c r="AB259" s="25">
        <v>43145</v>
      </c>
      <c r="AC259" s="14" t="s">
        <v>816</v>
      </c>
      <c r="AD259" s="29" t="s">
        <v>51</v>
      </c>
      <c r="AE259" s="43" t="s">
        <v>570</v>
      </c>
      <c r="AF259" s="25" t="s">
        <v>1270</v>
      </c>
      <c r="AG259" t="e">
        <f t="shared" ref="AG259:AG322" si="4">+VLOOKUP(AF259,AH:AH,2,0)</f>
        <v>#REF!</v>
      </c>
      <c r="AH259"/>
      <c r="AI259" s="58"/>
      <c r="AJ259"/>
      <c r="AK259" s="30"/>
      <c r="AL259" s="30"/>
      <c r="AM259" s="30"/>
      <c r="AN259" s="30"/>
      <c r="AO259" s="30"/>
    </row>
    <row r="260" spans="1:41" s="31" customFormat="1" ht="15.75" customHeight="1">
      <c r="A260" s="13" t="s">
        <v>571</v>
      </c>
      <c r="B260" s="5">
        <v>272</v>
      </c>
      <c r="C260" s="7">
        <v>24141.15</v>
      </c>
      <c r="D260" s="7">
        <v>0</v>
      </c>
      <c r="E260" s="7">
        <v>0</v>
      </c>
      <c r="F260" s="5">
        <v>0</v>
      </c>
      <c r="G260" s="7">
        <v>0</v>
      </c>
      <c r="H260" s="5">
        <v>275</v>
      </c>
      <c r="I260" s="7">
        <v>28368.699999999997</v>
      </c>
      <c r="J260" s="7">
        <v>148</v>
      </c>
      <c r="K260" s="5">
        <v>0</v>
      </c>
      <c r="L260" s="5">
        <v>0</v>
      </c>
      <c r="M260" s="5">
        <v>148</v>
      </c>
      <c r="N260" s="7">
        <v>148</v>
      </c>
      <c r="O260" s="7">
        <v>20337.699999999997</v>
      </c>
      <c r="P260" s="7">
        <v>1011</v>
      </c>
      <c r="Q260" s="5">
        <v>0</v>
      </c>
      <c r="R260" s="5">
        <v>1011</v>
      </c>
      <c r="S260" s="7">
        <v>124127.4</v>
      </c>
      <c r="T260" s="12">
        <v>43140</v>
      </c>
      <c r="U260" s="4">
        <v>12</v>
      </c>
      <c r="V260" s="28">
        <v>4</v>
      </c>
      <c r="W260" s="28">
        <v>11</v>
      </c>
      <c r="X260" s="45">
        <v>196974.94999999998</v>
      </c>
      <c r="Y260" s="14" t="s">
        <v>56</v>
      </c>
      <c r="Z260" s="14" t="s">
        <v>1355</v>
      </c>
      <c r="AA260" s="14" t="s">
        <v>914</v>
      </c>
      <c r="AB260" s="25">
        <v>43148</v>
      </c>
      <c r="AC260" s="14" t="s">
        <v>626</v>
      </c>
      <c r="AD260" s="29" t="s">
        <v>52</v>
      </c>
      <c r="AE260" s="43" t="s">
        <v>572</v>
      </c>
      <c r="AF260" s="25" t="s">
        <v>1271</v>
      </c>
      <c r="AG260" t="e">
        <f t="shared" si="4"/>
        <v>#REF!</v>
      </c>
      <c r="AH260"/>
      <c r="AI260" s="58"/>
      <c r="AJ260"/>
      <c r="AK260" s="30"/>
      <c r="AL260" s="30"/>
      <c r="AM260" s="30"/>
      <c r="AN260" s="30"/>
      <c r="AO260" s="30"/>
    </row>
    <row r="261" spans="1:41" s="31" customFormat="1" ht="15.75" customHeight="1">
      <c r="A261" s="13" t="s">
        <v>573</v>
      </c>
      <c r="B261" s="5">
        <v>80</v>
      </c>
      <c r="C261" s="7">
        <v>7190.8</v>
      </c>
      <c r="D261" s="7">
        <v>0</v>
      </c>
      <c r="E261" s="7">
        <v>0</v>
      </c>
      <c r="F261" s="5">
        <v>0</v>
      </c>
      <c r="G261" s="7">
        <v>0</v>
      </c>
      <c r="H261" s="5">
        <v>145</v>
      </c>
      <c r="I261" s="7">
        <v>16954.7</v>
      </c>
      <c r="J261" s="7">
        <v>40</v>
      </c>
      <c r="K261" s="5">
        <v>0</v>
      </c>
      <c r="L261" s="5">
        <v>0</v>
      </c>
      <c r="M261" s="5">
        <v>40</v>
      </c>
      <c r="N261" s="7">
        <v>40</v>
      </c>
      <c r="O261" s="7">
        <v>8821.5</v>
      </c>
      <c r="P261" s="7">
        <v>160</v>
      </c>
      <c r="Q261" s="5">
        <v>0</v>
      </c>
      <c r="R261" s="5">
        <v>160</v>
      </c>
      <c r="S261" s="7">
        <v>27723.4</v>
      </c>
      <c r="T261" s="12">
        <v>43140</v>
      </c>
      <c r="U261" s="4">
        <v>5</v>
      </c>
      <c r="V261" s="28">
        <v>5</v>
      </c>
      <c r="W261" s="28">
        <v>6</v>
      </c>
      <c r="X261" s="45">
        <v>60690.400000000001</v>
      </c>
      <c r="Y261" s="14" t="s">
        <v>1636</v>
      </c>
      <c r="Z261" s="14" t="s">
        <v>1281</v>
      </c>
      <c r="AA261" s="14" t="s">
        <v>916</v>
      </c>
      <c r="AB261" s="25">
        <v>43147</v>
      </c>
      <c r="AC261" s="14" t="s">
        <v>822</v>
      </c>
      <c r="AD261" s="29" t="s">
        <v>49</v>
      </c>
      <c r="AE261" s="43" t="s">
        <v>574</v>
      </c>
      <c r="AF261" s="25" t="s">
        <v>1266</v>
      </c>
      <c r="AG261" t="e">
        <f t="shared" si="4"/>
        <v>#REF!</v>
      </c>
      <c r="AH261"/>
      <c r="AI261" s="58"/>
      <c r="AJ261"/>
      <c r="AK261" s="30"/>
      <c r="AL261" s="30"/>
      <c r="AM261" s="30"/>
      <c r="AN261" s="30"/>
      <c r="AO261" s="30"/>
    </row>
    <row r="262" spans="1:41" s="31" customFormat="1" ht="15.75" customHeight="1">
      <c r="A262" s="13" t="s">
        <v>562</v>
      </c>
      <c r="B262" s="5">
        <v>1053</v>
      </c>
      <c r="C262" s="7">
        <v>134870.12</v>
      </c>
      <c r="D262" s="7">
        <v>0</v>
      </c>
      <c r="E262" s="7">
        <v>0</v>
      </c>
      <c r="F262" s="5">
        <v>0</v>
      </c>
      <c r="G262" s="7">
        <v>0</v>
      </c>
      <c r="H262" s="5">
        <v>0</v>
      </c>
      <c r="I262" s="7">
        <v>0</v>
      </c>
      <c r="J262" s="7">
        <v>0</v>
      </c>
      <c r="K262" s="5">
        <v>0</v>
      </c>
      <c r="L262" s="5">
        <v>0</v>
      </c>
      <c r="M262" s="5">
        <v>0</v>
      </c>
      <c r="N262" s="7">
        <v>0</v>
      </c>
      <c r="O262" s="7">
        <v>0</v>
      </c>
      <c r="P262" s="7">
        <v>444</v>
      </c>
      <c r="Q262" s="5">
        <v>0</v>
      </c>
      <c r="R262" s="5">
        <v>444</v>
      </c>
      <c r="S262" s="7">
        <v>85879.599999999991</v>
      </c>
      <c r="T262" s="12">
        <v>43141</v>
      </c>
      <c r="U262" s="4">
        <v>17</v>
      </c>
      <c r="V262" s="28">
        <v>5</v>
      </c>
      <c r="W262" s="28">
        <v>6</v>
      </c>
      <c r="X262" s="45">
        <v>220749.71999999997</v>
      </c>
      <c r="Y262" s="14" t="s">
        <v>54</v>
      </c>
      <c r="Z262" s="14" t="s">
        <v>730</v>
      </c>
      <c r="AA262" s="14" t="s">
        <v>906</v>
      </c>
      <c r="AB262" s="25">
        <v>43146</v>
      </c>
      <c r="AC262" s="14" t="s">
        <v>818</v>
      </c>
      <c r="AD262" s="29" t="s">
        <v>50</v>
      </c>
      <c r="AE262" s="43" t="s">
        <v>563</v>
      </c>
      <c r="AF262" s="25" t="s">
        <v>1269</v>
      </c>
      <c r="AG262" t="e">
        <f t="shared" si="4"/>
        <v>#REF!</v>
      </c>
      <c r="AH262"/>
      <c r="AI262" s="58"/>
      <c r="AJ262"/>
      <c r="AK262" s="30"/>
      <c r="AL262" s="30"/>
      <c r="AM262" s="30"/>
      <c r="AN262" s="30"/>
      <c r="AO262" s="30"/>
    </row>
    <row r="263" spans="1:41" s="31" customFormat="1" ht="15.75" customHeight="1">
      <c r="A263" s="13" t="s">
        <v>564</v>
      </c>
      <c r="B263" s="5">
        <v>1066</v>
      </c>
      <c r="C263" s="7">
        <v>130337.98999999999</v>
      </c>
      <c r="D263" s="7">
        <v>0</v>
      </c>
      <c r="E263" s="7">
        <v>0</v>
      </c>
      <c r="F263" s="5">
        <v>0</v>
      </c>
      <c r="G263" s="7">
        <v>0</v>
      </c>
      <c r="H263" s="5">
        <v>152</v>
      </c>
      <c r="I263" s="7">
        <v>15880.400000000001</v>
      </c>
      <c r="J263" s="7">
        <v>0</v>
      </c>
      <c r="K263" s="5">
        <v>0</v>
      </c>
      <c r="L263" s="5">
        <v>0</v>
      </c>
      <c r="M263" s="5">
        <v>0</v>
      </c>
      <c r="N263" s="7">
        <v>0</v>
      </c>
      <c r="O263" s="7">
        <v>0</v>
      </c>
      <c r="P263" s="7">
        <v>0</v>
      </c>
      <c r="Q263" s="5">
        <v>0</v>
      </c>
      <c r="R263" s="5">
        <v>0</v>
      </c>
      <c r="S263" s="7">
        <v>0</v>
      </c>
      <c r="T263" s="12">
        <v>43141</v>
      </c>
      <c r="U263" s="4">
        <v>12</v>
      </c>
      <c r="V263" s="28">
        <v>4</v>
      </c>
      <c r="W263" s="28">
        <v>11</v>
      </c>
      <c r="X263" s="45">
        <v>146218.38999999998</v>
      </c>
      <c r="Y263" s="14" t="s">
        <v>54</v>
      </c>
      <c r="Z263" s="14" t="s">
        <v>55</v>
      </c>
      <c r="AA263" s="14" t="s">
        <v>913</v>
      </c>
      <c r="AB263" s="25">
        <v>43144</v>
      </c>
      <c r="AC263" s="14" t="s">
        <v>820</v>
      </c>
      <c r="AD263" s="29" t="s">
        <v>51</v>
      </c>
      <c r="AE263" s="43" t="s">
        <v>565</v>
      </c>
      <c r="AF263" s="25" t="s">
        <v>1270</v>
      </c>
      <c r="AG263" t="e">
        <f t="shared" si="4"/>
        <v>#REF!</v>
      </c>
      <c r="AH263"/>
      <c r="AI263" s="58"/>
      <c r="AJ263"/>
      <c r="AK263" s="30"/>
      <c r="AL263" s="30"/>
      <c r="AM263" s="30"/>
      <c r="AN263" s="30"/>
      <c r="AO263" s="30"/>
    </row>
    <row r="264" spans="1:41" s="31" customFormat="1" ht="15.75" customHeight="1">
      <c r="A264" s="13" t="s">
        <v>566</v>
      </c>
      <c r="B264" s="5">
        <v>149</v>
      </c>
      <c r="C264" s="7">
        <v>13378.900000000001</v>
      </c>
      <c r="D264" s="7">
        <v>0</v>
      </c>
      <c r="E264" s="7">
        <v>0</v>
      </c>
      <c r="F264" s="5">
        <v>0</v>
      </c>
      <c r="G264" s="7">
        <v>0</v>
      </c>
      <c r="H264" s="5">
        <v>0</v>
      </c>
      <c r="I264" s="7">
        <v>0</v>
      </c>
      <c r="J264" s="7">
        <v>41</v>
      </c>
      <c r="K264" s="5">
        <v>0</v>
      </c>
      <c r="L264" s="5">
        <v>0</v>
      </c>
      <c r="M264" s="5">
        <v>41</v>
      </c>
      <c r="N264" s="7">
        <v>41</v>
      </c>
      <c r="O264" s="7">
        <v>6535</v>
      </c>
      <c r="P264" s="7">
        <v>450</v>
      </c>
      <c r="Q264" s="5">
        <v>0</v>
      </c>
      <c r="R264" s="5">
        <v>450</v>
      </c>
      <c r="S264" s="7">
        <v>39040</v>
      </c>
      <c r="T264" s="12">
        <v>43141</v>
      </c>
      <c r="U264" s="4">
        <v>3</v>
      </c>
      <c r="V264" s="28">
        <v>5</v>
      </c>
      <c r="W264" s="28">
        <v>6</v>
      </c>
      <c r="X264" s="45">
        <v>58953.9</v>
      </c>
      <c r="Y264" s="14" t="s">
        <v>54</v>
      </c>
      <c r="Z264" s="14" t="s">
        <v>1355</v>
      </c>
      <c r="AA264" s="14" t="s">
        <v>912</v>
      </c>
      <c r="AB264" s="25">
        <v>43146</v>
      </c>
      <c r="AC264" s="14" t="s">
        <v>818</v>
      </c>
      <c r="AD264" s="29" t="s">
        <v>49</v>
      </c>
      <c r="AE264" s="43" t="s">
        <v>567</v>
      </c>
      <c r="AF264" s="25" t="s">
        <v>1266</v>
      </c>
      <c r="AG264" t="e">
        <f t="shared" si="4"/>
        <v>#REF!</v>
      </c>
      <c r="AH264"/>
      <c r="AI264" s="58"/>
      <c r="AJ264"/>
      <c r="AK264" s="30"/>
      <c r="AL264" s="30"/>
      <c r="AM264" s="30"/>
      <c r="AN264" s="30"/>
      <c r="AO264" s="30"/>
    </row>
    <row r="265" spans="1:41" s="31" customFormat="1" ht="15.75" customHeight="1">
      <c r="A265" s="13" t="s">
        <v>575</v>
      </c>
      <c r="B265" s="5">
        <v>203</v>
      </c>
      <c r="C265" s="7">
        <v>16856.7</v>
      </c>
      <c r="D265" s="7">
        <v>0</v>
      </c>
      <c r="E265" s="7">
        <v>0</v>
      </c>
      <c r="F265" s="5">
        <v>0</v>
      </c>
      <c r="G265" s="7">
        <v>0</v>
      </c>
      <c r="H265" s="5">
        <v>0</v>
      </c>
      <c r="I265" s="7">
        <v>0</v>
      </c>
      <c r="J265" s="7">
        <v>231</v>
      </c>
      <c r="K265" s="5">
        <v>0</v>
      </c>
      <c r="L265" s="5">
        <v>0</v>
      </c>
      <c r="M265" s="5">
        <v>231</v>
      </c>
      <c r="N265" s="7">
        <v>231</v>
      </c>
      <c r="O265" s="7">
        <v>12243.6</v>
      </c>
      <c r="P265" s="7">
        <v>370</v>
      </c>
      <c r="Q265" s="5">
        <v>0</v>
      </c>
      <c r="R265" s="5">
        <v>370</v>
      </c>
      <c r="S265" s="7">
        <v>56760</v>
      </c>
      <c r="T265" s="12">
        <v>43141</v>
      </c>
      <c r="U265" s="4">
        <v>6</v>
      </c>
      <c r="V265" s="28">
        <v>4</v>
      </c>
      <c r="W265" s="28">
        <v>11</v>
      </c>
      <c r="X265" s="45">
        <v>85860.3</v>
      </c>
      <c r="Y265" s="14" t="s">
        <v>56</v>
      </c>
      <c r="Z265" s="14" t="s">
        <v>57</v>
      </c>
      <c r="AA265" s="14" t="s">
        <v>904</v>
      </c>
      <c r="AB265" s="25">
        <v>43145</v>
      </c>
      <c r="AC265" s="14" t="s">
        <v>816</v>
      </c>
      <c r="AD265" s="29" t="s">
        <v>51</v>
      </c>
      <c r="AE265" s="43" t="s">
        <v>601</v>
      </c>
      <c r="AF265" s="25" t="s">
        <v>1270</v>
      </c>
      <c r="AG265" t="e">
        <f t="shared" si="4"/>
        <v>#REF!</v>
      </c>
      <c r="AH265"/>
      <c r="AI265" s="58"/>
      <c r="AJ265" s="30"/>
      <c r="AK265" s="30"/>
      <c r="AL265" s="30"/>
      <c r="AM265" s="30"/>
      <c r="AN265" s="30"/>
      <c r="AO265" s="30"/>
    </row>
    <row r="266" spans="1:41" s="31" customFormat="1" ht="15.75" customHeight="1">
      <c r="A266" s="13" t="s">
        <v>576</v>
      </c>
      <c r="B266" s="5">
        <v>121</v>
      </c>
      <c r="C266" s="7">
        <v>11945.199999999999</v>
      </c>
      <c r="D266" s="7">
        <v>0</v>
      </c>
      <c r="E266" s="7">
        <v>0</v>
      </c>
      <c r="F266" s="5">
        <v>0</v>
      </c>
      <c r="G266" s="7">
        <v>0</v>
      </c>
      <c r="H266" s="5">
        <v>95</v>
      </c>
      <c r="I266" s="7">
        <v>12817.699999999999</v>
      </c>
      <c r="J266" s="7">
        <v>56</v>
      </c>
      <c r="K266" s="5">
        <v>0</v>
      </c>
      <c r="L266" s="5">
        <v>0</v>
      </c>
      <c r="M266" s="5">
        <v>56</v>
      </c>
      <c r="N266" s="7">
        <v>56</v>
      </c>
      <c r="O266" s="7">
        <v>9632</v>
      </c>
      <c r="P266" s="7">
        <v>0</v>
      </c>
      <c r="Q266" s="5">
        <v>0</v>
      </c>
      <c r="R266" s="5">
        <v>0</v>
      </c>
      <c r="S266" s="7">
        <v>0</v>
      </c>
      <c r="T266" s="12">
        <v>43142</v>
      </c>
      <c r="U266" s="4">
        <v>3</v>
      </c>
      <c r="V266" s="28">
        <v>4</v>
      </c>
      <c r="W266" s="28">
        <v>11</v>
      </c>
      <c r="X266" s="45">
        <v>34394.899999999994</v>
      </c>
      <c r="Y266" s="14" t="s">
        <v>1633</v>
      </c>
      <c r="Z266" s="14" t="s">
        <v>1355</v>
      </c>
      <c r="AA266" s="14" t="s">
        <v>919</v>
      </c>
      <c r="AB266" s="25">
        <v>43152</v>
      </c>
      <c r="AC266" s="14" t="s">
        <v>824</v>
      </c>
      <c r="AD266" s="29" t="s">
        <v>70</v>
      </c>
      <c r="AE266" s="43" t="s">
        <v>602</v>
      </c>
      <c r="AF266" s="25" t="s">
        <v>1273</v>
      </c>
      <c r="AG266" t="e">
        <f t="shared" si="4"/>
        <v>#REF!</v>
      </c>
      <c r="AH266"/>
      <c r="AI266" s="58"/>
      <c r="AJ266"/>
      <c r="AK266" s="30"/>
      <c r="AL266" s="30"/>
      <c r="AM266" s="30"/>
      <c r="AN266" s="30"/>
      <c r="AO266" s="30"/>
    </row>
    <row r="267" spans="1:41" s="31" customFormat="1" ht="15.75" customHeight="1">
      <c r="A267" s="13" t="s">
        <v>577</v>
      </c>
      <c r="B267" s="5">
        <v>0</v>
      </c>
      <c r="C267" s="7">
        <v>0</v>
      </c>
      <c r="D267" s="7">
        <v>610</v>
      </c>
      <c r="E267" s="7">
        <v>610</v>
      </c>
      <c r="F267" s="5">
        <v>0</v>
      </c>
      <c r="G267" s="7">
        <v>24098.400000000001</v>
      </c>
      <c r="H267" s="5">
        <v>1122</v>
      </c>
      <c r="I267" s="7">
        <v>118730.65000000001</v>
      </c>
      <c r="J267" s="7">
        <v>90</v>
      </c>
      <c r="K267" s="5">
        <v>0</v>
      </c>
      <c r="L267" s="5">
        <v>0</v>
      </c>
      <c r="M267" s="5">
        <v>90</v>
      </c>
      <c r="N267" s="7">
        <v>90</v>
      </c>
      <c r="O267" s="7">
        <v>19860.75</v>
      </c>
      <c r="P267" s="7">
        <v>1000</v>
      </c>
      <c r="Q267" s="5">
        <v>0</v>
      </c>
      <c r="R267" s="5">
        <v>1000</v>
      </c>
      <c r="S267" s="7">
        <v>75041.5</v>
      </c>
      <c r="T267" s="27">
        <v>43142</v>
      </c>
      <c r="U267" s="28">
        <v>12</v>
      </c>
      <c r="V267" s="28">
        <v>2</v>
      </c>
      <c r="W267" s="28">
        <v>3</v>
      </c>
      <c r="X267" s="45">
        <v>237731.30000000002</v>
      </c>
      <c r="Y267" s="14" t="s">
        <v>56</v>
      </c>
      <c r="Z267" s="14" t="s">
        <v>59</v>
      </c>
      <c r="AA267" s="14" t="s">
        <v>915</v>
      </c>
      <c r="AB267" s="25">
        <v>43146</v>
      </c>
      <c r="AC267" s="14" t="s">
        <v>821</v>
      </c>
      <c r="AD267" s="29" t="s">
        <v>49</v>
      </c>
      <c r="AE267" s="43" t="s">
        <v>603</v>
      </c>
      <c r="AF267" s="25" t="s">
        <v>1265</v>
      </c>
      <c r="AG267" t="e">
        <f t="shared" si="4"/>
        <v>#REF!</v>
      </c>
      <c r="AH267"/>
      <c r="AI267" s="58"/>
      <c r="AJ267"/>
      <c r="AK267" s="30"/>
      <c r="AL267" s="30"/>
      <c r="AM267" s="30"/>
      <c r="AN267" s="30"/>
      <c r="AO267" s="30"/>
    </row>
    <row r="268" spans="1:41" s="31" customFormat="1" ht="18" customHeight="1">
      <c r="A268" s="13" t="s">
        <v>578</v>
      </c>
      <c r="B268" s="5">
        <v>135</v>
      </c>
      <c r="C268" s="7">
        <v>13003.679999999998</v>
      </c>
      <c r="D268" s="7">
        <v>80</v>
      </c>
      <c r="E268" s="7">
        <v>80</v>
      </c>
      <c r="F268" s="5">
        <v>0</v>
      </c>
      <c r="G268" s="7">
        <v>3088.5</v>
      </c>
      <c r="H268" s="5">
        <v>220</v>
      </c>
      <c r="I268" s="7">
        <v>13512.239999999998</v>
      </c>
      <c r="J268" s="7">
        <v>97</v>
      </c>
      <c r="K268" s="5">
        <v>0</v>
      </c>
      <c r="L268" s="5">
        <v>0</v>
      </c>
      <c r="M268" s="5">
        <v>97</v>
      </c>
      <c r="N268" s="7">
        <v>97</v>
      </c>
      <c r="O268" s="7">
        <v>14366.199999999999</v>
      </c>
      <c r="P268" s="7">
        <v>49</v>
      </c>
      <c r="Q268" s="5">
        <v>0</v>
      </c>
      <c r="R268" s="5">
        <v>49</v>
      </c>
      <c r="S268" s="7">
        <v>2469.11</v>
      </c>
      <c r="T268" s="27">
        <v>43142</v>
      </c>
      <c r="U268" s="28">
        <v>3</v>
      </c>
      <c r="V268" s="28">
        <v>3</v>
      </c>
      <c r="W268" s="28">
        <v>2</v>
      </c>
      <c r="X268" s="45">
        <v>46439.729999999996</v>
      </c>
      <c r="Y268" s="14" t="s">
        <v>56</v>
      </c>
      <c r="Z268" s="14" t="s">
        <v>1281</v>
      </c>
      <c r="AA268" s="14" t="s">
        <v>1006</v>
      </c>
      <c r="AB268" s="25">
        <v>43148</v>
      </c>
      <c r="AC268" s="14" t="s">
        <v>1007</v>
      </c>
      <c r="AD268" s="29" t="s">
        <v>49</v>
      </c>
      <c r="AE268" s="43" t="s">
        <v>604</v>
      </c>
      <c r="AF268" s="25" t="s">
        <v>1271</v>
      </c>
      <c r="AG268" t="e">
        <f t="shared" si="4"/>
        <v>#REF!</v>
      </c>
      <c r="AH268"/>
      <c r="AI268" s="58"/>
      <c r="AJ268"/>
      <c r="AK268" s="30"/>
      <c r="AL268" s="30"/>
      <c r="AM268" s="30"/>
      <c r="AN268" s="30"/>
      <c r="AO268" s="30"/>
    </row>
    <row r="269" spans="1:41" s="31" customFormat="1" ht="15.75" customHeight="1">
      <c r="A269" s="13" t="s">
        <v>579</v>
      </c>
      <c r="B269" s="5">
        <v>168</v>
      </c>
      <c r="C269" s="7">
        <v>7643.33</v>
      </c>
      <c r="D269" s="7">
        <v>291</v>
      </c>
      <c r="E269" s="7">
        <v>291</v>
      </c>
      <c r="F269" s="5">
        <v>0</v>
      </c>
      <c r="G269" s="7">
        <v>11340.3</v>
      </c>
      <c r="H269" s="5">
        <v>379</v>
      </c>
      <c r="I269" s="7">
        <v>45966.100000000006</v>
      </c>
      <c r="J269" s="7">
        <v>222</v>
      </c>
      <c r="K269" s="5">
        <v>0</v>
      </c>
      <c r="L269" s="5">
        <v>0</v>
      </c>
      <c r="M269" s="5">
        <v>222</v>
      </c>
      <c r="N269" s="7">
        <v>222</v>
      </c>
      <c r="O269" s="7">
        <v>44361.2</v>
      </c>
      <c r="P269" s="7">
        <v>693</v>
      </c>
      <c r="Q269" s="5">
        <v>0</v>
      </c>
      <c r="R269" s="5">
        <v>693</v>
      </c>
      <c r="S269" s="7">
        <v>80276.100000000006</v>
      </c>
      <c r="T269" s="27">
        <v>43142</v>
      </c>
      <c r="U269" s="28">
        <v>11</v>
      </c>
      <c r="V269" s="28">
        <v>3</v>
      </c>
      <c r="W269" s="28" t="s">
        <v>31</v>
      </c>
      <c r="X269" s="45">
        <v>189587.03</v>
      </c>
      <c r="Y269" s="14" t="s">
        <v>54</v>
      </c>
      <c r="Z269" s="14" t="s">
        <v>55</v>
      </c>
      <c r="AA269" s="14" t="s">
        <v>1008</v>
      </c>
      <c r="AB269" s="25">
        <v>43150</v>
      </c>
      <c r="AC269" s="14" t="s">
        <v>1009</v>
      </c>
      <c r="AD269" s="29" t="s">
        <v>49</v>
      </c>
      <c r="AE269" s="43" t="s">
        <v>605</v>
      </c>
      <c r="AF269" s="25" t="s">
        <v>1270</v>
      </c>
      <c r="AG269" t="e">
        <f t="shared" si="4"/>
        <v>#REF!</v>
      </c>
      <c r="AH269"/>
      <c r="AI269" s="58"/>
      <c r="AJ269"/>
      <c r="AK269" s="30"/>
      <c r="AL269" s="30"/>
      <c r="AM269" s="30"/>
      <c r="AN269" s="30"/>
      <c r="AO269" s="30"/>
    </row>
    <row r="270" spans="1:41" s="31" customFormat="1" ht="15.75" customHeight="1">
      <c r="A270" s="13" t="s">
        <v>580</v>
      </c>
      <c r="B270" s="5">
        <v>740</v>
      </c>
      <c r="C270" s="7">
        <v>67635.360000000015</v>
      </c>
      <c r="D270" s="7">
        <v>0</v>
      </c>
      <c r="E270" s="7">
        <v>0</v>
      </c>
      <c r="F270" s="5">
        <v>0</v>
      </c>
      <c r="G270" s="7">
        <v>0</v>
      </c>
      <c r="H270" s="5">
        <v>270</v>
      </c>
      <c r="I270" s="7">
        <v>10971</v>
      </c>
      <c r="J270" s="7">
        <v>294</v>
      </c>
      <c r="K270" s="5">
        <v>0</v>
      </c>
      <c r="L270" s="5">
        <v>0</v>
      </c>
      <c r="M270" s="5">
        <v>294</v>
      </c>
      <c r="N270" s="7">
        <v>294</v>
      </c>
      <c r="O270" s="7">
        <v>39183.700000000004</v>
      </c>
      <c r="P270" s="7">
        <v>563</v>
      </c>
      <c r="Q270" s="5">
        <v>0</v>
      </c>
      <c r="R270" s="5">
        <v>563</v>
      </c>
      <c r="S270" s="7">
        <v>97658.5</v>
      </c>
      <c r="T270" s="27">
        <v>43142</v>
      </c>
      <c r="U270" s="28">
        <v>16</v>
      </c>
      <c r="V270" s="28">
        <v>3</v>
      </c>
      <c r="W270" s="28">
        <v>1</v>
      </c>
      <c r="X270" s="45">
        <v>215448.56000000003</v>
      </c>
      <c r="Y270" s="14" t="s">
        <v>54</v>
      </c>
      <c r="Z270" s="14" t="s">
        <v>1281</v>
      </c>
      <c r="AA270" s="14" t="s">
        <v>903</v>
      </c>
      <c r="AB270" s="25">
        <v>43150</v>
      </c>
      <c r="AC270" s="14" t="s">
        <v>815</v>
      </c>
      <c r="AD270" s="29" t="s">
        <v>50</v>
      </c>
      <c r="AE270" s="43" t="s">
        <v>606</v>
      </c>
      <c r="AF270" s="25" t="s">
        <v>1269</v>
      </c>
      <c r="AG270" t="e">
        <f t="shared" si="4"/>
        <v>#REF!</v>
      </c>
      <c r="AH270"/>
      <c r="AI270" s="58"/>
      <c r="AJ270"/>
      <c r="AK270" s="30"/>
      <c r="AL270" s="30"/>
      <c r="AM270" s="30"/>
      <c r="AN270" s="30"/>
      <c r="AO270" s="30"/>
    </row>
    <row r="271" spans="1:41" s="31" customFormat="1" ht="15.75" customHeight="1">
      <c r="A271" s="13" t="s">
        <v>581</v>
      </c>
      <c r="B271" s="5">
        <v>0</v>
      </c>
      <c r="C271" s="7">
        <v>0</v>
      </c>
      <c r="D271" s="7">
        <v>0</v>
      </c>
      <c r="E271" s="7">
        <v>0</v>
      </c>
      <c r="F271" s="5">
        <v>0</v>
      </c>
      <c r="G271" s="7">
        <v>0</v>
      </c>
      <c r="H271" s="5">
        <v>0</v>
      </c>
      <c r="I271" s="7">
        <v>0</v>
      </c>
      <c r="J271" s="7">
        <v>0</v>
      </c>
      <c r="K271" s="5">
        <v>0</v>
      </c>
      <c r="L271" s="5">
        <v>0</v>
      </c>
      <c r="M271" s="5">
        <v>0</v>
      </c>
      <c r="N271" s="7">
        <v>0</v>
      </c>
      <c r="O271" s="7">
        <v>0</v>
      </c>
      <c r="P271" s="7">
        <v>83</v>
      </c>
      <c r="Q271" s="5">
        <v>0</v>
      </c>
      <c r="R271" s="5">
        <v>83</v>
      </c>
      <c r="S271" s="7">
        <v>19971.900000000001</v>
      </c>
      <c r="T271" s="27">
        <v>43142</v>
      </c>
      <c r="U271" s="28">
        <v>1</v>
      </c>
      <c r="V271" s="28">
        <v>3</v>
      </c>
      <c r="W271" s="28">
        <v>3</v>
      </c>
      <c r="X271" s="45">
        <v>19971.900000000001</v>
      </c>
      <c r="Y271" s="14" t="s">
        <v>1636</v>
      </c>
      <c r="Z271" s="14" t="s">
        <v>1281</v>
      </c>
      <c r="AA271" s="14" t="s">
        <v>916</v>
      </c>
      <c r="AB271" s="25">
        <v>43147</v>
      </c>
      <c r="AC271" s="14" t="s">
        <v>822</v>
      </c>
      <c r="AD271" s="29" t="s">
        <v>49</v>
      </c>
      <c r="AE271" s="43" t="s">
        <v>607</v>
      </c>
      <c r="AF271" s="25" t="s">
        <v>1266</v>
      </c>
      <c r="AG271" t="e">
        <f t="shared" si="4"/>
        <v>#REF!</v>
      </c>
      <c r="AH271"/>
      <c r="AI271" s="58"/>
      <c r="AJ271"/>
      <c r="AK271" s="30"/>
      <c r="AL271" s="30"/>
      <c r="AM271" s="30"/>
      <c r="AN271" s="30"/>
      <c r="AO271" s="30"/>
    </row>
    <row r="272" spans="1:41" s="31" customFormat="1" ht="15.75" customHeight="1">
      <c r="A272" s="13" t="s">
        <v>582</v>
      </c>
      <c r="B272" s="5">
        <v>0</v>
      </c>
      <c r="C272" s="7">
        <v>0</v>
      </c>
      <c r="D272" s="7">
        <v>0</v>
      </c>
      <c r="E272" s="7">
        <v>0</v>
      </c>
      <c r="F272" s="5">
        <v>0</v>
      </c>
      <c r="G272" s="7">
        <v>0</v>
      </c>
      <c r="H272" s="5">
        <v>0</v>
      </c>
      <c r="I272" s="7">
        <v>0</v>
      </c>
      <c r="J272" s="7">
        <v>0</v>
      </c>
      <c r="K272" s="5">
        <v>0</v>
      </c>
      <c r="L272" s="5">
        <v>0</v>
      </c>
      <c r="M272" s="5">
        <v>0</v>
      </c>
      <c r="N272" s="7">
        <v>0</v>
      </c>
      <c r="O272" s="7">
        <v>0</v>
      </c>
      <c r="P272" s="7">
        <v>90</v>
      </c>
      <c r="Q272" s="5">
        <v>0</v>
      </c>
      <c r="R272" s="5">
        <v>90</v>
      </c>
      <c r="S272" s="7">
        <v>13333</v>
      </c>
      <c r="T272" s="27">
        <v>43143</v>
      </c>
      <c r="U272" s="28">
        <v>1</v>
      </c>
      <c r="V272" s="28">
        <v>7</v>
      </c>
      <c r="W272" s="28">
        <v>9</v>
      </c>
      <c r="X272" s="45">
        <v>13333</v>
      </c>
      <c r="Y272" s="14" t="s">
        <v>56</v>
      </c>
      <c r="Z272" s="14" t="s">
        <v>1355</v>
      </c>
      <c r="AA272" s="14" t="s">
        <v>921</v>
      </c>
      <c r="AB272" s="25">
        <v>43148</v>
      </c>
      <c r="AC272" s="14" t="s">
        <v>626</v>
      </c>
      <c r="AD272" s="29" t="s">
        <v>218</v>
      </c>
      <c r="AE272" s="43" t="s">
        <v>608</v>
      </c>
      <c r="AF272" s="25" t="s">
        <v>1272</v>
      </c>
      <c r="AG272" t="e">
        <f t="shared" si="4"/>
        <v>#REF!</v>
      </c>
      <c r="AH272"/>
      <c r="AI272" s="58"/>
      <c r="AJ272"/>
      <c r="AK272" s="30"/>
      <c r="AL272" s="30"/>
      <c r="AM272" s="30"/>
      <c r="AN272" s="30"/>
      <c r="AO272" s="30"/>
    </row>
    <row r="273" spans="1:41" s="31" customFormat="1" ht="15.75" customHeight="1">
      <c r="A273" s="13" t="s">
        <v>584</v>
      </c>
      <c r="B273" s="5">
        <v>0</v>
      </c>
      <c r="C273" s="7">
        <v>0</v>
      </c>
      <c r="D273" s="7">
        <v>0</v>
      </c>
      <c r="E273" s="7">
        <v>0</v>
      </c>
      <c r="F273" s="5">
        <v>0</v>
      </c>
      <c r="G273" s="7">
        <v>0</v>
      </c>
      <c r="H273" s="5">
        <v>0</v>
      </c>
      <c r="I273" s="7">
        <v>0</v>
      </c>
      <c r="J273" s="7">
        <v>0</v>
      </c>
      <c r="K273" s="5">
        <v>0</v>
      </c>
      <c r="L273" s="5">
        <v>0</v>
      </c>
      <c r="M273" s="5">
        <v>0</v>
      </c>
      <c r="N273" s="7">
        <v>0</v>
      </c>
      <c r="O273" s="7">
        <v>0</v>
      </c>
      <c r="P273" s="7">
        <v>141</v>
      </c>
      <c r="Q273" s="5">
        <v>0</v>
      </c>
      <c r="R273" s="5">
        <v>141</v>
      </c>
      <c r="S273" s="7">
        <v>16987.600000000002</v>
      </c>
      <c r="T273" s="27">
        <v>43143</v>
      </c>
      <c r="U273" s="28">
        <v>1</v>
      </c>
      <c r="V273" s="28">
        <v>7</v>
      </c>
      <c r="W273" s="28">
        <v>5</v>
      </c>
      <c r="X273" s="45">
        <v>16987.600000000002</v>
      </c>
      <c r="Y273" s="14" t="s">
        <v>1633</v>
      </c>
      <c r="Z273" s="14" t="s">
        <v>1355</v>
      </c>
      <c r="AA273" s="14" t="s">
        <v>922</v>
      </c>
      <c r="AB273" s="25">
        <v>43147</v>
      </c>
      <c r="AC273" s="14" t="s">
        <v>627</v>
      </c>
      <c r="AD273" s="29" t="s">
        <v>48</v>
      </c>
      <c r="AE273" s="43" t="s">
        <v>611</v>
      </c>
      <c r="AF273" s="25" t="s">
        <v>1264</v>
      </c>
      <c r="AG273" t="e">
        <f t="shared" si="4"/>
        <v>#REF!</v>
      </c>
      <c r="AH273"/>
      <c r="AI273" s="58"/>
      <c r="AJ273"/>
      <c r="AK273" s="30"/>
      <c r="AL273" s="30"/>
      <c r="AM273" s="30"/>
      <c r="AN273" s="30"/>
      <c r="AO273" s="30"/>
    </row>
    <row r="274" spans="1:41" s="31" customFormat="1" ht="15.75" customHeight="1">
      <c r="A274" s="13" t="s">
        <v>583</v>
      </c>
      <c r="B274" s="5">
        <v>32</v>
      </c>
      <c r="C274" s="7">
        <v>3884.2</v>
      </c>
      <c r="D274" s="7">
        <v>0</v>
      </c>
      <c r="E274" s="7">
        <v>0</v>
      </c>
      <c r="F274" s="5">
        <v>0</v>
      </c>
      <c r="G274" s="7">
        <v>0</v>
      </c>
      <c r="H274" s="5">
        <v>0</v>
      </c>
      <c r="I274" s="7">
        <v>0</v>
      </c>
      <c r="J274" s="7">
        <v>13</v>
      </c>
      <c r="K274" s="5">
        <v>0</v>
      </c>
      <c r="L274" s="5">
        <v>0</v>
      </c>
      <c r="M274" s="5">
        <v>13</v>
      </c>
      <c r="N274" s="7">
        <v>13</v>
      </c>
      <c r="O274" s="7">
        <v>2786.7999999999997</v>
      </c>
      <c r="P274" s="7">
        <v>60</v>
      </c>
      <c r="Q274" s="5">
        <v>0</v>
      </c>
      <c r="R274" s="5">
        <v>60</v>
      </c>
      <c r="S274" s="7">
        <v>6297</v>
      </c>
      <c r="T274" s="27">
        <v>43143</v>
      </c>
      <c r="U274" s="28">
        <v>1</v>
      </c>
      <c r="V274" s="28">
        <v>7</v>
      </c>
      <c r="W274" s="28">
        <v>5</v>
      </c>
      <c r="X274" s="45">
        <v>12968</v>
      </c>
      <c r="Y274" s="14" t="s">
        <v>1354</v>
      </c>
      <c r="Z274" s="14" t="s">
        <v>730</v>
      </c>
      <c r="AA274" s="14" t="s">
        <v>923</v>
      </c>
      <c r="AB274" s="25">
        <v>43154</v>
      </c>
      <c r="AC274" s="14" t="s">
        <v>1134</v>
      </c>
      <c r="AD274" s="29" t="s">
        <v>240</v>
      </c>
      <c r="AE274" s="43" t="s">
        <v>612</v>
      </c>
      <c r="AF274" s="25" t="s">
        <v>1274</v>
      </c>
      <c r="AG274" t="e">
        <f t="shared" si="4"/>
        <v>#REF!</v>
      </c>
      <c r="AH274"/>
      <c r="AI274" s="58"/>
      <c r="AJ274"/>
      <c r="AK274" s="30"/>
      <c r="AL274" s="30"/>
      <c r="AM274" s="30"/>
      <c r="AN274" s="30"/>
      <c r="AO274" s="30"/>
    </row>
    <row r="275" spans="1:41" s="31" customFormat="1" ht="15.75" customHeight="1">
      <c r="A275" s="13" t="s">
        <v>585</v>
      </c>
      <c r="B275" s="5">
        <v>0</v>
      </c>
      <c r="C275" s="7">
        <v>0</v>
      </c>
      <c r="D275" s="7">
        <v>0</v>
      </c>
      <c r="E275" s="7">
        <v>0</v>
      </c>
      <c r="F275" s="5">
        <v>0</v>
      </c>
      <c r="G275" s="7">
        <v>0</v>
      </c>
      <c r="H275" s="5">
        <v>686</v>
      </c>
      <c r="I275" s="7">
        <v>77267.39999999998</v>
      </c>
      <c r="J275" s="7">
        <v>0</v>
      </c>
      <c r="K275" s="5">
        <v>0</v>
      </c>
      <c r="L275" s="5">
        <v>0</v>
      </c>
      <c r="M275" s="5">
        <v>0</v>
      </c>
      <c r="N275" s="7">
        <v>0</v>
      </c>
      <c r="O275" s="7">
        <v>0</v>
      </c>
      <c r="P275" s="7">
        <v>200</v>
      </c>
      <c r="Q275" s="5">
        <v>0</v>
      </c>
      <c r="R275" s="5">
        <v>200</v>
      </c>
      <c r="S275" s="7">
        <v>13100</v>
      </c>
      <c r="T275" s="27">
        <v>43143</v>
      </c>
      <c r="U275" s="28">
        <v>6</v>
      </c>
      <c r="V275" s="28">
        <v>6</v>
      </c>
      <c r="W275" s="28">
        <v>9</v>
      </c>
      <c r="X275" s="45">
        <v>90367.39999999998</v>
      </c>
      <c r="Y275" s="14" t="s">
        <v>56</v>
      </c>
      <c r="Z275" s="14" t="s">
        <v>59</v>
      </c>
      <c r="AA275" s="14" t="s">
        <v>915</v>
      </c>
      <c r="AB275" s="25">
        <v>43146</v>
      </c>
      <c r="AC275" s="14" t="s">
        <v>821</v>
      </c>
      <c r="AD275" s="29" t="s">
        <v>49</v>
      </c>
      <c r="AE275" s="43" t="s">
        <v>613</v>
      </c>
      <c r="AF275" s="25" t="s">
        <v>1265</v>
      </c>
      <c r="AG275" t="e">
        <f t="shared" si="4"/>
        <v>#REF!</v>
      </c>
      <c r="AH275"/>
      <c r="AI275" s="58"/>
      <c r="AJ275"/>
      <c r="AK275" s="30"/>
      <c r="AL275" s="30"/>
      <c r="AM275" s="30"/>
      <c r="AN275" s="30"/>
      <c r="AO275" s="30"/>
    </row>
    <row r="276" spans="1:41" s="31" customFormat="1" ht="15.75" customHeight="1">
      <c r="A276" s="13" t="s">
        <v>586</v>
      </c>
      <c r="B276" s="5">
        <v>298</v>
      </c>
      <c r="C276" s="7">
        <v>30270.7</v>
      </c>
      <c r="D276" s="7">
        <v>0</v>
      </c>
      <c r="E276" s="7">
        <v>0</v>
      </c>
      <c r="F276" s="5">
        <v>0</v>
      </c>
      <c r="G276" s="7">
        <v>0</v>
      </c>
      <c r="H276" s="5">
        <v>39</v>
      </c>
      <c r="I276" s="7">
        <v>3742.83</v>
      </c>
      <c r="J276" s="7">
        <v>0</v>
      </c>
      <c r="K276" s="5">
        <v>0</v>
      </c>
      <c r="L276" s="5">
        <v>0</v>
      </c>
      <c r="M276" s="5">
        <v>0</v>
      </c>
      <c r="N276" s="7">
        <v>0</v>
      </c>
      <c r="O276" s="7">
        <v>0</v>
      </c>
      <c r="P276" s="7">
        <v>0</v>
      </c>
      <c r="Q276" s="5">
        <v>0</v>
      </c>
      <c r="R276" s="5">
        <v>0</v>
      </c>
      <c r="S276" s="7">
        <v>0</v>
      </c>
      <c r="T276" s="27">
        <v>43143</v>
      </c>
      <c r="U276" s="28">
        <v>3</v>
      </c>
      <c r="V276" s="28">
        <v>2</v>
      </c>
      <c r="W276" s="28">
        <v>3</v>
      </c>
      <c r="X276" s="45">
        <v>34013.53</v>
      </c>
      <c r="Y276" s="14" t="s">
        <v>54</v>
      </c>
      <c r="Z276" s="14" t="s">
        <v>59</v>
      </c>
      <c r="AA276" s="14" t="s">
        <v>911</v>
      </c>
      <c r="AB276" s="25">
        <v>43146</v>
      </c>
      <c r="AC276" s="14" t="s">
        <v>815</v>
      </c>
      <c r="AD276" s="29" t="s">
        <v>49</v>
      </c>
      <c r="AE276" s="43" t="s">
        <v>614</v>
      </c>
      <c r="AF276" s="25" t="s">
        <v>1267</v>
      </c>
      <c r="AG276" t="e">
        <f t="shared" si="4"/>
        <v>#REF!</v>
      </c>
      <c r="AH276"/>
      <c r="AI276" s="58"/>
      <c r="AJ276"/>
      <c r="AK276" s="30"/>
      <c r="AL276" s="30"/>
      <c r="AM276" s="30"/>
      <c r="AN276" s="30"/>
      <c r="AO276" s="30"/>
    </row>
    <row r="277" spans="1:41" s="31" customFormat="1" ht="15.75" customHeight="1">
      <c r="A277" s="13" t="s">
        <v>587</v>
      </c>
      <c r="B277" s="5">
        <v>259</v>
      </c>
      <c r="C277" s="7">
        <v>33700.660000000011</v>
      </c>
      <c r="D277" s="7">
        <v>0</v>
      </c>
      <c r="E277" s="7">
        <v>0</v>
      </c>
      <c r="F277" s="5">
        <v>0</v>
      </c>
      <c r="G277" s="7">
        <v>0</v>
      </c>
      <c r="H277" s="5">
        <v>153</v>
      </c>
      <c r="I277" s="7">
        <v>17964.650000000001</v>
      </c>
      <c r="J277" s="7">
        <v>197</v>
      </c>
      <c r="K277" s="5">
        <v>0</v>
      </c>
      <c r="L277" s="5">
        <v>0</v>
      </c>
      <c r="M277" s="5">
        <v>197</v>
      </c>
      <c r="N277" s="7">
        <v>197</v>
      </c>
      <c r="O277" s="7">
        <v>18623.400000000001</v>
      </c>
      <c r="P277" s="7">
        <v>90</v>
      </c>
      <c r="Q277" s="5">
        <v>0</v>
      </c>
      <c r="R277" s="5">
        <v>90</v>
      </c>
      <c r="S277" s="7">
        <v>15675</v>
      </c>
      <c r="T277" s="27">
        <v>43143</v>
      </c>
      <c r="U277" s="28">
        <v>7</v>
      </c>
      <c r="V277" s="28">
        <v>3</v>
      </c>
      <c r="W277" s="28">
        <v>1</v>
      </c>
      <c r="X277" s="45">
        <v>85963.710000000021</v>
      </c>
      <c r="Y277" s="14" t="s">
        <v>54</v>
      </c>
      <c r="Z277" s="14" t="s">
        <v>1281</v>
      </c>
      <c r="AA277" s="14" t="s">
        <v>924</v>
      </c>
      <c r="AB277" s="25">
        <v>43150</v>
      </c>
      <c r="AC277" s="14" t="s">
        <v>825</v>
      </c>
      <c r="AD277" s="29" t="s">
        <v>52</v>
      </c>
      <c r="AE277" s="43" t="s">
        <v>615</v>
      </c>
      <c r="AF277" s="25" t="s">
        <v>1271</v>
      </c>
      <c r="AG277" t="e">
        <f t="shared" si="4"/>
        <v>#REF!</v>
      </c>
      <c r="AH277"/>
      <c r="AI277" s="58"/>
      <c r="AJ277"/>
      <c r="AK277" s="30"/>
      <c r="AL277" s="30"/>
      <c r="AM277" s="30"/>
      <c r="AN277" s="30"/>
      <c r="AO277" s="30"/>
    </row>
    <row r="278" spans="1:41" s="31" customFormat="1" ht="15.75" customHeight="1">
      <c r="A278" s="13" t="s">
        <v>588</v>
      </c>
      <c r="B278" s="5">
        <v>656</v>
      </c>
      <c r="C278" s="7">
        <v>54985.549999999988</v>
      </c>
      <c r="D278" s="7">
        <v>0</v>
      </c>
      <c r="E278" s="7">
        <v>0</v>
      </c>
      <c r="F278" s="5">
        <v>0</v>
      </c>
      <c r="G278" s="7">
        <v>0</v>
      </c>
      <c r="H278" s="5">
        <v>202</v>
      </c>
      <c r="I278" s="7">
        <v>23932.93</v>
      </c>
      <c r="J278" s="7">
        <v>351</v>
      </c>
      <c r="K278" s="5">
        <v>0</v>
      </c>
      <c r="L278" s="5">
        <v>0</v>
      </c>
      <c r="M278" s="5">
        <v>351</v>
      </c>
      <c r="N278" s="7">
        <v>351</v>
      </c>
      <c r="O278" s="7">
        <v>20813.549999999996</v>
      </c>
      <c r="P278" s="7">
        <v>181</v>
      </c>
      <c r="Q278" s="5">
        <v>0</v>
      </c>
      <c r="R278" s="5">
        <v>181</v>
      </c>
      <c r="S278" s="7">
        <v>24899.699999999997</v>
      </c>
      <c r="T278" s="27">
        <v>43143</v>
      </c>
      <c r="U278" s="28">
        <v>9</v>
      </c>
      <c r="V278" s="28">
        <v>4</v>
      </c>
      <c r="W278" s="28">
        <v>4</v>
      </c>
      <c r="X278" s="45">
        <v>124631.72999999997</v>
      </c>
      <c r="Y278" s="14" t="s">
        <v>54</v>
      </c>
      <c r="Z278" s="14" t="s">
        <v>57</v>
      </c>
      <c r="AA278" s="14" t="s">
        <v>920</v>
      </c>
      <c r="AB278" s="25">
        <v>43150</v>
      </c>
      <c r="AC278" s="14" t="s">
        <v>815</v>
      </c>
      <c r="AD278" s="29" t="s">
        <v>51</v>
      </c>
      <c r="AE278" s="43" t="s">
        <v>616</v>
      </c>
      <c r="AF278" s="25" t="s">
        <v>1270</v>
      </c>
      <c r="AG278" t="e">
        <f t="shared" si="4"/>
        <v>#REF!</v>
      </c>
      <c r="AH278"/>
      <c r="AI278" s="58"/>
      <c r="AJ278"/>
      <c r="AK278" s="30"/>
      <c r="AL278" s="30"/>
      <c r="AM278" s="30"/>
      <c r="AN278" s="30"/>
      <c r="AO278" s="30"/>
    </row>
    <row r="279" spans="1:41" s="31" customFormat="1" ht="15.75" customHeight="1">
      <c r="A279" s="13" t="s">
        <v>589</v>
      </c>
      <c r="B279" s="5">
        <v>0</v>
      </c>
      <c r="C279" s="7">
        <v>0</v>
      </c>
      <c r="D279" s="7">
        <v>0</v>
      </c>
      <c r="E279" s="7">
        <v>0</v>
      </c>
      <c r="F279" s="5">
        <v>0</v>
      </c>
      <c r="G279" s="7">
        <v>0</v>
      </c>
      <c r="H279" s="5">
        <v>335</v>
      </c>
      <c r="I279" s="7">
        <v>39795.850000000006</v>
      </c>
      <c r="J279" s="7">
        <v>0</v>
      </c>
      <c r="K279" s="5">
        <v>0</v>
      </c>
      <c r="L279" s="5">
        <v>0</v>
      </c>
      <c r="M279" s="5">
        <v>0</v>
      </c>
      <c r="N279" s="7">
        <v>0</v>
      </c>
      <c r="O279" s="7">
        <v>0</v>
      </c>
      <c r="P279" s="7">
        <v>0</v>
      </c>
      <c r="Q279" s="5">
        <v>0</v>
      </c>
      <c r="R279" s="5">
        <v>0</v>
      </c>
      <c r="S279" s="7">
        <v>0</v>
      </c>
      <c r="T279" s="27">
        <v>43143</v>
      </c>
      <c r="U279" s="28">
        <v>3</v>
      </c>
      <c r="V279" s="28">
        <v>2</v>
      </c>
      <c r="W279" s="28">
        <v>2</v>
      </c>
      <c r="X279" s="45">
        <v>39795.850000000006</v>
      </c>
      <c r="Y279" s="14" t="s">
        <v>56</v>
      </c>
      <c r="Z279" s="14" t="s">
        <v>55</v>
      </c>
      <c r="AA279" s="14" t="s">
        <v>731</v>
      </c>
      <c r="AB279" s="25">
        <v>43160</v>
      </c>
      <c r="AC279" s="14" t="s">
        <v>732</v>
      </c>
      <c r="AD279" s="29" t="s">
        <v>51</v>
      </c>
      <c r="AE279" s="43" t="s">
        <v>618</v>
      </c>
      <c r="AF279" s="25" t="s">
        <v>1270</v>
      </c>
      <c r="AG279" t="e">
        <f t="shared" si="4"/>
        <v>#REF!</v>
      </c>
      <c r="AH279"/>
      <c r="AI279" s="58"/>
      <c r="AJ279"/>
      <c r="AK279" s="30"/>
      <c r="AL279" s="30"/>
      <c r="AM279" s="30"/>
      <c r="AN279" s="30"/>
      <c r="AO279" s="30"/>
    </row>
    <row r="280" spans="1:41" s="31" customFormat="1" ht="15.75" customHeight="1">
      <c r="A280" s="13" t="s">
        <v>590</v>
      </c>
      <c r="B280" s="5">
        <v>0</v>
      </c>
      <c r="C280" s="7">
        <v>0</v>
      </c>
      <c r="D280" s="7">
        <v>0</v>
      </c>
      <c r="E280" s="7">
        <v>0</v>
      </c>
      <c r="F280" s="5">
        <v>0</v>
      </c>
      <c r="G280" s="7">
        <v>0</v>
      </c>
      <c r="H280" s="5">
        <v>145</v>
      </c>
      <c r="I280" s="7">
        <v>15273.199999999999</v>
      </c>
      <c r="J280" s="7">
        <v>226</v>
      </c>
      <c r="K280" s="5">
        <v>0</v>
      </c>
      <c r="L280" s="5">
        <v>0</v>
      </c>
      <c r="M280" s="5">
        <v>226</v>
      </c>
      <c r="N280" s="7">
        <v>226</v>
      </c>
      <c r="O280" s="7">
        <v>36433</v>
      </c>
      <c r="P280" s="7">
        <v>0</v>
      </c>
      <c r="Q280" s="5">
        <v>0</v>
      </c>
      <c r="R280" s="5">
        <v>0</v>
      </c>
      <c r="S280" s="7">
        <v>0</v>
      </c>
      <c r="T280" s="27">
        <v>43143</v>
      </c>
      <c r="U280" s="28">
        <v>5</v>
      </c>
      <c r="V280" s="28">
        <v>3</v>
      </c>
      <c r="W280" s="28">
        <v>3</v>
      </c>
      <c r="X280" s="45">
        <v>51706.2</v>
      </c>
      <c r="Y280" s="14" t="s">
        <v>56</v>
      </c>
      <c r="Z280" s="14" t="s">
        <v>1281</v>
      </c>
      <c r="AA280" s="14" t="s">
        <v>731</v>
      </c>
      <c r="AB280" s="25">
        <v>43160</v>
      </c>
      <c r="AC280" s="14" t="s">
        <v>732</v>
      </c>
      <c r="AD280" s="29" t="s">
        <v>51</v>
      </c>
      <c r="AE280" s="43" t="s">
        <v>617</v>
      </c>
      <c r="AF280" s="25" t="s">
        <v>1270</v>
      </c>
      <c r="AG280" t="e">
        <f t="shared" si="4"/>
        <v>#REF!</v>
      </c>
      <c r="AH280"/>
      <c r="AI280" s="58"/>
      <c r="AJ280"/>
      <c r="AK280" s="30"/>
      <c r="AL280" s="30"/>
      <c r="AM280" s="30"/>
      <c r="AN280" s="30"/>
      <c r="AO280" s="30"/>
    </row>
    <row r="281" spans="1:41" s="31" customFormat="1" ht="15.75" customHeight="1">
      <c r="A281" s="13" t="s">
        <v>591</v>
      </c>
      <c r="B281" s="5">
        <v>324</v>
      </c>
      <c r="C281" s="7">
        <v>37581.199999999997</v>
      </c>
      <c r="D281" s="7">
        <v>0</v>
      </c>
      <c r="E281" s="7">
        <v>0</v>
      </c>
      <c r="F281" s="5">
        <v>0</v>
      </c>
      <c r="G281" s="7">
        <v>0</v>
      </c>
      <c r="H281" s="5">
        <v>270</v>
      </c>
      <c r="I281" s="7">
        <v>10971</v>
      </c>
      <c r="J281" s="7">
        <v>409</v>
      </c>
      <c r="K281" s="5">
        <v>0</v>
      </c>
      <c r="L281" s="5">
        <v>0</v>
      </c>
      <c r="M281" s="5">
        <v>409</v>
      </c>
      <c r="N281" s="7">
        <v>409</v>
      </c>
      <c r="O281" s="7">
        <v>56844.3</v>
      </c>
      <c r="P281" s="7">
        <v>164</v>
      </c>
      <c r="Q281" s="5">
        <v>0</v>
      </c>
      <c r="R281" s="5">
        <v>164</v>
      </c>
      <c r="S281" s="7">
        <v>20075.5</v>
      </c>
      <c r="T281" s="27">
        <v>43143</v>
      </c>
      <c r="U281" s="28">
        <v>10</v>
      </c>
      <c r="V281" s="28">
        <v>5</v>
      </c>
      <c r="W281" s="28">
        <v>6</v>
      </c>
      <c r="X281" s="45">
        <v>125472</v>
      </c>
      <c r="Y281" s="14" t="s">
        <v>54</v>
      </c>
      <c r="Z281" s="14" t="s">
        <v>730</v>
      </c>
      <c r="AA281" s="14" t="s">
        <v>903</v>
      </c>
      <c r="AB281" s="25">
        <v>43150</v>
      </c>
      <c r="AC281" s="14" t="s">
        <v>815</v>
      </c>
      <c r="AD281" s="29" t="s">
        <v>50</v>
      </c>
      <c r="AE281" s="43" t="s">
        <v>610</v>
      </c>
      <c r="AF281" s="25" t="s">
        <v>1269</v>
      </c>
      <c r="AG281" t="e">
        <f t="shared" si="4"/>
        <v>#REF!</v>
      </c>
      <c r="AH281"/>
      <c r="AI281" s="58"/>
      <c r="AJ281"/>
      <c r="AK281" s="30"/>
      <c r="AL281" s="30"/>
      <c r="AM281" s="30"/>
      <c r="AN281" s="30"/>
      <c r="AO281" s="30"/>
    </row>
    <row r="282" spans="1:41" s="31" customFormat="1" ht="15.75" customHeight="1">
      <c r="A282" s="13" t="s">
        <v>592</v>
      </c>
      <c r="B282" s="5">
        <v>139</v>
      </c>
      <c r="C282" s="7">
        <v>9961.3000000000011</v>
      </c>
      <c r="D282" s="7">
        <v>0</v>
      </c>
      <c r="E282" s="7">
        <v>0</v>
      </c>
      <c r="F282" s="5">
        <v>0</v>
      </c>
      <c r="G282" s="7">
        <v>0</v>
      </c>
      <c r="H282" s="5">
        <v>0</v>
      </c>
      <c r="I282" s="7">
        <v>0</v>
      </c>
      <c r="J282" s="7">
        <v>58</v>
      </c>
      <c r="K282" s="5">
        <v>0</v>
      </c>
      <c r="L282" s="5">
        <v>0</v>
      </c>
      <c r="M282" s="5">
        <v>58</v>
      </c>
      <c r="N282" s="7">
        <v>58</v>
      </c>
      <c r="O282" s="7">
        <v>10248.599999999999</v>
      </c>
      <c r="P282" s="7">
        <v>96</v>
      </c>
      <c r="Q282" s="5">
        <v>0</v>
      </c>
      <c r="R282" s="5">
        <v>96</v>
      </c>
      <c r="S282" s="7">
        <v>14112</v>
      </c>
      <c r="T282" s="27">
        <v>43143</v>
      </c>
      <c r="U282" s="28">
        <v>3</v>
      </c>
      <c r="V282" s="28">
        <v>12</v>
      </c>
      <c r="W282" s="28">
        <v>10</v>
      </c>
      <c r="X282" s="45">
        <v>34321.9</v>
      </c>
      <c r="Y282" s="14" t="s">
        <v>54</v>
      </c>
      <c r="Z282" s="14" t="s">
        <v>1355</v>
      </c>
      <c r="AA282" s="14" t="s">
        <v>911</v>
      </c>
      <c r="AB282" s="25">
        <v>43146</v>
      </c>
      <c r="AC282" s="14" t="s">
        <v>815</v>
      </c>
      <c r="AD282" s="29" t="s">
        <v>49</v>
      </c>
      <c r="AE282" s="43" t="s">
        <v>609</v>
      </c>
      <c r="AF282" s="25" t="s">
        <v>1266</v>
      </c>
      <c r="AG282" t="e">
        <f t="shared" si="4"/>
        <v>#REF!</v>
      </c>
      <c r="AH282"/>
      <c r="AI282" s="58"/>
      <c r="AJ282"/>
      <c r="AK282" s="30"/>
      <c r="AL282" s="30"/>
      <c r="AM282" s="30"/>
      <c r="AN282" s="30"/>
      <c r="AO282" s="30"/>
    </row>
    <row r="283" spans="1:41" s="31" customFormat="1" ht="15.75" customHeight="1">
      <c r="A283" s="13" t="s">
        <v>593</v>
      </c>
      <c r="B283" s="5">
        <v>274</v>
      </c>
      <c r="C283" s="7">
        <v>31384.520000000004</v>
      </c>
      <c r="D283" s="7">
        <v>0</v>
      </c>
      <c r="E283" s="7">
        <v>0</v>
      </c>
      <c r="F283" s="5">
        <v>0</v>
      </c>
      <c r="G283" s="7">
        <v>0</v>
      </c>
      <c r="H283" s="5">
        <v>35</v>
      </c>
      <c r="I283" s="7">
        <v>2618.5</v>
      </c>
      <c r="J283" s="7">
        <v>27</v>
      </c>
      <c r="K283" s="5">
        <v>0</v>
      </c>
      <c r="L283" s="5">
        <v>0</v>
      </c>
      <c r="M283" s="5">
        <v>27</v>
      </c>
      <c r="N283" s="7">
        <v>27</v>
      </c>
      <c r="O283" s="7">
        <v>1818.7</v>
      </c>
      <c r="P283" s="7">
        <v>525</v>
      </c>
      <c r="Q283" s="5">
        <v>0</v>
      </c>
      <c r="R283" s="5">
        <v>525</v>
      </c>
      <c r="S283" s="7">
        <v>39914.949999999997</v>
      </c>
      <c r="T283" s="27">
        <v>43144</v>
      </c>
      <c r="U283" s="28">
        <v>4</v>
      </c>
      <c r="V283" s="28">
        <v>3</v>
      </c>
      <c r="W283" s="28">
        <v>6</v>
      </c>
      <c r="X283" s="45">
        <v>75736.67</v>
      </c>
      <c r="Y283" s="14" t="s">
        <v>1633</v>
      </c>
      <c r="Z283" s="14" t="s">
        <v>1355</v>
      </c>
      <c r="AA283" s="14" t="s">
        <v>919</v>
      </c>
      <c r="AB283" s="25">
        <v>43152</v>
      </c>
      <c r="AC283" s="14" t="s">
        <v>824</v>
      </c>
      <c r="AD283" s="29" t="s">
        <v>70</v>
      </c>
      <c r="AE283" s="43" t="s">
        <v>619</v>
      </c>
      <c r="AF283" s="25" t="s">
        <v>1273</v>
      </c>
      <c r="AG283" t="e">
        <f t="shared" si="4"/>
        <v>#REF!</v>
      </c>
      <c r="AH283"/>
      <c r="AI283" s="58"/>
      <c r="AJ283"/>
      <c r="AK283" s="30"/>
      <c r="AL283" s="30"/>
      <c r="AM283" s="30"/>
      <c r="AN283" s="30"/>
      <c r="AO283" s="30"/>
    </row>
    <row r="284" spans="1:41" s="31" customFormat="1" ht="15.75" customHeight="1">
      <c r="A284" s="13" t="s">
        <v>594</v>
      </c>
      <c r="B284" s="5">
        <v>395</v>
      </c>
      <c r="C284" s="7">
        <v>12192.95</v>
      </c>
      <c r="D284" s="7">
        <v>0</v>
      </c>
      <c r="E284" s="7">
        <v>0</v>
      </c>
      <c r="F284" s="5">
        <v>0</v>
      </c>
      <c r="G284" s="7">
        <v>0</v>
      </c>
      <c r="H284" s="5">
        <v>701</v>
      </c>
      <c r="I284" s="7">
        <v>88061.280000000013</v>
      </c>
      <c r="J284" s="7">
        <v>0</v>
      </c>
      <c r="K284" s="5">
        <v>0</v>
      </c>
      <c r="L284" s="5">
        <v>0</v>
      </c>
      <c r="M284" s="5">
        <v>0</v>
      </c>
      <c r="N284" s="7">
        <v>0</v>
      </c>
      <c r="O284" s="7">
        <v>0</v>
      </c>
      <c r="P284" s="7">
        <v>553</v>
      </c>
      <c r="Q284" s="5">
        <v>0</v>
      </c>
      <c r="R284" s="5">
        <v>553</v>
      </c>
      <c r="S284" s="7">
        <v>36221.5</v>
      </c>
      <c r="T284" s="27">
        <v>43144</v>
      </c>
      <c r="U284" s="28">
        <v>8</v>
      </c>
      <c r="V284" s="28">
        <v>0</v>
      </c>
      <c r="W284" s="28">
        <v>1</v>
      </c>
      <c r="X284" s="45">
        <v>136475.73000000001</v>
      </c>
      <c r="Y284" s="14" t="s">
        <v>54</v>
      </c>
      <c r="Z284" s="14" t="s">
        <v>59</v>
      </c>
      <c r="AA284" s="14" t="s">
        <v>911</v>
      </c>
      <c r="AB284" s="25">
        <v>43146</v>
      </c>
      <c r="AC284" s="14" t="s">
        <v>815</v>
      </c>
      <c r="AD284" s="29" t="s">
        <v>49</v>
      </c>
      <c r="AE284" s="43" t="s">
        <v>620</v>
      </c>
      <c r="AF284" s="25" t="s">
        <v>1265</v>
      </c>
      <c r="AG284" t="e">
        <f t="shared" si="4"/>
        <v>#REF!</v>
      </c>
      <c r="AH284"/>
      <c r="AI284" s="58"/>
      <c r="AJ284"/>
      <c r="AK284" s="30"/>
      <c r="AL284" s="30"/>
      <c r="AM284" s="30"/>
      <c r="AN284" s="30"/>
      <c r="AO284" s="30"/>
    </row>
    <row r="285" spans="1:41" ht="15.75" customHeight="1">
      <c r="A285" s="13" t="s">
        <v>595</v>
      </c>
      <c r="B285" s="5">
        <v>104</v>
      </c>
      <c r="C285" s="7">
        <v>11472.600000000002</v>
      </c>
      <c r="D285" s="7">
        <v>0</v>
      </c>
      <c r="E285" s="7">
        <v>0</v>
      </c>
      <c r="F285" s="5">
        <v>0</v>
      </c>
      <c r="G285" s="7">
        <v>0</v>
      </c>
      <c r="H285" s="5">
        <v>0</v>
      </c>
      <c r="I285" s="7">
        <v>0</v>
      </c>
      <c r="J285" s="7">
        <v>157</v>
      </c>
      <c r="K285" s="5">
        <v>0</v>
      </c>
      <c r="L285" s="5">
        <v>0</v>
      </c>
      <c r="M285" s="5">
        <v>157</v>
      </c>
      <c r="N285" s="7">
        <v>157</v>
      </c>
      <c r="O285" s="7">
        <v>28838.899999999994</v>
      </c>
      <c r="P285" s="7">
        <v>75</v>
      </c>
      <c r="Q285" s="5">
        <v>0</v>
      </c>
      <c r="R285" s="5">
        <v>75</v>
      </c>
      <c r="S285" s="7">
        <v>12277.5</v>
      </c>
      <c r="T285" s="12">
        <v>43144</v>
      </c>
      <c r="U285" s="4">
        <v>5</v>
      </c>
      <c r="V285" s="4">
        <v>1</v>
      </c>
      <c r="W285" s="4">
        <v>4</v>
      </c>
      <c r="X285" s="45">
        <v>52589</v>
      </c>
      <c r="Y285" s="14" t="s">
        <v>54</v>
      </c>
      <c r="Z285" s="14" t="s">
        <v>59</v>
      </c>
      <c r="AA285" s="14" t="s">
        <v>911</v>
      </c>
      <c r="AB285" s="25">
        <v>43146</v>
      </c>
      <c r="AC285" s="14" t="s">
        <v>815</v>
      </c>
      <c r="AD285" s="29" t="s">
        <v>49</v>
      </c>
      <c r="AE285" s="24" t="s">
        <v>621</v>
      </c>
      <c r="AF285" s="25" t="s">
        <v>1267</v>
      </c>
      <c r="AG285" t="e">
        <f t="shared" si="4"/>
        <v>#REF!</v>
      </c>
      <c r="AI285" s="58"/>
    </row>
    <row r="286" spans="1:41" s="31" customFormat="1" ht="15.75" customHeight="1">
      <c r="A286" s="13" t="s">
        <v>596</v>
      </c>
      <c r="B286" s="5">
        <v>439</v>
      </c>
      <c r="C286" s="7">
        <v>42922.299999999988</v>
      </c>
      <c r="D286" s="7">
        <v>0</v>
      </c>
      <c r="E286" s="7">
        <v>0</v>
      </c>
      <c r="F286" s="5">
        <v>0</v>
      </c>
      <c r="G286" s="7">
        <v>0</v>
      </c>
      <c r="H286" s="5">
        <v>759</v>
      </c>
      <c r="I286" s="7">
        <v>71879.12</v>
      </c>
      <c r="J286" s="7">
        <v>118</v>
      </c>
      <c r="K286" s="5">
        <v>0</v>
      </c>
      <c r="L286" s="5">
        <v>0</v>
      </c>
      <c r="M286" s="5">
        <v>118</v>
      </c>
      <c r="N286" s="7">
        <v>118</v>
      </c>
      <c r="O286" s="7">
        <v>6123.5</v>
      </c>
      <c r="P286" s="7">
        <v>771</v>
      </c>
      <c r="Q286" s="5">
        <v>0</v>
      </c>
      <c r="R286" s="5">
        <v>771</v>
      </c>
      <c r="S286" s="7">
        <v>151660</v>
      </c>
      <c r="T286" s="27">
        <v>43144</v>
      </c>
      <c r="U286" s="28">
        <v>18</v>
      </c>
      <c r="V286" s="28">
        <v>4</v>
      </c>
      <c r="W286" s="28">
        <v>3</v>
      </c>
      <c r="X286" s="45">
        <v>272584.92</v>
      </c>
      <c r="Y286" s="14" t="s">
        <v>54</v>
      </c>
      <c r="Z286" s="14" t="s">
        <v>57</v>
      </c>
      <c r="AA286" s="14" t="s">
        <v>920</v>
      </c>
      <c r="AB286" s="25">
        <v>43150</v>
      </c>
      <c r="AC286" s="14" t="s">
        <v>815</v>
      </c>
      <c r="AD286" s="29" t="s">
        <v>51</v>
      </c>
      <c r="AE286" s="43" t="s">
        <v>622</v>
      </c>
      <c r="AF286" s="25" t="s">
        <v>1270</v>
      </c>
      <c r="AG286" t="e">
        <f t="shared" si="4"/>
        <v>#REF!</v>
      </c>
      <c r="AH286"/>
      <c r="AI286" s="58"/>
      <c r="AJ286"/>
      <c r="AK286" s="30"/>
      <c r="AL286" s="30"/>
      <c r="AM286" s="30"/>
      <c r="AN286" s="30"/>
      <c r="AO286" s="30"/>
    </row>
    <row r="287" spans="1:41" s="31" customFormat="1" ht="15.75" customHeight="1">
      <c r="A287" s="13" t="s">
        <v>597</v>
      </c>
      <c r="B287" s="5">
        <v>110</v>
      </c>
      <c r="C287" s="7">
        <v>11485.970000000001</v>
      </c>
      <c r="D287" s="7">
        <v>0</v>
      </c>
      <c r="E287" s="7">
        <v>0</v>
      </c>
      <c r="F287" s="5">
        <v>0</v>
      </c>
      <c r="G287" s="7">
        <v>0</v>
      </c>
      <c r="H287" s="5">
        <v>0</v>
      </c>
      <c r="I287" s="7">
        <v>0</v>
      </c>
      <c r="J287" s="7">
        <v>0</v>
      </c>
      <c r="K287" s="5">
        <v>0</v>
      </c>
      <c r="L287" s="5">
        <v>0</v>
      </c>
      <c r="M287" s="5">
        <v>0</v>
      </c>
      <c r="N287" s="7">
        <v>0</v>
      </c>
      <c r="O287" s="7">
        <v>0</v>
      </c>
      <c r="P287" s="7">
        <v>0</v>
      </c>
      <c r="Q287" s="5">
        <v>0</v>
      </c>
      <c r="R287" s="5">
        <v>0</v>
      </c>
      <c r="S287" s="7">
        <v>0</v>
      </c>
      <c r="T287" s="27">
        <v>43144</v>
      </c>
      <c r="U287" s="28">
        <v>1</v>
      </c>
      <c r="V287" s="28">
        <v>5</v>
      </c>
      <c r="W287" s="28">
        <v>5</v>
      </c>
      <c r="X287" s="45">
        <v>11485.970000000001</v>
      </c>
      <c r="Y287" s="14" t="s">
        <v>58</v>
      </c>
      <c r="Z287" s="14" t="s">
        <v>57</v>
      </c>
      <c r="AA287" s="14" t="s">
        <v>925</v>
      </c>
      <c r="AB287" s="25">
        <v>43145</v>
      </c>
      <c r="AC287" s="14" t="s">
        <v>628</v>
      </c>
      <c r="AD287" s="29" t="s">
        <v>600</v>
      </c>
      <c r="AE287" s="43" t="s">
        <v>623</v>
      </c>
      <c r="AF287" s="25" t="s">
        <v>1275</v>
      </c>
      <c r="AG287" t="e">
        <f t="shared" si="4"/>
        <v>#REF!</v>
      </c>
      <c r="AH287"/>
      <c r="AI287" s="58"/>
      <c r="AJ287"/>
      <c r="AK287" s="30"/>
      <c r="AL287" s="30"/>
      <c r="AM287" s="30"/>
      <c r="AN287" s="30"/>
      <c r="AO287" s="30"/>
    </row>
    <row r="288" spans="1:41" s="31" customFormat="1" ht="15.75" customHeight="1">
      <c r="A288" s="13" t="s">
        <v>598</v>
      </c>
      <c r="B288" s="5">
        <v>348</v>
      </c>
      <c r="C288" s="7">
        <v>46375.64</v>
      </c>
      <c r="D288" s="7">
        <v>0</v>
      </c>
      <c r="E288" s="7">
        <v>0</v>
      </c>
      <c r="F288" s="5">
        <v>0</v>
      </c>
      <c r="G288" s="7">
        <v>0</v>
      </c>
      <c r="H288" s="5">
        <v>0</v>
      </c>
      <c r="I288" s="7">
        <v>0</v>
      </c>
      <c r="J288" s="7">
        <v>428</v>
      </c>
      <c r="K288" s="5">
        <v>0</v>
      </c>
      <c r="L288" s="5">
        <v>0</v>
      </c>
      <c r="M288" s="5">
        <v>428</v>
      </c>
      <c r="N288" s="7">
        <v>428</v>
      </c>
      <c r="O288" s="7">
        <v>33459.1</v>
      </c>
      <c r="P288" s="7">
        <v>215</v>
      </c>
      <c r="Q288" s="5">
        <v>0</v>
      </c>
      <c r="R288" s="5">
        <v>215</v>
      </c>
      <c r="S288" s="7">
        <v>51148.2</v>
      </c>
      <c r="T288" s="27">
        <v>43144</v>
      </c>
      <c r="U288" s="28">
        <v>10</v>
      </c>
      <c r="V288" s="28">
        <v>5</v>
      </c>
      <c r="W288" s="28">
        <v>5</v>
      </c>
      <c r="X288" s="45">
        <v>130982.93999999999</v>
      </c>
      <c r="Y288" s="14" t="s">
        <v>54</v>
      </c>
      <c r="Z288" s="14" t="s">
        <v>730</v>
      </c>
      <c r="AA288" s="14" t="s">
        <v>903</v>
      </c>
      <c r="AB288" s="25">
        <v>43150</v>
      </c>
      <c r="AC288" s="14" t="s">
        <v>815</v>
      </c>
      <c r="AD288" s="29" t="s">
        <v>50</v>
      </c>
      <c r="AE288" s="43" t="s">
        <v>624</v>
      </c>
      <c r="AF288" s="25" t="s">
        <v>1269</v>
      </c>
      <c r="AG288" t="e">
        <f t="shared" si="4"/>
        <v>#REF!</v>
      </c>
      <c r="AH288"/>
      <c r="AI288" s="58"/>
      <c r="AJ288" s="30"/>
      <c r="AK288" s="30"/>
      <c r="AL288" s="30"/>
      <c r="AM288" s="30"/>
      <c r="AN288" s="30"/>
      <c r="AO288" s="30"/>
    </row>
    <row r="289" spans="1:41" s="31" customFormat="1" ht="15.75" customHeight="1">
      <c r="A289" s="13" t="s">
        <v>599</v>
      </c>
      <c r="B289" s="5">
        <v>169</v>
      </c>
      <c r="C289" s="7">
        <v>18495.3</v>
      </c>
      <c r="D289" s="7">
        <v>0</v>
      </c>
      <c r="E289" s="7">
        <v>0</v>
      </c>
      <c r="F289" s="5">
        <v>0</v>
      </c>
      <c r="G289" s="7">
        <v>0</v>
      </c>
      <c r="H289" s="5">
        <v>0</v>
      </c>
      <c r="I289" s="7">
        <v>0</v>
      </c>
      <c r="J289" s="7">
        <v>15</v>
      </c>
      <c r="K289" s="5">
        <v>0</v>
      </c>
      <c r="L289" s="5">
        <v>0</v>
      </c>
      <c r="M289" s="5">
        <v>15</v>
      </c>
      <c r="N289" s="7">
        <v>15</v>
      </c>
      <c r="O289" s="7">
        <v>2812</v>
      </c>
      <c r="P289" s="7">
        <v>90</v>
      </c>
      <c r="Q289" s="5">
        <v>0</v>
      </c>
      <c r="R289" s="5">
        <v>90</v>
      </c>
      <c r="S289" s="7">
        <v>14512</v>
      </c>
      <c r="T289" s="27">
        <v>43144</v>
      </c>
      <c r="U289" s="28">
        <v>3</v>
      </c>
      <c r="V289" s="28">
        <v>3</v>
      </c>
      <c r="W289" s="28">
        <v>4</v>
      </c>
      <c r="X289" s="45">
        <v>35819.300000000003</v>
      </c>
      <c r="Y289" s="14" t="s">
        <v>54</v>
      </c>
      <c r="Z289" s="14" t="s">
        <v>1355</v>
      </c>
      <c r="AA289" s="14" t="s">
        <v>911</v>
      </c>
      <c r="AB289" s="25">
        <v>43146</v>
      </c>
      <c r="AC289" s="14" t="s">
        <v>815</v>
      </c>
      <c r="AD289" s="29" t="s">
        <v>49</v>
      </c>
      <c r="AE289" s="43" t="s">
        <v>625</v>
      </c>
      <c r="AF289" s="25" t="s">
        <v>1266</v>
      </c>
      <c r="AG289" t="e">
        <f t="shared" si="4"/>
        <v>#REF!</v>
      </c>
      <c r="AH289"/>
      <c r="AI289" s="58"/>
      <c r="AJ289"/>
      <c r="AK289" s="30"/>
      <c r="AL289" s="30"/>
      <c r="AM289" s="30"/>
      <c r="AN289" s="30"/>
      <c r="AO289" s="30"/>
    </row>
    <row r="290" spans="1:41" s="31" customFormat="1" ht="15.75" customHeight="1">
      <c r="A290" s="13" t="s">
        <v>629</v>
      </c>
      <c r="B290" s="5">
        <v>390</v>
      </c>
      <c r="C290" s="7">
        <v>46146.74</v>
      </c>
      <c r="D290" s="7">
        <v>0</v>
      </c>
      <c r="E290" s="7">
        <v>0</v>
      </c>
      <c r="F290" s="5">
        <v>0</v>
      </c>
      <c r="G290" s="7">
        <v>0</v>
      </c>
      <c r="H290" s="5">
        <v>0</v>
      </c>
      <c r="I290" s="7">
        <v>0</v>
      </c>
      <c r="J290" s="7">
        <v>116</v>
      </c>
      <c r="K290" s="5">
        <v>0</v>
      </c>
      <c r="L290" s="5">
        <v>0</v>
      </c>
      <c r="M290" s="5">
        <v>116</v>
      </c>
      <c r="N290" s="7">
        <v>116</v>
      </c>
      <c r="O290" s="7">
        <v>20497.199999999997</v>
      </c>
      <c r="P290" s="7">
        <v>431</v>
      </c>
      <c r="Q290" s="5">
        <v>0</v>
      </c>
      <c r="R290" s="5">
        <v>431</v>
      </c>
      <c r="S290" s="7">
        <v>76190.200000000012</v>
      </c>
      <c r="T290" s="27">
        <v>43155</v>
      </c>
      <c r="U290" s="28">
        <v>11</v>
      </c>
      <c r="V290" s="28">
        <v>5</v>
      </c>
      <c r="W290" s="28">
        <v>11</v>
      </c>
      <c r="X290" s="45">
        <v>142834.14000000001</v>
      </c>
      <c r="Y290" s="14" t="s">
        <v>54</v>
      </c>
      <c r="Z290" s="14" t="s">
        <v>1281</v>
      </c>
      <c r="AA290" s="14" t="s">
        <v>648</v>
      </c>
      <c r="AB290" s="44">
        <v>43156</v>
      </c>
      <c r="AC290" s="44" t="s">
        <v>649</v>
      </c>
      <c r="AD290" s="29" t="s">
        <v>50</v>
      </c>
      <c r="AE290" s="43" t="s">
        <v>637</v>
      </c>
      <c r="AF290" s="25" t="s">
        <v>1269</v>
      </c>
      <c r="AG290" t="e">
        <f t="shared" si="4"/>
        <v>#REF!</v>
      </c>
      <c r="AH290"/>
      <c r="AI290" s="58"/>
      <c r="AJ290"/>
      <c r="AK290" s="30"/>
      <c r="AL290" s="30"/>
      <c r="AM290" s="30"/>
      <c r="AN290" s="30"/>
      <c r="AO290" s="30"/>
    </row>
    <row r="291" spans="1:41" s="31" customFormat="1" ht="15.75" customHeight="1">
      <c r="A291" s="13" t="s">
        <v>630</v>
      </c>
      <c r="B291" s="5">
        <v>488</v>
      </c>
      <c r="C291" s="7">
        <v>52550.490000000005</v>
      </c>
      <c r="D291" s="7">
        <v>0</v>
      </c>
      <c r="E291" s="7">
        <v>0</v>
      </c>
      <c r="F291" s="5">
        <v>0</v>
      </c>
      <c r="G291" s="7">
        <v>0</v>
      </c>
      <c r="H291" s="5">
        <v>83</v>
      </c>
      <c r="I291" s="7">
        <v>9631.0399999999991</v>
      </c>
      <c r="J291" s="7">
        <v>0</v>
      </c>
      <c r="K291" s="5">
        <v>0</v>
      </c>
      <c r="L291" s="5">
        <v>0</v>
      </c>
      <c r="M291" s="5">
        <v>0</v>
      </c>
      <c r="N291" s="7">
        <v>0</v>
      </c>
      <c r="O291" s="7">
        <v>0</v>
      </c>
      <c r="P291" s="7">
        <v>330</v>
      </c>
      <c r="Q291" s="5">
        <v>0</v>
      </c>
      <c r="R291" s="5">
        <v>330</v>
      </c>
      <c r="S291" s="7">
        <v>62814.2</v>
      </c>
      <c r="T291" s="27">
        <v>43155</v>
      </c>
      <c r="U291" s="28">
        <v>9</v>
      </c>
      <c r="V291" s="28">
        <v>8</v>
      </c>
      <c r="W291" s="28">
        <v>8</v>
      </c>
      <c r="X291" s="45">
        <v>124995.73000000001</v>
      </c>
      <c r="Y291" s="14" t="s">
        <v>54</v>
      </c>
      <c r="Z291" s="14" t="s">
        <v>57</v>
      </c>
      <c r="AA291" s="14" t="s">
        <v>650</v>
      </c>
      <c r="AB291" s="44">
        <v>43156</v>
      </c>
      <c r="AC291" s="44" t="s">
        <v>649</v>
      </c>
      <c r="AD291" s="29" t="s">
        <v>51</v>
      </c>
      <c r="AE291" s="43" t="s">
        <v>638</v>
      </c>
      <c r="AF291" s="25" t="s">
        <v>1270</v>
      </c>
      <c r="AG291" t="e">
        <f t="shared" si="4"/>
        <v>#REF!</v>
      </c>
      <c r="AH291"/>
      <c r="AI291" s="58"/>
      <c r="AJ291"/>
      <c r="AK291" s="30"/>
      <c r="AL291" s="30"/>
      <c r="AM291" s="30"/>
      <c r="AN291" s="30"/>
      <c r="AO291" s="30"/>
    </row>
    <row r="292" spans="1:41" s="31" customFormat="1" ht="15.75" customHeight="1">
      <c r="A292" s="13" t="s">
        <v>631</v>
      </c>
      <c r="B292" s="5">
        <v>144</v>
      </c>
      <c r="C292" s="7">
        <v>20776.599999999995</v>
      </c>
      <c r="D292" s="7">
        <v>0</v>
      </c>
      <c r="E292" s="7">
        <v>0</v>
      </c>
      <c r="F292" s="5">
        <v>0</v>
      </c>
      <c r="G292" s="7">
        <v>0</v>
      </c>
      <c r="H292" s="5">
        <v>120</v>
      </c>
      <c r="I292" s="7">
        <v>15603.300000000001</v>
      </c>
      <c r="J292" s="7">
        <v>0</v>
      </c>
      <c r="K292" s="5">
        <v>0</v>
      </c>
      <c r="L292" s="5">
        <v>0</v>
      </c>
      <c r="M292" s="5">
        <v>0</v>
      </c>
      <c r="N292" s="7">
        <v>0</v>
      </c>
      <c r="O292" s="7">
        <v>0</v>
      </c>
      <c r="P292" s="7">
        <v>170</v>
      </c>
      <c r="Q292" s="5">
        <v>0</v>
      </c>
      <c r="R292" s="5">
        <v>170</v>
      </c>
      <c r="S292" s="7">
        <v>35188</v>
      </c>
      <c r="T292" s="27">
        <v>43155</v>
      </c>
      <c r="U292" s="28">
        <v>5</v>
      </c>
      <c r="V292" s="28">
        <v>4</v>
      </c>
      <c r="W292" s="28">
        <v>9</v>
      </c>
      <c r="X292" s="45">
        <v>71567.899999999994</v>
      </c>
      <c r="Y292" s="14" t="s">
        <v>54</v>
      </c>
      <c r="Z292" s="14" t="s">
        <v>1355</v>
      </c>
      <c r="AA292" s="14" t="s">
        <v>651</v>
      </c>
      <c r="AB292" s="44">
        <v>43156</v>
      </c>
      <c r="AC292" s="44" t="s">
        <v>649</v>
      </c>
      <c r="AD292" s="29" t="s">
        <v>52</v>
      </c>
      <c r="AE292" s="43" t="s">
        <v>639</v>
      </c>
      <c r="AF292" s="25" t="s">
        <v>1271</v>
      </c>
      <c r="AG292" t="e">
        <f t="shared" si="4"/>
        <v>#REF!</v>
      </c>
      <c r="AH292"/>
      <c r="AI292" s="58"/>
      <c r="AJ292"/>
      <c r="AK292" s="30"/>
      <c r="AL292" s="30"/>
      <c r="AM292" s="30"/>
      <c r="AN292" s="30"/>
      <c r="AO292" s="30"/>
    </row>
    <row r="293" spans="1:41" s="31" customFormat="1" ht="15.75" customHeight="1">
      <c r="A293" s="13" t="s">
        <v>632</v>
      </c>
      <c r="B293" s="5">
        <v>118</v>
      </c>
      <c r="C293" s="7">
        <v>10828.399999999998</v>
      </c>
      <c r="D293" s="7">
        <v>0</v>
      </c>
      <c r="E293" s="7">
        <v>0</v>
      </c>
      <c r="F293" s="5">
        <v>0</v>
      </c>
      <c r="G293" s="7">
        <v>0</v>
      </c>
      <c r="H293" s="5">
        <v>0</v>
      </c>
      <c r="I293" s="7">
        <v>0</v>
      </c>
      <c r="J293" s="7">
        <v>0</v>
      </c>
      <c r="K293" s="5">
        <v>0</v>
      </c>
      <c r="L293" s="5">
        <v>0</v>
      </c>
      <c r="M293" s="5">
        <v>0</v>
      </c>
      <c r="N293" s="7">
        <v>0</v>
      </c>
      <c r="O293" s="7">
        <v>0</v>
      </c>
      <c r="P293" s="7">
        <v>85</v>
      </c>
      <c r="Q293" s="5">
        <v>0</v>
      </c>
      <c r="R293" s="5">
        <v>85</v>
      </c>
      <c r="S293" s="7">
        <v>13669</v>
      </c>
      <c r="T293" s="27">
        <v>43155</v>
      </c>
      <c r="U293" s="28">
        <v>2</v>
      </c>
      <c r="V293" s="28">
        <v>4</v>
      </c>
      <c r="W293" s="28">
        <v>2</v>
      </c>
      <c r="X293" s="45">
        <v>24497.399999999998</v>
      </c>
      <c r="Y293" s="14" t="s">
        <v>54</v>
      </c>
      <c r="Z293" s="14" t="s">
        <v>1355</v>
      </c>
      <c r="AA293" s="14" t="s">
        <v>652</v>
      </c>
      <c r="AB293" s="44">
        <v>43156</v>
      </c>
      <c r="AC293" s="44" t="s">
        <v>649</v>
      </c>
      <c r="AD293" s="29" t="s">
        <v>49</v>
      </c>
      <c r="AE293" s="43" t="s">
        <v>686</v>
      </c>
      <c r="AF293" s="25" t="s">
        <v>1267</v>
      </c>
      <c r="AG293" t="e">
        <f t="shared" si="4"/>
        <v>#REF!</v>
      </c>
      <c r="AH293"/>
      <c r="AI293" s="58"/>
      <c r="AJ293"/>
      <c r="AK293" s="30"/>
      <c r="AL293" s="30"/>
      <c r="AM293" s="30"/>
      <c r="AN293" s="30"/>
      <c r="AO293" s="30"/>
    </row>
    <row r="294" spans="1:41" s="31" customFormat="1" ht="15.75" customHeight="1">
      <c r="A294" s="13" t="s">
        <v>633</v>
      </c>
      <c r="B294" s="5">
        <v>93</v>
      </c>
      <c r="C294" s="7">
        <v>10579.65</v>
      </c>
      <c r="D294" s="7">
        <v>0</v>
      </c>
      <c r="E294" s="7">
        <v>0</v>
      </c>
      <c r="F294" s="5">
        <v>0</v>
      </c>
      <c r="G294" s="7">
        <v>0</v>
      </c>
      <c r="H294" s="5">
        <v>0</v>
      </c>
      <c r="I294" s="7">
        <v>0</v>
      </c>
      <c r="J294" s="7">
        <v>0</v>
      </c>
      <c r="K294" s="5">
        <v>0</v>
      </c>
      <c r="L294" s="5">
        <v>0</v>
      </c>
      <c r="M294" s="5">
        <v>0</v>
      </c>
      <c r="N294" s="7">
        <v>0</v>
      </c>
      <c r="O294" s="7">
        <v>0</v>
      </c>
      <c r="P294" s="7">
        <v>0</v>
      </c>
      <c r="Q294" s="5">
        <v>0</v>
      </c>
      <c r="R294" s="5">
        <v>0</v>
      </c>
      <c r="S294" s="7">
        <v>0</v>
      </c>
      <c r="T294" s="27">
        <v>43154</v>
      </c>
      <c r="U294" s="28">
        <v>1</v>
      </c>
      <c r="V294" s="28">
        <v>2</v>
      </c>
      <c r="W294" s="28">
        <v>2</v>
      </c>
      <c r="X294" s="45">
        <v>10579.65</v>
      </c>
      <c r="Y294" s="14" t="s">
        <v>54</v>
      </c>
      <c r="Z294" s="14" t="s">
        <v>1355</v>
      </c>
      <c r="AA294" s="14" t="s">
        <v>652</v>
      </c>
      <c r="AB294" s="44">
        <v>43156</v>
      </c>
      <c r="AC294" s="44" t="s">
        <v>649</v>
      </c>
      <c r="AD294" s="29" t="s">
        <v>49</v>
      </c>
      <c r="AE294" s="43" t="s">
        <v>634</v>
      </c>
      <c r="AF294" s="25" t="s">
        <v>1266</v>
      </c>
      <c r="AG294" t="e">
        <f t="shared" si="4"/>
        <v>#REF!</v>
      </c>
      <c r="AH294"/>
      <c r="AI294" s="58"/>
      <c r="AJ294"/>
      <c r="AK294" s="30"/>
      <c r="AL294" s="30"/>
      <c r="AM294" s="30"/>
      <c r="AN294" s="30"/>
      <c r="AO294" s="30"/>
    </row>
    <row r="295" spans="1:41" s="31" customFormat="1" ht="15.75" customHeight="1">
      <c r="A295" s="13" t="s">
        <v>635</v>
      </c>
      <c r="B295" s="5">
        <v>95</v>
      </c>
      <c r="C295" s="7">
        <v>3005.45</v>
      </c>
      <c r="D295" s="7">
        <v>10</v>
      </c>
      <c r="E295" s="7">
        <v>10</v>
      </c>
      <c r="F295" s="5">
        <v>0</v>
      </c>
      <c r="G295" s="7">
        <v>494</v>
      </c>
      <c r="H295" s="5">
        <v>110</v>
      </c>
      <c r="I295" s="7">
        <v>11848.400000000001</v>
      </c>
      <c r="J295" s="7">
        <v>0</v>
      </c>
      <c r="K295" s="5">
        <v>0</v>
      </c>
      <c r="L295" s="5">
        <v>0</v>
      </c>
      <c r="M295" s="5">
        <v>0</v>
      </c>
      <c r="N295" s="7">
        <v>0</v>
      </c>
      <c r="O295" s="7">
        <v>0</v>
      </c>
      <c r="P295" s="7">
        <v>0</v>
      </c>
      <c r="Q295" s="5">
        <v>0</v>
      </c>
      <c r="R295" s="5">
        <v>0</v>
      </c>
      <c r="S295" s="7">
        <v>0</v>
      </c>
      <c r="T295" s="27">
        <v>43155</v>
      </c>
      <c r="U295" s="28">
        <v>1</v>
      </c>
      <c r="V295" s="28">
        <v>2</v>
      </c>
      <c r="W295" s="28">
        <v>8</v>
      </c>
      <c r="X295" s="45">
        <v>15347.850000000002</v>
      </c>
      <c r="Y295" s="14" t="s">
        <v>54</v>
      </c>
      <c r="Z295" s="14" t="s">
        <v>730</v>
      </c>
      <c r="AA295" s="14" t="s">
        <v>652</v>
      </c>
      <c r="AB295" s="44">
        <v>43156</v>
      </c>
      <c r="AC295" s="44" t="s">
        <v>649</v>
      </c>
      <c r="AD295" s="29" t="s">
        <v>49</v>
      </c>
      <c r="AE295" s="43" t="s">
        <v>636</v>
      </c>
      <c r="AF295" s="25" t="s">
        <v>1265</v>
      </c>
      <c r="AG295" t="e">
        <f t="shared" si="4"/>
        <v>#REF!</v>
      </c>
      <c r="AH295"/>
      <c r="AI295" s="58"/>
      <c r="AJ295"/>
      <c r="AK295" s="30"/>
      <c r="AL295" s="30"/>
      <c r="AM295" s="30"/>
      <c r="AN295" s="30"/>
      <c r="AO295" s="30"/>
    </row>
    <row r="296" spans="1:41" s="31" customFormat="1" ht="15.75" customHeight="1">
      <c r="A296" s="13" t="s">
        <v>641</v>
      </c>
      <c r="B296" s="5">
        <v>0</v>
      </c>
      <c r="C296" s="7">
        <v>0</v>
      </c>
      <c r="D296" s="7">
        <v>0</v>
      </c>
      <c r="E296" s="7">
        <v>0</v>
      </c>
      <c r="F296" s="5">
        <v>0</v>
      </c>
      <c r="G296" s="7">
        <v>0</v>
      </c>
      <c r="H296" s="5">
        <v>0</v>
      </c>
      <c r="I296" s="7">
        <v>0</v>
      </c>
      <c r="J296" s="7">
        <v>0</v>
      </c>
      <c r="K296" s="5">
        <v>0</v>
      </c>
      <c r="L296" s="5">
        <v>0</v>
      </c>
      <c r="M296" s="5">
        <v>0</v>
      </c>
      <c r="N296" s="7">
        <v>0</v>
      </c>
      <c r="O296" s="7">
        <v>0</v>
      </c>
      <c r="P296" s="7">
        <v>89</v>
      </c>
      <c r="Q296" s="5">
        <v>0</v>
      </c>
      <c r="R296" s="5">
        <v>89</v>
      </c>
      <c r="S296" s="7">
        <v>14577.6</v>
      </c>
      <c r="T296" s="27">
        <v>43155</v>
      </c>
      <c r="U296" s="28">
        <v>1</v>
      </c>
      <c r="V296" s="28">
        <v>1</v>
      </c>
      <c r="W296" s="28">
        <v>4</v>
      </c>
      <c r="X296" s="45">
        <v>14577.6</v>
      </c>
      <c r="Y296" s="14" t="s">
        <v>1633</v>
      </c>
      <c r="Z296" s="14" t="s">
        <v>1355</v>
      </c>
      <c r="AA296" s="14" t="s">
        <v>668</v>
      </c>
      <c r="AB296" s="44">
        <v>43157</v>
      </c>
      <c r="AC296" s="44" t="s">
        <v>669</v>
      </c>
      <c r="AD296" s="29" t="s">
        <v>70</v>
      </c>
      <c r="AE296" s="43" t="s">
        <v>642</v>
      </c>
      <c r="AF296" s="25" t="s">
        <v>1273</v>
      </c>
      <c r="AG296" t="e">
        <f t="shared" si="4"/>
        <v>#REF!</v>
      </c>
      <c r="AH296"/>
      <c r="AI296" s="58"/>
      <c r="AJ296"/>
      <c r="AK296" s="30"/>
      <c r="AL296" s="30"/>
      <c r="AM296" s="30"/>
      <c r="AN296" s="30"/>
      <c r="AO296" s="30"/>
    </row>
    <row r="297" spans="1:41" s="31" customFormat="1" ht="15.75" customHeight="1">
      <c r="A297" s="13" t="s">
        <v>643</v>
      </c>
      <c r="B297" s="5">
        <v>0</v>
      </c>
      <c r="C297" s="7">
        <v>0</v>
      </c>
      <c r="D297" s="7">
        <v>0</v>
      </c>
      <c r="E297" s="7">
        <v>0</v>
      </c>
      <c r="F297" s="5">
        <v>0</v>
      </c>
      <c r="G297" s="7">
        <v>0</v>
      </c>
      <c r="H297" s="5">
        <v>0</v>
      </c>
      <c r="I297" s="7">
        <v>0</v>
      </c>
      <c r="J297" s="7">
        <v>0</v>
      </c>
      <c r="K297" s="5">
        <v>0</v>
      </c>
      <c r="L297" s="5">
        <v>0</v>
      </c>
      <c r="M297" s="5">
        <v>0</v>
      </c>
      <c r="N297" s="7">
        <v>0</v>
      </c>
      <c r="O297" s="7">
        <v>0</v>
      </c>
      <c r="P297" s="7">
        <v>100</v>
      </c>
      <c r="Q297" s="5">
        <v>0</v>
      </c>
      <c r="R297" s="5">
        <v>100</v>
      </c>
      <c r="S297" s="7">
        <v>14218</v>
      </c>
      <c r="T297" s="27">
        <v>43154</v>
      </c>
      <c r="U297" s="28">
        <v>1</v>
      </c>
      <c r="V297" s="28">
        <v>5</v>
      </c>
      <c r="W297" s="28">
        <v>8</v>
      </c>
      <c r="X297" s="45">
        <v>14218</v>
      </c>
      <c r="Y297" s="14" t="s">
        <v>1633</v>
      </c>
      <c r="Z297" s="14" t="s">
        <v>1355</v>
      </c>
      <c r="AA297" s="14" t="s">
        <v>670</v>
      </c>
      <c r="AB297" s="44">
        <v>43157</v>
      </c>
      <c r="AC297" s="44" t="s">
        <v>669</v>
      </c>
      <c r="AD297" s="29" t="s">
        <v>70</v>
      </c>
      <c r="AE297" s="43" t="s">
        <v>653</v>
      </c>
      <c r="AF297" s="25" t="s">
        <v>1273</v>
      </c>
      <c r="AG297" t="e">
        <f t="shared" si="4"/>
        <v>#REF!</v>
      </c>
      <c r="AH297"/>
      <c r="AI297" s="58"/>
      <c r="AJ297"/>
      <c r="AK297" s="30"/>
      <c r="AL297" s="30"/>
      <c r="AM297" s="30"/>
      <c r="AN297" s="30"/>
      <c r="AO297" s="30"/>
    </row>
    <row r="298" spans="1:41" s="31" customFormat="1" ht="15.75" customHeight="1">
      <c r="A298" s="13" t="s">
        <v>644</v>
      </c>
      <c r="B298" s="5">
        <v>0</v>
      </c>
      <c r="C298" s="7">
        <v>0</v>
      </c>
      <c r="D298" s="7">
        <v>190</v>
      </c>
      <c r="E298" s="7">
        <v>190</v>
      </c>
      <c r="F298" s="5">
        <v>0</v>
      </c>
      <c r="G298" s="7">
        <v>7058.5</v>
      </c>
      <c r="H298" s="5">
        <v>825</v>
      </c>
      <c r="I298" s="7">
        <v>82866.350000000006</v>
      </c>
      <c r="J298" s="7">
        <v>0</v>
      </c>
      <c r="K298" s="5">
        <v>0</v>
      </c>
      <c r="L298" s="5">
        <v>0</v>
      </c>
      <c r="M298" s="5">
        <v>0</v>
      </c>
      <c r="N298" s="7">
        <v>0</v>
      </c>
      <c r="O298" s="7">
        <v>0</v>
      </c>
      <c r="P298" s="7">
        <v>0</v>
      </c>
      <c r="Q298" s="5">
        <v>0</v>
      </c>
      <c r="R298" s="5">
        <v>0</v>
      </c>
      <c r="S298" s="7">
        <v>0</v>
      </c>
      <c r="T298" s="27">
        <v>43154</v>
      </c>
      <c r="U298" s="28">
        <v>6</v>
      </c>
      <c r="V298" s="28">
        <v>4</v>
      </c>
      <c r="W298" s="28">
        <v>5</v>
      </c>
      <c r="X298" s="45">
        <v>89924.85</v>
      </c>
      <c r="Y298" s="14" t="s">
        <v>56</v>
      </c>
      <c r="Z298" s="14" t="s">
        <v>57</v>
      </c>
      <c r="AA298" s="14" t="s">
        <v>733</v>
      </c>
      <c r="AB298" s="44">
        <v>43160</v>
      </c>
      <c r="AC298" s="44" t="s">
        <v>732</v>
      </c>
      <c r="AD298" s="29" t="s">
        <v>49</v>
      </c>
      <c r="AE298" s="43" t="s">
        <v>654</v>
      </c>
      <c r="AF298" s="25" t="s">
        <v>1265</v>
      </c>
      <c r="AG298" t="e">
        <f t="shared" si="4"/>
        <v>#REF!</v>
      </c>
      <c r="AH298"/>
      <c r="AI298" s="58"/>
      <c r="AJ298"/>
      <c r="AK298" s="30"/>
      <c r="AL298" s="30"/>
      <c r="AM298" s="30"/>
      <c r="AN298" s="30"/>
      <c r="AO298" s="30"/>
    </row>
    <row r="299" spans="1:41" s="31" customFormat="1" ht="15.75" customHeight="1">
      <c r="A299" s="13" t="s">
        <v>645</v>
      </c>
      <c r="B299" s="5">
        <v>500</v>
      </c>
      <c r="C299" s="7">
        <v>46495.409999999996</v>
      </c>
      <c r="D299" s="7">
        <v>75</v>
      </c>
      <c r="E299" s="7">
        <v>75</v>
      </c>
      <c r="F299" s="5">
        <v>0</v>
      </c>
      <c r="G299" s="7">
        <v>2668.5</v>
      </c>
      <c r="H299" s="5">
        <v>55</v>
      </c>
      <c r="I299" s="7">
        <v>1318</v>
      </c>
      <c r="J299" s="7">
        <v>194</v>
      </c>
      <c r="K299" s="5">
        <v>0</v>
      </c>
      <c r="L299" s="5">
        <v>0</v>
      </c>
      <c r="M299" s="5">
        <v>194</v>
      </c>
      <c r="N299" s="7">
        <v>194</v>
      </c>
      <c r="O299" s="7">
        <v>31610.900000000005</v>
      </c>
      <c r="P299" s="7">
        <v>15</v>
      </c>
      <c r="Q299" s="5">
        <v>0</v>
      </c>
      <c r="R299" s="5">
        <v>15</v>
      </c>
      <c r="S299" s="7">
        <v>748.5</v>
      </c>
      <c r="T299" s="27">
        <v>43154</v>
      </c>
      <c r="U299" s="28">
        <v>7</v>
      </c>
      <c r="V299" s="28">
        <v>5</v>
      </c>
      <c r="W299" s="28">
        <v>9</v>
      </c>
      <c r="X299" s="45">
        <v>82841.31</v>
      </c>
      <c r="Y299" s="14" t="s">
        <v>56</v>
      </c>
      <c r="Z299" s="14" t="s">
        <v>730</v>
      </c>
      <c r="AA299" s="14" t="s">
        <v>731</v>
      </c>
      <c r="AB299" s="44">
        <v>43160</v>
      </c>
      <c r="AC299" s="44" t="s">
        <v>732</v>
      </c>
      <c r="AD299" s="29" t="s">
        <v>51</v>
      </c>
      <c r="AE299" s="43" t="s">
        <v>655</v>
      </c>
      <c r="AF299" s="25" t="s">
        <v>1270</v>
      </c>
      <c r="AG299" t="e">
        <f t="shared" si="4"/>
        <v>#REF!</v>
      </c>
      <c r="AH299"/>
      <c r="AI299" s="58"/>
      <c r="AJ299"/>
      <c r="AK299" s="30"/>
      <c r="AL299" s="30"/>
      <c r="AM299" s="30"/>
      <c r="AN299" s="30"/>
      <c r="AO299" s="30"/>
    </row>
    <row r="300" spans="1:41" s="31" customFormat="1" ht="15.75" customHeight="1">
      <c r="A300" s="13" t="s">
        <v>646</v>
      </c>
      <c r="B300" s="5">
        <v>239</v>
      </c>
      <c r="C300" s="7">
        <v>22311.699999999997</v>
      </c>
      <c r="D300" s="7">
        <v>0</v>
      </c>
      <c r="E300" s="7">
        <v>0</v>
      </c>
      <c r="F300" s="5">
        <v>0</v>
      </c>
      <c r="G300" s="7">
        <v>0</v>
      </c>
      <c r="H300" s="5">
        <v>75</v>
      </c>
      <c r="I300" s="7">
        <v>1813.5000000000002</v>
      </c>
      <c r="J300" s="7">
        <v>613</v>
      </c>
      <c r="K300" s="5">
        <v>0</v>
      </c>
      <c r="L300" s="5">
        <v>0</v>
      </c>
      <c r="M300" s="5">
        <v>613</v>
      </c>
      <c r="N300" s="7">
        <v>613</v>
      </c>
      <c r="O300" s="7">
        <v>99288.599999999977</v>
      </c>
      <c r="P300" s="7">
        <v>20</v>
      </c>
      <c r="Q300" s="5">
        <v>0</v>
      </c>
      <c r="R300" s="5">
        <v>20</v>
      </c>
      <c r="S300" s="7">
        <v>998</v>
      </c>
      <c r="T300" s="27">
        <v>43154</v>
      </c>
      <c r="U300" s="28">
        <v>12</v>
      </c>
      <c r="V300" s="28">
        <v>2</v>
      </c>
      <c r="W300" s="28">
        <v>1</v>
      </c>
      <c r="X300" s="45">
        <v>124411.79999999997</v>
      </c>
      <c r="Y300" s="14" t="s">
        <v>54</v>
      </c>
      <c r="Z300" s="14" t="s">
        <v>59</v>
      </c>
      <c r="AA300" s="14" t="s">
        <v>671</v>
      </c>
      <c r="AB300" s="44">
        <v>43160</v>
      </c>
      <c r="AC300" s="44" t="s">
        <v>672</v>
      </c>
      <c r="AD300" s="29" t="s">
        <v>50</v>
      </c>
      <c r="AE300" s="43" t="s">
        <v>656</v>
      </c>
      <c r="AF300" s="25" t="s">
        <v>1269</v>
      </c>
      <c r="AG300" t="e">
        <f t="shared" si="4"/>
        <v>#REF!</v>
      </c>
      <c r="AH300"/>
      <c r="AI300" s="58"/>
      <c r="AJ300"/>
      <c r="AK300" s="30"/>
      <c r="AL300" s="30"/>
      <c r="AM300" s="30"/>
      <c r="AN300" s="30"/>
      <c r="AO300" s="30"/>
    </row>
    <row r="301" spans="1:41" s="31" customFormat="1" ht="15.75" customHeight="1">
      <c r="A301" s="13" t="s">
        <v>647</v>
      </c>
      <c r="B301" s="5">
        <v>121</v>
      </c>
      <c r="C301" s="7">
        <v>11131.6</v>
      </c>
      <c r="D301" s="7">
        <v>0</v>
      </c>
      <c r="E301" s="7">
        <v>0</v>
      </c>
      <c r="F301" s="5">
        <v>0</v>
      </c>
      <c r="G301" s="7">
        <v>0</v>
      </c>
      <c r="H301" s="5">
        <v>190</v>
      </c>
      <c r="I301" s="7">
        <v>24312.400000000001</v>
      </c>
      <c r="J301" s="7">
        <v>58</v>
      </c>
      <c r="K301" s="5">
        <v>0</v>
      </c>
      <c r="L301" s="5">
        <v>0</v>
      </c>
      <c r="M301" s="5">
        <v>58</v>
      </c>
      <c r="N301" s="7">
        <v>58</v>
      </c>
      <c r="O301" s="7">
        <v>10248.599999999999</v>
      </c>
      <c r="P301" s="7">
        <v>0</v>
      </c>
      <c r="Q301" s="5">
        <v>0</v>
      </c>
      <c r="R301" s="5">
        <v>0</v>
      </c>
      <c r="S301" s="7">
        <v>0</v>
      </c>
      <c r="T301" s="27">
        <v>43154</v>
      </c>
      <c r="U301" s="28">
        <v>4</v>
      </c>
      <c r="V301" s="28">
        <v>3</v>
      </c>
      <c r="W301" s="28">
        <v>5</v>
      </c>
      <c r="X301" s="45">
        <v>45692.6</v>
      </c>
      <c r="Y301" s="14" t="s">
        <v>85</v>
      </c>
      <c r="Z301" s="14" t="s">
        <v>1355</v>
      </c>
      <c r="AA301" s="14">
        <v>350810014224</v>
      </c>
      <c r="AB301" s="44">
        <v>43166</v>
      </c>
      <c r="AC301" s="44" t="s">
        <v>2758</v>
      </c>
      <c r="AD301" s="29" t="s">
        <v>49</v>
      </c>
      <c r="AE301" s="43" t="s">
        <v>657</v>
      </c>
      <c r="AF301" s="25" t="s">
        <v>1266</v>
      </c>
      <c r="AG301" t="e">
        <f t="shared" si="4"/>
        <v>#REF!</v>
      </c>
      <c r="AH301"/>
      <c r="AI301" s="58"/>
      <c r="AJ301"/>
      <c r="AK301" s="30"/>
      <c r="AL301" s="30"/>
      <c r="AM301" s="30"/>
      <c r="AN301" s="30"/>
      <c r="AO301" s="30"/>
    </row>
    <row r="302" spans="1:41" s="31" customFormat="1" ht="15.75" customHeight="1">
      <c r="A302" s="13" t="s">
        <v>658</v>
      </c>
      <c r="B302" s="5">
        <v>0</v>
      </c>
      <c r="C302" s="7">
        <v>0</v>
      </c>
      <c r="D302" s="7">
        <v>0</v>
      </c>
      <c r="E302" s="7">
        <v>0</v>
      </c>
      <c r="F302" s="5">
        <v>0</v>
      </c>
      <c r="G302" s="7">
        <v>0</v>
      </c>
      <c r="H302" s="5">
        <v>0</v>
      </c>
      <c r="I302" s="7">
        <v>0</v>
      </c>
      <c r="J302" s="7">
        <v>0</v>
      </c>
      <c r="K302" s="5">
        <v>0</v>
      </c>
      <c r="L302" s="5">
        <v>0</v>
      </c>
      <c r="M302" s="5">
        <v>0</v>
      </c>
      <c r="N302" s="7">
        <v>0</v>
      </c>
      <c r="O302" s="7">
        <v>0</v>
      </c>
      <c r="P302" s="7">
        <v>553</v>
      </c>
      <c r="Q302" s="5">
        <v>0</v>
      </c>
      <c r="R302" s="5">
        <v>553</v>
      </c>
      <c r="S302" s="7">
        <v>52645.599999999999</v>
      </c>
      <c r="T302" s="27">
        <v>43155</v>
      </c>
      <c r="U302" s="28">
        <v>1</v>
      </c>
      <c r="V302" s="28">
        <v>2</v>
      </c>
      <c r="W302" s="28">
        <v>1</v>
      </c>
      <c r="X302" s="45">
        <v>52645.599999999999</v>
      </c>
      <c r="Y302" s="14" t="s">
        <v>54</v>
      </c>
      <c r="Z302" s="14" t="s">
        <v>1281</v>
      </c>
      <c r="AA302" s="14" t="s">
        <v>2759</v>
      </c>
      <c r="AB302" s="44">
        <v>43160</v>
      </c>
      <c r="AC302" s="44" t="s">
        <v>672</v>
      </c>
      <c r="AD302" s="29" t="s">
        <v>50</v>
      </c>
      <c r="AE302" s="54" t="s">
        <v>659</v>
      </c>
      <c r="AF302" s="25" t="s">
        <v>1269</v>
      </c>
      <c r="AG302" t="e">
        <f t="shared" si="4"/>
        <v>#REF!</v>
      </c>
      <c r="AH302"/>
      <c r="AI302" s="58"/>
      <c r="AJ302"/>
      <c r="AK302" s="30"/>
      <c r="AL302" s="30"/>
      <c r="AM302" s="30"/>
      <c r="AN302" s="30"/>
      <c r="AO302" s="30"/>
    </row>
    <row r="303" spans="1:41" s="31" customFormat="1" ht="15.75" customHeight="1">
      <c r="A303" s="13" t="s">
        <v>660</v>
      </c>
      <c r="B303" s="5">
        <v>102</v>
      </c>
      <c r="C303" s="7">
        <v>11595.419999999995</v>
      </c>
      <c r="D303" s="7">
        <v>0</v>
      </c>
      <c r="E303" s="7">
        <v>0</v>
      </c>
      <c r="F303" s="5">
        <v>0</v>
      </c>
      <c r="G303" s="7">
        <v>0</v>
      </c>
      <c r="H303" s="5">
        <v>0</v>
      </c>
      <c r="I303" s="7">
        <v>0</v>
      </c>
      <c r="J303" s="7">
        <v>63</v>
      </c>
      <c r="K303" s="5">
        <v>0</v>
      </c>
      <c r="L303" s="5">
        <v>0</v>
      </c>
      <c r="M303" s="5">
        <v>63</v>
      </c>
      <c r="N303" s="7">
        <v>63</v>
      </c>
      <c r="O303" s="7">
        <v>10832.6</v>
      </c>
      <c r="P303" s="7">
        <v>0</v>
      </c>
      <c r="Q303" s="5">
        <v>0</v>
      </c>
      <c r="R303" s="5">
        <v>0</v>
      </c>
      <c r="S303" s="7">
        <v>0</v>
      </c>
      <c r="T303" s="27">
        <v>43155</v>
      </c>
      <c r="U303" s="28">
        <v>2</v>
      </c>
      <c r="V303" s="28">
        <v>3</v>
      </c>
      <c r="W303" s="28">
        <v>2</v>
      </c>
      <c r="X303" s="45">
        <v>22428.019999999997</v>
      </c>
      <c r="Y303" s="14" t="s">
        <v>1633</v>
      </c>
      <c r="Z303" s="14" t="s">
        <v>1355</v>
      </c>
      <c r="AA303" s="14" t="s">
        <v>2760</v>
      </c>
      <c r="AB303" s="44">
        <v>43163</v>
      </c>
      <c r="AC303" s="44" t="s">
        <v>2761</v>
      </c>
      <c r="AD303" s="29" t="s">
        <v>70</v>
      </c>
      <c r="AE303" s="54" t="s">
        <v>661</v>
      </c>
      <c r="AF303" s="25" t="s">
        <v>1273</v>
      </c>
      <c r="AG303" t="e">
        <f t="shared" si="4"/>
        <v>#REF!</v>
      </c>
      <c r="AH303"/>
      <c r="AI303" s="58"/>
      <c r="AJ303"/>
      <c r="AK303" s="30"/>
      <c r="AL303" s="30"/>
      <c r="AM303" s="30"/>
      <c r="AN303" s="30"/>
      <c r="AO303" s="30"/>
    </row>
    <row r="304" spans="1:41" s="31" customFormat="1" ht="15.75" customHeight="1">
      <c r="A304" s="13" t="s">
        <v>662</v>
      </c>
      <c r="B304" s="5">
        <v>0</v>
      </c>
      <c r="C304" s="7">
        <v>0</v>
      </c>
      <c r="D304" s="7">
        <v>0</v>
      </c>
      <c r="E304" s="7">
        <v>0</v>
      </c>
      <c r="F304" s="5">
        <v>0</v>
      </c>
      <c r="G304" s="7">
        <v>0</v>
      </c>
      <c r="H304" s="5">
        <v>95</v>
      </c>
      <c r="I304" s="7">
        <v>12281.6</v>
      </c>
      <c r="J304" s="7">
        <v>0</v>
      </c>
      <c r="K304" s="5">
        <v>0</v>
      </c>
      <c r="L304" s="5">
        <v>0</v>
      </c>
      <c r="M304" s="5">
        <v>0</v>
      </c>
      <c r="N304" s="7">
        <v>0</v>
      </c>
      <c r="O304" s="7">
        <v>0</v>
      </c>
      <c r="P304" s="7">
        <v>635</v>
      </c>
      <c r="Q304" s="5">
        <v>0</v>
      </c>
      <c r="R304" s="5">
        <v>635</v>
      </c>
      <c r="S304" s="7">
        <v>56239.199999999997</v>
      </c>
      <c r="T304" s="27">
        <v>43155</v>
      </c>
      <c r="U304" s="28">
        <v>3</v>
      </c>
      <c r="V304" s="28">
        <v>5</v>
      </c>
      <c r="W304" s="28">
        <v>3</v>
      </c>
      <c r="X304" s="45">
        <v>68520.800000000003</v>
      </c>
      <c r="Y304" s="14" t="s">
        <v>54</v>
      </c>
      <c r="Z304" s="14" t="s">
        <v>1281</v>
      </c>
      <c r="AA304" s="14" t="s">
        <v>2762</v>
      </c>
      <c r="AB304" s="44">
        <v>43163</v>
      </c>
      <c r="AC304" s="44" t="s">
        <v>2763</v>
      </c>
      <c r="AD304" s="29" t="s">
        <v>52</v>
      </c>
      <c r="AE304" s="43" t="s">
        <v>663</v>
      </c>
      <c r="AF304" s="25" t="s">
        <v>1271</v>
      </c>
      <c r="AG304" t="e">
        <f t="shared" si="4"/>
        <v>#REF!</v>
      </c>
      <c r="AH304"/>
      <c r="AI304" s="58"/>
      <c r="AJ304"/>
      <c r="AK304" s="30"/>
      <c r="AL304" s="30"/>
      <c r="AM304" s="30"/>
      <c r="AN304" s="30"/>
      <c r="AO304" s="30"/>
    </row>
    <row r="305" spans="1:41" s="31" customFormat="1" ht="15.75" customHeight="1">
      <c r="A305" s="13" t="s">
        <v>664</v>
      </c>
      <c r="B305" s="5">
        <v>313</v>
      </c>
      <c r="C305" s="7">
        <v>46299.7</v>
      </c>
      <c r="D305" s="7">
        <v>0</v>
      </c>
      <c r="E305" s="7">
        <v>0</v>
      </c>
      <c r="F305" s="5">
        <v>0</v>
      </c>
      <c r="G305" s="7">
        <v>0</v>
      </c>
      <c r="H305" s="5">
        <v>536</v>
      </c>
      <c r="I305" s="7">
        <v>63056.02</v>
      </c>
      <c r="J305" s="7">
        <v>80</v>
      </c>
      <c r="K305" s="5">
        <v>0</v>
      </c>
      <c r="L305" s="5">
        <v>0</v>
      </c>
      <c r="M305" s="5">
        <v>80</v>
      </c>
      <c r="N305" s="7">
        <v>80</v>
      </c>
      <c r="O305" s="7">
        <v>9856.4</v>
      </c>
      <c r="P305" s="7">
        <v>0</v>
      </c>
      <c r="Q305" s="5">
        <v>0</v>
      </c>
      <c r="R305" s="5">
        <v>0</v>
      </c>
      <c r="S305" s="7">
        <v>0</v>
      </c>
      <c r="T305" s="27">
        <v>43155</v>
      </c>
      <c r="U305" s="28">
        <v>10</v>
      </c>
      <c r="V305" s="28">
        <v>4</v>
      </c>
      <c r="W305" s="28">
        <v>5</v>
      </c>
      <c r="X305" s="45">
        <v>119212.12</v>
      </c>
      <c r="Y305" s="14" t="s">
        <v>58</v>
      </c>
      <c r="Z305" s="14" t="s">
        <v>55</v>
      </c>
      <c r="AA305" s="14" t="s">
        <v>2764</v>
      </c>
      <c r="AB305" s="44">
        <v>43160</v>
      </c>
      <c r="AC305" s="44" t="s">
        <v>732</v>
      </c>
      <c r="AD305" s="29" t="s">
        <v>51</v>
      </c>
      <c r="AE305" s="43" t="s">
        <v>665</v>
      </c>
      <c r="AF305" s="25" t="s">
        <v>1270</v>
      </c>
      <c r="AG305" t="e">
        <f t="shared" si="4"/>
        <v>#REF!</v>
      </c>
      <c r="AH305"/>
      <c r="AI305" s="58"/>
      <c r="AJ305"/>
      <c r="AK305" s="30"/>
      <c r="AL305" s="30"/>
      <c r="AM305" s="30"/>
      <c r="AN305" s="30"/>
      <c r="AO305" s="30"/>
    </row>
    <row r="306" spans="1:41" s="31" customFormat="1" ht="15.75" customHeight="1">
      <c r="A306" s="13" t="s">
        <v>666</v>
      </c>
      <c r="B306" s="5">
        <v>427</v>
      </c>
      <c r="C306" s="7">
        <v>37207.460000000006</v>
      </c>
      <c r="D306" s="7">
        <v>0</v>
      </c>
      <c r="E306" s="7">
        <v>0</v>
      </c>
      <c r="F306" s="5">
        <v>0</v>
      </c>
      <c r="G306" s="7">
        <v>0</v>
      </c>
      <c r="H306" s="5">
        <v>0</v>
      </c>
      <c r="I306" s="7">
        <v>0</v>
      </c>
      <c r="J306" s="7">
        <v>233</v>
      </c>
      <c r="K306" s="5">
        <v>0</v>
      </c>
      <c r="L306" s="5">
        <v>0</v>
      </c>
      <c r="M306" s="5">
        <v>233</v>
      </c>
      <c r="N306" s="7">
        <v>233</v>
      </c>
      <c r="O306" s="7">
        <v>44305.1</v>
      </c>
      <c r="P306" s="7">
        <v>0</v>
      </c>
      <c r="Q306" s="5">
        <v>0</v>
      </c>
      <c r="R306" s="5">
        <v>0</v>
      </c>
      <c r="S306" s="7">
        <v>0</v>
      </c>
      <c r="T306" s="27">
        <v>43155</v>
      </c>
      <c r="U306" s="28">
        <v>7</v>
      </c>
      <c r="V306" s="28">
        <v>5</v>
      </c>
      <c r="W306" s="28">
        <v>10</v>
      </c>
      <c r="X306" s="45">
        <v>81512.56</v>
      </c>
      <c r="Y306" s="14" t="s">
        <v>54</v>
      </c>
      <c r="Z306" s="14" t="s">
        <v>59</v>
      </c>
      <c r="AA306" s="14" t="s">
        <v>671</v>
      </c>
      <c r="AB306" s="44">
        <v>43160</v>
      </c>
      <c r="AC306" s="44" t="s">
        <v>672</v>
      </c>
      <c r="AD306" s="29" t="s">
        <v>50</v>
      </c>
      <c r="AE306" s="43" t="s">
        <v>667</v>
      </c>
      <c r="AF306" s="25" t="s">
        <v>1269</v>
      </c>
      <c r="AG306" t="e">
        <f t="shared" si="4"/>
        <v>#REF!</v>
      </c>
      <c r="AH306"/>
      <c r="AI306" s="58"/>
      <c r="AJ306"/>
      <c r="AK306" s="30"/>
      <c r="AL306" s="30"/>
      <c r="AM306" s="30"/>
      <c r="AN306" s="30"/>
      <c r="AO306" s="30"/>
    </row>
    <row r="307" spans="1:41" s="42" customFormat="1" ht="15.75" customHeight="1">
      <c r="A307" s="13" t="s">
        <v>673</v>
      </c>
      <c r="B307" s="7">
        <v>0</v>
      </c>
      <c r="C307" s="7">
        <v>0</v>
      </c>
      <c r="D307" s="7">
        <v>0</v>
      </c>
      <c r="E307" s="7">
        <v>0</v>
      </c>
      <c r="F307" s="7">
        <v>0</v>
      </c>
      <c r="G307" s="7">
        <v>0</v>
      </c>
      <c r="H307" s="7">
        <v>0</v>
      </c>
      <c r="I307" s="7">
        <v>0</v>
      </c>
      <c r="J307" s="7">
        <v>0</v>
      </c>
      <c r="K307" s="7">
        <v>0</v>
      </c>
      <c r="L307" s="7">
        <v>0</v>
      </c>
      <c r="M307" s="7">
        <v>0</v>
      </c>
      <c r="N307" s="7">
        <v>0</v>
      </c>
      <c r="O307" s="7">
        <v>0</v>
      </c>
      <c r="P307" s="7">
        <v>100</v>
      </c>
      <c r="Q307" s="7">
        <v>0</v>
      </c>
      <c r="R307" s="7">
        <v>100</v>
      </c>
      <c r="S307" s="7">
        <v>14096</v>
      </c>
      <c r="T307" s="38">
        <v>43157</v>
      </c>
      <c r="U307" s="6">
        <v>1</v>
      </c>
      <c r="V307" s="6">
        <v>4</v>
      </c>
      <c r="W307" s="6">
        <v>5</v>
      </c>
      <c r="X307" s="45">
        <v>14096</v>
      </c>
      <c r="Y307" s="14" t="s">
        <v>85</v>
      </c>
      <c r="Z307" s="14" t="s">
        <v>1355</v>
      </c>
      <c r="AA307" s="14">
        <v>350810014224</v>
      </c>
      <c r="AB307" s="44">
        <v>43166</v>
      </c>
      <c r="AC307" s="44" t="s">
        <v>2758</v>
      </c>
      <c r="AD307" s="39" t="s">
        <v>49</v>
      </c>
      <c r="AE307" s="40" t="s">
        <v>674</v>
      </c>
      <c r="AF307" s="25" t="s">
        <v>1268</v>
      </c>
      <c r="AG307" t="e">
        <f t="shared" si="4"/>
        <v>#REF!</v>
      </c>
      <c r="AH307"/>
      <c r="AI307" s="58"/>
      <c r="AJ307"/>
      <c r="AK307" s="41"/>
      <c r="AL307" s="41"/>
      <c r="AM307" s="41"/>
      <c r="AN307" s="41"/>
      <c r="AO307" s="41"/>
    </row>
    <row r="308" spans="1:41" s="31" customFormat="1" ht="15.75" customHeight="1">
      <c r="A308" s="13" t="s">
        <v>675</v>
      </c>
      <c r="B308" s="5">
        <v>0</v>
      </c>
      <c r="C308" s="7">
        <v>0</v>
      </c>
      <c r="D308" s="7">
        <v>0</v>
      </c>
      <c r="E308" s="7">
        <v>0</v>
      </c>
      <c r="F308" s="5">
        <v>0</v>
      </c>
      <c r="G308" s="7">
        <v>0</v>
      </c>
      <c r="H308" s="5">
        <v>1039</v>
      </c>
      <c r="I308" s="7">
        <v>122313.26000000001</v>
      </c>
      <c r="J308" s="7">
        <v>0</v>
      </c>
      <c r="K308" s="5">
        <v>0</v>
      </c>
      <c r="L308" s="5">
        <v>0</v>
      </c>
      <c r="M308" s="5">
        <v>0</v>
      </c>
      <c r="N308" s="7">
        <v>0</v>
      </c>
      <c r="O308" s="7">
        <v>0</v>
      </c>
      <c r="P308" s="7">
        <v>553</v>
      </c>
      <c r="Q308" s="5">
        <v>0</v>
      </c>
      <c r="R308" s="5">
        <v>553</v>
      </c>
      <c r="S308" s="7">
        <v>36221.5</v>
      </c>
      <c r="T308" s="27">
        <v>43157</v>
      </c>
      <c r="U308" s="28">
        <v>10</v>
      </c>
      <c r="V308" s="28">
        <v>7</v>
      </c>
      <c r="W308" s="28">
        <v>8</v>
      </c>
      <c r="X308" s="45">
        <v>158534.76</v>
      </c>
      <c r="Y308" s="14" t="s">
        <v>56</v>
      </c>
      <c r="Z308" s="14" t="s">
        <v>730</v>
      </c>
      <c r="AA308" s="14" t="s">
        <v>733</v>
      </c>
      <c r="AB308" s="44">
        <v>43160</v>
      </c>
      <c r="AC308" s="44" t="s">
        <v>2765</v>
      </c>
      <c r="AD308" s="29" t="s">
        <v>49</v>
      </c>
      <c r="AE308" s="43" t="s">
        <v>676</v>
      </c>
      <c r="AF308" s="25" t="s">
        <v>1265</v>
      </c>
      <c r="AG308" t="e">
        <f t="shared" si="4"/>
        <v>#REF!</v>
      </c>
      <c r="AH308"/>
      <c r="AI308" s="58"/>
      <c r="AJ308"/>
      <c r="AK308" s="30"/>
      <c r="AL308" s="30"/>
      <c r="AM308" s="30"/>
      <c r="AN308" s="30"/>
      <c r="AO308" s="30"/>
    </row>
    <row r="309" spans="1:41" s="31" customFormat="1" ht="15.75" customHeight="1">
      <c r="A309" s="13" t="s">
        <v>677</v>
      </c>
      <c r="B309" s="5">
        <v>0</v>
      </c>
      <c r="C309" s="7">
        <v>0</v>
      </c>
      <c r="D309" s="7">
        <v>0</v>
      </c>
      <c r="E309" s="7">
        <v>0</v>
      </c>
      <c r="F309" s="5">
        <v>0</v>
      </c>
      <c r="G309" s="7">
        <v>0</v>
      </c>
      <c r="H309" s="5">
        <v>95</v>
      </c>
      <c r="I309" s="7">
        <v>12156.2</v>
      </c>
      <c r="J309" s="7">
        <v>49</v>
      </c>
      <c r="K309" s="5">
        <v>0</v>
      </c>
      <c r="L309" s="5">
        <v>0</v>
      </c>
      <c r="M309" s="5">
        <v>49</v>
      </c>
      <c r="N309" s="7">
        <v>49</v>
      </c>
      <c r="O309" s="7">
        <v>7750.7</v>
      </c>
      <c r="P309" s="7">
        <v>0</v>
      </c>
      <c r="Q309" s="5">
        <v>0</v>
      </c>
      <c r="R309" s="5">
        <v>0</v>
      </c>
      <c r="S309" s="7">
        <v>0</v>
      </c>
      <c r="T309" s="27">
        <v>43157</v>
      </c>
      <c r="U309" s="28">
        <v>2</v>
      </c>
      <c r="V309" s="28">
        <v>2</v>
      </c>
      <c r="W309" s="28">
        <v>2</v>
      </c>
      <c r="X309" s="45">
        <v>19906.900000000001</v>
      </c>
      <c r="Y309" s="14" t="s">
        <v>1636</v>
      </c>
      <c r="Z309" s="14" t="s">
        <v>1355</v>
      </c>
      <c r="AA309" s="14" t="s">
        <v>2766</v>
      </c>
      <c r="AB309" s="44">
        <v>43166</v>
      </c>
      <c r="AC309" s="44" t="s">
        <v>2767</v>
      </c>
      <c r="AD309" s="29" t="s">
        <v>49</v>
      </c>
      <c r="AE309" s="43" t="s">
        <v>640</v>
      </c>
      <c r="AF309" s="25" t="s">
        <v>1267</v>
      </c>
      <c r="AG309" t="e">
        <f t="shared" si="4"/>
        <v>#REF!</v>
      </c>
      <c r="AH309"/>
      <c r="AI309" s="58"/>
      <c r="AJ309"/>
      <c r="AK309" s="30"/>
      <c r="AL309" s="30"/>
      <c r="AM309" s="30"/>
      <c r="AN309" s="30"/>
      <c r="AO309" s="30"/>
    </row>
    <row r="310" spans="1:41" s="31" customFormat="1" ht="15.75" customHeight="1">
      <c r="A310" s="13" t="s">
        <v>678</v>
      </c>
      <c r="B310" s="5">
        <v>124</v>
      </c>
      <c r="C310" s="7">
        <v>12848.2</v>
      </c>
      <c r="D310" s="7">
        <v>40</v>
      </c>
      <c r="E310" s="7">
        <v>40</v>
      </c>
      <c r="F310" s="5">
        <v>0</v>
      </c>
      <c r="G310" s="7">
        <v>1578.5</v>
      </c>
      <c r="H310" s="5">
        <v>125</v>
      </c>
      <c r="I310" s="7">
        <v>13752.449999999999</v>
      </c>
      <c r="J310" s="7">
        <v>108</v>
      </c>
      <c r="K310" s="5">
        <v>0</v>
      </c>
      <c r="L310" s="5">
        <v>0</v>
      </c>
      <c r="M310" s="5">
        <v>108</v>
      </c>
      <c r="N310" s="7">
        <v>108</v>
      </c>
      <c r="O310" s="7">
        <v>19258</v>
      </c>
      <c r="P310" s="7">
        <v>0</v>
      </c>
      <c r="Q310" s="5">
        <v>0</v>
      </c>
      <c r="R310" s="5">
        <v>0</v>
      </c>
      <c r="S310" s="7">
        <v>0</v>
      </c>
      <c r="T310" s="27">
        <v>43157</v>
      </c>
      <c r="U310" s="28">
        <v>4</v>
      </c>
      <c r="V310" s="28">
        <v>2</v>
      </c>
      <c r="W310" s="28">
        <v>3</v>
      </c>
      <c r="X310" s="45">
        <v>47437.15</v>
      </c>
      <c r="Y310" s="14" t="s">
        <v>54</v>
      </c>
      <c r="Z310" s="14" t="s">
        <v>1281</v>
      </c>
      <c r="AA310" s="14" t="s">
        <v>2762</v>
      </c>
      <c r="AB310" s="44">
        <v>43163</v>
      </c>
      <c r="AC310" s="44" t="s">
        <v>2763</v>
      </c>
      <c r="AD310" s="29" t="s">
        <v>52</v>
      </c>
      <c r="AE310" s="43" t="s">
        <v>679</v>
      </c>
      <c r="AF310" s="25" t="s">
        <v>1271</v>
      </c>
      <c r="AG310" t="e">
        <f t="shared" si="4"/>
        <v>#REF!</v>
      </c>
      <c r="AH310"/>
      <c r="AI310" s="58"/>
      <c r="AJ310"/>
      <c r="AK310" s="30"/>
      <c r="AL310" s="30"/>
      <c r="AM310" s="30"/>
      <c r="AN310" s="30"/>
      <c r="AO310" s="30"/>
    </row>
    <row r="311" spans="1:41" s="31" customFormat="1" ht="15.75" customHeight="1">
      <c r="A311" s="13" t="s">
        <v>680</v>
      </c>
      <c r="B311" s="5">
        <v>501</v>
      </c>
      <c r="C311" s="7">
        <v>49593.19999999999</v>
      </c>
      <c r="D311" s="7">
        <v>0</v>
      </c>
      <c r="E311" s="7">
        <v>0</v>
      </c>
      <c r="F311" s="5">
        <v>0</v>
      </c>
      <c r="G311" s="7">
        <v>0</v>
      </c>
      <c r="H311" s="5">
        <v>135</v>
      </c>
      <c r="I311" s="7">
        <v>14207.95</v>
      </c>
      <c r="J311" s="7">
        <v>369</v>
      </c>
      <c r="K311" s="5">
        <v>0</v>
      </c>
      <c r="L311" s="5">
        <v>0</v>
      </c>
      <c r="M311" s="5">
        <v>369</v>
      </c>
      <c r="N311" s="7">
        <v>369</v>
      </c>
      <c r="O311" s="7">
        <v>59670.6</v>
      </c>
      <c r="P311" s="7">
        <v>84</v>
      </c>
      <c r="Q311" s="5">
        <v>0</v>
      </c>
      <c r="R311" s="5">
        <v>84</v>
      </c>
      <c r="S311" s="7">
        <v>15766.8</v>
      </c>
      <c r="T311" s="27">
        <v>43157</v>
      </c>
      <c r="U311" s="28">
        <v>12</v>
      </c>
      <c r="V311" s="28">
        <v>5</v>
      </c>
      <c r="W311" s="28">
        <v>5</v>
      </c>
      <c r="X311" s="45">
        <v>139238.54999999999</v>
      </c>
      <c r="Y311" s="14" t="s">
        <v>58</v>
      </c>
      <c r="Z311" s="14" t="s">
        <v>55</v>
      </c>
      <c r="AA311" s="14" t="s">
        <v>2764</v>
      </c>
      <c r="AB311" s="44">
        <v>43160</v>
      </c>
      <c r="AC311" s="44" t="s">
        <v>732</v>
      </c>
      <c r="AD311" s="29" t="s">
        <v>51</v>
      </c>
      <c r="AE311" s="43" t="s">
        <v>681</v>
      </c>
      <c r="AF311" s="25" t="s">
        <v>1270</v>
      </c>
      <c r="AG311" t="e">
        <f t="shared" si="4"/>
        <v>#REF!</v>
      </c>
      <c r="AH311"/>
      <c r="AI311" s="58"/>
      <c r="AJ311"/>
      <c r="AK311" s="30"/>
      <c r="AL311" s="30"/>
      <c r="AM311" s="30"/>
      <c r="AN311" s="30"/>
      <c r="AO311" s="30"/>
    </row>
    <row r="312" spans="1:41" s="31" customFormat="1" ht="15.75" customHeight="1">
      <c r="A312" s="13" t="s">
        <v>682</v>
      </c>
      <c r="B312" s="5">
        <v>499</v>
      </c>
      <c r="C312" s="7">
        <v>50530.30999999999</v>
      </c>
      <c r="D312" s="7">
        <v>0</v>
      </c>
      <c r="E312" s="7">
        <v>0</v>
      </c>
      <c r="F312" s="5">
        <v>0</v>
      </c>
      <c r="G312" s="7">
        <v>0</v>
      </c>
      <c r="H312" s="5">
        <v>0</v>
      </c>
      <c r="I312" s="7">
        <v>0</v>
      </c>
      <c r="J312" s="7">
        <v>237</v>
      </c>
      <c r="K312" s="5">
        <v>0</v>
      </c>
      <c r="L312" s="5">
        <v>0</v>
      </c>
      <c r="M312" s="5">
        <v>237</v>
      </c>
      <c r="N312" s="7">
        <v>237</v>
      </c>
      <c r="O312" s="7">
        <v>39297.199999999997</v>
      </c>
      <c r="P312" s="7">
        <v>322</v>
      </c>
      <c r="Q312" s="5">
        <v>0</v>
      </c>
      <c r="R312" s="5">
        <v>322</v>
      </c>
      <c r="S312" s="7">
        <v>61498.7</v>
      </c>
      <c r="T312" s="27">
        <v>43157</v>
      </c>
      <c r="U312" s="28">
        <v>12</v>
      </c>
      <c r="V312" s="28">
        <v>3</v>
      </c>
      <c r="W312" s="28">
        <v>2</v>
      </c>
      <c r="X312" s="45">
        <v>151326.20999999996</v>
      </c>
      <c r="Y312" s="14" t="s">
        <v>54</v>
      </c>
      <c r="Z312" s="14" t="s">
        <v>59</v>
      </c>
      <c r="AA312" s="14" t="s">
        <v>671</v>
      </c>
      <c r="AB312" s="44">
        <v>43160</v>
      </c>
      <c r="AC312" s="44" t="s">
        <v>672</v>
      </c>
      <c r="AD312" s="29" t="s">
        <v>50</v>
      </c>
      <c r="AE312" s="43" t="s">
        <v>683</v>
      </c>
      <c r="AF312" s="25" t="s">
        <v>1269</v>
      </c>
      <c r="AG312" t="e">
        <f t="shared" si="4"/>
        <v>#REF!</v>
      </c>
      <c r="AH312"/>
      <c r="AI312" s="58"/>
      <c r="AJ312"/>
      <c r="AK312" s="30"/>
      <c r="AL312" s="30"/>
      <c r="AM312" s="30"/>
      <c r="AN312" s="30"/>
      <c r="AO312" s="30"/>
    </row>
    <row r="313" spans="1:41" s="31" customFormat="1" ht="15.75" customHeight="1">
      <c r="A313" s="13" t="s">
        <v>684</v>
      </c>
      <c r="B313" s="5">
        <v>24</v>
      </c>
      <c r="C313" s="7">
        <v>2345.9</v>
      </c>
      <c r="D313" s="7">
        <v>0</v>
      </c>
      <c r="E313" s="7">
        <v>0</v>
      </c>
      <c r="F313" s="5">
        <v>0</v>
      </c>
      <c r="G313" s="7">
        <v>0</v>
      </c>
      <c r="H313" s="5">
        <v>0</v>
      </c>
      <c r="I313" s="7">
        <v>0</v>
      </c>
      <c r="J313" s="7">
        <v>39</v>
      </c>
      <c r="K313" s="5">
        <v>0</v>
      </c>
      <c r="L313" s="5">
        <v>0</v>
      </c>
      <c r="M313" s="5">
        <v>39</v>
      </c>
      <c r="N313" s="7">
        <v>39</v>
      </c>
      <c r="O313" s="7">
        <v>6473.9</v>
      </c>
      <c r="P313" s="7">
        <v>497</v>
      </c>
      <c r="Q313" s="5">
        <v>0</v>
      </c>
      <c r="R313" s="5">
        <v>497</v>
      </c>
      <c r="S313" s="7">
        <v>42958.5</v>
      </c>
      <c r="T313" s="27">
        <v>43157</v>
      </c>
      <c r="U313" s="28">
        <v>2</v>
      </c>
      <c r="V313" s="28">
        <v>4</v>
      </c>
      <c r="W313" s="28">
        <v>5</v>
      </c>
      <c r="X313" s="45">
        <v>51778.3</v>
      </c>
      <c r="Y313" s="14" t="s">
        <v>85</v>
      </c>
      <c r="Z313" s="14" t="s">
        <v>1355</v>
      </c>
      <c r="AA313" s="14">
        <v>350810014224</v>
      </c>
      <c r="AB313" s="44">
        <v>43166</v>
      </c>
      <c r="AC313" s="44" t="s">
        <v>2758</v>
      </c>
      <c r="AD313" s="29" t="s">
        <v>49</v>
      </c>
      <c r="AE313" s="43" t="s">
        <v>685</v>
      </c>
      <c r="AF313" s="25" t="s">
        <v>1266</v>
      </c>
      <c r="AG313" t="e">
        <f t="shared" si="4"/>
        <v>#REF!</v>
      </c>
      <c r="AH313"/>
      <c r="AI313" s="58"/>
      <c r="AJ313"/>
      <c r="AK313" s="30"/>
      <c r="AL313" s="30"/>
      <c r="AM313" s="30"/>
      <c r="AN313" s="30"/>
      <c r="AO313" s="30"/>
    </row>
    <row r="314" spans="1:41" s="31" customFormat="1" ht="15.75" customHeight="1">
      <c r="A314" s="13" t="s">
        <v>687</v>
      </c>
      <c r="B314" s="5">
        <v>0</v>
      </c>
      <c r="C314" s="7">
        <v>0</v>
      </c>
      <c r="D314" s="7">
        <v>0</v>
      </c>
      <c r="E314" s="7">
        <v>0</v>
      </c>
      <c r="F314" s="5">
        <v>0</v>
      </c>
      <c r="G314" s="7">
        <v>0</v>
      </c>
      <c r="H314" s="5">
        <v>846</v>
      </c>
      <c r="I314" s="7">
        <v>104733.55999999998</v>
      </c>
      <c r="J314" s="7">
        <v>0</v>
      </c>
      <c r="K314" s="5">
        <v>0</v>
      </c>
      <c r="L314" s="5">
        <v>0</v>
      </c>
      <c r="M314" s="5">
        <v>0</v>
      </c>
      <c r="N314" s="7">
        <v>0</v>
      </c>
      <c r="O314" s="7">
        <v>0</v>
      </c>
      <c r="P314" s="7">
        <v>0</v>
      </c>
      <c r="Q314" s="5">
        <v>0</v>
      </c>
      <c r="R314" s="5">
        <v>0</v>
      </c>
      <c r="S314" s="7">
        <v>0</v>
      </c>
      <c r="T314" s="27">
        <v>43158</v>
      </c>
      <c r="U314" s="28">
        <v>8</v>
      </c>
      <c r="V314" s="28">
        <v>3</v>
      </c>
      <c r="W314" s="28">
        <v>2</v>
      </c>
      <c r="X314" s="45">
        <v>104733.55999999998</v>
      </c>
      <c r="Y314" s="14" t="s">
        <v>56</v>
      </c>
      <c r="Z314" s="14" t="s">
        <v>730</v>
      </c>
      <c r="AA314" s="14" t="s">
        <v>733</v>
      </c>
      <c r="AB314" s="44">
        <v>43160</v>
      </c>
      <c r="AC314" s="44" t="s">
        <v>2765</v>
      </c>
      <c r="AD314" s="29" t="s">
        <v>49</v>
      </c>
      <c r="AE314" s="43" t="s">
        <v>688</v>
      </c>
      <c r="AF314" s="25" t="s">
        <v>1265</v>
      </c>
      <c r="AG314" t="e">
        <f t="shared" si="4"/>
        <v>#REF!</v>
      </c>
      <c r="AH314"/>
      <c r="AI314" s="58"/>
      <c r="AJ314"/>
      <c r="AK314" s="30"/>
      <c r="AL314" s="30"/>
      <c r="AM314" s="30"/>
      <c r="AN314" s="30"/>
      <c r="AO314" s="30"/>
    </row>
    <row r="315" spans="1:41" s="31" customFormat="1" ht="15.75" customHeight="1">
      <c r="A315" s="13" t="s">
        <v>689</v>
      </c>
      <c r="B315" s="5">
        <v>165</v>
      </c>
      <c r="C315" s="7">
        <v>23383.8</v>
      </c>
      <c r="D315" s="7">
        <v>0</v>
      </c>
      <c r="E315" s="7">
        <v>0</v>
      </c>
      <c r="F315" s="5">
        <v>0</v>
      </c>
      <c r="G315" s="7">
        <v>0</v>
      </c>
      <c r="H315" s="5">
        <v>0</v>
      </c>
      <c r="I315" s="7">
        <v>0</v>
      </c>
      <c r="J315" s="7">
        <v>0</v>
      </c>
      <c r="K315" s="5">
        <v>0</v>
      </c>
      <c r="L315" s="5">
        <v>0</v>
      </c>
      <c r="M315" s="5">
        <v>0</v>
      </c>
      <c r="N315" s="7">
        <v>0</v>
      </c>
      <c r="O315" s="7">
        <v>0</v>
      </c>
      <c r="P315" s="7">
        <v>0</v>
      </c>
      <c r="Q315" s="5">
        <v>0</v>
      </c>
      <c r="R315" s="5">
        <v>0</v>
      </c>
      <c r="S315" s="7">
        <v>0</v>
      </c>
      <c r="T315" s="27">
        <v>43158</v>
      </c>
      <c r="U315" s="28">
        <v>2</v>
      </c>
      <c r="V315" s="28">
        <v>6</v>
      </c>
      <c r="W315" s="28">
        <v>9</v>
      </c>
      <c r="X315" s="45">
        <v>23383.8</v>
      </c>
      <c r="Y315" s="14" t="s">
        <v>1636</v>
      </c>
      <c r="Z315" s="14" t="s">
        <v>1355</v>
      </c>
      <c r="AA315" s="14" t="s">
        <v>2766</v>
      </c>
      <c r="AB315" s="44">
        <v>43166</v>
      </c>
      <c r="AC315" s="44" t="s">
        <v>2767</v>
      </c>
      <c r="AD315" s="29" t="s">
        <v>49</v>
      </c>
      <c r="AE315" s="43" t="s">
        <v>690</v>
      </c>
      <c r="AF315" s="25" t="s">
        <v>1267</v>
      </c>
      <c r="AG315" t="e">
        <f t="shared" si="4"/>
        <v>#REF!</v>
      </c>
      <c r="AH315"/>
      <c r="AI315" s="58"/>
      <c r="AJ315"/>
      <c r="AK315" s="30"/>
      <c r="AL315" s="30"/>
      <c r="AM315" s="30"/>
      <c r="AN315" s="30"/>
      <c r="AO315" s="30"/>
    </row>
    <row r="316" spans="1:41" s="31" customFormat="1" ht="15.75" customHeight="1">
      <c r="A316" s="13" t="s">
        <v>691</v>
      </c>
      <c r="B316" s="5">
        <v>78</v>
      </c>
      <c r="C316" s="7">
        <v>5616.9600000000009</v>
      </c>
      <c r="D316" s="7">
        <v>0</v>
      </c>
      <c r="E316" s="7">
        <v>0</v>
      </c>
      <c r="F316" s="5">
        <v>0</v>
      </c>
      <c r="G316" s="7">
        <v>0</v>
      </c>
      <c r="H316" s="5">
        <v>150</v>
      </c>
      <c r="I316" s="7">
        <v>6115</v>
      </c>
      <c r="J316" s="7">
        <v>187</v>
      </c>
      <c r="K316" s="5">
        <v>0</v>
      </c>
      <c r="L316" s="5">
        <v>0</v>
      </c>
      <c r="M316" s="5">
        <v>187</v>
      </c>
      <c r="N316" s="7">
        <v>187</v>
      </c>
      <c r="O316" s="7">
        <v>22298.000000000007</v>
      </c>
      <c r="P316" s="7">
        <v>140</v>
      </c>
      <c r="Q316" s="5">
        <v>0</v>
      </c>
      <c r="R316" s="5">
        <v>140</v>
      </c>
      <c r="S316" s="7">
        <v>18764.5</v>
      </c>
      <c r="T316" s="27">
        <v>43158</v>
      </c>
      <c r="U316" s="28">
        <v>4</v>
      </c>
      <c r="V316" s="28">
        <v>4</v>
      </c>
      <c r="W316" s="28">
        <v>4</v>
      </c>
      <c r="X316" s="45">
        <v>52794.460000000006</v>
      </c>
      <c r="Y316" s="14" t="s">
        <v>54</v>
      </c>
      <c r="Z316" s="14" t="s">
        <v>1281</v>
      </c>
      <c r="AA316" s="14" t="s">
        <v>2762</v>
      </c>
      <c r="AB316" s="44">
        <v>43163</v>
      </c>
      <c r="AC316" s="44" t="s">
        <v>2763</v>
      </c>
      <c r="AD316" s="29" t="s">
        <v>52</v>
      </c>
      <c r="AE316" s="43" t="s">
        <v>692</v>
      </c>
      <c r="AF316" s="25" t="s">
        <v>1271</v>
      </c>
      <c r="AG316" t="e">
        <f t="shared" si="4"/>
        <v>#REF!</v>
      </c>
      <c r="AH316"/>
      <c r="AI316" s="58"/>
      <c r="AJ316"/>
      <c r="AK316" s="30"/>
      <c r="AL316" s="30"/>
      <c r="AM316" s="30"/>
      <c r="AN316" s="30"/>
      <c r="AO316" s="30"/>
    </row>
    <row r="317" spans="1:41" s="31" customFormat="1" ht="15.75" customHeight="1">
      <c r="A317" s="13" t="s">
        <v>693</v>
      </c>
      <c r="B317" s="5">
        <v>583</v>
      </c>
      <c r="C317" s="7">
        <v>66696.549999999988</v>
      </c>
      <c r="D317" s="7">
        <v>0</v>
      </c>
      <c r="E317" s="7">
        <v>0</v>
      </c>
      <c r="F317" s="5">
        <v>0</v>
      </c>
      <c r="G317" s="7">
        <v>0</v>
      </c>
      <c r="H317" s="5">
        <v>573</v>
      </c>
      <c r="I317" s="7">
        <v>69357.839999999982</v>
      </c>
      <c r="J317" s="7">
        <v>0</v>
      </c>
      <c r="K317" s="5">
        <v>0</v>
      </c>
      <c r="L317" s="5">
        <v>0</v>
      </c>
      <c r="M317" s="5">
        <v>0</v>
      </c>
      <c r="N317" s="7">
        <v>0</v>
      </c>
      <c r="O317" s="7">
        <v>0</v>
      </c>
      <c r="P317" s="7">
        <v>204</v>
      </c>
      <c r="Q317" s="5">
        <v>0</v>
      </c>
      <c r="R317" s="5">
        <v>204</v>
      </c>
      <c r="S317" s="7">
        <v>32258.399999999998</v>
      </c>
      <c r="T317" s="27">
        <v>43158</v>
      </c>
      <c r="U317" s="28">
        <v>13</v>
      </c>
      <c r="V317" s="28">
        <v>2</v>
      </c>
      <c r="W317" s="28">
        <v>3</v>
      </c>
      <c r="X317" s="45">
        <v>168312.78999999995</v>
      </c>
      <c r="Y317" s="14" t="s">
        <v>54</v>
      </c>
      <c r="Z317" s="14" t="s">
        <v>55</v>
      </c>
      <c r="AA317" s="14" t="s">
        <v>2768</v>
      </c>
      <c r="AB317" s="44">
        <v>43163</v>
      </c>
      <c r="AC317" s="44" t="s">
        <v>2763</v>
      </c>
      <c r="AD317" s="29" t="s">
        <v>51</v>
      </c>
      <c r="AE317" s="43" t="s">
        <v>694</v>
      </c>
      <c r="AF317" s="25" t="s">
        <v>1270</v>
      </c>
      <c r="AG317" t="e">
        <f t="shared" si="4"/>
        <v>#REF!</v>
      </c>
      <c r="AH317"/>
      <c r="AI317" s="58"/>
      <c r="AJ317"/>
      <c r="AK317" s="30"/>
      <c r="AL317" s="30"/>
      <c r="AM317" s="30"/>
      <c r="AN317" s="30"/>
      <c r="AO317" s="30"/>
    </row>
    <row r="318" spans="1:41" s="31" customFormat="1" ht="15.75" customHeight="1">
      <c r="A318" s="13" t="s">
        <v>695</v>
      </c>
      <c r="B318" s="5">
        <v>147</v>
      </c>
      <c r="C318" s="7">
        <v>13636.300000000001</v>
      </c>
      <c r="D318" s="7">
        <v>0</v>
      </c>
      <c r="E318" s="7">
        <v>0</v>
      </c>
      <c r="F318" s="5">
        <v>0</v>
      </c>
      <c r="G318" s="7">
        <v>0</v>
      </c>
      <c r="H318" s="5">
        <v>225</v>
      </c>
      <c r="I318" s="7">
        <v>26213.100000000002</v>
      </c>
      <c r="J318" s="7">
        <v>58</v>
      </c>
      <c r="K318" s="5">
        <v>0</v>
      </c>
      <c r="L318" s="5">
        <v>0</v>
      </c>
      <c r="M318" s="5">
        <v>58</v>
      </c>
      <c r="N318" s="7">
        <v>58</v>
      </c>
      <c r="O318" s="7">
        <v>9792</v>
      </c>
      <c r="P318" s="7">
        <v>74</v>
      </c>
      <c r="Q318" s="5">
        <v>0</v>
      </c>
      <c r="R318" s="5">
        <v>74</v>
      </c>
      <c r="S318" s="7">
        <v>17671.2</v>
      </c>
      <c r="T318" s="27">
        <v>43158</v>
      </c>
      <c r="U318" s="28">
        <v>5</v>
      </c>
      <c r="V318" s="28">
        <v>3</v>
      </c>
      <c r="W318" s="28">
        <v>2</v>
      </c>
      <c r="X318" s="45">
        <v>67312.600000000006</v>
      </c>
      <c r="Y318" s="14" t="s">
        <v>54</v>
      </c>
      <c r="Z318" s="14" t="s">
        <v>59</v>
      </c>
      <c r="AA318" s="14" t="s">
        <v>2769</v>
      </c>
      <c r="AB318" s="44">
        <v>43168</v>
      </c>
      <c r="AC318" s="44" t="s">
        <v>2770</v>
      </c>
      <c r="AD318" s="29" t="s">
        <v>51</v>
      </c>
      <c r="AE318" s="43" t="s">
        <v>696</v>
      </c>
      <c r="AF318" s="25" t="s">
        <v>1270</v>
      </c>
      <c r="AG318" t="e">
        <f t="shared" si="4"/>
        <v>#REF!</v>
      </c>
      <c r="AH318"/>
      <c r="AI318" s="58"/>
      <c r="AJ318"/>
      <c r="AK318" s="30"/>
      <c r="AL318" s="30"/>
      <c r="AM318" s="30"/>
      <c r="AN318" s="30"/>
      <c r="AO318" s="30"/>
    </row>
    <row r="319" spans="1:41" s="31" customFormat="1" ht="15.75" customHeight="1">
      <c r="A319" s="13" t="s">
        <v>697</v>
      </c>
      <c r="B319" s="5">
        <v>387</v>
      </c>
      <c r="C319" s="7">
        <v>35402.379999999997</v>
      </c>
      <c r="D319" s="7">
        <v>0</v>
      </c>
      <c r="E319" s="7">
        <v>0</v>
      </c>
      <c r="F319" s="5">
        <v>0</v>
      </c>
      <c r="G319" s="7">
        <v>0</v>
      </c>
      <c r="H319" s="5">
        <v>0</v>
      </c>
      <c r="I319" s="7">
        <v>0</v>
      </c>
      <c r="J319" s="7">
        <v>180</v>
      </c>
      <c r="K319" s="5">
        <v>0</v>
      </c>
      <c r="L319" s="5">
        <v>0</v>
      </c>
      <c r="M319" s="5">
        <v>180</v>
      </c>
      <c r="N319" s="7">
        <v>180</v>
      </c>
      <c r="O319" s="7">
        <v>30600.799999999996</v>
      </c>
      <c r="P319" s="7">
        <v>58</v>
      </c>
      <c r="Q319" s="5">
        <v>0</v>
      </c>
      <c r="R319" s="5">
        <v>58</v>
      </c>
      <c r="S319" s="7">
        <v>19673.599999999999</v>
      </c>
      <c r="T319" s="27">
        <v>43158</v>
      </c>
      <c r="U319" s="28">
        <v>7</v>
      </c>
      <c r="V319" s="28">
        <v>1</v>
      </c>
      <c r="W319" s="28">
        <v>6</v>
      </c>
      <c r="X319" s="45">
        <v>85676.78</v>
      </c>
      <c r="Y319" s="14" t="s">
        <v>54</v>
      </c>
      <c r="Z319" s="14" t="s">
        <v>59</v>
      </c>
      <c r="AA319" s="14" t="s">
        <v>2771</v>
      </c>
      <c r="AB319" s="44">
        <v>43163</v>
      </c>
      <c r="AC319" s="44" t="s">
        <v>2772</v>
      </c>
      <c r="AD319" s="29" t="s">
        <v>50</v>
      </c>
      <c r="AE319" s="43" t="s">
        <v>698</v>
      </c>
      <c r="AF319" s="25" t="s">
        <v>1269</v>
      </c>
      <c r="AG319" t="e">
        <f t="shared" si="4"/>
        <v>#REF!</v>
      </c>
      <c r="AH319"/>
      <c r="AI319" s="58"/>
      <c r="AJ319"/>
      <c r="AK319" s="30"/>
      <c r="AL319" s="30"/>
      <c r="AM319" s="30"/>
      <c r="AN319" s="30"/>
      <c r="AO319" s="30"/>
    </row>
    <row r="320" spans="1:41" s="31" customFormat="1" ht="15.75" customHeight="1">
      <c r="A320" s="13" t="s">
        <v>699</v>
      </c>
      <c r="B320" s="5">
        <v>0</v>
      </c>
      <c r="C320" s="7">
        <v>0</v>
      </c>
      <c r="D320" s="7">
        <v>0</v>
      </c>
      <c r="E320" s="7">
        <v>0</v>
      </c>
      <c r="F320" s="5">
        <v>0</v>
      </c>
      <c r="G320" s="7">
        <v>0</v>
      </c>
      <c r="H320" s="5">
        <v>0</v>
      </c>
      <c r="I320" s="7">
        <v>0</v>
      </c>
      <c r="J320" s="7">
        <v>0</v>
      </c>
      <c r="K320" s="5">
        <v>0</v>
      </c>
      <c r="L320" s="5">
        <v>0</v>
      </c>
      <c r="M320" s="5">
        <v>0</v>
      </c>
      <c r="N320" s="7">
        <v>0</v>
      </c>
      <c r="O320" s="7">
        <v>0</v>
      </c>
      <c r="P320" s="7">
        <v>134</v>
      </c>
      <c r="Q320" s="5">
        <v>0</v>
      </c>
      <c r="R320" s="5">
        <v>134</v>
      </c>
      <c r="S320" s="7">
        <v>16697.599999999999</v>
      </c>
      <c r="T320" s="27">
        <v>43159</v>
      </c>
      <c r="U320" s="28">
        <v>1</v>
      </c>
      <c r="V320" s="28">
        <v>2</v>
      </c>
      <c r="W320" s="28">
        <v>2</v>
      </c>
      <c r="X320" s="45">
        <v>16697.599999999999</v>
      </c>
      <c r="Y320" s="14" t="s">
        <v>1633</v>
      </c>
      <c r="Z320" s="14" t="s">
        <v>1355</v>
      </c>
      <c r="AA320" s="14" t="s">
        <v>2773</v>
      </c>
      <c r="AB320" s="44">
        <v>43163</v>
      </c>
      <c r="AC320" s="44" t="s">
        <v>2761</v>
      </c>
      <c r="AD320" s="29" t="s">
        <v>48</v>
      </c>
      <c r="AE320" s="43" t="s">
        <v>700</v>
      </c>
      <c r="AF320" s="25" t="s">
        <v>1264</v>
      </c>
      <c r="AG320" t="e">
        <f t="shared" si="4"/>
        <v>#REF!</v>
      </c>
      <c r="AH320"/>
      <c r="AI320" s="58"/>
      <c r="AJ320"/>
      <c r="AK320" s="30"/>
      <c r="AL320" s="30"/>
      <c r="AM320" s="30"/>
      <c r="AN320" s="30"/>
      <c r="AO320" s="30"/>
    </row>
    <row r="321" spans="1:41" s="31" customFormat="1" ht="15.75" customHeight="1">
      <c r="A321" s="13" t="s">
        <v>701</v>
      </c>
      <c r="B321" s="5">
        <v>36</v>
      </c>
      <c r="C321" s="7">
        <v>3107.6000000000004</v>
      </c>
      <c r="D321" s="7">
        <v>0</v>
      </c>
      <c r="E321" s="7">
        <v>0</v>
      </c>
      <c r="F321" s="5">
        <v>0</v>
      </c>
      <c r="G321" s="7">
        <v>0</v>
      </c>
      <c r="H321" s="5">
        <v>90</v>
      </c>
      <c r="I321" s="7">
        <v>3669</v>
      </c>
      <c r="J321" s="7">
        <v>110</v>
      </c>
      <c r="K321" s="5">
        <v>0</v>
      </c>
      <c r="L321" s="5">
        <v>0</v>
      </c>
      <c r="M321" s="5">
        <v>110</v>
      </c>
      <c r="N321" s="7">
        <v>110</v>
      </c>
      <c r="O321" s="7">
        <v>13936.800000000001</v>
      </c>
      <c r="P321" s="7">
        <v>130</v>
      </c>
      <c r="Q321" s="5">
        <v>0</v>
      </c>
      <c r="R321" s="5">
        <v>130</v>
      </c>
      <c r="S321" s="7">
        <v>15729.7</v>
      </c>
      <c r="T321" s="27">
        <v>43159</v>
      </c>
      <c r="U321" s="28">
        <v>3</v>
      </c>
      <c r="V321" s="28">
        <v>5</v>
      </c>
      <c r="W321" s="28">
        <v>4</v>
      </c>
      <c r="X321" s="45">
        <v>36443.100000000006</v>
      </c>
      <c r="Y321" s="14" t="s">
        <v>1633</v>
      </c>
      <c r="Z321" s="14" t="s">
        <v>1355</v>
      </c>
      <c r="AA321" s="14" t="s">
        <v>2760</v>
      </c>
      <c r="AB321" s="44">
        <v>43163</v>
      </c>
      <c r="AC321" s="44" t="s">
        <v>2761</v>
      </c>
      <c r="AD321" s="29" t="s">
        <v>70</v>
      </c>
      <c r="AE321" s="43" t="s">
        <v>702</v>
      </c>
      <c r="AF321" s="25" t="s">
        <v>1273</v>
      </c>
      <c r="AG321" t="e">
        <f t="shared" si="4"/>
        <v>#REF!</v>
      </c>
      <c r="AH321"/>
      <c r="AI321" s="58"/>
      <c r="AJ321"/>
      <c r="AK321" s="30"/>
      <c r="AL321" s="30"/>
      <c r="AM321" s="30"/>
      <c r="AN321" s="30"/>
      <c r="AO321" s="30"/>
    </row>
    <row r="322" spans="1:41" s="31" customFormat="1" ht="15.75" customHeight="1">
      <c r="A322" s="13" t="s">
        <v>703</v>
      </c>
      <c r="B322" s="5">
        <v>34</v>
      </c>
      <c r="C322" s="7">
        <v>4691</v>
      </c>
      <c r="D322" s="7">
        <v>0</v>
      </c>
      <c r="E322" s="7">
        <v>0</v>
      </c>
      <c r="F322" s="5">
        <v>0</v>
      </c>
      <c r="G322" s="7">
        <v>0</v>
      </c>
      <c r="H322" s="5">
        <v>0</v>
      </c>
      <c r="I322" s="7">
        <v>0</v>
      </c>
      <c r="J322" s="7">
        <v>15</v>
      </c>
      <c r="K322" s="5">
        <v>0</v>
      </c>
      <c r="L322" s="5">
        <v>0</v>
      </c>
      <c r="M322" s="5">
        <v>15</v>
      </c>
      <c r="N322" s="7">
        <v>15</v>
      </c>
      <c r="O322" s="7">
        <v>3056.7999999999997</v>
      </c>
      <c r="P322" s="7">
        <v>39</v>
      </c>
      <c r="Q322" s="5">
        <v>0</v>
      </c>
      <c r="R322" s="5">
        <v>39</v>
      </c>
      <c r="S322" s="7">
        <v>5806.8</v>
      </c>
      <c r="T322" s="27">
        <v>43159</v>
      </c>
      <c r="U322" s="28">
        <v>1</v>
      </c>
      <c r="V322" s="28">
        <v>3</v>
      </c>
      <c r="W322" s="28">
        <v>2</v>
      </c>
      <c r="X322" s="45">
        <v>13554.599999999999</v>
      </c>
      <c r="Y322" s="14" t="s">
        <v>1354</v>
      </c>
      <c r="Z322" s="14" t="s">
        <v>730</v>
      </c>
      <c r="AA322" s="14" t="s">
        <v>2774</v>
      </c>
      <c r="AB322" s="44">
        <v>43163</v>
      </c>
      <c r="AC322" s="44" t="s">
        <v>2775</v>
      </c>
      <c r="AD322" s="29" t="s">
        <v>240</v>
      </c>
      <c r="AE322" s="43" t="s">
        <v>704</v>
      </c>
      <c r="AF322" s="25" t="s">
        <v>1274</v>
      </c>
      <c r="AG322" t="e">
        <f t="shared" si="4"/>
        <v>#REF!</v>
      </c>
      <c r="AH322"/>
      <c r="AI322" s="58"/>
      <c r="AJ322"/>
      <c r="AK322" s="30"/>
      <c r="AL322" s="30"/>
      <c r="AM322" s="30"/>
      <c r="AN322" s="30"/>
      <c r="AO322" s="30"/>
    </row>
    <row r="323" spans="1:41" s="31" customFormat="1" ht="15.75" customHeight="1">
      <c r="A323" s="13" t="s">
        <v>705</v>
      </c>
      <c r="B323" s="5">
        <v>0</v>
      </c>
      <c r="C323" s="7">
        <v>0</v>
      </c>
      <c r="D323" s="7">
        <v>0</v>
      </c>
      <c r="E323" s="7">
        <v>0</v>
      </c>
      <c r="F323" s="5">
        <v>0</v>
      </c>
      <c r="G323" s="7">
        <v>0</v>
      </c>
      <c r="H323" s="5">
        <v>466</v>
      </c>
      <c r="I323" s="7">
        <v>62911.25</v>
      </c>
      <c r="J323" s="7">
        <v>334</v>
      </c>
      <c r="K323" s="5">
        <v>0</v>
      </c>
      <c r="L323" s="5">
        <v>0</v>
      </c>
      <c r="M323" s="5">
        <v>334</v>
      </c>
      <c r="N323" s="7">
        <v>334</v>
      </c>
      <c r="O323" s="7">
        <v>9643.5999999999985</v>
      </c>
      <c r="P323" s="7">
        <v>0</v>
      </c>
      <c r="Q323" s="5">
        <v>0</v>
      </c>
      <c r="R323" s="5">
        <v>0</v>
      </c>
      <c r="S323" s="7">
        <v>0</v>
      </c>
      <c r="T323" s="27">
        <v>43159</v>
      </c>
      <c r="U323" s="28">
        <v>5</v>
      </c>
      <c r="V323" s="28">
        <v>1</v>
      </c>
      <c r="W323" s="28">
        <v>6</v>
      </c>
      <c r="X323" s="45">
        <v>72554.850000000006</v>
      </c>
      <c r="Y323" s="14" t="s">
        <v>56</v>
      </c>
      <c r="Z323" s="14" t="s">
        <v>730</v>
      </c>
      <c r="AA323" s="14" t="s">
        <v>2776</v>
      </c>
      <c r="AB323" s="44">
        <v>43163</v>
      </c>
      <c r="AC323" s="44" t="s">
        <v>2777</v>
      </c>
      <c r="AD323" s="29" t="s">
        <v>49</v>
      </c>
      <c r="AE323" s="43" t="s">
        <v>706</v>
      </c>
      <c r="AF323" s="25" t="s">
        <v>1265</v>
      </c>
      <c r="AG323" t="e">
        <f t="shared" ref="AG323:AG386" si="5">+VLOOKUP(AF323,AH:AH,2,0)</f>
        <v>#REF!</v>
      </c>
      <c r="AH323"/>
      <c r="AI323" s="58"/>
      <c r="AJ323"/>
      <c r="AK323" s="30"/>
      <c r="AL323" s="30"/>
      <c r="AM323" s="30"/>
      <c r="AN323" s="30"/>
      <c r="AO323" s="30"/>
    </row>
    <row r="324" spans="1:41" s="31" customFormat="1" ht="15.75" customHeight="1">
      <c r="A324" s="13" t="s">
        <v>707</v>
      </c>
      <c r="B324" s="5">
        <v>0</v>
      </c>
      <c r="C324" s="7">
        <v>0</v>
      </c>
      <c r="D324" s="7">
        <v>0</v>
      </c>
      <c r="E324" s="7">
        <v>0</v>
      </c>
      <c r="F324" s="5">
        <v>0</v>
      </c>
      <c r="G324" s="7">
        <v>0</v>
      </c>
      <c r="H324" s="5">
        <v>406</v>
      </c>
      <c r="I324" s="7">
        <v>42737.380000000005</v>
      </c>
      <c r="J324" s="7">
        <v>69</v>
      </c>
      <c r="K324" s="5">
        <v>0</v>
      </c>
      <c r="L324" s="5">
        <v>0</v>
      </c>
      <c r="M324" s="5">
        <v>69</v>
      </c>
      <c r="N324" s="7">
        <v>69</v>
      </c>
      <c r="O324" s="7">
        <v>2091.6999999999998</v>
      </c>
      <c r="P324" s="7">
        <v>0</v>
      </c>
      <c r="Q324" s="5">
        <v>0</v>
      </c>
      <c r="R324" s="5">
        <v>0</v>
      </c>
      <c r="S324" s="7">
        <v>0</v>
      </c>
      <c r="T324" s="27">
        <v>43159</v>
      </c>
      <c r="U324" s="28">
        <v>3</v>
      </c>
      <c r="V324" s="28">
        <v>2</v>
      </c>
      <c r="W324" s="28">
        <v>2</v>
      </c>
      <c r="X324" s="45">
        <v>44829.08</v>
      </c>
      <c r="Y324" s="14" t="s">
        <v>56</v>
      </c>
      <c r="Z324" s="14" t="s">
        <v>59</v>
      </c>
      <c r="AA324" s="14" t="s">
        <v>2778</v>
      </c>
      <c r="AB324" s="44">
        <v>43166</v>
      </c>
      <c r="AC324" s="44" t="s">
        <v>2779</v>
      </c>
      <c r="AD324" s="29" t="s">
        <v>49</v>
      </c>
      <c r="AE324" s="43" t="s">
        <v>708</v>
      </c>
      <c r="AF324" s="25" t="s">
        <v>1265</v>
      </c>
      <c r="AG324" t="e">
        <f t="shared" si="5"/>
        <v>#REF!</v>
      </c>
      <c r="AH324"/>
      <c r="AI324" s="58"/>
      <c r="AJ324"/>
      <c r="AK324" s="30"/>
      <c r="AL324" s="30"/>
      <c r="AM324" s="30"/>
      <c r="AN324" s="30"/>
      <c r="AO324" s="30"/>
    </row>
    <row r="325" spans="1:41" s="31" customFormat="1" ht="15.75" customHeight="1">
      <c r="A325" s="13" t="s">
        <v>709</v>
      </c>
      <c r="B325" s="5">
        <v>0</v>
      </c>
      <c r="C325" s="7">
        <v>0</v>
      </c>
      <c r="D325" s="7">
        <v>0</v>
      </c>
      <c r="E325" s="7">
        <v>0</v>
      </c>
      <c r="F325" s="5">
        <v>0</v>
      </c>
      <c r="G325" s="7">
        <v>0</v>
      </c>
      <c r="H325" s="5">
        <v>0</v>
      </c>
      <c r="I325" s="7">
        <v>0</v>
      </c>
      <c r="J325" s="7">
        <v>116</v>
      </c>
      <c r="K325" s="5">
        <v>0</v>
      </c>
      <c r="L325" s="5">
        <v>0</v>
      </c>
      <c r="M325" s="5">
        <v>116</v>
      </c>
      <c r="N325" s="7">
        <v>116</v>
      </c>
      <c r="O325" s="7">
        <v>20497.199999999997</v>
      </c>
      <c r="P325" s="7">
        <v>165</v>
      </c>
      <c r="Q325" s="5">
        <v>0</v>
      </c>
      <c r="R325" s="5">
        <v>165</v>
      </c>
      <c r="S325" s="7">
        <v>33789.5</v>
      </c>
      <c r="T325" s="27">
        <v>43159</v>
      </c>
      <c r="U325" s="28">
        <v>4</v>
      </c>
      <c r="V325" s="28">
        <v>3</v>
      </c>
      <c r="W325" s="28">
        <v>3</v>
      </c>
      <c r="X325" s="45">
        <v>54286.7</v>
      </c>
      <c r="Y325" s="14" t="s">
        <v>1636</v>
      </c>
      <c r="Z325" s="14" t="s">
        <v>1355</v>
      </c>
      <c r="AA325" s="14" t="s">
        <v>2766</v>
      </c>
      <c r="AB325" s="44">
        <v>43166</v>
      </c>
      <c r="AC325" s="44" t="s">
        <v>2767</v>
      </c>
      <c r="AD325" s="29" t="s">
        <v>49</v>
      </c>
      <c r="AE325" s="43" t="s">
        <v>710</v>
      </c>
      <c r="AF325" s="25" t="s">
        <v>1267</v>
      </c>
      <c r="AG325" t="e">
        <f t="shared" si="5"/>
        <v>#REF!</v>
      </c>
      <c r="AH325"/>
      <c r="AI325" s="58"/>
      <c r="AJ325"/>
      <c r="AK325" s="30"/>
      <c r="AL325" s="30"/>
      <c r="AM325" s="30"/>
      <c r="AN325" s="30"/>
      <c r="AO325" s="30"/>
    </row>
    <row r="326" spans="1:41" s="31" customFormat="1" ht="15.75" customHeight="1">
      <c r="A326" s="13" t="s">
        <v>711</v>
      </c>
      <c r="B326" s="5">
        <v>22</v>
      </c>
      <c r="C326" s="7">
        <v>1349.5</v>
      </c>
      <c r="D326" s="7">
        <v>0</v>
      </c>
      <c r="E326" s="7">
        <v>0</v>
      </c>
      <c r="F326" s="5">
        <v>0</v>
      </c>
      <c r="G326" s="7">
        <v>0</v>
      </c>
      <c r="H326" s="5">
        <v>115</v>
      </c>
      <c r="I326" s="7">
        <v>13107.7</v>
      </c>
      <c r="J326" s="7">
        <v>117</v>
      </c>
      <c r="K326" s="5">
        <v>0</v>
      </c>
      <c r="L326" s="5">
        <v>0</v>
      </c>
      <c r="M326" s="5">
        <v>117</v>
      </c>
      <c r="N326" s="7">
        <v>117</v>
      </c>
      <c r="O326" s="7">
        <v>19495.399999999998</v>
      </c>
      <c r="P326" s="7">
        <v>0</v>
      </c>
      <c r="Q326" s="5">
        <v>0</v>
      </c>
      <c r="R326" s="5">
        <v>0</v>
      </c>
      <c r="S326" s="7">
        <v>0</v>
      </c>
      <c r="T326" s="27">
        <v>43159</v>
      </c>
      <c r="U326" s="28">
        <v>3</v>
      </c>
      <c r="V326" s="28">
        <v>4</v>
      </c>
      <c r="W326" s="28">
        <v>3</v>
      </c>
      <c r="X326" s="45">
        <v>33952.6</v>
      </c>
      <c r="Y326" s="14" t="s">
        <v>54</v>
      </c>
      <c r="Z326" s="14" t="s">
        <v>1281</v>
      </c>
      <c r="AA326" s="14" t="s">
        <v>2762</v>
      </c>
      <c r="AB326" s="44">
        <v>43163</v>
      </c>
      <c r="AC326" s="44" t="s">
        <v>2763</v>
      </c>
      <c r="AD326" s="29" t="s">
        <v>52</v>
      </c>
      <c r="AE326" s="43" t="s">
        <v>712</v>
      </c>
      <c r="AF326" s="25" t="s">
        <v>1271</v>
      </c>
      <c r="AG326" t="e">
        <f t="shared" si="5"/>
        <v>#REF!</v>
      </c>
      <c r="AH326"/>
      <c r="AI326" s="58"/>
      <c r="AJ326"/>
      <c r="AK326" s="30"/>
      <c r="AL326" s="30"/>
      <c r="AM326" s="30"/>
      <c r="AN326" s="30"/>
      <c r="AO326" s="30"/>
    </row>
    <row r="327" spans="1:41" s="31" customFormat="1" ht="15.75" customHeight="1">
      <c r="A327" s="13" t="s">
        <v>713</v>
      </c>
      <c r="B327" s="5">
        <v>479</v>
      </c>
      <c r="C327" s="7">
        <v>61076.62000000001</v>
      </c>
      <c r="D327" s="7">
        <v>0</v>
      </c>
      <c r="E327" s="7">
        <v>0</v>
      </c>
      <c r="F327" s="5">
        <v>0</v>
      </c>
      <c r="G327" s="7">
        <v>0</v>
      </c>
      <c r="H327" s="5">
        <v>154</v>
      </c>
      <c r="I327" s="7">
        <v>18089.36</v>
      </c>
      <c r="J327" s="7">
        <v>65</v>
      </c>
      <c r="K327" s="5">
        <v>0</v>
      </c>
      <c r="L327" s="5">
        <v>0</v>
      </c>
      <c r="M327" s="5">
        <v>65</v>
      </c>
      <c r="N327" s="7">
        <v>65</v>
      </c>
      <c r="O327" s="7">
        <v>9353.5</v>
      </c>
      <c r="P327" s="7">
        <v>166</v>
      </c>
      <c r="Q327" s="5">
        <v>0</v>
      </c>
      <c r="R327" s="5">
        <v>166</v>
      </c>
      <c r="S327" s="7">
        <v>25972.800000000003</v>
      </c>
      <c r="T327" s="27">
        <v>43159</v>
      </c>
      <c r="U327" s="28">
        <v>9</v>
      </c>
      <c r="V327" s="28">
        <v>4</v>
      </c>
      <c r="W327" s="28">
        <v>7</v>
      </c>
      <c r="X327" s="45">
        <v>114492.28000000001</v>
      </c>
      <c r="Y327" s="14" t="s">
        <v>54</v>
      </c>
      <c r="Z327" s="14" t="s">
        <v>55</v>
      </c>
      <c r="AA327" s="14" t="s">
        <v>2768</v>
      </c>
      <c r="AB327" s="44">
        <v>43163</v>
      </c>
      <c r="AC327" s="44" t="s">
        <v>2763</v>
      </c>
      <c r="AD327" s="29" t="s">
        <v>51</v>
      </c>
      <c r="AE327" s="43" t="s">
        <v>714</v>
      </c>
      <c r="AF327" s="25" t="s">
        <v>1270</v>
      </c>
      <c r="AG327" t="e">
        <f t="shared" si="5"/>
        <v>#REF!</v>
      </c>
      <c r="AH327"/>
      <c r="AI327" s="58"/>
      <c r="AJ327"/>
      <c r="AK327" s="30"/>
      <c r="AL327" s="30"/>
      <c r="AM327" s="30"/>
      <c r="AN327" s="30"/>
      <c r="AO327" s="30"/>
    </row>
    <row r="328" spans="1:41" s="31" customFormat="1" ht="15.75" customHeight="1">
      <c r="A328" s="13" t="s">
        <v>715</v>
      </c>
      <c r="B328" s="5">
        <v>384</v>
      </c>
      <c r="C328" s="7">
        <v>39680.37999999999</v>
      </c>
      <c r="D328" s="7">
        <v>0</v>
      </c>
      <c r="E328" s="7">
        <v>0</v>
      </c>
      <c r="F328" s="5">
        <v>0</v>
      </c>
      <c r="G328" s="7">
        <v>0</v>
      </c>
      <c r="H328" s="5">
        <v>0</v>
      </c>
      <c r="I328" s="7">
        <v>0</v>
      </c>
      <c r="J328" s="7">
        <v>121</v>
      </c>
      <c r="K328" s="5">
        <v>0</v>
      </c>
      <c r="L328" s="5">
        <v>0</v>
      </c>
      <c r="M328" s="5">
        <v>121</v>
      </c>
      <c r="N328" s="7">
        <v>121</v>
      </c>
      <c r="O328" s="7">
        <v>19043.7</v>
      </c>
      <c r="P328" s="7">
        <v>74</v>
      </c>
      <c r="Q328" s="5">
        <v>0</v>
      </c>
      <c r="R328" s="5">
        <v>74</v>
      </c>
      <c r="S328" s="7">
        <v>17671.2</v>
      </c>
      <c r="T328" s="27">
        <v>43159</v>
      </c>
      <c r="U328" s="28">
        <v>6</v>
      </c>
      <c r="V328" s="28">
        <v>6</v>
      </c>
      <c r="W328" s="28">
        <v>6</v>
      </c>
      <c r="X328" s="45">
        <v>76395.279999999984</v>
      </c>
      <c r="Y328" s="14" t="s">
        <v>54</v>
      </c>
      <c r="Z328" s="14" t="s">
        <v>1355</v>
      </c>
      <c r="AA328" s="14" t="s">
        <v>2769</v>
      </c>
      <c r="AB328" s="44">
        <v>43168</v>
      </c>
      <c r="AC328" s="44" t="s">
        <v>2770</v>
      </c>
      <c r="AD328" s="29" t="s">
        <v>51</v>
      </c>
      <c r="AE328" s="43" t="s">
        <v>716</v>
      </c>
      <c r="AF328" s="25" t="s">
        <v>1270</v>
      </c>
      <c r="AG328" t="e">
        <f t="shared" si="5"/>
        <v>#REF!</v>
      </c>
      <c r="AH328"/>
      <c r="AI328" s="58"/>
      <c r="AJ328"/>
      <c r="AK328" s="30"/>
      <c r="AL328" s="30"/>
      <c r="AM328" s="30"/>
      <c r="AN328" s="30"/>
      <c r="AO328" s="30"/>
    </row>
    <row r="329" spans="1:41" s="31" customFormat="1" ht="15.75" customHeight="1">
      <c r="A329" s="13" t="s">
        <v>717</v>
      </c>
      <c r="B329" s="5">
        <v>499</v>
      </c>
      <c r="C329" s="7">
        <v>57116.2</v>
      </c>
      <c r="D329" s="7">
        <v>0</v>
      </c>
      <c r="E329" s="7">
        <v>0</v>
      </c>
      <c r="F329" s="5">
        <v>0</v>
      </c>
      <c r="G329" s="7">
        <v>0</v>
      </c>
      <c r="H329" s="5">
        <v>0</v>
      </c>
      <c r="I329" s="7">
        <v>0</v>
      </c>
      <c r="J329" s="7">
        <v>58</v>
      </c>
      <c r="K329" s="5">
        <v>0</v>
      </c>
      <c r="L329" s="5">
        <v>0</v>
      </c>
      <c r="M329" s="5">
        <v>58</v>
      </c>
      <c r="N329" s="7">
        <v>58</v>
      </c>
      <c r="O329" s="7">
        <v>10248.599999999999</v>
      </c>
      <c r="P329" s="7">
        <v>254</v>
      </c>
      <c r="Q329" s="5">
        <v>0</v>
      </c>
      <c r="R329" s="5">
        <v>254</v>
      </c>
      <c r="S329" s="7">
        <v>46911.600000000006</v>
      </c>
      <c r="T329" s="27">
        <v>43159</v>
      </c>
      <c r="U329" s="28">
        <v>9</v>
      </c>
      <c r="V329" s="28">
        <v>1</v>
      </c>
      <c r="W329" s="28">
        <v>1</v>
      </c>
      <c r="X329" s="45">
        <v>114276.4</v>
      </c>
      <c r="Y329" s="14" t="s">
        <v>54</v>
      </c>
      <c r="Z329" s="14" t="s">
        <v>59</v>
      </c>
      <c r="AA329" s="14" t="s">
        <v>2771</v>
      </c>
      <c r="AB329" s="44">
        <v>43163</v>
      </c>
      <c r="AC329" s="44" t="s">
        <v>2772</v>
      </c>
      <c r="AD329" s="29" t="s">
        <v>50</v>
      </c>
      <c r="AE329" s="43" t="s">
        <v>718</v>
      </c>
      <c r="AF329" s="25" t="s">
        <v>1269</v>
      </c>
      <c r="AG329" t="e">
        <f t="shared" si="5"/>
        <v>#REF!</v>
      </c>
      <c r="AH329"/>
      <c r="AI329" s="58"/>
      <c r="AJ329"/>
      <c r="AK329" s="30"/>
      <c r="AL329" s="30"/>
      <c r="AM329" s="30"/>
      <c r="AN329" s="30"/>
      <c r="AO329" s="30"/>
    </row>
    <row r="330" spans="1:41" s="31" customFormat="1" ht="15.75" customHeight="1">
      <c r="A330" s="13" t="s">
        <v>719</v>
      </c>
      <c r="B330" s="5">
        <v>97</v>
      </c>
      <c r="C330" s="7">
        <v>12126.8</v>
      </c>
      <c r="D330" s="7">
        <v>0</v>
      </c>
      <c r="E330" s="7">
        <v>0</v>
      </c>
      <c r="F330" s="5">
        <v>0</v>
      </c>
      <c r="G330" s="7">
        <v>0</v>
      </c>
      <c r="H330" s="5">
        <v>0</v>
      </c>
      <c r="I330" s="7">
        <v>0</v>
      </c>
      <c r="J330" s="7">
        <v>257</v>
      </c>
      <c r="K330" s="5">
        <v>0</v>
      </c>
      <c r="L330" s="5">
        <v>0</v>
      </c>
      <c r="M330" s="5">
        <v>257</v>
      </c>
      <c r="N330" s="7">
        <v>257</v>
      </c>
      <c r="O330" s="7">
        <v>48095</v>
      </c>
      <c r="P330" s="7">
        <v>0</v>
      </c>
      <c r="Q330" s="5">
        <v>0</v>
      </c>
      <c r="R330" s="5">
        <v>0</v>
      </c>
      <c r="S330" s="7">
        <v>0</v>
      </c>
      <c r="T330" s="27">
        <v>43159</v>
      </c>
      <c r="U330" s="28">
        <v>6</v>
      </c>
      <c r="V330" s="28">
        <v>3</v>
      </c>
      <c r="W330" s="28">
        <v>2</v>
      </c>
      <c r="X330" s="45">
        <v>60221.8</v>
      </c>
      <c r="Y330" s="14" t="s">
        <v>54</v>
      </c>
      <c r="Z330" s="14" t="s">
        <v>1281</v>
      </c>
      <c r="AA330" s="14" t="s">
        <v>2780</v>
      </c>
      <c r="AB330" s="44">
        <v>43167</v>
      </c>
      <c r="AC330" s="44" t="s">
        <v>2781</v>
      </c>
      <c r="AD330" s="29" t="s">
        <v>50</v>
      </c>
      <c r="AE330" s="43" t="s">
        <v>720</v>
      </c>
      <c r="AF330" s="25" t="s">
        <v>1269</v>
      </c>
      <c r="AG330" t="e">
        <f t="shared" si="5"/>
        <v>#REF!</v>
      </c>
      <c r="AH330"/>
      <c r="AI330" s="58"/>
      <c r="AJ330"/>
      <c r="AK330" s="30"/>
      <c r="AL330" s="30"/>
      <c r="AM330" s="30"/>
      <c r="AN330" s="30"/>
      <c r="AO330" s="30"/>
    </row>
    <row r="331" spans="1:41" s="31" customFormat="1" ht="15.75" customHeight="1">
      <c r="A331" s="13" t="s">
        <v>721</v>
      </c>
      <c r="B331" s="5">
        <v>0</v>
      </c>
      <c r="C331" s="7">
        <v>0</v>
      </c>
      <c r="D331" s="7">
        <v>0</v>
      </c>
      <c r="E331" s="7">
        <v>0</v>
      </c>
      <c r="F331" s="5">
        <v>0</v>
      </c>
      <c r="G331" s="7">
        <v>0</v>
      </c>
      <c r="H331" s="5">
        <v>0</v>
      </c>
      <c r="I331" s="7">
        <v>0</v>
      </c>
      <c r="J331" s="7">
        <v>0</v>
      </c>
      <c r="K331" s="5">
        <v>0</v>
      </c>
      <c r="L331" s="5">
        <v>0</v>
      </c>
      <c r="M331" s="5">
        <v>0</v>
      </c>
      <c r="N331" s="7">
        <v>0</v>
      </c>
      <c r="O331" s="7">
        <v>0</v>
      </c>
      <c r="P331" s="7">
        <v>96</v>
      </c>
      <c r="Q331" s="5">
        <v>0</v>
      </c>
      <c r="R331" s="5">
        <v>96</v>
      </c>
      <c r="S331" s="7">
        <v>14112</v>
      </c>
      <c r="T331" s="27">
        <v>43159</v>
      </c>
      <c r="U331" s="28">
        <v>1</v>
      </c>
      <c r="V331" s="28">
        <v>2</v>
      </c>
      <c r="W331" s="28">
        <v>1</v>
      </c>
      <c r="X331" s="45">
        <v>14112</v>
      </c>
      <c r="Y331" s="14" t="s">
        <v>85</v>
      </c>
      <c r="Z331" s="14" t="s">
        <v>1355</v>
      </c>
      <c r="AA331" s="14">
        <v>350810014224</v>
      </c>
      <c r="AB331" s="44">
        <v>43166</v>
      </c>
      <c r="AC331" s="44" t="s">
        <v>2758</v>
      </c>
      <c r="AD331" s="29" t="s">
        <v>49</v>
      </c>
      <c r="AE331" s="43" t="s">
        <v>722</v>
      </c>
      <c r="AF331" s="25" t="s">
        <v>1266</v>
      </c>
      <c r="AG331" t="e">
        <f t="shared" si="5"/>
        <v>#REF!</v>
      </c>
      <c r="AH331"/>
      <c r="AI331" s="58"/>
      <c r="AJ331"/>
      <c r="AK331" s="30"/>
      <c r="AL331" s="30"/>
      <c r="AM331" s="30"/>
      <c r="AN331" s="30"/>
      <c r="AO331" s="30"/>
    </row>
    <row r="332" spans="1:41" s="31" customFormat="1" ht="15.75" customHeight="1">
      <c r="A332" s="13" t="s">
        <v>723</v>
      </c>
      <c r="B332" s="5">
        <v>364</v>
      </c>
      <c r="C332" s="7">
        <v>46298.479999999989</v>
      </c>
      <c r="D332" s="7">
        <v>0</v>
      </c>
      <c r="E332" s="7">
        <v>0</v>
      </c>
      <c r="F332" s="5">
        <v>0</v>
      </c>
      <c r="G332" s="7">
        <v>0</v>
      </c>
      <c r="H332" s="5">
        <v>224</v>
      </c>
      <c r="I332" s="7">
        <v>29126.5</v>
      </c>
      <c r="J332" s="7">
        <v>137</v>
      </c>
      <c r="K332" s="5">
        <v>0</v>
      </c>
      <c r="L332" s="5">
        <v>0</v>
      </c>
      <c r="M332" s="5">
        <v>137</v>
      </c>
      <c r="N332" s="7">
        <v>137</v>
      </c>
      <c r="O332" s="7">
        <v>9165.7000000000007</v>
      </c>
      <c r="P332" s="7">
        <v>1313</v>
      </c>
      <c r="Q332" s="5">
        <v>0</v>
      </c>
      <c r="R332" s="5">
        <v>1313</v>
      </c>
      <c r="S332" s="7">
        <v>120117.3</v>
      </c>
      <c r="T332" s="27">
        <v>43160</v>
      </c>
      <c r="U332" s="28">
        <v>12</v>
      </c>
      <c r="V332" s="28">
        <v>2</v>
      </c>
      <c r="W332" s="28">
        <v>2</v>
      </c>
      <c r="X332" s="45">
        <v>204707.97999999998</v>
      </c>
      <c r="Y332" s="14" t="s">
        <v>54</v>
      </c>
      <c r="Z332" s="14" t="s">
        <v>55</v>
      </c>
      <c r="AA332" s="14" t="s">
        <v>2782</v>
      </c>
      <c r="AB332" s="44">
        <v>43163</v>
      </c>
      <c r="AC332" s="44" t="s">
        <v>2763</v>
      </c>
      <c r="AD332" s="29" t="s">
        <v>51</v>
      </c>
      <c r="AE332" s="43" t="s">
        <v>724</v>
      </c>
      <c r="AF332" s="25" t="s">
        <v>1270</v>
      </c>
      <c r="AG332" t="e">
        <f t="shared" si="5"/>
        <v>#REF!</v>
      </c>
      <c r="AH332"/>
      <c r="AI332" s="58"/>
      <c r="AJ332"/>
      <c r="AK332" s="30"/>
      <c r="AL332" s="30"/>
      <c r="AM332" s="30"/>
      <c r="AN332" s="30"/>
      <c r="AO332" s="30"/>
    </row>
    <row r="333" spans="1:41" s="31" customFormat="1" ht="15.75" customHeight="1">
      <c r="A333" s="13" t="s">
        <v>726</v>
      </c>
      <c r="B333" s="5">
        <v>489</v>
      </c>
      <c r="C333" s="7">
        <v>49744.710000000006</v>
      </c>
      <c r="D333" s="7">
        <v>0</v>
      </c>
      <c r="E333" s="7">
        <v>0</v>
      </c>
      <c r="F333" s="5">
        <v>0</v>
      </c>
      <c r="G333" s="7">
        <v>0</v>
      </c>
      <c r="H333" s="5">
        <v>0</v>
      </c>
      <c r="I333" s="7">
        <v>0</v>
      </c>
      <c r="J333" s="7">
        <v>108</v>
      </c>
      <c r="K333" s="5">
        <v>0</v>
      </c>
      <c r="L333" s="5">
        <v>0</v>
      </c>
      <c r="M333" s="5">
        <v>108</v>
      </c>
      <c r="N333" s="7">
        <v>108</v>
      </c>
      <c r="O333" s="7">
        <v>17709.599999999999</v>
      </c>
      <c r="P333" s="7">
        <v>192</v>
      </c>
      <c r="Q333" s="5">
        <v>0</v>
      </c>
      <c r="R333" s="5">
        <v>192</v>
      </c>
      <c r="S333" s="7">
        <v>38422.800000000003</v>
      </c>
      <c r="T333" s="12">
        <v>43160</v>
      </c>
      <c r="U333" s="28">
        <v>8</v>
      </c>
      <c r="V333" s="28">
        <v>2</v>
      </c>
      <c r="W333" s="28">
        <v>4</v>
      </c>
      <c r="X333" s="45">
        <v>105877.11</v>
      </c>
      <c r="Y333" s="14" t="s">
        <v>54</v>
      </c>
      <c r="Z333" s="14" t="s">
        <v>59</v>
      </c>
      <c r="AA333" s="14" t="s">
        <v>2783</v>
      </c>
      <c r="AB333" s="44">
        <v>43163</v>
      </c>
      <c r="AC333" s="44" t="s">
        <v>2772</v>
      </c>
      <c r="AD333" s="29" t="s">
        <v>50</v>
      </c>
      <c r="AE333" s="43" t="s">
        <v>727</v>
      </c>
      <c r="AF333" s="25" t="s">
        <v>1269</v>
      </c>
      <c r="AG333" t="e">
        <f t="shared" si="5"/>
        <v>#REF!</v>
      </c>
      <c r="AH333"/>
      <c r="AI333" s="58"/>
      <c r="AJ333"/>
      <c r="AK333" s="30"/>
      <c r="AL333" s="30"/>
      <c r="AM333" s="30"/>
      <c r="AN333" s="30"/>
      <c r="AO333" s="30"/>
    </row>
    <row r="334" spans="1:41" s="31" customFormat="1" ht="15.75" customHeight="1">
      <c r="A334" s="13" t="s">
        <v>728</v>
      </c>
      <c r="B334" s="5">
        <v>227</v>
      </c>
      <c r="C334" s="7">
        <v>23507.380000000005</v>
      </c>
      <c r="D334" s="7">
        <v>0</v>
      </c>
      <c r="E334" s="7">
        <v>0</v>
      </c>
      <c r="F334" s="5">
        <v>0</v>
      </c>
      <c r="G334" s="7">
        <v>0</v>
      </c>
      <c r="H334" s="5">
        <v>0</v>
      </c>
      <c r="I334" s="7">
        <v>0</v>
      </c>
      <c r="J334" s="7">
        <v>0</v>
      </c>
      <c r="K334" s="5">
        <v>0</v>
      </c>
      <c r="L334" s="5">
        <v>0</v>
      </c>
      <c r="M334" s="5">
        <v>0</v>
      </c>
      <c r="N334" s="7">
        <v>0</v>
      </c>
      <c r="O334" s="7">
        <v>0</v>
      </c>
      <c r="P334" s="7">
        <v>82</v>
      </c>
      <c r="Q334" s="5">
        <v>0</v>
      </c>
      <c r="R334" s="5">
        <v>82</v>
      </c>
      <c r="S334" s="7">
        <v>14464.800000000001</v>
      </c>
      <c r="T334" s="27">
        <v>43160</v>
      </c>
      <c r="U334" s="28">
        <v>3</v>
      </c>
      <c r="V334" s="28">
        <v>3</v>
      </c>
      <c r="W334" s="28">
        <v>6</v>
      </c>
      <c r="X334" s="45">
        <v>37972.180000000008</v>
      </c>
      <c r="Y334" s="14" t="s">
        <v>56</v>
      </c>
      <c r="Z334" s="14" t="s">
        <v>1355</v>
      </c>
      <c r="AA334" s="14" t="s">
        <v>2778</v>
      </c>
      <c r="AB334" s="44">
        <v>43166</v>
      </c>
      <c r="AC334" s="44" t="s">
        <v>2779</v>
      </c>
      <c r="AD334" s="29" t="s">
        <v>49</v>
      </c>
      <c r="AE334" s="43" t="s">
        <v>729</v>
      </c>
      <c r="AF334" s="25" t="s">
        <v>1266</v>
      </c>
      <c r="AG334" t="e">
        <f t="shared" si="5"/>
        <v>#REF!</v>
      </c>
      <c r="AH334"/>
      <c r="AI334" s="58"/>
      <c r="AJ334"/>
      <c r="AK334" s="30"/>
      <c r="AL334" s="30"/>
      <c r="AM334" s="30"/>
      <c r="AN334" s="30"/>
      <c r="AO334" s="30"/>
    </row>
    <row r="335" spans="1:41" s="31" customFormat="1" ht="15.75" customHeight="1">
      <c r="A335" s="13" t="s">
        <v>734</v>
      </c>
      <c r="B335" s="5">
        <v>0</v>
      </c>
      <c r="C335" s="7">
        <v>0</v>
      </c>
      <c r="D335" s="7">
        <v>0</v>
      </c>
      <c r="E335" s="7">
        <v>0</v>
      </c>
      <c r="F335" s="5">
        <v>0</v>
      </c>
      <c r="G335" s="7">
        <v>0</v>
      </c>
      <c r="H335" s="5">
        <v>650</v>
      </c>
      <c r="I335" s="7">
        <v>79293.34</v>
      </c>
      <c r="J335" s="7">
        <v>0</v>
      </c>
      <c r="K335" s="5">
        <v>0</v>
      </c>
      <c r="L335" s="5">
        <v>0</v>
      </c>
      <c r="M335" s="5">
        <v>0</v>
      </c>
      <c r="N335" s="7">
        <v>0</v>
      </c>
      <c r="O335" s="7">
        <v>0</v>
      </c>
      <c r="P335" s="7">
        <v>401</v>
      </c>
      <c r="Q335" s="5">
        <v>0</v>
      </c>
      <c r="R335" s="5">
        <v>401</v>
      </c>
      <c r="S335" s="7">
        <v>38215.299999999996</v>
      </c>
      <c r="T335" s="27">
        <v>43160</v>
      </c>
      <c r="U335" s="28">
        <v>7</v>
      </c>
      <c r="V335" s="28">
        <v>2</v>
      </c>
      <c r="W335" s="28">
        <v>2</v>
      </c>
      <c r="X335" s="45">
        <v>117508.63999999998</v>
      </c>
      <c r="Y335" s="14" t="s">
        <v>54</v>
      </c>
      <c r="Z335" s="14" t="s">
        <v>730</v>
      </c>
      <c r="AA335" s="14" t="s">
        <v>2784</v>
      </c>
      <c r="AB335" s="44">
        <v>43163</v>
      </c>
      <c r="AC335" s="44" t="s">
        <v>2772</v>
      </c>
      <c r="AD335" s="29" t="s">
        <v>49</v>
      </c>
      <c r="AE335" s="43" t="s">
        <v>735</v>
      </c>
      <c r="AF335" s="25" t="s">
        <v>1265</v>
      </c>
      <c r="AG335" t="e">
        <f t="shared" si="5"/>
        <v>#REF!</v>
      </c>
      <c r="AH335"/>
      <c r="AI335" s="58"/>
      <c r="AJ335"/>
      <c r="AK335" s="30"/>
      <c r="AL335" s="30"/>
      <c r="AM335" s="30"/>
      <c r="AN335" s="30"/>
      <c r="AO335" s="30"/>
    </row>
    <row r="336" spans="1:41" s="31" customFormat="1" ht="15.75" customHeight="1">
      <c r="A336" s="13" t="s">
        <v>736</v>
      </c>
      <c r="B336" s="5">
        <v>497</v>
      </c>
      <c r="C336" s="7">
        <v>27337.55</v>
      </c>
      <c r="D336" s="7">
        <v>0</v>
      </c>
      <c r="E336" s="7">
        <v>0</v>
      </c>
      <c r="F336" s="5">
        <v>0</v>
      </c>
      <c r="G336" s="7">
        <v>0</v>
      </c>
      <c r="H336" s="5">
        <v>1252</v>
      </c>
      <c r="I336" s="7">
        <v>133813.81999999995</v>
      </c>
      <c r="J336" s="7">
        <v>15</v>
      </c>
      <c r="K336" s="5">
        <v>0</v>
      </c>
      <c r="L336" s="5">
        <v>0</v>
      </c>
      <c r="M336" s="5">
        <v>15</v>
      </c>
      <c r="N336" s="7">
        <v>15</v>
      </c>
      <c r="O336" s="7">
        <v>531</v>
      </c>
      <c r="P336" s="7">
        <v>20</v>
      </c>
      <c r="Q336" s="5">
        <v>0</v>
      </c>
      <c r="R336" s="5">
        <v>20</v>
      </c>
      <c r="S336" s="7">
        <v>2589</v>
      </c>
      <c r="T336" s="27">
        <v>43161</v>
      </c>
      <c r="U336" s="28">
        <v>11</v>
      </c>
      <c r="V336" s="28">
        <v>0</v>
      </c>
      <c r="W336" s="28">
        <v>2</v>
      </c>
      <c r="X336" s="45">
        <v>164271.36999999994</v>
      </c>
      <c r="Y336" s="14" t="s">
        <v>54</v>
      </c>
      <c r="Z336" s="14" t="s">
        <v>730</v>
      </c>
      <c r="AA336" s="14" t="s">
        <v>2785</v>
      </c>
      <c r="AB336" s="44">
        <v>43163</v>
      </c>
      <c r="AC336" s="44" t="s">
        <v>2763</v>
      </c>
      <c r="AD336" s="29" t="s">
        <v>49</v>
      </c>
      <c r="AE336" s="43" t="s">
        <v>737</v>
      </c>
      <c r="AF336" s="25" t="s">
        <v>1265</v>
      </c>
      <c r="AG336" t="e">
        <f t="shared" si="5"/>
        <v>#REF!</v>
      </c>
      <c r="AH336"/>
      <c r="AI336" s="58"/>
      <c r="AJ336"/>
      <c r="AK336" s="30"/>
      <c r="AL336" s="30"/>
      <c r="AM336" s="30"/>
      <c r="AN336" s="30"/>
      <c r="AO336" s="30"/>
    </row>
    <row r="337" spans="1:41" s="31" customFormat="1">
      <c r="A337" s="13" t="s">
        <v>738</v>
      </c>
      <c r="B337" s="5">
        <v>87</v>
      </c>
      <c r="C337" s="7">
        <v>13032.76</v>
      </c>
      <c r="D337" s="7">
        <v>0</v>
      </c>
      <c r="E337" s="7">
        <v>0</v>
      </c>
      <c r="F337" s="5">
        <v>0</v>
      </c>
      <c r="G337" s="7">
        <v>0</v>
      </c>
      <c r="H337" s="5">
        <v>95</v>
      </c>
      <c r="I337" s="7">
        <v>12281.6</v>
      </c>
      <c r="J337" s="7">
        <v>0</v>
      </c>
      <c r="K337" s="5">
        <v>0</v>
      </c>
      <c r="L337" s="5">
        <v>0</v>
      </c>
      <c r="M337" s="5">
        <v>0</v>
      </c>
      <c r="N337" s="7">
        <v>0</v>
      </c>
      <c r="O337" s="7">
        <v>0</v>
      </c>
      <c r="P337" s="7">
        <v>0</v>
      </c>
      <c r="Q337" s="5">
        <v>0</v>
      </c>
      <c r="R337" s="5">
        <v>0</v>
      </c>
      <c r="S337" s="7">
        <v>0</v>
      </c>
      <c r="T337" s="27">
        <v>43161</v>
      </c>
      <c r="U337" s="28">
        <v>2</v>
      </c>
      <c r="V337" s="28">
        <v>2</v>
      </c>
      <c r="W337" s="28">
        <v>4</v>
      </c>
      <c r="X337" s="45">
        <v>25314.36</v>
      </c>
      <c r="Y337" s="14" t="s">
        <v>56</v>
      </c>
      <c r="Z337" s="14" t="s">
        <v>1281</v>
      </c>
      <c r="AA337" s="14" t="s">
        <v>2786</v>
      </c>
      <c r="AB337" s="44">
        <v>43169</v>
      </c>
      <c r="AC337" s="44" t="s">
        <v>2787</v>
      </c>
      <c r="AD337" s="29" t="s">
        <v>52</v>
      </c>
      <c r="AE337" s="43" t="s">
        <v>739</v>
      </c>
      <c r="AF337" s="25" t="s">
        <v>1271</v>
      </c>
      <c r="AG337" t="e">
        <f t="shared" si="5"/>
        <v>#REF!</v>
      </c>
      <c r="AH337"/>
      <c r="AI337" s="58"/>
      <c r="AJ337"/>
      <c r="AK337" s="30"/>
      <c r="AL337" s="30"/>
      <c r="AM337" s="30"/>
      <c r="AN337" s="30"/>
      <c r="AO337" s="30"/>
    </row>
    <row r="338" spans="1:41" s="31" customFormat="1" ht="15.75" customHeight="1">
      <c r="A338" s="13" t="s">
        <v>740</v>
      </c>
      <c r="B338" s="5">
        <v>179</v>
      </c>
      <c r="C338" s="7">
        <v>26847.600000000002</v>
      </c>
      <c r="D338" s="7">
        <v>0</v>
      </c>
      <c r="E338" s="7">
        <v>0</v>
      </c>
      <c r="F338" s="5">
        <v>0</v>
      </c>
      <c r="G338" s="7">
        <v>0</v>
      </c>
      <c r="H338" s="5">
        <v>829</v>
      </c>
      <c r="I338" s="7">
        <v>103111.31999999999</v>
      </c>
      <c r="J338" s="7">
        <v>156</v>
      </c>
      <c r="K338" s="5">
        <v>0</v>
      </c>
      <c r="L338" s="5">
        <v>0</v>
      </c>
      <c r="M338" s="5">
        <v>156</v>
      </c>
      <c r="N338" s="7">
        <v>156</v>
      </c>
      <c r="O338" s="7">
        <v>27565.199999999997</v>
      </c>
      <c r="P338" s="7">
        <v>879</v>
      </c>
      <c r="Q338" s="5">
        <v>0</v>
      </c>
      <c r="R338" s="5">
        <v>879</v>
      </c>
      <c r="S338" s="7">
        <v>108650.2</v>
      </c>
      <c r="T338" s="27">
        <v>43161</v>
      </c>
      <c r="U338" s="28">
        <v>18</v>
      </c>
      <c r="V338" s="28">
        <v>0</v>
      </c>
      <c r="W338" s="28">
        <v>2</v>
      </c>
      <c r="X338" s="45">
        <v>266174.32</v>
      </c>
      <c r="Y338" s="14" t="s">
        <v>54</v>
      </c>
      <c r="Z338" s="14" t="s">
        <v>55</v>
      </c>
      <c r="AA338" s="14" t="s">
        <v>2782</v>
      </c>
      <c r="AB338" s="44">
        <v>43163</v>
      </c>
      <c r="AC338" s="44" t="s">
        <v>2763</v>
      </c>
      <c r="AD338" s="29" t="s">
        <v>51</v>
      </c>
      <c r="AE338" s="43" t="s">
        <v>741</v>
      </c>
      <c r="AF338" s="25" t="s">
        <v>1270</v>
      </c>
      <c r="AG338" t="e">
        <f t="shared" si="5"/>
        <v>#REF!</v>
      </c>
      <c r="AH338"/>
      <c r="AI338" s="58"/>
      <c r="AJ338"/>
      <c r="AK338" s="30"/>
      <c r="AL338" s="30"/>
      <c r="AM338" s="30"/>
      <c r="AN338" s="30"/>
      <c r="AO338" s="30"/>
    </row>
    <row r="339" spans="1:41" s="31" customFormat="1" ht="15.75" customHeight="1">
      <c r="A339" s="13" t="s">
        <v>742</v>
      </c>
      <c r="B339" s="5">
        <v>1315</v>
      </c>
      <c r="C339" s="7">
        <v>149062.79999999996</v>
      </c>
      <c r="D339" s="7">
        <v>0</v>
      </c>
      <c r="E339" s="7">
        <v>0</v>
      </c>
      <c r="F339" s="5">
        <v>0</v>
      </c>
      <c r="G339" s="7">
        <v>0</v>
      </c>
      <c r="H339" s="5">
        <v>270</v>
      </c>
      <c r="I339" s="7">
        <v>10971</v>
      </c>
      <c r="J339" s="7">
        <v>90</v>
      </c>
      <c r="K339" s="5">
        <v>0</v>
      </c>
      <c r="L339" s="5">
        <v>0</v>
      </c>
      <c r="M339" s="5">
        <v>90</v>
      </c>
      <c r="N339" s="7">
        <v>90</v>
      </c>
      <c r="O339" s="7">
        <v>1629.0000000000002</v>
      </c>
      <c r="P339" s="7">
        <v>292</v>
      </c>
      <c r="Q339" s="5">
        <v>0</v>
      </c>
      <c r="R339" s="5">
        <v>292</v>
      </c>
      <c r="S339" s="7">
        <v>56056.3</v>
      </c>
      <c r="T339" s="27">
        <v>43161</v>
      </c>
      <c r="U339" s="28">
        <v>16</v>
      </c>
      <c r="V339" s="28">
        <v>3</v>
      </c>
      <c r="W339" s="28">
        <v>3</v>
      </c>
      <c r="X339" s="45">
        <v>217719.09999999998</v>
      </c>
      <c r="Y339" s="14" t="s">
        <v>54</v>
      </c>
      <c r="Z339" s="14" t="s">
        <v>59</v>
      </c>
      <c r="AA339" s="14" t="s">
        <v>2783</v>
      </c>
      <c r="AB339" s="44">
        <v>43163</v>
      </c>
      <c r="AC339" s="44" t="s">
        <v>2772</v>
      </c>
      <c r="AD339" s="29" t="s">
        <v>50</v>
      </c>
      <c r="AE339" s="43" t="s">
        <v>743</v>
      </c>
      <c r="AF339" s="25" t="s">
        <v>1269</v>
      </c>
      <c r="AG339" t="e">
        <f t="shared" si="5"/>
        <v>#REF!</v>
      </c>
      <c r="AH339"/>
      <c r="AI339" s="58"/>
      <c r="AJ339"/>
      <c r="AK339" s="30"/>
      <c r="AL339" s="30"/>
      <c r="AM339" s="30"/>
      <c r="AN339" s="30"/>
      <c r="AO339" s="30"/>
    </row>
    <row r="340" spans="1:41" s="31" customFormat="1" ht="15.75" customHeight="1">
      <c r="A340" s="13" t="s">
        <v>725</v>
      </c>
      <c r="B340" s="5">
        <v>0</v>
      </c>
      <c r="C340" s="7">
        <v>0</v>
      </c>
      <c r="D340" s="7">
        <v>0</v>
      </c>
      <c r="E340" s="7">
        <v>0</v>
      </c>
      <c r="F340" s="5">
        <v>0</v>
      </c>
      <c r="G340" s="7">
        <v>0</v>
      </c>
      <c r="H340" s="5">
        <v>86</v>
      </c>
      <c r="I340" s="7">
        <v>12762.399999999998</v>
      </c>
      <c r="J340" s="7">
        <v>278</v>
      </c>
      <c r="K340" s="5">
        <v>0</v>
      </c>
      <c r="L340" s="5">
        <v>0</v>
      </c>
      <c r="M340" s="5">
        <v>278</v>
      </c>
      <c r="N340" s="7">
        <v>278</v>
      </c>
      <c r="O340" s="7">
        <v>40099.799999999996</v>
      </c>
      <c r="P340" s="7">
        <v>1060</v>
      </c>
      <c r="Q340" s="5">
        <v>0</v>
      </c>
      <c r="R340" s="5">
        <v>1060</v>
      </c>
      <c r="S340" s="7">
        <v>107343.3</v>
      </c>
      <c r="T340" s="27">
        <v>43161</v>
      </c>
      <c r="U340" s="28">
        <v>11</v>
      </c>
      <c r="V340" s="28">
        <v>8</v>
      </c>
      <c r="W340" s="28">
        <v>11</v>
      </c>
      <c r="X340" s="45">
        <v>160205.5</v>
      </c>
      <c r="Y340" s="14" t="s">
        <v>58</v>
      </c>
      <c r="Z340" s="14" t="s">
        <v>1281</v>
      </c>
      <c r="AA340" s="14" t="s">
        <v>2788</v>
      </c>
      <c r="AB340" s="44">
        <v>43166</v>
      </c>
      <c r="AC340" s="44" t="s">
        <v>2789</v>
      </c>
      <c r="AD340" s="29" t="s">
        <v>51</v>
      </c>
      <c r="AE340" s="43" t="s">
        <v>926</v>
      </c>
      <c r="AF340" s="25" t="s">
        <v>1270</v>
      </c>
      <c r="AG340" t="e">
        <f t="shared" si="5"/>
        <v>#REF!</v>
      </c>
      <c r="AH340"/>
      <c r="AI340" s="58"/>
      <c r="AJ340"/>
      <c r="AK340" s="30"/>
      <c r="AL340" s="30"/>
      <c r="AM340" s="30"/>
      <c r="AN340" s="30"/>
      <c r="AO340" s="30"/>
    </row>
    <row r="341" spans="1:41" s="31" customFormat="1" ht="15.75" customHeight="1">
      <c r="A341" s="13" t="s">
        <v>744</v>
      </c>
      <c r="B341" s="5">
        <v>241</v>
      </c>
      <c r="C341" s="7">
        <v>25005.9</v>
      </c>
      <c r="D341" s="7">
        <v>0</v>
      </c>
      <c r="E341" s="7">
        <v>0</v>
      </c>
      <c r="F341" s="5">
        <v>0</v>
      </c>
      <c r="G341" s="7">
        <v>0</v>
      </c>
      <c r="H341" s="5">
        <v>0</v>
      </c>
      <c r="I341" s="7">
        <v>0</v>
      </c>
      <c r="J341" s="7">
        <v>189</v>
      </c>
      <c r="K341" s="5">
        <v>0</v>
      </c>
      <c r="L341" s="5">
        <v>0</v>
      </c>
      <c r="M341" s="5">
        <v>189</v>
      </c>
      <c r="N341" s="7">
        <v>189</v>
      </c>
      <c r="O341" s="7">
        <v>27183.7</v>
      </c>
      <c r="P341" s="7">
        <v>166</v>
      </c>
      <c r="Q341" s="5">
        <v>0</v>
      </c>
      <c r="R341" s="5">
        <v>166</v>
      </c>
      <c r="S341" s="7">
        <v>25972.800000000003</v>
      </c>
      <c r="T341" s="27">
        <v>43161</v>
      </c>
      <c r="U341" s="28">
        <v>7</v>
      </c>
      <c r="V341" s="28">
        <v>3</v>
      </c>
      <c r="W341" s="28">
        <v>5</v>
      </c>
      <c r="X341" s="45">
        <v>78162.400000000009</v>
      </c>
      <c r="Y341" s="14" t="s">
        <v>54</v>
      </c>
      <c r="Z341" s="14" t="s">
        <v>730</v>
      </c>
      <c r="AA341" s="14" t="s">
        <v>2780</v>
      </c>
      <c r="AB341" s="44">
        <v>43167</v>
      </c>
      <c r="AC341" s="44" t="s">
        <v>2781</v>
      </c>
      <c r="AD341" s="29" t="s">
        <v>50</v>
      </c>
      <c r="AE341" s="43" t="s">
        <v>927</v>
      </c>
      <c r="AF341" s="25" t="s">
        <v>1269</v>
      </c>
      <c r="AG341" t="e">
        <f t="shared" si="5"/>
        <v>#REF!</v>
      </c>
      <c r="AH341"/>
      <c r="AI341" s="58"/>
      <c r="AJ341"/>
      <c r="AK341" s="30"/>
      <c r="AL341" s="30"/>
      <c r="AM341" s="30"/>
      <c r="AN341" s="30"/>
      <c r="AO341" s="30"/>
    </row>
    <row r="342" spans="1:41" s="31" customFormat="1" ht="15.75" customHeight="1">
      <c r="A342" s="13" t="s">
        <v>745</v>
      </c>
      <c r="B342" s="5">
        <v>113</v>
      </c>
      <c r="C342" s="7">
        <v>11399.6</v>
      </c>
      <c r="D342" s="7">
        <v>0</v>
      </c>
      <c r="E342" s="7">
        <v>0</v>
      </c>
      <c r="F342" s="5">
        <v>0</v>
      </c>
      <c r="G342" s="7">
        <v>0</v>
      </c>
      <c r="H342" s="5">
        <v>0</v>
      </c>
      <c r="I342" s="7">
        <v>0</v>
      </c>
      <c r="J342" s="7">
        <v>0</v>
      </c>
      <c r="K342" s="5">
        <v>0</v>
      </c>
      <c r="L342" s="5">
        <v>0</v>
      </c>
      <c r="M342" s="5">
        <v>0</v>
      </c>
      <c r="N342" s="7">
        <v>0</v>
      </c>
      <c r="O342" s="7">
        <v>0</v>
      </c>
      <c r="P342" s="7">
        <v>0</v>
      </c>
      <c r="Q342" s="5">
        <v>0</v>
      </c>
      <c r="R342" s="5">
        <v>0</v>
      </c>
      <c r="S342" s="7">
        <v>0</v>
      </c>
      <c r="T342" s="27">
        <v>43162</v>
      </c>
      <c r="U342" s="28">
        <v>1</v>
      </c>
      <c r="V342" s="28">
        <v>0</v>
      </c>
      <c r="W342" s="28">
        <v>1</v>
      </c>
      <c r="X342" s="45">
        <v>11399.6</v>
      </c>
      <c r="Y342" s="14" t="s">
        <v>1636</v>
      </c>
      <c r="Z342" s="14" t="s">
        <v>1355</v>
      </c>
      <c r="AA342" s="14" t="s">
        <v>2766</v>
      </c>
      <c r="AB342" s="44">
        <v>43166</v>
      </c>
      <c r="AC342" s="44" t="s">
        <v>2767</v>
      </c>
      <c r="AD342" s="29" t="s">
        <v>49</v>
      </c>
      <c r="AE342" s="43" t="s">
        <v>746</v>
      </c>
      <c r="AF342" s="25" t="s">
        <v>1267</v>
      </c>
      <c r="AG342" t="e">
        <f t="shared" si="5"/>
        <v>#REF!</v>
      </c>
      <c r="AH342"/>
      <c r="AI342" s="58"/>
      <c r="AJ342"/>
      <c r="AK342" s="30"/>
      <c r="AL342" s="30"/>
      <c r="AM342" s="30"/>
      <c r="AN342" s="30"/>
      <c r="AO342" s="30"/>
    </row>
    <row r="343" spans="1:41" s="31" customFormat="1" ht="15.75" customHeight="1">
      <c r="A343" s="13" t="s">
        <v>747</v>
      </c>
      <c r="B343" s="5">
        <v>734</v>
      </c>
      <c r="C343" s="7">
        <v>80737.399999999994</v>
      </c>
      <c r="D343" s="7">
        <v>0</v>
      </c>
      <c r="E343" s="7">
        <v>0</v>
      </c>
      <c r="F343" s="5">
        <v>0</v>
      </c>
      <c r="G343" s="7">
        <v>0</v>
      </c>
      <c r="H343" s="5">
        <v>540</v>
      </c>
      <c r="I343" s="7">
        <v>37719</v>
      </c>
      <c r="J343" s="7">
        <v>156</v>
      </c>
      <c r="K343" s="5">
        <v>0</v>
      </c>
      <c r="L343" s="5">
        <v>0</v>
      </c>
      <c r="M343" s="5">
        <v>156</v>
      </c>
      <c r="N343" s="7">
        <v>156</v>
      </c>
      <c r="O343" s="7">
        <v>3166.8000000000006</v>
      </c>
      <c r="P343" s="7">
        <v>859</v>
      </c>
      <c r="Q343" s="5">
        <v>0</v>
      </c>
      <c r="R343" s="5">
        <v>859</v>
      </c>
      <c r="S343" s="7">
        <v>98227.9</v>
      </c>
      <c r="T343" s="27">
        <v>43162</v>
      </c>
      <c r="U343" s="28">
        <v>12</v>
      </c>
      <c r="V343" s="28">
        <v>3</v>
      </c>
      <c r="W343" s="28">
        <v>2</v>
      </c>
      <c r="X343" s="45">
        <v>219851.09999999998</v>
      </c>
      <c r="Y343" s="14" t="s">
        <v>54</v>
      </c>
      <c r="Z343" s="14" t="s">
        <v>55</v>
      </c>
      <c r="AA343" s="14" t="s">
        <v>2782</v>
      </c>
      <c r="AB343" s="44">
        <v>43163</v>
      </c>
      <c r="AC343" s="44" t="s">
        <v>2763</v>
      </c>
      <c r="AD343" s="29" t="s">
        <v>51</v>
      </c>
      <c r="AE343" s="43" t="s">
        <v>748</v>
      </c>
      <c r="AF343" s="25" t="s">
        <v>1270</v>
      </c>
      <c r="AG343" t="e">
        <f t="shared" si="5"/>
        <v>#REF!</v>
      </c>
      <c r="AH343"/>
      <c r="AI343" s="58"/>
      <c r="AJ343"/>
      <c r="AK343" s="30"/>
      <c r="AL343" s="30"/>
      <c r="AM343" s="30"/>
      <c r="AN343" s="30"/>
      <c r="AO343" s="30"/>
    </row>
    <row r="344" spans="1:41" ht="15.75" customHeight="1">
      <c r="A344" s="13" t="s">
        <v>749</v>
      </c>
      <c r="B344" s="5">
        <v>37</v>
      </c>
      <c r="C344" s="7">
        <v>4407.8999999999996</v>
      </c>
      <c r="D344" s="7">
        <v>0</v>
      </c>
      <c r="E344" s="7">
        <v>0</v>
      </c>
      <c r="F344" s="5">
        <v>0</v>
      </c>
      <c r="G344" s="7">
        <v>0</v>
      </c>
      <c r="H344" s="5">
        <v>0</v>
      </c>
      <c r="I344" s="7">
        <v>0</v>
      </c>
      <c r="J344" s="7">
        <v>33</v>
      </c>
      <c r="K344" s="5">
        <v>0</v>
      </c>
      <c r="L344" s="5">
        <v>0</v>
      </c>
      <c r="M344" s="5">
        <v>33</v>
      </c>
      <c r="N344" s="7">
        <v>33</v>
      </c>
      <c r="O344" s="7">
        <v>5785</v>
      </c>
      <c r="P344" s="7">
        <v>0</v>
      </c>
      <c r="Q344" s="5">
        <v>0</v>
      </c>
      <c r="R344" s="5">
        <v>0</v>
      </c>
      <c r="S344" s="7">
        <v>0</v>
      </c>
      <c r="T344" s="12">
        <v>43162</v>
      </c>
      <c r="U344" s="28">
        <v>1</v>
      </c>
      <c r="V344" s="4">
        <v>4</v>
      </c>
      <c r="W344" s="4">
        <v>8</v>
      </c>
      <c r="X344" s="45">
        <v>10192.9</v>
      </c>
      <c r="Y344" s="14" t="s">
        <v>54</v>
      </c>
      <c r="Z344" s="14" t="s">
        <v>1355</v>
      </c>
      <c r="AA344" s="14" t="s">
        <v>2784</v>
      </c>
      <c r="AB344" s="44">
        <v>43163</v>
      </c>
      <c r="AC344" s="44" t="s">
        <v>2772</v>
      </c>
      <c r="AD344" s="14" t="s">
        <v>49</v>
      </c>
      <c r="AE344" s="53" t="s">
        <v>750</v>
      </c>
      <c r="AF344" s="25" t="s">
        <v>1266</v>
      </c>
      <c r="AG344" t="e">
        <f t="shared" si="5"/>
        <v>#REF!</v>
      </c>
      <c r="AI344" s="58"/>
    </row>
    <row r="345" spans="1:41" s="31" customFormat="1" ht="15.75" customHeight="1">
      <c r="A345" s="13" t="s">
        <v>929</v>
      </c>
      <c r="B345" s="5">
        <v>118</v>
      </c>
      <c r="C345" s="7">
        <v>13382.879999999997</v>
      </c>
      <c r="D345" s="7">
        <v>0</v>
      </c>
      <c r="E345" s="7">
        <v>0</v>
      </c>
      <c r="F345" s="5">
        <v>0</v>
      </c>
      <c r="G345" s="7">
        <v>0</v>
      </c>
      <c r="H345" s="5">
        <v>20</v>
      </c>
      <c r="I345" s="7">
        <v>1286.3999999999999</v>
      </c>
      <c r="J345" s="7">
        <v>0</v>
      </c>
      <c r="K345" s="5">
        <v>0</v>
      </c>
      <c r="L345" s="5">
        <v>0</v>
      </c>
      <c r="M345" s="5">
        <v>0</v>
      </c>
      <c r="N345" s="7">
        <v>0</v>
      </c>
      <c r="O345" s="7">
        <v>0</v>
      </c>
      <c r="P345" s="7">
        <v>165</v>
      </c>
      <c r="Q345" s="5">
        <v>0</v>
      </c>
      <c r="R345" s="5">
        <v>165</v>
      </c>
      <c r="S345" s="7">
        <v>26097</v>
      </c>
      <c r="T345" s="27">
        <v>43161</v>
      </c>
      <c r="U345" s="28">
        <v>3</v>
      </c>
      <c r="V345" s="4">
        <v>2</v>
      </c>
      <c r="W345" s="4">
        <v>1</v>
      </c>
      <c r="X345" s="45">
        <v>40766.28</v>
      </c>
      <c r="Y345" s="14" t="s">
        <v>54</v>
      </c>
      <c r="Z345" s="14" t="s">
        <v>1281</v>
      </c>
      <c r="AA345" s="14" t="s">
        <v>2762</v>
      </c>
      <c r="AB345" s="44">
        <v>43163</v>
      </c>
      <c r="AC345" s="44" t="s">
        <v>2763</v>
      </c>
      <c r="AD345" s="29" t="s">
        <v>52</v>
      </c>
      <c r="AE345" s="43" t="s">
        <v>928</v>
      </c>
      <c r="AF345" s="25" t="s">
        <v>1271</v>
      </c>
      <c r="AG345" t="e">
        <f t="shared" si="5"/>
        <v>#REF!</v>
      </c>
      <c r="AH345"/>
      <c r="AI345" s="58"/>
      <c r="AJ345"/>
      <c r="AK345"/>
      <c r="AL345"/>
      <c r="AM345"/>
      <c r="AN345" s="30"/>
      <c r="AO345" s="30"/>
    </row>
    <row r="346" spans="1:41" s="31" customFormat="1" ht="15.75" customHeight="1">
      <c r="A346" s="13" t="s">
        <v>930</v>
      </c>
      <c r="B346" s="5">
        <v>0</v>
      </c>
      <c r="C346" s="7">
        <v>0</v>
      </c>
      <c r="D346" s="7">
        <v>0</v>
      </c>
      <c r="E346" s="7">
        <v>0</v>
      </c>
      <c r="F346" s="5">
        <v>0</v>
      </c>
      <c r="G346" s="7">
        <v>0</v>
      </c>
      <c r="H346" s="5">
        <v>0</v>
      </c>
      <c r="I346" s="7">
        <v>0</v>
      </c>
      <c r="J346" s="7">
        <v>0</v>
      </c>
      <c r="K346" s="5">
        <v>0</v>
      </c>
      <c r="L346" s="5">
        <v>0</v>
      </c>
      <c r="M346" s="5">
        <v>0</v>
      </c>
      <c r="N346" s="7">
        <v>0</v>
      </c>
      <c r="O346" s="7">
        <v>0</v>
      </c>
      <c r="P346" s="7">
        <v>149</v>
      </c>
      <c r="Q346" s="5">
        <v>0</v>
      </c>
      <c r="R346" s="5">
        <v>149</v>
      </c>
      <c r="S346" s="7">
        <v>17825.2</v>
      </c>
      <c r="T346" s="27">
        <v>43164</v>
      </c>
      <c r="U346" s="28">
        <v>1</v>
      </c>
      <c r="V346" s="33">
        <v>2</v>
      </c>
      <c r="W346" s="33">
        <v>7</v>
      </c>
      <c r="X346" s="45">
        <v>17825.2</v>
      </c>
      <c r="Y346" s="14" t="s">
        <v>1633</v>
      </c>
      <c r="Z346" s="14" t="s">
        <v>1355</v>
      </c>
      <c r="AA346" s="14" t="s">
        <v>2790</v>
      </c>
      <c r="AB346" s="44">
        <v>43168</v>
      </c>
      <c r="AC346" s="44" t="s">
        <v>2791</v>
      </c>
      <c r="AD346" s="29" t="s">
        <v>48</v>
      </c>
      <c r="AE346" s="43" t="s">
        <v>931</v>
      </c>
      <c r="AF346" s="25" t="s">
        <v>1264</v>
      </c>
      <c r="AG346" t="e">
        <f t="shared" si="5"/>
        <v>#REF!</v>
      </c>
      <c r="AH346"/>
      <c r="AI346" s="58"/>
      <c r="AJ346"/>
      <c r="AK346" s="34"/>
      <c r="AL346" s="34"/>
      <c r="AM346" s="34"/>
      <c r="AN346" s="30"/>
      <c r="AO346" s="30"/>
    </row>
    <row r="347" spans="1:41" s="31" customFormat="1" ht="15.75" customHeight="1">
      <c r="A347" s="13" t="s">
        <v>932</v>
      </c>
      <c r="B347" s="5">
        <v>100</v>
      </c>
      <c r="C347" s="7">
        <v>10603.839999999997</v>
      </c>
      <c r="D347" s="7">
        <v>0</v>
      </c>
      <c r="E347" s="7">
        <v>0</v>
      </c>
      <c r="F347" s="5">
        <v>0</v>
      </c>
      <c r="G347" s="7">
        <v>0</v>
      </c>
      <c r="H347" s="5">
        <v>150</v>
      </c>
      <c r="I347" s="7">
        <v>14433.650000000001</v>
      </c>
      <c r="J347" s="7">
        <v>77</v>
      </c>
      <c r="K347" s="5">
        <v>0</v>
      </c>
      <c r="L347" s="5">
        <v>0</v>
      </c>
      <c r="M347" s="5">
        <v>77</v>
      </c>
      <c r="N347" s="7">
        <v>77</v>
      </c>
      <c r="O347" s="7">
        <v>10551.2</v>
      </c>
      <c r="P347" s="7">
        <v>315</v>
      </c>
      <c r="Q347" s="5">
        <v>0</v>
      </c>
      <c r="R347" s="5">
        <v>315</v>
      </c>
      <c r="S347" s="7">
        <v>24971.85</v>
      </c>
      <c r="T347" s="27">
        <v>43164</v>
      </c>
      <c r="U347" s="28">
        <v>4</v>
      </c>
      <c r="V347" s="4"/>
      <c r="W347" s="4"/>
      <c r="X347" s="45">
        <v>60560.54</v>
      </c>
      <c r="Y347" s="14" t="s">
        <v>1633</v>
      </c>
      <c r="Z347" s="14" t="s">
        <v>1355</v>
      </c>
      <c r="AA347" s="14" t="s">
        <v>2792</v>
      </c>
      <c r="AB347" s="44">
        <v>43171</v>
      </c>
      <c r="AC347" s="44" t="s">
        <v>2793</v>
      </c>
      <c r="AD347" s="29" t="s">
        <v>70</v>
      </c>
      <c r="AE347" s="43" t="s">
        <v>933</v>
      </c>
      <c r="AF347" s="25" t="s">
        <v>1273</v>
      </c>
      <c r="AG347" t="e">
        <f t="shared" si="5"/>
        <v>#REF!</v>
      </c>
      <c r="AH347"/>
      <c r="AI347" s="58"/>
      <c r="AJ347"/>
      <c r="AK347"/>
      <c r="AL347"/>
      <c r="AM347"/>
      <c r="AN347" s="30"/>
      <c r="AO347" s="30"/>
    </row>
    <row r="348" spans="1:41" s="31" customFormat="1" ht="15.75" customHeight="1">
      <c r="A348" s="13" t="s">
        <v>934</v>
      </c>
      <c r="B348" s="5">
        <v>109</v>
      </c>
      <c r="C348" s="7">
        <v>11541.300000000001</v>
      </c>
      <c r="D348" s="7">
        <v>0</v>
      </c>
      <c r="E348" s="7">
        <v>0</v>
      </c>
      <c r="F348" s="5">
        <v>0</v>
      </c>
      <c r="G348" s="7">
        <v>0</v>
      </c>
      <c r="H348" s="5">
        <v>0</v>
      </c>
      <c r="I348" s="7">
        <v>0</v>
      </c>
      <c r="J348" s="7">
        <v>0</v>
      </c>
      <c r="K348" s="5">
        <v>0</v>
      </c>
      <c r="L348" s="5">
        <v>0</v>
      </c>
      <c r="M348" s="5">
        <v>0</v>
      </c>
      <c r="N348" s="7">
        <v>0</v>
      </c>
      <c r="O348" s="7">
        <v>0</v>
      </c>
      <c r="P348" s="7">
        <v>182</v>
      </c>
      <c r="Q348" s="5">
        <v>0</v>
      </c>
      <c r="R348" s="5">
        <v>182</v>
      </c>
      <c r="S348" s="7">
        <v>29687.8</v>
      </c>
      <c r="T348" s="27">
        <v>43164</v>
      </c>
      <c r="U348" s="28">
        <v>3</v>
      </c>
      <c r="V348" s="33"/>
      <c r="W348" s="33"/>
      <c r="X348" s="45">
        <v>41229.1</v>
      </c>
      <c r="Y348" s="14" t="s">
        <v>1636</v>
      </c>
      <c r="Z348" s="14" t="s">
        <v>1637</v>
      </c>
      <c r="AA348" s="14" t="s">
        <v>2794</v>
      </c>
      <c r="AB348" s="44">
        <v>43166</v>
      </c>
      <c r="AC348" s="44" t="s">
        <v>2767</v>
      </c>
      <c r="AD348" s="29" t="s">
        <v>49</v>
      </c>
      <c r="AE348" s="43" t="s">
        <v>935</v>
      </c>
      <c r="AF348" s="25" t="s">
        <v>1267</v>
      </c>
      <c r="AG348" t="e">
        <f t="shared" si="5"/>
        <v>#REF!</v>
      </c>
      <c r="AH348"/>
      <c r="AI348" s="58"/>
      <c r="AJ348"/>
      <c r="AK348" s="34"/>
      <c r="AL348" s="34"/>
      <c r="AM348" s="34"/>
      <c r="AN348" s="30"/>
      <c r="AO348" s="30"/>
    </row>
    <row r="349" spans="1:41" ht="15.75" customHeight="1">
      <c r="A349" s="13" t="s">
        <v>936</v>
      </c>
      <c r="B349" s="5">
        <v>75</v>
      </c>
      <c r="C349" s="7">
        <v>11917.199999999999</v>
      </c>
      <c r="D349" s="7">
        <v>20</v>
      </c>
      <c r="E349" s="7">
        <v>20</v>
      </c>
      <c r="F349" s="5">
        <v>0</v>
      </c>
      <c r="G349" s="7">
        <v>701</v>
      </c>
      <c r="H349" s="5">
        <v>375</v>
      </c>
      <c r="I349" s="7">
        <v>37060.800000000003</v>
      </c>
      <c r="J349" s="7">
        <v>66</v>
      </c>
      <c r="K349" s="5">
        <v>0</v>
      </c>
      <c r="L349" s="5">
        <v>0</v>
      </c>
      <c r="M349" s="5">
        <v>66</v>
      </c>
      <c r="N349" s="7">
        <v>66</v>
      </c>
      <c r="O349" s="7">
        <v>9481.4</v>
      </c>
      <c r="P349" s="7">
        <v>105</v>
      </c>
      <c r="Q349" s="5">
        <v>0</v>
      </c>
      <c r="R349" s="5">
        <v>105</v>
      </c>
      <c r="S349" s="7">
        <v>18191.75</v>
      </c>
      <c r="T349" s="12">
        <v>43164</v>
      </c>
      <c r="U349" s="28">
        <v>6</v>
      </c>
      <c r="X349" s="45">
        <v>77352.149999999994</v>
      </c>
      <c r="Y349" s="14" t="s">
        <v>56</v>
      </c>
      <c r="Z349" s="14" t="s">
        <v>1492</v>
      </c>
      <c r="AA349" s="14" t="s">
        <v>2786</v>
      </c>
      <c r="AB349" s="44">
        <v>43169</v>
      </c>
      <c r="AC349" s="44" t="s">
        <v>2787</v>
      </c>
      <c r="AD349" s="14" t="s">
        <v>52</v>
      </c>
      <c r="AE349" s="24" t="s">
        <v>937</v>
      </c>
      <c r="AF349" s="25" t="s">
        <v>1271</v>
      </c>
      <c r="AG349" t="e">
        <f t="shared" si="5"/>
        <v>#REF!</v>
      </c>
      <c r="AI349" s="58"/>
    </row>
    <row r="350" spans="1:41" ht="15.75" customHeight="1">
      <c r="A350" s="13" t="s">
        <v>938</v>
      </c>
      <c r="B350" s="5">
        <v>210</v>
      </c>
      <c r="C350" s="7">
        <v>23022.530000000002</v>
      </c>
      <c r="D350" s="7">
        <v>45</v>
      </c>
      <c r="E350" s="7">
        <v>45</v>
      </c>
      <c r="F350" s="5">
        <v>0</v>
      </c>
      <c r="G350" s="7">
        <v>1804.5</v>
      </c>
      <c r="H350" s="5">
        <v>160</v>
      </c>
      <c r="I350" s="7">
        <v>17290</v>
      </c>
      <c r="J350" s="7">
        <v>132</v>
      </c>
      <c r="K350" s="5">
        <v>0</v>
      </c>
      <c r="L350" s="5">
        <v>0</v>
      </c>
      <c r="M350" s="5">
        <v>132</v>
      </c>
      <c r="N350" s="7">
        <v>132</v>
      </c>
      <c r="O350" s="7">
        <v>11800.100000000002</v>
      </c>
      <c r="P350" s="7">
        <v>171</v>
      </c>
      <c r="Q350" s="5">
        <v>0</v>
      </c>
      <c r="R350" s="5">
        <v>171</v>
      </c>
      <c r="S350" s="7">
        <v>26389.5</v>
      </c>
      <c r="T350" s="12">
        <v>43164</v>
      </c>
      <c r="U350" s="28">
        <v>6</v>
      </c>
      <c r="X350" s="45">
        <v>80306.63</v>
      </c>
      <c r="Y350" s="14" t="s">
        <v>56</v>
      </c>
      <c r="Z350" s="14" t="s">
        <v>730</v>
      </c>
      <c r="AA350" s="14" t="s">
        <v>2795</v>
      </c>
      <c r="AB350" s="44">
        <v>43166</v>
      </c>
      <c r="AC350" s="44" t="s">
        <v>2779</v>
      </c>
      <c r="AD350" s="14" t="s">
        <v>51</v>
      </c>
      <c r="AE350" s="24" t="s">
        <v>939</v>
      </c>
      <c r="AF350" s="25" t="s">
        <v>1270</v>
      </c>
      <c r="AG350" t="e">
        <f t="shared" si="5"/>
        <v>#REF!</v>
      </c>
      <c r="AI350" s="58"/>
    </row>
    <row r="351" spans="1:41" s="31" customFormat="1" ht="15.75" customHeight="1">
      <c r="A351" s="13" t="s">
        <v>940</v>
      </c>
      <c r="B351" s="5">
        <v>810</v>
      </c>
      <c r="C351" s="7">
        <v>88111.00999999998</v>
      </c>
      <c r="D351" s="7">
        <v>0</v>
      </c>
      <c r="E351" s="7">
        <v>0</v>
      </c>
      <c r="F351" s="5">
        <v>0</v>
      </c>
      <c r="G351" s="7">
        <v>0</v>
      </c>
      <c r="H351" s="5">
        <v>0</v>
      </c>
      <c r="I351" s="7">
        <v>0</v>
      </c>
      <c r="J351" s="7">
        <v>92</v>
      </c>
      <c r="K351" s="5">
        <v>0</v>
      </c>
      <c r="L351" s="5">
        <v>0</v>
      </c>
      <c r="M351" s="5">
        <v>92</v>
      </c>
      <c r="N351" s="7">
        <v>92</v>
      </c>
      <c r="O351" s="7">
        <v>21123.9</v>
      </c>
      <c r="P351" s="7">
        <v>120</v>
      </c>
      <c r="Q351" s="5">
        <v>0</v>
      </c>
      <c r="R351" s="5">
        <v>120</v>
      </c>
      <c r="S351" s="7">
        <v>14064</v>
      </c>
      <c r="T351" s="27">
        <v>43164</v>
      </c>
      <c r="U351" s="28">
        <v>10</v>
      </c>
      <c r="V351" s="33"/>
      <c r="W351" s="33"/>
      <c r="X351" s="45">
        <v>123298.90999999997</v>
      </c>
      <c r="Y351" s="14" t="s">
        <v>54</v>
      </c>
      <c r="Z351" s="14" t="s">
        <v>59</v>
      </c>
      <c r="AA351" s="14" t="s">
        <v>2796</v>
      </c>
      <c r="AB351" s="44">
        <v>43171</v>
      </c>
      <c r="AC351" s="44" t="s">
        <v>2797</v>
      </c>
      <c r="AD351" s="29" t="s">
        <v>50</v>
      </c>
      <c r="AE351" s="43" t="s">
        <v>941</v>
      </c>
      <c r="AF351" s="25" t="s">
        <v>1269</v>
      </c>
      <c r="AG351" t="e">
        <f t="shared" si="5"/>
        <v>#REF!</v>
      </c>
      <c r="AH351"/>
      <c r="AI351" s="58"/>
      <c r="AJ351"/>
      <c r="AK351" s="34"/>
      <c r="AL351" s="34"/>
      <c r="AM351" s="34"/>
      <c r="AN351" s="30"/>
      <c r="AO351" s="30"/>
    </row>
    <row r="352" spans="1:41" s="31" customFormat="1" ht="15.75" customHeight="1">
      <c r="A352" s="13" t="s">
        <v>942</v>
      </c>
      <c r="B352" s="5">
        <v>54</v>
      </c>
      <c r="C352" s="7">
        <v>5712.6999999999989</v>
      </c>
      <c r="D352" s="7">
        <v>0</v>
      </c>
      <c r="E352" s="7">
        <v>0</v>
      </c>
      <c r="F352" s="5">
        <v>0</v>
      </c>
      <c r="G352" s="7">
        <v>0</v>
      </c>
      <c r="H352" s="5">
        <v>0</v>
      </c>
      <c r="I352" s="7">
        <v>0</v>
      </c>
      <c r="J352" s="7">
        <v>23</v>
      </c>
      <c r="K352" s="5">
        <v>0</v>
      </c>
      <c r="L352" s="5">
        <v>0</v>
      </c>
      <c r="M352" s="5">
        <v>23</v>
      </c>
      <c r="N352" s="7">
        <v>23</v>
      </c>
      <c r="O352" s="7">
        <v>4650.6000000000004</v>
      </c>
      <c r="P352" s="7">
        <v>177</v>
      </c>
      <c r="Q352" s="5">
        <v>0</v>
      </c>
      <c r="R352" s="5">
        <v>177</v>
      </c>
      <c r="S352" s="7">
        <v>29344.799999999999</v>
      </c>
      <c r="T352" s="27">
        <v>43164</v>
      </c>
      <c r="U352" s="28">
        <v>3</v>
      </c>
      <c r="V352" s="4"/>
      <c r="W352" s="4"/>
      <c r="X352" s="45">
        <v>39708.1</v>
      </c>
      <c r="Y352" s="14" t="s">
        <v>1636</v>
      </c>
      <c r="Z352" s="14" t="s">
        <v>1355</v>
      </c>
      <c r="AA352" s="14" t="s">
        <v>2794</v>
      </c>
      <c r="AB352" s="44">
        <v>43166</v>
      </c>
      <c r="AC352" s="44" t="s">
        <v>2767</v>
      </c>
      <c r="AD352" s="29" t="s">
        <v>49</v>
      </c>
      <c r="AE352" s="43" t="s">
        <v>943</v>
      </c>
      <c r="AF352" s="25" t="s">
        <v>1266</v>
      </c>
      <c r="AG352" t="e">
        <f t="shared" si="5"/>
        <v>#REF!</v>
      </c>
      <c r="AH352"/>
      <c r="AI352" s="58"/>
      <c r="AJ352"/>
      <c r="AK352"/>
      <c r="AL352"/>
      <c r="AM352"/>
      <c r="AN352" s="30"/>
      <c r="AO352" s="30"/>
    </row>
    <row r="353" spans="1:41" s="31" customFormat="1" ht="15.75" customHeight="1">
      <c r="A353" s="13" t="s">
        <v>944</v>
      </c>
      <c r="B353" s="5">
        <v>0</v>
      </c>
      <c r="C353" s="7">
        <v>0</v>
      </c>
      <c r="D353" s="7">
        <v>115</v>
      </c>
      <c r="E353" s="7">
        <v>115</v>
      </c>
      <c r="F353" s="5">
        <v>0</v>
      </c>
      <c r="G353" s="7">
        <v>4277</v>
      </c>
      <c r="H353" s="5">
        <v>840</v>
      </c>
      <c r="I353" s="7">
        <v>108325.34999999998</v>
      </c>
      <c r="J353" s="7">
        <v>0</v>
      </c>
      <c r="K353" s="5">
        <v>0</v>
      </c>
      <c r="L353" s="5">
        <v>0</v>
      </c>
      <c r="M353" s="5">
        <v>0</v>
      </c>
      <c r="N353" s="7">
        <v>0</v>
      </c>
      <c r="O353" s="7">
        <v>0</v>
      </c>
      <c r="P353" s="7">
        <v>553</v>
      </c>
      <c r="Q353" s="5">
        <v>0</v>
      </c>
      <c r="R353" s="5">
        <v>553</v>
      </c>
      <c r="S353" s="7">
        <v>36221.5</v>
      </c>
      <c r="T353" s="27">
        <v>43165</v>
      </c>
      <c r="U353" s="28">
        <v>9</v>
      </c>
      <c r="V353" s="33"/>
      <c r="W353" s="33"/>
      <c r="X353" s="45">
        <v>148823.84999999998</v>
      </c>
      <c r="Y353" s="14" t="s">
        <v>56</v>
      </c>
      <c r="Z353" s="14" t="s">
        <v>57</v>
      </c>
      <c r="AA353" s="14" t="s">
        <v>2778</v>
      </c>
      <c r="AB353" s="44">
        <v>43166</v>
      </c>
      <c r="AC353" s="44" t="s">
        <v>2779</v>
      </c>
      <c r="AD353" s="29" t="s">
        <v>49</v>
      </c>
      <c r="AE353" s="43" t="s">
        <v>945</v>
      </c>
      <c r="AF353" s="25" t="s">
        <v>1265</v>
      </c>
      <c r="AG353" t="e">
        <f t="shared" si="5"/>
        <v>#REF!</v>
      </c>
      <c r="AH353"/>
      <c r="AI353" s="58"/>
      <c r="AJ353"/>
      <c r="AK353" s="34"/>
      <c r="AL353" s="34"/>
      <c r="AM353" s="34"/>
      <c r="AN353" s="30"/>
      <c r="AO353" s="30"/>
    </row>
    <row r="354" spans="1:41" s="31" customFormat="1" ht="15.75" customHeight="1">
      <c r="A354" s="13" t="s">
        <v>946</v>
      </c>
      <c r="B354" s="5">
        <v>198</v>
      </c>
      <c r="C354" s="7">
        <v>22550.9</v>
      </c>
      <c r="D354" s="7">
        <v>0</v>
      </c>
      <c r="E354" s="7">
        <v>0</v>
      </c>
      <c r="F354" s="5">
        <v>0</v>
      </c>
      <c r="G354" s="7">
        <v>0</v>
      </c>
      <c r="H354" s="5">
        <v>0</v>
      </c>
      <c r="I354" s="7">
        <v>0</v>
      </c>
      <c r="J354" s="7">
        <v>58</v>
      </c>
      <c r="K354" s="5">
        <v>0</v>
      </c>
      <c r="L354" s="5">
        <v>0</v>
      </c>
      <c r="M354" s="5">
        <v>58</v>
      </c>
      <c r="N354" s="7">
        <v>58</v>
      </c>
      <c r="O354" s="7">
        <v>10248.599999999999</v>
      </c>
      <c r="P354" s="7">
        <v>390</v>
      </c>
      <c r="Q354" s="5">
        <v>0</v>
      </c>
      <c r="R354" s="5">
        <v>390</v>
      </c>
      <c r="S354" s="7">
        <v>48075.5</v>
      </c>
      <c r="T354" s="27">
        <v>43165</v>
      </c>
      <c r="U354" s="28">
        <v>5</v>
      </c>
      <c r="V354" s="4"/>
      <c r="W354" s="4"/>
      <c r="X354" s="45">
        <v>80875</v>
      </c>
      <c r="Y354" s="14" t="s">
        <v>56</v>
      </c>
      <c r="Z354" s="14" t="s">
        <v>1355</v>
      </c>
      <c r="AA354" s="14" t="s">
        <v>2798</v>
      </c>
      <c r="AB354" s="44">
        <v>43169</v>
      </c>
      <c r="AC354" s="44" t="s">
        <v>2799</v>
      </c>
      <c r="AD354" s="29" t="s">
        <v>49</v>
      </c>
      <c r="AE354" s="43" t="s">
        <v>947</v>
      </c>
      <c r="AF354" s="25" t="s">
        <v>1267</v>
      </c>
      <c r="AG354" t="e">
        <f t="shared" si="5"/>
        <v>#REF!</v>
      </c>
      <c r="AH354"/>
      <c r="AI354" s="58"/>
      <c r="AJ354"/>
      <c r="AK354"/>
      <c r="AL354"/>
      <c r="AM354"/>
      <c r="AN354" s="30"/>
      <c r="AO354" s="30"/>
    </row>
    <row r="355" spans="1:41" s="31" customFormat="1" ht="15.75" customHeight="1">
      <c r="A355" s="13" t="s">
        <v>948</v>
      </c>
      <c r="B355" s="5">
        <v>340</v>
      </c>
      <c r="C355" s="7">
        <v>35461.459999999992</v>
      </c>
      <c r="D355" s="7">
        <v>0</v>
      </c>
      <c r="E355" s="7">
        <v>0</v>
      </c>
      <c r="F355" s="5">
        <v>0</v>
      </c>
      <c r="G355" s="7">
        <v>0</v>
      </c>
      <c r="H355" s="5">
        <v>0</v>
      </c>
      <c r="I355" s="7">
        <v>0</v>
      </c>
      <c r="J355" s="7">
        <v>0</v>
      </c>
      <c r="K355" s="5">
        <v>0</v>
      </c>
      <c r="L355" s="5">
        <v>0</v>
      </c>
      <c r="M355" s="5">
        <v>0</v>
      </c>
      <c r="N355" s="7">
        <v>0</v>
      </c>
      <c r="O355" s="7">
        <v>0</v>
      </c>
      <c r="P355" s="7">
        <v>279</v>
      </c>
      <c r="Q355" s="5">
        <v>0</v>
      </c>
      <c r="R355" s="5">
        <v>279</v>
      </c>
      <c r="S355" s="7">
        <v>31092.799999999999</v>
      </c>
      <c r="T355" s="27">
        <v>43165</v>
      </c>
      <c r="U355" s="28">
        <v>4</v>
      </c>
      <c r="V355" s="4"/>
      <c r="W355" s="4"/>
      <c r="X355" s="45">
        <v>66554.259999999995</v>
      </c>
      <c r="Y355" s="14" t="s">
        <v>56</v>
      </c>
      <c r="Z355" s="14" t="s">
        <v>1281</v>
      </c>
      <c r="AA355" s="14" t="s">
        <v>2786</v>
      </c>
      <c r="AB355" s="44">
        <v>43169</v>
      </c>
      <c r="AC355" s="44" t="s">
        <v>2787</v>
      </c>
      <c r="AD355" s="29" t="s">
        <v>52</v>
      </c>
      <c r="AE355" s="43" t="s">
        <v>949</v>
      </c>
      <c r="AF355" s="25" t="s">
        <v>1271</v>
      </c>
      <c r="AG355" t="e">
        <f t="shared" si="5"/>
        <v>#REF!</v>
      </c>
      <c r="AH355"/>
      <c r="AI355" s="58"/>
      <c r="AJ355"/>
      <c r="AK355"/>
      <c r="AL355"/>
      <c r="AM355"/>
      <c r="AN355" s="30"/>
      <c r="AO355" s="30"/>
    </row>
    <row r="356" spans="1:41" ht="15.75" customHeight="1">
      <c r="A356" s="13" t="s">
        <v>950</v>
      </c>
      <c r="B356" s="5">
        <v>88</v>
      </c>
      <c r="C356" s="7">
        <v>11375.8</v>
      </c>
      <c r="D356" s="7">
        <v>0</v>
      </c>
      <c r="E356" s="7">
        <v>0</v>
      </c>
      <c r="F356" s="5">
        <v>0</v>
      </c>
      <c r="G356" s="7">
        <v>0</v>
      </c>
      <c r="H356" s="5">
        <v>558</v>
      </c>
      <c r="I356" s="7">
        <v>65462.76999999999</v>
      </c>
      <c r="J356" s="7">
        <v>145</v>
      </c>
      <c r="K356" s="5">
        <v>0</v>
      </c>
      <c r="L356" s="5">
        <v>0</v>
      </c>
      <c r="M356" s="5">
        <v>145</v>
      </c>
      <c r="N356" s="7">
        <v>145</v>
      </c>
      <c r="O356" s="7">
        <v>29995.300000000003</v>
      </c>
      <c r="P356" s="7">
        <v>278</v>
      </c>
      <c r="Q356" s="5">
        <v>0</v>
      </c>
      <c r="R356" s="5">
        <v>278</v>
      </c>
      <c r="S356" s="7">
        <v>50121.600000000006</v>
      </c>
      <c r="T356" s="12">
        <v>43165</v>
      </c>
      <c r="U356" s="28">
        <v>12</v>
      </c>
      <c r="X356" s="45">
        <v>156955.47</v>
      </c>
      <c r="Y356" s="14" t="s">
        <v>54</v>
      </c>
      <c r="Z356" s="14" t="s">
        <v>55</v>
      </c>
      <c r="AA356" s="14" t="s">
        <v>2769</v>
      </c>
      <c r="AB356" s="44">
        <v>43168</v>
      </c>
      <c r="AC356" s="44" t="s">
        <v>2770</v>
      </c>
      <c r="AD356" s="14" t="s">
        <v>51</v>
      </c>
      <c r="AE356" s="24" t="s">
        <v>951</v>
      </c>
      <c r="AF356" s="25" t="s">
        <v>1270</v>
      </c>
      <c r="AG356" t="e">
        <f t="shared" si="5"/>
        <v>#REF!</v>
      </c>
      <c r="AI356" s="58"/>
    </row>
    <row r="357" spans="1:41" s="31" customFormat="1" ht="15.75" customHeight="1">
      <c r="A357" s="13" t="s">
        <v>952</v>
      </c>
      <c r="B357" s="5">
        <v>524</v>
      </c>
      <c r="C357" s="7">
        <v>64566.7</v>
      </c>
      <c r="D357" s="7">
        <v>0</v>
      </c>
      <c r="E357" s="7">
        <v>0</v>
      </c>
      <c r="F357" s="5">
        <v>0</v>
      </c>
      <c r="G357" s="7">
        <v>0</v>
      </c>
      <c r="H357" s="5">
        <v>0</v>
      </c>
      <c r="I357" s="7">
        <v>0</v>
      </c>
      <c r="J357" s="7">
        <v>107</v>
      </c>
      <c r="K357" s="5">
        <v>0</v>
      </c>
      <c r="L357" s="5">
        <v>0</v>
      </c>
      <c r="M357" s="5">
        <v>107</v>
      </c>
      <c r="N357" s="7">
        <v>107</v>
      </c>
      <c r="O357" s="7">
        <v>17116.7</v>
      </c>
      <c r="P357" s="7">
        <v>236</v>
      </c>
      <c r="Q357" s="5">
        <v>0</v>
      </c>
      <c r="R357" s="5">
        <v>236</v>
      </c>
      <c r="S357" s="7">
        <v>53995.100000000006</v>
      </c>
      <c r="T357" s="27">
        <v>43165</v>
      </c>
      <c r="U357" s="28">
        <v>10</v>
      </c>
      <c r="V357" s="4"/>
      <c r="W357" s="4"/>
      <c r="X357" s="45">
        <v>135678.5</v>
      </c>
      <c r="Y357" s="14" t="s">
        <v>54</v>
      </c>
      <c r="Z357" s="14" t="s">
        <v>59</v>
      </c>
      <c r="AA357" s="14" t="s">
        <v>2796</v>
      </c>
      <c r="AB357" s="44">
        <v>43171</v>
      </c>
      <c r="AC357" s="44" t="s">
        <v>2797</v>
      </c>
      <c r="AD357" s="29" t="s">
        <v>50</v>
      </c>
      <c r="AE357" s="43" t="s">
        <v>953</v>
      </c>
      <c r="AF357" s="25" t="s">
        <v>1269</v>
      </c>
      <c r="AG357" t="e">
        <f t="shared" si="5"/>
        <v>#REF!</v>
      </c>
      <c r="AH357"/>
      <c r="AI357" s="58"/>
      <c r="AJ357"/>
      <c r="AK357"/>
      <c r="AL357"/>
      <c r="AM357"/>
      <c r="AN357" s="30"/>
      <c r="AO357" s="30"/>
    </row>
    <row r="358" spans="1:41" s="31" customFormat="1" ht="15.75" customHeight="1">
      <c r="A358" s="13" t="s">
        <v>954</v>
      </c>
      <c r="B358" s="5">
        <v>0</v>
      </c>
      <c r="C358" s="7">
        <v>0</v>
      </c>
      <c r="D358" s="7">
        <v>0</v>
      </c>
      <c r="E358" s="7">
        <v>0</v>
      </c>
      <c r="F358" s="5">
        <v>0</v>
      </c>
      <c r="G358" s="7">
        <v>0</v>
      </c>
      <c r="H358" s="5">
        <v>210</v>
      </c>
      <c r="I358" s="7">
        <v>25148.9</v>
      </c>
      <c r="J358" s="7">
        <v>0</v>
      </c>
      <c r="K358" s="5">
        <v>0</v>
      </c>
      <c r="L358" s="5">
        <v>0</v>
      </c>
      <c r="M358" s="5">
        <v>0</v>
      </c>
      <c r="N358" s="7">
        <v>0</v>
      </c>
      <c r="O358" s="7">
        <v>0</v>
      </c>
      <c r="P358" s="7">
        <v>0</v>
      </c>
      <c r="Q358" s="5">
        <v>0</v>
      </c>
      <c r="R358" s="5">
        <v>0</v>
      </c>
      <c r="S358" s="7">
        <v>0</v>
      </c>
      <c r="T358" s="27">
        <v>43165</v>
      </c>
      <c r="U358" s="28">
        <v>2</v>
      </c>
      <c r="V358" s="4"/>
      <c r="W358" s="4"/>
      <c r="X358" s="45">
        <v>25148.9</v>
      </c>
      <c r="Y358" s="14" t="s">
        <v>56</v>
      </c>
      <c r="Z358" s="14" t="s">
        <v>57</v>
      </c>
      <c r="AA358" s="14" t="s">
        <v>2800</v>
      </c>
      <c r="AB358" s="44">
        <v>43167</v>
      </c>
      <c r="AC358" s="44" t="s">
        <v>2801</v>
      </c>
      <c r="AD358" s="29" t="s">
        <v>49</v>
      </c>
      <c r="AE358" s="43" t="s">
        <v>945</v>
      </c>
      <c r="AF358" s="25" t="s">
        <v>1265</v>
      </c>
      <c r="AG358" t="e">
        <f t="shared" si="5"/>
        <v>#REF!</v>
      </c>
      <c r="AH358"/>
      <c r="AI358" s="58"/>
      <c r="AJ358"/>
      <c r="AK358"/>
      <c r="AL358"/>
      <c r="AM358"/>
      <c r="AN358" s="30"/>
      <c r="AO358" s="30"/>
    </row>
    <row r="359" spans="1:41" s="31" customFormat="1" ht="15.75" customHeight="1">
      <c r="A359" s="13" t="s">
        <v>955</v>
      </c>
      <c r="B359" s="5">
        <v>0</v>
      </c>
      <c r="C359" s="7">
        <v>0</v>
      </c>
      <c r="D359" s="7">
        <v>0</v>
      </c>
      <c r="E359" s="7">
        <v>0</v>
      </c>
      <c r="F359" s="5">
        <v>0</v>
      </c>
      <c r="G359" s="7">
        <v>0</v>
      </c>
      <c r="H359" s="5">
        <v>0</v>
      </c>
      <c r="I359" s="7">
        <v>0</v>
      </c>
      <c r="J359" s="7">
        <v>0</v>
      </c>
      <c r="K359" s="5">
        <v>0</v>
      </c>
      <c r="L359" s="5">
        <v>0</v>
      </c>
      <c r="M359" s="5">
        <v>0</v>
      </c>
      <c r="N359" s="7">
        <v>0</v>
      </c>
      <c r="O359" s="7">
        <v>0</v>
      </c>
      <c r="P359" s="7">
        <v>100</v>
      </c>
      <c r="Q359" s="5">
        <v>0</v>
      </c>
      <c r="R359" s="5">
        <v>100</v>
      </c>
      <c r="S359" s="7">
        <v>14631</v>
      </c>
      <c r="T359" s="27">
        <v>43166</v>
      </c>
      <c r="U359" s="28">
        <v>1</v>
      </c>
      <c r="V359" s="33"/>
      <c r="W359" s="33"/>
      <c r="X359" s="45">
        <v>14631</v>
      </c>
      <c r="Y359" s="14" t="s">
        <v>56</v>
      </c>
      <c r="Z359" s="14" t="s">
        <v>1355</v>
      </c>
      <c r="AA359" s="14" t="s">
        <v>2798</v>
      </c>
      <c r="AB359" s="44">
        <v>43169</v>
      </c>
      <c r="AC359" s="44" t="s">
        <v>2799</v>
      </c>
      <c r="AD359" s="29" t="s">
        <v>49</v>
      </c>
      <c r="AE359" s="43" t="s">
        <v>956</v>
      </c>
      <c r="AF359" s="25" t="s">
        <v>1268</v>
      </c>
      <c r="AG359" t="e">
        <f t="shared" si="5"/>
        <v>#REF!</v>
      </c>
      <c r="AH359"/>
      <c r="AI359" s="58"/>
      <c r="AJ359"/>
      <c r="AK359" s="34"/>
      <c r="AL359" s="34"/>
      <c r="AM359" s="34"/>
      <c r="AN359" s="30"/>
      <c r="AO359" s="30"/>
    </row>
    <row r="360" spans="1:41" s="31" customFormat="1" ht="15.75" customHeight="1">
      <c r="A360" s="13" t="s">
        <v>957</v>
      </c>
      <c r="B360" s="5">
        <v>0</v>
      </c>
      <c r="C360" s="7">
        <v>0</v>
      </c>
      <c r="D360" s="7">
        <v>0</v>
      </c>
      <c r="E360" s="7">
        <v>0</v>
      </c>
      <c r="F360" s="5">
        <v>0</v>
      </c>
      <c r="G360" s="7">
        <v>0</v>
      </c>
      <c r="H360" s="5">
        <v>0</v>
      </c>
      <c r="I360" s="7">
        <v>0</v>
      </c>
      <c r="J360" s="7">
        <v>0</v>
      </c>
      <c r="K360" s="5">
        <v>0</v>
      </c>
      <c r="L360" s="5">
        <v>0</v>
      </c>
      <c r="M360" s="5">
        <v>0</v>
      </c>
      <c r="N360" s="7">
        <v>0</v>
      </c>
      <c r="O360" s="7">
        <v>0</v>
      </c>
      <c r="P360" s="7">
        <v>100</v>
      </c>
      <c r="Q360" s="5">
        <v>0</v>
      </c>
      <c r="R360" s="5">
        <v>100</v>
      </c>
      <c r="S360" s="7">
        <v>13647</v>
      </c>
      <c r="T360" s="27">
        <v>43166</v>
      </c>
      <c r="U360" s="28">
        <v>1</v>
      </c>
      <c r="V360" s="4"/>
      <c r="W360" s="4"/>
      <c r="X360" s="45">
        <v>13647</v>
      </c>
      <c r="Y360" s="14" t="s">
        <v>56</v>
      </c>
      <c r="Z360" s="14" t="s">
        <v>1355</v>
      </c>
      <c r="AA360" s="14" t="s">
        <v>2802</v>
      </c>
      <c r="AB360" s="44">
        <v>43169</v>
      </c>
      <c r="AC360" s="44" t="s">
        <v>2803</v>
      </c>
      <c r="AD360" s="29" t="s">
        <v>218</v>
      </c>
      <c r="AE360" s="43" t="s">
        <v>958</v>
      </c>
      <c r="AF360" s="25" t="s">
        <v>1272</v>
      </c>
      <c r="AG360" t="e">
        <f t="shared" si="5"/>
        <v>#REF!</v>
      </c>
      <c r="AH360"/>
      <c r="AI360" s="58"/>
      <c r="AJ360"/>
      <c r="AK360"/>
      <c r="AL360"/>
      <c r="AM360"/>
      <c r="AN360" s="30"/>
      <c r="AO360" s="30"/>
    </row>
    <row r="361" spans="1:41" s="31" customFormat="1" ht="15.75" customHeight="1">
      <c r="A361" s="13" t="s">
        <v>959</v>
      </c>
      <c r="B361" s="5">
        <v>82</v>
      </c>
      <c r="C361" s="7">
        <v>11474.800000000001</v>
      </c>
      <c r="D361" s="7">
        <v>0</v>
      </c>
      <c r="E361" s="7">
        <v>0</v>
      </c>
      <c r="F361" s="5">
        <v>0</v>
      </c>
      <c r="G361" s="7">
        <v>0</v>
      </c>
      <c r="H361" s="5">
        <v>0</v>
      </c>
      <c r="I361" s="7">
        <v>0</v>
      </c>
      <c r="J361" s="7">
        <v>0</v>
      </c>
      <c r="K361" s="5">
        <v>0</v>
      </c>
      <c r="L361" s="5">
        <v>0</v>
      </c>
      <c r="M361" s="5">
        <v>0</v>
      </c>
      <c r="N361" s="7">
        <v>0</v>
      </c>
      <c r="O361" s="7">
        <v>0</v>
      </c>
      <c r="P361" s="7">
        <v>0</v>
      </c>
      <c r="Q361" s="5">
        <v>0</v>
      </c>
      <c r="R361" s="5">
        <v>0</v>
      </c>
      <c r="S361" s="7">
        <v>0</v>
      </c>
      <c r="T361" s="27">
        <v>43166</v>
      </c>
      <c r="U361" s="28">
        <v>1</v>
      </c>
      <c r="V361" s="33"/>
      <c r="W361" s="33"/>
      <c r="X361" s="45">
        <v>11474.800000000001</v>
      </c>
      <c r="Y361" s="14" t="s">
        <v>1633</v>
      </c>
      <c r="Z361" s="14" t="s">
        <v>1355</v>
      </c>
      <c r="AA361" s="14" t="s">
        <v>2792</v>
      </c>
      <c r="AB361" s="44">
        <v>43171</v>
      </c>
      <c r="AC361" s="44" t="s">
        <v>2793</v>
      </c>
      <c r="AD361" s="29" t="s">
        <v>70</v>
      </c>
      <c r="AE361" s="43" t="s">
        <v>960</v>
      </c>
      <c r="AF361" s="25" t="s">
        <v>1273</v>
      </c>
      <c r="AG361" t="e">
        <f t="shared" si="5"/>
        <v>#REF!</v>
      </c>
      <c r="AH361"/>
      <c r="AI361" s="58"/>
      <c r="AJ361"/>
      <c r="AK361" s="34"/>
      <c r="AL361" s="34"/>
      <c r="AM361" s="34"/>
      <c r="AN361" s="30"/>
      <c r="AO361" s="30"/>
    </row>
    <row r="362" spans="1:41" s="31" customFormat="1" ht="15.75" customHeight="1">
      <c r="A362" s="13" t="s">
        <v>961</v>
      </c>
      <c r="B362" s="5">
        <v>30</v>
      </c>
      <c r="C362" s="7">
        <v>4665.7999999999993</v>
      </c>
      <c r="D362" s="7">
        <v>0</v>
      </c>
      <c r="E362" s="7">
        <v>0</v>
      </c>
      <c r="F362" s="5">
        <v>0</v>
      </c>
      <c r="G362" s="7">
        <v>0</v>
      </c>
      <c r="H362" s="5">
        <v>9</v>
      </c>
      <c r="I362" s="7">
        <v>394.79999999999995</v>
      </c>
      <c r="J362" s="7">
        <v>27</v>
      </c>
      <c r="K362" s="5">
        <v>0</v>
      </c>
      <c r="L362" s="5">
        <v>0</v>
      </c>
      <c r="M362" s="5">
        <v>27</v>
      </c>
      <c r="N362" s="7">
        <v>27</v>
      </c>
      <c r="O362" s="7">
        <v>2643.1</v>
      </c>
      <c r="P362" s="7">
        <v>35</v>
      </c>
      <c r="Q362" s="5">
        <v>0</v>
      </c>
      <c r="R362" s="5">
        <v>35</v>
      </c>
      <c r="S362" s="7">
        <v>5329.1399999999994</v>
      </c>
      <c r="T362" s="27">
        <v>43166</v>
      </c>
      <c r="U362" s="28">
        <v>1</v>
      </c>
      <c r="V362" s="4"/>
      <c r="W362" s="4"/>
      <c r="X362" s="45">
        <v>13032.839999999998</v>
      </c>
      <c r="Y362" s="14" t="s">
        <v>1354</v>
      </c>
      <c r="Z362" s="14" t="s">
        <v>730</v>
      </c>
      <c r="AA362" s="14" t="s">
        <v>2804</v>
      </c>
      <c r="AB362" s="44">
        <v>43175</v>
      </c>
      <c r="AC362" s="44" t="s">
        <v>2805</v>
      </c>
      <c r="AD362" s="29" t="s">
        <v>240</v>
      </c>
      <c r="AE362" s="43" t="s">
        <v>962</v>
      </c>
      <c r="AF362" s="25" t="s">
        <v>1274</v>
      </c>
      <c r="AG362" t="e">
        <f t="shared" si="5"/>
        <v>#REF!</v>
      </c>
      <c r="AH362"/>
      <c r="AI362" s="58"/>
      <c r="AJ362"/>
      <c r="AK362"/>
      <c r="AL362"/>
      <c r="AM362"/>
      <c r="AN362" s="30"/>
      <c r="AO362" s="30"/>
    </row>
    <row r="363" spans="1:41" s="31" customFormat="1" ht="15.75" customHeight="1">
      <c r="A363" s="13" t="s">
        <v>963</v>
      </c>
      <c r="B363" s="5">
        <v>0</v>
      </c>
      <c r="C363" s="7">
        <v>0</v>
      </c>
      <c r="D363" s="7">
        <v>15</v>
      </c>
      <c r="E363" s="7">
        <v>15</v>
      </c>
      <c r="F363" s="5">
        <v>0</v>
      </c>
      <c r="G363" s="7">
        <v>741</v>
      </c>
      <c r="H363" s="5">
        <v>723</v>
      </c>
      <c r="I363" s="7">
        <v>93232.170000000013</v>
      </c>
      <c r="J363" s="7">
        <v>0</v>
      </c>
      <c r="K363" s="5">
        <v>0</v>
      </c>
      <c r="L363" s="5">
        <v>0</v>
      </c>
      <c r="M363" s="5">
        <v>0</v>
      </c>
      <c r="N363" s="7">
        <v>0</v>
      </c>
      <c r="O363" s="7">
        <v>0</v>
      </c>
      <c r="P363" s="7">
        <v>0</v>
      </c>
      <c r="Q363" s="5">
        <v>0</v>
      </c>
      <c r="R363" s="5">
        <v>0</v>
      </c>
      <c r="S363" s="7">
        <v>0</v>
      </c>
      <c r="T363" s="27">
        <v>43166</v>
      </c>
      <c r="U363" s="28">
        <v>7</v>
      </c>
      <c r="V363" s="4"/>
      <c r="W363" s="4"/>
      <c r="X363" s="45">
        <v>93973.170000000013</v>
      </c>
      <c r="Y363" s="14" t="s">
        <v>56</v>
      </c>
      <c r="Z363" s="14" t="s">
        <v>57</v>
      </c>
      <c r="AA363" s="14" t="s">
        <v>2798</v>
      </c>
      <c r="AB363" s="44">
        <v>43169</v>
      </c>
      <c r="AC363" s="44" t="s">
        <v>2799</v>
      </c>
      <c r="AD363" s="29" t="s">
        <v>49</v>
      </c>
      <c r="AE363" s="43" t="s">
        <v>964</v>
      </c>
      <c r="AF363" s="25" t="s">
        <v>1265</v>
      </c>
      <c r="AG363" t="e">
        <f t="shared" si="5"/>
        <v>#REF!</v>
      </c>
      <c r="AH363"/>
      <c r="AI363" s="58"/>
      <c r="AJ363"/>
      <c r="AK363"/>
      <c r="AL363"/>
      <c r="AM363"/>
      <c r="AN363" s="30"/>
      <c r="AO363" s="30"/>
    </row>
    <row r="364" spans="1:41" s="31" customFormat="1" ht="15.75" customHeight="1">
      <c r="A364" s="13" t="s">
        <v>965</v>
      </c>
      <c r="B364" s="5">
        <v>53</v>
      </c>
      <c r="C364" s="7">
        <v>5304.6</v>
      </c>
      <c r="D364" s="7">
        <v>0</v>
      </c>
      <c r="E364" s="7">
        <v>0</v>
      </c>
      <c r="F364" s="5">
        <v>0</v>
      </c>
      <c r="G364" s="7">
        <v>0</v>
      </c>
      <c r="H364" s="5">
        <v>0</v>
      </c>
      <c r="I364" s="7">
        <v>0</v>
      </c>
      <c r="J364" s="7">
        <v>27</v>
      </c>
      <c r="K364" s="5">
        <v>0</v>
      </c>
      <c r="L364" s="5">
        <v>0</v>
      </c>
      <c r="M364" s="5">
        <v>27</v>
      </c>
      <c r="N364" s="7">
        <v>27</v>
      </c>
      <c r="O364" s="7">
        <v>5473.5</v>
      </c>
      <c r="P364" s="7">
        <v>0</v>
      </c>
      <c r="Q364" s="5">
        <v>0</v>
      </c>
      <c r="R364" s="5">
        <v>0</v>
      </c>
      <c r="S364" s="7">
        <v>0</v>
      </c>
      <c r="T364" s="27">
        <v>43166</v>
      </c>
      <c r="U364" s="28">
        <v>1</v>
      </c>
      <c r="V364" s="4"/>
      <c r="W364" s="4"/>
      <c r="X364" s="45">
        <v>10778.1</v>
      </c>
      <c r="Y364" s="14" t="s">
        <v>56</v>
      </c>
      <c r="Z364" s="14" t="s">
        <v>1355</v>
      </c>
      <c r="AA364" s="14" t="s">
        <v>2798</v>
      </c>
      <c r="AB364" s="44">
        <v>43169</v>
      </c>
      <c r="AC364" s="44" t="s">
        <v>2799</v>
      </c>
      <c r="AD364" s="29" t="s">
        <v>49</v>
      </c>
      <c r="AE364" s="43" t="s">
        <v>966</v>
      </c>
      <c r="AF364" s="25" t="s">
        <v>1267</v>
      </c>
      <c r="AG364" t="e">
        <f t="shared" si="5"/>
        <v>#REF!</v>
      </c>
      <c r="AH364"/>
      <c r="AI364" s="58"/>
      <c r="AJ364"/>
      <c r="AK364"/>
      <c r="AL364"/>
      <c r="AM364"/>
      <c r="AN364" s="30"/>
      <c r="AO364" s="30"/>
    </row>
    <row r="365" spans="1:41" s="31" customFormat="1" ht="15.75" customHeight="1">
      <c r="A365" s="13" t="s">
        <v>967</v>
      </c>
      <c r="B365" s="5">
        <v>88</v>
      </c>
      <c r="C365" s="7">
        <v>12247.2</v>
      </c>
      <c r="D365" s="7">
        <v>0</v>
      </c>
      <c r="E365" s="7">
        <v>0</v>
      </c>
      <c r="F365" s="5">
        <v>0</v>
      </c>
      <c r="G365" s="7">
        <v>0</v>
      </c>
      <c r="H365" s="5">
        <v>95</v>
      </c>
      <c r="I365" s="7">
        <v>12859.6</v>
      </c>
      <c r="J365" s="7">
        <v>82</v>
      </c>
      <c r="K365" s="5">
        <v>0</v>
      </c>
      <c r="L365" s="5">
        <v>0</v>
      </c>
      <c r="M365" s="5">
        <v>82</v>
      </c>
      <c r="N365" s="7">
        <v>82</v>
      </c>
      <c r="O365" s="7">
        <v>9215.6999999999989</v>
      </c>
      <c r="P365" s="7">
        <v>0</v>
      </c>
      <c r="Q365" s="5">
        <v>0</v>
      </c>
      <c r="R365" s="5">
        <v>0</v>
      </c>
      <c r="S365" s="7">
        <v>0</v>
      </c>
      <c r="T365" s="27">
        <v>43166</v>
      </c>
      <c r="U365" s="28">
        <v>3</v>
      </c>
      <c r="V365" s="33"/>
      <c r="W365" s="33"/>
      <c r="X365" s="45">
        <v>34322.5</v>
      </c>
      <c r="Y365" s="14" t="s">
        <v>56</v>
      </c>
      <c r="Z365" s="14" t="s">
        <v>1281</v>
      </c>
      <c r="AA365" s="14" t="s">
        <v>2786</v>
      </c>
      <c r="AB365" s="44">
        <v>43169</v>
      </c>
      <c r="AC365" s="44" t="s">
        <v>2787</v>
      </c>
      <c r="AD365" s="29" t="s">
        <v>52</v>
      </c>
      <c r="AE365" s="43" t="s">
        <v>968</v>
      </c>
      <c r="AF365" s="25" t="s">
        <v>1271</v>
      </c>
      <c r="AG365" t="e">
        <f t="shared" si="5"/>
        <v>#REF!</v>
      </c>
      <c r="AH365"/>
      <c r="AI365" s="58"/>
      <c r="AJ365"/>
      <c r="AK365" s="34"/>
      <c r="AL365" s="34"/>
      <c r="AM365" s="34"/>
      <c r="AN365" s="30"/>
      <c r="AO365" s="30"/>
    </row>
    <row r="366" spans="1:41" s="31" customFormat="1" ht="15.75" customHeight="1">
      <c r="A366" s="13" t="s">
        <v>969</v>
      </c>
      <c r="B366" s="5">
        <v>946</v>
      </c>
      <c r="C366" s="7">
        <v>96865.72</v>
      </c>
      <c r="D366" s="7">
        <v>0</v>
      </c>
      <c r="E366" s="7">
        <v>0</v>
      </c>
      <c r="F366" s="5">
        <v>0</v>
      </c>
      <c r="G366" s="7">
        <v>0</v>
      </c>
      <c r="H366" s="5">
        <v>365</v>
      </c>
      <c r="I366" s="7">
        <v>43320.65</v>
      </c>
      <c r="J366" s="7">
        <v>43</v>
      </c>
      <c r="K366" s="5">
        <v>0</v>
      </c>
      <c r="L366" s="5">
        <v>0</v>
      </c>
      <c r="M366" s="5">
        <v>43</v>
      </c>
      <c r="N366" s="7">
        <v>43</v>
      </c>
      <c r="O366" s="7">
        <v>9635.2999999999993</v>
      </c>
      <c r="P366" s="7">
        <v>613</v>
      </c>
      <c r="Q366" s="5">
        <v>0</v>
      </c>
      <c r="R366" s="5">
        <v>613</v>
      </c>
      <c r="S366" s="7">
        <v>50041.5</v>
      </c>
      <c r="T366" s="27">
        <v>43166</v>
      </c>
      <c r="U366" s="28">
        <v>13</v>
      </c>
      <c r="V366" s="4"/>
      <c r="W366" s="4"/>
      <c r="X366" s="45">
        <v>199863.16999999998</v>
      </c>
      <c r="Y366" s="14" t="s">
        <v>56</v>
      </c>
      <c r="Z366" s="14" t="s">
        <v>730</v>
      </c>
      <c r="AA366" s="14" t="s">
        <v>2806</v>
      </c>
      <c r="AB366" s="44">
        <v>43169</v>
      </c>
      <c r="AC366" s="44" t="s">
        <v>2787</v>
      </c>
      <c r="AD366" s="29" t="s">
        <v>51</v>
      </c>
      <c r="AE366" s="54" t="s">
        <v>970</v>
      </c>
      <c r="AF366" s="25" t="s">
        <v>1270</v>
      </c>
      <c r="AG366" t="e">
        <f t="shared" si="5"/>
        <v>#REF!</v>
      </c>
      <c r="AH366"/>
      <c r="AI366" s="58"/>
      <c r="AJ366"/>
      <c r="AK366"/>
      <c r="AL366"/>
      <c r="AM366"/>
      <c r="AN366" s="30"/>
      <c r="AO366" s="30"/>
    </row>
    <row r="367" spans="1:41" s="31" customFormat="1" ht="15.75" customHeight="1">
      <c r="A367" s="13" t="s">
        <v>971</v>
      </c>
      <c r="B367" s="5">
        <v>0</v>
      </c>
      <c r="C367" s="7">
        <v>0</v>
      </c>
      <c r="D367" s="7">
        <v>0</v>
      </c>
      <c r="E367" s="7">
        <v>0</v>
      </c>
      <c r="F367" s="5">
        <v>0</v>
      </c>
      <c r="G367" s="7">
        <v>0</v>
      </c>
      <c r="H367" s="5">
        <v>461</v>
      </c>
      <c r="I367" s="7">
        <v>61587.299999999996</v>
      </c>
      <c r="J367" s="7">
        <v>143</v>
      </c>
      <c r="K367" s="5">
        <v>0</v>
      </c>
      <c r="L367" s="5">
        <v>0</v>
      </c>
      <c r="M367" s="5">
        <v>143</v>
      </c>
      <c r="N367" s="7">
        <v>143</v>
      </c>
      <c r="O367" s="7">
        <v>4215.2000000000007</v>
      </c>
      <c r="P367" s="7">
        <v>0</v>
      </c>
      <c r="Q367" s="5">
        <v>0</v>
      </c>
      <c r="R367" s="5">
        <v>0</v>
      </c>
      <c r="S367" s="7">
        <v>0</v>
      </c>
      <c r="T367" s="27">
        <v>43167</v>
      </c>
      <c r="U367" s="28">
        <v>5</v>
      </c>
      <c r="V367" s="4">
        <v>4</v>
      </c>
      <c r="W367" s="4">
        <v>8</v>
      </c>
      <c r="X367" s="45">
        <v>65802.5</v>
      </c>
      <c r="Y367" s="14" t="s">
        <v>54</v>
      </c>
      <c r="Z367" s="14" t="s">
        <v>57</v>
      </c>
      <c r="AA367" s="14" t="s">
        <v>2807</v>
      </c>
      <c r="AB367" s="44">
        <v>43171</v>
      </c>
      <c r="AC367" s="44" t="s">
        <v>2797</v>
      </c>
      <c r="AD367" s="29" t="s">
        <v>49</v>
      </c>
      <c r="AE367" s="43" t="s">
        <v>972</v>
      </c>
      <c r="AF367" s="25" t="s">
        <v>1265</v>
      </c>
      <c r="AG367" t="e">
        <f t="shared" si="5"/>
        <v>#REF!</v>
      </c>
      <c r="AH367"/>
      <c r="AI367" s="58"/>
      <c r="AJ367"/>
      <c r="AK367"/>
      <c r="AL367"/>
      <c r="AM367"/>
      <c r="AN367" s="30"/>
      <c r="AO367" s="30"/>
    </row>
    <row r="368" spans="1:41" s="31" customFormat="1" ht="15.75" customHeight="1">
      <c r="A368" s="13" t="s">
        <v>973</v>
      </c>
      <c r="B368" s="5">
        <v>434</v>
      </c>
      <c r="C368" s="7">
        <v>59867.409999999989</v>
      </c>
      <c r="D368" s="7">
        <v>0</v>
      </c>
      <c r="E368" s="7">
        <v>0</v>
      </c>
      <c r="F368" s="5">
        <v>0</v>
      </c>
      <c r="G368" s="7">
        <v>0</v>
      </c>
      <c r="H368" s="5">
        <v>595</v>
      </c>
      <c r="I368" s="7">
        <v>52845.3</v>
      </c>
      <c r="J368" s="7">
        <v>148</v>
      </c>
      <c r="K368" s="5">
        <v>0</v>
      </c>
      <c r="L368" s="5">
        <v>0</v>
      </c>
      <c r="M368" s="5">
        <v>148</v>
      </c>
      <c r="N368" s="7">
        <v>148</v>
      </c>
      <c r="O368" s="7">
        <v>11877.599999999999</v>
      </c>
      <c r="P368" s="7">
        <v>1194</v>
      </c>
      <c r="Q368" s="5">
        <v>0</v>
      </c>
      <c r="R368" s="5">
        <v>1194</v>
      </c>
      <c r="S368" s="7">
        <v>111589.5</v>
      </c>
      <c r="T368" s="27">
        <v>43167</v>
      </c>
      <c r="U368" s="28">
        <v>14</v>
      </c>
      <c r="V368" s="4">
        <v>3</v>
      </c>
      <c r="W368" s="4">
        <v>7</v>
      </c>
      <c r="X368" s="45">
        <v>236179.81</v>
      </c>
      <c r="Y368" s="14" t="s">
        <v>54</v>
      </c>
      <c r="Z368" s="14" t="s">
        <v>55</v>
      </c>
      <c r="AA368" s="14" t="s">
        <v>2808</v>
      </c>
      <c r="AB368" s="44">
        <v>43171</v>
      </c>
      <c r="AC368" s="44" t="s">
        <v>2809</v>
      </c>
      <c r="AD368" s="29" t="s">
        <v>51</v>
      </c>
      <c r="AE368" s="43" t="s">
        <v>974</v>
      </c>
      <c r="AF368" s="25" t="s">
        <v>1270</v>
      </c>
      <c r="AG368" t="e">
        <f t="shared" si="5"/>
        <v>#REF!</v>
      </c>
      <c r="AH368"/>
      <c r="AI368" s="58"/>
      <c r="AJ368"/>
      <c r="AK368"/>
      <c r="AL368"/>
      <c r="AM368"/>
      <c r="AN368" s="30"/>
      <c r="AO368" s="30"/>
    </row>
    <row r="369" spans="1:41" s="31" customFormat="1" ht="15.75" customHeight="1">
      <c r="A369" s="13" t="s">
        <v>975</v>
      </c>
      <c r="B369" s="5">
        <v>115</v>
      </c>
      <c r="C369" s="7">
        <v>12618.399999999998</v>
      </c>
      <c r="D369" s="7">
        <v>0</v>
      </c>
      <c r="E369" s="7">
        <v>0</v>
      </c>
      <c r="F369" s="5">
        <v>0</v>
      </c>
      <c r="G369" s="7">
        <v>0</v>
      </c>
      <c r="H369" s="5">
        <v>0</v>
      </c>
      <c r="I369" s="7">
        <v>0</v>
      </c>
      <c r="J369" s="7">
        <v>59</v>
      </c>
      <c r="K369" s="5">
        <v>0</v>
      </c>
      <c r="L369" s="5">
        <v>0</v>
      </c>
      <c r="M369" s="5">
        <v>59</v>
      </c>
      <c r="N369" s="7">
        <v>59</v>
      </c>
      <c r="O369" s="7">
        <v>9486.9</v>
      </c>
      <c r="P369" s="7">
        <v>351</v>
      </c>
      <c r="Q369" s="5">
        <v>0</v>
      </c>
      <c r="R369" s="5">
        <v>351</v>
      </c>
      <c r="S369" s="7">
        <v>56790.3</v>
      </c>
      <c r="T369" s="27">
        <v>43167</v>
      </c>
      <c r="U369" s="28">
        <v>6</v>
      </c>
      <c r="V369" s="4">
        <v>7</v>
      </c>
      <c r="W369" s="4">
        <v>13</v>
      </c>
      <c r="X369" s="45">
        <v>78895.600000000006</v>
      </c>
      <c r="Y369" s="14" t="s">
        <v>58</v>
      </c>
      <c r="Z369" s="14" t="s">
        <v>1281</v>
      </c>
      <c r="AA369" s="14" t="s">
        <v>2810</v>
      </c>
      <c r="AB369" s="44">
        <v>43174</v>
      </c>
      <c r="AC369" s="44" t="s">
        <v>2811</v>
      </c>
      <c r="AD369" s="29" t="s">
        <v>51</v>
      </c>
      <c r="AE369" s="43" t="s">
        <v>976</v>
      </c>
      <c r="AF369" s="25" t="s">
        <v>1270</v>
      </c>
      <c r="AG369" t="e">
        <f t="shared" si="5"/>
        <v>#REF!</v>
      </c>
      <c r="AH369"/>
      <c r="AI369" s="58"/>
      <c r="AJ369"/>
      <c r="AK369"/>
      <c r="AL369"/>
      <c r="AM369"/>
      <c r="AN369" s="30"/>
      <c r="AO369" s="30"/>
    </row>
    <row r="370" spans="1:41" s="31" customFormat="1" ht="15.75" customHeight="1">
      <c r="A370" s="13" t="s">
        <v>977</v>
      </c>
      <c r="B370" s="5">
        <v>1150</v>
      </c>
      <c r="C370" s="7">
        <v>136531.37000000002</v>
      </c>
      <c r="D370" s="7">
        <v>0</v>
      </c>
      <c r="E370" s="7">
        <v>0</v>
      </c>
      <c r="F370" s="5">
        <v>0</v>
      </c>
      <c r="G370" s="7">
        <v>0</v>
      </c>
      <c r="H370" s="5">
        <v>0</v>
      </c>
      <c r="I370" s="7">
        <v>0</v>
      </c>
      <c r="J370" s="7">
        <v>188</v>
      </c>
      <c r="K370" s="5">
        <v>0</v>
      </c>
      <c r="L370" s="5">
        <v>0</v>
      </c>
      <c r="M370" s="5">
        <v>188</v>
      </c>
      <c r="N370" s="7">
        <v>188</v>
      </c>
      <c r="O370" s="7">
        <v>39886.800000000003</v>
      </c>
      <c r="P370" s="7">
        <v>74</v>
      </c>
      <c r="Q370" s="5">
        <v>0</v>
      </c>
      <c r="R370" s="5">
        <v>74</v>
      </c>
      <c r="S370" s="7">
        <v>17671.2</v>
      </c>
      <c r="T370" s="12">
        <v>43167</v>
      </c>
      <c r="U370" s="28">
        <v>16</v>
      </c>
      <c r="V370" s="4">
        <v>3</v>
      </c>
      <c r="W370" s="4">
        <v>1</v>
      </c>
      <c r="X370" s="45">
        <v>194089.37000000005</v>
      </c>
      <c r="Y370" s="14" t="s">
        <v>54</v>
      </c>
      <c r="Z370" s="14" t="s">
        <v>59</v>
      </c>
      <c r="AA370" s="14" t="s">
        <v>2796</v>
      </c>
      <c r="AB370" s="44">
        <v>43171</v>
      </c>
      <c r="AC370" s="44" t="s">
        <v>2797</v>
      </c>
      <c r="AD370" s="29" t="s">
        <v>50</v>
      </c>
      <c r="AE370" s="43" t="s">
        <v>978</v>
      </c>
      <c r="AF370" s="25" t="s">
        <v>1269</v>
      </c>
      <c r="AG370" t="e">
        <f t="shared" si="5"/>
        <v>#REF!</v>
      </c>
      <c r="AH370"/>
      <c r="AI370" s="58"/>
      <c r="AJ370"/>
      <c r="AK370"/>
      <c r="AL370"/>
      <c r="AM370"/>
      <c r="AN370" s="30"/>
      <c r="AO370" s="30"/>
    </row>
    <row r="371" spans="1:41" s="31" customFormat="1" ht="15.75" customHeight="1">
      <c r="A371" s="13" t="s">
        <v>979</v>
      </c>
      <c r="B371" s="5">
        <v>113</v>
      </c>
      <c r="C371" s="7">
        <v>10849.4</v>
      </c>
      <c r="D371" s="7">
        <v>0</v>
      </c>
      <c r="E371" s="7">
        <v>0</v>
      </c>
      <c r="F371" s="5">
        <v>0</v>
      </c>
      <c r="G371" s="7">
        <v>0</v>
      </c>
      <c r="H371" s="5">
        <v>0</v>
      </c>
      <c r="I371" s="7">
        <v>0</v>
      </c>
      <c r="J371" s="7">
        <v>229</v>
      </c>
      <c r="K371" s="5">
        <v>0</v>
      </c>
      <c r="L371" s="5">
        <v>0</v>
      </c>
      <c r="M371" s="5">
        <v>229</v>
      </c>
      <c r="N371" s="7">
        <v>229</v>
      </c>
      <c r="O371" s="7">
        <v>46423.100000000013</v>
      </c>
      <c r="P371" s="7">
        <v>161</v>
      </c>
      <c r="Q371" s="5">
        <v>0</v>
      </c>
      <c r="R371" s="5">
        <v>161</v>
      </c>
      <c r="S371" s="7">
        <v>29465</v>
      </c>
      <c r="T371" s="27">
        <v>43167</v>
      </c>
      <c r="U371" s="28">
        <v>8</v>
      </c>
      <c r="V371" s="4">
        <v>0</v>
      </c>
      <c r="W371" s="4">
        <v>1</v>
      </c>
      <c r="X371" s="45">
        <v>86737.500000000015</v>
      </c>
      <c r="Y371" s="14" t="s">
        <v>54</v>
      </c>
      <c r="Z371" s="14" t="s">
        <v>1355</v>
      </c>
      <c r="AA371" s="14" t="s">
        <v>2812</v>
      </c>
      <c r="AB371" s="44">
        <v>43176</v>
      </c>
      <c r="AC371" s="44" t="s">
        <v>2813</v>
      </c>
      <c r="AD371" s="29" t="s">
        <v>50</v>
      </c>
      <c r="AE371" s="43" t="s">
        <v>980</v>
      </c>
      <c r="AF371" s="25" t="s">
        <v>1269</v>
      </c>
      <c r="AG371" t="e">
        <f t="shared" si="5"/>
        <v>#REF!</v>
      </c>
      <c r="AH371"/>
      <c r="AI371" s="58"/>
      <c r="AJ371"/>
      <c r="AK371"/>
      <c r="AL371"/>
      <c r="AM371"/>
      <c r="AN371" s="30"/>
      <c r="AO371" s="30"/>
    </row>
    <row r="372" spans="1:41" ht="15.75" customHeight="1">
      <c r="A372" s="13" t="s">
        <v>981</v>
      </c>
      <c r="B372" s="5">
        <v>200</v>
      </c>
      <c r="C372" s="7">
        <v>6978</v>
      </c>
      <c r="D372" s="7">
        <v>0</v>
      </c>
      <c r="E372" s="7">
        <v>0</v>
      </c>
      <c r="F372" s="5">
        <v>0</v>
      </c>
      <c r="G372" s="7">
        <v>0</v>
      </c>
      <c r="H372" s="5">
        <v>434</v>
      </c>
      <c r="I372" s="7">
        <v>53318.73</v>
      </c>
      <c r="J372" s="7">
        <v>0</v>
      </c>
      <c r="K372" s="5">
        <v>0</v>
      </c>
      <c r="L372" s="5">
        <v>0</v>
      </c>
      <c r="M372" s="5">
        <v>0</v>
      </c>
      <c r="N372" s="7">
        <v>0</v>
      </c>
      <c r="O372" s="7">
        <v>0</v>
      </c>
      <c r="P372" s="7">
        <v>0</v>
      </c>
      <c r="Q372" s="5">
        <v>0</v>
      </c>
      <c r="R372" s="5">
        <v>0</v>
      </c>
      <c r="S372" s="7">
        <v>0</v>
      </c>
      <c r="T372" s="12">
        <v>43168</v>
      </c>
      <c r="U372" s="28">
        <v>4</v>
      </c>
      <c r="V372" s="4">
        <v>1</v>
      </c>
      <c r="W372" s="4">
        <v>6</v>
      </c>
      <c r="X372" s="45">
        <v>60296.73</v>
      </c>
      <c r="Y372" s="14" t="s">
        <v>54</v>
      </c>
      <c r="Z372" s="14" t="s">
        <v>57</v>
      </c>
      <c r="AA372" s="14" t="s">
        <v>2807</v>
      </c>
      <c r="AB372" s="44">
        <v>43171</v>
      </c>
      <c r="AC372" s="44" t="s">
        <v>2797</v>
      </c>
      <c r="AD372" s="14" t="s">
        <v>49</v>
      </c>
      <c r="AE372" s="24" t="s">
        <v>982</v>
      </c>
      <c r="AF372" s="25" t="s">
        <v>1265</v>
      </c>
      <c r="AG372" t="e">
        <f t="shared" si="5"/>
        <v>#REF!</v>
      </c>
      <c r="AI372" s="58"/>
    </row>
    <row r="373" spans="1:41" ht="15.75" customHeight="1">
      <c r="A373" s="13" t="s">
        <v>983</v>
      </c>
      <c r="B373" s="5">
        <v>197</v>
      </c>
      <c r="C373" s="7">
        <v>23293.9</v>
      </c>
      <c r="D373" s="7">
        <v>0</v>
      </c>
      <c r="E373" s="7">
        <v>0</v>
      </c>
      <c r="F373" s="5">
        <v>0</v>
      </c>
      <c r="G373" s="7">
        <v>0</v>
      </c>
      <c r="H373" s="5">
        <v>0</v>
      </c>
      <c r="I373" s="7">
        <v>0</v>
      </c>
      <c r="J373" s="7">
        <v>0</v>
      </c>
      <c r="K373" s="5">
        <v>0</v>
      </c>
      <c r="L373" s="5">
        <v>0</v>
      </c>
      <c r="M373" s="5">
        <v>0</v>
      </c>
      <c r="N373" s="7">
        <v>0</v>
      </c>
      <c r="O373" s="7">
        <v>0</v>
      </c>
      <c r="P373" s="7">
        <v>0</v>
      </c>
      <c r="Q373" s="5">
        <v>0</v>
      </c>
      <c r="R373" s="5">
        <v>0</v>
      </c>
      <c r="S373" s="7">
        <v>0</v>
      </c>
      <c r="T373" s="12">
        <v>43168</v>
      </c>
      <c r="U373" s="28">
        <v>2</v>
      </c>
      <c r="V373" s="4">
        <v>2</v>
      </c>
      <c r="W373" s="4">
        <v>2</v>
      </c>
      <c r="X373" s="45">
        <v>23293.9</v>
      </c>
      <c r="Y373" s="14" t="s">
        <v>54</v>
      </c>
      <c r="Z373" s="14" t="s">
        <v>57</v>
      </c>
      <c r="AA373" s="14" t="s">
        <v>2807</v>
      </c>
      <c r="AB373" s="44">
        <v>43171</v>
      </c>
      <c r="AC373" s="44" t="s">
        <v>2797</v>
      </c>
      <c r="AD373" s="14" t="s">
        <v>49</v>
      </c>
      <c r="AE373" s="24" t="s">
        <v>984</v>
      </c>
      <c r="AF373" s="25" t="s">
        <v>1267</v>
      </c>
      <c r="AG373" t="e">
        <f t="shared" si="5"/>
        <v>#REF!</v>
      </c>
      <c r="AI373" s="58"/>
    </row>
    <row r="374" spans="1:41" ht="15.75" customHeight="1">
      <c r="A374" s="13" t="s">
        <v>985</v>
      </c>
      <c r="B374" s="5">
        <v>262</v>
      </c>
      <c r="C374" s="7">
        <v>33344.65</v>
      </c>
      <c r="D374" s="7">
        <v>0</v>
      </c>
      <c r="E374" s="7">
        <v>0</v>
      </c>
      <c r="F374" s="5">
        <v>0</v>
      </c>
      <c r="G374" s="7">
        <v>0</v>
      </c>
      <c r="H374" s="5">
        <v>15</v>
      </c>
      <c r="I374" s="7">
        <v>1870.9</v>
      </c>
      <c r="J374" s="7">
        <v>42</v>
      </c>
      <c r="K374" s="5">
        <v>0</v>
      </c>
      <c r="L374" s="5">
        <v>0</v>
      </c>
      <c r="M374" s="5">
        <v>42</v>
      </c>
      <c r="N374" s="7">
        <v>42</v>
      </c>
      <c r="O374" s="7">
        <v>7688.4000000000005</v>
      </c>
      <c r="P374" s="7">
        <v>0</v>
      </c>
      <c r="Q374" s="5">
        <v>0</v>
      </c>
      <c r="R374" s="5">
        <v>0</v>
      </c>
      <c r="S374" s="7">
        <v>0</v>
      </c>
      <c r="T374" s="12">
        <v>43168</v>
      </c>
      <c r="U374" s="28">
        <v>4</v>
      </c>
      <c r="V374" s="4">
        <v>2</v>
      </c>
      <c r="W374" s="4">
        <v>3</v>
      </c>
      <c r="X374" s="45">
        <v>42903.950000000004</v>
      </c>
      <c r="Y374" s="14" t="s">
        <v>54</v>
      </c>
      <c r="Z374" s="14" t="s">
        <v>1281</v>
      </c>
      <c r="AA374" s="14" t="s">
        <v>2814</v>
      </c>
      <c r="AB374" s="44">
        <v>43171</v>
      </c>
      <c r="AC374" s="44" t="s">
        <v>2809</v>
      </c>
      <c r="AD374" s="14" t="s">
        <v>52</v>
      </c>
      <c r="AE374" s="24" t="s">
        <v>986</v>
      </c>
      <c r="AF374" s="25" t="s">
        <v>1271</v>
      </c>
      <c r="AG374" t="e">
        <f t="shared" si="5"/>
        <v>#REF!</v>
      </c>
      <c r="AI374" s="58"/>
    </row>
    <row r="375" spans="1:41" ht="15.75" customHeight="1">
      <c r="A375" s="13" t="s">
        <v>987</v>
      </c>
      <c r="B375" s="5">
        <v>380</v>
      </c>
      <c r="C375" s="7">
        <v>49499.9</v>
      </c>
      <c r="D375" s="7">
        <v>0</v>
      </c>
      <c r="E375" s="7">
        <v>0</v>
      </c>
      <c r="F375" s="5">
        <v>0</v>
      </c>
      <c r="G375" s="7">
        <v>0</v>
      </c>
      <c r="H375" s="5">
        <v>586</v>
      </c>
      <c r="I375" s="7">
        <v>78399.689999999988</v>
      </c>
      <c r="J375" s="7">
        <v>58</v>
      </c>
      <c r="K375" s="5">
        <v>0</v>
      </c>
      <c r="L375" s="5">
        <v>0</v>
      </c>
      <c r="M375" s="5">
        <v>58</v>
      </c>
      <c r="N375" s="7">
        <v>58</v>
      </c>
      <c r="O375" s="7">
        <v>8758</v>
      </c>
      <c r="P375" s="7">
        <v>0</v>
      </c>
      <c r="Q375" s="5">
        <v>0</v>
      </c>
      <c r="R375" s="5">
        <v>0</v>
      </c>
      <c r="S375" s="7">
        <v>0</v>
      </c>
      <c r="T375" s="12">
        <v>43168</v>
      </c>
      <c r="U375" s="28">
        <v>11</v>
      </c>
      <c r="V375" s="4">
        <v>7</v>
      </c>
      <c r="W375" s="4">
        <v>5</v>
      </c>
      <c r="X375" s="45">
        <v>136657.59</v>
      </c>
      <c r="Y375" s="14" t="s">
        <v>54</v>
      </c>
      <c r="Z375" s="14" t="s">
        <v>55</v>
      </c>
      <c r="AA375" s="14" t="s">
        <v>2808</v>
      </c>
      <c r="AB375" s="44">
        <v>43171</v>
      </c>
      <c r="AC375" s="44" t="s">
        <v>2809</v>
      </c>
      <c r="AD375" s="14" t="s">
        <v>51</v>
      </c>
      <c r="AE375" s="24" t="s">
        <v>988</v>
      </c>
      <c r="AF375" s="25" t="s">
        <v>1270</v>
      </c>
      <c r="AG375" t="e">
        <f t="shared" si="5"/>
        <v>#REF!</v>
      </c>
      <c r="AI375" s="58"/>
    </row>
    <row r="376" spans="1:41" ht="15.75" customHeight="1">
      <c r="A376" s="51" t="s">
        <v>989</v>
      </c>
      <c r="B376" s="5">
        <v>376</v>
      </c>
      <c r="C376" s="7">
        <v>31103.4</v>
      </c>
      <c r="D376" s="7">
        <v>0</v>
      </c>
      <c r="E376" s="7">
        <v>0</v>
      </c>
      <c r="F376" s="5">
        <v>0</v>
      </c>
      <c r="G376" s="7">
        <v>0</v>
      </c>
      <c r="H376" s="5">
        <v>95</v>
      </c>
      <c r="I376" s="7">
        <v>12156.2</v>
      </c>
      <c r="J376" s="7">
        <v>79</v>
      </c>
      <c r="K376" s="5">
        <v>0</v>
      </c>
      <c r="L376" s="5">
        <v>0</v>
      </c>
      <c r="M376" s="5">
        <v>79</v>
      </c>
      <c r="N376" s="7">
        <v>79</v>
      </c>
      <c r="O376" s="7">
        <v>18333.400000000001</v>
      </c>
      <c r="P376" s="7">
        <v>1053</v>
      </c>
      <c r="Q376" s="5">
        <v>0</v>
      </c>
      <c r="R376" s="5">
        <v>1053</v>
      </c>
      <c r="S376" s="7">
        <v>145176</v>
      </c>
      <c r="T376" s="12">
        <v>43169</v>
      </c>
      <c r="U376" s="28">
        <v>12</v>
      </c>
      <c r="V376" s="4">
        <v>12</v>
      </c>
      <c r="W376" s="4">
        <v>14</v>
      </c>
      <c r="X376" s="45">
        <v>206769</v>
      </c>
      <c r="Y376" s="14" t="s">
        <v>58</v>
      </c>
      <c r="Z376" s="14" t="s">
        <v>1281</v>
      </c>
      <c r="AA376" s="14" t="s">
        <v>2810</v>
      </c>
      <c r="AB376" s="44">
        <v>43174</v>
      </c>
      <c r="AC376" s="44" t="s">
        <v>2811</v>
      </c>
      <c r="AD376" s="14" t="s">
        <v>51</v>
      </c>
      <c r="AE376" s="24" t="s">
        <v>1135</v>
      </c>
      <c r="AF376" s="25" t="s">
        <v>1270</v>
      </c>
      <c r="AG376" t="e">
        <f t="shared" si="5"/>
        <v>#REF!</v>
      </c>
      <c r="AI376" s="58"/>
    </row>
    <row r="377" spans="1:41" ht="15.75" customHeight="1">
      <c r="A377" s="51" t="s">
        <v>990</v>
      </c>
      <c r="B377" s="5">
        <v>834</v>
      </c>
      <c r="C377" s="7">
        <v>100355.54</v>
      </c>
      <c r="D377" s="7">
        <v>0</v>
      </c>
      <c r="E377" s="7">
        <v>0</v>
      </c>
      <c r="F377" s="5">
        <v>0</v>
      </c>
      <c r="G377" s="7">
        <v>0</v>
      </c>
      <c r="H377" s="5">
        <v>0</v>
      </c>
      <c r="I377" s="7">
        <v>0</v>
      </c>
      <c r="J377" s="7">
        <v>205</v>
      </c>
      <c r="K377" s="5">
        <v>0</v>
      </c>
      <c r="L377" s="5">
        <v>0</v>
      </c>
      <c r="M377" s="5">
        <v>205</v>
      </c>
      <c r="N377" s="7">
        <v>205</v>
      </c>
      <c r="O377" s="7">
        <v>39227.899999999994</v>
      </c>
      <c r="P377" s="7">
        <v>84</v>
      </c>
      <c r="Q377" s="5">
        <v>0</v>
      </c>
      <c r="R377" s="5">
        <v>84</v>
      </c>
      <c r="S377" s="7">
        <v>15766.8</v>
      </c>
      <c r="T377" s="12">
        <v>43168</v>
      </c>
      <c r="U377" s="28">
        <v>13</v>
      </c>
      <c r="V377" s="4">
        <v>2</v>
      </c>
      <c r="W377" s="4">
        <v>2</v>
      </c>
      <c r="X377" s="45">
        <v>155350.24</v>
      </c>
      <c r="Y377" s="14" t="s">
        <v>54</v>
      </c>
      <c r="Z377" s="14" t="s">
        <v>59</v>
      </c>
      <c r="AA377" s="14" t="s">
        <v>2796</v>
      </c>
      <c r="AB377" s="44">
        <v>43171</v>
      </c>
      <c r="AC377" s="44" t="s">
        <v>2797</v>
      </c>
      <c r="AD377" s="14" t="s">
        <v>50</v>
      </c>
      <c r="AE377" s="24" t="s">
        <v>991</v>
      </c>
      <c r="AF377" s="25" t="s">
        <v>1269</v>
      </c>
      <c r="AG377" t="e">
        <f t="shared" si="5"/>
        <v>#REF!</v>
      </c>
      <c r="AI377" s="58"/>
    </row>
    <row r="378" spans="1:41" ht="15.75" customHeight="1">
      <c r="A378" s="51" t="s">
        <v>992</v>
      </c>
      <c r="B378" s="5">
        <v>330</v>
      </c>
      <c r="C378" s="7">
        <v>36724.799999999996</v>
      </c>
      <c r="D378" s="7">
        <v>0</v>
      </c>
      <c r="E378" s="7">
        <v>0</v>
      </c>
      <c r="F378" s="5">
        <v>0</v>
      </c>
      <c r="G378" s="7">
        <v>0</v>
      </c>
      <c r="H378" s="5">
        <v>0</v>
      </c>
      <c r="I378" s="7">
        <v>0</v>
      </c>
      <c r="J378" s="7">
        <v>44</v>
      </c>
      <c r="K378" s="5">
        <v>0</v>
      </c>
      <c r="L378" s="5">
        <v>0</v>
      </c>
      <c r="M378" s="5">
        <v>44</v>
      </c>
      <c r="N378" s="7">
        <v>44</v>
      </c>
      <c r="O378" s="7">
        <v>9009</v>
      </c>
      <c r="P378" s="7">
        <v>557</v>
      </c>
      <c r="Q378" s="5">
        <v>0</v>
      </c>
      <c r="R378" s="5">
        <v>557</v>
      </c>
      <c r="S378" s="7">
        <v>92115.9</v>
      </c>
      <c r="T378" s="12">
        <v>43168</v>
      </c>
      <c r="U378" s="28">
        <v>10</v>
      </c>
      <c r="V378" s="4">
        <v>6</v>
      </c>
      <c r="W378" s="4">
        <v>7</v>
      </c>
      <c r="X378" s="45">
        <v>137849.69999999998</v>
      </c>
      <c r="Y378" s="14" t="s">
        <v>54</v>
      </c>
      <c r="Z378" s="14" t="s">
        <v>59</v>
      </c>
      <c r="AA378" s="14" t="s">
        <v>2812</v>
      </c>
      <c r="AB378" s="44">
        <v>43176</v>
      </c>
      <c r="AC378" s="44" t="s">
        <v>2813</v>
      </c>
      <c r="AD378" s="14" t="s">
        <v>50</v>
      </c>
      <c r="AE378" s="24" t="s">
        <v>993</v>
      </c>
      <c r="AF378" s="25" t="s">
        <v>1269</v>
      </c>
      <c r="AG378" t="e">
        <f t="shared" si="5"/>
        <v>#REF!</v>
      </c>
      <c r="AI378" s="58"/>
    </row>
    <row r="379" spans="1:41" ht="15.75" customHeight="1">
      <c r="A379" s="51" t="s">
        <v>994</v>
      </c>
      <c r="B379" s="5">
        <v>319</v>
      </c>
      <c r="C379" s="7">
        <v>39881.899999999994</v>
      </c>
      <c r="D379" s="7">
        <v>0</v>
      </c>
      <c r="E379" s="7">
        <v>0</v>
      </c>
      <c r="F379" s="5">
        <v>0</v>
      </c>
      <c r="G379" s="7">
        <v>0</v>
      </c>
      <c r="H379" s="5">
        <v>165</v>
      </c>
      <c r="I379" s="7">
        <v>20153.7</v>
      </c>
      <c r="J379" s="7">
        <v>0</v>
      </c>
      <c r="K379" s="5">
        <v>0</v>
      </c>
      <c r="L379" s="5">
        <v>0</v>
      </c>
      <c r="M379" s="5">
        <v>0</v>
      </c>
      <c r="N379" s="7">
        <v>0</v>
      </c>
      <c r="O379" s="7">
        <v>0</v>
      </c>
      <c r="P379" s="7">
        <v>0</v>
      </c>
      <c r="Q379" s="5">
        <v>0</v>
      </c>
      <c r="R379" s="5">
        <v>0</v>
      </c>
      <c r="S379" s="7">
        <v>0</v>
      </c>
      <c r="T379" s="12">
        <v>43168</v>
      </c>
      <c r="U379" s="28">
        <v>5</v>
      </c>
      <c r="V379" s="4">
        <v>4</v>
      </c>
      <c r="W379" s="4">
        <v>8</v>
      </c>
      <c r="X379" s="45">
        <v>60035.599999999991</v>
      </c>
      <c r="Y379" s="14" t="s">
        <v>54</v>
      </c>
      <c r="Z379" s="14" t="s">
        <v>1355</v>
      </c>
      <c r="AA379" s="14" t="s">
        <v>2807</v>
      </c>
      <c r="AB379" s="44">
        <v>43171</v>
      </c>
      <c r="AC379" s="44" t="s">
        <v>2797</v>
      </c>
      <c r="AD379" s="14" t="s">
        <v>49</v>
      </c>
      <c r="AE379" s="24" t="s">
        <v>995</v>
      </c>
      <c r="AF379" s="25" t="s">
        <v>1266</v>
      </c>
      <c r="AG379" t="e">
        <f t="shared" si="5"/>
        <v>#REF!</v>
      </c>
      <c r="AI379" s="58"/>
    </row>
    <row r="380" spans="1:41" ht="15.75" customHeight="1">
      <c r="A380" s="51" t="s">
        <v>996</v>
      </c>
      <c r="B380" s="5">
        <v>0</v>
      </c>
      <c r="C380" s="7">
        <v>0</v>
      </c>
      <c r="D380" s="7">
        <v>0</v>
      </c>
      <c r="E380" s="7">
        <v>0</v>
      </c>
      <c r="F380" s="5">
        <v>0</v>
      </c>
      <c r="G380" s="7">
        <v>0</v>
      </c>
      <c r="H380" s="5">
        <v>95</v>
      </c>
      <c r="I380" s="7">
        <v>12156.2</v>
      </c>
      <c r="J380" s="7">
        <v>58</v>
      </c>
      <c r="K380" s="5">
        <v>0</v>
      </c>
      <c r="L380" s="5">
        <v>0</v>
      </c>
      <c r="M380" s="5">
        <v>58</v>
      </c>
      <c r="N380" s="7">
        <v>58</v>
      </c>
      <c r="O380" s="7">
        <v>10248.599999999999</v>
      </c>
      <c r="P380" s="7">
        <v>120</v>
      </c>
      <c r="Q380" s="5">
        <v>0</v>
      </c>
      <c r="R380" s="5">
        <v>120</v>
      </c>
      <c r="S380" s="7">
        <v>13176</v>
      </c>
      <c r="T380" s="12">
        <v>43168</v>
      </c>
      <c r="U380" s="28">
        <v>3</v>
      </c>
      <c r="V380" s="4">
        <v>3</v>
      </c>
      <c r="W380" s="4">
        <v>1</v>
      </c>
      <c r="X380" s="45">
        <v>35580.800000000003</v>
      </c>
      <c r="Y380" s="14" t="s">
        <v>1636</v>
      </c>
      <c r="Z380" s="14" t="s">
        <v>1355</v>
      </c>
      <c r="AA380" s="14" t="s">
        <v>2815</v>
      </c>
      <c r="AB380" s="44">
        <v>43173</v>
      </c>
      <c r="AC380" s="44" t="s">
        <v>2816</v>
      </c>
      <c r="AD380" s="14" t="s">
        <v>49</v>
      </c>
      <c r="AE380" s="24" t="s">
        <v>997</v>
      </c>
      <c r="AF380" s="25" t="s">
        <v>1266</v>
      </c>
      <c r="AG380" t="e">
        <f t="shared" si="5"/>
        <v>#REF!</v>
      </c>
      <c r="AI380" s="58"/>
    </row>
    <row r="381" spans="1:41" ht="15.75" customHeight="1">
      <c r="A381" s="51" t="s">
        <v>998</v>
      </c>
      <c r="B381" s="5">
        <v>107</v>
      </c>
      <c r="C381" s="7">
        <v>11350.000000000004</v>
      </c>
      <c r="D381" s="7">
        <v>0</v>
      </c>
      <c r="E381" s="7">
        <v>0</v>
      </c>
      <c r="F381" s="5">
        <v>0</v>
      </c>
      <c r="G381" s="7">
        <v>0</v>
      </c>
      <c r="H381" s="5">
        <v>0</v>
      </c>
      <c r="I381" s="7">
        <v>0</v>
      </c>
      <c r="J381" s="7">
        <v>53</v>
      </c>
      <c r="K381" s="5">
        <v>0</v>
      </c>
      <c r="L381" s="5">
        <v>0</v>
      </c>
      <c r="M381" s="5">
        <v>53</v>
      </c>
      <c r="N381" s="7">
        <v>53</v>
      </c>
      <c r="O381" s="7">
        <v>9436.6</v>
      </c>
      <c r="P381" s="7">
        <v>0</v>
      </c>
      <c r="Q381" s="5">
        <v>0</v>
      </c>
      <c r="R381" s="5">
        <v>0</v>
      </c>
      <c r="S381" s="7">
        <v>0</v>
      </c>
      <c r="T381" s="12">
        <v>43169</v>
      </c>
      <c r="U381" s="28">
        <v>2</v>
      </c>
      <c r="V381" s="4">
        <v>1</v>
      </c>
      <c r="W381" s="4">
        <v>1</v>
      </c>
      <c r="X381" s="45">
        <v>20786.600000000006</v>
      </c>
      <c r="Y381" s="14" t="s">
        <v>1633</v>
      </c>
      <c r="Z381" s="14" t="s">
        <v>1355</v>
      </c>
      <c r="AA381" s="14" t="s">
        <v>2792</v>
      </c>
      <c r="AB381" s="44">
        <v>43171</v>
      </c>
      <c r="AC381" s="44" t="s">
        <v>2793</v>
      </c>
      <c r="AD381" s="14" t="s">
        <v>70</v>
      </c>
      <c r="AE381" s="24" t="s">
        <v>999</v>
      </c>
      <c r="AF381" s="25" t="s">
        <v>1273</v>
      </c>
      <c r="AG381" t="e">
        <f t="shared" si="5"/>
        <v>#REF!</v>
      </c>
      <c r="AI381" s="58"/>
    </row>
    <row r="382" spans="1:41" ht="15.75" customHeight="1">
      <c r="A382" s="51" t="s">
        <v>1000</v>
      </c>
      <c r="B382" s="5">
        <v>807</v>
      </c>
      <c r="C382" s="7">
        <v>87577.26</v>
      </c>
      <c r="D382" s="7">
        <v>0</v>
      </c>
      <c r="E382" s="7">
        <v>0</v>
      </c>
      <c r="F382" s="5">
        <v>0</v>
      </c>
      <c r="G382" s="7">
        <v>0</v>
      </c>
      <c r="H382" s="5">
        <v>410</v>
      </c>
      <c r="I382" s="7">
        <v>53500.400000000009</v>
      </c>
      <c r="J382" s="7">
        <v>87</v>
      </c>
      <c r="K382" s="5">
        <v>0</v>
      </c>
      <c r="L382" s="5">
        <v>0</v>
      </c>
      <c r="M382" s="5">
        <v>87</v>
      </c>
      <c r="N382" s="7">
        <v>87</v>
      </c>
      <c r="O382" s="7">
        <v>8477.4</v>
      </c>
      <c r="P382" s="7">
        <v>0</v>
      </c>
      <c r="Q382" s="5">
        <v>0</v>
      </c>
      <c r="R382" s="5">
        <v>0</v>
      </c>
      <c r="S382" s="7">
        <v>0</v>
      </c>
      <c r="T382" s="12">
        <v>43169</v>
      </c>
      <c r="U382" s="28">
        <v>12</v>
      </c>
      <c r="V382" s="4">
        <v>3</v>
      </c>
      <c r="W382" s="4">
        <v>5</v>
      </c>
      <c r="X382" s="45">
        <v>149555.06</v>
      </c>
      <c r="Y382" s="14" t="s">
        <v>54</v>
      </c>
      <c r="Z382" s="14" t="s">
        <v>55</v>
      </c>
      <c r="AA382" s="14" t="s">
        <v>2808</v>
      </c>
      <c r="AB382" s="44">
        <v>43171</v>
      </c>
      <c r="AC382" s="44" t="s">
        <v>2809</v>
      </c>
      <c r="AD382" s="14" t="s">
        <v>51</v>
      </c>
      <c r="AE382" s="24" t="s">
        <v>1001</v>
      </c>
      <c r="AF382" s="25" t="s">
        <v>1270</v>
      </c>
      <c r="AG382" t="e">
        <f t="shared" si="5"/>
        <v>#REF!</v>
      </c>
      <c r="AI382" s="58"/>
    </row>
    <row r="383" spans="1:41" ht="15.75" customHeight="1">
      <c r="A383" s="51" t="s">
        <v>1002</v>
      </c>
      <c r="B383" s="5">
        <v>399</v>
      </c>
      <c r="C383" s="7">
        <v>44734.64</v>
      </c>
      <c r="D383" s="7">
        <v>0</v>
      </c>
      <c r="E383" s="7">
        <v>0</v>
      </c>
      <c r="F383" s="5">
        <v>0</v>
      </c>
      <c r="G383" s="7">
        <v>0</v>
      </c>
      <c r="H383" s="5">
        <v>22</v>
      </c>
      <c r="I383" s="7">
        <v>2742.1</v>
      </c>
      <c r="J383" s="7">
        <v>0</v>
      </c>
      <c r="K383" s="5">
        <v>0</v>
      </c>
      <c r="L383" s="5">
        <v>0</v>
      </c>
      <c r="M383" s="5">
        <v>0</v>
      </c>
      <c r="N383" s="7">
        <v>0</v>
      </c>
      <c r="O383" s="7">
        <v>0</v>
      </c>
      <c r="P383" s="7">
        <v>27</v>
      </c>
      <c r="Q383" s="5">
        <v>0</v>
      </c>
      <c r="R383" s="5">
        <v>27</v>
      </c>
      <c r="S383" s="7">
        <v>4085.2000000000007</v>
      </c>
      <c r="T383" s="12">
        <v>43171</v>
      </c>
      <c r="U383" s="28">
        <v>4</v>
      </c>
      <c r="V383" s="4">
        <v>3</v>
      </c>
      <c r="W383" s="4">
        <v>5</v>
      </c>
      <c r="X383" s="45">
        <v>51561.94</v>
      </c>
      <c r="Y383" s="14" t="s">
        <v>1608</v>
      </c>
      <c r="Z383" s="14" t="s">
        <v>1281</v>
      </c>
      <c r="AA383" s="14" t="s">
        <v>2817</v>
      </c>
      <c r="AB383" s="44">
        <v>43172</v>
      </c>
      <c r="AC383" s="44" t="s">
        <v>2818</v>
      </c>
      <c r="AD383" s="14" t="s">
        <v>1010</v>
      </c>
      <c r="AE383" s="24" t="s">
        <v>1003</v>
      </c>
      <c r="AF383" s="25" t="s">
        <v>1275</v>
      </c>
      <c r="AG383" t="e">
        <f t="shared" si="5"/>
        <v>#REF!</v>
      </c>
      <c r="AI383" s="58"/>
    </row>
    <row r="384" spans="1:41" ht="15.75" customHeight="1">
      <c r="A384" s="51" t="s">
        <v>1004</v>
      </c>
      <c r="B384" s="5">
        <v>120</v>
      </c>
      <c r="C384" s="7">
        <v>12251.599999999999</v>
      </c>
      <c r="D384" s="7">
        <v>0</v>
      </c>
      <c r="E384" s="7">
        <v>0</v>
      </c>
      <c r="F384" s="5">
        <v>0</v>
      </c>
      <c r="G384" s="7">
        <v>0</v>
      </c>
      <c r="H384" s="5">
        <v>0</v>
      </c>
      <c r="I384" s="7">
        <v>0</v>
      </c>
      <c r="J384" s="7">
        <v>0</v>
      </c>
      <c r="K384" s="5">
        <v>0</v>
      </c>
      <c r="L384" s="5">
        <v>0</v>
      </c>
      <c r="M384" s="5">
        <v>0</v>
      </c>
      <c r="N384" s="7">
        <v>0</v>
      </c>
      <c r="O384" s="7">
        <v>0</v>
      </c>
      <c r="P384" s="7">
        <v>0</v>
      </c>
      <c r="Q384" s="5">
        <v>0</v>
      </c>
      <c r="R384" s="5">
        <v>0</v>
      </c>
      <c r="S384" s="7">
        <v>0</v>
      </c>
      <c r="T384" s="12">
        <v>43171</v>
      </c>
      <c r="U384" s="28">
        <v>1</v>
      </c>
      <c r="V384" s="4">
        <v>6</v>
      </c>
      <c r="W384" s="4">
        <v>12</v>
      </c>
      <c r="X384" s="45">
        <v>12251.599999999999</v>
      </c>
      <c r="Y384" s="14" t="s">
        <v>56</v>
      </c>
      <c r="Z384" s="14" t="s">
        <v>57</v>
      </c>
      <c r="AA384" s="14" t="s">
        <v>2819</v>
      </c>
      <c r="AB384" s="44">
        <v>43174</v>
      </c>
      <c r="AC384" s="44" t="s">
        <v>2820</v>
      </c>
      <c r="AD384" s="14" t="s">
        <v>51</v>
      </c>
      <c r="AE384" s="24" t="s">
        <v>1005</v>
      </c>
      <c r="AF384" s="25" t="s">
        <v>1270</v>
      </c>
      <c r="AG384" t="e">
        <f t="shared" si="5"/>
        <v>#REF!</v>
      </c>
      <c r="AI384" s="58"/>
    </row>
    <row r="385" spans="1:35" ht="15.75" customHeight="1">
      <c r="A385" s="51" t="s">
        <v>1011</v>
      </c>
      <c r="B385" s="5">
        <v>0</v>
      </c>
      <c r="C385" s="7">
        <v>0</v>
      </c>
      <c r="D385" s="7">
        <v>0</v>
      </c>
      <c r="E385" s="7">
        <v>0</v>
      </c>
      <c r="F385" s="5">
        <v>0</v>
      </c>
      <c r="G385" s="7">
        <v>0</v>
      </c>
      <c r="H385" s="5">
        <v>545</v>
      </c>
      <c r="I385" s="7">
        <v>66539.799999999988</v>
      </c>
      <c r="J385" s="7">
        <v>0</v>
      </c>
      <c r="K385" s="5">
        <v>0</v>
      </c>
      <c r="L385" s="5">
        <v>0</v>
      </c>
      <c r="M385" s="5">
        <v>0</v>
      </c>
      <c r="N385" s="7">
        <v>0</v>
      </c>
      <c r="O385" s="7">
        <v>0</v>
      </c>
      <c r="P385" s="7">
        <v>553</v>
      </c>
      <c r="Q385" s="5">
        <v>0</v>
      </c>
      <c r="R385" s="5">
        <v>553</v>
      </c>
      <c r="S385" s="7">
        <v>36221.5</v>
      </c>
      <c r="T385" s="12">
        <v>43169</v>
      </c>
      <c r="U385" s="28">
        <v>6</v>
      </c>
      <c r="V385" s="4">
        <v>4</v>
      </c>
      <c r="W385" s="4">
        <v>5</v>
      </c>
      <c r="X385" s="45">
        <v>102761.29999999999</v>
      </c>
      <c r="Y385" s="14" t="s">
        <v>1636</v>
      </c>
      <c r="Z385" s="14" t="s">
        <v>1637</v>
      </c>
      <c r="AA385" s="14" t="s">
        <v>2815</v>
      </c>
      <c r="AB385" s="44">
        <v>43173</v>
      </c>
      <c r="AC385" s="44" t="s">
        <v>2816</v>
      </c>
      <c r="AD385" s="14" t="s">
        <v>49</v>
      </c>
      <c r="AE385" s="24" t="s">
        <v>1012</v>
      </c>
      <c r="AF385" s="25" t="s">
        <v>1265</v>
      </c>
      <c r="AG385" t="e">
        <f t="shared" si="5"/>
        <v>#REF!</v>
      </c>
      <c r="AI385" s="58"/>
    </row>
    <row r="386" spans="1:35" ht="15.75" customHeight="1">
      <c r="A386" s="51" t="s">
        <v>1013</v>
      </c>
      <c r="B386" s="5">
        <v>274</v>
      </c>
      <c r="C386" s="7">
        <v>18004.900000000001</v>
      </c>
      <c r="D386" s="7">
        <v>0</v>
      </c>
      <c r="E386" s="7">
        <v>0</v>
      </c>
      <c r="F386" s="5">
        <v>0</v>
      </c>
      <c r="G386" s="7">
        <v>0</v>
      </c>
      <c r="H386" s="5">
        <v>0</v>
      </c>
      <c r="I386" s="7">
        <v>0</v>
      </c>
      <c r="J386" s="7">
        <v>0</v>
      </c>
      <c r="K386" s="5">
        <v>0</v>
      </c>
      <c r="L386" s="5">
        <v>0</v>
      </c>
      <c r="M386" s="5">
        <v>0</v>
      </c>
      <c r="N386" s="7">
        <v>0</v>
      </c>
      <c r="O386" s="7">
        <v>0</v>
      </c>
      <c r="P386" s="7">
        <v>190</v>
      </c>
      <c r="Q386" s="5">
        <v>0</v>
      </c>
      <c r="R386" s="5">
        <v>190</v>
      </c>
      <c r="S386" s="7">
        <v>31140</v>
      </c>
      <c r="T386" s="12">
        <v>43169</v>
      </c>
      <c r="U386" s="28">
        <v>3</v>
      </c>
      <c r="V386" s="4">
        <v>2</v>
      </c>
      <c r="W386" s="4">
        <v>6</v>
      </c>
      <c r="X386" s="45">
        <v>49144.9</v>
      </c>
      <c r="Y386" s="14" t="s">
        <v>54</v>
      </c>
      <c r="Z386" s="14" t="s">
        <v>1281</v>
      </c>
      <c r="AA386" s="14" t="s">
        <v>2812</v>
      </c>
      <c r="AB386" s="44">
        <v>43176</v>
      </c>
      <c r="AC386" s="44" t="s">
        <v>2813</v>
      </c>
      <c r="AD386" s="14" t="s">
        <v>50</v>
      </c>
      <c r="AE386" s="24" t="s">
        <v>1014</v>
      </c>
      <c r="AF386" s="25" t="s">
        <v>1269</v>
      </c>
      <c r="AG386" t="e">
        <f t="shared" si="5"/>
        <v>#REF!</v>
      </c>
      <c r="AI386" s="58"/>
    </row>
    <row r="387" spans="1:35" ht="15.75" customHeight="1">
      <c r="A387" s="51" t="s">
        <v>1015</v>
      </c>
      <c r="B387" s="5">
        <v>0</v>
      </c>
      <c r="C387" s="7">
        <v>0</v>
      </c>
      <c r="D387" s="7">
        <v>0</v>
      </c>
      <c r="E387" s="7">
        <v>0</v>
      </c>
      <c r="F387" s="5">
        <v>0</v>
      </c>
      <c r="G387" s="7">
        <v>0</v>
      </c>
      <c r="H387" s="5">
        <v>95</v>
      </c>
      <c r="I387" s="7">
        <v>12156.2</v>
      </c>
      <c r="J387" s="7">
        <v>0</v>
      </c>
      <c r="K387" s="5">
        <v>0</v>
      </c>
      <c r="L387" s="5">
        <v>0</v>
      </c>
      <c r="M387" s="5">
        <v>0</v>
      </c>
      <c r="N387" s="7">
        <v>0</v>
      </c>
      <c r="O387" s="7">
        <v>0</v>
      </c>
      <c r="P387" s="7">
        <v>90</v>
      </c>
      <c r="Q387" s="5">
        <v>0</v>
      </c>
      <c r="R387" s="5">
        <v>90</v>
      </c>
      <c r="S387" s="7">
        <v>14406</v>
      </c>
      <c r="T387" s="12">
        <v>43171</v>
      </c>
      <c r="U387" s="28">
        <v>2</v>
      </c>
      <c r="V387" s="4">
        <v>3</v>
      </c>
      <c r="W387" s="4">
        <v>3</v>
      </c>
      <c r="X387" s="45">
        <v>26562.2</v>
      </c>
      <c r="Y387" s="14" t="s">
        <v>56</v>
      </c>
      <c r="Z387" s="14" t="s">
        <v>1355</v>
      </c>
      <c r="AA387" s="14" t="s">
        <v>2821</v>
      </c>
      <c r="AB387" s="44">
        <v>43174</v>
      </c>
      <c r="AC387" s="44" t="s">
        <v>2822</v>
      </c>
      <c r="AD387" s="14" t="s">
        <v>49</v>
      </c>
      <c r="AE387" s="24" t="s">
        <v>1016</v>
      </c>
      <c r="AF387" s="25" t="s">
        <v>1268</v>
      </c>
      <c r="AG387" t="e">
        <f t="shared" ref="AG387:AG450" si="6">+VLOOKUP(AF387,AH:AH,2,0)</f>
        <v>#REF!</v>
      </c>
      <c r="AI387" s="58"/>
    </row>
    <row r="388" spans="1:35" ht="15.75" customHeight="1">
      <c r="A388" s="51" t="s">
        <v>1017</v>
      </c>
      <c r="B388" s="5">
        <v>18</v>
      </c>
      <c r="C388" s="7">
        <v>2467.7999999999997</v>
      </c>
      <c r="D388" s="7">
        <v>0</v>
      </c>
      <c r="E388" s="7">
        <v>0</v>
      </c>
      <c r="F388" s="5">
        <v>0</v>
      </c>
      <c r="G388" s="7">
        <v>0</v>
      </c>
      <c r="H388" s="5">
        <v>0</v>
      </c>
      <c r="I388" s="7">
        <v>0</v>
      </c>
      <c r="J388" s="7">
        <v>52</v>
      </c>
      <c r="K388" s="5">
        <v>0</v>
      </c>
      <c r="L388" s="5">
        <v>0</v>
      </c>
      <c r="M388" s="5">
        <v>52</v>
      </c>
      <c r="N388" s="7">
        <v>52</v>
      </c>
      <c r="O388" s="7">
        <v>7483.5999999999995</v>
      </c>
      <c r="P388" s="7">
        <v>75</v>
      </c>
      <c r="Q388" s="5">
        <v>0</v>
      </c>
      <c r="R388" s="5">
        <v>75</v>
      </c>
      <c r="S388" s="7">
        <v>16764</v>
      </c>
      <c r="T388" s="12">
        <v>43171</v>
      </c>
      <c r="U388" s="28">
        <v>2</v>
      </c>
      <c r="V388" s="4">
        <v>3</v>
      </c>
      <c r="W388" s="4">
        <v>1</v>
      </c>
      <c r="X388" s="45">
        <v>26715.4</v>
      </c>
      <c r="Y388" s="14" t="s">
        <v>1633</v>
      </c>
      <c r="Z388" s="14" t="s">
        <v>1355</v>
      </c>
      <c r="AA388" s="14" t="s">
        <v>2823</v>
      </c>
      <c r="AB388" s="44">
        <v>43178</v>
      </c>
      <c r="AC388" s="44" t="s">
        <v>2824</v>
      </c>
      <c r="AD388" s="14" t="s">
        <v>70</v>
      </c>
      <c r="AE388" s="24" t="s">
        <v>1018</v>
      </c>
      <c r="AF388" s="25" t="s">
        <v>1273</v>
      </c>
      <c r="AG388" t="e">
        <f t="shared" si="6"/>
        <v>#REF!</v>
      </c>
      <c r="AI388" s="58"/>
    </row>
    <row r="389" spans="1:35" ht="15.75" customHeight="1">
      <c r="A389" s="51" t="s">
        <v>1019</v>
      </c>
      <c r="B389" s="5">
        <v>160</v>
      </c>
      <c r="C389" s="7">
        <v>6161.0000000000009</v>
      </c>
      <c r="D389" s="7">
        <v>250</v>
      </c>
      <c r="E389" s="7">
        <v>250</v>
      </c>
      <c r="F389" s="5">
        <v>0</v>
      </c>
      <c r="G389" s="7">
        <v>9833</v>
      </c>
      <c r="H389" s="5">
        <v>390</v>
      </c>
      <c r="I389" s="7">
        <v>46877.4</v>
      </c>
      <c r="J389" s="7">
        <v>0</v>
      </c>
      <c r="K389" s="5">
        <v>0</v>
      </c>
      <c r="L389" s="5">
        <v>0</v>
      </c>
      <c r="M389" s="5">
        <v>0</v>
      </c>
      <c r="N389" s="7">
        <v>0</v>
      </c>
      <c r="O389" s="7">
        <v>0</v>
      </c>
      <c r="P389" s="7">
        <v>0</v>
      </c>
      <c r="Q389" s="5">
        <v>0</v>
      </c>
      <c r="R389" s="5">
        <v>0</v>
      </c>
      <c r="S389" s="7">
        <v>0</v>
      </c>
      <c r="T389" s="12">
        <v>43171</v>
      </c>
      <c r="U389" s="28">
        <v>4</v>
      </c>
      <c r="V389" s="4">
        <v>0</v>
      </c>
      <c r="W389" s="4">
        <v>1</v>
      </c>
      <c r="X389" s="45">
        <v>62871.4</v>
      </c>
      <c r="Y389" s="14" t="s">
        <v>85</v>
      </c>
      <c r="Z389" s="14" t="s">
        <v>1492</v>
      </c>
      <c r="AA389" s="14">
        <v>350810018727</v>
      </c>
      <c r="AB389" s="44">
        <v>43177</v>
      </c>
      <c r="AC389" s="44" t="s">
        <v>2825</v>
      </c>
      <c r="AD389" s="14" t="s">
        <v>49</v>
      </c>
      <c r="AE389" s="24" t="s">
        <v>1020</v>
      </c>
      <c r="AF389" s="25" t="s">
        <v>1265</v>
      </c>
      <c r="AG389" t="e">
        <f t="shared" si="6"/>
        <v>#REF!</v>
      </c>
      <c r="AI389" s="58"/>
    </row>
    <row r="390" spans="1:35" ht="15.75" customHeight="1">
      <c r="A390" s="51" t="s">
        <v>1021</v>
      </c>
      <c r="B390" s="5">
        <v>68</v>
      </c>
      <c r="C390" s="7">
        <v>11757.2</v>
      </c>
      <c r="D390" s="7">
        <v>0</v>
      </c>
      <c r="E390" s="7">
        <v>0</v>
      </c>
      <c r="F390" s="5">
        <v>0</v>
      </c>
      <c r="G390" s="7">
        <v>0</v>
      </c>
      <c r="H390" s="5">
        <v>0</v>
      </c>
      <c r="I390" s="7">
        <v>0</v>
      </c>
      <c r="J390" s="7">
        <v>58</v>
      </c>
      <c r="K390" s="5">
        <v>0</v>
      </c>
      <c r="L390" s="5">
        <v>0</v>
      </c>
      <c r="M390" s="5">
        <v>58</v>
      </c>
      <c r="N390" s="7">
        <v>58</v>
      </c>
      <c r="O390" s="7">
        <v>10248.599999999999</v>
      </c>
      <c r="P390" s="7">
        <v>100</v>
      </c>
      <c r="Q390" s="5">
        <v>0</v>
      </c>
      <c r="R390" s="5">
        <v>100</v>
      </c>
      <c r="S390" s="7">
        <v>12340</v>
      </c>
      <c r="T390" s="12">
        <v>43171</v>
      </c>
      <c r="U390" s="28">
        <v>3</v>
      </c>
      <c r="V390" s="4">
        <v>2</v>
      </c>
      <c r="W390" s="4">
        <v>6</v>
      </c>
      <c r="X390" s="45">
        <v>34345.800000000003</v>
      </c>
      <c r="Y390" s="14" t="s">
        <v>1636</v>
      </c>
      <c r="Z390" s="14" t="s">
        <v>1355</v>
      </c>
      <c r="AA390" s="14" t="s">
        <v>2815</v>
      </c>
      <c r="AB390" s="44">
        <v>43173</v>
      </c>
      <c r="AC390" s="44" t="s">
        <v>2816</v>
      </c>
      <c r="AD390" s="14" t="s">
        <v>49</v>
      </c>
      <c r="AE390" s="24" t="s">
        <v>1022</v>
      </c>
      <c r="AF390" s="25" t="s">
        <v>1267</v>
      </c>
      <c r="AG390" t="e">
        <f t="shared" si="6"/>
        <v>#REF!</v>
      </c>
      <c r="AI390" s="58"/>
    </row>
    <row r="391" spans="1:35" ht="15.75" customHeight="1">
      <c r="A391" s="51" t="s">
        <v>1023</v>
      </c>
      <c r="B391" s="5">
        <v>0</v>
      </c>
      <c r="C391" s="7">
        <v>0</v>
      </c>
      <c r="D391" s="7">
        <v>0</v>
      </c>
      <c r="E391" s="7">
        <v>0</v>
      </c>
      <c r="F391" s="5">
        <v>0</v>
      </c>
      <c r="G391" s="7">
        <v>0</v>
      </c>
      <c r="H391" s="5">
        <v>0</v>
      </c>
      <c r="I391" s="7">
        <v>0</v>
      </c>
      <c r="J391" s="7">
        <v>41</v>
      </c>
      <c r="K391" s="5">
        <v>0</v>
      </c>
      <c r="L391" s="5">
        <v>0</v>
      </c>
      <c r="M391" s="5">
        <v>41</v>
      </c>
      <c r="N391" s="7">
        <v>41</v>
      </c>
      <c r="O391" s="7">
        <v>8805.7999999999993</v>
      </c>
      <c r="P391" s="7">
        <v>257</v>
      </c>
      <c r="Q391" s="5">
        <v>0</v>
      </c>
      <c r="R391" s="5">
        <v>257</v>
      </c>
      <c r="S391" s="7">
        <v>45234.8</v>
      </c>
      <c r="T391" s="12">
        <v>43171</v>
      </c>
      <c r="U391" s="28">
        <v>4</v>
      </c>
      <c r="V391" s="4">
        <v>2</v>
      </c>
      <c r="W391" s="4">
        <v>4</v>
      </c>
      <c r="X391" s="45">
        <v>54040.600000000006</v>
      </c>
      <c r="Y391" s="14" t="s">
        <v>56</v>
      </c>
      <c r="Z391" s="14" t="s">
        <v>1281</v>
      </c>
      <c r="AA391" s="14" t="s">
        <v>2826</v>
      </c>
      <c r="AB391" s="44">
        <v>43177</v>
      </c>
      <c r="AC391" s="44" t="s">
        <v>2827</v>
      </c>
      <c r="AD391" s="14" t="s">
        <v>52</v>
      </c>
      <c r="AE391" s="24" t="s">
        <v>1024</v>
      </c>
      <c r="AF391" s="25" t="s">
        <v>1271</v>
      </c>
      <c r="AG391" t="e">
        <f t="shared" si="6"/>
        <v>#REF!</v>
      </c>
      <c r="AI391" s="58"/>
    </row>
    <row r="392" spans="1:35" ht="15.75" customHeight="1">
      <c r="A392" s="51" t="s">
        <v>1025</v>
      </c>
      <c r="B392" s="5">
        <v>802</v>
      </c>
      <c r="C392" s="7">
        <v>91131.759999999966</v>
      </c>
      <c r="D392" s="7">
        <v>95</v>
      </c>
      <c r="E392" s="7">
        <v>95</v>
      </c>
      <c r="F392" s="5">
        <v>0</v>
      </c>
      <c r="G392" s="7">
        <v>3751</v>
      </c>
      <c r="H392" s="5">
        <v>0</v>
      </c>
      <c r="I392" s="7">
        <v>0</v>
      </c>
      <c r="J392" s="7">
        <v>226</v>
      </c>
      <c r="K392" s="5">
        <v>0</v>
      </c>
      <c r="L392" s="5">
        <v>0</v>
      </c>
      <c r="M392" s="5">
        <v>226</v>
      </c>
      <c r="N392" s="7">
        <v>226</v>
      </c>
      <c r="O392" s="7">
        <v>29728.7</v>
      </c>
      <c r="P392" s="7">
        <v>553</v>
      </c>
      <c r="Q392" s="5">
        <v>0</v>
      </c>
      <c r="R392" s="5">
        <v>553</v>
      </c>
      <c r="S392" s="7">
        <v>36221.5</v>
      </c>
      <c r="T392" s="12">
        <v>43171</v>
      </c>
      <c r="U392" s="28">
        <v>12</v>
      </c>
      <c r="V392" s="4">
        <v>8</v>
      </c>
      <c r="W392" s="4">
        <v>10</v>
      </c>
      <c r="X392" s="45">
        <v>160832.95999999996</v>
      </c>
      <c r="Y392" s="14" t="s">
        <v>56</v>
      </c>
      <c r="Z392" s="14" t="s">
        <v>730</v>
      </c>
      <c r="AA392" s="14" t="s">
        <v>2828</v>
      </c>
      <c r="AB392" s="44">
        <v>43177</v>
      </c>
      <c r="AC392" s="44" t="s">
        <v>2829</v>
      </c>
      <c r="AD392" s="14" t="s">
        <v>51</v>
      </c>
      <c r="AE392" s="24" t="s">
        <v>1026</v>
      </c>
      <c r="AF392" s="25" t="s">
        <v>1270</v>
      </c>
      <c r="AG392" t="e">
        <f t="shared" si="6"/>
        <v>#REF!</v>
      </c>
      <c r="AI392" s="58"/>
    </row>
    <row r="393" spans="1:35" ht="15.75" customHeight="1">
      <c r="A393" s="51" t="s">
        <v>1027</v>
      </c>
      <c r="B393" s="5">
        <v>435</v>
      </c>
      <c r="C393" s="7">
        <v>43878.9</v>
      </c>
      <c r="D393" s="7">
        <v>0</v>
      </c>
      <c r="E393" s="7">
        <v>0</v>
      </c>
      <c r="F393" s="5">
        <v>0</v>
      </c>
      <c r="G393" s="7">
        <v>0</v>
      </c>
      <c r="H393" s="5">
        <v>270</v>
      </c>
      <c r="I393" s="7">
        <v>10971</v>
      </c>
      <c r="J393" s="7">
        <v>304</v>
      </c>
      <c r="K393" s="5">
        <v>0</v>
      </c>
      <c r="L393" s="5">
        <v>0</v>
      </c>
      <c r="M393" s="5">
        <v>304</v>
      </c>
      <c r="N393" s="7">
        <v>304</v>
      </c>
      <c r="O393" s="7">
        <v>34141</v>
      </c>
      <c r="P393" s="7">
        <v>166</v>
      </c>
      <c r="Q393" s="5">
        <v>0</v>
      </c>
      <c r="R393" s="5">
        <v>166</v>
      </c>
      <c r="S393" s="7">
        <v>21255.9</v>
      </c>
      <c r="T393" s="12">
        <v>43171</v>
      </c>
      <c r="U393" s="28">
        <v>8</v>
      </c>
      <c r="V393" s="4">
        <v>3</v>
      </c>
      <c r="W393" s="4">
        <v>5</v>
      </c>
      <c r="X393" s="45">
        <v>110246.79999999999</v>
      </c>
      <c r="Y393" s="14" t="s">
        <v>54</v>
      </c>
      <c r="Z393" s="14" t="s">
        <v>59</v>
      </c>
      <c r="AA393" s="14" t="s">
        <v>2812</v>
      </c>
      <c r="AB393" s="44">
        <v>43176</v>
      </c>
      <c r="AC393" s="44" t="s">
        <v>2813</v>
      </c>
      <c r="AD393" s="14" t="s">
        <v>50</v>
      </c>
      <c r="AE393" s="24" t="s">
        <v>1028</v>
      </c>
      <c r="AF393" s="25" t="s">
        <v>1269</v>
      </c>
      <c r="AG393" t="e">
        <f t="shared" si="6"/>
        <v>#REF!</v>
      </c>
      <c r="AI393" s="58"/>
    </row>
    <row r="394" spans="1:35" ht="15.75" customHeight="1">
      <c r="A394" s="51" t="s">
        <v>1029</v>
      </c>
      <c r="B394" s="5">
        <v>88</v>
      </c>
      <c r="C394" s="7">
        <v>11840.8</v>
      </c>
      <c r="D394" s="7">
        <v>0</v>
      </c>
      <c r="E394" s="7">
        <v>0</v>
      </c>
      <c r="F394" s="5">
        <v>0</v>
      </c>
      <c r="G394" s="7">
        <v>0</v>
      </c>
      <c r="H394" s="5">
        <v>0</v>
      </c>
      <c r="I394" s="7">
        <v>0</v>
      </c>
      <c r="J394" s="7">
        <v>41</v>
      </c>
      <c r="K394" s="5">
        <v>0</v>
      </c>
      <c r="L394" s="5">
        <v>0</v>
      </c>
      <c r="M394" s="5">
        <v>41</v>
      </c>
      <c r="N394" s="7">
        <v>41</v>
      </c>
      <c r="O394" s="7">
        <v>7801.1999999999989</v>
      </c>
      <c r="P394" s="7">
        <v>421</v>
      </c>
      <c r="Q394" s="5">
        <v>0</v>
      </c>
      <c r="R394" s="5">
        <v>421</v>
      </c>
      <c r="S394" s="7">
        <v>46562</v>
      </c>
      <c r="T394" s="12">
        <v>43171</v>
      </c>
      <c r="U394" s="28">
        <v>4</v>
      </c>
      <c r="V394" s="4">
        <v>4</v>
      </c>
      <c r="W394" s="4">
        <v>9</v>
      </c>
      <c r="X394" s="45">
        <v>66204</v>
      </c>
      <c r="Y394" s="14" t="s">
        <v>56</v>
      </c>
      <c r="Z394" s="14" t="s">
        <v>1355</v>
      </c>
      <c r="AA394" s="14" t="s">
        <v>2821</v>
      </c>
      <c r="AB394" s="44">
        <v>43174</v>
      </c>
      <c r="AC394" s="44" t="s">
        <v>2822</v>
      </c>
      <c r="AD394" s="14" t="s">
        <v>49</v>
      </c>
      <c r="AE394" s="24" t="s">
        <v>1030</v>
      </c>
      <c r="AF394" s="25" t="s">
        <v>1266</v>
      </c>
      <c r="AG394" t="e">
        <f t="shared" si="6"/>
        <v>#REF!</v>
      </c>
      <c r="AI394" s="58"/>
    </row>
    <row r="395" spans="1:35" ht="15.75" customHeight="1">
      <c r="A395" s="51" t="s">
        <v>1031</v>
      </c>
      <c r="B395" s="5">
        <v>0</v>
      </c>
      <c r="C395" s="7">
        <v>0</v>
      </c>
      <c r="D395" s="7">
        <v>0</v>
      </c>
      <c r="E395" s="7">
        <v>0</v>
      </c>
      <c r="F395" s="5">
        <v>0</v>
      </c>
      <c r="G395" s="7">
        <v>0</v>
      </c>
      <c r="H395" s="5">
        <v>0</v>
      </c>
      <c r="I395" s="7">
        <v>0</v>
      </c>
      <c r="J395" s="7">
        <v>0</v>
      </c>
      <c r="K395" s="5">
        <v>0</v>
      </c>
      <c r="L395" s="5">
        <v>0</v>
      </c>
      <c r="M395" s="5">
        <v>0</v>
      </c>
      <c r="N395" s="7">
        <v>0</v>
      </c>
      <c r="O395" s="7">
        <v>0</v>
      </c>
      <c r="P395" s="7">
        <v>90</v>
      </c>
      <c r="Q395" s="5">
        <v>0</v>
      </c>
      <c r="R395" s="5">
        <v>90</v>
      </c>
      <c r="S395" s="7">
        <v>13008</v>
      </c>
      <c r="T395" s="12">
        <v>43172</v>
      </c>
      <c r="U395" s="28">
        <v>1</v>
      </c>
      <c r="V395" s="4">
        <v>3</v>
      </c>
      <c r="W395" s="4">
        <v>4</v>
      </c>
      <c r="X395" s="45">
        <v>13008</v>
      </c>
      <c r="Y395" s="14" t="s">
        <v>56</v>
      </c>
      <c r="Z395" s="14" t="s">
        <v>57</v>
      </c>
      <c r="AA395" s="14" t="s">
        <v>2830</v>
      </c>
      <c r="AB395" s="44">
        <v>43177</v>
      </c>
      <c r="AC395" s="44" t="s">
        <v>2829</v>
      </c>
      <c r="AD395" s="14" t="s">
        <v>218</v>
      </c>
      <c r="AE395" s="24" t="s">
        <v>1032</v>
      </c>
      <c r="AF395" s="25" t="s">
        <v>1272</v>
      </c>
      <c r="AG395" t="e">
        <f t="shared" si="6"/>
        <v>#REF!</v>
      </c>
      <c r="AI395" s="58"/>
    </row>
    <row r="396" spans="1:35" ht="15.75" customHeight="1">
      <c r="A396" s="51" t="s">
        <v>1033</v>
      </c>
      <c r="B396" s="5">
        <v>0</v>
      </c>
      <c r="C396" s="7">
        <v>0</v>
      </c>
      <c r="D396" s="7">
        <v>0</v>
      </c>
      <c r="E396" s="7">
        <v>0</v>
      </c>
      <c r="F396" s="5">
        <v>0</v>
      </c>
      <c r="G396" s="7">
        <v>0</v>
      </c>
      <c r="H396" s="5">
        <v>0</v>
      </c>
      <c r="I396" s="7">
        <v>0</v>
      </c>
      <c r="J396" s="7">
        <v>0</v>
      </c>
      <c r="K396" s="5">
        <v>0</v>
      </c>
      <c r="L396" s="5">
        <v>0</v>
      </c>
      <c r="M396" s="5">
        <v>0</v>
      </c>
      <c r="N396" s="7">
        <v>0</v>
      </c>
      <c r="O396" s="7">
        <v>0</v>
      </c>
      <c r="P396" s="7">
        <v>139</v>
      </c>
      <c r="Q396" s="5">
        <v>0</v>
      </c>
      <c r="R396" s="5">
        <v>139</v>
      </c>
      <c r="S396" s="7">
        <v>16524.5</v>
      </c>
      <c r="T396" s="12">
        <v>43172</v>
      </c>
      <c r="U396" s="28">
        <v>1</v>
      </c>
      <c r="V396" s="4">
        <v>0</v>
      </c>
      <c r="W396" s="4">
        <v>1</v>
      </c>
      <c r="X396" s="45">
        <v>16524.5</v>
      </c>
      <c r="Y396" s="14" t="s">
        <v>1633</v>
      </c>
      <c r="Z396" s="14" t="s">
        <v>57</v>
      </c>
      <c r="AA396" s="14" t="s">
        <v>2831</v>
      </c>
      <c r="AB396" s="44">
        <v>43177</v>
      </c>
      <c r="AC396" s="44" t="s">
        <v>2832</v>
      </c>
      <c r="AD396" s="14" t="s">
        <v>48</v>
      </c>
      <c r="AE396" s="24" t="s">
        <v>1034</v>
      </c>
      <c r="AF396" s="25" t="s">
        <v>1264</v>
      </c>
      <c r="AG396" t="e">
        <f t="shared" si="6"/>
        <v>#REF!</v>
      </c>
      <c r="AI396" s="58"/>
    </row>
    <row r="397" spans="1:35" ht="15.75" customHeight="1">
      <c r="A397" s="51" t="s">
        <v>1035</v>
      </c>
      <c r="B397" s="5">
        <v>26</v>
      </c>
      <c r="C397" s="7">
        <v>3354.2999999999997</v>
      </c>
      <c r="D397" s="7">
        <v>0</v>
      </c>
      <c r="E397" s="7">
        <v>0</v>
      </c>
      <c r="F397" s="5">
        <v>0</v>
      </c>
      <c r="G397" s="7">
        <v>0</v>
      </c>
      <c r="H397" s="5">
        <v>3</v>
      </c>
      <c r="I397" s="7">
        <v>131.6</v>
      </c>
      <c r="J397" s="7">
        <v>16</v>
      </c>
      <c r="K397" s="5">
        <v>0</v>
      </c>
      <c r="L397" s="5">
        <v>0</v>
      </c>
      <c r="M397" s="5">
        <v>16</v>
      </c>
      <c r="N397" s="7">
        <v>16</v>
      </c>
      <c r="O397" s="7">
        <v>2846.3</v>
      </c>
      <c r="P397" s="7">
        <v>90</v>
      </c>
      <c r="Q397" s="5">
        <v>0</v>
      </c>
      <c r="R397" s="5">
        <v>90</v>
      </c>
      <c r="S397" s="7">
        <v>10082.68</v>
      </c>
      <c r="T397" s="12">
        <v>43172</v>
      </c>
      <c r="U397" s="28">
        <v>1</v>
      </c>
      <c r="V397" s="4">
        <v>1</v>
      </c>
      <c r="W397" s="4">
        <v>5</v>
      </c>
      <c r="X397" s="45">
        <v>16414.88</v>
      </c>
      <c r="Y397" s="14" t="s">
        <v>1354</v>
      </c>
      <c r="Z397" s="14" t="s">
        <v>730</v>
      </c>
      <c r="AA397" s="14" t="s">
        <v>2804</v>
      </c>
      <c r="AB397" s="44">
        <v>43175</v>
      </c>
      <c r="AC397" s="44" t="s">
        <v>2805</v>
      </c>
      <c r="AD397" s="14" t="s">
        <v>240</v>
      </c>
      <c r="AE397" s="24" t="s">
        <v>1036</v>
      </c>
      <c r="AF397" s="25" t="s">
        <v>1274</v>
      </c>
      <c r="AG397" t="e">
        <f t="shared" si="6"/>
        <v>#REF!</v>
      </c>
      <c r="AI397" s="58"/>
    </row>
    <row r="398" spans="1:35" ht="15.75" customHeight="1">
      <c r="A398" s="51" t="s">
        <v>1037</v>
      </c>
      <c r="B398" s="5">
        <v>0</v>
      </c>
      <c r="C398" s="7">
        <v>0</v>
      </c>
      <c r="D398" s="7">
        <v>0</v>
      </c>
      <c r="E398" s="7">
        <v>0</v>
      </c>
      <c r="F398" s="5">
        <v>0</v>
      </c>
      <c r="G398" s="7">
        <v>0</v>
      </c>
      <c r="H398" s="5">
        <v>559</v>
      </c>
      <c r="I398" s="7">
        <v>70129.87999999999</v>
      </c>
      <c r="J398" s="7">
        <v>313</v>
      </c>
      <c r="K398" s="5">
        <v>0</v>
      </c>
      <c r="L398" s="5">
        <v>0</v>
      </c>
      <c r="M398" s="5">
        <v>313</v>
      </c>
      <c r="N398" s="7">
        <v>313</v>
      </c>
      <c r="O398" s="7">
        <v>10016.299999999999</v>
      </c>
      <c r="P398" s="7">
        <v>450</v>
      </c>
      <c r="Q398" s="5">
        <v>0</v>
      </c>
      <c r="R398" s="5">
        <v>450</v>
      </c>
      <c r="S398" s="7">
        <v>39060</v>
      </c>
      <c r="T398" s="12">
        <v>43172</v>
      </c>
      <c r="U398" s="28">
        <v>7</v>
      </c>
      <c r="V398" s="4">
        <v>0</v>
      </c>
      <c r="W398" s="4">
        <v>1</v>
      </c>
      <c r="X398" s="45">
        <v>119206.18</v>
      </c>
      <c r="Y398" s="14" t="s">
        <v>85</v>
      </c>
      <c r="Z398" s="14" t="s">
        <v>55</v>
      </c>
      <c r="AA398" s="14">
        <v>350810018727</v>
      </c>
      <c r="AB398" s="44">
        <v>43177</v>
      </c>
      <c r="AC398" s="44" t="s">
        <v>2825</v>
      </c>
      <c r="AD398" s="14" t="s">
        <v>49</v>
      </c>
      <c r="AE398" s="24" t="s">
        <v>1038</v>
      </c>
      <c r="AF398" s="25" t="s">
        <v>1265</v>
      </c>
      <c r="AG398" t="e">
        <f t="shared" si="6"/>
        <v>#REF!</v>
      </c>
      <c r="AI398" s="58"/>
    </row>
    <row r="399" spans="1:35" ht="15.75" customHeight="1">
      <c r="A399" s="51" t="s">
        <v>1039</v>
      </c>
      <c r="B399" s="5">
        <v>157</v>
      </c>
      <c r="C399" s="7">
        <v>16271</v>
      </c>
      <c r="D399" s="7">
        <v>0</v>
      </c>
      <c r="E399" s="7">
        <v>0</v>
      </c>
      <c r="F399" s="5">
        <v>0</v>
      </c>
      <c r="G399" s="7">
        <v>0</v>
      </c>
      <c r="H399" s="5">
        <v>0</v>
      </c>
      <c r="I399" s="7">
        <v>0</v>
      </c>
      <c r="J399" s="7">
        <v>30</v>
      </c>
      <c r="K399" s="5">
        <v>0</v>
      </c>
      <c r="L399" s="5">
        <v>0</v>
      </c>
      <c r="M399" s="5">
        <v>30</v>
      </c>
      <c r="N399" s="7">
        <v>30</v>
      </c>
      <c r="O399" s="7">
        <v>5970.4</v>
      </c>
      <c r="P399" s="7">
        <v>0</v>
      </c>
      <c r="Q399" s="5">
        <v>0</v>
      </c>
      <c r="R399" s="5">
        <v>0</v>
      </c>
      <c r="S399" s="7">
        <v>0</v>
      </c>
      <c r="T399" s="12">
        <v>43172</v>
      </c>
      <c r="U399" s="28">
        <v>2</v>
      </c>
      <c r="V399" s="4">
        <v>2</v>
      </c>
      <c r="W399" s="4">
        <v>3</v>
      </c>
      <c r="X399" s="45">
        <v>22241.4</v>
      </c>
      <c r="Y399" s="14" t="s">
        <v>56</v>
      </c>
      <c r="Z399" s="14" t="s">
        <v>1355</v>
      </c>
      <c r="AA399" s="14" t="s">
        <v>2821</v>
      </c>
      <c r="AB399" s="44">
        <v>43174</v>
      </c>
      <c r="AC399" s="44" t="s">
        <v>2822</v>
      </c>
      <c r="AD399" s="14" t="s">
        <v>49</v>
      </c>
      <c r="AE399" s="24" t="s">
        <v>1040</v>
      </c>
      <c r="AF399" s="25" t="s">
        <v>1267</v>
      </c>
      <c r="AG399" t="e">
        <f t="shared" si="6"/>
        <v>#REF!</v>
      </c>
      <c r="AI399" s="58"/>
    </row>
    <row r="400" spans="1:35" ht="15.75" customHeight="1">
      <c r="A400" s="51" t="s">
        <v>1041</v>
      </c>
      <c r="B400" s="5">
        <v>728</v>
      </c>
      <c r="C400" s="7">
        <v>79209.640000000014</v>
      </c>
      <c r="D400" s="7">
        <v>0</v>
      </c>
      <c r="E400" s="7">
        <v>0</v>
      </c>
      <c r="F400" s="5">
        <v>0</v>
      </c>
      <c r="G400" s="7">
        <v>0</v>
      </c>
      <c r="H400" s="5">
        <v>446</v>
      </c>
      <c r="I400" s="7">
        <v>53670.019999999982</v>
      </c>
      <c r="J400" s="7">
        <v>321</v>
      </c>
      <c r="K400" s="5">
        <v>0</v>
      </c>
      <c r="L400" s="5">
        <v>0</v>
      </c>
      <c r="M400" s="5">
        <v>321</v>
      </c>
      <c r="N400" s="7">
        <v>321</v>
      </c>
      <c r="O400" s="7">
        <v>25272.6</v>
      </c>
      <c r="P400" s="7">
        <v>0</v>
      </c>
      <c r="Q400" s="5">
        <v>0</v>
      </c>
      <c r="R400" s="5">
        <v>0</v>
      </c>
      <c r="S400" s="7">
        <v>0</v>
      </c>
      <c r="T400" s="12">
        <v>43172</v>
      </c>
      <c r="U400" s="28">
        <v>12</v>
      </c>
      <c r="V400" s="4">
        <v>4</v>
      </c>
      <c r="W400" s="4">
        <v>6</v>
      </c>
      <c r="X400" s="45">
        <v>158152.26</v>
      </c>
      <c r="Y400" s="14" t="s">
        <v>56</v>
      </c>
      <c r="Z400" s="14" t="s">
        <v>730</v>
      </c>
      <c r="AA400" s="14" t="s">
        <v>2828</v>
      </c>
      <c r="AB400" s="44">
        <v>43177</v>
      </c>
      <c r="AC400" s="44" t="s">
        <v>2829</v>
      </c>
      <c r="AD400" s="14" t="s">
        <v>51</v>
      </c>
      <c r="AE400" s="24" t="s">
        <v>1042</v>
      </c>
      <c r="AF400" s="25" t="s">
        <v>1270</v>
      </c>
      <c r="AG400" t="e">
        <f t="shared" si="6"/>
        <v>#REF!</v>
      </c>
      <c r="AI400" s="58"/>
    </row>
    <row r="401" spans="1:35" ht="15.75" customHeight="1">
      <c r="A401" s="51" t="s">
        <v>1044</v>
      </c>
      <c r="B401" s="5">
        <v>999</v>
      </c>
      <c r="C401" s="7">
        <v>112789.74</v>
      </c>
      <c r="D401" s="7">
        <v>0</v>
      </c>
      <c r="E401" s="7">
        <v>0</v>
      </c>
      <c r="F401" s="5">
        <v>0</v>
      </c>
      <c r="G401" s="7">
        <v>0</v>
      </c>
      <c r="H401" s="5">
        <v>0</v>
      </c>
      <c r="I401" s="7">
        <v>0</v>
      </c>
      <c r="J401" s="7">
        <v>232</v>
      </c>
      <c r="K401" s="5">
        <v>0</v>
      </c>
      <c r="L401" s="5">
        <v>0</v>
      </c>
      <c r="M401" s="5">
        <v>232</v>
      </c>
      <c r="N401" s="7">
        <v>232</v>
      </c>
      <c r="O401" s="7">
        <v>39503.799999999996</v>
      </c>
      <c r="P401" s="7">
        <v>0</v>
      </c>
      <c r="Q401" s="5">
        <v>0</v>
      </c>
      <c r="R401" s="5">
        <v>0</v>
      </c>
      <c r="S401" s="7">
        <v>0</v>
      </c>
      <c r="T401" s="12">
        <v>43172</v>
      </c>
      <c r="U401" s="28">
        <v>13</v>
      </c>
      <c r="V401" s="4">
        <v>13</v>
      </c>
      <c r="W401" s="4">
        <v>12</v>
      </c>
      <c r="X401" s="45">
        <v>152293.54</v>
      </c>
      <c r="Y401" s="14" t="s">
        <v>54</v>
      </c>
      <c r="Z401" s="14" t="s">
        <v>59</v>
      </c>
      <c r="AA401" s="14" t="s">
        <v>2833</v>
      </c>
      <c r="AB401" s="44">
        <v>43176</v>
      </c>
      <c r="AC401" s="44" t="s">
        <v>2813</v>
      </c>
      <c r="AD401" s="14" t="s">
        <v>50</v>
      </c>
      <c r="AE401" s="24" t="s">
        <v>1045</v>
      </c>
      <c r="AF401" s="25" t="s">
        <v>1269</v>
      </c>
      <c r="AG401" t="e">
        <f t="shared" si="6"/>
        <v>#REF!</v>
      </c>
      <c r="AI401" s="58"/>
    </row>
    <row r="402" spans="1:35" ht="15.75" customHeight="1">
      <c r="A402" s="51" t="s">
        <v>1046</v>
      </c>
      <c r="B402" s="5">
        <v>119</v>
      </c>
      <c r="C402" s="7">
        <v>11631.6</v>
      </c>
      <c r="D402" s="7">
        <v>0</v>
      </c>
      <c r="E402" s="7">
        <v>0</v>
      </c>
      <c r="F402" s="5">
        <v>0</v>
      </c>
      <c r="G402" s="7">
        <v>0</v>
      </c>
      <c r="H402" s="5">
        <v>0</v>
      </c>
      <c r="I402" s="7">
        <v>0</v>
      </c>
      <c r="J402" s="7">
        <v>0</v>
      </c>
      <c r="K402" s="5">
        <v>0</v>
      </c>
      <c r="L402" s="5">
        <v>0</v>
      </c>
      <c r="M402" s="5">
        <v>0</v>
      </c>
      <c r="N402" s="7">
        <v>0</v>
      </c>
      <c r="O402" s="7">
        <v>0</v>
      </c>
      <c r="P402" s="7">
        <v>0</v>
      </c>
      <c r="Q402" s="5">
        <v>0</v>
      </c>
      <c r="R402" s="5">
        <v>0</v>
      </c>
      <c r="S402" s="7">
        <v>0</v>
      </c>
      <c r="T402" s="12">
        <v>43172</v>
      </c>
      <c r="U402" s="28">
        <v>1</v>
      </c>
      <c r="V402" s="4">
        <v>3</v>
      </c>
      <c r="W402" s="4">
        <v>2</v>
      </c>
      <c r="X402" s="45">
        <v>11631.6</v>
      </c>
      <c r="Y402" s="14" t="s">
        <v>54</v>
      </c>
      <c r="Z402" s="14" t="s">
        <v>1355</v>
      </c>
      <c r="AA402" s="14" t="s">
        <v>2812</v>
      </c>
      <c r="AB402" s="44">
        <v>43176</v>
      </c>
      <c r="AC402" s="44" t="s">
        <v>2813</v>
      </c>
      <c r="AD402" s="14" t="s">
        <v>50</v>
      </c>
      <c r="AE402" s="24" t="s">
        <v>1047</v>
      </c>
      <c r="AF402" s="25" t="s">
        <v>1269</v>
      </c>
      <c r="AG402" t="e">
        <f t="shared" si="6"/>
        <v>#REF!</v>
      </c>
      <c r="AI402" s="58"/>
    </row>
    <row r="403" spans="1:35" ht="15.75" customHeight="1">
      <c r="A403" s="51" t="s">
        <v>1048</v>
      </c>
      <c r="B403" s="5">
        <v>131</v>
      </c>
      <c r="C403" s="7">
        <v>12617.899999999998</v>
      </c>
      <c r="D403" s="7">
        <v>0</v>
      </c>
      <c r="E403" s="7">
        <v>0</v>
      </c>
      <c r="F403" s="5">
        <v>0</v>
      </c>
      <c r="G403" s="7">
        <v>0</v>
      </c>
      <c r="H403" s="5">
        <v>100</v>
      </c>
      <c r="I403" s="7">
        <v>8690.6999999999989</v>
      </c>
      <c r="J403" s="7">
        <v>28</v>
      </c>
      <c r="K403" s="5">
        <v>0</v>
      </c>
      <c r="L403" s="5">
        <v>0</v>
      </c>
      <c r="M403" s="5">
        <v>28</v>
      </c>
      <c r="N403" s="7">
        <v>28</v>
      </c>
      <c r="O403" s="7">
        <v>3112.6</v>
      </c>
      <c r="P403" s="7">
        <v>10</v>
      </c>
      <c r="Q403" s="5">
        <v>0</v>
      </c>
      <c r="R403" s="5">
        <v>10</v>
      </c>
      <c r="S403" s="7">
        <v>503.9</v>
      </c>
      <c r="T403" s="12">
        <v>43173</v>
      </c>
      <c r="U403" s="28">
        <v>2</v>
      </c>
      <c r="V403" s="4">
        <v>2</v>
      </c>
      <c r="W403" s="4">
        <v>2</v>
      </c>
      <c r="X403" s="45">
        <v>24925.1</v>
      </c>
      <c r="Y403" s="14" t="s">
        <v>1633</v>
      </c>
      <c r="Z403" s="14" t="s">
        <v>1355</v>
      </c>
      <c r="AA403" s="14" t="s">
        <v>2823</v>
      </c>
      <c r="AB403" s="44">
        <v>43178</v>
      </c>
      <c r="AC403" s="44" t="s">
        <v>2824</v>
      </c>
      <c r="AD403" s="14" t="s">
        <v>70</v>
      </c>
      <c r="AE403" s="24" t="s">
        <v>1049</v>
      </c>
      <c r="AF403" s="25" t="s">
        <v>1273</v>
      </c>
      <c r="AG403" t="e">
        <f t="shared" si="6"/>
        <v>#REF!</v>
      </c>
      <c r="AI403" s="58"/>
    </row>
    <row r="404" spans="1:35" ht="15.75" customHeight="1">
      <c r="A404" s="51" t="s">
        <v>1050</v>
      </c>
      <c r="B404" s="5">
        <v>0</v>
      </c>
      <c r="C404" s="7">
        <v>0</v>
      </c>
      <c r="D404" s="7">
        <v>0</v>
      </c>
      <c r="E404" s="7">
        <v>0</v>
      </c>
      <c r="F404" s="5">
        <v>0</v>
      </c>
      <c r="G404" s="7">
        <v>0</v>
      </c>
      <c r="H404" s="5">
        <v>430</v>
      </c>
      <c r="I404" s="7">
        <v>51979.100000000006</v>
      </c>
      <c r="J404" s="7">
        <v>0</v>
      </c>
      <c r="K404" s="5">
        <v>0</v>
      </c>
      <c r="L404" s="5">
        <v>0</v>
      </c>
      <c r="M404" s="5">
        <v>0</v>
      </c>
      <c r="N404" s="7">
        <v>0</v>
      </c>
      <c r="O404" s="7">
        <v>0</v>
      </c>
      <c r="P404" s="7">
        <v>0</v>
      </c>
      <c r="Q404" s="5">
        <v>0</v>
      </c>
      <c r="R404" s="5">
        <v>0</v>
      </c>
      <c r="S404" s="7">
        <v>0</v>
      </c>
      <c r="T404" s="12">
        <v>43173</v>
      </c>
      <c r="U404" s="28">
        <v>4</v>
      </c>
      <c r="V404" s="4">
        <v>3</v>
      </c>
      <c r="W404" s="4">
        <v>4</v>
      </c>
      <c r="X404" s="45">
        <v>51979.100000000006</v>
      </c>
      <c r="Y404" s="14" t="s">
        <v>85</v>
      </c>
      <c r="Z404" s="14" t="s">
        <v>55</v>
      </c>
      <c r="AA404" s="14">
        <v>350810018727</v>
      </c>
      <c r="AB404" s="44">
        <v>43177</v>
      </c>
      <c r="AC404" s="44" t="s">
        <v>2825</v>
      </c>
      <c r="AD404" s="14" t="s">
        <v>49</v>
      </c>
      <c r="AE404" s="24" t="s">
        <v>1051</v>
      </c>
      <c r="AF404" s="25" t="s">
        <v>1265</v>
      </c>
      <c r="AG404" t="e">
        <f t="shared" si="6"/>
        <v>#REF!</v>
      </c>
      <c r="AI404" s="58"/>
    </row>
    <row r="405" spans="1:35" ht="15.75" customHeight="1">
      <c r="A405" s="51" t="s">
        <v>1052</v>
      </c>
      <c r="B405" s="5">
        <v>272</v>
      </c>
      <c r="C405" s="7">
        <v>31936.27</v>
      </c>
      <c r="D405" s="7">
        <v>15</v>
      </c>
      <c r="E405" s="7">
        <v>15</v>
      </c>
      <c r="F405" s="5">
        <v>0</v>
      </c>
      <c r="G405" s="7">
        <v>696</v>
      </c>
      <c r="H405" s="5">
        <v>75</v>
      </c>
      <c r="I405" s="7">
        <v>3057.5</v>
      </c>
      <c r="J405" s="7">
        <v>103</v>
      </c>
      <c r="K405" s="5">
        <v>0</v>
      </c>
      <c r="L405" s="5">
        <v>0</v>
      </c>
      <c r="M405" s="5">
        <v>103</v>
      </c>
      <c r="N405" s="7">
        <v>103</v>
      </c>
      <c r="O405" s="7">
        <v>10174.000000000002</v>
      </c>
      <c r="P405" s="7">
        <v>25</v>
      </c>
      <c r="Q405" s="5">
        <v>0</v>
      </c>
      <c r="R405" s="5">
        <v>25</v>
      </c>
      <c r="S405" s="7">
        <v>1259.75</v>
      </c>
      <c r="T405" s="12">
        <v>43173</v>
      </c>
      <c r="U405" s="28">
        <v>4</v>
      </c>
      <c r="V405" s="4">
        <v>4</v>
      </c>
      <c r="W405" s="4">
        <v>3</v>
      </c>
      <c r="X405" s="45">
        <v>47123.520000000004</v>
      </c>
      <c r="Y405" s="14" t="s">
        <v>56</v>
      </c>
      <c r="Z405" s="14" t="s">
        <v>1281</v>
      </c>
      <c r="AA405" s="14" t="s">
        <v>2826</v>
      </c>
      <c r="AB405" s="44">
        <v>43177</v>
      </c>
      <c r="AC405" s="44" t="s">
        <v>2827</v>
      </c>
      <c r="AD405" s="14" t="s">
        <v>52</v>
      </c>
      <c r="AE405" s="24" t="s">
        <v>1053</v>
      </c>
      <c r="AF405" s="25" t="s">
        <v>1271</v>
      </c>
      <c r="AG405" t="e">
        <f t="shared" si="6"/>
        <v>#REF!</v>
      </c>
      <c r="AI405" s="58"/>
    </row>
    <row r="406" spans="1:35" ht="15.75" customHeight="1">
      <c r="A406" s="51" t="s">
        <v>1054</v>
      </c>
      <c r="B406" s="5">
        <v>319</v>
      </c>
      <c r="C406" s="7">
        <v>36701.46</v>
      </c>
      <c r="D406" s="7">
        <v>0</v>
      </c>
      <c r="E406" s="7">
        <v>0</v>
      </c>
      <c r="F406" s="5">
        <v>0</v>
      </c>
      <c r="G406" s="7">
        <v>0</v>
      </c>
      <c r="H406" s="5">
        <v>197</v>
      </c>
      <c r="I406" s="7">
        <v>26179.96</v>
      </c>
      <c r="J406" s="7">
        <v>0</v>
      </c>
      <c r="K406" s="5">
        <v>0</v>
      </c>
      <c r="L406" s="5">
        <v>0</v>
      </c>
      <c r="M406" s="5">
        <v>0</v>
      </c>
      <c r="N406" s="7">
        <v>0</v>
      </c>
      <c r="O406" s="7">
        <v>0</v>
      </c>
      <c r="P406" s="7">
        <v>0</v>
      </c>
      <c r="Q406" s="5">
        <v>0</v>
      </c>
      <c r="R406" s="5">
        <v>0</v>
      </c>
      <c r="S406" s="7">
        <v>0</v>
      </c>
      <c r="T406" s="12">
        <v>43173</v>
      </c>
      <c r="U406" s="28">
        <v>5</v>
      </c>
      <c r="V406" s="4">
        <v>4</v>
      </c>
      <c r="W406" s="4">
        <v>4</v>
      </c>
      <c r="X406" s="45">
        <v>62881.42</v>
      </c>
      <c r="Y406" s="14" t="s">
        <v>56</v>
      </c>
      <c r="Z406" s="14" t="s">
        <v>730</v>
      </c>
      <c r="AA406" s="14" t="s">
        <v>2828</v>
      </c>
      <c r="AB406" s="44">
        <v>43177</v>
      </c>
      <c r="AC406" s="44" t="s">
        <v>2829</v>
      </c>
      <c r="AD406" s="14" t="s">
        <v>51</v>
      </c>
      <c r="AE406" s="24" t="s">
        <v>1055</v>
      </c>
      <c r="AF406" s="25" t="s">
        <v>1270</v>
      </c>
      <c r="AG406" t="e">
        <f t="shared" si="6"/>
        <v>#REF!</v>
      </c>
      <c r="AI406" s="58"/>
    </row>
    <row r="407" spans="1:35" ht="15.75" customHeight="1">
      <c r="A407" s="51" t="s">
        <v>1056</v>
      </c>
      <c r="B407" s="5">
        <v>237</v>
      </c>
      <c r="C407" s="7">
        <v>24941.760000000002</v>
      </c>
      <c r="D407" s="7">
        <v>0</v>
      </c>
      <c r="E407" s="7">
        <v>0</v>
      </c>
      <c r="F407" s="5">
        <v>0</v>
      </c>
      <c r="G407" s="7">
        <v>0</v>
      </c>
      <c r="H407" s="5">
        <v>270</v>
      </c>
      <c r="I407" s="7">
        <v>28801.899999999998</v>
      </c>
      <c r="J407" s="7">
        <v>103</v>
      </c>
      <c r="K407" s="5">
        <v>0</v>
      </c>
      <c r="L407" s="5">
        <v>0</v>
      </c>
      <c r="M407" s="5">
        <v>103</v>
      </c>
      <c r="N407" s="7">
        <v>103</v>
      </c>
      <c r="O407" s="7">
        <v>18744.099999999999</v>
      </c>
      <c r="P407" s="7">
        <v>0</v>
      </c>
      <c r="Q407" s="5">
        <v>0</v>
      </c>
      <c r="R407" s="5">
        <v>0</v>
      </c>
      <c r="S407" s="7">
        <v>0</v>
      </c>
      <c r="T407" s="12">
        <v>43173</v>
      </c>
      <c r="U407" s="28">
        <v>6</v>
      </c>
      <c r="V407" s="4">
        <v>4</v>
      </c>
      <c r="W407" s="4">
        <v>4</v>
      </c>
      <c r="X407" s="45">
        <v>72487.760000000009</v>
      </c>
      <c r="Y407" s="14" t="s">
        <v>56</v>
      </c>
      <c r="Z407" s="14" t="s">
        <v>55</v>
      </c>
      <c r="AA407" s="14" t="s">
        <v>2834</v>
      </c>
      <c r="AB407" s="44">
        <v>43181</v>
      </c>
      <c r="AC407" s="44" t="s">
        <v>2835</v>
      </c>
      <c r="AD407" s="14" t="s">
        <v>51</v>
      </c>
      <c r="AE407" s="24" t="s">
        <v>1057</v>
      </c>
      <c r="AF407" s="25" t="s">
        <v>1270</v>
      </c>
      <c r="AG407" t="e">
        <f t="shared" si="6"/>
        <v>#REF!</v>
      </c>
      <c r="AI407" s="58"/>
    </row>
    <row r="408" spans="1:35" ht="15.75" customHeight="1">
      <c r="A408" s="51" t="s">
        <v>1059</v>
      </c>
      <c r="B408" s="5">
        <v>207</v>
      </c>
      <c r="C408" s="7">
        <v>23741</v>
      </c>
      <c r="D408" s="7">
        <v>0</v>
      </c>
      <c r="E408" s="7">
        <v>0</v>
      </c>
      <c r="F408" s="5">
        <v>0</v>
      </c>
      <c r="G408" s="7">
        <v>0</v>
      </c>
      <c r="H408" s="5">
        <v>0</v>
      </c>
      <c r="I408" s="7">
        <v>0</v>
      </c>
      <c r="J408" s="7">
        <v>111</v>
      </c>
      <c r="K408" s="5">
        <v>0</v>
      </c>
      <c r="L408" s="5">
        <v>0</v>
      </c>
      <c r="M408" s="5">
        <v>111</v>
      </c>
      <c r="N408" s="7">
        <v>111</v>
      </c>
      <c r="O408" s="7">
        <v>19514.3</v>
      </c>
      <c r="P408" s="7">
        <v>329</v>
      </c>
      <c r="Q408" s="5">
        <v>0</v>
      </c>
      <c r="R408" s="5">
        <v>329</v>
      </c>
      <c r="S408" s="7">
        <v>60090.200000000004</v>
      </c>
      <c r="T408" s="12">
        <v>43173</v>
      </c>
      <c r="U408" s="28">
        <v>8</v>
      </c>
      <c r="V408" s="4">
        <v>4</v>
      </c>
      <c r="W408" s="4">
        <v>4</v>
      </c>
      <c r="X408" s="45">
        <v>103345.5</v>
      </c>
      <c r="Y408" s="14" t="s">
        <v>54</v>
      </c>
      <c r="Z408" s="14" t="s">
        <v>57</v>
      </c>
      <c r="AA408" s="14" t="s">
        <v>2836</v>
      </c>
      <c r="AB408" s="44">
        <v>43181</v>
      </c>
      <c r="AC408" s="44" t="s">
        <v>2837</v>
      </c>
      <c r="AD408" s="14" t="s">
        <v>50</v>
      </c>
      <c r="AE408" s="24" t="s">
        <v>1060</v>
      </c>
      <c r="AF408" s="25" t="s">
        <v>1269</v>
      </c>
      <c r="AG408" t="e">
        <f t="shared" si="6"/>
        <v>#REF!</v>
      </c>
      <c r="AI408" s="58"/>
    </row>
    <row r="409" spans="1:35" ht="15.75" customHeight="1">
      <c r="A409" s="6" t="s">
        <v>1062</v>
      </c>
      <c r="B409" s="5">
        <v>0</v>
      </c>
      <c r="C409" s="7">
        <v>0</v>
      </c>
      <c r="D409" s="7">
        <v>0</v>
      </c>
      <c r="E409" s="7">
        <v>0</v>
      </c>
      <c r="F409" s="5">
        <v>0</v>
      </c>
      <c r="G409" s="7">
        <v>0</v>
      </c>
      <c r="H409" s="5">
        <v>1690</v>
      </c>
      <c r="I409" s="7">
        <v>129330.92</v>
      </c>
      <c r="J409" s="7">
        <v>0</v>
      </c>
      <c r="K409" s="5">
        <v>0</v>
      </c>
      <c r="L409" s="5">
        <v>0</v>
      </c>
      <c r="M409" s="5">
        <v>0</v>
      </c>
      <c r="N409" s="7">
        <v>0</v>
      </c>
      <c r="O409" s="7">
        <v>0</v>
      </c>
      <c r="P409" s="7">
        <v>0</v>
      </c>
      <c r="Q409" s="5">
        <v>0</v>
      </c>
      <c r="R409" s="5">
        <v>0</v>
      </c>
      <c r="S409" s="7">
        <v>0</v>
      </c>
      <c r="T409" s="12">
        <v>43175</v>
      </c>
      <c r="U409" s="28">
        <v>10</v>
      </c>
      <c r="V409" s="4">
        <v>4</v>
      </c>
      <c r="W409" s="4">
        <v>4</v>
      </c>
      <c r="X409" s="45">
        <v>129330.92</v>
      </c>
      <c r="Y409" s="14" t="s">
        <v>54</v>
      </c>
      <c r="Z409" s="14" t="s">
        <v>55</v>
      </c>
      <c r="AA409" s="14" t="s">
        <v>2838</v>
      </c>
      <c r="AB409" s="44">
        <v>43177</v>
      </c>
      <c r="AC409" s="44" t="s">
        <v>2839</v>
      </c>
      <c r="AD409" s="14" t="s">
        <v>49</v>
      </c>
      <c r="AE409" s="24" t="s">
        <v>1063</v>
      </c>
      <c r="AF409" s="25" t="s">
        <v>1265</v>
      </c>
      <c r="AG409" t="e">
        <f t="shared" si="6"/>
        <v>#REF!</v>
      </c>
      <c r="AI409" s="58"/>
    </row>
    <row r="410" spans="1:35" ht="15.75" customHeight="1">
      <c r="A410" s="6" t="s">
        <v>1065</v>
      </c>
      <c r="B410" s="5">
        <v>121</v>
      </c>
      <c r="C410" s="7">
        <v>14041.099999999999</v>
      </c>
      <c r="D410" s="7">
        <v>0</v>
      </c>
      <c r="E410" s="7">
        <v>0</v>
      </c>
      <c r="F410" s="5">
        <v>0</v>
      </c>
      <c r="G410" s="7">
        <v>0</v>
      </c>
      <c r="H410" s="5">
        <v>0</v>
      </c>
      <c r="I410" s="7">
        <v>0</v>
      </c>
      <c r="J410" s="7">
        <v>0</v>
      </c>
      <c r="K410" s="5">
        <v>0</v>
      </c>
      <c r="L410" s="5">
        <v>0</v>
      </c>
      <c r="M410" s="5">
        <v>0</v>
      </c>
      <c r="N410" s="7">
        <v>0</v>
      </c>
      <c r="O410" s="7">
        <v>0</v>
      </c>
      <c r="P410" s="7">
        <v>0</v>
      </c>
      <c r="Q410" s="5">
        <v>0</v>
      </c>
      <c r="R410" s="5">
        <v>0</v>
      </c>
      <c r="S410" s="7">
        <v>0</v>
      </c>
      <c r="T410" s="12">
        <v>43174</v>
      </c>
      <c r="U410" s="28">
        <v>1</v>
      </c>
      <c r="V410" s="4">
        <v>4</v>
      </c>
      <c r="W410" s="4">
        <v>4</v>
      </c>
      <c r="X410" s="45">
        <v>14041.099999999999</v>
      </c>
      <c r="Y410" s="14" t="s">
        <v>1608</v>
      </c>
      <c r="Z410" s="14" t="s">
        <v>1281</v>
      </c>
      <c r="AA410" s="14" t="s">
        <v>2840</v>
      </c>
      <c r="AB410" s="44">
        <v>43179</v>
      </c>
      <c r="AC410" s="44" t="s">
        <v>2841</v>
      </c>
      <c r="AD410" s="14" t="s">
        <v>1010</v>
      </c>
      <c r="AE410" s="55">
        <v>2500000039981</v>
      </c>
      <c r="AF410" s="25" t="s">
        <v>1275</v>
      </c>
      <c r="AG410" t="e">
        <f t="shared" si="6"/>
        <v>#REF!</v>
      </c>
      <c r="AI410" s="58"/>
    </row>
    <row r="411" spans="1:35" ht="15.75" customHeight="1">
      <c r="A411" s="13" t="s">
        <v>1066</v>
      </c>
      <c r="B411" s="5">
        <v>0</v>
      </c>
      <c r="C411" s="7">
        <v>0</v>
      </c>
      <c r="D411" s="7">
        <v>0</v>
      </c>
      <c r="E411" s="7">
        <v>0</v>
      </c>
      <c r="F411" s="5">
        <v>0</v>
      </c>
      <c r="G411" s="7">
        <v>0</v>
      </c>
      <c r="H411" s="5">
        <v>510</v>
      </c>
      <c r="I411" s="7">
        <v>59634.30000000001</v>
      </c>
      <c r="J411" s="7">
        <v>50</v>
      </c>
      <c r="K411" s="5">
        <v>0</v>
      </c>
      <c r="L411" s="5">
        <v>0</v>
      </c>
      <c r="M411" s="5">
        <v>50</v>
      </c>
      <c r="N411" s="7">
        <v>50</v>
      </c>
      <c r="O411" s="7">
        <v>654</v>
      </c>
      <c r="P411" s="7">
        <v>497</v>
      </c>
      <c r="Q411" s="5">
        <v>0</v>
      </c>
      <c r="R411" s="5">
        <v>497</v>
      </c>
      <c r="S411" s="7">
        <v>52327.299999999996</v>
      </c>
      <c r="T411" s="12">
        <v>43174</v>
      </c>
      <c r="U411" s="28">
        <v>6</v>
      </c>
      <c r="V411" s="4">
        <v>4</v>
      </c>
      <c r="W411" s="4">
        <v>4</v>
      </c>
      <c r="X411" s="45">
        <v>112615.6</v>
      </c>
      <c r="Y411" s="14" t="s">
        <v>1636</v>
      </c>
      <c r="Z411" s="14" t="s">
        <v>1637</v>
      </c>
      <c r="AA411" s="14" t="s">
        <v>2842</v>
      </c>
      <c r="AB411" s="44">
        <v>43180</v>
      </c>
      <c r="AC411" s="44" t="s">
        <v>2843</v>
      </c>
      <c r="AD411" s="14" t="s">
        <v>49</v>
      </c>
      <c r="AE411" s="24" t="s">
        <v>1067</v>
      </c>
      <c r="AF411" s="25" t="s">
        <v>1265</v>
      </c>
      <c r="AG411" t="e">
        <f t="shared" si="6"/>
        <v>#REF!</v>
      </c>
      <c r="AI411" s="58"/>
    </row>
    <row r="412" spans="1:35" ht="15.75" customHeight="1">
      <c r="A412" s="6" t="s">
        <v>1068</v>
      </c>
      <c r="B412" s="5">
        <v>175</v>
      </c>
      <c r="C412" s="7">
        <v>18867.279999999995</v>
      </c>
      <c r="D412" s="7">
        <v>0</v>
      </c>
      <c r="E412" s="7">
        <v>0</v>
      </c>
      <c r="F412" s="5">
        <v>0</v>
      </c>
      <c r="G412" s="7">
        <v>0</v>
      </c>
      <c r="H412" s="5">
        <v>0</v>
      </c>
      <c r="I412" s="7">
        <v>0</v>
      </c>
      <c r="J412" s="7">
        <v>20</v>
      </c>
      <c r="K412" s="5">
        <v>0</v>
      </c>
      <c r="L412" s="5">
        <v>0</v>
      </c>
      <c r="M412" s="5">
        <v>20</v>
      </c>
      <c r="N412" s="7">
        <v>20</v>
      </c>
      <c r="O412" s="7">
        <v>3151.5</v>
      </c>
      <c r="P412" s="7">
        <v>0</v>
      </c>
      <c r="Q412" s="5">
        <v>0</v>
      </c>
      <c r="R412" s="5">
        <v>0</v>
      </c>
      <c r="S412" s="7">
        <v>0</v>
      </c>
      <c r="T412" s="12">
        <v>43174</v>
      </c>
      <c r="U412" s="28">
        <v>2</v>
      </c>
      <c r="V412" s="4">
        <v>4</v>
      </c>
      <c r="W412" s="4">
        <v>4</v>
      </c>
      <c r="X412" s="45">
        <v>22018.779999999995</v>
      </c>
      <c r="Y412" s="14" t="s">
        <v>54</v>
      </c>
      <c r="Z412" s="14" t="s">
        <v>57</v>
      </c>
      <c r="AA412" s="14" t="s">
        <v>2844</v>
      </c>
      <c r="AB412" s="44">
        <v>43176</v>
      </c>
      <c r="AC412" s="44" t="s">
        <v>2813</v>
      </c>
      <c r="AD412" s="14" t="s">
        <v>49</v>
      </c>
      <c r="AE412" s="24" t="s">
        <v>1069</v>
      </c>
      <c r="AF412" s="25" t="s">
        <v>1267</v>
      </c>
      <c r="AG412" t="e">
        <f t="shared" si="6"/>
        <v>#REF!</v>
      </c>
      <c r="AI412" s="58"/>
    </row>
    <row r="413" spans="1:35" ht="15.75" customHeight="1">
      <c r="A413" s="6" t="s">
        <v>1070</v>
      </c>
      <c r="B413" s="5">
        <v>131</v>
      </c>
      <c r="C413" s="7">
        <v>13188.300000000001</v>
      </c>
      <c r="D413" s="7">
        <v>0</v>
      </c>
      <c r="E413" s="7">
        <v>0</v>
      </c>
      <c r="F413" s="5">
        <v>0</v>
      </c>
      <c r="G413" s="7">
        <v>0</v>
      </c>
      <c r="H413" s="5">
        <v>0</v>
      </c>
      <c r="I413" s="7">
        <v>0</v>
      </c>
      <c r="J413" s="7">
        <v>53</v>
      </c>
      <c r="K413" s="5">
        <v>0</v>
      </c>
      <c r="L413" s="5">
        <v>0</v>
      </c>
      <c r="M413" s="5">
        <v>53</v>
      </c>
      <c r="N413" s="7">
        <v>53</v>
      </c>
      <c r="O413" s="7">
        <v>10277.6</v>
      </c>
      <c r="P413" s="7">
        <v>757</v>
      </c>
      <c r="Q413" s="5">
        <v>0</v>
      </c>
      <c r="R413" s="5">
        <v>757</v>
      </c>
      <c r="S413" s="7">
        <v>66052.3</v>
      </c>
      <c r="T413" s="12">
        <v>43174</v>
      </c>
      <c r="U413" s="28">
        <v>5</v>
      </c>
      <c r="V413" s="4">
        <v>4</v>
      </c>
      <c r="W413" s="4">
        <v>4</v>
      </c>
      <c r="X413" s="45">
        <v>89518.200000000012</v>
      </c>
      <c r="Y413" s="14" t="s">
        <v>58</v>
      </c>
      <c r="Z413" s="14" t="s">
        <v>1281</v>
      </c>
      <c r="AA413" s="14" t="s">
        <v>2845</v>
      </c>
      <c r="AB413" s="44">
        <v>43181</v>
      </c>
      <c r="AC413" s="44" t="s">
        <v>2846</v>
      </c>
      <c r="AD413" s="14" t="s">
        <v>51</v>
      </c>
      <c r="AE413" s="24" t="s">
        <v>1071</v>
      </c>
      <c r="AF413" s="25" t="s">
        <v>1270</v>
      </c>
      <c r="AG413" t="e">
        <f t="shared" si="6"/>
        <v>#REF!</v>
      </c>
      <c r="AI413" s="58"/>
    </row>
    <row r="414" spans="1:35" ht="15.75" customHeight="1">
      <c r="A414" s="6" t="s">
        <v>1043</v>
      </c>
      <c r="B414" s="5">
        <v>477</v>
      </c>
      <c r="C414" s="7">
        <v>46131.01</v>
      </c>
      <c r="D414" s="7">
        <v>0</v>
      </c>
      <c r="E414" s="7">
        <v>0</v>
      </c>
      <c r="F414" s="5">
        <v>0</v>
      </c>
      <c r="G414" s="7">
        <v>0</v>
      </c>
      <c r="H414" s="5">
        <v>248</v>
      </c>
      <c r="I414" s="7">
        <v>7562.7</v>
      </c>
      <c r="J414" s="7">
        <v>5</v>
      </c>
      <c r="K414" s="5">
        <v>0</v>
      </c>
      <c r="L414" s="5">
        <v>0</v>
      </c>
      <c r="M414" s="5">
        <v>5</v>
      </c>
      <c r="N414" s="7">
        <v>5</v>
      </c>
      <c r="O414" s="7">
        <v>1228</v>
      </c>
      <c r="P414" s="7">
        <v>164</v>
      </c>
      <c r="Q414" s="5">
        <v>0</v>
      </c>
      <c r="R414" s="5">
        <v>164</v>
      </c>
      <c r="S414" s="7">
        <v>18097</v>
      </c>
      <c r="T414" s="12">
        <v>43174</v>
      </c>
      <c r="U414" s="28">
        <v>6</v>
      </c>
      <c r="V414" s="4">
        <v>4</v>
      </c>
      <c r="W414" s="4">
        <v>4</v>
      </c>
      <c r="X414" s="45">
        <v>73018.709999999992</v>
      </c>
      <c r="Y414" s="14" t="s">
        <v>85</v>
      </c>
      <c r="Z414" s="14" t="s">
        <v>57</v>
      </c>
      <c r="AA414" s="14">
        <v>350810020188</v>
      </c>
      <c r="AB414" s="44">
        <v>43177</v>
      </c>
      <c r="AC414" s="44" t="s">
        <v>2825</v>
      </c>
      <c r="AD414" s="14" t="s">
        <v>600</v>
      </c>
      <c r="AE414" s="55">
        <v>2500000041205</v>
      </c>
      <c r="AF414" s="25" t="s">
        <v>1275</v>
      </c>
      <c r="AG414" t="e">
        <f t="shared" si="6"/>
        <v>#REF!</v>
      </c>
      <c r="AI414" s="58"/>
    </row>
    <row r="415" spans="1:35" ht="15.75" customHeight="1">
      <c r="A415" s="13" t="s">
        <v>1058</v>
      </c>
      <c r="B415" s="5">
        <v>1217</v>
      </c>
      <c r="C415" s="7">
        <v>123243.34</v>
      </c>
      <c r="D415" s="7">
        <v>0</v>
      </c>
      <c r="E415" s="7">
        <v>0</v>
      </c>
      <c r="F415" s="5">
        <v>0</v>
      </c>
      <c r="G415" s="7">
        <v>0</v>
      </c>
      <c r="H415" s="5">
        <v>0</v>
      </c>
      <c r="I415" s="7">
        <v>0</v>
      </c>
      <c r="J415" s="7">
        <v>249</v>
      </c>
      <c r="K415" s="5">
        <v>0</v>
      </c>
      <c r="L415" s="5">
        <v>0</v>
      </c>
      <c r="M415" s="5">
        <v>249</v>
      </c>
      <c r="N415" s="7">
        <v>249</v>
      </c>
      <c r="O415" s="7">
        <v>37851.300000000003</v>
      </c>
      <c r="P415" s="7">
        <v>120</v>
      </c>
      <c r="Q415" s="5">
        <v>0</v>
      </c>
      <c r="R415" s="5">
        <v>120</v>
      </c>
      <c r="S415" s="7">
        <v>13176</v>
      </c>
      <c r="T415" s="12">
        <v>43174</v>
      </c>
      <c r="U415" s="28">
        <v>15</v>
      </c>
      <c r="V415" s="4">
        <v>4</v>
      </c>
      <c r="W415" s="4">
        <v>4</v>
      </c>
      <c r="X415" s="45">
        <v>174270.64</v>
      </c>
      <c r="Y415" s="14" t="s">
        <v>54</v>
      </c>
      <c r="Z415" s="14" t="s">
        <v>59</v>
      </c>
      <c r="AA415" s="14" t="s">
        <v>2833</v>
      </c>
      <c r="AB415" s="44">
        <v>43176</v>
      </c>
      <c r="AC415" s="44" t="s">
        <v>2813</v>
      </c>
      <c r="AD415" s="14" t="s">
        <v>50</v>
      </c>
      <c r="AE415" s="24" t="s">
        <v>1072</v>
      </c>
      <c r="AF415" s="25" t="s">
        <v>1269</v>
      </c>
      <c r="AG415" t="e">
        <f t="shared" si="6"/>
        <v>#REF!</v>
      </c>
      <c r="AI415" s="58"/>
    </row>
    <row r="416" spans="1:35" ht="15.75" customHeight="1">
      <c r="A416" s="6" t="s">
        <v>1073</v>
      </c>
      <c r="B416" s="5">
        <v>219</v>
      </c>
      <c r="C416" s="7">
        <v>24552.299999999996</v>
      </c>
      <c r="D416" s="7">
        <v>0</v>
      </c>
      <c r="E416" s="7">
        <v>0</v>
      </c>
      <c r="F416" s="5">
        <v>0</v>
      </c>
      <c r="G416" s="7">
        <v>0</v>
      </c>
      <c r="H416" s="5">
        <v>0</v>
      </c>
      <c r="I416" s="7">
        <v>0</v>
      </c>
      <c r="J416" s="7">
        <v>90</v>
      </c>
      <c r="K416" s="5">
        <v>0</v>
      </c>
      <c r="L416" s="5">
        <v>0</v>
      </c>
      <c r="M416" s="5">
        <v>90</v>
      </c>
      <c r="N416" s="7">
        <v>90</v>
      </c>
      <c r="O416" s="7">
        <v>19932.400000000001</v>
      </c>
      <c r="P416" s="7">
        <v>0</v>
      </c>
      <c r="Q416" s="5">
        <v>0</v>
      </c>
      <c r="R416" s="5">
        <v>0</v>
      </c>
      <c r="S416" s="7">
        <v>0</v>
      </c>
      <c r="T416" s="12">
        <v>43174</v>
      </c>
      <c r="U416" s="28">
        <v>4</v>
      </c>
      <c r="V416" s="4">
        <v>4</v>
      </c>
      <c r="W416" s="4">
        <v>4</v>
      </c>
      <c r="X416" s="45">
        <v>44484.7</v>
      </c>
      <c r="Y416" s="14" t="s">
        <v>54</v>
      </c>
      <c r="Z416" s="14" t="s">
        <v>59</v>
      </c>
      <c r="AA416" s="14" t="s">
        <v>2836</v>
      </c>
      <c r="AB416" s="44">
        <v>43181</v>
      </c>
      <c r="AC416" s="44" t="s">
        <v>2837</v>
      </c>
      <c r="AD416" s="14" t="s">
        <v>50</v>
      </c>
      <c r="AE416" s="24" t="s">
        <v>1074</v>
      </c>
      <c r="AF416" s="25" t="s">
        <v>1269</v>
      </c>
      <c r="AG416" t="e">
        <f t="shared" si="6"/>
        <v>#REF!</v>
      </c>
      <c r="AI416" s="58"/>
    </row>
    <row r="417" spans="1:35" ht="15.75" customHeight="1">
      <c r="A417" s="6" t="s">
        <v>1061</v>
      </c>
      <c r="B417" s="5">
        <v>292</v>
      </c>
      <c r="C417" s="7">
        <v>34597.600000000006</v>
      </c>
      <c r="D417" s="7">
        <v>0</v>
      </c>
      <c r="E417" s="7">
        <v>0</v>
      </c>
      <c r="F417" s="5">
        <v>0</v>
      </c>
      <c r="G417" s="7">
        <v>0</v>
      </c>
      <c r="H417" s="5">
        <v>190</v>
      </c>
      <c r="I417" s="7">
        <v>24312.400000000001</v>
      </c>
      <c r="J417" s="7">
        <v>0</v>
      </c>
      <c r="K417" s="5">
        <v>0</v>
      </c>
      <c r="L417" s="5">
        <v>0</v>
      </c>
      <c r="M417" s="5">
        <v>0</v>
      </c>
      <c r="N417" s="7">
        <v>0</v>
      </c>
      <c r="O417" s="7">
        <v>0</v>
      </c>
      <c r="P417" s="7">
        <v>0</v>
      </c>
      <c r="Q417" s="5">
        <v>0</v>
      </c>
      <c r="R417" s="5">
        <v>0</v>
      </c>
      <c r="S417" s="7">
        <v>0</v>
      </c>
      <c r="T417" s="12">
        <v>43174</v>
      </c>
      <c r="U417" s="28">
        <v>5</v>
      </c>
      <c r="V417" s="4">
        <v>4</v>
      </c>
      <c r="W417" s="4">
        <v>4</v>
      </c>
      <c r="X417" s="45">
        <v>58910.000000000007</v>
      </c>
      <c r="Y417" s="14" t="s">
        <v>54</v>
      </c>
      <c r="Z417" s="14" t="s">
        <v>1355</v>
      </c>
      <c r="AA417" s="14" t="s">
        <v>2844</v>
      </c>
      <c r="AB417" s="44">
        <v>43176</v>
      </c>
      <c r="AC417" s="44" t="s">
        <v>2813</v>
      </c>
      <c r="AD417" s="14" t="s">
        <v>49</v>
      </c>
      <c r="AE417" s="24" t="s">
        <v>1075</v>
      </c>
      <c r="AF417" s="25" t="s">
        <v>1266</v>
      </c>
      <c r="AG417" t="e">
        <f t="shared" si="6"/>
        <v>#REF!</v>
      </c>
      <c r="AI417" s="58"/>
    </row>
    <row r="418" spans="1:35" ht="15.75" customHeight="1">
      <c r="A418" s="6" t="s">
        <v>1064</v>
      </c>
      <c r="B418" s="5">
        <v>193</v>
      </c>
      <c r="C418" s="7">
        <v>22520.25</v>
      </c>
      <c r="D418" s="7">
        <v>0</v>
      </c>
      <c r="E418" s="7">
        <v>0</v>
      </c>
      <c r="F418" s="5">
        <v>0</v>
      </c>
      <c r="G418" s="7">
        <v>0</v>
      </c>
      <c r="H418" s="5">
        <v>97</v>
      </c>
      <c r="I418" s="7">
        <v>10048.559999999998</v>
      </c>
      <c r="J418" s="7">
        <v>30</v>
      </c>
      <c r="K418" s="5">
        <v>0</v>
      </c>
      <c r="L418" s="5">
        <v>0</v>
      </c>
      <c r="M418" s="5">
        <v>30</v>
      </c>
      <c r="N418" s="7">
        <v>30</v>
      </c>
      <c r="O418" s="7">
        <v>4611.5999999999995</v>
      </c>
      <c r="P418" s="7">
        <v>0</v>
      </c>
      <c r="Q418" s="5">
        <v>0</v>
      </c>
      <c r="R418" s="5">
        <v>0</v>
      </c>
      <c r="S418" s="7">
        <v>0</v>
      </c>
      <c r="T418" s="12">
        <v>43175</v>
      </c>
      <c r="U418" s="28">
        <v>3</v>
      </c>
      <c r="V418" s="4">
        <v>4</v>
      </c>
      <c r="W418" s="4">
        <v>4</v>
      </c>
      <c r="X418" s="45">
        <v>37180.409999999996</v>
      </c>
      <c r="Y418" s="14" t="s">
        <v>54</v>
      </c>
      <c r="Z418" s="14" t="s">
        <v>730</v>
      </c>
      <c r="AA418" s="14" t="s">
        <v>2847</v>
      </c>
      <c r="AB418" s="44">
        <v>43178</v>
      </c>
      <c r="AC418" s="44" t="s">
        <v>2848</v>
      </c>
      <c r="AD418" s="14" t="s">
        <v>52</v>
      </c>
      <c r="AE418" s="24" t="s">
        <v>1076</v>
      </c>
      <c r="AF418" s="25" t="s">
        <v>1271</v>
      </c>
      <c r="AG418" t="e">
        <f t="shared" si="6"/>
        <v>#REF!</v>
      </c>
      <c r="AI418" s="58"/>
    </row>
    <row r="419" spans="1:35" ht="15.75" customHeight="1">
      <c r="A419" s="6" t="s">
        <v>1077</v>
      </c>
      <c r="B419" s="5">
        <v>942</v>
      </c>
      <c r="C419" s="7">
        <v>99138.299999999988</v>
      </c>
      <c r="D419" s="7">
        <v>0</v>
      </c>
      <c r="E419" s="7">
        <v>0</v>
      </c>
      <c r="F419" s="5">
        <v>0</v>
      </c>
      <c r="G419" s="7">
        <v>0</v>
      </c>
      <c r="H419" s="5">
        <v>553</v>
      </c>
      <c r="I419" s="7">
        <v>69271.740000000005</v>
      </c>
      <c r="J419" s="7">
        <v>66</v>
      </c>
      <c r="K419" s="5">
        <v>0</v>
      </c>
      <c r="L419" s="5">
        <v>0</v>
      </c>
      <c r="M419" s="5">
        <v>66</v>
      </c>
      <c r="N419" s="7">
        <v>66</v>
      </c>
      <c r="O419" s="7">
        <v>8440.2000000000007</v>
      </c>
      <c r="P419" s="7">
        <v>0</v>
      </c>
      <c r="Q419" s="5">
        <v>0</v>
      </c>
      <c r="R419" s="5">
        <v>0</v>
      </c>
      <c r="S419" s="7">
        <v>0</v>
      </c>
      <c r="T419" s="12">
        <v>43175</v>
      </c>
      <c r="U419" s="28">
        <v>14</v>
      </c>
      <c r="V419" s="4">
        <v>4</v>
      </c>
      <c r="W419" s="4">
        <v>4</v>
      </c>
      <c r="X419" s="45">
        <v>176850.24</v>
      </c>
      <c r="Y419" s="14" t="s">
        <v>54</v>
      </c>
      <c r="Z419" s="14" t="s">
        <v>55</v>
      </c>
      <c r="AA419" s="14" t="s">
        <v>2849</v>
      </c>
      <c r="AB419" s="44">
        <v>43178</v>
      </c>
      <c r="AC419" s="44" t="s">
        <v>2848</v>
      </c>
      <c r="AD419" s="14" t="s">
        <v>51</v>
      </c>
      <c r="AE419" s="24" t="s">
        <v>1078</v>
      </c>
      <c r="AF419" s="25" t="s">
        <v>1270</v>
      </c>
      <c r="AG419" t="e">
        <f t="shared" si="6"/>
        <v>#REF!</v>
      </c>
      <c r="AI419" s="58"/>
    </row>
    <row r="420" spans="1:35" ht="15.75" customHeight="1">
      <c r="A420" s="6" t="s">
        <v>1079</v>
      </c>
      <c r="B420" s="5">
        <v>141</v>
      </c>
      <c r="C420" s="7">
        <v>15533.8</v>
      </c>
      <c r="D420" s="7">
        <v>0</v>
      </c>
      <c r="E420" s="7">
        <v>0</v>
      </c>
      <c r="F420" s="5">
        <v>0</v>
      </c>
      <c r="G420" s="7">
        <v>0</v>
      </c>
      <c r="H420" s="5">
        <v>0</v>
      </c>
      <c r="I420" s="7">
        <v>0</v>
      </c>
      <c r="J420" s="7">
        <v>40</v>
      </c>
      <c r="K420" s="5">
        <v>0</v>
      </c>
      <c r="L420" s="5">
        <v>0</v>
      </c>
      <c r="M420" s="5">
        <v>40</v>
      </c>
      <c r="N420" s="7">
        <v>40</v>
      </c>
      <c r="O420" s="7">
        <v>6885</v>
      </c>
      <c r="P420" s="7">
        <v>0</v>
      </c>
      <c r="Q420" s="5">
        <v>0</v>
      </c>
      <c r="R420" s="5">
        <v>0</v>
      </c>
      <c r="S420" s="7">
        <v>0</v>
      </c>
      <c r="T420" s="12">
        <v>43175</v>
      </c>
      <c r="U420" s="28">
        <v>2</v>
      </c>
      <c r="V420" s="4">
        <v>4</v>
      </c>
      <c r="W420" s="4">
        <v>4</v>
      </c>
      <c r="X420" s="45">
        <v>22418.799999999999</v>
      </c>
      <c r="Y420" s="14" t="s">
        <v>54</v>
      </c>
      <c r="Z420" s="14" t="s">
        <v>59</v>
      </c>
      <c r="AA420" s="14" t="s">
        <v>2850</v>
      </c>
      <c r="AB420" s="44">
        <v>43177</v>
      </c>
      <c r="AC420" s="44" t="s">
        <v>2839</v>
      </c>
      <c r="AD420" s="14" t="s">
        <v>50</v>
      </c>
      <c r="AE420" s="24" t="s">
        <v>1080</v>
      </c>
      <c r="AF420" s="25" t="s">
        <v>1269</v>
      </c>
      <c r="AG420" t="e">
        <f t="shared" si="6"/>
        <v>#REF!</v>
      </c>
      <c r="AI420" s="58"/>
    </row>
    <row r="421" spans="1:35" ht="15.75" customHeight="1">
      <c r="A421" s="6" t="s">
        <v>1081</v>
      </c>
      <c r="B421" s="5">
        <v>99</v>
      </c>
      <c r="C421" s="7">
        <v>12401.600000000002</v>
      </c>
      <c r="D421" s="7">
        <v>0</v>
      </c>
      <c r="E421" s="7">
        <v>0</v>
      </c>
      <c r="F421" s="5">
        <v>0</v>
      </c>
      <c r="G421" s="7">
        <v>0</v>
      </c>
      <c r="H421" s="5">
        <v>0</v>
      </c>
      <c r="I421" s="7">
        <v>0</v>
      </c>
      <c r="J421" s="7">
        <v>58</v>
      </c>
      <c r="K421" s="5">
        <v>0</v>
      </c>
      <c r="L421" s="5">
        <v>0</v>
      </c>
      <c r="M421" s="5">
        <v>58</v>
      </c>
      <c r="N421" s="7">
        <v>58</v>
      </c>
      <c r="O421" s="7">
        <v>10358.799999999999</v>
      </c>
      <c r="P421" s="7">
        <v>213</v>
      </c>
      <c r="Q421" s="5">
        <v>0</v>
      </c>
      <c r="R421" s="5">
        <v>213</v>
      </c>
      <c r="S421" s="7">
        <v>23329.9</v>
      </c>
      <c r="T421" s="12">
        <v>43175</v>
      </c>
      <c r="U421" s="28">
        <v>3</v>
      </c>
      <c r="V421" s="4">
        <v>4</v>
      </c>
      <c r="W421" s="4">
        <v>4</v>
      </c>
      <c r="X421" s="45">
        <v>46090.3</v>
      </c>
      <c r="Y421" s="14" t="s">
        <v>54</v>
      </c>
      <c r="Z421" s="14" t="s">
        <v>57</v>
      </c>
      <c r="AA421" s="14" t="s">
        <v>2851</v>
      </c>
      <c r="AB421" s="44">
        <v>43186</v>
      </c>
      <c r="AC421" s="44" t="s">
        <v>2852</v>
      </c>
      <c r="AD421" s="14" t="s">
        <v>52</v>
      </c>
      <c r="AE421" s="24" t="s">
        <v>1082</v>
      </c>
      <c r="AF421" s="25" t="s">
        <v>1271</v>
      </c>
      <c r="AG421" t="e">
        <f t="shared" si="6"/>
        <v>#REF!</v>
      </c>
      <c r="AI421" s="58"/>
    </row>
    <row r="422" spans="1:35" ht="15.75" customHeight="1">
      <c r="A422" s="13" t="s">
        <v>1083</v>
      </c>
      <c r="B422" s="5">
        <v>239</v>
      </c>
      <c r="C422" s="7">
        <v>25945.359999999997</v>
      </c>
      <c r="D422" s="7">
        <v>0</v>
      </c>
      <c r="E422" s="7">
        <v>0</v>
      </c>
      <c r="F422" s="5">
        <v>0</v>
      </c>
      <c r="G422" s="7">
        <v>0</v>
      </c>
      <c r="H422" s="5">
        <v>310</v>
      </c>
      <c r="I422" s="7">
        <v>39542.199999999997</v>
      </c>
      <c r="J422" s="7">
        <v>84</v>
      </c>
      <c r="K422" s="5">
        <v>0</v>
      </c>
      <c r="L422" s="5">
        <v>0</v>
      </c>
      <c r="M422" s="5">
        <v>84</v>
      </c>
      <c r="N422" s="7">
        <v>84</v>
      </c>
      <c r="O422" s="7">
        <v>12140</v>
      </c>
      <c r="P422" s="7">
        <v>413</v>
      </c>
      <c r="Q422" s="5">
        <v>0</v>
      </c>
      <c r="R422" s="5">
        <v>413</v>
      </c>
      <c r="S422" s="7">
        <v>79561.399999999994</v>
      </c>
      <c r="T422" s="12">
        <v>43175</v>
      </c>
      <c r="U422" s="28">
        <v>11</v>
      </c>
      <c r="V422" s="4">
        <v>4</v>
      </c>
      <c r="W422" s="4">
        <v>4</v>
      </c>
      <c r="X422" s="45">
        <v>157188.96</v>
      </c>
      <c r="Y422" s="14" t="s">
        <v>58</v>
      </c>
      <c r="Z422" s="14" t="s">
        <v>1281</v>
      </c>
      <c r="AA422" s="14" t="s">
        <v>2845</v>
      </c>
      <c r="AB422" s="44">
        <v>43181</v>
      </c>
      <c r="AC422" s="44" t="s">
        <v>2846</v>
      </c>
      <c r="AD422" s="14" t="s">
        <v>51</v>
      </c>
      <c r="AE422" s="24" t="s">
        <v>1084</v>
      </c>
      <c r="AF422" s="25" t="s">
        <v>1270</v>
      </c>
      <c r="AG422" t="e">
        <f t="shared" si="6"/>
        <v>#REF!</v>
      </c>
      <c r="AI422" s="58"/>
    </row>
    <row r="423" spans="1:35" ht="15.75" customHeight="1">
      <c r="A423" s="6" t="s">
        <v>1085</v>
      </c>
      <c r="B423" s="5">
        <v>644</v>
      </c>
      <c r="C423" s="7">
        <v>79010.44</v>
      </c>
      <c r="D423" s="7">
        <v>0</v>
      </c>
      <c r="E423" s="7">
        <v>0</v>
      </c>
      <c r="F423" s="5">
        <v>0</v>
      </c>
      <c r="G423" s="7">
        <v>0</v>
      </c>
      <c r="H423" s="5">
        <v>0</v>
      </c>
      <c r="I423" s="7">
        <v>0</v>
      </c>
      <c r="J423" s="7">
        <v>108</v>
      </c>
      <c r="K423" s="5">
        <v>0</v>
      </c>
      <c r="L423" s="5">
        <v>0</v>
      </c>
      <c r="M423" s="5">
        <v>108</v>
      </c>
      <c r="N423" s="7">
        <v>108</v>
      </c>
      <c r="O423" s="7">
        <v>19748.099999999999</v>
      </c>
      <c r="P423" s="7">
        <v>185</v>
      </c>
      <c r="Q423" s="5">
        <v>0</v>
      </c>
      <c r="R423" s="5">
        <v>185</v>
      </c>
      <c r="S423" s="7">
        <v>27424</v>
      </c>
      <c r="T423" s="12">
        <v>43175</v>
      </c>
      <c r="U423" s="28">
        <v>10</v>
      </c>
      <c r="V423" s="4">
        <v>4</v>
      </c>
      <c r="W423" s="4">
        <v>4</v>
      </c>
      <c r="X423" s="45">
        <v>126182.54000000001</v>
      </c>
      <c r="Y423" s="14" t="s">
        <v>54</v>
      </c>
      <c r="Z423" s="14" t="s">
        <v>59</v>
      </c>
      <c r="AA423" s="14" t="s">
        <v>2836</v>
      </c>
      <c r="AB423" s="44">
        <v>43181</v>
      </c>
      <c r="AC423" s="44" t="s">
        <v>2837</v>
      </c>
      <c r="AD423" s="14" t="s">
        <v>50</v>
      </c>
      <c r="AE423" s="24" t="s">
        <v>1086</v>
      </c>
      <c r="AF423" s="25" t="s">
        <v>1269</v>
      </c>
      <c r="AG423" t="e">
        <f t="shared" si="6"/>
        <v>#REF!</v>
      </c>
      <c r="AI423" s="58"/>
    </row>
    <row r="424" spans="1:35" ht="15.75" customHeight="1">
      <c r="A424" s="6" t="s">
        <v>1087</v>
      </c>
      <c r="B424" s="5">
        <v>92</v>
      </c>
      <c r="C424" s="7">
        <v>11685.7</v>
      </c>
      <c r="D424" s="7">
        <v>0</v>
      </c>
      <c r="E424" s="7">
        <v>0</v>
      </c>
      <c r="F424" s="5">
        <v>0</v>
      </c>
      <c r="G424" s="7">
        <v>0</v>
      </c>
      <c r="H424" s="5">
        <v>0</v>
      </c>
      <c r="I424" s="7">
        <v>0</v>
      </c>
      <c r="J424" s="7">
        <v>58</v>
      </c>
      <c r="K424" s="5">
        <v>0</v>
      </c>
      <c r="L424" s="5">
        <v>0</v>
      </c>
      <c r="M424" s="5">
        <v>58</v>
      </c>
      <c r="N424" s="7">
        <v>58</v>
      </c>
      <c r="O424" s="7">
        <v>10248.599999999999</v>
      </c>
      <c r="P424" s="7">
        <v>90</v>
      </c>
      <c r="Q424" s="5">
        <v>0</v>
      </c>
      <c r="R424" s="5">
        <v>90</v>
      </c>
      <c r="S424" s="7">
        <v>15216</v>
      </c>
      <c r="T424" s="12">
        <v>43175</v>
      </c>
      <c r="U424" s="28">
        <v>3</v>
      </c>
      <c r="V424" s="4">
        <v>4</v>
      </c>
      <c r="W424" s="4">
        <v>4</v>
      </c>
      <c r="X424" s="45">
        <v>37150.300000000003</v>
      </c>
      <c r="Y424" s="14" t="s">
        <v>56</v>
      </c>
      <c r="Z424" s="14" t="s">
        <v>1355</v>
      </c>
      <c r="AA424" s="14" t="s">
        <v>2853</v>
      </c>
      <c r="AB424" s="44">
        <v>43181</v>
      </c>
      <c r="AC424" s="44" t="s">
        <v>2854</v>
      </c>
      <c r="AD424" s="14" t="s">
        <v>49</v>
      </c>
      <c r="AE424" s="24" t="s">
        <v>1088</v>
      </c>
      <c r="AF424" s="25" t="s">
        <v>1266</v>
      </c>
      <c r="AG424" t="e">
        <f t="shared" si="6"/>
        <v>#REF!</v>
      </c>
      <c r="AI424" s="58"/>
    </row>
    <row r="425" spans="1:35" ht="15.75" customHeight="1">
      <c r="A425" s="6" t="s">
        <v>1089</v>
      </c>
      <c r="B425" s="5">
        <v>0</v>
      </c>
      <c r="C425" s="7">
        <v>0</v>
      </c>
      <c r="D425" s="7">
        <v>0</v>
      </c>
      <c r="E425" s="7">
        <v>0</v>
      </c>
      <c r="F425" s="5">
        <v>0</v>
      </c>
      <c r="G425" s="7">
        <v>0</v>
      </c>
      <c r="H425" s="5">
        <v>0</v>
      </c>
      <c r="I425" s="7">
        <v>0</v>
      </c>
      <c r="J425" s="7">
        <v>0</v>
      </c>
      <c r="K425" s="5">
        <v>0</v>
      </c>
      <c r="L425" s="5">
        <v>0</v>
      </c>
      <c r="M425" s="5">
        <v>0</v>
      </c>
      <c r="N425" s="7">
        <v>0</v>
      </c>
      <c r="O425" s="7">
        <v>0</v>
      </c>
      <c r="P425" s="7">
        <v>104</v>
      </c>
      <c r="Q425" s="5">
        <v>0</v>
      </c>
      <c r="R425" s="5">
        <v>104</v>
      </c>
      <c r="S425" s="7">
        <v>13678.8</v>
      </c>
      <c r="T425" s="12">
        <v>43178</v>
      </c>
      <c r="U425" s="28">
        <v>1</v>
      </c>
      <c r="V425" s="4">
        <v>4</v>
      </c>
      <c r="W425" s="4">
        <v>4</v>
      </c>
      <c r="X425" s="45">
        <v>13678.8</v>
      </c>
      <c r="Y425" s="14" t="s">
        <v>56</v>
      </c>
      <c r="Z425" s="14" t="s">
        <v>57</v>
      </c>
      <c r="AA425" s="14" t="s">
        <v>2855</v>
      </c>
      <c r="AB425" s="44">
        <v>43181</v>
      </c>
      <c r="AC425" s="44" t="s">
        <v>2856</v>
      </c>
      <c r="AD425" s="14" t="s">
        <v>218</v>
      </c>
      <c r="AE425" s="24" t="s">
        <v>1090</v>
      </c>
      <c r="AF425" s="25" t="s">
        <v>1272</v>
      </c>
      <c r="AG425" t="e">
        <f t="shared" si="6"/>
        <v>#REF!</v>
      </c>
      <c r="AI425" s="58"/>
    </row>
    <row r="426" spans="1:35" ht="15.75" customHeight="1">
      <c r="A426" s="13" t="s">
        <v>1091</v>
      </c>
      <c r="B426" s="5">
        <v>0</v>
      </c>
      <c r="C426" s="7">
        <v>0</v>
      </c>
      <c r="D426" s="7">
        <v>0</v>
      </c>
      <c r="E426" s="7">
        <v>0</v>
      </c>
      <c r="F426" s="5">
        <v>0</v>
      </c>
      <c r="G426" s="7">
        <v>0</v>
      </c>
      <c r="H426" s="5">
        <v>0</v>
      </c>
      <c r="I426" s="7">
        <v>0</v>
      </c>
      <c r="J426" s="7">
        <v>0</v>
      </c>
      <c r="K426" s="5">
        <v>0</v>
      </c>
      <c r="L426" s="5">
        <v>0</v>
      </c>
      <c r="M426" s="5">
        <v>0</v>
      </c>
      <c r="N426" s="7">
        <v>0</v>
      </c>
      <c r="O426" s="7">
        <v>0</v>
      </c>
      <c r="P426" s="7">
        <v>145</v>
      </c>
      <c r="Q426" s="5">
        <v>0</v>
      </c>
      <c r="R426" s="5">
        <v>145</v>
      </c>
      <c r="S426" s="7">
        <v>17335</v>
      </c>
      <c r="T426" s="12">
        <v>43178</v>
      </c>
      <c r="U426" s="28">
        <v>1</v>
      </c>
      <c r="V426" s="4">
        <v>4</v>
      </c>
      <c r="W426" s="4">
        <v>4</v>
      </c>
      <c r="X426" s="45">
        <v>17335</v>
      </c>
      <c r="Y426" s="14" t="s">
        <v>1633</v>
      </c>
      <c r="Z426" s="14" t="s">
        <v>57</v>
      </c>
      <c r="AA426" s="14" t="s">
        <v>2857</v>
      </c>
      <c r="AB426" s="44">
        <v>43185</v>
      </c>
      <c r="AC426" s="44" t="s">
        <v>2858</v>
      </c>
      <c r="AD426" s="14" t="s">
        <v>48</v>
      </c>
      <c r="AE426" s="24" t="s">
        <v>1092</v>
      </c>
      <c r="AF426" s="25" t="s">
        <v>1264</v>
      </c>
      <c r="AG426" t="e">
        <f t="shared" si="6"/>
        <v>#REF!</v>
      </c>
      <c r="AI426" s="58"/>
    </row>
    <row r="427" spans="1:35" ht="15.75" customHeight="1">
      <c r="A427" s="6" t="s">
        <v>1094</v>
      </c>
      <c r="B427" s="5">
        <v>0</v>
      </c>
      <c r="C427" s="7">
        <v>0</v>
      </c>
      <c r="D427" s="7">
        <v>26</v>
      </c>
      <c r="E427" s="7">
        <v>26</v>
      </c>
      <c r="F427" s="5">
        <v>0</v>
      </c>
      <c r="G427" s="7">
        <v>1284.3999999999999</v>
      </c>
      <c r="H427" s="5">
        <v>538</v>
      </c>
      <c r="I427" s="7">
        <v>68037.929999999993</v>
      </c>
      <c r="J427" s="7">
        <v>0</v>
      </c>
      <c r="K427" s="5">
        <v>0</v>
      </c>
      <c r="L427" s="5">
        <v>0</v>
      </c>
      <c r="M427" s="5">
        <v>0</v>
      </c>
      <c r="N427" s="7">
        <v>0</v>
      </c>
      <c r="O427" s="7">
        <v>0</v>
      </c>
      <c r="P427" s="7">
        <v>635</v>
      </c>
      <c r="Q427" s="5">
        <v>0</v>
      </c>
      <c r="R427" s="5">
        <v>635</v>
      </c>
      <c r="S427" s="7">
        <v>50686.3</v>
      </c>
      <c r="T427" s="12">
        <v>43178</v>
      </c>
      <c r="U427" s="28">
        <v>7</v>
      </c>
      <c r="V427" s="4">
        <v>4</v>
      </c>
      <c r="W427" s="4">
        <v>4</v>
      </c>
      <c r="X427" s="45">
        <v>120008.62999999999</v>
      </c>
      <c r="Y427" s="14" t="s">
        <v>1636</v>
      </c>
      <c r="Z427" s="14" t="s">
        <v>1492</v>
      </c>
      <c r="AA427" s="14" t="s">
        <v>2842</v>
      </c>
      <c r="AB427" s="44">
        <v>43180</v>
      </c>
      <c r="AC427" s="44" t="s">
        <v>2843</v>
      </c>
      <c r="AD427" s="14" t="s">
        <v>49</v>
      </c>
      <c r="AE427" s="24" t="s">
        <v>1095</v>
      </c>
      <c r="AF427" s="25" t="s">
        <v>1265</v>
      </c>
      <c r="AG427" t="e">
        <f t="shared" si="6"/>
        <v>#REF!</v>
      </c>
      <c r="AI427" s="58"/>
    </row>
    <row r="428" spans="1:35" ht="15.75" customHeight="1">
      <c r="A428" s="6" t="s">
        <v>1098</v>
      </c>
      <c r="B428" s="5">
        <v>793</v>
      </c>
      <c r="C428" s="7">
        <v>93900.06</v>
      </c>
      <c r="D428" s="7">
        <v>0</v>
      </c>
      <c r="E428" s="7">
        <v>0</v>
      </c>
      <c r="F428" s="5">
        <v>0</v>
      </c>
      <c r="G428" s="7">
        <v>0</v>
      </c>
      <c r="H428" s="5">
        <v>262</v>
      </c>
      <c r="I428" s="7">
        <v>29138.3</v>
      </c>
      <c r="J428" s="7">
        <v>112</v>
      </c>
      <c r="K428" s="5">
        <v>0</v>
      </c>
      <c r="L428" s="5">
        <v>0</v>
      </c>
      <c r="M428" s="5">
        <v>112</v>
      </c>
      <c r="N428" s="7">
        <v>112</v>
      </c>
      <c r="O428" s="7">
        <v>20038.100000000002</v>
      </c>
      <c r="P428" s="7">
        <v>298</v>
      </c>
      <c r="Q428" s="5">
        <v>0</v>
      </c>
      <c r="R428" s="5">
        <v>298</v>
      </c>
      <c r="S428" s="7">
        <v>41035.199999999997</v>
      </c>
      <c r="T428" s="12">
        <v>43178</v>
      </c>
      <c r="U428" s="28">
        <v>14</v>
      </c>
      <c r="V428" s="4">
        <v>4</v>
      </c>
      <c r="W428" s="4">
        <v>4</v>
      </c>
      <c r="X428" s="45">
        <v>184111.65999999997</v>
      </c>
      <c r="Y428" s="14" t="s">
        <v>56</v>
      </c>
      <c r="Z428" s="14" t="s">
        <v>730</v>
      </c>
      <c r="AA428" s="14" t="s">
        <v>2859</v>
      </c>
      <c r="AB428" s="44">
        <v>43183</v>
      </c>
      <c r="AC428" s="44" t="s">
        <v>2860</v>
      </c>
      <c r="AD428" s="14" t="s">
        <v>51</v>
      </c>
      <c r="AE428" s="24" t="s">
        <v>1099</v>
      </c>
      <c r="AF428" s="25" t="s">
        <v>1270</v>
      </c>
      <c r="AG428" t="e">
        <f t="shared" si="6"/>
        <v>#REF!</v>
      </c>
      <c r="AI428" s="58"/>
    </row>
    <row r="429" spans="1:35" ht="15.75" customHeight="1">
      <c r="A429" s="13" t="s">
        <v>1100</v>
      </c>
      <c r="B429" s="5">
        <v>611</v>
      </c>
      <c r="C429" s="7">
        <v>65514.46</v>
      </c>
      <c r="D429" s="7">
        <v>0</v>
      </c>
      <c r="E429" s="7">
        <v>0</v>
      </c>
      <c r="F429" s="5">
        <v>0</v>
      </c>
      <c r="G429" s="7">
        <v>0</v>
      </c>
      <c r="H429" s="5">
        <v>160</v>
      </c>
      <c r="I429" s="7">
        <v>3964</v>
      </c>
      <c r="J429" s="7">
        <v>237</v>
      </c>
      <c r="K429" s="5">
        <v>0</v>
      </c>
      <c r="L429" s="5">
        <v>0</v>
      </c>
      <c r="M429" s="5">
        <v>237</v>
      </c>
      <c r="N429" s="7">
        <v>237</v>
      </c>
      <c r="O429" s="7">
        <v>18752.400000000001</v>
      </c>
      <c r="P429" s="7">
        <v>40</v>
      </c>
      <c r="Q429" s="5">
        <v>0</v>
      </c>
      <c r="R429" s="5">
        <v>40</v>
      </c>
      <c r="S429" s="7">
        <v>1996</v>
      </c>
      <c r="T429" s="12">
        <v>43178</v>
      </c>
      <c r="U429" s="28">
        <v>8</v>
      </c>
      <c r="V429" s="4">
        <v>4</v>
      </c>
      <c r="W429" s="4">
        <v>4</v>
      </c>
      <c r="X429" s="45">
        <v>90226.859999999986</v>
      </c>
      <c r="Y429" s="14" t="s">
        <v>54</v>
      </c>
      <c r="Z429" s="14" t="s">
        <v>59</v>
      </c>
      <c r="AA429" s="14" t="s">
        <v>2836</v>
      </c>
      <c r="AB429" s="44">
        <v>43181</v>
      </c>
      <c r="AC429" s="44" t="s">
        <v>2837</v>
      </c>
      <c r="AD429" s="14" t="s">
        <v>50</v>
      </c>
      <c r="AE429" s="24" t="s">
        <v>1101</v>
      </c>
      <c r="AF429" s="25" t="s">
        <v>1269</v>
      </c>
      <c r="AG429" t="e">
        <f t="shared" si="6"/>
        <v>#REF!</v>
      </c>
      <c r="AI429" s="58"/>
    </row>
    <row r="430" spans="1:35" ht="15.75" customHeight="1">
      <c r="A430" s="6" t="s">
        <v>1093</v>
      </c>
      <c r="B430" s="5">
        <v>136</v>
      </c>
      <c r="C430" s="7">
        <v>17579.100000000002</v>
      </c>
      <c r="D430" s="7">
        <v>0</v>
      </c>
      <c r="E430" s="7">
        <v>0</v>
      </c>
      <c r="F430" s="5">
        <v>0</v>
      </c>
      <c r="G430" s="7">
        <v>0</v>
      </c>
      <c r="H430" s="5">
        <v>0</v>
      </c>
      <c r="I430" s="7">
        <v>0</v>
      </c>
      <c r="J430" s="7">
        <v>57</v>
      </c>
      <c r="K430" s="5">
        <v>0</v>
      </c>
      <c r="L430" s="5">
        <v>0</v>
      </c>
      <c r="M430" s="5">
        <v>57</v>
      </c>
      <c r="N430" s="7">
        <v>57</v>
      </c>
      <c r="O430" s="7">
        <v>8555.3000000000011</v>
      </c>
      <c r="P430" s="7">
        <v>380</v>
      </c>
      <c r="Q430" s="5">
        <v>0</v>
      </c>
      <c r="R430" s="5">
        <v>380</v>
      </c>
      <c r="S430" s="7">
        <v>37536</v>
      </c>
      <c r="T430" s="12">
        <v>43179</v>
      </c>
      <c r="U430" s="28">
        <v>4</v>
      </c>
      <c r="V430" s="4">
        <v>4</v>
      </c>
      <c r="W430" s="4">
        <v>4</v>
      </c>
      <c r="X430" s="45">
        <v>63670.400000000001</v>
      </c>
      <c r="Y430" s="14" t="s">
        <v>1633</v>
      </c>
      <c r="Z430" s="14" t="s">
        <v>1355</v>
      </c>
      <c r="AA430" s="14" t="s">
        <v>2861</v>
      </c>
      <c r="AB430" s="44">
        <v>43185</v>
      </c>
      <c r="AC430" s="44" t="s">
        <v>2858</v>
      </c>
      <c r="AD430" s="14" t="s">
        <v>70</v>
      </c>
      <c r="AE430" s="24" t="s">
        <v>1102</v>
      </c>
      <c r="AF430" s="25" t="s">
        <v>1273</v>
      </c>
      <c r="AG430" t="e">
        <f t="shared" si="6"/>
        <v>#REF!</v>
      </c>
      <c r="AI430" s="58"/>
    </row>
    <row r="431" spans="1:35" ht="15.75" customHeight="1">
      <c r="A431" s="6" t="s">
        <v>1103</v>
      </c>
      <c r="B431" s="5">
        <v>70</v>
      </c>
      <c r="C431" s="7">
        <v>9156</v>
      </c>
      <c r="D431" s="7">
        <v>0</v>
      </c>
      <c r="E431" s="7">
        <v>0</v>
      </c>
      <c r="F431" s="5">
        <v>0</v>
      </c>
      <c r="G431" s="7">
        <v>0</v>
      </c>
      <c r="H431" s="5">
        <v>487</v>
      </c>
      <c r="I431" s="7">
        <v>54967.18</v>
      </c>
      <c r="J431" s="7">
        <v>0</v>
      </c>
      <c r="K431" s="5">
        <v>0</v>
      </c>
      <c r="L431" s="5">
        <v>0</v>
      </c>
      <c r="M431" s="5">
        <v>0</v>
      </c>
      <c r="N431" s="7">
        <v>0</v>
      </c>
      <c r="O431" s="7">
        <v>0</v>
      </c>
      <c r="P431" s="7">
        <v>553</v>
      </c>
      <c r="Q431" s="5">
        <v>0</v>
      </c>
      <c r="R431" s="5">
        <v>553</v>
      </c>
      <c r="S431" s="7">
        <v>36221.5</v>
      </c>
      <c r="T431" s="12">
        <v>43179</v>
      </c>
      <c r="U431" s="28">
        <v>6</v>
      </c>
      <c r="V431" s="4">
        <v>4</v>
      </c>
      <c r="W431" s="4">
        <v>4</v>
      </c>
      <c r="X431" s="45">
        <v>100344.68</v>
      </c>
      <c r="Y431" s="14" t="s">
        <v>85</v>
      </c>
      <c r="Z431" s="14" t="s">
        <v>55</v>
      </c>
      <c r="AA431" s="14">
        <v>350810020812</v>
      </c>
      <c r="AB431" s="44">
        <v>43184</v>
      </c>
      <c r="AC431" s="44" t="s">
        <v>2862</v>
      </c>
      <c r="AD431" s="14" t="s">
        <v>49</v>
      </c>
      <c r="AE431" s="24" t="s">
        <v>1104</v>
      </c>
      <c r="AF431" s="25" t="s">
        <v>1265</v>
      </c>
      <c r="AG431" t="e">
        <f t="shared" si="6"/>
        <v>#REF!</v>
      </c>
      <c r="AI431" s="58"/>
    </row>
    <row r="432" spans="1:35" ht="15.75" customHeight="1">
      <c r="A432" s="6" t="s">
        <v>1096</v>
      </c>
      <c r="B432" s="5">
        <v>366</v>
      </c>
      <c r="C432" s="7">
        <v>44530.239999999998</v>
      </c>
      <c r="D432" s="7">
        <v>0</v>
      </c>
      <c r="E432" s="7">
        <v>0</v>
      </c>
      <c r="F432" s="5">
        <v>0</v>
      </c>
      <c r="G432" s="7">
        <v>0</v>
      </c>
      <c r="H432" s="5">
        <v>95</v>
      </c>
      <c r="I432" s="7">
        <v>12156.2</v>
      </c>
      <c r="J432" s="7">
        <v>16</v>
      </c>
      <c r="K432" s="5">
        <v>0</v>
      </c>
      <c r="L432" s="5">
        <v>0</v>
      </c>
      <c r="M432" s="5">
        <v>16</v>
      </c>
      <c r="N432" s="7">
        <v>16</v>
      </c>
      <c r="O432" s="7">
        <v>3091.2</v>
      </c>
      <c r="P432" s="7">
        <v>164</v>
      </c>
      <c r="Q432" s="5">
        <v>0</v>
      </c>
      <c r="R432" s="5">
        <v>164</v>
      </c>
      <c r="S432" s="7">
        <v>26268.799999999999</v>
      </c>
      <c r="T432" s="12">
        <v>43179</v>
      </c>
      <c r="U432" s="28">
        <v>7</v>
      </c>
      <c r="V432" s="4">
        <v>4</v>
      </c>
      <c r="W432" s="4">
        <v>4</v>
      </c>
      <c r="X432" s="45">
        <v>86046.44</v>
      </c>
      <c r="Y432" s="14" t="s">
        <v>56</v>
      </c>
      <c r="Z432" s="14" t="s">
        <v>1355</v>
      </c>
      <c r="AA432" s="14" t="s">
        <v>2863</v>
      </c>
      <c r="AB432" s="44">
        <v>43183</v>
      </c>
      <c r="AC432" s="44" t="s">
        <v>2864</v>
      </c>
      <c r="AD432" s="14" t="s">
        <v>49</v>
      </c>
      <c r="AE432" s="24" t="s">
        <v>1105</v>
      </c>
      <c r="AF432" s="25" t="s">
        <v>1267</v>
      </c>
      <c r="AG432" t="e">
        <f t="shared" si="6"/>
        <v>#REF!</v>
      </c>
      <c r="AI432" s="58"/>
    </row>
    <row r="433" spans="1:35" ht="15.75" customHeight="1">
      <c r="A433" s="13" t="s">
        <v>1097</v>
      </c>
      <c r="B433" s="5">
        <v>207</v>
      </c>
      <c r="C433" s="7">
        <v>25813.510000000006</v>
      </c>
      <c r="D433" s="7">
        <v>0</v>
      </c>
      <c r="E433" s="7">
        <v>0</v>
      </c>
      <c r="F433" s="5">
        <v>0</v>
      </c>
      <c r="G433" s="7">
        <v>0</v>
      </c>
      <c r="H433" s="5">
        <v>0</v>
      </c>
      <c r="I433" s="7">
        <v>0</v>
      </c>
      <c r="J433" s="7">
        <v>90</v>
      </c>
      <c r="K433" s="5">
        <v>0</v>
      </c>
      <c r="L433" s="5">
        <v>0</v>
      </c>
      <c r="M433" s="5">
        <v>90</v>
      </c>
      <c r="N433" s="7">
        <v>90</v>
      </c>
      <c r="O433" s="7">
        <v>10032.700000000001</v>
      </c>
      <c r="P433" s="7">
        <v>0</v>
      </c>
      <c r="Q433" s="5">
        <v>0</v>
      </c>
      <c r="R433" s="5">
        <v>0</v>
      </c>
      <c r="S433" s="7">
        <v>0</v>
      </c>
      <c r="T433" s="12">
        <v>43179</v>
      </c>
      <c r="U433" s="28">
        <v>3</v>
      </c>
      <c r="V433" s="4">
        <v>4</v>
      </c>
      <c r="W433" s="4">
        <v>4</v>
      </c>
      <c r="X433" s="45">
        <v>35846.210000000006</v>
      </c>
      <c r="Y433" s="14" t="s">
        <v>54</v>
      </c>
      <c r="Z433" s="14" t="s">
        <v>57</v>
      </c>
      <c r="AA433" s="14" t="s">
        <v>2851</v>
      </c>
      <c r="AB433" s="44">
        <v>43186</v>
      </c>
      <c r="AC433" s="44" t="s">
        <v>2852</v>
      </c>
      <c r="AD433" s="14" t="s">
        <v>52</v>
      </c>
      <c r="AE433" s="24" t="s">
        <v>1106</v>
      </c>
      <c r="AF433" s="25" t="s">
        <v>1271</v>
      </c>
      <c r="AG433" t="e">
        <f t="shared" si="6"/>
        <v>#REF!</v>
      </c>
      <c r="AI433" s="58"/>
    </row>
    <row r="434" spans="1:35" ht="15.75" customHeight="1">
      <c r="A434" s="6" t="s">
        <v>1107</v>
      </c>
      <c r="B434" s="5">
        <v>238</v>
      </c>
      <c r="C434" s="7">
        <v>25181.299999999996</v>
      </c>
      <c r="D434" s="7">
        <v>10</v>
      </c>
      <c r="E434" s="7">
        <v>10</v>
      </c>
      <c r="F434" s="5">
        <v>0</v>
      </c>
      <c r="G434" s="7">
        <v>494</v>
      </c>
      <c r="H434" s="5">
        <v>205</v>
      </c>
      <c r="I434" s="7">
        <v>25965.000000000004</v>
      </c>
      <c r="J434" s="7">
        <v>219</v>
      </c>
      <c r="K434" s="5">
        <v>0</v>
      </c>
      <c r="L434" s="5">
        <v>0</v>
      </c>
      <c r="M434" s="5">
        <v>219</v>
      </c>
      <c r="N434" s="7">
        <v>219</v>
      </c>
      <c r="O434" s="7">
        <v>30218.999999999996</v>
      </c>
      <c r="P434" s="7">
        <v>0</v>
      </c>
      <c r="Q434" s="5">
        <v>0</v>
      </c>
      <c r="R434" s="5">
        <v>0</v>
      </c>
      <c r="S434" s="7">
        <v>0</v>
      </c>
      <c r="T434" s="12">
        <v>43179</v>
      </c>
      <c r="U434" s="28">
        <v>7</v>
      </c>
      <c r="V434" s="4">
        <v>4</v>
      </c>
      <c r="W434" s="4">
        <v>4</v>
      </c>
      <c r="X434" s="45">
        <v>81859.3</v>
      </c>
      <c r="Y434" s="14" t="s">
        <v>56</v>
      </c>
      <c r="Z434" s="14" t="s">
        <v>730</v>
      </c>
      <c r="AA434" s="14" t="s">
        <v>2859</v>
      </c>
      <c r="AB434" s="44">
        <v>43183</v>
      </c>
      <c r="AC434" s="44" t="s">
        <v>2860</v>
      </c>
      <c r="AD434" s="14" t="s">
        <v>51</v>
      </c>
      <c r="AE434" s="24" t="s">
        <v>1108</v>
      </c>
      <c r="AF434" s="25" t="s">
        <v>1270</v>
      </c>
      <c r="AG434" t="e">
        <f t="shared" si="6"/>
        <v>#REF!</v>
      </c>
      <c r="AI434" s="58"/>
    </row>
    <row r="435" spans="1:35" ht="15.75" customHeight="1">
      <c r="A435" s="6" t="s">
        <v>1109</v>
      </c>
      <c r="B435" s="5">
        <v>177</v>
      </c>
      <c r="C435" s="7">
        <v>21944</v>
      </c>
      <c r="D435" s="7">
        <v>0</v>
      </c>
      <c r="E435" s="7">
        <v>0</v>
      </c>
      <c r="F435" s="5">
        <v>0</v>
      </c>
      <c r="G435" s="7">
        <v>0</v>
      </c>
      <c r="H435" s="5">
        <v>0</v>
      </c>
      <c r="I435" s="7">
        <v>0</v>
      </c>
      <c r="J435" s="7">
        <v>0</v>
      </c>
      <c r="K435" s="5">
        <v>0</v>
      </c>
      <c r="L435" s="5">
        <v>0</v>
      </c>
      <c r="M435" s="5">
        <v>0</v>
      </c>
      <c r="N435" s="7">
        <v>0</v>
      </c>
      <c r="O435" s="7">
        <v>0</v>
      </c>
      <c r="P435" s="7">
        <v>204</v>
      </c>
      <c r="Q435" s="5">
        <v>0</v>
      </c>
      <c r="R435" s="5">
        <v>204</v>
      </c>
      <c r="S435" s="7">
        <v>33594</v>
      </c>
      <c r="T435" s="12">
        <v>43179</v>
      </c>
      <c r="U435" s="28">
        <v>4</v>
      </c>
      <c r="V435" s="4">
        <v>4</v>
      </c>
      <c r="W435" s="4">
        <v>4</v>
      </c>
      <c r="X435" s="45">
        <v>55538</v>
      </c>
      <c r="Y435" s="14" t="s">
        <v>54</v>
      </c>
      <c r="Z435" s="14" t="s">
        <v>1355</v>
      </c>
      <c r="AA435" s="14" t="s">
        <v>2865</v>
      </c>
      <c r="AB435" s="44">
        <v>43194</v>
      </c>
      <c r="AC435" s="44" t="s">
        <v>2866</v>
      </c>
      <c r="AD435" s="14" t="s">
        <v>51</v>
      </c>
      <c r="AE435" s="24" t="s">
        <v>1110</v>
      </c>
      <c r="AF435" s="25" t="s">
        <v>1270</v>
      </c>
      <c r="AG435" t="e">
        <f t="shared" si="6"/>
        <v>#REF!</v>
      </c>
      <c r="AI435" s="58"/>
    </row>
    <row r="436" spans="1:35" ht="15.75" customHeight="1">
      <c r="A436" s="13" t="s">
        <v>1111</v>
      </c>
      <c r="B436" s="5">
        <v>0</v>
      </c>
      <c r="C436" s="7">
        <v>0</v>
      </c>
      <c r="D436" s="7">
        <v>0</v>
      </c>
      <c r="E436" s="7">
        <v>0</v>
      </c>
      <c r="F436" s="5">
        <v>0</v>
      </c>
      <c r="G436" s="7">
        <v>0</v>
      </c>
      <c r="H436" s="5">
        <v>0</v>
      </c>
      <c r="I436" s="7">
        <v>0</v>
      </c>
      <c r="J436" s="7">
        <v>57</v>
      </c>
      <c r="K436" s="5">
        <v>0</v>
      </c>
      <c r="L436" s="5">
        <v>0</v>
      </c>
      <c r="M436" s="5">
        <v>57</v>
      </c>
      <c r="N436" s="7">
        <v>57</v>
      </c>
      <c r="O436" s="7">
        <v>10998.9</v>
      </c>
      <c r="P436" s="7">
        <v>231</v>
      </c>
      <c r="Q436" s="5">
        <v>0</v>
      </c>
      <c r="R436" s="5">
        <v>231</v>
      </c>
      <c r="S436" s="7">
        <v>42534.8</v>
      </c>
      <c r="T436" s="12">
        <v>43179</v>
      </c>
      <c r="U436" s="28">
        <v>4</v>
      </c>
      <c r="V436" s="4">
        <v>4</v>
      </c>
      <c r="W436" s="4">
        <v>4</v>
      </c>
      <c r="X436" s="45">
        <v>53533.700000000004</v>
      </c>
      <c r="Y436" s="14" t="s">
        <v>56</v>
      </c>
      <c r="Z436" s="14" t="s">
        <v>57</v>
      </c>
      <c r="AA436" s="14" t="s">
        <v>2867</v>
      </c>
      <c r="AB436" s="44">
        <v>43190</v>
      </c>
      <c r="AC436" s="44" t="s">
        <v>2868</v>
      </c>
      <c r="AD436" s="14" t="s">
        <v>51</v>
      </c>
      <c r="AE436" s="24" t="s">
        <v>1112</v>
      </c>
      <c r="AF436" s="25" t="s">
        <v>1270</v>
      </c>
      <c r="AG436" t="e">
        <f t="shared" si="6"/>
        <v>#REF!</v>
      </c>
      <c r="AI436" s="58"/>
    </row>
    <row r="437" spans="1:35" ht="15.75" customHeight="1">
      <c r="A437" s="6" t="s">
        <v>1113</v>
      </c>
      <c r="B437" s="5">
        <v>275</v>
      </c>
      <c r="C437" s="7">
        <v>27326.5</v>
      </c>
      <c r="D437" s="7">
        <v>0</v>
      </c>
      <c r="E437" s="7">
        <v>0</v>
      </c>
      <c r="F437" s="5">
        <v>0</v>
      </c>
      <c r="G437" s="7">
        <v>0</v>
      </c>
      <c r="H437" s="5">
        <v>0</v>
      </c>
      <c r="I437" s="7">
        <v>0</v>
      </c>
      <c r="J437" s="7">
        <v>0</v>
      </c>
      <c r="K437" s="5">
        <v>0</v>
      </c>
      <c r="L437" s="5">
        <v>0</v>
      </c>
      <c r="M437" s="5">
        <v>0</v>
      </c>
      <c r="N437" s="7">
        <v>0</v>
      </c>
      <c r="O437" s="7">
        <v>0</v>
      </c>
      <c r="P437" s="7">
        <v>0</v>
      </c>
      <c r="Q437" s="5">
        <v>0</v>
      </c>
      <c r="R437" s="5">
        <v>0</v>
      </c>
      <c r="S437" s="7">
        <v>0</v>
      </c>
      <c r="T437" s="12">
        <v>43179</v>
      </c>
      <c r="U437" s="28">
        <v>2</v>
      </c>
      <c r="V437" s="4">
        <v>4</v>
      </c>
      <c r="W437" s="4">
        <v>4</v>
      </c>
      <c r="X437" s="45">
        <v>27326.5</v>
      </c>
      <c r="Y437" s="14" t="s">
        <v>54</v>
      </c>
      <c r="Z437" s="14" t="s">
        <v>59</v>
      </c>
      <c r="AA437" s="14" t="s">
        <v>2869</v>
      </c>
      <c r="AB437" s="44">
        <v>43185</v>
      </c>
      <c r="AC437" s="44" t="s">
        <v>2870</v>
      </c>
      <c r="AD437" s="14" t="s">
        <v>50</v>
      </c>
      <c r="AE437" s="24" t="s">
        <v>1114</v>
      </c>
      <c r="AF437" s="25" t="s">
        <v>1269</v>
      </c>
      <c r="AG437" t="e">
        <f t="shared" si="6"/>
        <v>#REF!</v>
      </c>
      <c r="AI437" s="58"/>
    </row>
    <row r="438" spans="1:35" ht="15.75" customHeight="1">
      <c r="A438" s="6" t="s">
        <v>1115</v>
      </c>
      <c r="B438" s="5">
        <v>151</v>
      </c>
      <c r="C438" s="7">
        <v>12964.189999999999</v>
      </c>
      <c r="D438" s="7">
        <v>0</v>
      </c>
      <c r="E438" s="7">
        <v>0</v>
      </c>
      <c r="F438" s="5">
        <v>0</v>
      </c>
      <c r="G438" s="7">
        <v>0</v>
      </c>
      <c r="H438" s="5">
        <v>0</v>
      </c>
      <c r="I438" s="7">
        <v>0</v>
      </c>
      <c r="J438" s="7">
        <v>150</v>
      </c>
      <c r="K438" s="5">
        <v>0</v>
      </c>
      <c r="L438" s="5">
        <v>0</v>
      </c>
      <c r="M438" s="5">
        <v>150</v>
      </c>
      <c r="N438" s="7">
        <v>150</v>
      </c>
      <c r="O438" s="7">
        <v>25926.699999999997</v>
      </c>
      <c r="P438" s="7">
        <v>435</v>
      </c>
      <c r="Q438" s="5">
        <v>0</v>
      </c>
      <c r="R438" s="5">
        <v>435</v>
      </c>
      <c r="S438" s="7">
        <v>77975.100000000006</v>
      </c>
      <c r="T438" s="12">
        <v>43179</v>
      </c>
      <c r="U438" s="28">
        <v>9</v>
      </c>
      <c r="V438" s="4">
        <v>4</v>
      </c>
      <c r="W438" s="4">
        <v>4</v>
      </c>
      <c r="X438" s="45">
        <v>116865.99</v>
      </c>
      <c r="Y438" s="14" t="s">
        <v>54</v>
      </c>
      <c r="Z438" s="14" t="s">
        <v>59</v>
      </c>
      <c r="AA438" s="14" t="s">
        <v>2871</v>
      </c>
      <c r="AB438" s="44">
        <v>43191</v>
      </c>
      <c r="AC438" s="44" t="s">
        <v>2872</v>
      </c>
      <c r="AD438" s="14" t="s">
        <v>50</v>
      </c>
      <c r="AE438" s="24" t="s">
        <v>1116</v>
      </c>
      <c r="AF438" s="25" t="s">
        <v>1269</v>
      </c>
      <c r="AG438" t="e">
        <f t="shared" si="6"/>
        <v>#REF!</v>
      </c>
      <c r="AI438" s="58"/>
    </row>
    <row r="439" spans="1:35" ht="15.75" customHeight="1">
      <c r="A439" s="6" t="s">
        <v>1117</v>
      </c>
      <c r="B439" s="5">
        <v>118</v>
      </c>
      <c r="C439" s="7">
        <v>11816.06</v>
      </c>
      <c r="D439" s="7">
        <v>0</v>
      </c>
      <c r="E439" s="7">
        <v>0</v>
      </c>
      <c r="F439" s="5">
        <v>0</v>
      </c>
      <c r="G439" s="7">
        <v>0</v>
      </c>
      <c r="H439" s="5">
        <v>0</v>
      </c>
      <c r="I439" s="7">
        <v>0</v>
      </c>
      <c r="J439" s="7">
        <v>0</v>
      </c>
      <c r="K439" s="5">
        <v>0</v>
      </c>
      <c r="L439" s="5">
        <v>0</v>
      </c>
      <c r="M439" s="5">
        <v>0</v>
      </c>
      <c r="N439" s="7">
        <v>0</v>
      </c>
      <c r="O439" s="7">
        <v>0</v>
      </c>
      <c r="P439" s="7">
        <v>90</v>
      </c>
      <c r="Q439" s="5">
        <v>0</v>
      </c>
      <c r="R439" s="5">
        <v>90</v>
      </c>
      <c r="S439" s="7">
        <v>14031</v>
      </c>
      <c r="T439" s="12">
        <v>43179</v>
      </c>
      <c r="U439" s="28">
        <v>2</v>
      </c>
      <c r="V439" s="4">
        <v>4</v>
      </c>
      <c r="W439" s="4">
        <v>4</v>
      </c>
      <c r="X439" s="45">
        <v>25847.059999999998</v>
      </c>
      <c r="Y439" s="14" t="s">
        <v>56</v>
      </c>
      <c r="Z439" s="14" t="s">
        <v>1355</v>
      </c>
      <c r="AA439" s="14" t="s">
        <v>2853</v>
      </c>
      <c r="AB439" s="44">
        <v>43181</v>
      </c>
      <c r="AC439" s="44" t="s">
        <v>2854</v>
      </c>
      <c r="AD439" s="14" t="s">
        <v>49</v>
      </c>
      <c r="AE439" s="24" t="s">
        <v>1118</v>
      </c>
      <c r="AF439" s="25" t="s">
        <v>1266</v>
      </c>
      <c r="AG439" t="e">
        <f t="shared" si="6"/>
        <v>#REF!</v>
      </c>
      <c r="AI439" s="58"/>
    </row>
    <row r="440" spans="1:35" ht="15.75" customHeight="1">
      <c r="A440" s="6" t="s">
        <v>1120</v>
      </c>
      <c r="B440" s="5">
        <v>21</v>
      </c>
      <c r="C440" s="7">
        <v>3237.6000000000004</v>
      </c>
      <c r="D440" s="7">
        <v>0</v>
      </c>
      <c r="E440" s="7">
        <v>0</v>
      </c>
      <c r="F440" s="5">
        <v>0</v>
      </c>
      <c r="G440" s="7">
        <v>0</v>
      </c>
      <c r="H440" s="5">
        <v>9</v>
      </c>
      <c r="I440" s="7">
        <v>394.79999999999995</v>
      </c>
      <c r="J440" s="7">
        <v>15</v>
      </c>
      <c r="K440" s="5">
        <v>0</v>
      </c>
      <c r="L440" s="5">
        <v>0</v>
      </c>
      <c r="M440" s="5">
        <v>15</v>
      </c>
      <c r="N440" s="7">
        <v>15</v>
      </c>
      <c r="O440" s="7">
        <v>2600.2000000000003</v>
      </c>
      <c r="P440" s="7">
        <v>58</v>
      </c>
      <c r="Q440" s="5">
        <v>0</v>
      </c>
      <c r="R440" s="5">
        <v>58</v>
      </c>
      <c r="S440" s="7">
        <v>6271.04</v>
      </c>
      <c r="T440" s="12">
        <v>43180</v>
      </c>
      <c r="U440" s="28">
        <v>1</v>
      </c>
      <c r="V440" s="4">
        <v>4</v>
      </c>
      <c r="W440" s="4">
        <v>4</v>
      </c>
      <c r="X440" s="45">
        <v>12503.64</v>
      </c>
      <c r="Y440" s="14" t="s">
        <v>1354</v>
      </c>
      <c r="Z440" s="14" t="s">
        <v>730</v>
      </c>
      <c r="AA440" s="14" t="s">
        <v>2873</v>
      </c>
      <c r="AB440" s="44">
        <v>43182</v>
      </c>
      <c r="AC440" s="44" t="s">
        <v>2874</v>
      </c>
      <c r="AD440" s="14" t="s">
        <v>240</v>
      </c>
      <c r="AE440" s="24" t="s">
        <v>1121</v>
      </c>
      <c r="AF440" s="25" t="s">
        <v>1274</v>
      </c>
      <c r="AG440" t="e">
        <f t="shared" si="6"/>
        <v>#REF!</v>
      </c>
      <c r="AI440" s="58"/>
    </row>
    <row r="441" spans="1:35" ht="15.75" customHeight="1">
      <c r="A441" s="6" t="s">
        <v>1123</v>
      </c>
      <c r="B441" s="5">
        <v>93</v>
      </c>
      <c r="C441" s="7">
        <v>10659.9</v>
      </c>
      <c r="D441" s="7">
        <v>5</v>
      </c>
      <c r="E441" s="7">
        <v>5</v>
      </c>
      <c r="F441" s="5">
        <v>0</v>
      </c>
      <c r="G441" s="7">
        <v>250</v>
      </c>
      <c r="H441" s="5">
        <v>100</v>
      </c>
      <c r="I441" s="7">
        <v>12010</v>
      </c>
      <c r="J441" s="7">
        <v>0</v>
      </c>
      <c r="K441" s="5">
        <v>0</v>
      </c>
      <c r="L441" s="5">
        <v>0</v>
      </c>
      <c r="M441" s="5">
        <v>0</v>
      </c>
      <c r="N441" s="7">
        <v>0</v>
      </c>
      <c r="O441" s="7">
        <v>0</v>
      </c>
      <c r="P441" s="7">
        <v>0</v>
      </c>
      <c r="Q441" s="5">
        <v>0</v>
      </c>
      <c r="R441" s="5">
        <v>0</v>
      </c>
      <c r="S441" s="7">
        <v>0</v>
      </c>
      <c r="T441" s="12">
        <v>43180</v>
      </c>
      <c r="U441" s="28">
        <v>2</v>
      </c>
      <c r="V441" s="4">
        <v>4</v>
      </c>
      <c r="W441" s="4">
        <v>4</v>
      </c>
      <c r="X441" s="45">
        <v>22919.9</v>
      </c>
      <c r="Y441" s="14" t="s">
        <v>54</v>
      </c>
      <c r="Z441" s="14" t="s">
        <v>57</v>
      </c>
      <c r="AA441" s="14" t="s">
        <v>2851</v>
      </c>
      <c r="AB441" s="44">
        <v>43186</v>
      </c>
      <c r="AC441" s="44" t="s">
        <v>2852</v>
      </c>
      <c r="AD441" s="14" t="s">
        <v>52</v>
      </c>
      <c r="AE441" s="24" t="s">
        <v>1124</v>
      </c>
      <c r="AF441" s="25" t="s">
        <v>1271</v>
      </c>
      <c r="AG441" t="e">
        <f t="shared" si="6"/>
        <v>#REF!</v>
      </c>
      <c r="AI441" s="58"/>
    </row>
    <row r="442" spans="1:35" ht="15.75" customHeight="1">
      <c r="A442" s="13" t="s">
        <v>1126</v>
      </c>
      <c r="B442" s="5">
        <v>365</v>
      </c>
      <c r="C442" s="7">
        <v>26152.589999999993</v>
      </c>
      <c r="D442" s="7">
        <v>0</v>
      </c>
      <c r="E442" s="7">
        <v>0</v>
      </c>
      <c r="F442" s="5">
        <v>0</v>
      </c>
      <c r="G442" s="7">
        <v>0</v>
      </c>
      <c r="H442" s="5">
        <v>110</v>
      </c>
      <c r="I442" s="7">
        <v>14563.900000000001</v>
      </c>
      <c r="J442" s="7">
        <v>51</v>
      </c>
      <c r="K442" s="5">
        <v>0</v>
      </c>
      <c r="L442" s="5">
        <v>0</v>
      </c>
      <c r="M442" s="5">
        <v>51</v>
      </c>
      <c r="N442" s="7">
        <v>51</v>
      </c>
      <c r="O442" s="7">
        <v>9397.2999999999993</v>
      </c>
      <c r="P442" s="7">
        <v>192</v>
      </c>
      <c r="Q442" s="5">
        <v>0</v>
      </c>
      <c r="R442" s="5">
        <v>192</v>
      </c>
      <c r="S442" s="7">
        <v>35995.199999999997</v>
      </c>
      <c r="T442" s="12">
        <v>43180</v>
      </c>
      <c r="U442" s="28">
        <v>6</v>
      </c>
      <c r="V442" s="4">
        <v>4</v>
      </c>
      <c r="W442" s="4">
        <v>4</v>
      </c>
      <c r="X442" s="45">
        <v>86108.989999999991</v>
      </c>
      <c r="Y442" s="14" t="s">
        <v>54</v>
      </c>
      <c r="Z442" s="14" t="s">
        <v>1281</v>
      </c>
      <c r="AA442" s="14" t="s">
        <v>2865</v>
      </c>
      <c r="AB442" s="44">
        <v>43194</v>
      </c>
      <c r="AC442" s="44" t="s">
        <v>2866</v>
      </c>
      <c r="AD442" s="14" t="s">
        <v>51</v>
      </c>
      <c r="AE442" s="24" t="s">
        <v>1127</v>
      </c>
      <c r="AF442" s="25" t="s">
        <v>1270</v>
      </c>
      <c r="AG442" t="e">
        <f t="shared" si="6"/>
        <v>#REF!</v>
      </c>
      <c r="AI442" s="58"/>
    </row>
    <row r="443" spans="1:35" ht="15.75" customHeight="1">
      <c r="A443" s="6" t="s">
        <v>1128</v>
      </c>
      <c r="B443" s="5">
        <v>239</v>
      </c>
      <c r="C443" s="7">
        <v>25662.100000000002</v>
      </c>
      <c r="D443" s="7">
        <v>0</v>
      </c>
      <c r="E443" s="7">
        <v>0</v>
      </c>
      <c r="F443" s="5">
        <v>0</v>
      </c>
      <c r="G443" s="7">
        <v>0</v>
      </c>
      <c r="H443" s="5">
        <v>90</v>
      </c>
      <c r="I443" s="7">
        <v>13510.500000000002</v>
      </c>
      <c r="J443" s="7">
        <v>55</v>
      </c>
      <c r="K443" s="5">
        <v>0</v>
      </c>
      <c r="L443" s="5">
        <v>0</v>
      </c>
      <c r="M443" s="5">
        <v>55</v>
      </c>
      <c r="N443" s="7">
        <v>55</v>
      </c>
      <c r="O443" s="7">
        <v>9978.7999999999993</v>
      </c>
      <c r="P443" s="7">
        <v>635</v>
      </c>
      <c r="Q443" s="5">
        <v>0</v>
      </c>
      <c r="R443" s="5">
        <v>635</v>
      </c>
      <c r="S443" s="7">
        <v>50686.3</v>
      </c>
      <c r="T443" s="12">
        <v>43180</v>
      </c>
      <c r="U443" s="28">
        <v>6</v>
      </c>
      <c r="V443" s="4">
        <v>4</v>
      </c>
      <c r="W443" s="4">
        <v>4</v>
      </c>
      <c r="X443" s="45">
        <v>99837.700000000012</v>
      </c>
      <c r="Y443" s="14" t="s">
        <v>54</v>
      </c>
      <c r="Z443" s="14" t="s">
        <v>1355</v>
      </c>
      <c r="AA443" s="14" t="s">
        <v>2865</v>
      </c>
      <c r="AB443" s="44">
        <v>43194</v>
      </c>
      <c r="AC443" s="44" t="s">
        <v>2866</v>
      </c>
      <c r="AD443" s="14" t="s">
        <v>51</v>
      </c>
      <c r="AE443" s="24" t="s">
        <v>1129</v>
      </c>
      <c r="AF443" s="25" t="s">
        <v>1270</v>
      </c>
      <c r="AG443" t="e">
        <f t="shared" si="6"/>
        <v>#REF!</v>
      </c>
      <c r="AI443" s="58"/>
    </row>
    <row r="444" spans="1:35" ht="15.75" customHeight="1">
      <c r="A444" s="13" t="s">
        <v>1132</v>
      </c>
      <c r="B444" s="5">
        <v>331</v>
      </c>
      <c r="C444" s="7">
        <v>33979.350000000013</v>
      </c>
      <c r="D444" s="7">
        <v>0</v>
      </c>
      <c r="E444" s="7">
        <v>0</v>
      </c>
      <c r="F444" s="5">
        <v>0</v>
      </c>
      <c r="G444" s="7">
        <v>0</v>
      </c>
      <c r="H444" s="5">
        <v>0</v>
      </c>
      <c r="I444" s="7">
        <v>0</v>
      </c>
      <c r="J444" s="7">
        <v>146</v>
      </c>
      <c r="K444" s="5">
        <v>0</v>
      </c>
      <c r="L444" s="5">
        <v>0</v>
      </c>
      <c r="M444" s="5">
        <v>146</v>
      </c>
      <c r="N444" s="7">
        <v>146</v>
      </c>
      <c r="O444" s="7">
        <v>28208.400000000005</v>
      </c>
      <c r="P444" s="7">
        <v>0</v>
      </c>
      <c r="Q444" s="5">
        <v>0</v>
      </c>
      <c r="R444" s="5">
        <v>0</v>
      </c>
      <c r="S444" s="7">
        <v>0</v>
      </c>
      <c r="T444" s="12">
        <v>43180</v>
      </c>
      <c r="U444" s="28">
        <v>6</v>
      </c>
      <c r="V444" s="4">
        <v>4</v>
      </c>
      <c r="W444" s="4">
        <v>4</v>
      </c>
      <c r="X444" s="45">
        <v>62187.750000000015</v>
      </c>
      <c r="Y444" s="14" t="s">
        <v>54</v>
      </c>
      <c r="Z444" s="14" t="s">
        <v>59</v>
      </c>
      <c r="AA444" s="14" t="s">
        <v>2871</v>
      </c>
      <c r="AB444" s="44">
        <v>43191</v>
      </c>
      <c r="AC444" s="44" t="s">
        <v>2872</v>
      </c>
      <c r="AD444" s="52" t="s">
        <v>50</v>
      </c>
      <c r="AE444" s="24" t="s">
        <v>1133</v>
      </c>
      <c r="AF444" s="25" t="s">
        <v>1269</v>
      </c>
      <c r="AG444" t="e">
        <f t="shared" si="6"/>
        <v>#REF!</v>
      </c>
      <c r="AI444" s="58"/>
    </row>
    <row r="445" spans="1:35" ht="15.75" customHeight="1">
      <c r="A445" s="6" t="s">
        <v>1119</v>
      </c>
      <c r="B445" s="5">
        <v>112</v>
      </c>
      <c r="C445" s="7">
        <v>11952.600000000002</v>
      </c>
      <c r="D445" s="7">
        <v>0</v>
      </c>
      <c r="E445" s="7">
        <v>0</v>
      </c>
      <c r="F445" s="5">
        <v>0</v>
      </c>
      <c r="G445" s="7">
        <v>0</v>
      </c>
      <c r="H445" s="5">
        <v>86</v>
      </c>
      <c r="I445" s="7">
        <v>11327.88</v>
      </c>
      <c r="J445" s="7">
        <v>58</v>
      </c>
      <c r="K445" s="5">
        <v>0</v>
      </c>
      <c r="L445" s="5">
        <v>0</v>
      </c>
      <c r="M445" s="5">
        <v>58</v>
      </c>
      <c r="N445" s="7">
        <v>58</v>
      </c>
      <c r="O445" s="7">
        <v>10358.799999999999</v>
      </c>
      <c r="P445" s="7">
        <v>0</v>
      </c>
      <c r="Q445" s="5">
        <v>0</v>
      </c>
      <c r="R445" s="5">
        <v>0</v>
      </c>
      <c r="S445" s="7">
        <v>0</v>
      </c>
      <c r="T445" s="12">
        <v>43181</v>
      </c>
      <c r="U445" s="28">
        <v>3</v>
      </c>
      <c r="V445" s="4">
        <v>4</v>
      </c>
      <c r="W445" s="4">
        <v>4</v>
      </c>
      <c r="X445" s="45">
        <v>33639.279999999999</v>
      </c>
      <c r="Y445" s="14" t="s">
        <v>1633</v>
      </c>
      <c r="Z445" s="14" t="s">
        <v>1355</v>
      </c>
      <c r="AA445" s="14" t="s">
        <v>2861</v>
      </c>
      <c r="AB445" s="44">
        <v>43185</v>
      </c>
      <c r="AC445" s="44" t="s">
        <v>2858</v>
      </c>
      <c r="AD445" s="14" t="s">
        <v>70</v>
      </c>
      <c r="AE445" s="24" t="s">
        <v>1136</v>
      </c>
      <c r="AF445" s="25" t="s">
        <v>1273</v>
      </c>
      <c r="AG445" t="e">
        <f t="shared" si="6"/>
        <v>#REF!</v>
      </c>
      <c r="AI445" s="58"/>
    </row>
    <row r="446" spans="1:35" ht="15.75" customHeight="1">
      <c r="A446" s="6" t="s">
        <v>1122</v>
      </c>
      <c r="B446" s="5">
        <v>225</v>
      </c>
      <c r="C446" s="7">
        <v>8244.1999999999989</v>
      </c>
      <c r="D446" s="7">
        <v>0</v>
      </c>
      <c r="E446" s="7">
        <v>0</v>
      </c>
      <c r="F446" s="5">
        <v>0</v>
      </c>
      <c r="G446" s="7">
        <v>0</v>
      </c>
      <c r="H446" s="5">
        <v>657</v>
      </c>
      <c r="I446" s="7">
        <v>82340.539999999994</v>
      </c>
      <c r="J446" s="7">
        <v>252</v>
      </c>
      <c r="K446" s="5">
        <v>0</v>
      </c>
      <c r="L446" s="5">
        <v>0</v>
      </c>
      <c r="M446" s="5">
        <v>252</v>
      </c>
      <c r="N446" s="7">
        <v>252</v>
      </c>
      <c r="O446" s="7">
        <v>7071.6</v>
      </c>
      <c r="P446" s="7">
        <v>0</v>
      </c>
      <c r="Q446" s="5">
        <v>0</v>
      </c>
      <c r="R446" s="5">
        <v>0</v>
      </c>
      <c r="S446" s="7">
        <v>0</v>
      </c>
      <c r="T446" s="12">
        <v>43181</v>
      </c>
      <c r="U446" s="28">
        <v>7</v>
      </c>
      <c r="V446" s="4">
        <v>4</v>
      </c>
      <c r="W446" s="4">
        <v>4</v>
      </c>
      <c r="X446" s="45">
        <v>97656.34</v>
      </c>
      <c r="Y446" s="14" t="s">
        <v>54</v>
      </c>
      <c r="Z446" s="14" t="s">
        <v>55</v>
      </c>
      <c r="AA446" s="14" t="s">
        <v>2875</v>
      </c>
      <c r="AB446" s="44">
        <v>43185</v>
      </c>
      <c r="AC446" s="44" t="s">
        <v>2870</v>
      </c>
      <c r="AD446" s="14" t="s">
        <v>49</v>
      </c>
      <c r="AE446" s="24" t="s">
        <v>1137</v>
      </c>
      <c r="AF446" s="25" t="s">
        <v>1265</v>
      </c>
      <c r="AG446" t="e">
        <f t="shared" si="6"/>
        <v>#REF!</v>
      </c>
      <c r="AI446" s="58"/>
    </row>
    <row r="447" spans="1:35" ht="15.75" customHeight="1">
      <c r="A447" s="13" t="s">
        <v>1138</v>
      </c>
      <c r="B447" s="5">
        <v>0</v>
      </c>
      <c r="C447" s="7">
        <v>0</v>
      </c>
      <c r="D447" s="7">
        <v>0</v>
      </c>
      <c r="E447" s="7">
        <v>0</v>
      </c>
      <c r="F447" s="5">
        <v>0</v>
      </c>
      <c r="G447" s="7">
        <v>0</v>
      </c>
      <c r="H447" s="5">
        <v>240</v>
      </c>
      <c r="I447" s="7">
        <v>29972.300000000003</v>
      </c>
      <c r="J447" s="7">
        <v>0</v>
      </c>
      <c r="K447" s="5">
        <v>0</v>
      </c>
      <c r="L447" s="5">
        <v>0</v>
      </c>
      <c r="M447" s="5">
        <v>0</v>
      </c>
      <c r="N447" s="7">
        <v>0</v>
      </c>
      <c r="O447" s="7">
        <v>0</v>
      </c>
      <c r="P447" s="7">
        <v>1170</v>
      </c>
      <c r="Q447" s="5">
        <v>0</v>
      </c>
      <c r="R447" s="5">
        <v>1170</v>
      </c>
      <c r="S447" s="7">
        <v>90045.5</v>
      </c>
      <c r="T447" s="12">
        <v>43181</v>
      </c>
      <c r="U447" s="28">
        <v>5</v>
      </c>
      <c r="V447" s="4">
        <v>4</v>
      </c>
      <c r="W447" s="4">
        <v>4</v>
      </c>
      <c r="X447" s="45">
        <v>120017.8</v>
      </c>
      <c r="Y447" s="14" t="s">
        <v>1636</v>
      </c>
      <c r="Z447" s="14" t="s">
        <v>1637</v>
      </c>
      <c r="AA447" s="14" t="s">
        <v>2876</v>
      </c>
      <c r="AB447" s="44">
        <v>43187</v>
      </c>
      <c r="AC447" s="44" t="s">
        <v>2877</v>
      </c>
      <c r="AD447" s="14" t="s">
        <v>49</v>
      </c>
      <c r="AE447" s="24" t="s">
        <v>1139</v>
      </c>
      <c r="AF447" s="25" t="s">
        <v>1265</v>
      </c>
      <c r="AG447" t="e">
        <f t="shared" si="6"/>
        <v>#REF!</v>
      </c>
      <c r="AI447" s="58"/>
    </row>
    <row r="448" spans="1:35" ht="15.75" customHeight="1">
      <c r="A448" s="6" t="s">
        <v>1125</v>
      </c>
      <c r="B448" s="5">
        <v>634</v>
      </c>
      <c r="C448" s="7">
        <v>83839.800000000017</v>
      </c>
      <c r="D448" s="7">
        <v>0</v>
      </c>
      <c r="E448" s="7">
        <v>0</v>
      </c>
      <c r="F448" s="5">
        <v>0</v>
      </c>
      <c r="G448" s="7">
        <v>0</v>
      </c>
      <c r="H448" s="5">
        <v>415</v>
      </c>
      <c r="I448" s="7">
        <v>50600.7</v>
      </c>
      <c r="J448" s="7">
        <v>128</v>
      </c>
      <c r="K448" s="5">
        <v>0</v>
      </c>
      <c r="L448" s="5">
        <v>0</v>
      </c>
      <c r="M448" s="5">
        <v>128</v>
      </c>
      <c r="N448" s="7">
        <v>128</v>
      </c>
      <c r="O448" s="7">
        <v>20060</v>
      </c>
      <c r="P448" s="7">
        <v>0</v>
      </c>
      <c r="Q448" s="5">
        <v>0</v>
      </c>
      <c r="R448" s="5">
        <v>0</v>
      </c>
      <c r="S448" s="7">
        <v>0</v>
      </c>
      <c r="T448" s="12">
        <v>43181</v>
      </c>
      <c r="U448" s="28">
        <v>13</v>
      </c>
      <c r="V448" s="4">
        <v>4</v>
      </c>
      <c r="W448" s="4">
        <v>4</v>
      </c>
      <c r="X448" s="45">
        <v>154500.5</v>
      </c>
      <c r="Y448" s="14" t="s">
        <v>56</v>
      </c>
      <c r="Z448" s="14" t="s">
        <v>730</v>
      </c>
      <c r="AA448" s="14" t="s">
        <v>2859</v>
      </c>
      <c r="AB448" s="44">
        <v>43183</v>
      </c>
      <c r="AC448" s="44" t="s">
        <v>2860</v>
      </c>
      <c r="AD448" s="14" t="s">
        <v>51</v>
      </c>
      <c r="AE448" s="24" t="s">
        <v>1140</v>
      </c>
      <c r="AF448" s="25" t="s">
        <v>1270</v>
      </c>
      <c r="AG448" t="e">
        <f t="shared" si="6"/>
        <v>#REF!</v>
      </c>
      <c r="AI448" s="58"/>
    </row>
    <row r="449" spans="1:35" ht="15.75" customHeight="1">
      <c r="A449" s="6" t="s">
        <v>1141</v>
      </c>
      <c r="B449" s="5">
        <v>465</v>
      </c>
      <c r="C449" s="7">
        <v>62831.139999999992</v>
      </c>
      <c r="D449" s="7">
        <v>0</v>
      </c>
      <c r="E449" s="7">
        <v>0</v>
      </c>
      <c r="F449" s="5">
        <v>0</v>
      </c>
      <c r="G449" s="7">
        <v>0</v>
      </c>
      <c r="H449" s="5">
        <v>380</v>
      </c>
      <c r="I449" s="7">
        <v>51714.299999999988</v>
      </c>
      <c r="J449" s="7">
        <v>0</v>
      </c>
      <c r="K449" s="5">
        <v>0</v>
      </c>
      <c r="L449" s="5">
        <v>0</v>
      </c>
      <c r="M449" s="5">
        <v>0</v>
      </c>
      <c r="N449" s="7">
        <v>0</v>
      </c>
      <c r="O449" s="7">
        <v>0</v>
      </c>
      <c r="P449" s="7">
        <v>120</v>
      </c>
      <c r="Q449" s="5">
        <v>0</v>
      </c>
      <c r="R449" s="5">
        <v>120</v>
      </c>
      <c r="S449" s="7">
        <v>13176</v>
      </c>
      <c r="T449" s="12">
        <v>43181</v>
      </c>
      <c r="U449" s="28">
        <v>10</v>
      </c>
      <c r="V449" s="4">
        <v>4</v>
      </c>
      <c r="W449" s="4">
        <v>4</v>
      </c>
      <c r="X449" s="45">
        <v>127721.43999999997</v>
      </c>
      <c r="Y449" s="14" t="s">
        <v>56</v>
      </c>
      <c r="Z449" s="14" t="s">
        <v>57</v>
      </c>
      <c r="AA449" s="14" t="s">
        <v>2867</v>
      </c>
      <c r="AB449" s="44">
        <v>43190</v>
      </c>
      <c r="AC449" s="44" t="s">
        <v>2868</v>
      </c>
      <c r="AD449" s="14" t="s">
        <v>51</v>
      </c>
      <c r="AE449" s="24" t="s">
        <v>1142</v>
      </c>
      <c r="AF449" s="25" t="s">
        <v>1270</v>
      </c>
      <c r="AG449" t="e">
        <f t="shared" si="6"/>
        <v>#REF!</v>
      </c>
      <c r="AI449" s="58"/>
    </row>
    <row r="450" spans="1:35" ht="15.75" customHeight="1">
      <c r="A450" s="6" t="s">
        <v>1131</v>
      </c>
      <c r="B450" s="5">
        <v>784</v>
      </c>
      <c r="C450" s="7">
        <v>86413.28</v>
      </c>
      <c r="D450" s="7">
        <v>0</v>
      </c>
      <c r="E450" s="7">
        <v>0</v>
      </c>
      <c r="F450" s="5">
        <v>0</v>
      </c>
      <c r="G450" s="7">
        <v>0</v>
      </c>
      <c r="H450" s="5">
        <v>0</v>
      </c>
      <c r="I450" s="7">
        <v>0</v>
      </c>
      <c r="J450" s="7">
        <v>124</v>
      </c>
      <c r="K450" s="5">
        <v>0</v>
      </c>
      <c r="L450" s="5">
        <v>0</v>
      </c>
      <c r="M450" s="5">
        <v>124</v>
      </c>
      <c r="N450" s="7">
        <v>124</v>
      </c>
      <c r="O450" s="7">
        <v>19918.8</v>
      </c>
      <c r="P450" s="7">
        <v>0</v>
      </c>
      <c r="Q450" s="5">
        <v>0</v>
      </c>
      <c r="R450" s="5">
        <v>0</v>
      </c>
      <c r="S450" s="7">
        <v>0</v>
      </c>
      <c r="T450" s="12">
        <v>43181</v>
      </c>
      <c r="U450" s="28">
        <v>9</v>
      </c>
      <c r="V450" s="4">
        <v>4</v>
      </c>
      <c r="W450" s="4">
        <v>4</v>
      </c>
      <c r="X450" s="45">
        <v>106332.08</v>
      </c>
      <c r="Y450" s="14" t="s">
        <v>54</v>
      </c>
      <c r="Z450" s="14" t="s">
        <v>59</v>
      </c>
      <c r="AA450" s="14" t="s">
        <v>2869</v>
      </c>
      <c r="AB450" s="44">
        <v>43185</v>
      </c>
      <c r="AC450" s="44" t="s">
        <v>2870</v>
      </c>
      <c r="AD450" s="14" t="s">
        <v>50</v>
      </c>
      <c r="AE450" s="53" t="s">
        <v>1143</v>
      </c>
      <c r="AF450" s="25" t="s">
        <v>1269</v>
      </c>
      <c r="AG450" t="e">
        <f t="shared" si="6"/>
        <v>#REF!</v>
      </c>
      <c r="AI450" s="58"/>
    </row>
    <row r="451" spans="1:35" ht="15.75" customHeight="1">
      <c r="A451" s="6" t="s">
        <v>1144</v>
      </c>
      <c r="B451" s="5">
        <v>593</v>
      </c>
      <c r="C451" s="7">
        <v>63288.939999999988</v>
      </c>
      <c r="D451" s="7">
        <v>0</v>
      </c>
      <c r="E451" s="7">
        <v>0</v>
      </c>
      <c r="F451" s="5">
        <v>0</v>
      </c>
      <c r="G451" s="7">
        <v>0</v>
      </c>
      <c r="H451" s="5">
        <v>86</v>
      </c>
      <c r="I451" s="7">
        <v>12762.399999999998</v>
      </c>
      <c r="J451" s="7">
        <v>48</v>
      </c>
      <c r="K451" s="5">
        <v>0</v>
      </c>
      <c r="L451" s="5">
        <v>0</v>
      </c>
      <c r="M451" s="5">
        <v>48</v>
      </c>
      <c r="N451" s="7">
        <v>48</v>
      </c>
      <c r="O451" s="7">
        <v>9455.9</v>
      </c>
      <c r="P451" s="7">
        <v>132</v>
      </c>
      <c r="Q451" s="5">
        <v>0</v>
      </c>
      <c r="R451" s="5">
        <v>132</v>
      </c>
      <c r="S451" s="7">
        <v>34514.399999999994</v>
      </c>
      <c r="T451" s="12">
        <v>43181</v>
      </c>
      <c r="U451" s="28">
        <v>9</v>
      </c>
      <c r="V451" s="4">
        <v>4</v>
      </c>
      <c r="W451" s="4">
        <v>4</v>
      </c>
      <c r="X451" s="45">
        <v>120021.63999999997</v>
      </c>
      <c r="Y451" s="14" t="s">
        <v>54</v>
      </c>
      <c r="Z451" s="14" t="s">
        <v>59</v>
      </c>
      <c r="AA451" s="14" t="s">
        <v>2871</v>
      </c>
      <c r="AB451" s="44">
        <v>43191</v>
      </c>
      <c r="AC451" s="44" t="s">
        <v>2872</v>
      </c>
      <c r="AD451" s="14" t="s">
        <v>50</v>
      </c>
      <c r="AE451" s="24" t="s">
        <v>1145</v>
      </c>
      <c r="AF451" s="25" t="s">
        <v>1269</v>
      </c>
      <c r="AG451" t="e">
        <f t="shared" ref="AG451:AG514" si="7">+VLOOKUP(AF451,AH:AH,2,0)</f>
        <v>#REF!</v>
      </c>
      <c r="AI451" s="58"/>
    </row>
    <row r="452" spans="1:35" ht="15.75" customHeight="1">
      <c r="A452" s="13" t="s">
        <v>1146</v>
      </c>
      <c r="B452" s="5">
        <v>50</v>
      </c>
      <c r="C452" s="7">
        <v>1842.3999999999999</v>
      </c>
      <c r="D452" s="7">
        <v>0</v>
      </c>
      <c r="E452" s="7">
        <v>0</v>
      </c>
      <c r="F452" s="5">
        <v>0</v>
      </c>
      <c r="G452" s="7">
        <v>0</v>
      </c>
      <c r="H452" s="5">
        <v>855</v>
      </c>
      <c r="I452" s="7">
        <v>119774.05</v>
      </c>
      <c r="J452" s="7">
        <v>15</v>
      </c>
      <c r="K452" s="5">
        <v>0</v>
      </c>
      <c r="L452" s="5">
        <v>0</v>
      </c>
      <c r="M452" s="5">
        <v>15</v>
      </c>
      <c r="N452" s="7">
        <v>15</v>
      </c>
      <c r="O452" s="7">
        <v>531</v>
      </c>
      <c r="P452" s="7">
        <v>0</v>
      </c>
      <c r="Q452" s="5">
        <v>0</v>
      </c>
      <c r="R452" s="5">
        <v>0</v>
      </c>
      <c r="S452" s="7">
        <v>0</v>
      </c>
      <c r="T452" s="12">
        <v>43182</v>
      </c>
      <c r="U452" s="28">
        <v>9</v>
      </c>
      <c r="V452" s="4">
        <v>4</v>
      </c>
      <c r="W452" s="4">
        <v>4</v>
      </c>
      <c r="X452" s="45">
        <v>122147.45</v>
      </c>
      <c r="Y452" s="14" t="s">
        <v>54</v>
      </c>
      <c r="Z452" s="14" t="s">
        <v>55</v>
      </c>
      <c r="AA452" s="14" t="s">
        <v>2875</v>
      </c>
      <c r="AB452" s="44">
        <v>43185</v>
      </c>
      <c r="AC452" s="44" t="s">
        <v>2870</v>
      </c>
      <c r="AD452" s="14" t="s">
        <v>49</v>
      </c>
      <c r="AE452" s="24" t="s">
        <v>1147</v>
      </c>
      <c r="AF452" s="25" t="s">
        <v>1265</v>
      </c>
      <c r="AG452" t="e">
        <f t="shared" si="7"/>
        <v>#REF!</v>
      </c>
      <c r="AI452" s="58"/>
    </row>
    <row r="453" spans="1:35" ht="15.75" customHeight="1">
      <c r="A453" s="6" t="s">
        <v>1148</v>
      </c>
      <c r="B453" s="5">
        <v>575</v>
      </c>
      <c r="C453" s="7">
        <v>73652.700000000012</v>
      </c>
      <c r="D453" s="7">
        <v>0</v>
      </c>
      <c r="E453" s="7">
        <v>0</v>
      </c>
      <c r="F453" s="5">
        <v>0</v>
      </c>
      <c r="G453" s="7">
        <v>0</v>
      </c>
      <c r="H453" s="5">
        <v>488</v>
      </c>
      <c r="I453" s="7">
        <v>66964.63</v>
      </c>
      <c r="J453" s="7">
        <v>244</v>
      </c>
      <c r="K453" s="5">
        <v>0</v>
      </c>
      <c r="L453" s="5">
        <v>0</v>
      </c>
      <c r="M453" s="5">
        <v>244</v>
      </c>
      <c r="N453" s="7">
        <v>244</v>
      </c>
      <c r="O453" s="7">
        <v>10511.6</v>
      </c>
      <c r="P453" s="7">
        <v>0</v>
      </c>
      <c r="Q453" s="5">
        <v>0</v>
      </c>
      <c r="R453" s="5">
        <v>0</v>
      </c>
      <c r="S453" s="7">
        <v>0</v>
      </c>
      <c r="T453" s="12">
        <v>43182</v>
      </c>
      <c r="U453" s="28">
        <v>12</v>
      </c>
      <c r="V453" s="4">
        <v>4</v>
      </c>
      <c r="W453" s="4">
        <v>4</v>
      </c>
      <c r="X453" s="45">
        <v>151128.93000000002</v>
      </c>
      <c r="Y453" s="14" t="s">
        <v>54</v>
      </c>
      <c r="Z453" s="14" t="s">
        <v>1281</v>
      </c>
      <c r="AA453" s="14" t="s">
        <v>2878</v>
      </c>
      <c r="AB453" s="44">
        <v>43186</v>
      </c>
      <c r="AC453" s="44" t="s">
        <v>2852</v>
      </c>
      <c r="AD453" s="14" t="s">
        <v>51</v>
      </c>
      <c r="AE453" s="24" t="s">
        <v>1149</v>
      </c>
      <c r="AF453" s="25" t="s">
        <v>1270</v>
      </c>
      <c r="AG453" t="e">
        <f t="shared" si="7"/>
        <v>#REF!</v>
      </c>
      <c r="AI453" s="58"/>
    </row>
    <row r="454" spans="1:35" ht="15.75" customHeight="1">
      <c r="A454" s="6" t="s">
        <v>1130</v>
      </c>
      <c r="B454" s="5">
        <v>118</v>
      </c>
      <c r="C454" s="7">
        <v>12937.889999999998</v>
      </c>
      <c r="D454" s="7">
        <v>0</v>
      </c>
      <c r="E454" s="7">
        <v>0</v>
      </c>
      <c r="F454" s="5">
        <v>0</v>
      </c>
      <c r="G454" s="7">
        <v>0</v>
      </c>
      <c r="H454" s="5">
        <v>0</v>
      </c>
      <c r="I454" s="7">
        <v>0</v>
      </c>
      <c r="J454" s="7">
        <v>3</v>
      </c>
      <c r="K454" s="5">
        <v>0</v>
      </c>
      <c r="L454" s="5">
        <v>0</v>
      </c>
      <c r="M454" s="5">
        <v>3</v>
      </c>
      <c r="N454" s="7">
        <v>3</v>
      </c>
      <c r="O454" s="7">
        <v>736.8</v>
      </c>
      <c r="P454" s="7">
        <v>102</v>
      </c>
      <c r="Q454" s="5">
        <v>0</v>
      </c>
      <c r="R454" s="5">
        <v>102</v>
      </c>
      <c r="S454" s="7">
        <v>10675.9</v>
      </c>
      <c r="T454" s="12">
        <v>43182</v>
      </c>
      <c r="U454" s="28">
        <v>2</v>
      </c>
      <c r="V454" s="4">
        <v>4</v>
      </c>
      <c r="W454" s="4">
        <v>4</v>
      </c>
      <c r="X454" s="45">
        <v>24350.589999999997</v>
      </c>
      <c r="Y454" s="14" t="s">
        <v>85</v>
      </c>
      <c r="Z454" s="14" t="s">
        <v>57</v>
      </c>
      <c r="AA454" s="14">
        <v>350810023608</v>
      </c>
      <c r="AB454" s="44">
        <v>43184</v>
      </c>
      <c r="AC454" s="44" t="s">
        <v>2862</v>
      </c>
      <c r="AD454" s="14" t="s">
        <v>600</v>
      </c>
      <c r="AE454" s="55">
        <v>2500000041241</v>
      </c>
      <c r="AF454" s="25" t="s">
        <v>1275</v>
      </c>
      <c r="AG454" t="e">
        <f t="shared" si="7"/>
        <v>#REF!</v>
      </c>
      <c r="AI454" s="58"/>
    </row>
    <row r="455" spans="1:35" ht="15.75" customHeight="1">
      <c r="A455" s="6" t="s">
        <v>1150</v>
      </c>
      <c r="B455" s="5">
        <v>967</v>
      </c>
      <c r="C455" s="7">
        <v>97123.8</v>
      </c>
      <c r="D455" s="7">
        <v>0</v>
      </c>
      <c r="E455" s="7">
        <v>0</v>
      </c>
      <c r="F455" s="5">
        <v>0</v>
      </c>
      <c r="G455" s="7">
        <v>0</v>
      </c>
      <c r="H455" s="5">
        <v>40</v>
      </c>
      <c r="I455" s="7">
        <v>991</v>
      </c>
      <c r="J455" s="7">
        <v>96</v>
      </c>
      <c r="K455" s="5">
        <v>0</v>
      </c>
      <c r="L455" s="5">
        <v>0</v>
      </c>
      <c r="M455" s="5">
        <v>96</v>
      </c>
      <c r="N455" s="7">
        <v>96</v>
      </c>
      <c r="O455" s="7">
        <v>15972.899999999998</v>
      </c>
      <c r="P455" s="7">
        <v>10</v>
      </c>
      <c r="Q455" s="5">
        <v>0</v>
      </c>
      <c r="R455" s="5">
        <v>10</v>
      </c>
      <c r="S455" s="7">
        <v>499</v>
      </c>
      <c r="T455" s="12">
        <v>43182</v>
      </c>
      <c r="U455" s="28">
        <v>10</v>
      </c>
      <c r="V455" s="4">
        <v>4</v>
      </c>
      <c r="W455" s="4">
        <v>4</v>
      </c>
      <c r="X455" s="45">
        <v>114586.7</v>
      </c>
      <c r="Y455" s="14" t="s">
        <v>54</v>
      </c>
      <c r="Z455" s="14" t="s">
        <v>59</v>
      </c>
      <c r="AA455" s="14" t="s">
        <v>2869</v>
      </c>
      <c r="AB455" s="44">
        <v>43185</v>
      </c>
      <c r="AC455" s="44" t="s">
        <v>2870</v>
      </c>
      <c r="AD455" s="14" t="s">
        <v>50</v>
      </c>
      <c r="AE455" s="24" t="s">
        <v>1151</v>
      </c>
      <c r="AF455" s="25" t="s">
        <v>1269</v>
      </c>
      <c r="AG455" t="e">
        <f t="shared" si="7"/>
        <v>#REF!</v>
      </c>
      <c r="AI455" s="58"/>
    </row>
    <row r="456" spans="1:35" ht="15.75" customHeight="1">
      <c r="A456" s="6" t="s">
        <v>1158</v>
      </c>
      <c r="B456" s="5">
        <v>0</v>
      </c>
      <c r="C456" s="7">
        <v>0</v>
      </c>
      <c r="D456" s="7">
        <v>0</v>
      </c>
      <c r="E456" s="7">
        <v>0</v>
      </c>
      <c r="F456" s="5">
        <v>0</v>
      </c>
      <c r="G456" s="7">
        <v>0</v>
      </c>
      <c r="H456" s="5">
        <v>0</v>
      </c>
      <c r="I456" s="7">
        <v>0</v>
      </c>
      <c r="J456" s="7">
        <v>0</v>
      </c>
      <c r="K456" s="5">
        <v>0</v>
      </c>
      <c r="L456" s="5">
        <v>0</v>
      </c>
      <c r="M456" s="5">
        <v>0</v>
      </c>
      <c r="N456" s="7">
        <v>0</v>
      </c>
      <c r="O456" s="7">
        <v>0</v>
      </c>
      <c r="P456" s="7">
        <v>99</v>
      </c>
      <c r="Q456" s="5">
        <v>0</v>
      </c>
      <c r="R456" s="5">
        <v>99</v>
      </c>
      <c r="S456" s="7">
        <v>13862.1</v>
      </c>
      <c r="T456" s="12">
        <v>43182</v>
      </c>
      <c r="U456" s="28">
        <v>1</v>
      </c>
      <c r="V456" s="4">
        <v>4</v>
      </c>
      <c r="W456" s="4">
        <v>4</v>
      </c>
      <c r="X456" s="45">
        <v>13862.1</v>
      </c>
      <c r="Y456" s="14" t="s">
        <v>1633</v>
      </c>
      <c r="Z456" s="14" t="s">
        <v>1355</v>
      </c>
      <c r="AA456" s="14" t="s">
        <v>2879</v>
      </c>
      <c r="AB456" s="44">
        <v>43191</v>
      </c>
      <c r="AC456" s="44" t="s">
        <v>2880</v>
      </c>
      <c r="AD456" s="14" t="s">
        <v>70</v>
      </c>
      <c r="AE456" s="24" t="s">
        <v>1159</v>
      </c>
      <c r="AF456" s="25" t="s">
        <v>1273</v>
      </c>
      <c r="AG456" t="e">
        <f t="shared" si="7"/>
        <v>#REF!</v>
      </c>
      <c r="AI456" s="58"/>
    </row>
    <row r="457" spans="1:35" ht="15.75" customHeight="1">
      <c r="A457" s="6" t="s">
        <v>1160</v>
      </c>
      <c r="B457" s="5">
        <v>94</v>
      </c>
      <c r="C457" s="7">
        <v>11854.17</v>
      </c>
      <c r="D457" s="7">
        <v>0</v>
      </c>
      <c r="E457" s="7">
        <v>0</v>
      </c>
      <c r="F457" s="5">
        <v>0</v>
      </c>
      <c r="G457" s="7">
        <v>0</v>
      </c>
      <c r="H457" s="5">
        <v>100</v>
      </c>
      <c r="I457" s="7">
        <v>12464.999999999998</v>
      </c>
      <c r="J457" s="7">
        <v>71</v>
      </c>
      <c r="K457" s="5">
        <v>0</v>
      </c>
      <c r="L457" s="5">
        <v>0</v>
      </c>
      <c r="M457" s="5">
        <v>71</v>
      </c>
      <c r="N457" s="7">
        <v>71</v>
      </c>
      <c r="O457" s="7">
        <v>9348.1999999999989</v>
      </c>
      <c r="P457" s="7">
        <v>460</v>
      </c>
      <c r="Q457" s="5">
        <v>0</v>
      </c>
      <c r="R457" s="5">
        <v>460</v>
      </c>
      <c r="S457" s="7">
        <v>42323</v>
      </c>
      <c r="T457" s="12">
        <v>43182</v>
      </c>
      <c r="U457" s="28">
        <v>5</v>
      </c>
      <c r="V457" s="4">
        <v>4</v>
      </c>
      <c r="W457" s="4">
        <v>4</v>
      </c>
      <c r="X457" s="45">
        <v>75990.37</v>
      </c>
      <c r="Y457" s="14" t="s">
        <v>56</v>
      </c>
      <c r="Z457" s="14" t="s">
        <v>1492</v>
      </c>
      <c r="AA457" s="14" t="s">
        <v>2881</v>
      </c>
      <c r="AB457" s="44">
        <v>43190</v>
      </c>
      <c r="AC457" s="44" t="s">
        <v>2882</v>
      </c>
      <c r="AD457" s="14" t="s">
        <v>52</v>
      </c>
      <c r="AE457" s="24" t="s">
        <v>1161</v>
      </c>
      <c r="AF457" s="25" t="s">
        <v>1271</v>
      </c>
      <c r="AG457" t="e">
        <f t="shared" si="7"/>
        <v>#REF!</v>
      </c>
      <c r="AI457" s="58"/>
    </row>
    <row r="458" spans="1:35" ht="15.75" customHeight="1">
      <c r="A458" s="6" t="s">
        <v>1162</v>
      </c>
      <c r="B458" s="5">
        <v>340</v>
      </c>
      <c r="C458" s="7">
        <v>28894.780000000006</v>
      </c>
      <c r="D458" s="7">
        <v>0</v>
      </c>
      <c r="E458" s="7">
        <v>0</v>
      </c>
      <c r="F458" s="5">
        <v>0</v>
      </c>
      <c r="G458" s="7">
        <v>0</v>
      </c>
      <c r="H458" s="5">
        <v>210</v>
      </c>
      <c r="I458" s="7">
        <v>25148.9</v>
      </c>
      <c r="J458" s="7">
        <v>154</v>
      </c>
      <c r="K458" s="5">
        <v>0</v>
      </c>
      <c r="L458" s="5">
        <v>0</v>
      </c>
      <c r="M458" s="5">
        <v>154</v>
      </c>
      <c r="N458" s="7">
        <v>154</v>
      </c>
      <c r="O458" s="7">
        <v>30067</v>
      </c>
      <c r="P458" s="7">
        <v>264</v>
      </c>
      <c r="Q458" s="5">
        <v>0</v>
      </c>
      <c r="R458" s="5">
        <v>264</v>
      </c>
      <c r="S458" s="7">
        <v>46106.8</v>
      </c>
      <c r="T458" s="12">
        <v>43182</v>
      </c>
      <c r="U458" s="28">
        <v>10</v>
      </c>
      <c r="V458" s="4">
        <v>4</v>
      </c>
      <c r="W458" s="4">
        <v>4</v>
      </c>
      <c r="X458" s="45">
        <v>130217.48000000001</v>
      </c>
      <c r="Y458" s="14" t="s">
        <v>56</v>
      </c>
      <c r="Z458" s="14" t="s">
        <v>55</v>
      </c>
      <c r="AA458" s="14" t="s">
        <v>2867</v>
      </c>
      <c r="AB458" s="44">
        <v>43190</v>
      </c>
      <c r="AC458" s="44" t="s">
        <v>2868</v>
      </c>
      <c r="AD458" s="14" t="s">
        <v>51</v>
      </c>
      <c r="AE458" s="24" t="s">
        <v>1163</v>
      </c>
      <c r="AF458" s="25" t="s">
        <v>1270</v>
      </c>
      <c r="AG458" t="e">
        <f t="shared" si="7"/>
        <v>#REF!</v>
      </c>
      <c r="AI458" s="58"/>
    </row>
    <row r="459" spans="1:35" ht="15.75" customHeight="1">
      <c r="A459" s="13" t="s">
        <v>1164</v>
      </c>
      <c r="B459" s="5">
        <v>685</v>
      </c>
      <c r="C459" s="7">
        <v>85780.399999999965</v>
      </c>
      <c r="D459" s="7">
        <v>0</v>
      </c>
      <c r="E459" s="7">
        <v>0</v>
      </c>
      <c r="F459" s="5">
        <v>0</v>
      </c>
      <c r="G459" s="7">
        <v>0</v>
      </c>
      <c r="H459" s="5">
        <v>95</v>
      </c>
      <c r="I459" s="7">
        <v>12156.2</v>
      </c>
      <c r="J459" s="7">
        <v>59</v>
      </c>
      <c r="K459" s="5">
        <v>0</v>
      </c>
      <c r="L459" s="5">
        <v>0</v>
      </c>
      <c r="M459" s="5">
        <v>59</v>
      </c>
      <c r="N459" s="7">
        <v>59</v>
      </c>
      <c r="O459" s="7">
        <v>10737.499999999998</v>
      </c>
      <c r="P459" s="7">
        <v>82</v>
      </c>
      <c r="Q459" s="5">
        <v>0</v>
      </c>
      <c r="R459" s="5">
        <v>82</v>
      </c>
      <c r="S459" s="7">
        <v>18349.400000000001</v>
      </c>
      <c r="T459" s="12">
        <v>43182</v>
      </c>
      <c r="U459" s="28">
        <v>10</v>
      </c>
      <c r="V459" s="4">
        <v>4</v>
      </c>
      <c r="W459" s="4">
        <v>4</v>
      </c>
      <c r="X459" s="45">
        <v>127023.49999999997</v>
      </c>
      <c r="Y459" s="14" t="s">
        <v>54</v>
      </c>
      <c r="Z459" s="14" t="s">
        <v>1355</v>
      </c>
      <c r="AA459" s="14" t="s">
        <v>2871</v>
      </c>
      <c r="AB459" s="44">
        <v>43191</v>
      </c>
      <c r="AC459" s="44" t="s">
        <v>2872</v>
      </c>
      <c r="AD459" s="14" t="s">
        <v>50</v>
      </c>
      <c r="AE459" s="24" t="s">
        <v>1165</v>
      </c>
      <c r="AF459" s="25" t="s">
        <v>1269</v>
      </c>
      <c r="AG459" t="e">
        <f t="shared" si="7"/>
        <v>#REF!</v>
      </c>
      <c r="AI459" s="58"/>
    </row>
    <row r="460" spans="1:35" ht="15.75" customHeight="1">
      <c r="A460" s="6" t="s">
        <v>1155</v>
      </c>
      <c r="B460" s="5">
        <v>112</v>
      </c>
      <c r="C460" s="7">
        <v>10577.9</v>
      </c>
      <c r="D460" s="7">
        <v>0</v>
      </c>
      <c r="E460" s="7">
        <v>0</v>
      </c>
      <c r="F460" s="5">
        <v>0</v>
      </c>
      <c r="G460" s="7">
        <v>0</v>
      </c>
      <c r="H460" s="5">
        <v>0</v>
      </c>
      <c r="I460" s="7">
        <v>0</v>
      </c>
      <c r="J460" s="7">
        <v>0</v>
      </c>
      <c r="K460" s="5">
        <v>0</v>
      </c>
      <c r="L460" s="5">
        <v>0</v>
      </c>
      <c r="M460" s="5">
        <v>0</v>
      </c>
      <c r="N460" s="7">
        <v>0</v>
      </c>
      <c r="O460" s="7">
        <v>0</v>
      </c>
      <c r="P460" s="7">
        <v>0</v>
      </c>
      <c r="Q460" s="5">
        <v>0</v>
      </c>
      <c r="R460" s="5">
        <v>0</v>
      </c>
      <c r="S460" s="7">
        <v>0</v>
      </c>
      <c r="T460" s="12">
        <v>43183</v>
      </c>
      <c r="U460" s="28">
        <v>1</v>
      </c>
      <c r="V460" s="4">
        <v>4</v>
      </c>
      <c r="W460" s="4">
        <v>4</v>
      </c>
      <c r="X460" s="45">
        <v>10577.9</v>
      </c>
      <c r="Y460" s="14" t="s">
        <v>54</v>
      </c>
      <c r="Z460" s="14" t="s">
        <v>1355</v>
      </c>
      <c r="AA460" s="14" t="s">
        <v>2875</v>
      </c>
      <c r="AB460" s="44">
        <v>43185</v>
      </c>
      <c r="AC460" s="44" t="s">
        <v>2870</v>
      </c>
      <c r="AD460" s="14" t="s">
        <v>49</v>
      </c>
      <c r="AE460" s="24" t="s">
        <v>1154</v>
      </c>
      <c r="AF460" s="25" t="s">
        <v>1267</v>
      </c>
      <c r="AG460" t="e">
        <f t="shared" si="7"/>
        <v>#REF!</v>
      </c>
      <c r="AI460" s="58"/>
    </row>
    <row r="461" spans="1:35" ht="15.75" customHeight="1">
      <c r="A461" s="13" t="s">
        <v>1153</v>
      </c>
      <c r="B461" s="5">
        <v>125</v>
      </c>
      <c r="C461" s="7">
        <v>13313.75</v>
      </c>
      <c r="D461" s="7">
        <v>0</v>
      </c>
      <c r="E461" s="7">
        <v>0</v>
      </c>
      <c r="F461" s="5">
        <v>0</v>
      </c>
      <c r="G461" s="7">
        <v>0</v>
      </c>
      <c r="H461" s="5">
        <v>22</v>
      </c>
      <c r="I461" s="7">
        <v>3347.54</v>
      </c>
      <c r="J461" s="7">
        <v>43</v>
      </c>
      <c r="K461" s="5">
        <v>0</v>
      </c>
      <c r="L461" s="5">
        <v>0</v>
      </c>
      <c r="M461" s="5">
        <v>43</v>
      </c>
      <c r="N461" s="7">
        <v>43</v>
      </c>
      <c r="O461" s="7">
        <v>6164.8</v>
      </c>
      <c r="P461" s="7">
        <v>0</v>
      </c>
      <c r="Q461" s="5">
        <v>0</v>
      </c>
      <c r="R461" s="5">
        <v>0</v>
      </c>
      <c r="S461" s="7">
        <v>0</v>
      </c>
      <c r="T461" s="12">
        <v>43183</v>
      </c>
      <c r="U461" s="28">
        <v>2</v>
      </c>
      <c r="V461" s="4">
        <v>4</v>
      </c>
      <c r="W461" s="4">
        <v>4</v>
      </c>
      <c r="X461" s="45">
        <v>22826.09</v>
      </c>
      <c r="Y461" s="14" t="s">
        <v>54</v>
      </c>
      <c r="Z461" s="14" t="s">
        <v>57</v>
      </c>
      <c r="AA461" s="14" t="s">
        <v>2851</v>
      </c>
      <c r="AB461" s="44">
        <v>43186</v>
      </c>
      <c r="AC461" s="44" t="s">
        <v>2852</v>
      </c>
      <c r="AD461" s="14" t="s">
        <v>52</v>
      </c>
      <c r="AE461" s="24" t="s">
        <v>1152</v>
      </c>
      <c r="AF461" s="25" t="s">
        <v>1271</v>
      </c>
      <c r="AG461" t="e">
        <f t="shared" si="7"/>
        <v>#REF!</v>
      </c>
      <c r="AI461" s="58"/>
    </row>
    <row r="462" spans="1:35" ht="15.75" customHeight="1">
      <c r="A462" s="6" t="s">
        <v>1168</v>
      </c>
      <c r="B462" s="5">
        <v>386</v>
      </c>
      <c r="C462" s="7">
        <v>49761.100000000006</v>
      </c>
      <c r="D462" s="7">
        <v>0</v>
      </c>
      <c r="E462" s="7">
        <v>0</v>
      </c>
      <c r="F462" s="5">
        <v>0</v>
      </c>
      <c r="G462" s="7">
        <v>0</v>
      </c>
      <c r="H462" s="5">
        <v>0</v>
      </c>
      <c r="I462" s="7">
        <v>0</v>
      </c>
      <c r="J462" s="7">
        <v>206</v>
      </c>
      <c r="K462" s="5">
        <v>0</v>
      </c>
      <c r="L462" s="5">
        <v>0</v>
      </c>
      <c r="M462" s="5">
        <v>206</v>
      </c>
      <c r="N462" s="7">
        <v>206</v>
      </c>
      <c r="O462" s="7">
        <v>31100.3</v>
      </c>
      <c r="P462" s="7">
        <v>0</v>
      </c>
      <c r="Q462" s="5">
        <v>0</v>
      </c>
      <c r="R462" s="5">
        <v>0</v>
      </c>
      <c r="S462" s="7">
        <v>0</v>
      </c>
      <c r="T462" s="12">
        <v>43183</v>
      </c>
      <c r="U462" s="28">
        <v>7</v>
      </c>
      <c r="V462" s="4">
        <v>4</v>
      </c>
      <c r="W462" s="4">
        <v>4</v>
      </c>
      <c r="X462" s="45">
        <v>80861.400000000009</v>
      </c>
      <c r="Y462" s="14" t="s">
        <v>58</v>
      </c>
      <c r="Z462" s="14" t="s">
        <v>59</v>
      </c>
      <c r="AA462" s="14" t="s">
        <v>2883</v>
      </c>
      <c r="AB462" s="44">
        <v>43187</v>
      </c>
      <c r="AC462" s="44" t="s">
        <v>2884</v>
      </c>
      <c r="AD462" s="14" t="s">
        <v>51</v>
      </c>
      <c r="AE462" s="24" t="s">
        <v>1169</v>
      </c>
      <c r="AF462" s="25" t="s">
        <v>1270</v>
      </c>
      <c r="AG462" t="e">
        <f t="shared" si="7"/>
        <v>#REF!</v>
      </c>
      <c r="AI462" s="58"/>
    </row>
    <row r="463" spans="1:35" ht="15.75" customHeight="1">
      <c r="A463" s="6" t="s">
        <v>1170</v>
      </c>
      <c r="B463" s="5">
        <v>322</v>
      </c>
      <c r="C463" s="7">
        <v>40998.199999999997</v>
      </c>
      <c r="D463" s="7">
        <v>0</v>
      </c>
      <c r="E463" s="7">
        <v>0</v>
      </c>
      <c r="F463" s="5">
        <v>0</v>
      </c>
      <c r="G463" s="7">
        <v>0</v>
      </c>
      <c r="H463" s="5">
        <v>0</v>
      </c>
      <c r="I463" s="7">
        <v>0</v>
      </c>
      <c r="J463" s="7">
        <v>58</v>
      </c>
      <c r="K463" s="5">
        <v>0</v>
      </c>
      <c r="L463" s="5">
        <v>0</v>
      </c>
      <c r="M463" s="5">
        <v>58</v>
      </c>
      <c r="N463" s="7">
        <v>58</v>
      </c>
      <c r="O463" s="7">
        <v>10248.599999999999</v>
      </c>
      <c r="P463" s="7">
        <v>178</v>
      </c>
      <c r="Q463" s="5">
        <v>0</v>
      </c>
      <c r="R463" s="5">
        <v>178</v>
      </c>
      <c r="S463" s="7">
        <v>36181.199999999997</v>
      </c>
      <c r="T463" s="12">
        <v>43183</v>
      </c>
      <c r="U463" s="28">
        <v>6</v>
      </c>
      <c r="V463" s="4">
        <v>4</v>
      </c>
      <c r="W463" s="4">
        <v>4</v>
      </c>
      <c r="X463" s="45">
        <v>87428</v>
      </c>
      <c r="Y463" s="14" t="s">
        <v>54</v>
      </c>
      <c r="Z463" s="14" t="s">
        <v>1355</v>
      </c>
      <c r="AA463" s="14" t="s">
        <v>2871</v>
      </c>
      <c r="AB463" s="44">
        <v>43191</v>
      </c>
      <c r="AC463" s="44" t="s">
        <v>2872</v>
      </c>
      <c r="AD463" s="14" t="s">
        <v>50</v>
      </c>
      <c r="AE463" s="24" t="s">
        <v>1171</v>
      </c>
      <c r="AF463" s="25" t="s">
        <v>1269</v>
      </c>
      <c r="AG463" t="e">
        <f t="shared" si="7"/>
        <v>#REF!</v>
      </c>
      <c r="AI463" s="58"/>
    </row>
    <row r="464" spans="1:35" ht="15.75" customHeight="1">
      <c r="A464" s="6" t="s">
        <v>1157</v>
      </c>
      <c r="B464" s="5">
        <v>123</v>
      </c>
      <c r="C464" s="7">
        <v>12152.9</v>
      </c>
      <c r="D464" s="7">
        <v>0</v>
      </c>
      <c r="E464" s="7">
        <v>0</v>
      </c>
      <c r="F464" s="5">
        <v>0</v>
      </c>
      <c r="G464" s="7">
        <v>0</v>
      </c>
      <c r="H464" s="5">
        <v>0</v>
      </c>
      <c r="I464" s="7">
        <v>0</v>
      </c>
      <c r="J464" s="7">
        <v>39</v>
      </c>
      <c r="K464" s="5">
        <v>0</v>
      </c>
      <c r="L464" s="5">
        <v>0</v>
      </c>
      <c r="M464" s="5">
        <v>39</v>
      </c>
      <c r="N464" s="7">
        <v>39</v>
      </c>
      <c r="O464" s="7">
        <v>7185.4</v>
      </c>
      <c r="P464" s="7">
        <v>0</v>
      </c>
      <c r="Q464" s="5">
        <v>0</v>
      </c>
      <c r="R464" s="5">
        <v>0</v>
      </c>
      <c r="S464" s="7">
        <v>0</v>
      </c>
      <c r="T464" s="12">
        <v>43183</v>
      </c>
      <c r="U464" s="28">
        <v>2</v>
      </c>
      <c r="V464" s="4">
        <v>4</v>
      </c>
      <c r="W464" s="4">
        <v>4</v>
      </c>
      <c r="X464" s="45">
        <v>19338.3</v>
      </c>
      <c r="Y464" s="14" t="s">
        <v>54</v>
      </c>
      <c r="Z464" s="14" t="s">
        <v>1355</v>
      </c>
      <c r="AA464" s="14" t="s">
        <v>2875</v>
      </c>
      <c r="AB464" s="44">
        <v>43185</v>
      </c>
      <c r="AC464" s="44" t="s">
        <v>2870</v>
      </c>
      <c r="AD464" s="14" t="s">
        <v>49</v>
      </c>
      <c r="AE464" s="24" t="s">
        <v>1156</v>
      </c>
      <c r="AF464" s="25" t="s">
        <v>1266</v>
      </c>
      <c r="AG464" t="e">
        <f t="shared" si="7"/>
        <v>#REF!</v>
      </c>
      <c r="AI464" s="58"/>
    </row>
    <row r="465" spans="1:35" ht="15.75" customHeight="1">
      <c r="A465" s="13" t="s">
        <v>1172</v>
      </c>
      <c r="B465" s="5">
        <v>0</v>
      </c>
      <c r="C465" s="7">
        <v>0</v>
      </c>
      <c r="D465" s="7">
        <v>0</v>
      </c>
      <c r="E465" s="7">
        <v>0</v>
      </c>
      <c r="F465" s="5">
        <v>0</v>
      </c>
      <c r="G465" s="7">
        <v>0</v>
      </c>
      <c r="H465" s="5">
        <v>0</v>
      </c>
      <c r="I465" s="7">
        <v>0</v>
      </c>
      <c r="J465" s="7">
        <v>0</v>
      </c>
      <c r="K465" s="5">
        <v>0</v>
      </c>
      <c r="L465" s="5">
        <v>0</v>
      </c>
      <c r="M465" s="5">
        <v>0</v>
      </c>
      <c r="N465" s="7">
        <v>0</v>
      </c>
      <c r="O465" s="7">
        <v>0</v>
      </c>
      <c r="P465" s="7">
        <v>181</v>
      </c>
      <c r="Q465" s="5">
        <v>0</v>
      </c>
      <c r="R465" s="5">
        <v>181</v>
      </c>
      <c r="S465" s="7">
        <v>21091.200000000001</v>
      </c>
      <c r="T465" s="12">
        <v>43185</v>
      </c>
      <c r="U465" s="28">
        <v>1</v>
      </c>
      <c r="V465" s="4">
        <v>4</v>
      </c>
      <c r="W465" s="4">
        <v>4</v>
      </c>
      <c r="X465" s="45">
        <v>21091.200000000001</v>
      </c>
      <c r="Y465" s="14" t="s">
        <v>56</v>
      </c>
      <c r="Z465" s="14" t="s">
        <v>1355</v>
      </c>
      <c r="AA465" s="14" t="s">
        <v>2885</v>
      </c>
      <c r="AB465" s="44">
        <v>43188</v>
      </c>
      <c r="AC465" s="44" t="s">
        <v>2886</v>
      </c>
      <c r="AD465" s="48" t="s">
        <v>49</v>
      </c>
      <c r="AE465" s="24" t="s">
        <v>1173</v>
      </c>
      <c r="AF465" s="25" t="s">
        <v>1268</v>
      </c>
      <c r="AG465" t="e">
        <f t="shared" si="7"/>
        <v>#REF!</v>
      </c>
      <c r="AI465" s="58"/>
    </row>
    <row r="466" spans="1:35" ht="15.75" customHeight="1">
      <c r="A466" s="6" t="s">
        <v>1174</v>
      </c>
      <c r="C466" s="7">
        <v>0</v>
      </c>
      <c r="D466" s="7">
        <v>0</v>
      </c>
      <c r="E466" s="7">
        <v>0</v>
      </c>
      <c r="F466" s="5">
        <v>0</v>
      </c>
      <c r="G466" s="7">
        <v>0</v>
      </c>
      <c r="H466" s="5">
        <v>0</v>
      </c>
      <c r="I466" s="7">
        <v>0</v>
      </c>
      <c r="J466" s="7">
        <v>0</v>
      </c>
      <c r="K466" s="5">
        <v>0</v>
      </c>
      <c r="L466" s="5">
        <v>0</v>
      </c>
      <c r="M466" s="5">
        <v>0</v>
      </c>
      <c r="N466" s="7">
        <v>0</v>
      </c>
      <c r="O466" s="7">
        <v>0</v>
      </c>
      <c r="P466" s="7">
        <v>90</v>
      </c>
      <c r="Q466" s="5">
        <v>0</v>
      </c>
      <c r="R466" s="5">
        <v>90</v>
      </c>
      <c r="S466" s="7">
        <v>14306</v>
      </c>
      <c r="T466" s="12">
        <v>43185</v>
      </c>
      <c r="U466" s="28">
        <v>1</v>
      </c>
      <c r="V466" s="4">
        <v>4</v>
      </c>
      <c r="W466" s="4">
        <v>4</v>
      </c>
      <c r="X466" s="45">
        <v>14306</v>
      </c>
      <c r="Y466" s="14" t="s">
        <v>56</v>
      </c>
      <c r="Z466" s="14" t="s">
        <v>57</v>
      </c>
      <c r="AA466" s="14" t="s">
        <v>2887</v>
      </c>
      <c r="AB466" s="44">
        <v>43189</v>
      </c>
      <c r="AC466" s="44" t="s">
        <v>2888</v>
      </c>
      <c r="AD466" s="14" t="s">
        <v>218</v>
      </c>
      <c r="AE466" s="24" t="s">
        <v>1175</v>
      </c>
      <c r="AF466" s="25" t="s">
        <v>1272</v>
      </c>
      <c r="AG466" t="e">
        <f t="shared" si="7"/>
        <v>#REF!</v>
      </c>
      <c r="AI466" s="58"/>
    </row>
    <row r="467" spans="1:35" ht="15.75" customHeight="1">
      <c r="A467" s="13" t="s">
        <v>1176</v>
      </c>
      <c r="B467" s="5">
        <v>22</v>
      </c>
      <c r="C467" s="7">
        <v>2768.1800000000003</v>
      </c>
      <c r="D467" s="7">
        <v>0</v>
      </c>
      <c r="E467" s="7">
        <v>0</v>
      </c>
      <c r="F467" s="5">
        <v>0</v>
      </c>
      <c r="G467" s="7">
        <v>0</v>
      </c>
      <c r="H467" s="5">
        <v>18</v>
      </c>
      <c r="I467" s="7">
        <v>2076.54</v>
      </c>
      <c r="J467" s="7">
        <v>0</v>
      </c>
      <c r="K467" s="5">
        <v>0</v>
      </c>
      <c r="L467" s="5">
        <v>0</v>
      </c>
      <c r="M467" s="5">
        <v>0</v>
      </c>
      <c r="N467" s="7">
        <v>0</v>
      </c>
      <c r="O467" s="7">
        <v>0</v>
      </c>
      <c r="P467" s="7">
        <v>48</v>
      </c>
      <c r="Q467" s="5">
        <v>0</v>
      </c>
      <c r="R467" s="5">
        <v>48</v>
      </c>
      <c r="S467" s="7">
        <v>10037.299999999999</v>
      </c>
      <c r="T467" s="12">
        <v>43185</v>
      </c>
      <c r="U467" s="28">
        <v>1</v>
      </c>
      <c r="V467" s="4">
        <v>4</v>
      </c>
      <c r="W467" s="4">
        <v>4</v>
      </c>
      <c r="X467" s="45">
        <v>14882.02</v>
      </c>
      <c r="Y467" s="14" t="s">
        <v>1608</v>
      </c>
      <c r="Z467" s="14" t="s">
        <v>1281</v>
      </c>
      <c r="AA467" s="14" t="s">
        <v>2889</v>
      </c>
      <c r="AB467" s="44">
        <v>43186</v>
      </c>
      <c r="AC467" s="44" t="s">
        <v>2890</v>
      </c>
      <c r="AD467" s="14" t="s">
        <v>1010</v>
      </c>
      <c r="AE467" s="24">
        <v>2500000040327</v>
      </c>
      <c r="AF467" s="25" t="s">
        <v>1275</v>
      </c>
      <c r="AG467" t="e">
        <f t="shared" si="7"/>
        <v>#REF!</v>
      </c>
      <c r="AI467" s="58"/>
    </row>
    <row r="468" spans="1:35" ht="15.75" customHeight="1">
      <c r="A468" s="6" t="s">
        <v>1166</v>
      </c>
      <c r="B468" s="5">
        <v>0</v>
      </c>
      <c r="C468" s="7">
        <v>0</v>
      </c>
      <c r="D468" s="7">
        <v>0</v>
      </c>
      <c r="E468" s="7">
        <v>0</v>
      </c>
      <c r="F468" s="5">
        <v>0</v>
      </c>
      <c r="G468" s="7">
        <v>0</v>
      </c>
      <c r="H468" s="5">
        <v>248</v>
      </c>
      <c r="I468" s="7">
        <v>28278.62</v>
      </c>
      <c r="J468" s="7">
        <v>0</v>
      </c>
      <c r="K468" s="5">
        <v>0</v>
      </c>
      <c r="L468" s="5">
        <v>0</v>
      </c>
      <c r="M468" s="5">
        <v>0</v>
      </c>
      <c r="N468" s="7">
        <v>0</v>
      </c>
      <c r="O468" s="7">
        <v>0</v>
      </c>
      <c r="P468" s="7">
        <v>673</v>
      </c>
      <c r="Q468" s="5">
        <v>0</v>
      </c>
      <c r="R468" s="5">
        <v>673</v>
      </c>
      <c r="S468" s="7">
        <v>50285.5</v>
      </c>
      <c r="T468" s="12">
        <v>43185</v>
      </c>
      <c r="U468" s="28">
        <v>4</v>
      </c>
      <c r="V468" s="4">
        <v>4</v>
      </c>
      <c r="W468" s="4">
        <v>4</v>
      </c>
      <c r="X468" s="45">
        <v>78564.12</v>
      </c>
      <c r="Y468" s="14" t="s">
        <v>1636</v>
      </c>
      <c r="Z468" s="14" t="s">
        <v>57</v>
      </c>
      <c r="AA468" s="14" t="s">
        <v>2876</v>
      </c>
      <c r="AB468" s="44">
        <v>43187</v>
      </c>
      <c r="AC468" s="44" t="s">
        <v>2877</v>
      </c>
      <c r="AD468" s="14" t="s">
        <v>49</v>
      </c>
      <c r="AE468" s="24" t="s">
        <v>1167</v>
      </c>
      <c r="AF468" s="25" t="s">
        <v>1265</v>
      </c>
      <c r="AG468" t="e">
        <f t="shared" si="7"/>
        <v>#REF!</v>
      </c>
      <c r="AI468" s="58"/>
    </row>
    <row r="469" spans="1:35" ht="15.75" customHeight="1">
      <c r="A469" s="13" t="s">
        <v>1177</v>
      </c>
      <c r="B469" s="5">
        <v>0</v>
      </c>
      <c r="C469" s="7">
        <v>0</v>
      </c>
      <c r="D469" s="7">
        <v>45</v>
      </c>
      <c r="E469" s="7">
        <v>45</v>
      </c>
      <c r="F469" s="5">
        <v>0</v>
      </c>
      <c r="G469" s="7">
        <v>2161</v>
      </c>
      <c r="H469" s="5">
        <v>85</v>
      </c>
      <c r="I469" s="7">
        <v>12718.05</v>
      </c>
      <c r="J469" s="7">
        <v>0</v>
      </c>
      <c r="K469" s="5">
        <v>0</v>
      </c>
      <c r="L469" s="5">
        <v>0</v>
      </c>
      <c r="M469" s="5">
        <v>0</v>
      </c>
      <c r="N469" s="7">
        <v>0</v>
      </c>
      <c r="O469" s="7">
        <v>0</v>
      </c>
      <c r="P469" s="7">
        <v>178</v>
      </c>
      <c r="Q469" s="5">
        <v>0</v>
      </c>
      <c r="R469" s="5">
        <v>178</v>
      </c>
      <c r="S469" s="7">
        <v>28576.800000000003</v>
      </c>
      <c r="T469" s="12">
        <v>43185</v>
      </c>
      <c r="U469" s="28">
        <v>3</v>
      </c>
      <c r="V469" s="4">
        <v>4</v>
      </c>
      <c r="W469" s="4">
        <v>4</v>
      </c>
      <c r="X469" s="45">
        <v>43455.850000000006</v>
      </c>
      <c r="Y469" s="14" t="s">
        <v>1636</v>
      </c>
      <c r="Z469" s="14" t="s">
        <v>59</v>
      </c>
      <c r="AA469" s="14" t="s">
        <v>2876</v>
      </c>
      <c r="AB469" s="44">
        <v>43187</v>
      </c>
      <c r="AC469" s="44" t="s">
        <v>2877</v>
      </c>
      <c r="AD469" s="14" t="s">
        <v>49</v>
      </c>
      <c r="AE469" s="24" t="s">
        <v>1178</v>
      </c>
      <c r="AF469" s="25" t="s">
        <v>1265</v>
      </c>
      <c r="AG469" t="e">
        <f t="shared" si="7"/>
        <v>#REF!</v>
      </c>
      <c r="AI469" s="58"/>
    </row>
    <row r="470" spans="1:35" ht="15.75" customHeight="1">
      <c r="A470" s="6" t="s">
        <v>1179</v>
      </c>
      <c r="B470" s="5">
        <v>0</v>
      </c>
      <c r="C470" s="7">
        <v>0</v>
      </c>
      <c r="D470" s="7">
        <v>0</v>
      </c>
      <c r="E470" s="7">
        <v>0</v>
      </c>
      <c r="F470" s="5">
        <v>0</v>
      </c>
      <c r="G470" s="7">
        <v>0</v>
      </c>
      <c r="H470" s="5">
        <v>0</v>
      </c>
      <c r="I470" s="7">
        <v>0</v>
      </c>
      <c r="J470" s="7">
        <v>0</v>
      </c>
      <c r="K470" s="5">
        <v>0</v>
      </c>
      <c r="L470" s="5">
        <v>0</v>
      </c>
      <c r="M470" s="5">
        <v>0</v>
      </c>
      <c r="N470" s="7">
        <v>0</v>
      </c>
      <c r="O470" s="7">
        <v>0</v>
      </c>
      <c r="P470" s="7">
        <v>351</v>
      </c>
      <c r="Q470" s="5">
        <v>0</v>
      </c>
      <c r="R470" s="5">
        <v>351</v>
      </c>
      <c r="S470" s="7">
        <v>58976.7</v>
      </c>
      <c r="T470" s="12">
        <v>43185</v>
      </c>
      <c r="U470" s="28">
        <v>4</v>
      </c>
      <c r="V470" s="4">
        <v>4</v>
      </c>
      <c r="W470" s="4">
        <v>4</v>
      </c>
      <c r="X470" s="45">
        <v>58976.7</v>
      </c>
      <c r="Y470" s="14" t="s">
        <v>56</v>
      </c>
      <c r="Z470" s="14" t="s">
        <v>730</v>
      </c>
      <c r="AA470" s="14" t="s">
        <v>2891</v>
      </c>
      <c r="AB470" s="44">
        <v>43190</v>
      </c>
      <c r="AC470" s="44" t="s">
        <v>2892</v>
      </c>
      <c r="AD470" s="14" t="s">
        <v>49</v>
      </c>
      <c r="AE470" s="24" t="s">
        <v>1180</v>
      </c>
      <c r="AF470" s="25" t="s">
        <v>1267</v>
      </c>
      <c r="AG470" t="e">
        <f t="shared" si="7"/>
        <v>#REF!</v>
      </c>
      <c r="AI470" s="58"/>
    </row>
    <row r="471" spans="1:35" ht="15.75" customHeight="1">
      <c r="A471" s="6" t="s">
        <v>1182</v>
      </c>
      <c r="B471" s="5">
        <v>286</v>
      </c>
      <c r="C471" s="7">
        <v>37559.079999999994</v>
      </c>
      <c r="D471" s="7">
        <v>30</v>
      </c>
      <c r="E471" s="7">
        <v>30</v>
      </c>
      <c r="F471" s="5">
        <v>0</v>
      </c>
      <c r="G471" s="7">
        <v>1329</v>
      </c>
      <c r="H471" s="5">
        <v>197</v>
      </c>
      <c r="I471" s="7">
        <v>24235.399999999998</v>
      </c>
      <c r="J471" s="7">
        <v>61</v>
      </c>
      <c r="K471" s="5">
        <v>0</v>
      </c>
      <c r="L471" s="5">
        <v>0</v>
      </c>
      <c r="M471" s="5">
        <v>61</v>
      </c>
      <c r="N471" s="7">
        <v>61</v>
      </c>
      <c r="O471" s="7">
        <v>10318.499999999998</v>
      </c>
      <c r="P471" s="7">
        <v>3</v>
      </c>
      <c r="Q471" s="5">
        <v>0</v>
      </c>
      <c r="R471" s="5">
        <v>3</v>
      </c>
      <c r="S471" s="7">
        <v>149.69999999999999</v>
      </c>
      <c r="T471" s="12">
        <v>43185</v>
      </c>
      <c r="U471" s="28">
        <v>6</v>
      </c>
      <c r="V471" s="4">
        <v>4</v>
      </c>
      <c r="W471" s="4">
        <v>4</v>
      </c>
      <c r="X471" s="45">
        <v>73591.679999999993</v>
      </c>
      <c r="Y471" s="14" t="s">
        <v>56</v>
      </c>
      <c r="Z471" s="14" t="s">
        <v>730</v>
      </c>
      <c r="AA471" s="14" t="s">
        <v>2867</v>
      </c>
      <c r="AB471" s="44">
        <v>43190</v>
      </c>
      <c r="AC471" s="44" t="s">
        <v>2868</v>
      </c>
      <c r="AD471" s="14" t="s">
        <v>51</v>
      </c>
      <c r="AE471" s="24" t="s">
        <v>1183</v>
      </c>
      <c r="AF471" s="25" t="s">
        <v>1270</v>
      </c>
      <c r="AG471" t="e">
        <f t="shared" si="7"/>
        <v>#REF!</v>
      </c>
      <c r="AI471" s="58"/>
    </row>
    <row r="472" spans="1:35" ht="15.75" customHeight="1">
      <c r="A472" s="6" t="s">
        <v>1184</v>
      </c>
      <c r="B472" s="5">
        <v>506</v>
      </c>
      <c r="C472" s="7">
        <v>51698.359999999986</v>
      </c>
      <c r="D472" s="7">
        <v>0</v>
      </c>
      <c r="E472" s="7">
        <v>0</v>
      </c>
      <c r="F472" s="5">
        <v>0</v>
      </c>
      <c r="G472" s="7">
        <v>0</v>
      </c>
      <c r="H472" s="5">
        <v>781</v>
      </c>
      <c r="I472" s="7">
        <v>88990.299999999988</v>
      </c>
      <c r="J472" s="7">
        <v>196</v>
      </c>
      <c r="K472" s="5">
        <v>0</v>
      </c>
      <c r="L472" s="5">
        <v>0</v>
      </c>
      <c r="M472" s="5">
        <v>196</v>
      </c>
      <c r="N472" s="7">
        <v>196</v>
      </c>
      <c r="O472" s="7">
        <v>11052</v>
      </c>
      <c r="P472" s="7">
        <v>14</v>
      </c>
      <c r="Q472" s="5">
        <v>0</v>
      </c>
      <c r="R472" s="5">
        <v>14</v>
      </c>
      <c r="S472" s="7">
        <v>698.6</v>
      </c>
      <c r="T472" s="12">
        <v>43185</v>
      </c>
      <c r="U472" s="28">
        <v>12</v>
      </c>
      <c r="V472" s="4">
        <v>4</v>
      </c>
      <c r="W472" s="4">
        <v>4</v>
      </c>
      <c r="X472" s="45">
        <v>152439.25999999998</v>
      </c>
      <c r="Y472" s="14" t="s">
        <v>54</v>
      </c>
      <c r="Z472" s="14" t="s">
        <v>59</v>
      </c>
      <c r="AA472" s="14" t="s">
        <v>2893</v>
      </c>
      <c r="AB472" s="44">
        <v>43192</v>
      </c>
      <c r="AC472" s="44" t="s">
        <v>2894</v>
      </c>
      <c r="AD472" s="14" t="s">
        <v>50</v>
      </c>
      <c r="AE472" s="24" t="s">
        <v>1185</v>
      </c>
      <c r="AF472" s="25" t="s">
        <v>1269</v>
      </c>
      <c r="AG472" t="e">
        <f t="shared" si="7"/>
        <v>#REF!</v>
      </c>
      <c r="AI472" s="58"/>
    </row>
    <row r="473" spans="1:35" ht="15.75" customHeight="1">
      <c r="A473" s="13" t="s">
        <v>1186</v>
      </c>
      <c r="B473" s="5">
        <v>0</v>
      </c>
      <c r="C473" s="7">
        <v>0</v>
      </c>
      <c r="D473" s="7">
        <v>0</v>
      </c>
      <c r="E473" s="7">
        <v>0</v>
      </c>
      <c r="F473" s="5">
        <v>0</v>
      </c>
      <c r="G473" s="7">
        <v>0</v>
      </c>
      <c r="H473" s="5">
        <v>0</v>
      </c>
      <c r="I473" s="7">
        <v>0</v>
      </c>
      <c r="J473" s="7">
        <v>0</v>
      </c>
      <c r="K473" s="5">
        <v>0</v>
      </c>
      <c r="L473" s="5">
        <v>0</v>
      </c>
      <c r="M473" s="5">
        <v>0</v>
      </c>
      <c r="N473" s="7">
        <v>0</v>
      </c>
      <c r="O473" s="7">
        <v>0</v>
      </c>
      <c r="P473" s="7">
        <v>207</v>
      </c>
      <c r="Q473" s="5">
        <v>0</v>
      </c>
      <c r="R473" s="5">
        <v>207</v>
      </c>
      <c r="S473" s="7">
        <v>29619.9</v>
      </c>
      <c r="T473" s="12">
        <v>43185</v>
      </c>
      <c r="U473" s="28">
        <v>2</v>
      </c>
      <c r="V473" s="4">
        <v>4</v>
      </c>
      <c r="W473" s="4">
        <v>4</v>
      </c>
      <c r="X473" s="45">
        <v>29619.9</v>
      </c>
      <c r="Y473" s="14" t="s">
        <v>56</v>
      </c>
      <c r="Z473" s="14" t="s">
        <v>1355</v>
      </c>
      <c r="AA473" s="14" t="s">
        <v>2891</v>
      </c>
      <c r="AB473" s="44">
        <v>43190</v>
      </c>
      <c r="AC473" s="44" t="s">
        <v>2892</v>
      </c>
      <c r="AD473" s="14" t="s">
        <v>49</v>
      </c>
      <c r="AE473" s="24" t="s">
        <v>1187</v>
      </c>
      <c r="AF473" s="25" t="s">
        <v>1266</v>
      </c>
      <c r="AG473" t="e">
        <f t="shared" si="7"/>
        <v>#REF!</v>
      </c>
      <c r="AI473" s="58"/>
    </row>
    <row r="474" spans="1:35" ht="15.75" customHeight="1">
      <c r="A474" s="6" t="s">
        <v>1188</v>
      </c>
      <c r="B474" s="5">
        <v>196</v>
      </c>
      <c r="C474" s="7">
        <v>17889.199999999997</v>
      </c>
      <c r="D474" s="7">
        <v>0</v>
      </c>
      <c r="E474" s="7">
        <v>0</v>
      </c>
      <c r="F474" s="5">
        <v>0</v>
      </c>
      <c r="G474" s="7">
        <v>0</v>
      </c>
      <c r="H474" s="5">
        <v>47</v>
      </c>
      <c r="I474" s="7">
        <v>5726.04</v>
      </c>
      <c r="J474" s="7">
        <v>0</v>
      </c>
      <c r="K474" s="5">
        <v>0</v>
      </c>
      <c r="L474" s="5">
        <v>0</v>
      </c>
      <c r="M474" s="5">
        <v>0</v>
      </c>
      <c r="N474" s="7">
        <v>0</v>
      </c>
      <c r="O474" s="7">
        <v>0</v>
      </c>
      <c r="P474" s="7">
        <v>0</v>
      </c>
      <c r="Q474" s="5">
        <v>0</v>
      </c>
      <c r="R474" s="5">
        <v>0</v>
      </c>
      <c r="S474" s="7">
        <v>0</v>
      </c>
      <c r="T474" s="12">
        <v>43186</v>
      </c>
      <c r="U474" s="28">
        <v>2</v>
      </c>
      <c r="V474" s="4">
        <v>4</v>
      </c>
      <c r="W474" s="4">
        <v>4</v>
      </c>
      <c r="X474" s="45">
        <v>23615.239999999998</v>
      </c>
      <c r="Y474" s="14" t="s">
        <v>1633</v>
      </c>
      <c r="Z474" s="14" t="s">
        <v>1355</v>
      </c>
      <c r="AA474" s="14" t="s">
        <v>2879</v>
      </c>
      <c r="AB474" s="44">
        <v>43191</v>
      </c>
      <c r="AC474" s="44" t="s">
        <v>2880</v>
      </c>
      <c r="AD474" s="14" t="s">
        <v>70</v>
      </c>
      <c r="AE474" s="24" t="s">
        <v>1189</v>
      </c>
      <c r="AF474" s="25" t="s">
        <v>1273</v>
      </c>
      <c r="AG474" t="e">
        <f t="shared" si="7"/>
        <v>#REF!</v>
      </c>
      <c r="AI474" s="58"/>
    </row>
    <row r="475" spans="1:35" ht="15.75" customHeight="1">
      <c r="A475" s="6" t="s">
        <v>1181</v>
      </c>
      <c r="B475" s="5">
        <v>324</v>
      </c>
      <c r="C475" s="7">
        <v>37949.800000000003</v>
      </c>
      <c r="D475" s="7">
        <v>10</v>
      </c>
      <c r="E475" s="7">
        <v>10</v>
      </c>
      <c r="F475" s="5">
        <v>0</v>
      </c>
      <c r="G475" s="7">
        <v>446</v>
      </c>
      <c r="H475" s="5">
        <v>80</v>
      </c>
      <c r="I475" s="7">
        <v>11692.05</v>
      </c>
      <c r="J475" s="7">
        <v>165</v>
      </c>
      <c r="K475" s="5">
        <v>0</v>
      </c>
      <c r="L475" s="5">
        <v>0</v>
      </c>
      <c r="M475" s="5">
        <v>165</v>
      </c>
      <c r="N475" s="7">
        <v>165</v>
      </c>
      <c r="O475" s="7">
        <v>30113.8</v>
      </c>
      <c r="P475" s="7">
        <v>0</v>
      </c>
      <c r="Q475" s="5">
        <v>0</v>
      </c>
      <c r="R475" s="5">
        <v>0</v>
      </c>
      <c r="S475" s="7">
        <v>0</v>
      </c>
      <c r="T475" s="12">
        <v>43186</v>
      </c>
      <c r="U475" s="28">
        <v>7</v>
      </c>
      <c r="V475" s="4">
        <v>4</v>
      </c>
      <c r="W475" s="4">
        <v>4</v>
      </c>
      <c r="X475" s="45">
        <v>80201.650000000009</v>
      </c>
      <c r="Y475" s="14" t="s">
        <v>56</v>
      </c>
      <c r="Z475" s="14" t="s">
        <v>1281</v>
      </c>
      <c r="AA475" s="14" t="s">
        <v>2881</v>
      </c>
      <c r="AB475" s="44">
        <v>43190</v>
      </c>
      <c r="AC475" s="44" t="s">
        <v>2882</v>
      </c>
      <c r="AD475" s="14" t="s">
        <v>52</v>
      </c>
      <c r="AE475" s="24" t="s">
        <v>1191</v>
      </c>
      <c r="AF475" s="25" t="s">
        <v>1271</v>
      </c>
      <c r="AG475" t="e">
        <f t="shared" si="7"/>
        <v>#REF!</v>
      </c>
      <c r="AI475" s="58"/>
    </row>
    <row r="476" spans="1:35" ht="15.75" customHeight="1">
      <c r="A476" s="13" t="s">
        <v>1192</v>
      </c>
      <c r="B476" s="5">
        <v>482</v>
      </c>
      <c r="C476" s="7">
        <v>49525.000000000015</v>
      </c>
      <c r="D476" s="7">
        <v>0</v>
      </c>
      <c r="E476" s="7">
        <v>0</v>
      </c>
      <c r="F476" s="5">
        <v>0</v>
      </c>
      <c r="G476" s="7">
        <v>0</v>
      </c>
      <c r="H476" s="5">
        <v>95</v>
      </c>
      <c r="I476" s="7">
        <v>12156.2</v>
      </c>
      <c r="J476" s="7">
        <v>0</v>
      </c>
      <c r="K476" s="5">
        <v>0</v>
      </c>
      <c r="L476" s="5">
        <v>0</v>
      </c>
      <c r="M476" s="5">
        <v>0</v>
      </c>
      <c r="N476" s="7">
        <v>0</v>
      </c>
      <c r="O476" s="7">
        <v>0</v>
      </c>
      <c r="P476" s="7">
        <v>0</v>
      </c>
      <c r="Q476" s="5">
        <v>0</v>
      </c>
      <c r="R476" s="5">
        <v>0</v>
      </c>
      <c r="S476" s="7">
        <v>0</v>
      </c>
      <c r="T476" s="12">
        <v>43186</v>
      </c>
      <c r="U476" s="28">
        <v>5</v>
      </c>
      <c r="V476" s="4">
        <v>4</v>
      </c>
      <c r="W476" s="4">
        <v>4</v>
      </c>
      <c r="X476" s="45">
        <v>61681.200000000012</v>
      </c>
      <c r="Y476" s="14" t="s">
        <v>54</v>
      </c>
      <c r="Z476" s="14" t="s">
        <v>55</v>
      </c>
      <c r="AA476" s="14" t="s">
        <v>2865</v>
      </c>
      <c r="AB476" s="44">
        <v>43194</v>
      </c>
      <c r="AC476" s="44" t="s">
        <v>2866</v>
      </c>
      <c r="AD476" s="14" t="s">
        <v>51</v>
      </c>
      <c r="AE476" s="24" t="s">
        <v>1193</v>
      </c>
      <c r="AF476" s="25" t="s">
        <v>1270</v>
      </c>
      <c r="AG476" t="e">
        <f t="shared" si="7"/>
        <v>#REF!</v>
      </c>
      <c r="AI476" s="58"/>
    </row>
    <row r="477" spans="1:35" ht="15.75" customHeight="1">
      <c r="A477" s="6" t="s">
        <v>1194</v>
      </c>
      <c r="B477" s="5">
        <v>285</v>
      </c>
      <c r="C477" s="7">
        <v>24893.000000000004</v>
      </c>
      <c r="D477" s="7">
        <v>0</v>
      </c>
      <c r="E477" s="7">
        <v>0</v>
      </c>
      <c r="F477" s="5">
        <v>0</v>
      </c>
      <c r="G477" s="7">
        <v>0</v>
      </c>
      <c r="H477" s="5">
        <v>100</v>
      </c>
      <c r="I477" s="7">
        <v>15390.250000000004</v>
      </c>
      <c r="J477" s="7">
        <v>58</v>
      </c>
      <c r="K477" s="5">
        <v>0</v>
      </c>
      <c r="L477" s="5">
        <v>0</v>
      </c>
      <c r="M477" s="5">
        <v>58</v>
      </c>
      <c r="N477" s="7">
        <v>58</v>
      </c>
      <c r="O477" s="7">
        <v>8758</v>
      </c>
      <c r="P477" s="7">
        <v>831</v>
      </c>
      <c r="Q477" s="5">
        <v>0</v>
      </c>
      <c r="R477" s="5">
        <v>831</v>
      </c>
      <c r="S477" s="7">
        <v>82036.3</v>
      </c>
      <c r="T477" s="12">
        <v>43186</v>
      </c>
      <c r="U477" s="28">
        <v>8</v>
      </c>
      <c r="V477" s="4">
        <v>4</v>
      </c>
      <c r="W477" s="4">
        <v>4</v>
      </c>
      <c r="X477" s="45">
        <v>131077.55000000002</v>
      </c>
      <c r="Y477" s="14" t="s">
        <v>56</v>
      </c>
      <c r="Z477" s="14" t="s">
        <v>730</v>
      </c>
      <c r="AA477" s="14" t="s">
        <v>2895</v>
      </c>
      <c r="AB477" s="44">
        <v>43194</v>
      </c>
      <c r="AC477" s="44" t="s">
        <v>2896</v>
      </c>
      <c r="AD477" s="14" t="s">
        <v>51</v>
      </c>
      <c r="AE477" s="24" t="s">
        <v>1195</v>
      </c>
      <c r="AF477" s="25" t="s">
        <v>1270</v>
      </c>
      <c r="AG477" t="e">
        <f t="shared" si="7"/>
        <v>#REF!</v>
      </c>
      <c r="AI477" s="58"/>
    </row>
    <row r="478" spans="1:35" ht="15.75" customHeight="1">
      <c r="A478" s="6" t="s">
        <v>1196</v>
      </c>
      <c r="B478" s="5">
        <v>449</v>
      </c>
      <c r="C478" s="7">
        <v>41327.800000000003</v>
      </c>
      <c r="D478" s="7">
        <v>0</v>
      </c>
      <c r="E478" s="7">
        <v>0</v>
      </c>
      <c r="F478" s="5">
        <v>0</v>
      </c>
      <c r="G478" s="7">
        <v>0</v>
      </c>
      <c r="H478" s="5">
        <v>0</v>
      </c>
      <c r="I478" s="7">
        <v>0</v>
      </c>
      <c r="J478" s="7">
        <v>239</v>
      </c>
      <c r="K478" s="5">
        <v>0</v>
      </c>
      <c r="L478" s="5">
        <v>0</v>
      </c>
      <c r="M478" s="5">
        <v>239</v>
      </c>
      <c r="N478" s="7">
        <v>239</v>
      </c>
      <c r="O478" s="7">
        <v>38751.199999999997</v>
      </c>
      <c r="P478" s="7">
        <v>0</v>
      </c>
      <c r="Q478" s="5">
        <v>0</v>
      </c>
      <c r="R478" s="5">
        <v>0</v>
      </c>
      <c r="S478" s="7">
        <v>0</v>
      </c>
      <c r="T478" s="12">
        <v>43186</v>
      </c>
      <c r="U478" s="28">
        <v>7</v>
      </c>
      <c r="V478" s="4">
        <v>4</v>
      </c>
      <c r="W478" s="4">
        <v>4</v>
      </c>
      <c r="X478" s="45">
        <v>80079</v>
      </c>
      <c r="Y478" s="14" t="s">
        <v>54</v>
      </c>
      <c r="Z478" s="14" t="s">
        <v>1355</v>
      </c>
      <c r="AA478" s="14" t="s">
        <v>2871</v>
      </c>
      <c r="AB478" s="44">
        <v>43191</v>
      </c>
      <c r="AC478" s="44" t="s">
        <v>2872</v>
      </c>
      <c r="AD478" s="14" t="s">
        <v>50</v>
      </c>
      <c r="AE478" s="53" t="s">
        <v>1197</v>
      </c>
      <c r="AF478" s="25" t="s">
        <v>1269</v>
      </c>
      <c r="AG478" t="e">
        <f t="shared" si="7"/>
        <v>#REF!</v>
      </c>
      <c r="AI478" s="58"/>
    </row>
    <row r="479" spans="1:35" ht="15.75" customHeight="1">
      <c r="A479" s="13" t="s">
        <v>1198</v>
      </c>
      <c r="B479" s="5">
        <v>437</v>
      </c>
      <c r="C479" s="7">
        <v>40835.599999999999</v>
      </c>
      <c r="D479" s="7">
        <v>0</v>
      </c>
      <c r="E479" s="7">
        <v>0</v>
      </c>
      <c r="F479" s="5">
        <v>0</v>
      </c>
      <c r="G479" s="7">
        <v>0</v>
      </c>
      <c r="H479" s="5">
        <v>0</v>
      </c>
      <c r="I479" s="7">
        <v>0</v>
      </c>
      <c r="J479" s="7">
        <v>94</v>
      </c>
      <c r="K479" s="5">
        <v>0</v>
      </c>
      <c r="L479" s="5">
        <v>0</v>
      </c>
      <c r="M479" s="5">
        <v>94</v>
      </c>
      <c r="N479" s="7">
        <v>94</v>
      </c>
      <c r="O479" s="7">
        <v>18688.200000000004</v>
      </c>
      <c r="P479" s="7">
        <v>341</v>
      </c>
      <c r="Q479" s="5">
        <v>0</v>
      </c>
      <c r="R479" s="5">
        <v>341</v>
      </c>
      <c r="S479" s="7">
        <v>59303</v>
      </c>
      <c r="T479" s="12">
        <v>43186</v>
      </c>
      <c r="U479" s="28">
        <v>9</v>
      </c>
      <c r="V479" s="4">
        <v>4</v>
      </c>
      <c r="W479" s="4">
        <v>4</v>
      </c>
      <c r="X479" s="45">
        <v>118826.8</v>
      </c>
      <c r="Y479" s="14" t="s">
        <v>54</v>
      </c>
      <c r="Z479" s="14" t="s">
        <v>59</v>
      </c>
      <c r="AA479" s="14" t="s">
        <v>2897</v>
      </c>
      <c r="AB479" s="44">
        <v>43195</v>
      </c>
      <c r="AC479" s="44" t="s">
        <v>2898</v>
      </c>
      <c r="AD479" s="14" t="s">
        <v>50</v>
      </c>
      <c r="AE479" s="24" t="s">
        <v>1199</v>
      </c>
      <c r="AF479" s="25" t="s">
        <v>1269</v>
      </c>
      <c r="AG479" t="e">
        <f t="shared" si="7"/>
        <v>#REF!</v>
      </c>
      <c r="AI479" s="58"/>
    </row>
    <row r="480" spans="1:35" ht="15.75" customHeight="1">
      <c r="A480" s="6" t="s">
        <v>1190</v>
      </c>
      <c r="B480" s="5">
        <v>477</v>
      </c>
      <c r="C480" s="7">
        <v>15622.75</v>
      </c>
      <c r="D480" s="7">
        <v>0</v>
      </c>
      <c r="E480" s="7">
        <v>0</v>
      </c>
      <c r="F480" s="5">
        <v>0</v>
      </c>
      <c r="G480" s="7">
        <v>0</v>
      </c>
      <c r="H480" s="5">
        <v>220</v>
      </c>
      <c r="I480" s="7">
        <v>26529.899999999998</v>
      </c>
      <c r="J480" s="7">
        <v>238</v>
      </c>
      <c r="K480" s="5">
        <v>0</v>
      </c>
      <c r="L480" s="5">
        <v>0</v>
      </c>
      <c r="M480" s="5">
        <v>238</v>
      </c>
      <c r="N480" s="7">
        <v>238</v>
      </c>
      <c r="O480" s="7">
        <v>6513.4</v>
      </c>
      <c r="P480" s="7">
        <v>0</v>
      </c>
      <c r="Q480" s="5">
        <v>0</v>
      </c>
      <c r="R480" s="5">
        <v>0</v>
      </c>
      <c r="S480" s="7">
        <v>0</v>
      </c>
      <c r="T480" s="12">
        <v>43187</v>
      </c>
      <c r="U480" s="28">
        <v>3</v>
      </c>
      <c r="V480" s="4">
        <v>4</v>
      </c>
      <c r="W480" s="4">
        <v>4</v>
      </c>
      <c r="X480" s="45">
        <v>48666.049999999996</v>
      </c>
      <c r="Y480" s="14" t="s">
        <v>56</v>
      </c>
      <c r="Z480" s="14" t="s">
        <v>57</v>
      </c>
      <c r="AA480" s="14" t="s">
        <v>2891</v>
      </c>
      <c r="AB480" s="44">
        <v>43190</v>
      </c>
      <c r="AC480" s="44" t="s">
        <v>2892</v>
      </c>
      <c r="AD480" s="14" t="s">
        <v>49</v>
      </c>
      <c r="AE480" s="24" t="s">
        <v>1200</v>
      </c>
      <c r="AF480" s="25" t="s">
        <v>1265</v>
      </c>
      <c r="AG480" t="e">
        <f t="shared" si="7"/>
        <v>#REF!</v>
      </c>
      <c r="AI480" s="58"/>
    </row>
    <row r="481" spans="1:41" ht="15.75" customHeight="1">
      <c r="A481" s="6" t="s">
        <v>1201</v>
      </c>
      <c r="B481" s="5">
        <v>56</v>
      </c>
      <c r="C481" s="7">
        <v>7421.7000000000007</v>
      </c>
      <c r="D481" s="7">
        <v>0</v>
      </c>
      <c r="E481" s="7">
        <v>0</v>
      </c>
      <c r="F481" s="5">
        <v>0</v>
      </c>
      <c r="G481" s="7">
        <v>0</v>
      </c>
      <c r="H481" s="5">
        <v>0</v>
      </c>
      <c r="I481" s="7">
        <v>0</v>
      </c>
      <c r="J481" s="7">
        <v>0</v>
      </c>
      <c r="K481" s="5">
        <v>0</v>
      </c>
      <c r="L481" s="5">
        <v>0</v>
      </c>
      <c r="M481" s="5">
        <v>0</v>
      </c>
      <c r="N481" s="7">
        <v>0</v>
      </c>
      <c r="O481" s="7">
        <v>0</v>
      </c>
      <c r="P481" s="7">
        <v>30</v>
      </c>
      <c r="Q481" s="5">
        <v>0</v>
      </c>
      <c r="R481" s="5">
        <v>30</v>
      </c>
      <c r="S481" s="7">
        <v>5673</v>
      </c>
      <c r="T481" s="12">
        <v>43187</v>
      </c>
      <c r="U481" s="28">
        <v>1</v>
      </c>
      <c r="V481" s="4">
        <v>4</v>
      </c>
      <c r="W481" s="4">
        <v>4</v>
      </c>
      <c r="X481" s="45">
        <v>13094.7</v>
      </c>
      <c r="Y481" s="14" t="s">
        <v>56</v>
      </c>
      <c r="Z481" s="14" t="s">
        <v>1281</v>
      </c>
      <c r="AA481" s="14" t="s">
        <v>2881</v>
      </c>
      <c r="AB481" s="44">
        <v>43190</v>
      </c>
      <c r="AC481" s="44" t="s">
        <v>2882</v>
      </c>
      <c r="AD481" s="14" t="s">
        <v>52</v>
      </c>
      <c r="AE481" s="24" t="s">
        <v>1202</v>
      </c>
      <c r="AF481" s="25" t="s">
        <v>1271</v>
      </c>
      <c r="AG481" t="e">
        <f t="shared" si="7"/>
        <v>#REF!</v>
      </c>
      <c r="AI481" s="58"/>
    </row>
    <row r="482" spans="1:41" ht="15.75" customHeight="1">
      <c r="A482" s="13" t="s">
        <v>1204</v>
      </c>
      <c r="B482" s="5">
        <v>240</v>
      </c>
      <c r="C482" s="7">
        <v>25470.200000000004</v>
      </c>
      <c r="D482" s="7">
        <v>0</v>
      </c>
      <c r="E482" s="7">
        <v>0</v>
      </c>
      <c r="F482" s="5">
        <v>0</v>
      </c>
      <c r="G482" s="7">
        <v>0</v>
      </c>
      <c r="H482" s="5">
        <v>195</v>
      </c>
      <c r="I482" s="7">
        <v>23354.2</v>
      </c>
      <c r="J482" s="7">
        <v>86</v>
      </c>
      <c r="K482" s="5">
        <v>0</v>
      </c>
      <c r="L482" s="5">
        <v>0</v>
      </c>
      <c r="M482" s="5">
        <v>86</v>
      </c>
      <c r="N482" s="7">
        <v>86</v>
      </c>
      <c r="O482" s="7">
        <v>19343.7</v>
      </c>
      <c r="P482" s="7">
        <v>985</v>
      </c>
      <c r="Q482" s="5">
        <v>0</v>
      </c>
      <c r="R482" s="5">
        <v>985</v>
      </c>
      <c r="S482" s="7">
        <v>107180.8</v>
      </c>
      <c r="T482" s="12">
        <v>43187</v>
      </c>
      <c r="U482" s="28">
        <v>11</v>
      </c>
      <c r="V482" s="4">
        <v>4</v>
      </c>
      <c r="W482" s="4">
        <v>4</v>
      </c>
      <c r="X482" s="45">
        <v>175348.90000000002</v>
      </c>
      <c r="Y482" s="14" t="s">
        <v>56</v>
      </c>
      <c r="Z482" s="14" t="s">
        <v>55</v>
      </c>
      <c r="AA482" s="14" t="s">
        <v>2895</v>
      </c>
      <c r="AB482" s="44">
        <v>43194</v>
      </c>
      <c r="AC482" s="44" t="s">
        <v>2896</v>
      </c>
      <c r="AD482" s="14" t="s">
        <v>51</v>
      </c>
      <c r="AE482" s="24" t="s">
        <v>1205</v>
      </c>
      <c r="AF482" s="25" t="s">
        <v>1270</v>
      </c>
      <c r="AG482" t="e">
        <f t="shared" si="7"/>
        <v>#REF!</v>
      </c>
      <c r="AI482" s="58"/>
    </row>
    <row r="483" spans="1:41" ht="15.75" customHeight="1">
      <c r="A483" s="6" t="s">
        <v>1207</v>
      </c>
      <c r="B483" s="5">
        <v>437</v>
      </c>
      <c r="C483" s="7">
        <v>36903.570000000007</v>
      </c>
      <c r="D483" s="7">
        <v>0</v>
      </c>
      <c r="E483" s="7">
        <v>0</v>
      </c>
      <c r="F483" s="5">
        <v>0</v>
      </c>
      <c r="G483" s="7">
        <v>0</v>
      </c>
      <c r="H483" s="5">
        <v>0</v>
      </c>
      <c r="I483" s="7">
        <v>0</v>
      </c>
      <c r="J483" s="7">
        <v>131</v>
      </c>
      <c r="K483" s="5">
        <v>0</v>
      </c>
      <c r="L483" s="5">
        <v>0</v>
      </c>
      <c r="M483" s="5">
        <v>131</v>
      </c>
      <c r="N483" s="7">
        <v>131</v>
      </c>
      <c r="O483" s="7">
        <v>27438.200000000008</v>
      </c>
      <c r="P483" s="7">
        <v>367</v>
      </c>
      <c r="Q483" s="5">
        <v>0</v>
      </c>
      <c r="R483" s="5">
        <v>367</v>
      </c>
      <c r="S483" s="7">
        <v>66555.199999999997</v>
      </c>
      <c r="T483" s="12">
        <v>43187</v>
      </c>
      <c r="U483" s="28">
        <v>10</v>
      </c>
      <c r="V483" s="4">
        <v>4</v>
      </c>
      <c r="W483" s="4">
        <v>4</v>
      </c>
      <c r="X483" s="45">
        <v>130896.97000000002</v>
      </c>
      <c r="Y483" s="14" t="s">
        <v>54</v>
      </c>
      <c r="Z483" s="14" t="s">
        <v>1355</v>
      </c>
      <c r="AA483" s="14" t="s">
        <v>2897</v>
      </c>
      <c r="AB483" s="44">
        <v>43195</v>
      </c>
      <c r="AC483" s="44" t="s">
        <v>2898</v>
      </c>
      <c r="AD483" s="29" t="s">
        <v>50</v>
      </c>
      <c r="AE483" s="43" t="s">
        <v>1208</v>
      </c>
      <c r="AF483" s="25" t="s">
        <v>1269</v>
      </c>
      <c r="AG483" t="e">
        <f t="shared" si="7"/>
        <v>#REF!</v>
      </c>
      <c r="AH483" s="30"/>
      <c r="AI483" s="58"/>
      <c r="AK483" s="30"/>
      <c r="AL483" s="30"/>
      <c r="AM483" s="30"/>
      <c r="AN483" s="30"/>
    </row>
    <row r="484" spans="1:41" ht="15.75" customHeight="1">
      <c r="A484" s="6" t="s">
        <v>1209</v>
      </c>
      <c r="B484" s="5">
        <v>0</v>
      </c>
      <c r="C484" s="7">
        <v>0</v>
      </c>
      <c r="D484" s="7">
        <v>0</v>
      </c>
      <c r="E484" s="7">
        <v>0</v>
      </c>
      <c r="F484" s="5">
        <v>0</v>
      </c>
      <c r="G484" s="7">
        <v>0</v>
      </c>
      <c r="H484" s="5">
        <v>331</v>
      </c>
      <c r="I484" s="7">
        <v>40579.69999999999</v>
      </c>
      <c r="J484" s="7">
        <v>0</v>
      </c>
      <c r="K484" s="5">
        <v>0</v>
      </c>
      <c r="L484" s="5">
        <v>0</v>
      </c>
      <c r="M484" s="5">
        <v>0</v>
      </c>
      <c r="N484" s="7">
        <v>0</v>
      </c>
      <c r="O484" s="7">
        <v>0</v>
      </c>
      <c r="P484" s="7">
        <v>851</v>
      </c>
      <c r="Q484" s="5">
        <v>0</v>
      </c>
      <c r="R484" s="5">
        <v>851</v>
      </c>
      <c r="S484" s="7">
        <v>78862.3</v>
      </c>
      <c r="T484" s="12">
        <v>43188</v>
      </c>
      <c r="U484" s="28">
        <v>7</v>
      </c>
      <c r="V484" s="4">
        <v>4</v>
      </c>
      <c r="W484" s="4">
        <v>4</v>
      </c>
      <c r="X484" s="45">
        <v>119442</v>
      </c>
      <c r="Y484" s="14" t="s">
        <v>1636</v>
      </c>
      <c r="Z484" s="14" t="s">
        <v>57</v>
      </c>
      <c r="AA484" s="14" t="s">
        <v>2899</v>
      </c>
      <c r="AB484" s="44">
        <v>43196</v>
      </c>
      <c r="AC484" s="44" t="s">
        <v>2900</v>
      </c>
      <c r="AD484" s="29" t="s">
        <v>49</v>
      </c>
      <c r="AE484" s="43" t="s">
        <v>1210</v>
      </c>
      <c r="AF484" s="25" t="s">
        <v>1265</v>
      </c>
      <c r="AG484" t="e">
        <f t="shared" si="7"/>
        <v>#REF!</v>
      </c>
      <c r="AH484" s="30"/>
      <c r="AI484" s="58"/>
      <c r="AK484" s="30"/>
      <c r="AL484" s="30"/>
      <c r="AM484" s="30"/>
      <c r="AN484" s="30"/>
    </row>
    <row r="485" spans="1:41" s="50" customFormat="1" ht="15.75" customHeight="1">
      <c r="A485" s="13" t="s">
        <v>1211</v>
      </c>
      <c r="B485" s="5">
        <v>135</v>
      </c>
      <c r="C485" s="7">
        <v>11872.3</v>
      </c>
      <c r="D485" s="7">
        <v>0</v>
      </c>
      <c r="E485" s="7">
        <v>0</v>
      </c>
      <c r="F485" s="5">
        <v>0</v>
      </c>
      <c r="G485" s="7">
        <v>0</v>
      </c>
      <c r="H485" s="5">
        <v>0</v>
      </c>
      <c r="I485" s="7">
        <v>0</v>
      </c>
      <c r="J485" s="7">
        <v>0</v>
      </c>
      <c r="K485" s="5">
        <v>0</v>
      </c>
      <c r="L485" s="5">
        <v>0</v>
      </c>
      <c r="M485" s="5">
        <v>0</v>
      </c>
      <c r="N485" s="7">
        <v>0</v>
      </c>
      <c r="O485" s="7">
        <v>0</v>
      </c>
      <c r="P485" s="7">
        <v>182</v>
      </c>
      <c r="Q485" s="5">
        <v>0</v>
      </c>
      <c r="R485" s="5">
        <v>182</v>
      </c>
      <c r="S485" s="7">
        <v>27674.800000000003</v>
      </c>
      <c r="T485" s="12">
        <v>43188</v>
      </c>
      <c r="U485" s="28">
        <v>3</v>
      </c>
      <c r="V485" s="4">
        <v>4</v>
      </c>
      <c r="W485" s="4">
        <v>4</v>
      </c>
      <c r="X485" s="45">
        <v>39547.100000000006</v>
      </c>
      <c r="Y485" s="14" t="s">
        <v>56</v>
      </c>
      <c r="Z485" s="14" t="s">
        <v>1355</v>
      </c>
      <c r="AA485" s="14" t="s">
        <v>2901</v>
      </c>
      <c r="AB485" s="44">
        <v>43194</v>
      </c>
      <c r="AC485" s="44" t="s">
        <v>2902</v>
      </c>
      <c r="AD485" s="29" t="s">
        <v>49</v>
      </c>
      <c r="AE485" s="43" t="s">
        <v>1212</v>
      </c>
      <c r="AF485" s="25" t="s">
        <v>1267</v>
      </c>
      <c r="AG485" t="e">
        <f t="shared" si="7"/>
        <v>#REF!</v>
      </c>
      <c r="AH485" s="30"/>
      <c r="AI485" s="58"/>
      <c r="AJ485"/>
      <c r="AK485" s="30"/>
      <c r="AL485" s="30"/>
      <c r="AM485" s="30"/>
      <c r="AN485" s="30"/>
      <c r="AO485" s="34"/>
    </row>
    <row r="486" spans="1:41" ht="15.75" customHeight="1">
      <c r="A486" s="13" t="s">
        <v>1203</v>
      </c>
      <c r="B486" s="5">
        <v>1104</v>
      </c>
      <c r="C486" s="7">
        <v>113829.6</v>
      </c>
      <c r="D486" s="7">
        <v>0</v>
      </c>
      <c r="E486" s="7">
        <v>0</v>
      </c>
      <c r="F486" s="5">
        <v>0</v>
      </c>
      <c r="G486" s="7">
        <v>0</v>
      </c>
      <c r="H486" s="5">
        <v>215</v>
      </c>
      <c r="I486" s="7">
        <v>25437.7</v>
      </c>
      <c r="J486" s="7">
        <v>218</v>
      </c>
      <c r="K486" s="5">
        <v>0</v>
      </c>
      <c r="L486" s="5">
        <v>0</v>
      </c>
      <c r="M486" s="5">
        <v>218</v>
      </c>
      <c r="N486" s="7">
        <v>218</v>
      </c>
      <c r="O486" s="7">
        <v>11997.599999999999</v>
      </c>
      <c r="P486" s="7">
        <v>84</v>
      </c>
      <c r="Q486" s="5">
        <v>0</v>
      </c>
      <c r="R486" s="5">
        <v>84</v>
      </c>
      <c r="S486" s="7">
        <v>18194.399999999998</v>
      </c>
      <c r="T486" s="12">
        <v>43188</v>
      </c>
      <c r="U486" s="4">
        <v>13</v>
      </c>
      <c r="V486" s="4">
        <v>3</v>
      </c>
      <c r="W486" s="4">
        <v>3</v>
      </c>
      <c r="X486" s="45">
        <v>169459.30000000002</v>
      </c>
      <c r="Y486" s="14" t="s">
        <v>56</v>
      </c>
      <c r="Z486" s="14" t="s">
        <v>730</v>
      </c>
      <c r="AA486" s="14" t="s">
        <v>2867</v>
      </c>
      <c r="AB486" s="44">
        <v>43190</v>
      </c>
      <c r="AC486" s="44" t="s">
        <v>2868</v>
      </c>
      <c r="AD486" s="29" t="s">
        <v>51</v>
      </c>
      <c r="AE486" s="43" t="s">
        <v>1213</v>
      </c>
      <c r="AF486" s="25" t="s">
        <v>1270</v>
      </c>
      <c r="AG486" t="e">
        <f t="shared" si="7"/>
        <v>#REF!</v>
      </c>
      <c r="AH486" s="30"/>
      <c r="AI486" s="58"/>
      <c r="AK486" s="30"/>
      <c r="AL486" s="30"/>
      <c r="AM486" s="30"/>
      <c r="AN486" s="30"/>
    </row>
    <row r="487" spans="1:41" ht="15.75" customHeight="1">
      <c r="A487" s="6" t="s">
        <v>1214</v>
      </c>
      <c r="B487" s="5">
        <v>212</v>
      </c>
      <c r="C487" s="7">
        <v>21278.189999999991</v>
      </c>
      <c r="D487" s="7">
        <v>0</v>
      </c>
      <c r="E487" s="7">
        <v>0</v>
      </c>
      <c r="F487" s="5">
        <v>0</v>
      </c>
      <c r="G487" s="7">
        <v>0</v>
      </c>
      <c r="H487" s="5">
        <v>220</v>
      </c>
      <c r="I487" s="7">
        <v>26116.899999999998</v>
      </c>
      <c r="J487" s="7">
        <v>0</v>
      </c>
      <c r="K487" s="5">
        <v>0</v>
      </c>
      <c r="L487" s="5">
        <v>0</v>
      </c>
      <c r="M487" s="5">
        <v>0</v>
      </c>
      <c r="N487" s="7">
        <v>0</v>
      </c>
      <c r="O487" s="7">
        <v>0</v>
      </c>
      <c r="P487" s="7">
        <v>243</v>
      </c>
      <c r="Q487" s="5">
        <v>0</v>
      </c>
      <c r="R487" s="5">
        <v>243</v>
      </c>
      <c r="S487" s="7">
        <v>43929.8</v>
      </c>
      <c r="T487" s="12">
        <v>43188</v>
      </c>
      <c r="U487" s="4">
        <v>7</v>
      </c>
      <c r="V487" s="4">
        <v>5</v>
      </c>
      <c r="W487" s="4">
        <v>8</v>
      </c>
      <c r="X487" s="45">
        <v>91324.889999999985</v>
      </c>
      <c r="Y487" s="14" t="s">
        <v>58</v>
      </c>
      <c r="Z487" s="14" t="s">
        <v>55</v>
      </c>
      <c r="AA487" s="14" t="s">
        <v>2903</v>
      </c>
      <c r="AB487" s="44">
        <v>43194</v>
      </c>
      <c r="AC487" s="44" t="s">
        <v>2902</v>
      </c>
      <c r="AD487" s="29" t="s">
        <v>51</v>
      </c>
      <c r="AE487" s="43" t="s">
        <v>1215</v>
      </c>
      <c r="AF487" s="25" t="s">
        <v>1270</v>
      </c>
      <c r="AG487" t="e">
        <f t="shared" si="7"/>
        <v>#REF!</v>
      </c>
      <c r="AH487" s="30"/>
      <c r="AI487" s="58"/>
      <c r="AK487" s="30"/>
      <c r="AL487" s="30"/>
      <c r="AM487" s="30"/>
      <c r="AN487" s="30"/>
    </row>
    <row r="488" spans="1:41" ht="15.75" customHeight="1">
      <c r="A488" s="6" t="s">
        <v>1216</v>
      </c>
      <c r="B488" s="5">
        <v>107</v>
      </c>
      <c r="C488" s="7">
        <v>10146.64</v>
      </c>
      <c r="D488" s="7">
        <v>0</v>
      </c>
      <c r="E488" s="7">
        <v>0</v>
      </c>
      <c r="F488" s="5">
        <v>0</v>
      </c>
      <c r="G488" s="7">
        <v>0</v>
      </c>
      <c r="H488" s="5">
        <v>0</v>
      </c>
      <c r="I488" s="7">
        <v>0</v>
      </c>
      <c r="J488" s="7">
        <v>0</v>
      </c>
      <c r="K488" s="5">
        <v>0</v>
      </c>
      <c r="L488" s="5">
        <v>0</v>
      </c>
      <c r="M488" s="5">
        <v>0</v>
      </c>
      <c r="N488" s="7">
        <v>0</v>
      </c>
      <c r="O488" s="7">
        <v>0</v>
      </c>
      <c r="P488" s="7">
        <v>110</v>
      </c>
      <c r="Q488" s="5">
        <v>0</v>
      </c>
      <c r="R488" s="5">
        <v>110</v>
      </c>
      <c r="S488" s="7">
        <v>13803.599999999999</v>
      </c>
      <c r="T488" s="12">
        <v>43188</v>
      </c>
      <c r="U488" s="4">
        <v>2</v>
      </c>
      <c r="V488" s="4">
        <v>4</v>
      </c>
      <c r="W488" s="4">
        <v>4</v>
      </c>
      <c r="X488" s="45">
        <v>23950.239999999998</v>
      </c>
      <c r="Y488" s="14" t="s">
        <v>85</v>
      </c>
      <c r="Z488" s="14" t="s">
        <v>57</v>
      </c>
      <c r="AA488" s="14">
        <v>350810027637</v>
      </c>
      <c r="AB488" s="44">
        <v>43191</v>
      </c>
      <c r="AC488" s="44" t="s">
        <v>2904</v>
      </c>
      <c r="AD488" s="29" t="s">
        <v>600</v>
      </c>
      <c r="AE488" s="43">
        <v>2500000041275</v>
      </c>
      <c r="AF488" s="25" t="s">
        <v>1275</v>
      </c>
      <c r="AG488" t="e">
        <f t="shared" si="7"/>
        <v>#REF!</v>
      </c>
      <c r="AH488" s="30"/>
      <c r="AI488" s="58"/>
      <c r="AK488" s="30"/>
      <c r="AL488" s="30"/>
      <c r="AM488" s="30"/>
      <c r="AN488" s="30"/>
    </row>
    <row r="489" spans="1:41" ht="15.75" customHeight="1">
      <c r="A489" s="13" t="s">
        <v>1206</v>
      </c>
      <c r="B489" s="5">
        <v>972</v>
      </c>
      <c r="C489" s="7">
        <v>91609.400000000009</v>
      </c>
      <c r="D489" s="7">
        <v>0</v>
      </c>
      <c r="E489" s="7">
        <v>0</v>
      </c>
      <c r="F489" s="5">
        <v>0</v>
      </c>
      <c r="G489" s="7">
        <v>0</v>
      </c>
      <c r="H489" s="5">
        <v>495</v>
      </c>
      <c r="I489" s="7">
        <v>61617.5</v>
      </c>
      <c r="J489" s="7">
        <v>256</v>
      </c>
      <c r="K489" s="5">
        <v>0</v>
      </c>
      <c r="L489" s="5">
        <v>0</v>
      </c>
      <c r="M489" s="5">
        <v>256</v>
      </c>
      <c r="N489" s="7">
        <v>256</v>
      </c>
      <c r="O489" s="7">
        <v>42129.2</v>
      </c>
      <c r="P489" s="7">
        <v>0</v>
      </c>
      <c r="Q489" s="5">
        <v>0</v>
      </c>
      <c r="R489" s="5">
        <v>0</v>
      </c>
      <c r="S489" s="7">
        <v>0</v>
      </c>
      <c r="T489" s="12">
        <v>43188</v>
      </c>
      <c r="U489" s="4">
        <v>16</v>
      </c>
      <c r="V489" s="4">
        <v>5</v>
      </c>
      <c r="W489" s="4">
        <v>6</v>
      </c>
      <c r="X489" s="45">
        <v>195356.10000000003</v>
      </c>
      <c r="Y489" s="14" t="s">
        <v>54</v>
      </c>
      <c r="Z489" s="14" t="s">
        <v>59</v>
      </c>
      <c r="AA489" s="14" t="s">
        <v>2893</v>
      </c>
      <c r="AB489" s="44">
        <v>43192</v>
      </c>
      <c r="AC489" s="44" t="s">
        <v>2894</v>
      </c>
      <c r="AD489" s="14" t="s">
        <v>50</v>
      </c>
      <c r="AE489" s="24" t="s">
        <v>1217</v>
      </c>
      <c r="AF489" s="25" t="s">
        <v>1269</v>
      </c>
      <c r="AG489" t="e">
        <f t="shared" si="7"/>
        <v>#REF!</v>
      </c>
      <c r="AI489" s="58"/>
    </row>
    <row r="490" spans="1:41" ht="15.75" customHeight="1">
      <c r="A490" s="13" t="s">
        <v>1219</v>
      </c>
      <c r="B490" s="5">
        <v>118</v>
      </c>
      <c r="C490" s="7">
        <v>11540.8</v>
      </c>
      <c r="D490" s="7">
        <v>0</v>
      </c>
      <c r="E490" s="7">
        <v>0</v>
      </c>
      <c r="F490" s="5">
        <v>0</v>
      </c>
      <c r="G490" s="7">
        <v>0</v>
      </c>
      <c r="H490" s="5">
        <v>95</v>
      </c>
      <c r="I490" s="7">
        <v>12156.2</v>
      </c>
      <c r="J490" s="7">
        <v>58</v>
      </c>
      <c r="K490" s="5">
        <v>0</v>
      </c>
      <c r="L490" s="5">
        <v>0</v>
      </c>
      <c r="M490" s="5">
        <v>58</v>
      </c>
      <c r="N490" s="7">
        <v>58</v>
      </c>
      <c r="O490" s="7">
        <v>10248.599999999999</v>
      </c>
      <c r="P490" s="7">
        <v>202</v>
      </c>
      <c r="Q490" s="5">
        <v>0</v>
      </c>
      <c r="R490" s="5">
        <v>202</v>
      </c>
      <c r="S490" s="7">
        <v>28528.800000000003</v>
      </c>
      <c r="T490" s="12">
        <v>43188</v>
      </c>
      <c r="U490" s="4">
        <v>5</v>
      </c>
      <c r="V490" s="4">
        <v>1</v>
      </c>
      <c r="W490" s="4">
        <v>4</v>
      </c>
      <c r="X490" s="45">
        <v>62474.400000000001</v>
      </c>
      <c r="Y490" s="14" t="s">
        <v>56</v>
      </c>
      <c r="Z490" s="14" t="s">
        <v>1637</v>
      </c>
      <c r="AA490" s="14" t="s">
        <v>2901</v>
      </c>
      <c r="AB490" s="44">
        <v>43194</v>
      </c>
      <c r="AC490" s="44" t="s">
        <v>2902</v>
      </c>
      <c r="AD490" s="14" t="s">
        <v>49</v>
      </c>
      <c r="AE490" s="24" t="s">
        <v>1220</v>
      </c>
      <c r="AF490" s="25" t="s">
        <v>1266</v>
      </c>
      <c r="AG490" t="e">
        <f t="shared" si="7"/>
        <v>#REF!</v>
      </c>
      <c r="AI490" s="58"/>
    </row>
    <row r="491" spans="1:41" ht="15.75" customHeight="1">
      <c r="A491" s="6" t="s">
        <v>1221</v>
      </c>
      <c r="B491" s="5">
        <v>85</v>
      </c>
      <c r="C491" s="7">
        <v>11327</v>
      </c>
      <c r="D491" s="7">
        <v>0</v>
      </c>
      <c r="E491" s="7">
        <v>0</v>
      </c>
      <c r="F491" s="5">
        <v>0</v>
      </c>
      <c r="G491" s="7">
        <v>0</v>
      </c>
      <c r="H491" s="5">
        <v>1091</v>
      </c>
      <c r="I491" s="7">
        <v>76066.66</v>
      </c>
      <c r="J491" s="7">
        <v>165</v>
      </c>
      <c r="K491" s="5">
        <v>0</v>
      </c>
      <c r="L491" s="5">
        <v>0</v>
      </c>
      <c r="M491" s="5">
        <v>165</v>
      </c>
      <c r="N491" s="7">
        <v>165</v>
      </c>
      <c r="O491" s="7">
        <v>3844.5</v>
      </c>
      <c r="P491" s="7">
        <v>160</v>
      </c>
      <c r="Q491" s="5">
        <v>0</v>
      </c>
      <c r="R491" s="5">
        <v>160</v>
      </c>
      <c r="S491" s="7">
        <v>7984</v>
      </c>
      <c r="T491" s="12">
        <v>43189</v>
      </c>
      <c r="U491" s="4">
        <v>8</v>
      </c>
      <c r="V491" s="4">
        <v>4</v>
      </c>
      <c r="W491" s="4">
        <v>5</v>
      </c>
      <c r="X491" s="45">
        <v>99222.16</v>
      </c>
      <c r="Y491" s="14" t="s">
        <v>54</v>
      </c>
      <c r="Z491" s="14" t="s">
        <v>57</v>
      </c>
      <c r="AA491" s="14" t="s">
        <v>2905</v>
      </c>
      <c r="AB491" s="44">
        <v>43192</v>
      </c>
      <c r="AC491" s="44" t="s">
        <v>2894</v>
      </c>
      <c r="AD491" s="14" t="s">
        <v>49</v>
      </c>
      <c r="AE491" s="24" t="s">
        <v>1222</v>
      </c>
      <c r="AF491" s="25" t="s">
        <v>1265</v>
      </c>
      <c r="AG491" t="e">
        <f t="shared" si="7"/>
        <v>#REF!</v>
      </c>
      <c r="AI491" s="58"/>
    </row>
    <row r="492" spans="1:41" ht="15.75" customHeight="1">
      <c r="A492" s="6" t="s">
        <v>1223</v>
      </c>
      <c r="B492" s="5">
        <v>68</v>
      </c>
      <c r="C492" s="7">
        <v>7748.0499999999993</v>
      </c>
      <c r="D492" s="7">
        <v>0</v>
      </c>
      <c r="E492" s="7">
        <v>0</v>
      </c>
      <c r="F492" s="5">
        <v>0</v>
      </c>
      <c r="G492" s="7">
        <v>0</v>
      </c>
      <c r="H492" s="5">
        <v>280</v>
      </c>
      <c r="I492" s="7">
        <v>7021</v>
      </c>
      <c r="J492" s="7">
        <v>99</v>
      </c>
      <c r="K492" s="5">
        <v>0</v>
      </c>
      <c r="L492" s="5">
        <v>0</v>
      </c>
      <c r="M492" s="5">
        <v>99</v>
      </c>
      <c r="N492" s="7">
        <v>99</v>
      </c>
      <c r="O492" s="7">
        <v>6430.9</v>
      </c>
      <c r="P492" s="7">
        <v>70</v>
      </c>
      <c r="Q492" s="5">
        <v>0</v>
      </c>
      <c r="R492" s="5">
        <v>70</v>
      </c>
      <c r="S492" s="7">
        <v>3507</v>
      </c>
      <c r="T492" s="12">
        <v>43189</v>
      </c>
      <c r="U492" s="4">
        <v>2</v>
      </c>
      <c r="V492" s="4">
        <v>1</v>
      </c>
      <c r="W492" s="4">
        <v>2</v>
      </c>
      <c r="X492" s="45">
        <v>24706.949999999997</v>
      </c>
      <c r="Y492" s="14" t="s">
        <v>54</v>
      </c>
      <c r="Z492" s="14" t="s">
        <v>1281</v>
      </c>
      <c r="AA492" s="14" t="s">
        <v>2906</v>
      </c>
      <c r="AB492" s="44">
        <v>43194</v>
      </c>
      <c r="AC492" s="44" t="s">
        <v>2866</v>
      </c>
      <c r="AD492" s="14" t="s">
        <v>52</v>
      </c>
      <c r="AE492" s="24" t="s">
        <v>1224</v>
      </c>
      <c r="AF492" s="25" t="s">
        <v>1271</v>
      </c>
      <c r="AG492" t="e">
        <f t="shared" si="7"/>
        <v>#REF!</v>
      </c>
      <c r="AI492" s="58"/>
    </row>
    <row r="493" spans="1:41" ht="15.75" customHeight="1">
      <c r="A493" s="6" t="s">
        <v>1225</v>
      </c>
      <c r="B493" s="5">
        <v>904</v>
      </c>
      <c r="C493" s="7">
        <v>90369.599999999991</v>
      </c>
      <c r="D493" s="7">
        <v>0</v>
      </c>
      <c r="E493" s="7">
        <v>0</v>
      </c>
      <c r="F493" s="5">
        <v>0</v>
      </c>
      <c r="G493" s="7">
        <v>0</v>
      </c>
      <c r="H493" s="5">
        <v>160</v>
      </c>
      <c r="I493" s="7">
        <v>19359.400000000001</v>
      </c>
      <c r="J493" s="7">
        <v>93</v>
      </c>
      <c r="K493" s="5">
        <v>0</v>
      </c>
      <c r="L493" s="5">
        <v>0</v>
      </c>
      <c r="M493" s="5">
        <v>93</v>
      </c>
      <c r="N493" s="7">
        <v>93</v>
      </c>
      <c r="O493" s="7">
        <v>4747.6000000000004</v>
      </c>
      <c r="P493" s="7">
        <v>0</v>
      </c>
      <c r="Q493" s="5">
        <v>0</v>
      </c>
      <c r="R493" s="5">
        <v>0</v>
      </c>
      <c r="S493" s="7">
        <v>0</v>
      </c>
      <c r="T493" s="12">
        <v>43189</v>
      </c>
      <c r="U493" s="4">
        <v>9</v>
      </c>
      <c r="V493" s="4">
        <v>4</v>
      </c>
      <c r="W493" s="4">
        <v>4</v>
      </c>
      <c r="X493" s="45">
        <v>114476.6</v>
      </c>
      <c r="Y493" s="14" t="s">
        <v>54</v>
      </c>
      <c r="Z493" s="14" t="s">
        <v>1281</v>
      </c>
      <c r="AA493" s="14" t="s">
        <v>2907</v>
      </c>
      <c r="AB493" s="44">
        <v>43194</v>
      </c>
      <c r="AC493" s="44" t="s">
        <v>2866</v>
      </c>
      <c r="AD493" s="14" t="s">
        <v>51</v>
      </c>
      <c r="AE493" s="24" t="s">
        <v>1226</v>
      </c>
      <c r="AF493" s="25" t="s">
        <v>1270</v>
      </c>
      <c r="AG493" t="e">
        <f t="shared" si="7"/>
        <v>#REF!</v>
      </c>
      <c r="AI493" s="58"/>
    </row>
    <row r="494" spans="1:41" ht="15.75" customHeight="1">
      <c r="A494" s="13" t="s">
        <v>1227</v>
      </c>
      <c r="B494" s="5">
        <v>1190</v>
      </c>
      <c r="C494" s="7">
        <v>102238.79999999999</v>
      </c>
      <c r="D494" s="7">
        <v>0</v>
      </c>
      <c r="E494" s="7">
        <v>0</v>
      </c>
      <c r="F494" s="5">
        <v>0</v>
      </c>
      <c r="G494" s="7">
        <v>0</v>
      </c>
      <c r="H494" s="5">
        <v>115</v>
      </c>
      <c r="I494" s="7">
        <v>12992.7</v>
      </c>
      <c r="J494" s="7">
        <v>5</v>
      </c>
      <c r="K494" s="5">
        <v>0</v>
      </c>
      <c r="L494" s="5">
        <v>0</v>
      </c>
      <c r="M494" s="5">
        <v>5</v>
      </c>
      <c r="N494" s="7">
        <v>5</v>
      </c>
      <c r="O494" s="7">
        <v>755</v>
      </c>
      <c r="P494" s="7">
        <v>0</v>
      </c>
      <c r="Q494" s="5">
        <v>0</v>
      </c>
      <c r="R494" s="5">
        <v>0</v>
      </c>
      <c r="S494" s="7">
        <v>0</v>
      </c>
      <c r="T494" s="12">
        <v>43189</v>
      </c>
      <c r="U494" s="4">
        <v>9</v>
      </c>
      <c r="V494" s="4">
        <v>6</v>
      </c>
      <c r="W494" s="4">
        <v>10</v>
      </c>
      <c r="X494" s="45">
        <v>115986.49999999999</v>
      </c>
      <c r="Y494" s="14" t="s">
        <v>54</v>
      </c>
      <c r="Z494" s="14" t="s">
        <v>59</v>
      </c>
      <c r="AA494" s="14" t="s">
        <v>2893</v>
      </c>
      <c r="AB494" s="44">
        <v>43192</v>
      </c>
      <c r="AC494" s="44" t="s">
        <v>2894</v>
      </c>
      <c r="AD494" s="14" t="s">
        <v>50</v>
      </c>
      <c r="AE494" s="24" t="s">
        <v>1228</v>
      </c>
      <c r="AF494" s="25" t="s">
        <v>1269</v>
      </c>
      <c r="AG494" t="e">
        <f t="shared" si="7"/>
        <v>#REF!</v>
      </c>
      <c r="AI494" s="58"/>
    </row>
    <row r="495" spans="1:41" ht="15.75" customHeight="1">
      <c r="A495" s="6" t="s">
        <v>1231</v>
      </c>
      <c r="B495" s="5">
        <v>0</v>
      </c>
      <c r="C495" s="7">
        <v>0</v>
      </c>
      <c r="D495" s="7">
        <v>0</v>
      </c>
      <c r="E495" s="7">
        <v>0</v>
      </c>
      <c r="F495" s="5">
        <v>0</v>
      </c>
      <c r="G495" s="7">
        <v>0</v>
      </c>
      <c r="H495" s="5">
        <v>0</v>
      </c>
      <c r="I495" s="7">
        <v>0</v>
      </c>
      <c r="J495" s="7">
        <v>0</v>
      </c>
      <c r="K495" s="5">
        <v>0</v>
      </c>
      <c r="L495" s="5">
        <v>0</v>
      </c>
      <c r="M495" s="5">
        <v>0</v>
      </c>
      <c r="N495" s="7">
        <v>0</v>
      </c>
      <c r="O495" s="7">
        <v>0</v>
      </c>
      <c r="P495" s="7">
        <v>104</v>
      </c>
      <c r="Q495" s="5">
        <v>0</v>
      </c>
      <c r="R495" s="5">
        <v>104</v>
      </c>
      <c r="S495" s="7">
        <v>13968.8</v>
      </c>
      <c r="T495" s="12">
        <v>43189</v>
      </c>
      <c r="U495" s="4">
        <v>1</v>
      </c>
      <c r="V495" s="4">
        <v>9</v>
      </c>
      <c r="W495" s="4">
        <v>9</v>
      </c>
      <c r="X495" s="45">
        <v>13968.8</v>
      </c>
      <c r="Y495" s="14" t="s">
        <v>56</v>
      </c>
      <c r="Z495" s="14" t="s">
        <v>1355</v>
      </c>
      <c r="AA495" s="14" t="s">
        <v>2908</v>
      </c>
      <c r="AB495" s="44">
        <v>43194</v>
      </c>
      <c r="AC495" s="44" t="s">
        <v>2896</v>
      </c>
      <c r="AD495" s="14" t="s">
        <v>218</v>
      </c>
      <c r="AE495" s="24" t="s">
        <v>1232</v>
      </c>
      <c r="AF495" s="25" t="s">
        <v>1272</v>
      </c>
      <c r="AG495" t="e">
        <f t="shared" si="7"/>
        <v>#REF!</v>
      </c>
      <c r="AI495" s="58"/>
    </row>
    <row r="496" spans="1:41" ht="15.75" customHeight="1">
      <c r="A496" s="13" t="s">
        <v>1233</v>
      </c>
      <c r="B496" s="5">
        <v>0</v>
      </c>
      <c r="C496" s="7">
        <v>0</v>
      </c>
      <c r="D496" s="7">
        <v>0</v>
      </c>
      <c r="E496" s="7">
        <v>0</v>
      </c>
      <c r="F496" s="5">
        <v>0</v>
      </c>
      <c r="G496" s="7">
        <v>0</v>
      </c>
      <c r="H496" s="5">
        <v>0</v>
      </c>
      <c r="I496" s="7">
        <v>0</v>
      </c>
      <c r="J496" s="7">
        <v>0</v>
      </c>
      <c r="K496" s="5">
        <v>0</v>
      </c>
      <c r="L496" s="5">
        <v>0</v>
      </c>
      <c r="M496" s="5">
        <v>0</v>
      </c>
      <c r="N496" s="7">
        <v>0</v>
      </c>
      <c r="O496" s="7">
        <v>0</v>
      </c>
      <c r="P496" s="7">
        <v>145</v>
      </c>
      <c r="Q496" s="5">
        <v>0</v>
      </c>
      <c r="R496" s="5">
        <v>145</v>
      </c>
      <c r="S496" s="7">
        <v>18139</v>
      </c>
      <c r="T496" s="12">
        <v>43189</v>
      </c>
      <c r="U496" s="4">
        <v>1</v>
      </c>
      <c r="V496" s="4">
        <v>3</v>
      </c>
      <c r="W496" s="4">
        <v>2</v>
      </c>
      <c r="X496" s="45">
        <v>18139</v>
      </c>
      <c r="Y496" s="14" t="s">
        <v>1633</v>
      </c>
      <c r="Z496" s="14" t="s">
        <v>1355</v>
      </c>
      <c r="AA496" s="14" t="s">
        <v>2909</v>
      </c>
      <c r="AB496" s="44">
        <v>43199</v>
      </c>
      <c r="AC496" s="44" t="s">
        <v>2910</v>
      </c>
      <c r="AD496" s="14" t="s">
        <v>70</v>
      </c>
      <c r="AE496" s="24" t="s">
        <v>1234</v>
      </c>
      <c r="AF496" s="25" t="s">
        <v>1273</v>
      </c>
      <c r="AG496" t="e">
        <f t="shared" si="7"/>
        <v>#REF!</v>
      </c>
      <c r="AI496" s="58"/>
    </row>
    <row r="497" spans="1:35" ht="15.75" customHeight="1">
      <c r="A497" s="6" t="s">
        <v>1235</v>
      </c>
      <c r="B497" s="5">
        <v>0</v>
      </c>
      <c r="C497" s="7">
        <v>0</v>
      </c>
      <c r="D497" s="7">
        <v>0</v>
      </c>
      <c r="E497" s="7">
        <v>0</v>
      </c>
      <c r="F497" s="5">
        <v>0</v>
      </c>
      <c r="G497" s="7">
        <v>0</v>
      </c>
      <c r="H497" s="5">
        <v>486</v>
      </c>
      <c r="I497" s="7">
        <v>59156.880000000005</v>
      </c>
      <c r="J497" s="7">
        <v>385</v>
      </c>
      <c r="K497" s="5">
        <v>0</v>
      </c>
      <c r="L497" s="5">
        <v>0</v>
      </c>
      <c r="M497" s="5">
        <v>385</v>
      </c>
      <c r="N497" s="7">
        <v>385</v>
      </c>
      <c r="O497" s="7">
        <v>10117.5</v>
      </c>
      <c r="P497" s="7">
        <v>120</v>
      </c>
      <c r="Q497" s="5">
        <v>0</v>
      </c>
      <c r="R497" s="5">
        <v>120</v>
      </c>
      <c r="S497" s="7">
        <v>14064</v>
      </c>
      <c r="T497" s="12">
        <v>43189</v>
      </c>
      <c r="U497" s="4">
        <v>6</v>
      </c>
      <c r="V497" s="4">
        <v>1</v>
      </c>
      <c r="W497" s="4">
        <v>1</v>
      </c>
      <c r="X497" s="45">
        <v>83338.38</v>
      </c>
      <c r="Y497" s="14" t="s">
        <v>58</v>
      </c>
      <c r="Z497" s="14" t="s">
        <v>55</v>
      </c>
      <c r="AA497" s="14" t="s">
        <v>2911</v>
      </c>
      <c r="AB497" s="44">
        <v>43194</v>
      </c>
      <c r="AC497" s="44" t="s">
        <v>2902</v>
      </c>
      <c r="AD497" s="14" t="s">
        <v>49</v>
      </c>
      <c r="AE497" s="24" t="s">
        <v>1236</v>
      </c>
      <c r="AF497" s="25" t="s">
        <v>1265</v>
      </c>
      <c r="AG497" t="e">
        <f t="shared" si="7"/>
        <v>#REF!</v>
      </c>
      <c r="AI497" s="58"/>
    </row>
    <row r="498" spans="1:35" ht="15.75" customHeight="1">
      <c r="A498" s="13" t="s">
        <v>1237</v>
      </c>
      <c r="B498" s="5">
        <v>75</v>
      </c>
      <c r="C498" s="7">
        <v>11613.6</v>
      </c>
      <c r="D498" s="7">
        <v>0</v>
      </c>
      <c r="E498" s="7">
        <v>0</v>
      </c>
      <c r="F498" s="5">
        <v>0</v>
      </c>
      <c r="G498" s="7">
        <v>0</v>
      </c>
      <c r="H498" s="5">
        <v>0</v>
      </c>
      <c r="I498" s="7">
        <v>0</v>
      </c>
      <c r="J498" s="7">
        <v>51</v>
      </c>
      <c r="K498" s="5">
        <v>0</v>
      </c>
      <c r="L498" s="5">
        <v>0</v>
      </c>
      <c r="M498" s="5">
        <v>51</v>
      </c>
      <c r="N498" s="7">
        <v>51</v>
      </c>
      <c r="O498" s="7">
        <v>9463.2000000000007</v>
      </c>
      <c r="P498" s="7">
        <v>512</v>
      </c>
      <c r="Q498" s="5">
        <v>0</v>
      </c>
      <c r="R498" s="5">
        <v>512</v>
      </c>
      <c r="S498" s="7">
        <v>70242.8</v>
      </c>
      <c r="T498" s="12">
        <v>43189</v>
      </c>
      <c r="U498" s="4">
        <v>6</v>
      </c>
      <c r="V498" s="4">
        <v>0</v>
      </c>
      <c r="W498" s="4">
        <v>2</v>
      </c>
      <c r="X498" s="45">
        <v>91319.6</v>
      </c>
      <c r="Y498" s="14" t="s">
        <v>56</v>
      </c>
      <c r="Z498" s="14" t="s">
        <v>1492</v>
      </c>
      <c r="AA498" s="14" t="s">
        <v>2912</v>
      </c>
      <c r="AB498" s="44">
        <v>43197</v>
      </c>
      <c r="AC498" s="44" t="s">
        <v>2913</v>
      </c>
      <c r="AD498" s="14" t="s">
        <v>52</v>
      </c>
      <c r="AE498" s="24" t="s">
        <v>1238</v>
      </c>
      <c r="AF498" s="25" t="s">
        <v>1271</v>
      </c>
      <c r="AG498" t="e">
        <f t="shared" si="7"/>
        <v>#REF!</v>
      </c>
      <c r="AI498" s="58"/>
    </row>
    <row r="499" spans="1:35" ht="15.75" customHeight="1">
      <c r="A499" s="6" t="s">
        <v>1239</v>
      </c>
      <c r="B499" s="5">
        <v>0</v>
      </c>
      <c r="C499" s="7">
        <v>0</v>
      </c>
      <c r="D499" s="7">
        <v>0</v>
      </c>
      <c r="E499" s="7">
        <v>0</v>
      </c>
      <c r="F499" s="5">
        <v>0</v>
      </c>
      <c r="G499" s="7">
        <v>0</v>
      </c>
      <c r="H499" s="5">
        <v>325</v>
      </c>
      <c r="I499" s="7">
        <v>41374.700000000004</v>
      </c>
      <c r="J499" s="7">
        <v>82</v>
      </c>
      <c r="K499" s="5">
        <v>0</v>
      </c>
      <c r="L499" s="5">
        <v>0</v>
      </c>
      <c r="M499" s="5">
        <v>82</v>
      </c>
      <c r="N499" s="7">
        <v>82</v>
      </c>
      <c r="O499" s="7">
        <v>15649</v>
      </c>
      <c r="P499" s="7">
        <v>223</v>
      </c>
      <c r="Q499" s="5">
        <v>0</v>
      </c>
      <c r="R499" s="5">
        <v>223</v>
      </c>
      <c r="S499" s="7">
        <v>51959.600000000006</v>
      </c>
      <c r="T499" s="12">
        <v>43189</v>
      </c>
      <c r="U499" s="4">
        <v>8</v>
      </c>
      <c r="V499" s="4">
        <v>4</v>
      </c>
      <c r="W499" s="4">
        <v>4</v>
      </c>
      <c r="X499" s="45">
        <v>108983.30000000002</v>
      </c>
      <c r="Y499" s="14" t="s">
        <v>56</v>
      </c>
      <c r="Z499" s="14" t="s">
        <v>730</v>
      </c>
      <c r="AA499" s="14" t="s">
        <v>2914</v>
      </c>
      <c r="AB499" s="44">
        <v>43194</v>
      </c>
      <c r="AC499" s="44" t="s">
        <v>2902</v>
      </c>
      <c r="AD499" s="14" t="s">
        <v>51</v>
      </c>
      <c r="AE499" s="24" t="s">
        <v>1240</v>
      </c>
      <c r="AF499" s="25" t="s">
        <v>1270</v>
      </c>
      <c r="AG499" t="e">
        <f t="shared" si="7"/>
        <v>#REF!</v>
      </c>
      <c r="AI499" s="58"/>
    </row>
    <row r="500" spans="1:35" ht="15.75" customHeight="1">
      <c r="A500" s="6" t="s">
        <v>1218</v>
      </c>
      <c r="B500" s="5">
        <v>0</v>
      </c>
      <c r="C500" s="7">
        <v>0</v>
      </c>
      <c r="D500" s="7">
        <v>0</v>
      </c>
      <c r="E500" s="7">
        <v>0</v>
      </c>
      <c r="F500" s="5">
        <v>0</v>
      </c>
      <c r="G500" s="7">
        <v>0</v>
      </c>
      <c r="H500" s="5">
        <v>190</v>
      </c>
      <c r="I500" s="7">
        <v>24312.400000000001</v>
      </c>
      <c r="J500" s="7">
        <v>230</v>
      </c>
      <c r="K500" s="5">
        <v>0</v>
      </c>
      <c r="L500" s="5">
        <v>0</v>
      </c>
      <c r="M500" s="5">
        <v>230</v>
      </c>
      <c r="N500" s="7">
        <v>230</v>
      </c>
      <c r="O500" s="7">
        <v>41202</v>
      </c>
      <c r="P500" s="7">
        <v>192</v>
      </c>
      <c r="Q500" s="5">
        <v>0</v>
      </c>
      <c r="R500" s="5">
        <v>192</v>
      </c>
      <c r="S500" s="7">
        <v>38469.600000000006</v>
      </c>
      <c r="T500" s="12">
        <v>43189</v>
      </c>
      <c r="U500" s="4">
        <v>8</v>
      </c>
      <c r="V500" s="4">
        <v>7</v>
      </c>
      <c r="W500" s="4">
        <v>8</v>
      </c>
      <c r="X500" s="45">
        <v>103984</v>
      </c>
      <c r="Y500" s="14" t="s">
        <v>54</v>
      </c>
      <c r="Z500" s="14" t="s">
        <v>59</v>
      </c>
      <c r="AA500" s="14" t="s">
        <v>2897</v>
      </c>
      <c r="AB500" s="44">
        <v>43195</v>
      </c>
      <c r="AC500" s="44" t="s">
        <v>2898</v>
      </c>
      <c r="AD500" s="14" t="s">
        <v>50</v>
      </c>
      <c r="AE500" s="53" t="s">
        <v>1241</v>
      </c>
      <c r="AF500" s="25" t="s">
        <v>1269</v>
      </c>
      <c r="AG500" t="e">
        <f t="shared" si="7"/>
        <v>#REF!</v>
      </c>
      <c r="AI500" s="58"/>
    </row>
    <row r="501" spans="1:35" ht="15.75" customHeight="1">
      <c r="A501" s="6" t="s">
        <v>1229</v>
      </c>
      <c r="B501" s="5">
        <v>192</v>
      </c>
      <c r="C501" s="7">
        <v>15357.3</v>
      </c>
      <c r="D501" s="7">
        <v>0</v>
      </c>
      <c r="E501" s="7">
        <v>0</v>
      </c>
      <c r="F501" s="5">
        <v>0</v>
      </c>
      <c r="G501" s="7">
        <v>0</v>
      </c>
      <c r="H501" s="5">
        <v>80</v>
      </c>
      <c r="I501" s="7">
        <v>2006.0000000000002</v>
      </c>
      <c r="J501" s="7">
        <v>71</v>
      </c>
      <c r="K501" s="5">
        <v>0</v>
      </c>
      <c r="L501" s="5">
        <v>0</v>
      </c>
      <c r="M501" s="5">
        <v>71</v>
      </c>
      <c r="N501" s="7">
        <v>71</v>
      </c>
      <c r="O501" s="7">
        <v>7987.9</v>
      </c>
      <c r="P501" s="7">
        <v>20</v>
      </c>
      <c r="Q501" s="5">
        <v>0</v>
      </c>
      <c r="R501" s="5">
        <v>20</v>
      </c>
      <c r="S501" s="7">
        <v>1002</v>
      </c>
      <c r="T501" s="12">
        <v>43190</v>
      </c>
      <c r="U501" s="4">
        <v>2</v>
      </c>
      <c r="V501" s="4">
        <v>5</v>
      </c>
      <c r="W501" s="4">
        <v>6</v>
      </c>
      <c r="X501" s="45">
        <v>26353.199999999997</v>
      </c>
      <c r="Y501" s="14" t="s">
        <v>1633</v>
      </c>
      <c r="Z501" s="14" t="s">
        <v>1355</v>
      </c>
      <c r="AA501" s="14" t="s">
        <v>2915</v>
      </c>
      <c r="AB501" s="44">
        <v>43192</v>
      </c>
      <c r="AC501" s="44" t="s">
        <v>2916</v>
      </c>
      <c r="AD501" s="14" t="s">
        <v>70</v>
      </c>
      <c r="AE501" s="24" t="s">
        <v>1230</v>
      </c>
      <c r="AF501" s="25" t="s">
        <v>1273</v>
      </c>
      <c r="AG501" t="e">
        <f t="shared" si="7"/>
        <v>#REF!</v>
      </c>
      <c r="AI501" s="58"/>
    </row>
    <row r="502" spans="1:35" ht="15.75" customHeight="1">
      <c r="A502" s="6" t="s">
        <v>1242</v>
      </c>
      <c r="B502" s="5">
        <v>108</v>
      </c>
      <c r="C502" s="7">
        <v>12100.399999999998</v>
      </c>
      <c r="D502" s="7">
        <v>0</v>
      </c>
      <c r="E502" s="7">
        <v>0</v>
      </c>
      <c r="F502" s="5">
        <v>0</v>
      </c>
      <c r="G502" s="7">
        <v>0</v>
      </c>
      <c r="H502" s="5">
        <v>305</v>
      </c>
      <c r="I502" s="7">
        <v>37305.100000000006</v>
      </c>
      <c r="J502" s="7">
        <v>167</v>
      </c>
      <c r="K502" s="5">
        <v>0</v>
      </c>
      <c r="L502" s="5">
        <v>0</v>
      </c>
      <c r="M502" s="5">
        <v>167</v>
      </c>
      <c r="N502" s="7">
        <v>167</v>
      </c>
      <c r="O502" s="7">
        <v>23488.9</v>
      </c>
      <c r="P502" s="7">
        <v>0</v>
      </c>
      <c r="Q502" s="5">
        <v>0</v>
      </c>
      <c r="R502" s="5">
        <v>0</v>
      </c>
      <c r="S502" s="7">
        <v>0</v>
      </c>
      <c r="T502" s="12">
        <v>43190</v>
      </c>
      <c r="U502" s="4">
        <v>6</v>
      </c>
      <c r="V502" s="4">
        <v>7</v>
      </c>
      <c r="W502" s="4">
        <v>9</v>
      </c>
      <c r="X502" s="45">
        <v>72894.399999999994</v>
      </c>
      <c r="Y502" s="14" t="s">
        <v>56</v>
      </c>
      <c r="Z502" s="14" t="s">
        <v>730</v>
      </c>
      <c r="AA502" s="14" t="s">
        <v>2914</v>
      </c>
      <c r="AB502" s="44">
        <v>43194</v>
      </c>
      <c r="AC502" s="44" t="s">
        <v>2902</v>
      </c>
      <c r="AD502" s="14" t="s">
        <v>51</v>
      </c>
      <c r="AE502" s="24" t="s">
        <v>1243</v>
      </c>
      <c r="AF502" s="25" t="s">
        <v>1270</v>
      </c>
      <c r="AG502" t="e">
        <f t="shared" si="7"/>
        <v>#REF!</v>
      </c>
      <c r="AI502" s="58"/>
    </row>
    <row r="503" spans="1:35" ht="15.75" customHeight="1">
      <c r="A503" s="13" t="s">
        <v>1244</v>
      </c>
      <c r="B503" s="5">
        <v>0</v>
      </c>
      <c r="C503" s="7">
        <v>0</v>
      </c>
      <c r="D503" s="7">
        <v>0</v>
      </c>
      <c r="E503" s="7">
        <v>0</v>
      </c>
      <c r="F503" s="5">
        <v>0</v>
      </c>
      <c r="G503" s="7">
        <v>0</v>
      </c>
      <c r="H503" s="5">
        <v>0</v>
      </c>
      <c r="I503" s="7">
        <v>0</v>
      </c>
      <c r="J503" s="7">
        <v>58</v>
      </c>
      <c r="K503" s="5">
        <v>0</v>
      </c>
      <c r="L503" s="5">
        <v>0</v>
      </c>
      <c r="M503" s="5">
        <v>58</v>
      </c>
      <c r="N503" s="7">
        <v>58</v>
      </c>
      <c r="O503" s="7">
        <v>8758</v>
      </c>
      <c r="P503" s="7">
        <v>139</v>
      </c>
      <c r="Q503" s="5">
        <v>0</v>
      </c>
      <c r="R503" s="5">
        <v>139</v>
      </c>
      <c r="S503" s="7">
        <v>31919.200000000001</v>
      </c>
      <c r="T503" s="12">
        <v>43190</v>
      </c>
      <c r="U503" s="4">
        <v>3</v>
      </c>
      <c r="V503" s="4">
        <v>5</v>
      </c>
      <c r="W503" s="4">
        <v>3</v>
      </c>
      <c r="X503" s="45">
        <v>40677.199999999997</v>
      </c>
      <c r="Y503" s="14" t="s">
        <v>54</v>
      </c>
      <c r="Z503" s="14" t="s">
        <v>59</v>
      </c>
      <c r="AA503" s="14" t="s">
        <v>2897</v>
      </c>
      <c r="AB503" s="44">
        <v>43195</v>
      </c>
      <c r="AC503" s="44" t="s">
        <v>2898</v>
      </c>
      <c r="AD503" s="14" t="s">
        <v>50</v>
      </c>
      <c r="AE503" s="24" t="s">
        <v>1245</v>
      </c>
      <c r="AF503" s="25" t="s">
        <v>1269</v>
      </c>
      <c r="AG503" t="e">
        <f t="shared" si="7"/>
        <v>#REF!</v>
      </c>
      <c r="AI503" s="58"/>
    </row>
    <row r="504" spans="1:35" ht="15.75" customHeight="1">
      <c r="A504" s="6" t="s">
        <v>1246</v>
      </c>
      <c r="B504" s="5">
        <v>158</v>
      </c>
      <c r="C504" s="7">
        <v>16423.239999999998</v>
      </c>
      <c r="D504" s="7">
        <v>0</v>
      </c>
      <c r="E504" s="7">
        <v>0</v>
      </c>
      <c r="F504" s="5">
        <v>0</v>
      </c>
      <c r="G504" s="7">
        <v>0</v>
      </c>
      <c r="H504" s="5">
        <v>60</v>
      </c>
      <c r="I504" s="7">
        <v>7677.6</v>
      </c>
      <c r="J504" s="7">
        <v>0</v>
      </c>
      <c r="K504" s="5">
        <v>0</v>
      </c>
      <c r="L504" s="5">
        <v>0</v>
      </c>
      <c r="M504" s="5">
        <v>0</v>
      </c>
      <c r="N504" s="7">
        <v>0</v>
      </c>
      <c r="O504" s="7">
        <v>0</v>
      </c>
      <c r="P504" s="7">
        <v>304</v>
      </c>
      <c r="Q504" s="5">
        <v>0</v>
      </c>
      <c r="R504" s="5">
        <v>304</v>
      </c>
      <c r="S504" s="7">
        <v>47283.8</v>
      </c>
      <c r="T504" s="12">
        <v>43190</v>
      </c>
      <c r="U504" s="4">
        <v>5</v>
      </c>
      <c r="V504" s="4">
        <v>2</v>
      </c>
      <c r="W504" s="4">
        <v>2</v>
      </c>
      <c r="X504" s="45">
        <v>71384.639999999999</v>
      </c>
      <c r="Y504" s="14" t="s">
        <v>1636</v>
      </c>
      <c r="Z504" s="14" t="s">
        <v>1355</v>
      </c>
      <c r="AA504" s="14" t="s">
        <v>2899</v>
      </c>
      <c r="AB504" s="44">
        <v>43196</v>
      </c>
      <c r="AC504" s="44" t="s">
        <v>2900</v>
      </c>
      <c r="AD504" s="14" t="s">
        <v>49</v>
      </c>
      <c r="AE504" s="24" t="s">
        <v>1247</v>
      </c>
      <c r="AF504" s="25" t="s">
        <v>1266</v>
      </c>
      <c r="AG504" t="e">
        <f t="shared" si="7"/>
        <v>#REF!</v>
      </c>
      <c r="AI504" s="58"/>
    </row>
    <row r="505" spans="1:35" ht="15.75" customHeight="1">
      <c r="A505" s="6" t="s">
        <v>1248</v>
      </c>
      <c r="B505" s="5">
        <v>140</v>
      </c>
      <c r="C505" s="7">
        <v>15498</v>
      </c>
      <c r="D505" s="7">
        <v>0</v>
      </c>
      <c r="E505" s="7">
        <v>0</v>
      </c>
      <c r="F505" s="5">
        <v>0</v>
      </c>
      <c r="G505" s="7">
        <v>0</v>
      </c>
      <c r="H505" s="5">
        <v>491</v>
      </c>
      <c r="I505" s="7">
        <v>55278.55</v>
      </c>
      <c r="J505" s="7">
        <v>0</v>
      </c>
      <c r="K505" s="5">
        <v>0</v>
      </c>
      <c r="L505" s="5">
        <v>0</v>
      </c>
      <c r="M505" s="5">
        <v>0</v>
      </c>
      <c r="N505" s="7">
        <v>0</v>
      </c>
      <c r="O505" s="7">
        <v>0</v>
      </c>
      <c r="P505" s="7">
        <v>425</v>
      </c>
      <c r="Q505" s="5">
        <v>0</v>
      </c>
      <c r="R505" s="5">
        <v>425</v>
      </c>
      <c r="S505" s="7">
        <v>38590</v>
      </c>
      <c r="T505" s="12">
        <v>43192</v>
      </c>
      <c r="U505" s="4">
        <v>6</v>
      </c>
      <c r="V505" s="4">
        <v>1</v>
      </c>
      <c r="W505" s="4">
        <v>9</v>
      </c>
      <c r="X505" s="45">
        <v>109366.55</v>
      </c>
      <c r="Y505" s="14" t="s">
        <v>58</v>
      </c>
      <c r="Z505" s="14" t="s">
        <v>55</v>
      </c>
      <c r="AA505" s="14" t="s">
        <v>2911</v>
      </c>
      <c r="AB505" s="44">
        <v>43194</v>
      </c>
      <c r="AC505" s="44" t="s">
        <v>2902</v>
      </c>
      <c r="AD505" s="14" t="s">
        <v>49</v>
      </c>
      <c r="AE505" s="24" t="s">
        <v>1249</v>
      </c>
      <c r="AF505" s="25" t="s">
        <v>1265</v>
      </c>
      <c r="AG505" t="e">
        <f t="shared" si="7"/>
        <v>#REF!</v>
      </c>
      <c r="AI505" s="58"/>
    </row>
    <row r="506" spans="1:35" ht="15.75" customHeight="1">
      <c r="A506" s="6" t="s">
        <v>1250</v>
      </c>
      <c r="B506" s="5">
        <v>0</v>
      </c>
      <c r="C506" s="7">
        <v>0</v>
      </c>
      <c r="D506" s="7">
        <v>0</v>
      </c>
      <c r="E506" s="7">
        <v>0</v>
      </c>
      <c r="F506" s="5">
        <v>0</v>
      </c>
      <c r="G506" s="7">
        <v>0</v>
      </c>
      <c r="H506" s="5">
        <v>0</v>
      </c>
      <c r="I506" s="7">
        <v>0</v>
      </c>
      <c r="J506" s="7">
        <v>40</v>
      </c>
      <c r="K506" s="5">
        <v>0</v>
      </c>
      <c r="L506" s="5">
        <v>0</v>
      </c>
      <c r="M506" s="5">
        <v>40</v>
      </c>
      <c r="N506" s="7">
        <v>40</v>
      </c>
      <c r="O506" s="7">
        <v>7237.5</v>
      </c>
      <c r="P506" s="7">
        <v>185</v>
      </c>
      <c r="Q506" s="5">
        <v>0</v>
      </c>
      <c r="R506" s="5">
        <v>185</v>
      </c>
      <c r="S506" s="7">
        <v>29529</v>
      </c>
      <c r="T506" s="12">
        <v>43192</v>
      </c>
      <c r="U506" s="4">
        <v>3</v>
      </c>
      <c r="V506" s="4">
        <v>2</v>
      </c>
      <c r="W506" s="4">
        <v>5</v>
      </c>
      <c r="X506" s="45">
        <v>36766.5</v>
      </c>
      <c r="Y506" s="14" t="s">
        <v>56</v>
      </c>
      <c r="Z506" s="14" t="s">
        <v>1355</v>
      </c>
      <c r="AA506" s="14" t="s">
        <v>2901</v>
      </c>
      <c r="AB506" s="44">
        <v>43194</v>
      </c>
      <c r="AC506" s="44" t="s">
        <v>2902</v>
      </c>
      <c r="AD506" s="14" t="s">
        <v>49</v>
      </c>
      <c r="AE506" s="24" t="s">
        <v>1251</v>
      </c>
      <c r="AF506" s="25" t="s">
        <v>1267</v>
      </c>
      <c r="AG506" t="e">
        <f t="shared" si="7"/>
        <v>#REF!</v>
      </c>
      <c r="AI506" s="58"/>
    </row>
    <row r="507" spans="1:35" ht="15.75" customHeight="1">
      <c r="A507" s="13" t="s">
        <v>1252</v>
      </c>
      <c r="B507" s="5">
        <v>117</v>
      </c>
      <c r="C507" s="7">
        <v>12087.659999999998</v>
      </c>
      <c r="D507" s="7">
        <v>10</v>
      </c>
      <c r="E507" s="7">
        <v>10</v>
      </c>
      <c r="F507" s="5">
        <v>0</v>
      </c>
      <c r="G507" s="7">
        <v>446</v>
      </c>
      <c r="H507" s="5">
        <v>110</v>
      </c>
      <c r="I507" s="7">
        <v>13256.599999999999</v>
      </c>
      <c r="J507" s="7">
        <v>135</v>
      </c>
      <c r="K507" s="5">
        <v>0</v>
      </c>
      <c r="L507" s="5">
        <v>0</v>
      </c>
      <c r="M507" s="5">
        <v>135</v>
      </c>
      <c r="N507" s="7">
        <v>135</v>
      </c>
      <c r="O507" s="7">
        <v>17908.900000000001</v>
      </c>
      <c r="P507" s="7">
        <v>75</v>
      </c>
      <c r="Q507" s="5">
        <v>0</v>
      </c>
      <c r="R507" s="5">
        <v>75</v>
      </c>
      <c r="S507" s="7">
        <v>12405</v>
      </c>
      <c r="T507" s="12">
        <v>43192</v>
      </c>
      <c r="U507" s="4">
        <v>5</v>
      </c>
      <c r="V507" s="4">
        <v>5</v>
      </c>
      <c r="W507" s="4">
        <v>7</v>
      </c>
      <c r="X507" s="45">
        <v>56104.159999999996</v>
      </c>
      <c r="Y507" s="14" t="s">
        <v>56</v>
      </c>
      <c r="Z507" s="14" t="s">
        <v>1281</v>
      </c>
      <c r="AA507" s="14" t="s">
        <v>2912</v>
      </c>
      <c r="AB507" s="44">
        <v>43197</v>
      </c>
      <c r="AC507" s="44" t="s">
        <v>2913</v>
      </c>
      <c r="AD507" s="14" t="s">
        <v>52</v>
      </c>
      <c r="AE507" s="24" t="s">
        <v>1253</v>
      </c>
      <c r="AF507" s="25" t="s">
        <v>1271</v>
      </c>
      <c r="AG507" t="e">
        <f t="shared" si="7"/>
        <v>#REF!</v>
      </c>
      <c r="AI507" s="58"/>
    </row>
    <row r="508" spans="1:35" ht="15.75" customHeight="1">
      <c r="A508" s="6" t="s">
        <v>1254</v>
      </c>
      <c r="B508" s="5">
        <v>885</v>
      </c>
      <c r="C508" s="7">
        <v>100055.42000000001</v>
      </c>
      <c r="D508" s="7">
        <v>0</v>
      </c>
      <c r="E508" s="7">
        <v>0</v>
      </c>
      <c r="F508" s="5">
        <v>0</v>
      </c>
      <c r="G508" s="7">
        <v>0</v>
      </c>
      <c r="H508" s="5">
        <v>320</v>
      </c>
      <c r="I508" s="7">
        <v>39236.600000000006</v>
      </c>
      <c r="J508" s="7">
        <v>116</v>
      </c>
      <c r="K508" s="5">
        <v>0</v>
      </c>
      <c r="L508" s="5">
        <v>0</v>
      </c>
      <c r="M508" s="5">
        <v>116</v>
      </c>
      <c r="N508" s="7">
        <v>116</v>
      </c>
      <c r="O508" s="7">
        <v>20497.199999999997</v>
      </c>
      <c r="P508" s="7">
        <v>500</v>
      </c>
      <c r="Q508" s="5">
        <v>0</v>
      </c>
      <c r="R508" s="5">
        <v>500</v>
      </c>
      <c r="S508" s="7">
        <v>56620</v>
      </c>
      <c r="T508" s="12">
        <v>43192</v>
      </c>
      <c r="U508" s="4">
        <v>14</v>
      </c>
      <c r="V508" s="4">
        <v>6</v>
      </c>
      <c r="W508" s="4">
        <v>10</v>
      </c>
      <c r="X508" s="45">
        <v>216409.22000000003</v>
      </c>
      <c r="Y508" s="14" t="s">
        <v>56</v>
      </c>
      <c r="Z508" s="14" t="s">
        <v>730</v>
      </c>
      <c r="AA508" s="14" t="s">
        <v>2917</v>
      </c>
      <c r="AB508" s="44">
        <v>43194</v>
      </c>
      <c r="AC508" s="44" t="s">
        <v>2896</v>
      </c>
      <c r="AD508" s="14" t="s">
        <v>51</v>
      </c>
      <c r="AE508" s="24" t="s">
        <v>1255</v>
      </c>
      <c r="AF508" s="25" t="s">
        <v>1270</v>
      </c>
      <c r="AG508" t="e">
        <f t="shared" si="7"/>
        <v>#REF!</v>
      </c>
      <c r="AI508" s="58"/>
    </row>
    <row r="509" spans="1:35" ht="15.75" customHeight="1">
      <c r="A509" s="6" t="s">
        <v>1256</v>
      </c>
      <c r="B509" s="5">
        <v>575</v>
      </c>
      <c r="C509" s="7">
        <v>74016.579999999987</v>
      </c>
      <c r="D509" s="7">
        <v>0</v>
      </c>
      <c r="E509" s="7">
        <v>0</v>
      </c>
      <c r="F509" s="5">
        <v>0</v>
      </c>
      <c r="G509" s="7">
        <v>0</v>
      </c>
      <c r="H509" s="5">
        <v>0</v>
      </c>
      <c r="I509" s="7">
        <v>0</v>
      </c>
      <c r="J509" s="7">
        <v>287</v>
      </c>
      <c r="K509" s="5">
        <v>0</v>
      </c>
      <c r="L509" s="5">
        <v>0</v>
      </c>
      <c r="M509" s="5">
        <v>287</v>
      </c>
      <c r="N509" s="7">
        <v>287</v>
      </c>
      <c r="O509" s="7">
        <v>51991</v>
      </c>
      <c r="P509" s="7">
        <v>0</v>
      </c>
      <c r="Q509" s="5">
        <v>0</v>
      </c>
      <c r="R509" s="5">
        <v>0</v>
      </c>
      <c r="S509" s="7">
        <v>0</v>
      </c>
      <c r="T509" s="12">
        <v>43192</v>
      </c>
      <c r="U509" s="4">
        <v>11</v>
      </c>
      <c r="V509" s="4">
        <v>2</v>
      </c>
      <c r="W509" s="4">
        <v>1</v>
      </c>
      <c r="X509" s="45">
        <v>126007.57999999999</v>
      </c>
      <c r="Y509" s="14" t="s">
        <v>54</v>
      </c>
      <c r="Z509" s="14" t="s">
        <v>59</v>
      </c>
      <c r="AA509" s="14" t="s">
        <v>2897</v>
      </c>
      <c r="AB509" s="44">
        <v>43195</v>
      </c>
      <c r="AC509" s="44" t="s">
        <v>2898</v>
      </c>
      <c r="AD509" s="14" t="s">
        <v>50</v>
      </c>
      <c r="AE509" s="24" t="s">
        <v>1257</v>
      </c>
      <c r="AF509" s="25" t="s">
        <v>1269</v>
      </c>
      <c r="AG509" t="e">
        <f t="shared" si="7"/>
        <v>#REF!</v>
      </c>
      <c r="AI509" s="58"/>
    </row>
    <row r="510" spans="1:35" ht="15.75" customHeight="1">
      <c r="A510" s="13" t="s">
        <v>1259</v>
      </c>
      <c r="B510" s="5">
        <v>0</v>
      </c>
      <c r="C510" s="7">
        <v>0</v>
      </c>
      <c r="D510" s="7">
        <v>70</v>
      </c>
      <c r="E510" s="7">
        <v>70</v>
      </c>
      <c r="F510" s="5">
        <v>0</v>
      </c>
      <c r="G510" s="7">
        <v>3101</v>
      </c>
      <c r="H510" s="5">
        <v>690</v>
      </c>
      <c r="I510" s="7">
        <v>90093.4</v>
      </c>
      <c r="J510" s="7">
        <v>0</v>
      </c>
      <c r="K510" s="5">
        <v>0</v>
      </c>
      <c r="L510" s="5">
        <v>0</v>
      </c>
      <c r="M510" s="5">
        <v>0</v>
      </c>
      <c r="N510" s="7">
        <v>0</v>
      </c>
      <c r="O510" s="7">
        <v>0</v>
      </c>
      <c r="P510" s="7">
        <v>0</v>
      </c>
      <c r="Q510" s="5">
        <v>0</v>
      </c>
      <c r="R510" s="5">
        <v>0</v>
      </c>
      <c r="S510" s="7">
        <v>0</v>
      </c>
      <c r="T510" s="12">
        <v>43193</v>
      </c>
      <c r="U510" s="4">
        <v>7</v>
      </c>
      <c r="V510" s="4">
        <v>1</v>
      </c>
      <c r="W510" s="4">
        <v>4</v>
      </c>
      <c r="X510" s="45">
        <v>93194.4</v>
      </c>
      <c r="Y510" s="14" t="s">
        <v>85</v>
      </c>
      <c r="Z510" s="14" t="s">
        <v>55</v>
      </c>
      <c r="AA510" s="14">
        <v>350810027583</v>
      </c>
      <c r="AB510" s="44">
        <v>43198</v>
      </c>
      <c r="AC510" s="44" t="s">
        <v>2918</v>
      </c>
      <c r="AD510" s="29" t="s">
        <v>49</v>
      </c>
      <c r="AE510" s="24" t="s">
        <v>1276</v>
      </c>
      <c r="AF510" s="25" t="s">
        <v>1265</v>
      </c>
      <c r="AG510" t="e">
        <f t="shared" si="7"/>
        <v>#REF!</v>
      </c>
      <c r="AI510" s="58"/>
    </row>
    <row r="511" spans="1:35" ht="15.75" customHeight="1">
      <c r="A511" s="6" t="s">
        <v>1260</v>
      </c>
      <c r="B511" s="5">
        <v>419</v>
      </c>
      <c r="C511" s="7">
        <v>28087.5</v>
      </c>
      <c r="D511" s="7">
        <v>0</v>
      </c>
      <c r="E511" s="7">
        <v>0</v>
      </c>
      <c r="F511" s="5">
        <v>0</v>
      </c>
      <c r="G511" s="7">
        <v>0</v>
      </c>
      <c r="H511" s="5">
        <v>195</v>
      </c>
      <c r="I511" s="7">
        <v>27058.300000000003</v>
      </c>
      <c r="J511" s="7">
        <v>353</v>
      </c>
      <c r="K511" s="5">
        <v>0</v>
      </c>
      <c r="L511" s="5">
        <v>0</v>
      </c>
      <c r="M511" s="5">
        <v>353</v>
      </c>
      <c r="N511" s="7">
        <v>353</v>
      </c>
      <c r="O511" s="7">
        <v>51463.5</v>
      </c>
      <c r="P511" s="7">
        <v>84</v>
      </c>
      <c r="Q511" s="5">
        <v>0</v>
      </c>
      <c r="R511" s="5">
        <v>84</v>
      </c>
      <c r="S511" s="7">
        <v>18194.399999999998</v>
      </c>
      <c r="T511" s="12">
        <v>43193</v>
      </c>
      <c r="U511" s="4">
        <v>10</v>
      </c>
      <c r="V511" s="4">
        <v>2</v>
      </c>
      <c r="W511" s="4">
        <v>2</v>
      </c>
      <c r="X511" s="45">
        <v>124803.7</v>
      </c>
      <c r="Y511" s="14" t="s">
        <v>56</v>
      </c>
      <c r="Z511" s="14" t="s">
        <v>730</v>
      </c>
      <c r="AA511" s="14" t="s">
        <v>2914</v>
      </c>
      <c r="AB511" s="44">
        <v>43194</v>
      </c>
      <c r="AC511" s="44" t="s">
        <v>2902</v>
      </c>
      <c r="AD511" s="29" t="s">
        <v>51</v>
      </c>
      <c r="AE511" s="24" t="s">
        <v>1277</v>
      </c>
      <c r="AF511" s="25" t="s">
        <v>1270</v>
      </c>
      <c r="AG511" t="e">
        <f t="shared" si="7"/>
        <v>#REF!</v>
      </c>
      <c r="AI511" s="58"/>
    </row>
    <row r="512" spans="1:35" ht="15.75" customHeight="1">
      <c r="A512" s="6" t="s">
        <v>1261</v>
      </c>
      <c r="B512" s="5">
        <v>428</v>
      </c>
      <c r="C512" s="7">
        <v>51569.19999999999</v>
      </c>
      <c r="D512" s="7">
        <v>0</v>
      </c>
      <c r="E512" s="7">
        <v>0</v>
      </c>
      <c r="F512" s="5">
        <v>0</v>
      </c>
      <c r="G512" s="7">
        <v>0</v>
      </c>
      <c r="H512" s="5">
        <v>250</v>
      </c>
      <c r="I512" s="7">
        <v>30142.099999999995</v>
      </c>
      <c r="J512" s="7">
        <v>0</v>
      </c>
      <c r="K512" s="5">
        <v>0</v>
      </c>
      <c r="L512" s="5">
        <v>0</v>
      </c>
      <c r="M512" s="5">
        <v>0</v>
      </c>
      <c r="N512" s="7">
        <v>0</v>
      </c>
      <c r="O512" s="7">
        <v>0</v>
      </c>
      <c r="P512" s="7">
        <v>0</v>
      </c>
      <c r="Q512" s="5">
        <v>0</v>
      </c>
      <c r="R512" s="5">
        <v>0</v>
      </c>
      <c r="S512" s="7">
        <v>0</v>
      </c>
      <c r="T512" s="12">
        <v>43193</v>
      </c>
      <c r="U512" s="4">
        <v>6</v>
      </c>
      <c r="V512" s="4">
        <v>4</v>
      </c>
      <c r="W512" s="4">
        <v>12</v>
      </c>
      <c r="X512" s="45">
        <v>81711.299999999988</v>
      </c>
      <c r="Y512" s="14" t="s">
        <v>56</v>
      </c>
      <c r="Z512" s="14" t="s">
        <v>1281</v>
      </c>
      <c r="AA512" s="14" t="s">
        <v>2919</v>
      </c>
      <c r="AB512" s="44">
        <v>43197</v>
      </c>
      <c r="AC512" s="44" t="s">
        <v>2920</v>
      </c>
      <c r="AD512" s="29" t="s">
        <v>51</v>
      </c>
      <c r="AE512" s="24" t="s">
        <v>1278</v>
      </c>
      <c r="AF512" s="25" t="s">
        <v>1270</v>
      </c>
      <c r="AG512" t="e">
        <f t="shared" si="7"/>
        <v>#REF!</v>
      </c>
      <c r="AI512" s="58"/>
    </row>
    <row r="513" spans="1:35" ht="15.75" customHeight="1">
      <c r="A513" s="6" t="s">
        <v>1262</v>
      </c>
      <c r="B513" s="5">
        <v>1235</v>
      </c>
      <c r="C513" s="7">
        <v>121786.51999999999</v>
      </c>
      <c r="D513" s="7">
        <v>0</v>
      </c>
      <c r="E513" s="7">
        <v>0</v>
      </c>
      <c r="F513" s="5">
        <v>0</v>
      </c>
      <c r="G513" s="7">
        <v>0</v>
      </c>
      <c r="H513" s="5">
        <v>0</v>
      </c>
      <c r="I513" s="7">
        <v>0</v>
      </c>
      <c r="J513" s="7">
        <v>64</v>
      </c>
      <c r="K513" s="5">
        <v>0</v>
      </c>
      <c r="L513" s="5">
        <v>0</v>
      </c>
      <c r="M513" s="5">
        <v>64</v>
      </c>
      <c r="N513" s="7">
        <v>64</v>
      </c>
      <c r="O513" s="7">
        <v>10847.800000000001</v>
      </c>
      <c r="P513" s="7">
        <v>0</v>
      </c>
      <c r="Q513" s="5">
        <v>0</v>
      </c>
      <c r="R513" s="5">
        <v>0</v>
      </c>
      <c r="S513" s="7">
        <v>0</v>
      </c>
      <c r="T513" s="12">
        <v>43193</v>
      </c>
      <c r="U513" s="4">
        <v>10</v>
      </c>
      <c r="V513" s="4">
        <v>4</v>
      </c>
      <c r="W513" s="4">
        <v>9</v>
      </c>
      <c r="X513" s="45">
        <v>132634.31999999998</v>
      </c>
      <c r="Y513" s="14" t="s">
        <v>54</v>
      </c>
      <c r="Z513" s="14" t="s">
        <v>59</v>
      </c>
      <c r="AA513" s="14" t="s">
        <v>2921</v>
      </c>
      <c r="AB513" s="44">
        <v>43199</v>
      </c>
      <c r="AC513" s="44" t="s">
        <v>2922</v>
      </c>
      <c r="AD513" s="29" t="s">
        <v>50</v>
      </c>
      <c r="AE513" s="24" t="s">
        <v>1279</v>
      </c>
      <c r="AF513" s="25" t="s">
        <v>1269</v>
      </c>
      <c r="AG513" t="e">
        <f t="shared" si="7"/>
        <v>#REF!</v>
      </c>
      <c r="AI513" s="58"/>
    </row>
    <row r="514" spans="1:35" ht="15.75" customHeight="1">
      <c r="A514" s="13" t="s">
        <v>1263</v>
      </c>
      <c r="B514" s="5">
        <v>144</v>
      </c>
      <c r="C514" s="7">
        <v>14325.5</v>
      </c>
      <c r="D514" s="7">
        <v>0</v>
      </c>
      <c r="E514" s="7">
        <v>0</v>
      </c>
      <c r="F514" s="5">
        <v>0</v>
      </c>
      <c r="G514" s="7">
        <v>0</v>
      </c>
      <c r="H514" s="5">
        <v>0</v>
      </c>
      <c r="I514" s="7">
        <v>0</v>
      </c>
      <c r="J514" s="7">
        <v>30</v>
      </c>
      <c r="K514" s="5">
        <v>0</v>
      </c>
      <c r="L514" s="5">
        <v>0</v>
      </c>
      <c r="M514" s="5">
        <v>30</v>
      </c>
      <c r="N514" s="7">
        <v>30</v>
      </c>
      <c r="O514" s="7">
        <v>5464.5</v>
      </c>
      <c r="P514" s="7">
        <v>80</v>
      </c>
      <c r="Q514" s="5">
        <v>0</v>
      </c>
      <c r="R514" s="5">
        <v>80</v>
      </c>
      <c r="S514" s="7">
        <v>13330</v>
      </c>
      <c r="T514" s="12">
        <v>43193</v>
      </c>
      <c r="U514" s="4">
        <v>3</v>
      </c>
      <c r="V514" s="4">
        <v>3</v>
      </c>
      <c r="W514" s="4">
        <v>4</v>
      </c>
      <c r="X514" s="45">
        <v>33120</v>
      </c>
      <c r="Y514" s="14" t="s">
        <v>85</v>
      </c>
      <c r="Z514" s="14" t="s">
        <v>1355</v>
      </c>
      <c r="AA514" s="14">
        <v>350810027583</v>
      </c>
      <c r="AB514" s="44">
        <v>43198</v>
      </c>
      <c r="AC514" s="44" t="s">
        <v>2918</v>
      </c>
      <c r="AD514" s="29" t="s">
        <v>49</v>
      </c>
      <c r="AE514" s="24" t="s">
        <v>1280</v>
      </c>
      <c r="AF514" s="25" t="s">
        <v>1266</v>
      </c>
      <c r="AG514" t="e">
        <f t="shared" si="7"/>
        <v>#REF!</v>
      </c>
      <c r="AI514" s="58"/>
    </row>
    <row r="515" spans="1:35" ht="15.75" customHeight="1">
      <c r="A515" s="13" t="s">
        <v>1258</v>
      </c>
      <c r="B515" s="5">
        <v>130</v>
      </c>
      <c r="C515" s="7">
        <v>14712.609999999997</v>
      </c>
      <c r="D515" s="7">
        <v>0</v>
      </c>
      <c r="E515" s="7">
        <v>0</v>
      </c>
      <c r="F515" s="5">
        <v>0</v>
      </c>
      <c r="G515" s="7">
        <v>0</v>
      </c>
      <c r="H515" s="5">
        <v>44</v>
      </c>
      <c r="I515" s="7">
        <v>4475.0099999999993</v>
      </c>
      <c r="J515" s="7">
        <v>83</v>
      </c>
      <c r="K515" s="5">
        <v>0</v>
      </c>
      <c r="L515" s="5">
        <v>0</v>
      </c>
      <c r="M515" s="5">
        <v>83</v>
      </c>
      <c r="N515" s="7">
        <v>83</v>
      </c>
      <c r="O515" s="7">
        <v>13645.799999999997</v>
      </c>
      <c r="P515" s="7">
        <v>3</v>
      </c>
      <c r="Q515" s="5">
        <v>0</v>
      </c>
      <c r="R515" s="5">
        <v>3</v>
      </c>
      <c r="S515" s="7">
        <v>150.30000000000001</v>
      </c>
      <c r="T515" s="12">
        <v>43194</v>
      </c>
      <c r="U515" s="4">
        <v>3</v>
      </c>
      <c r="V515" s="4">
        <v>3</v>
      </c>
      <c r="W515" s="4">
        <v>3</v>
      </c>
      <c r="X515" s="45">
        <v>32983.719999999994</v>
      </c>
      <c r="Y515" s="14" t="s">
        <v>1633</v>
      </c>
      <c r="Z515" s="14" t="s">
        <v>1355</v>
      </c>
      <c r="AA515" s="14" t="s">
        <v>2909</v>
      </c>
      <c r="AB515" s="44">
        <v>43199</v>
      </c>
      <c r="AC515" s="44" t="s">
        <v>2910</v>
      </c>
      <c r="AD515" s="29" t="s">
        <v>70</v>
      </c>
      <c r="AE515" s="24" t="s">
        <v>1289</v>
      </c>
      <c r="AF515" s="25" t="s">
        <v>1273</v>
      </c>
      <c r="AG515" t="e">
        <f t="shared" ref="AG515:AG578" si="8">+VLOOKUP(AF515,AH:AH,2,0)</f>
        <v>#REF!</v>
      </c>
      <c r="AI515" s="58"/>
    </row>
    <row r="516" spans="1:35" ht="15.75" customHeight="1">
      <c r="A516" s="6" t="s">
        <v>1283</v>
      </c>
      <c r="B516" s="5">
        <v>357</v>
      </c>
      <c r="C516" s="7">
        <v>38649.720000000008</v>
      </c>
      <c r="D516" s="7">
        <v>0</v>
      </c>
      <c r="E516" s="7">
        <v>0</v>
      </c>
      <c r="F516" s="5">
        <v>0</v>
      </c>
      <c r="G516" s="7">
        <v>0</v>
      </c>
      <c r="H516" s="5">
        <v>115</v>
      </c>
      <c r="I516" s="7">
        <v>14075.6</v>
      </c>
      <c r="J516" s="7">
        <v>91</v>
      </c>
      <c r="K516" s="5">
        <v>0</v>
      </c>
      <c r="L516" s="5">
        <v>0</v>
      </c>
      <c r="M516" s="5">
        <v>91</v>
      </c>
      <c r="N516" s="7">
        <v>91</v>
      </c>
      <c r="O516" s="7">
        <v>15704.599999999999</v>
      </c>
      <c r="P516" s="7">
        <v>0</v>
      </c>
      <c r="Q516" s="5">
        <v>0</v>
      </c>
      <c r="R516" s="5">
        <v>0</v>
      </c>
      <c r="S516" s="7">
        <v>0</v>
      </c>
      <c r="T516" s="12">
        <v>43194</v>
      </c>
      <c r="U516" s="4">
        <v>6</v>
      </c>
      <c r="V516" s="4">
        <v>2</v>
      </c>
      <c r="W516" s="4">
        <v>3</v>
      </c>
      <c r="X516" s="45">
        <v>68429.920000000013</v>
      </c>
      <c r="Y516" s="14" t="s">
        <v>56</v>
      </c>
      <c r="Z516" s="14" t="s">
        <v>1355</v>
      </c>
      <c r="AA516" s="14" t="s">
        <v>2923</v>
      </c>
      <c r="AB516" s="44">
        <v>43197</v>
      </c>
      <c r="AC516" s="44" t="s">
        <v>2913</v>
      </c>
      <c r="AD516" s="29" t="s">
        <v>49</v>
      </c>
      <c r="AE516" s="24" t="s">
        <v>1290</v>
      </c>
      <c r="AF516" s="25" t="s">
        <v>1267</v>
      </c>
      <c r="AG516" t="e">
        <f t="shared" si="8"/>
        <v>#REF!</v>
      </c>
      <c r="AI516" s="58"/>
    </row>
    <row r="517" spans="1:35" ht="15.75" customHeight="1">
      <c r="A517" s="6" t="s">
        <v>1285</v>
      </c>
      <c r="B517" s="5">
        <v>0</v>
      </c>
      <c r="C517" s="7">
        <v>0</v>
      </c>
      <c r="D517" s="7">
        <v>0</v>
      </c>
      <c r="E517" s="7">
        <v>0</v>
      </c>
      <c r="F517" s="5">
        <v>0</v>
      </c>
      <c r="G517" s="7">
        <v>0</v>
      </c>
      <c r="H517" s="5">
        <v>190</v>
      </c>
      <c r="I517" s="7">
        <v>24312.400000000001</v>
      </c>
      <c r="J517" s="7">
        <v>0</v>
      </c>
      <c r="K517" s="5">
        <v>0</v>
      </c>
      <c r="L517" s="5">
        <v>0</v>
      </c>
      <c r="M517" s="5">
        <v>0</v>
      </c>
      <c r="N517" s="7">
        <v>0</v>
      </c>
      <c r="O517" s="7">
        <v>0</v>
      </c>
      <c r="P517" s="7">
        <v>120</v>
      </c>
      <c r="Q517" s="5">
        <v>0</v>
      </c>
      <c r="R517" s="5">
        <v>120</v>
      </c>
      <c r="S517" s="7">
        <v>14064</v>
      </c>
      <c r="T517" s="12">
        <v>43194</v>
      </c>
      <c r="U517" s="4">
        <v>3</v>
      </c>
      <c r="V517" s="4">
        <v>6</v>
      </c>
      <c r="W517" s="4">
        <v>8</v>
      </c>
      <c r="X517" s="45">
        <v>38376.400000000001</v>
      </c>
      <c r="Y517" s="14" t="s">
        <v>56</v>
      </c>
      <c r="Z517" s="14" t="s">
        <v>59</v>
      </c>
      <c r="AA517" s="14" t="s">
        <v>2924</v>
      </c>
      <c r="AB517" s="44">
        <v>43202</v>
      </c>
      <c r="AC517" s="44" t="s">
        <v>2925</v>
      </c>
      <c r="AD517" s="29" t="s">
        <v>49</v>
      </c>
      <c r="AE517" s="24" t="s">
        <v>1284</v>
      </c>
      <c r="AF517" s="25" t="s">
        <v>1267</v>
      </c>
      <c r="AG517" t="e">
        <f t="shared" si="8"/>
        <v>#REF!</v>
      </c>
      <c r="AI517" s="58"/>
    </row>
    <row r="518" spans="1:35" ht="15.75" customHeight="1">
      <c r="A518" s="6" t="s">
        <v>1288</v>
      </c>
      <c r="B518" s="5">
        <v>570</v>
      </c>
      <c r="C518" s="7">
        <v>60529.890000000007</v>
      </c>
      <c r="D518" s="7">
        <v>0</v>
      </c>
      <c r="E518" s="7">
        <v>0</v>
      </c>
      <c r="F518" s="5">
        <v>0</v>
      </c>
      <c r="G518" s="7">
        <v>0</v>
      </c>
      <c r="H518" s="5">
        <v>60</v>
      </c>
      <c r="I518" s="7">
        <v>7278.6</v>
      </c>
      <c r="J518" s="7">
        <v>158</v>
      </c>
      <c r="K518" s="5">
        <v>0</v>
      </c>
      <c r="L518" s="5">
        <v>0</v>
      </c>
      <c r="M518" s="5">
        <v>158</v>
      </c>
      <c r="N518" s="7">
        <v>158</v>
      </c>
      <c r="O518" s="7">
        <v>27331.499999999993</v>
      </c>
      <c r="P518" s="7">
        <v>0</v>
      </c>
      <c r="Q518" s="5">
        <v>0</v>
      </c>
      <c r="R518" s="5">
        <v>0</v>
      </c>
      <c r="S518" s="7">
        <v>0</v>
      </c>
      <c r="T518" s="12">
        <v>43194</v>
      </c>
      <c r="U518" s="4">
        <v>8</v>
      </c>
      <c r="V518" s="4">
        <v>0</v>
      </c>
      <c r="W518" s="4">
        <v>2</v>
      </c>
      <c r="X518" s="45">
        <v>95139.989999999991</v>
      </c>
      <c r="Y518" s="14" t="s">
        <v>54</v>
      </c>
      <c r="Z518" s="14" t="s">
        <v>57</v>
      </c>
      <c r="AA518" s="14" t="s">
        <v>2926</v>
      </c>
      <c r="AB518" s="44">
        <v>43200</v>
      </c>
      <c r="AC518" s="44" t="s">
        <v>2927</v>
      </c>
      <c r="AD518" s="29" t="s">
        <v>52</v>
      </c>
      <c r="AE518" s="24" t="s">
        <v>1291</v>
      </c>
      <c r="AF518" s="25" t="s">
        <v>1271</v>
      </c>
      <c r="AG518" t="e">
        <f t="shared" si="8"/>
        <v>#REF!</v>
      </c>
      <c r="AI518" s="58"/>
    </row>
    <row r="519" spans="1:35" ht="15.75" customHeight="1">
      <c r="A519" s="13" t="s">
        <v>1282</v>
      </c>
      <c r="B519" s="5">
        <v>865</v>
      </c>
      <c r="C519" s="7">
        <v>49365.3</v>
      </c>
      <c r="D519" s="7">
        <v>0</v>
      </c>
      <c r="E519" s="7">
        <v>0</v>
      </c>
      <c r="F519" s="5">
        <v>0</v>
      </c>
      <c r="G519" s="7">
        <v>0</v>
      </c>
      <c r="H519" s="5">
        <v>1290</v>
      </c>
      <c r="I519" s="7">
        <v>162383.19999999998</v>
      </c>
      <c r="J519" s="7">
        <v>0</v>
      </c>
      <c r="K519" s="5">
        <v>0</v>
      </c>
      <c r="L519" s="5">
        <v>0</v>
      </c>
      <c r="M519" s="5">
        <v>0</v>
      </c>
      <c r="N519" s="7">
        <v>0</v>
      </c>
      <c r="O519" s="7">
        <v>0</v>
      </c>
      <c r="P519" s="7">
        <v>0</v>
      </c>
      <c r="Q519" s="5">
        <v>0</v>
      </c>
      <c r="R519" s="5">
        <v>0</v>
      </c>
      <c r="S519" s="7">
        <v>0</v>
      </c>
      <c r="T519" s="12">
        <v>43195</v>
      </c>
      <c r="U519" s="4">
        <v>15</v>
      </c>
      <c r="V519" s="4">
        <v>3</v>
      </c>
      <c r="W519" s="4">
        <v>6</v>
      </c>
      <c r="X519" s="45">
        <v>211748.5</v>
      </c>
      <c r="Y519" s="14" t="s">
        <v>54</v>
      </c>
      <c r="Z519" s="14" t="s">
        <v>730</v>
      </c>
      <c r="AA519" s="14" t="s">
        <v>2928</v>
      </c>
      <c r="AB519" s="44">
        <v>43199</v>
      </c>
      <c r="AC519" s="44" t="s">
        <v>2922</v>
      </c>
      <c r="AD519" s="29" t="s">
        <v>49</v>
      </c>
      <c r="AE519" s="24" t="s">
        <v>1292</v>
      </c>
      <c r="AF519" s="25" t="s">
        <v>1265</v>
      </c>
      <c r="AG519" t="e">
        <f t="shared" si="8"/>
        <v>#REF!</v>
      </c>
      <c r="AI519" s="58"/>
    </row>
    <row r="520" spans="1:35" ht="15.75" customHeight="1">
      <c r="A520" s="6" t="s">
        <v>1293</v>
      </c>
      <c r="B520" s="5">
        <v>310</v>
      </c>
      <c r="C520" s="7">
        <v>21467.5</v>
      </c>
      <c r="D520" s="7">
        <v>0</v>
      </c>
      <c r="E520" s="7">
        <v>0</v>
      </c>
      <c r="F520" s="5">
        <v>0</v>
      </c>
      <c r="G520" s="7">
        <v>0</v>
      </c>
      <c r="H520" s="5">
        <v>565</v>
      </c>
      <c r="I520" s="7">
        <v>66311.55</v>
      </c>
      <c r="J520" s="7">
        <v>0</v>
      </c>
      <c r="K520" s="5">
        <v>0</v>
      </c>
      <c r="L520" s="5">
        <v>0</v>
      </c>
      <c r="M520" s="5">
        <v>0</v>
      </c>
      <c r="N520" s="7">
        <v>0</v>
      </c>
      <c r="O520" s="7">
        <v>0</v>
      </c>
      <c r="P520" s="7">
        <v>0</v>
      </c>
      <c r="Q520" s="5">
        <v>0</v>
      </c>
      <c r="R520" s="5">
        <v>0</v>
      </c>
      <c r="S520" s="7">
        <v>0</v>
      </c>
      <c r="T520" s="12">
        <v>43195</v>
      </c>
      <c r="U520" s="4">
        <v>6</v>
      </c>
      <c r="V520" s="4">
        <v>2</v>
      </c>
      <c r="W520" s="4">
        <v>2</v>
      </c>
      <c r="X520" s="45">
        <v>87779.05</v>
      </c>
      <c r="Y520" s="14" t="s">
        <v>1636</v>
      </c>
      <c r="Z520" s="14" t="s">
        <v>1355</v>
      </c>
      <c r="AA520" s="14" t="s">
        <v>2929</v>
      </c>
      <c r="AB520" s="44">
        <v>43200</v>
      </c>
      <c r="AC520" s="44" t="s">
        <v>2930</v>
      </c>
      <c r="AD520" s="29" t="s">
        <v>49</v>
      </c>
      <c r="AE520" s="24" t="s">
        <v>1294</v>
      </c>
      <c r="AF520" s="25" t="s">
        <v>1265</v>
      </c>
      <c r="AG520" t="e">
        <f t="shared" si="8"/>
        <v>#REF!</v>
      </c>
      <c r="AI520" s="58"/>
    </row>
    <row r="521" spans="1:35" ht="15.75" customHeight="1">
      <c r="A521" s="6" t="s">
        <v>1295</v>
      </c>
      <c r="B521" s="5">
        <v>0</v>
      </c>
      <c r="C521" s="7">
        <v>0</v>
      </c>
      <c r="D521" s="7">
        <v>0</v>
      </c>
      <c r="E521" s="7">
        <v>0</v>
      </c>
      <c r="F521" s="5">
        <v>0</v>
      </c>
      <c r="G521" s="7">
        <v>0</v>
      </c>
      <c r="H521" s="5">
        <v>190</v>
      </c>
      <c r="I521" s="7">
        <v>24395.200000000001</v>
      </c>
      <c r="J521" s="7">
        <v>58</v>
      </c>
      <c r="K521" s="5">
        <v>0</v>
      </c>
      <c r="L521" s="5">
        <v>0</v>
      </c>
      <c r="M521" s="5">
        <v>58</v>
      </c>
      <c r="N521" s="7">
        <v>58</v>
      </c>
      <c r="O521" s="7">
        <v>10358.799999999999</v>
      </c>
      <c r="P521" s="7">
        <v>420</v>
      </c>
      <c r="Q521" s="5">
        <v>0</v>
      </c>
      <c r="R521" s="5">
        <v>420</v>
      </c>
      <c r="S521" s="7">
        <v>42296</v>
      </c>
      <c r="T521" s="12">
        <v>43195</v>
      </c>
      <c r="U521" s="4">
        <v>5</v>
      </c>
      <c r="V521" s="4">
        <v>5</v>
      </c>
      <c r="W521" s="4">
        <v>5</v>
      </c>
      <c r="X521" s="45">
        <v>77050</v>
      </c>
      <c r="Y521" s="14" t="s">
        <v>56</v>
      </c>
      <c r="Z521" s="14" t="s">
        <v>1492</v>
      </c>
      <c r="AA521" s="14" t="s">
        <v>2931</v>
      </c>
      <c r="AB521" s="44">
        <v>43204</v>
      </c>
      <c r="AC521" s="44" t="s">
        <v>2932</v>
      </c>
      <c r="AD521" s="29" t="s">
        <v>52</v>
      </c>
      <c r="AE521" s="24" t="s">
        <v>1296</v>
      </c>
      <c r="AF521" s="25" t="s">
        <v>1271</v>
      </c>
      <c r="AG521" t="e">
        <f t="shared" si="8"/>
        <v>#REF!</v>
      </c>
      <c r="AI521" s="58"/>
    </row>
    <row r="522" spans="1:35" ht="15.75" customHeight="1">
      <c r="A522" s="6" t="s">
        <v>1286</v>
      </c>
      <c r="B522" s="5">
        <v>1084</v>
      </c>
      <c r="C522" s="7">
        <v>81397.06</v>
      </c>
      <c r="D522" s="7">
        <v>0</v>
      </c>
      <c r="E522" s="7">
        <v>0</v>
      </c>
      <c r="F522" s="5">
        <v>0</v>
      </c>
      <c r="G522" s="7">
        <v>0</v>
      </c>
      <c r="H522" s="5">
        <v>0</v>
      </c>
      <c r="I522" s="7">
        <v>0</v>
      </c>
      <c r="J522" s="7">
        <v>236</v>
      </c>
      <c r="K522" s="5">
        <v>0</v>
      </c>
      <c r="L522" s="5">
        <v>0</v>
      </c>
      <c r="M522" s="5">
        <v>236</v>
      </c>
      <c r="N522" s="7">
        <v>236</v>
      </c>
      <c r="O522" s="7">
        <v>30608.199999999997</v>
      </c>
      <c r="P522" s="7">
        <v>80</v>
      </c>
      <c r="Q522" s="5">
        <v>0</v>
      </c>
      <c r="R522" s="5">
        <v>80</v>
      </c>
      <c r="S522" s="7">
        <v>16132</v>
      </c>
      <c r="T522" s="12">
        <v>43195</v>
      </c>
      <c r="U522" s="4">
        <v>10</v>
      </c>
      <c r="V522" s="4">
        <v>1</v>
      </c>
      <c r="W522" s="4">
        <v>11</v>
      </c>
      <c r="X522" s="45">
        <v>128137.26</v>
      </c>
      <c r="Y522" s="14" t="s">
        <v>54</v>
      </c>
      <c r="Z522" s="14" t="s">
        <v>55</v>
      </c>
      <c r="AA522" s="14" t="s">
        <v>2933</v>
      </c>
      <c r="AB522" s="44">
        <v>43200</v>
      </c>
      <c r="AC522" s="44" t="s">
        <v>2927</v>
      </c>
      <c r="AD522" s="29" t="s">
        <v>51</v>
      </c>
      <c r="AE522" s="24" t="s">
        <v>1297</v>
      </c>
      <c r="AF522" s="25" t="s">
        <v>1270</v>
      </c>
      <c r="AG522" t="e">
        <f t="shared" si="8"/>
        <v>#REF!</v>
      </c>
      <c r="AI522" s="58"/>
    </row>
    <row r="523" spans="1:35" ht="15.75" customHeight="1">
      <c r="A523" s="13" t="s">
        <v>1298</v>
      </c>
      <c r="B523" s="5">
        <v>265</v>
      </c>
      <c r="C523" s="7">
        <v>25211.57</v>
      </c>
      <c r="D523" s="7">
        <v>0</v>
      </c>
      <c r="E523" s="7">
        <v>0</v>
      </c>
      <c r="F523" s="5">
        <v>0</v>
      </c>
      <c r="G523" s="7">
        <v>0</v>
      </c>
      <c r="H523" s="5">
        <v>310</v>
      </c>
      <c r="I523" s="7">
        <v>37817.399999999994</v>
      </c>
      <c r="J523" s="7">
        <v>126</v>
      </c>
      <c r="K523" s="5">
        <v>0</v>
      </c>
      <c r="L523" s="5">
        <v>0</v>
      </c>
      <c r="M523" s="5">
        <v>126</v>
      </c>
      <c r="N523" s="7">
        <v>126</v>
      </c>
      <c r="O523" s="7">
        <v>20158.7</v>
      </c>
      <c r="P523" s="7">
        <v>387</v>
      </c>
      <c r="Q523" s="5">
        <v>0</v>
      </c>
      <c r="R523" s="5">
        <v>387</v>
      </c>
      <c r="S523" s="7">
        <v>53247.9</v>
      </c>
      <c r="T523" s="12">
        <v>43195</v>
      </c>
      <c r="U523" s="4">
        <v>11</v>
      </c>
      <c r="V523" s="4">
        <v>5</v>
      </c>
      <c r="W523" s="4">
        <v>14</v>
      </c>
      <c r="X523" s="45">
        <v>136435.57</v>
      </c>
      <c r="Y523" s="14" t="s">
        <v>58</v>
      </c>
      <c r="Z523" s="14" t="s">
        <v>55</v>
      </c>
      <c r="AA523" s="14" t="s">
        <v>2934</v>
      </c>
      <c r="AB523" s="44">
        <v>43202</v>
      </c>
      <c r="AC523" s="44" t="s">
        <v>2925</v>
      </c>
      <c r="AD523" s="29" t="s">
        <v>51</v>
      </c>
      <c r="AE523" s="24" t="s">
        <v>1299</v>
      </c>
      <c r="AF523" s="25" t="s">
        <v>1270</v>
      </c>
      <c r="AG523" t="e">
        <f t="shared" si="8"/>
        <v>#REF!</v>
      </c>
      <c r="AI523" s="58"/>
    </row>
    <row r="524" spans="1:35" ht="15.75" customHeight="1">
      <c r="A524" s="6" t="s">
        <v>1287</v>
      </c>
      <c r="B524" s="5">
        <v>658</v>
      </c>
      <c r="C524" s="7">
        <v>65422</v>
      </c>
      <c r="D524" s="7">
        <v>0</v>
      </c>
      <c r="E524" s="7">
        <v>0</v>
      </c>
      <c r="F524" s="5">
        <v>0</v>
      </c>
      <c r="G524" s="7">
        <v>0</v>
      </c>
      <c r="H524" s="5">
        <v>480</v>
      </c>
      <c r="I524" s="7">
        <v>16084.500000000002</v>
      </c>
      <c r="J524" s="7">
        <v>278</v>
      </c>
      <c r="K524" s="5">
        <v>0</v>
      </c>
      <c r="L524" s="5">
        <v>0</v>
      </c>
      <c r="M524" s="5">
        <v>278</v>
      </c>
      <c r="N524" s="7">
        <v>278</v>
      </c>
      <c r="O524" s="7">
        <v>23873.1</v>
      </c>
      <c r="P524" s="7">
        <v>145</v>
      </c>
      <c r="Q524" s="5">
        <v>0</v>
      </c>
      <c r="R524" s="5">
        <v>145</v>
      </c>
      <c r="S524" s="7">
        <v>7265.2</v>
      </c>
      <c r="T524" s="12">
        <v>43195</v>
      </c>
      <c r="U524" s="4">
        <v>9</v>
      </c>
      <c r="V524" s="4">
        <v>3</v>
      </c>
      <c r="W524" s="4">
        <v>5</v>
      </c>
      <c r="X524" s="45">
        <v>112644.8</v>
      </c>
      <c r="Y524" s="14" t="s">
        <v>54</v>
      </c>
      <c r="Z524" s="14" t="s">
        <v>59</v>
      </c>
      <c r="AA524" s="14" t="s">
        <v>2921</v>
      </c>
      <c r="AB524" s="44">
        <v>43199</v>
      </c>
      <c r="AC524" s="44" t="s">
        <v>2922</v>
      </c>
      <c r="AD524" s="29" t="s">
        <v>50</v>
      </c>
      <c r="AE524" s="24" t="s">
        <v>1300</v>
      </c>
      <c r="AF524" s="25" t="s">
        <v>1269</v>
      </c>
      <c r="AG524" t="e">
        <f t="shared" si="8"/>
        <v>#REF!</v>
      </c>
      <c r="AI524" s="58"/>
    </row>
    <row r="525" spans="1:35" ht="15.75" customHeight="1">
      <c r="A525" s="6" t="s">
        <v>1301</v>
      </c>
      <c r="B525" s="5">
        <v>0</v>
      </c>
      <c r="C525" s="7">
        <v>0</v>
      </c>
      <c r="D525" s="7">
        <v>0</v>
      </c>
      <c r="E525" s="7">
        <v>0</v>
      </c>
      <c r="F525" s="5">
        <v>0</v>
      </c>
      <c r="G525" s="7">
        <v>0</v>
      </c>
      <c r="H525" s="5">
        <v>95</v>
      </c>
      <c r="I525" s="7">
        <v>12156.2</v>
      </c>
      <c r="J525" s="7">
        <v>59</v>
      </c>
      <c r="K525" s="5">
        <v>0</v>
      </c>
      <c r="L525" s="5">
        <v>0</v>
      </c>
      <c r="M525" s="5">
        <v>59</v>
      </c>
      <c r="N525" s="7">
        <v>59</v>
      </c>
      <c r="O525" s="7">
        <v>8984.5</v>
      </c>
      <c r="P525" s="7">
        <v>324</v>
      </c>
      <c r="Q525" s="5">
        <v>0</v>
      </c>
      <c r="R525" s="5">
        <v>324</v>
      </c>
      <c r="S525" s="7">
        <v>64168.800000000003</v>
      </c>
      <c r="T525" s="12">
        <v>43195</v>
      </c>
      <c r="U525" s="4">
        <v>6</v>
      </c>
      <c r="V525" s="4">
        <v>2</v>
      </c>
      <c r="W525" s="4">
        <v>3</v>
      </c>
      <c r="X525" s="45">
        <v>85309.5</v>
      </c>
      <c r="Y525" s="14" t="s">
        <v>54</v>
      </c>
      <c r="Z525" s="14" t="s">
        <v>59</v>
      </c>
      <c r="AA525" s="14" t="s">
        <v>2935</v>
      </c>
      <c r="AB525" s="44">
        <v>43203</v>
      </c>
      <c r="AC525" s="44" t="s">
        <v>2936</v>
      </c>
      <c r="AD525" s="29" t="s">
        <v>50</v>
      </c>
      <c r="AE525" s="24" t="s">
        <v>1302</v>
      </c>
      <c r="AF525" s="25" t="s">
        <v>1269</v>
      </c>
      <c r="AG525" t="e">
        <f t="shared" si="8"/>
        <v>#REF!</v>
      </c>
      <c r="AI525" s="58"/>
    </row>
    <row r="526" spans="1:35" ht="15.75" customHeight="1">
      <c r="A526" s="6" t="s">
        <v>1303</v>
      </c>
      <c r="B526" s="5">
        <v>262</v>
      </c>
      <c r="C526" s="7">
        <v>34100.699999999997</v>
      </c>
      <c r="D526" s="7">
        <v>0</v>
      </c>
      <c r="E526" s="7">
        <v>0</v>
      </c>
      <c r="F526" s="5">
        <v>0</v>
      </c>
      <c r="G526" s="7">
        <v>0</v>
      </c>
      <c r="H526" s="5">
        <v>0</v>
      </c>
      <c r="I526" s="7">
        <v>0</v>
      </c>
      <c r="J526" s="7">
        <v>0</v>
      </c>
      <c r="K526" s="5">
        <v>0</v>
      </c>
      <c r="L526" s="5">
        <v>0</v>
      </c>
      <c r="M526" s="5">
        <v>0</v>
      </c>
      <c r="N526" s="7">
        <v>0</v>
      </c>
      <c r="O526" s="7">
        <v>0</v>
      </c>
      <c r="P526" s="7">
        <v>0</v>
      </c>
      <c r="Q526" s="5">
        <v>0</v>
      </c>
      <c r="R526" s="5">
        <v>0</v>
      </c>
      <c r="S526" s="7">
        <v>0</v>
      </c>
      <c r="T526" s="12">
        <v>43195</v>
      </c>
      <c r="U526" s="4">
        <v>3</v>
      </c>
      <c r="V526" s="4">
        <v>1</v>
      </c>
      <c r="W526" s="4">
        <v>1</v>
      </c>
      <c r="X526" s="45">
        <v>34100.699999999997</v>
      </c>
      <c r="Y526" s="14" t="s">
        <v>54</v>
      </c>
      <c r="Z526" s="14" t="s">
        <v>1355</v>
      </c>
      <c r="AA526" s="14" t="s">
        <v>2928</v>
      </c>
      <c r="AB526" s="44">
        <v>43199</v>
      </c>
      <c r="AC526" s="44" t="s">
        <v>2922</v>
      </c>
      <c r="AD526" s="29" t="s">
        <v>49</v>
      </c>
      <c r="AE526" s="24" t="s">
        <v>1304</v>
      </c>
      <c r="AF526" s="25" t="s">
        <v>1266</v>
      </c>
      <c r="AG526" t="e">
        <f t="shared" si="8"/>
        <v>#REF!</v>
      </c>
      <c r="AI526" s="58"/>
    </row>
    <row r="527" spans="1:35" ht="15.75" customHeight="1">
      <c r="A527" s="6" t="s">
        <v>1305</v>
      </c>
      <c r="B527" s="5">
        <v>82</v>
      </c>
      <c r="C527" s="7">
        <v>10241.900000000001</v>
      </c>
      <c r="D527" s="7">
        <v>0</v>
      </c>
      <c r="E527" s="7">
        <v>0</v>
      </c>
      <c r="F527" s="5">
        <v>0</v>
      </c>
      <c r="G527" s="7">
        <v>0</v>
      </c>
      <c r="H527" s="5">
        <v>0</v>
      </c>
      <c r="I527" s="7">
        <v>0</v>
      </c>
      <c r="J527" s="7">
        <v>0</v>
      </c>
      <c r="K527" s="5">
        <v>0</v>
      </c>
      <c r="L527" s="5">
        <v>0</v>
      </c>
      <c r="M527" s="5">
        <v>0</v>
      </c>
      <c r="N527" s="7">
        <v>0</v>
      </c>
      <c r="O527" s="7">
        <v>0</v>
      </c>
      <c r="P527" s="7">
        <v>8</v>
      </c>
      <c r="Q527" s="5">
        <v>0</v>
      </c>
      <c r="R527" s="5">
        <v>8</v>
      </c>
      <c r="S527" s="7">
        <v>2616</v>
      </c>
      <c r="T527" s="12">
        <v>43196</v>
      </c>
      <c r="U527" s="4">
        <v>1</v>
      </c>
      <c r="V527" s="4">
        <v>3</v>
      </c>
      <c r="W527" s="4">
        <v>5</v>
      </c>
      <c r="X527" s="45">
        <v>12857.900000000001</v>
      </c>
      <c r="Y527" s="14" t="s">
        <v>1608</v>
      </c>
      <c r="Z527" s="14" t="s">
        <v>1281</v>
      </c>
      <c r="AA527" s="14" t="s">
        <v>2937</v>
      </c>
      <c r="AB527" s="44">
        <v>43203</v>
      </c>
      <c r="AC527" s="44" t="s">
        <v>2938</v>
      </c>
      <c r="AD527" s="29" t="s">
        <v>1010</v>
      </c>
      <c r="AE527" s="53">
        <v>2500000039981</v>
      </c>
      <c r="AF527" s="25" t="s">
        <v>1275</v>
      </c>
      <c r="AG527" t="e">
        <f t="shared" si="8"/>
        <v>#REF!</v>
      </c>
      <c r="AI527" s="58"/>
    </row>
    <row r="528" spans="1:35" ht="15.75" customHeight="1">
      <c r="A528" s="6" t="s">
        <v>1306</v>
      </c>
      <c r="B528" s="5">
        <v>225</v>
      </c>
      <c r="C528" s="7">
        <v>17280</v>
      </c>
      <c r="D528" s="7">
        <v>0</v>
      </c>
      <c r="E528" s="7">
        <v>0</v>
      </c>
      <c r="F528" s="5">
        <v>0</v>
      </c>
      <c r="G528" s="7">
        <v>0</v>
      </c>
      <c r="H528" s="5">
        <v>485</v>
      </c>
      <c r="I528" s="7">
        <v>58354.45</v>
      </c>
      <c r="J528" s="7">
        <v>0</v>
      </c>
      <c r="K528" s="5">
        <v>0</v>
      </c>
      <c r="L528" s="5">
        <v>0</v>
      </c>
      <c r="M528" s="5">
        <v>0</v>
      </c>
      <c r="N528" s="7">
        <v>0</v>
      </c>
      <c r="O528" s="7">
        <v>0</v>
      </c>
      <c r="P528" s="7">
        <v>0</v>
      </c>
      <c r="Q528" s="5">
        <v>0</v>
      </c>
      <c r="R528" s="5">
        <v>0</v>
      </c>
      <c r="S528" s="7">
        <v>0</v>
      </c>
      <c r="T528" s="12">
        <v>43197</v>
      </c>
      <c r="U528" s="4">
        <v>5</v>
      </c>
      <c r="V528" s="4">
        <v>5</v>
      </c>
      <c r="W528" s="4">
        <v>9</v>
      </c>
      <c r="X528" s="45">
        <v>75634.45</v>
      </c>
      <c r="Y528" s="14" t="s">
        <v>54</v>
      </c>
      <c r="Z528" s="14" t="s">
        <v>730</v>
      </c>
      <c r="AA528" s="14" t="s">
        <v>2928</v>
      </c>
      <c r="AB528" s="44">
        <v>43199</v>
      </c>
      <c r="AC528" s="44" t="s">
        <v>2922</v>
      </c>
      <c r="AD528" s="29" t="s">
        <v>49</v>
      </c>
      <c r="AE528" s="24" t="s">
        <v>1307</v>
      </c>
      <c r="AF528" s="25" t="s">
        <v>1265</v>
      </c>
      <c r="AG528" t="e">
        <f t="shared" si="8"/>
        <v>#REF!</v>
      </c>
      <c r="AI528" s="58"/>
    </row>
    <row r="529" spans="1:35" ht="15.75" customHeight="1">
      <c r="A529" s="6" t="s">
        <v>1308</v>
      </c>
      <c r="B529" s="5">
        <v>639</v>
      </c>
      <c r="C529" s="7">
        <v>57593.86</v>
      </c>
      <c r="D529" s="7">
        <v>30</v>
      </c>
      <c r="E529" s="7">
        <v>30</v>
      </c>
      <c r="F529" s="5">
        <v>0</v>
      </c>
      <c r="G529" s="7">
        <v>1329</v>
      </c>
      <c r="H529" s="5">
        <v>765</v>
      </c>
      <c r="I529" s="7">
        <v>25664.699999999997</v>
      </c>
      <c r="J529" s="7">
        <v>458</v>
      </c>
      <c r="K529" s="5">
        <v>0</v>
      </c>
      <c r="L529" s="5">
        <v>0</v>
      </c>
      <c r="M529" s="5">
        <v>458</v>
      </c>
      <c r="N529" s="7">
        <v>458</v>
      </c>
      <c r="O529" s="7">
        <v>13804.6</v>
      </c>
      <c r="P529" s="7">
        <v>175</v>
      </c>
      <c r="Q529" s="5">
        <v>0</v>
      </c>
      <c r="R529" s="5">
        <v>175</v>
      </c>
      <c r="S529" s="7">
        <v>8732.5</v>
      </c>
      <c r="T529" s="12">
        <v>43197</v>
      </c>
      <c r="U529" s="4">
        <v>7</v>
      </c>
      <c r="V529" s="4">
        <v>5</v>
      </c>
      <c r="W529" s="4">
        <v>9</v>
      </c>
      <c r="X529" s="45">
        <v>107124.66</v>
      </c>
      <c r="Y529" s="14" t="s">
        <v>54</v>
      </c>
      <c r="Z529" s="14" t="s">
        <v>55</v>
      </c>
      <c r="AA529" s="14" t="s">
        <v>2933</v>
      </c>
      <c r="AB529" s="44">
        <v>43200</v>
      </c>
      <c r="AC529" s="44" t="s">
        <v>2927</v>
      </c>
      <c r="AD529" s="29" t="s">
        <v>51</v>
      </c>
      <c r="AE529" s="24" t="s">
        <v>1309</v>
      </c>
      <c r="AF529" s="25" t="s">
        <v>1270</v>
      </c>
      <c r="AG529" t="e">
        <f t="shared" si="8"/>
        <v>#REF!</v>
      </c>
      <c r="AI529" s="58"/>
    </row>
    <row r="530" spans="1:35" ht="15.75" customHeight="1">
      <c r="A530" s="6" t="s">
        <v>1310</v>
      </c>
      <c r="B530" s="5">
        <v>198</v>
      </c>
      <c r="C530" s="7">
        <v>19538.23</v>
      </c>
      <c r="D530" s="7">
        <v>0</v>
      </c>
      <c r="E530" s="7">
        <v>0</v>
      </c>
      <c r="F530" s="5">
        <v>0</v>
      </c>
      <c r="G530" s="7">
        <v>0</v>
      </c>
      <c r="H530" s="5">
        <v>0</v>
      </c>
      <c r="I530" s="7">
        <v>0</v>
      </c>
      <c r="J530" s="7">
        <v>3</v>
      </c>
      <c r="K530" s="5">
        <v>0</v>
      </c>
      <c r="L530" s="5">
        <v>0</v>
      </c>
      <c r="M530" s="5">
        <v>3</v>
      </c>
      <c r="N530" s="7">
        <v>3</v>
      </c>
      <c r="O530" s="7">
        <v>529.6</v>
      </c>
      <c r="P530" s="7">
        <v>41</v>
      </c>
      <c r="Q530" s="5">
        <v>0</v>
      </c>
      <c r="R530" s="5">
        <v>41</v>
      </c>
      <c r="S530" s="7">
        <v>3796.3</v>
      </c>
      <c r="T530" s="12">
        <v>43197</v>
      </c>
      <c r="U530" s="4">
        <v>2</v>
      </c>
      <c r="V530" s="4">
        <v>7</v>
      </c>
      <c r="W530" s="4">
        <v>7</v>
      </c>
      <c r="X530" s="45">
        <v>23864.129999999997</v>
      </c>
      <c r="Y530" s="14" t="s">
        <v>85</v>
      </c>
      <c r="Z530" s="14" t="s">
        <v>1281</v>
      </c>
      <c r="AA530" s="14">
        <v>350810029464</v>
      </c>
      <c r="AB530" s="44">
        <v>43198</v>
      </c>
      <c r="AC530" s="44" t="s">
        <v>2918</v>
      </c>
      <c r="AD530" s="29" t="s">
        <v>600</v>
      </c>
      <c r="AE530" s="24">
        <v>2500000041294</v>
      </c>
      <c r="AF530" s="25" t="s">
        <v>1275</v>
      </c>
      <c r="AG530" t="e">
        <f t="shared" si="8"/>
        <v>#REF!</v>
      </c>
      <c r="AI530" s="58"/>
    </row>
    <row r="531" spans="1:35" ht="15.75" customHeight="1">
      <c r="A531" s="13" t="s">
        <v>1311</v>
      </c>
      <c r="B531" s="5">
        <v>572</v>
      </c>
      <c r="C531" s="7">
        <v>60654.9</v>
      </c>
      <c r="D531" s="7">
        <v>0</v>
      </c>
      <c r="E531" s="7">
        <v>0</v>
      </c>
      <c r="F531" s="5">
        <v>0</v>
      </c>
      <c r="G531" s="7">
        <v>0</v>
      </c>
      <c r="H531" s="5">
        <v>0</v>
      </c>
      <c r="I531" s="7">
        <v>0</v>
      </c>
      <c r="J531" s="7">
        <v>206</v>
      </c>
      <c r="K531" s="5">
        <v>0</v>
      </c>
      <c r="L531" s="5">
        <v>0</v>
      </c>
      <c r="M531" s="5">
        <v>206</v>
      </c>
      <c r="N531" s="7">
        <v>206</v>
      </c>
      <c r="O531" s="7">
        <v>11633</v>
      </c>
      <c r="P531" s="7">
        <v>0</v>
      </c>
      <c r="Q531" s="5">
        <v>0</v>
      </c>
      <c r="R531" s="5">
        <v>0</v>
      </c>
      <c r="S531" s="7">
        <v>0</v>
      </c>
      <c r="T531" s="12">
        <v>43197</v>
      </c>
      <c r="U531" s="4">
        <v>6</v>
      </c>
      <c r="V531" s="4">
        <v>6</v>
      </c>
      <c r="W531" s="4">
        <v>8</v>
      </c>
      <c r="X531" s="45">
        <v>72287.899999999994</v>
      </c>
      <c r="Y531" s="14" t="s">
        <v>54</v>
      </c>
      <c r="Z531" s="14" t="s">
        <v>59</v>
      </c>
      <c r="AA531" s="14" t="s">
        <v>2921</v>
      </c>
      <c r="AB531" s="44">
        <v>43199</v>
      </c>
      <c r="AC531" s="44" t="s">
        <v>2922</v>
      </c>
      <c r="AD531" s="29" t="s">
        <v>50</v>
      </c>
      <c r="AE531" s="24" t="s">
        <v>1312</v>
      </c>
      <c r="AF531" s="25" t="s">
        <v>1269</v>
      </c>
      <c r="AG531" t="e">
        <f t="shared" si="8"/>
        <v>#REF!</v>
      </c>
      <c r="AI531" s="58"/>
    </row>
    <row r="532" spans="1:35" ht="18" customHeight="1">
      <c r="A532" s="6" t="s">
        <v>1313</v>
      </c>
      <c r="B532" s="5">
        <v>0</v>
      </c>
      <c r="C532" s="7">
        <v>0</v>
      </c>
      <c r="D532" s="7">
        <v>0</v>
      </c>
      <c r="E532" s="7">
        <v>0</v>
      </c>
      <c r="F532" s="5">
        <v>0</v>
      </c>
      <c r="G532" s="7">
        <v>0</v>
      </c>
      <c r="H532" s="5">
        <v>0</v>
      </c>
      <c r="I532" s="7">
        <v>0</v>
      </c>
      <c r="J532" s="7">
        <v>0</v>
      </c>
      <c r="K532" s="5">
        <v>0</v>
      </c>
      <c r="L532" s="5">
        <v>0</v>
      </c>
      <c r="M532" s="5">
        <v>0</v>
      </c>
      <c r="N532" s="7">
        <v>0</v>
      </c>
      <c r="O532" s="7">
        <v>0</v>
      </c>
      <c r="P532" s="7">
        <v>188</v>
      </c>
      <c r="Q532" s="5">
        <v>0</v>
      </c>
      <c r="R532" s="5">
        <v>188</v>
      </c>
      <c r="S532" s="7">
        <v>28541.4</v>
      </c>
      <c r="T532" s="12">
        <v>43196</v>
      </c>
      <c r="U532" s="4">
        <v>2</v>
      </c>
      <c r="V532" s="4">
        <v>2</v>
      </c>
      <c r="W532" s="4">
        <v>3</v>
      </c>
      <c r="X532" s="45">
        <v>28541.4</v>
      </c>
      <c r="Y532" s="14" t="s">
        <v>58</v>
      </c>
      <c r="Z532" s="14" t="s">
        <v>55</v>
      </c>
      <c r="AA532" s="14" t="s">
        <v>2939</v>
      </c>
      <c r="AB532" s="44">
        <v>43202</v>
      </c>
      <c r="AC532" s="44" t="s">
        <v>2925</v>
      </c>
      <c r="AD532" s="29" t="s">
        <v>49</v>
      </c>
      <c r="AE532" s="24" t="s">
        <v>1314</v>
      </c>
      <c r="AF532" s="25" t="s">
        <v>1268</v>
      </c>
      <c r="AG532" t="e">
        <f t="shared" si="8"/>
        <v>#REF!</v>
      </c>
      <c r="AI532" s="58"/>
    </row>
    <row r="533" spans="1:35" ht="15.75" customHeight="1">
      <c r="A533" s="6" t="s">
        <v>1315</v>
      </c>
      <c r="B533" s="5">
        <v>7</v>
      </c>
      <c r="C533" s="7">
        <v>425.9</v>
      </c>
      <c r="D533" s="7">
        <v>0</v>
      </c>
      <c r="E533" s="7">
        <v>0</v>
      </c>
      <c r="F533" s="5">
        <v>0</v>
      </c>
      <c r="G533" s="7">
        <v>0</v>
      </c>
      <c r="H533" s="5">
        <v>90</v>
      </c>
      <c r="I533" s="7">
        <v>11605.199999999999</v>
      </c>
      <c r="J533" s="7">
        <v>58</v>
      </c>
      <c r="K533" s="5">
        <v>0</v>
      </c>
      <c r="L533" s="5">
        <v>0</v>
      </c>
      <c r="M533" s="5">
        <v>58</v>
      </c>
      <c r="N533" s="7">
        <v>58</v>
      </c>
      <c r="O533" s="7">
        <v>9597.6</v>
      </c>
      <c r="P533" s="7">
        <v>0</v>
      </c>
      <c r="Q533" s="5">
        <v>0</v>
      </c>
      <c r="R533" s="5">
        <v>0</v>
      </c>
      <c r="S533" s="7">
        <v>0</v>
      </c>
      <c r="T533" s="12">
        <v>43196</v>
      </c>
      <c r="U533" s="4">
        <v>2</v>
      </c>
      <c r="X533" s="45">
        <v>21628.699999999997</v>
      </c>
      <c r="Y533" s="14" t="s">
        <v>1633</v>
      </c>
      <c r="Z533" s="14" t="s">
        <v>1355</v>
      </c>
      <c r="AA533" s="14" t="s">
        <v>2940</v>
      </c>
      <c r="AB533" s="44">
        <v>43205</v>
      </c>
      <c r="AC533" s="44" t="s">
        <v>2941</v>
      </c>
      <c r="AD533" s="29" t="s">
        <v>70</v>
      </c>
      <c r="AE533" s="24" t="s">
        <v>1316</v>
      </c>
      <c r="AF533" s="25" t="s">
        <v>1273</v>
      </c>
      <c r="AG533" t="e">
        <f t="shared" si="8"/>
        <v>#REF!</v>
      </c>
      <c r="AI533" s="58"/>
    </row>
    <row r="534" spans="1:35" ht="15.75" customHeight="1">
      <c r="A534" s="6" t="s">
        <v>1317</v>
      </c>
      <c r="B534" s="5">
        <v>119</v>
      </c>
      <c r="C534" s="7">
        <v>11905.95</v>
      </c>
      <c r="D534" s="7">
        <v>0</v>
      </c>
      <c r="E534" s="7">
        <v>0</v>
      </c>
      <c r="F534" s="5">
        <v>0</v>
      </c>
      <c r="G534" s="7">
        <v>0</v>
      </c>
      <c r="H534" s="5">
        <v>0</v>
      </c>
      <c r="I534" s="7">
        <v>0</v>
      </c>
      <c r="J534" s="7">
        <v>58</v>
      </c>
      <c r="K534" s="5">
        <v>0</v>
      </c>
      <c r="L534" s="5">
        <v>0</v>
      </c>
      <c r="M534" s="5">
        <v>58</v>
      </c>
      <c r="N534" s="7">
        <v>58</v>
      </c>
      <c r="O534" s="7">
        <v>10248.599999999999</v>
      </c>
      <c r="P534" s="7">
        <v>311</v>
      </c>
      <c r="Q534" s="5">
        <v>0</v>
      </c>
      <c r="R534" s="5">
        <v>311</v>
      </c>
      <c r="S534" s="7">
        <v>46917.7</v>
      </c>
      <c r="T534" s="12">
        <v>43196</v>
      </c>
      <c r="U534" s="4">
        <v>5</v>
      </c>
      <c r="X534" s="45">
        <v>69072.25</v>
      </c>
      <c r="Y534" s="14" t="s">
        <v>56</v>
      </c>
      <c r="Z534" s="14" t="s">
        <v>1355</v>
      </c>
      <c r="AA534" s="14" t="s">
        <v>2924</v>
      </c>
      <c r="AB534" s="44">
        <v>43202</v>
      </c>
      <c r="AC534" s="44" t="s">
        <v>2925</v>
      </c>
      <c r="AD534" s="29" t="s">
        <v>49</v>
      </c>
      <c r="AE534" s="24" t="s">
        <v>1318</v>
      </c>
      <c r="AF534" s="25" t="s">
        <v>1267</v>
      </c>
      <c r="AG534" t="e">
        <f t="shared" si="8"/>
        <v>#REF!</v>
      </c>
      <c r="AI534" s="58"/>
    </row>
    <row r="535" spans="1:35" ht="15.75" customHeight="1">
      <c r="A535" s="13" t="s">
        <v>1319</v>
      </c>
      <c r="B535" s="5">
        <v>439</v>
      </c>
      <c r="C535" s="7">
        <v>49049.899999999994</v>
      </c>
      <c r="D535" s="7">
        <v>0</v>
      </c>
      <c r="E535" s="7">
        <v>0</v>
      </c>
      <c r="F535" s="5">
        <v>0</v>
      </c>
      <c r="G535" s="7">
        <v>0</v>
      </c>
      <c r="H535" s="5">
        <v>435</v>
      </c>
      <c r="I535" s="7">
        <v>53955.30000000001</v>
      </c>
      <c r="J535" s="7">
        <v>0</v>
      </c>
      <c r="K535" s="5">
        <v>0</v>
      </c>
      <c r="L535" s="5">
        <v>0</v>
      </c>
      <c r="M535" s="5">
        <v>0</v>
      </c>
      <c r="N535" s="7">
        <v>0</v>
      </c>
      <c r="O535" s="7">
        <v>0</v>
      </c>
      <c r="P535" s="7">
        <v>791</v>
      </c>
      <c r="Q535" s="5">
        <v>0</v>
      </c>
      <c r="R535" s="5">
        <v>791</v>
      </c>
      <c r="S535" s="7">
        <v>107322</v>
      </c>
      <c r="T535" s="12">
        <v>43196</v>
      </c>
      <c r="U535" s="4">
        <v>14</v>
      </c>
      <c r="X535" s="45">
        <v>210327.2</v>
      </c>
      <c r="Y535" s="14" t="s">
        <v>56</v>
      </c>
      <c r="Z535" s="14" t="s">
        <v>57</v>
      </c>
      <c r="AA535" s="14" t="s">
        <v>2942</v>
      </c>
      <c r="AB535" s="44">
        <v>43201</v>
      </c>
      <c r="AC535" s="44" t="s">
        <v>2943</v>
      </c>
      <c r="AD535" s="29" t="s">
        <v>51</v>
      </c>
      <c r="AE535" s="24" t="s">
        <v>1320</v>
      </c>
      <c r="AF535" s="25" t="s">
        <v>1270</v>
      </c>
      <c r="AG535" t="e">
        <f t="shared" si="8"/>
        <v>#REF!</v>
      </c>
      <c r="AI535" s="58"/>
    </row>
    <row r="536" spans="1:35" ht="15.75" customHeight="1">
      <c r="A536" s="6" t="s">
        <v>1321</v>
      </c>
      <c r="B536" s="5">
        <v>652</v>
      </c>
      <c r="C536" s="7">
        <v>74489.95</v>
      </c>
      <c r="D536" s="7">
        <v>0</v>
      </c>
      <c r="E536" s="7">
        <v>0</v>
      </c>
      <c r="F536" s="5">
        <v>0</v>
      </c>
      <c r="G536" s="7">
        <v>0</v>
      </c>
      <c r="H536" s="5">
        <v>270</v>
      </c>
      <c r="I536" s="7">
        <v>10971</v>
      </c>
      <c r="J536" s="7">
        <v>187</v>
      </c>
      <c r="K536" s="5">
        <v>0</v>
      </c>
      <c r="L536" s="5">
        <v>0</v>
      </c>
      <c r="M536" s="5">
        <v>187</v>
      </c>
      <c r="N536" s="7">
        <v>187</v>
      </c>
      <c r="O536" s="7">
        <v>22301.700000000004</v>
      </c>
      <c r="P536" s="7">
        <v>428</v>
      </c>
      <c r="Q536" s="5">
        <v>0</v>
      </c>
      <c r="R536" s="5">
        <v>428</v>
      </c>
      <c r="S536" s="7">
        <v>87685.3</v>
      </c>
      <c r="T536" s="12">
        <v>43196</v>
      </c>
      <c r="U536" s="4">
        <v>14</v>
      </c>
      <c r="X536" s="45">
        <v>195447.95</v>
      </c>
      <c r="Y536" s="14" t="s">
        <v>54</v>
      </c>
      <c r="Z536" s="14" t="s">
        <v>59</v>
      </c>
      <c r="AA536" s="14" t="s">
        <v>2935</v>
      </c>
      <c r="AB536" s="44">
        <v>43203</v>
      </c>
      <c r="AC536" s="44" t="s">
        <v>2936</v>
      </c>
      <c r="AD536" s="29" t="s">
        <v>50</v>
      </c>
      <c r="AE536" s="24" t="s">
        <v>1322</v>
      </c>
      <c r="AF536" s="25" t="s">
        <v>1269</v>
      </c>
      <c r="AG536" t="e">
        <f t="shared" si="8"/>
        <v>#REF!</v>
      </c>
      <c r="AI536" s="58"/>
    </row>
    <row r="537" spans="1:35" ht="15.75" customHeight="1">
      <c r="A537" s="6" t="s">
        <v>1323</v>
      </c>
      <c r="B537" s="5">
        <v>0</v>
      </c>
      <c r="C537" s="7">
        <v>0</v>
      </c>
      <c r="D537" s="7">
        <v>0</v>
      </c>
      <c r="E537" s="7">
        <v>0</v>
      </c>
      <c r="F537" s="5">
        <v>0</v>
      </c>
      <c r="G537" s="7">
        <v>0</v>
      </c>
      <c r="H537" s="5">
        <v>95</v>
      </c>
      <c r="I537" s="7">
        <v>12156.2</v>
      </c>
      <c r="J537" s="7">
        <v>58</v>
      </c>
      <c r="K537" s="5">
        <v>0</v>
      </c>
      <c r="L537" s="5">
        <v>0</v>
      </c>
      <c r="M537" s="5">
        <v>58</v>
      </c>
      <c r="N537" s="7">
        <v>58</v>
      </c>
      <c r="O537" s="7">
        <v>10248.599999999999</v>
      </c>
      <c r="P537" s="7">
        <v>259</v>
      </c>
      <c r="Q537" s="5">
        <v>0</v>
      </c>
      <c r="R537" s="5">
        <v>259</v>
      </c>
      <c r="S537" s="7">
        <v>36159.199999999997</v>
      </c>
      <c r="T537" s="12">
        <v>43197</v>
      </c>
      <c r="U537" s="4">
        <v>4</v>
      </c>
      <c r="X537" s="45">
        <v>58564</v>
      </c>
      <c r="Y537" s="14" t="s">
        <v>1636</v>
      </c>
      <c r="Z537" s="14" t="s">
        <v>1355</v>
      </c>
      <c r="AA537" s="14" t="s">
        <v>2929</v>
      </c>
      <c r="AB537" s="44">
        <v>43200</v>
      </c>
      <c r="AC537" s="44" t="s">
        <v>2930</v>
      </c>
      <c r="AD537" s="29" t="s">
        <v>49</v>
      </c>
      <c r="AE537" s="24" t="s">
        <v>1328</v>
      </c>
      <c r="AF537" s="25" t="s">
        <v>1266</v>
      </c>
      <c r="AG537" t="e">
        <f t="shared" si="8"/>
        <v>#REF!</v>
      </c>
      <c r="AI537" s="58"/>
    </row>
    <row r="538" spans="1:35" ht="15.75" customHeight="1">
      <c r="A538" s="6" t="s">
        <v>1324</v>
      </c>
      <c r="B538" s="5">
        <v>173</v>
      </c>
      <c r="C538" s="7">
        <v>23602.800000000003</v>
      </c>
      <c r="D538" s="7">
        <v>0</v>
      </c>
      <c r="E538" s="7">
        <v>0</v>
      </c>
      <c r="F538" s="5">
        <v>0</v>
      </c>
      <c r="G538" s="7">
        <v>0</v>
      </c>
      <c r="H538" s="5">
        <v>0</v>
      </c>
      <c r="I538" s="7">
        <v>0</v>
      </c>
      <c r="J538" s="7">
        <v>0</v>
      </c>
      <c r="K538" s="5">
        <v>0</v>
      </c>
      <c r="L538" s="5">
        <v>0</v>
      </c>
      <c r="M538" s="5">
        <v>0</v>
      </c>
      <c r="N538" s="7">
        <v>0</v>
      </c>
      <c r="O538" s="7">
        <v>0</v>
      </c>
      <c r="P538" s="7">
        <v>175</v>
      </c>
      <c r="Q538" s="5">
        <v>0</v>
      </c>
      <c r="R538" s="5">
        <v>175</v>
      </c>
      <c r="S538" s="7">
        <v>31169.5</v>
      </c>
      <c r="T538" s="12">
        <v>43197</v>
      </c>
      <c r="U538" s="4">
        <v>4</v>
      </c>
      <c r="X538" s="45">
        <v>54772.3</v>
      </c>
      <c r="Y538" s="14" t="s">
        <v>56</v>
      </c>
      <c r="Z538" s="14" t="s">
        <v>57</v>
      </c>
      <c r="AA538" s="14" t="s">
        <v>2931</v>
      </c>
      <c r="AB538" s="44">
        <v>43204</v>
      </c>
      <c r="AC538" s="44" t="s">
        <v>2932</v>
      </c>
      <c r="AD538" s="29" t="s">
        <v>52</v>
      </c>
      <c r="AE538" s="24" t="s">
        <v>1325</v>
      </c>
      <c r="AF538" s="25" t="s">
        <v>1271</v>
      </c>
      <c r="AG538" t="e">
        <f t="shared" si="8"/>
        <v>#REF!</v>
      </c>
      <c r="AI538" s="58"/>
    </row>
    <row r="539" spans="1:35" ht="15.75" customHeight="1">
      <c r="A539" s="6" t="s">
        <v>1327</v>
      </c>
      <c r="B539" s="5">
        <v>140</v>
      </c>
      <c r="C539" s="7">
        <v>13681</v>
      </c>
      <c r="D539" s="7">
        <v>0</v>
      </c>
      <c r="E539" s="7">
        <v>0</v>
      </c>
      <c r="F539" s="5">
        <v>0</v>
      </c>
      <c r="G539" s="7">
        <v>0</v>
      </c>
      <c r="H539" s="5">
        <v>95</v>
      </c>
      <c r="I539" s="7">
        <v>12156.2</v>
      </c>
      <c r="J539" s="7">
        <v>55</v>
      </c>
      <c r="K539" s="5">
        <v>0</v>
      </c>
      <c r="L539" s="5">
        <v>0</v>
      </c>
      <c r="M539" s="5">
        <v>55</v>
      </c>
      <c r="N539" s="7">
        <v>55</v>
      </c>
      <c r="O539" s="7">
        <v>9650</v>
      </c>
      <c r="P539" s="7">
        <v>224</v>
      </c>
      <c r="Q539" s="5">
        <v>0</v>
      </c>
      <c r="R539" s="5">
        <v>224</v>
      </c>
      <c r="S539" s="7">
        <v>50380.800000000003</v>
      </c>
      <c r="T539" s="12">
        <v>43197</v>
      </c>
      <c r="U539" s="4">
        <v>6</v>
      </c>
      <c r="X539" s="45">
        <v>85868</v>
      </c>
      <c r="Y539" s="14" t="s">
        <v>54</v>
      </c>
      <c r="Z539" s="14" t="s">
        <v>730</v>
      </c>
      <c r="AA539" s="14" t="s">
        <v>2944</v>
      </c>
      <c r="AB539" s="44">
        <v>43203</v>
      </c>
      <c r="AC539" s="44" t="s">
        <v>2945</v>
      </c>
      <c r="AD539" s="29" t="s">
        <v>51</v>
      </c>
      <c r="AE539" s="24" t="s">
        <v>1326</v>
      </c>
      <c r="AF539" s="25" t="s">
        <v>1270</v>
      </c>
      <c r="AG539" t="e">
        <f t="shared" si="8"/>
        <v>#REF!</v>
      </c>
      <c r="AI539" s="58"/>
    </row>
    <row r="540" spans="1:35" ht="15.75" customHeight="1">
      <c r="A540" s="6" t="s">
        <v>1329</v>
      </c>
      <c r="B540" s="5">
        <v>0</v>
      </c>
      <c r="C540" s="7">
        <v>0</v>
      </c>
      <c r="D540" s="7">
        <v>0</v>
      </c>
      <c r="E540" s="7">
        <v>0</v>
      </c>
      <c r="F540" s="5">
        <v>0</v>
      </c>
      <c r="G540" s="7">
        <v>0</v>
      </c>
      <c r="H540" s="5">
        <v>0</v>
      </c>
      <c r="I540" s="7">
        <v>0</v>
      </c>
      <c r="J540" s="7">
        <v>60</v>
      </c>
      <c r="K540" s="5">
        <v>0</v>
      </c>
      <c r="L540" s="5">
        <v>0</v>
      </c>
      <c r="M540" s="5">
        <v>60</v>
      </c>
      <c r="N540" s="7">
        <v>60</v>
      </c>
      <c r="O540" s="7">
        <v>9406.8000000000011</v>
      </c>
      <c r="P540" s="7">
        <v>0</v>
      </c>
      <c r="Q540" s="5">
        <v>0</v>
      </c>
      <c r="R540" s="5">
        <v>0</v>
      </c>
      <c r="S540" s="7">
        <v>0</v>
      </c>
      <c r="T540" s="12">
        <v>43199</v>
      </c>
      <c r="U540" s="4">
        <v>1</v>
      </c>
      <c r="X540" s="45">
        <v>9406.8000000000011</v>
      </c>
      <c r="Y540" s="14" t="s">
        <v>56</v>
      </c>
      <c r="Z540" s="14" t="s">
        <v>1281</v>
      </c>
      <c r="AA540" s="14" t="s">
        <v>2946</v>
      </c>
      <c r="AB540" s="44">
        <v>43202</v>
      </c>
      <c r="AC540" s="44" t="s">
        <v>2947</v>
      </c>
      <c r="AD540" s="29" t="s">
        <v>218</v>
      </c>
      <c r="AE540" s="24" t="s">
        <v>1330</v>
      </c>
      <c r="AF540" s="25" t="s">
        <v>1272</v>
      </c>
      <c r="AG540" t="e">
        <f t="shared" si="8"/>
        <v>#REF!</v>
      </c>
      <c r="AI540" s="58"/>
    </row>
    <row r="541" spans="1:35" ht="15.75" customHeight="1">
      <c r="A541" s="6" t="s">
        <v>1331</v>
      </c>
      <c r="B541" s="5">
        <v>21</v>
      </c>
      <c r="C541" s="7">
        <v>3632.1</v>
      </c>
      <c r="D541" s="7">
        <v>0</v>
      </c>
      <c r="E541" s="7">
        <v>0</v>
      </c>
      <c r="F541" s="5">
        <v>0</v>
      </c>
      <c r="G541" s="7">
        <v>0</v>
      </c>
      <c r="H541" s="5">
        <v>0</v>
      </c>
      <c r="I541" s="7">
        <v>0</v>
      </c>
      <c r="J541" s="7">
        <v>16</v>
      </c>
      <c r="K541" s="5">
        <v>0</v>
      </c>
      <c r="L541" s="5">
        <v>0</v>
      </c>
      <c r="M541" s="5">
        <v>16</v>
      </c>
      <c r="N541" s="7">
        <v>16</v>
      </c>
      <c r="O541" s="7">
        <v>3010.2000000000003</v>
      </c>
      <c r="P541" s="7">
        <v>70</v>
      </c>
      <c r="Q541" s="5">
        <v>0</v>
      </c>
      <c r="R541" s="5">
        <v>70</v>
      </c>
      <c r="S541" s="7">
        <v>6401</v>
      </c>
      <c r="T541" s="12">
        <v>43199</v>
      </c>
      <c r="U541" s="4">
        <v>1</v>
      </c>
      <c r="X541" s="45">
        <v>13043.3</v>
      </c>
      <c r="Y541" s="14" t="s">
        <v>1354</v>
      </c>
      <c r="Z541" s="14" t="s">
        <v>730</v>
      </c>
      <c r="AA541" s="14" t="s">
        <v>2948</v>
      </c>
      <c r="AB541" s="44">
        <v>43203</v>
      </c>
      <c r="AC541" s="44" t="s">
        <v>2949</v>
      </c>
      <c r="AD541" s="29" t="s">
        <v>240</v>
      </c>
      <c r="AE541" s="24" t="s">
        <v>1332</v>
      </c>
      <c r="AF541" s="25" t="s">
        <v>1274</v>
      </c>
      <c r="AG541" t="e">
        <f t="shared" si="8"/>
        <v>#REF!</v>
      </c>
      <c r="AI541" s="58"/>
    </row>
    <row r="542" spans="1:35" ht="15.75" customHeight="1">
      <c r="A542" s="6" t="s">
        <v>1333</v>
      </c>
      <c r="B542" s="5">
        <v>200</v>
      </c>
      <c r="C542" s="7">
        <v>13120</v>
      </c>
      <c r="D542" s="7">
        <v>30</v>
      </c>
      <c r="E542" s="7">
        <v>30</v>
      </c>
      <c r="F542" s="5">
        <v>0</v>
      </c>
      <c r="G542" s="7">
        <v>1329</v>
      </c>
      <c r="H542" s="5">
        <v>205</v>
      </c>
      <c r="I542" s="7">
        <v>25045.15</v>
      </c>
      <c r="J542" s="7">
        <v>240</v>
      </c>
      <c r="K542" s="5">
        <v>0</v>
      </c>
      <c r="L542" s="5">
        <v>0</v>
      </c>
      <c r="M542" s="5">
        <v>240</v>
      </c>
      <c r="N542" s="7">
        <v>240</v>
      </c>
      <c r="O542" s="7">
        <v>6857.5</v>
      </c>
      <c r="P542" s="7">
        <v>755</v>
      </c>
      <c r="Q542" s="5">
        <v>0</v>
      </c>
      <c r="R542" s="5">
        <v>755</v>
      </c>
      <c r="S542" s="7">
        <v>64750.3</v>
      </c>
      <c r="T542" s="12">
        <v>43199</v>
      </c>
      <c r="U542" s="4">
        <v>6</v>
      </c>
      <c r="X542" s="45">
        <v>111101.95000000001</v>
      </c>
      <c r="Y542" s="14" t="s">
        <v>58</v>
      </c>
      <c r="Z542" s="14" t="s">
        <v>55</v>
      </c>
      <c r="AA542" s="14" t="s">
        <v>2939</v>
      </c>
      <c r="AB542" s="44">
        <v>43202</v>
      </c>
      <c r="AC542" s="44" t="s">
        <v>2925</v>
      </c>
      <c r="AD542" s="29" t="s">
        <v>49</v>
      </c>
      <c r="AE542" s="24" t="s">
        <v>1334</v>
      </c>
      <c r="AF542" s="25" t="s">
        <v>1265</v>
      </c>
      <c r="AG542" t="e">
        <f t="shared" si="8"/>
        <v>#REF!</v>
      </c>
      <c r="AI542" s="58"/>
    </row>
    <row r="543" spans="1:35" ht="15.75" customHeight="1">
      <c r="A543" s="13" t="s">
        <v>1335</v>
      </c>
      <c r="B543" s="5">
        <v>467</v>
      </c>
      <c r="C543" s="7">
        <v>55875.400000000016</v>
      </c>
      <c r="D543" s="7">
        <v>0</v>
      </c>
      <c r="E543" s="7">
        <v>0</v>
      </c>
      <c r="F543" s="5">
        <v>0</v>
      </c>
      <c r="G543" s="7">
        <v>0</v>
      </c>
      <c r="H543" s="5">
        <v>0</v>
      </c>
      <c r="I543" s="7">
        <v>0</v>
      </c>
      <c r="J543" s="7">
        <v>49</v>
      </c>
      <c r="K543" s="5">
        <v>0</v>
      </c>
      <c r="L543" s="5">
        <v>0</v>
      </c>
      <c r="M543" s="5">
        <v>49</v>
      </c>
      <c r="N543" s="7">
        <v>49</v>
      </c>
      <c r="O543" s="7">
        <v>8722.7999999999993</v>
      </c>
      <c r="P543" s="7">
        <v>0</v>
      </c>
      <c r="Q543" s="5">
        <v>0</v>
      </c>
      <c r="R543" s="5">
        <v>0</v>
      </c>
      <c r="S543" s="7">
        <v>0</v>
      </c>
      <c r="T543" s="12">
        <v>43199</v>
      </c>
      <c r="U543" s="4">
        <v>6</v>
      </c>
      <c r="X543" s="45">
        <v>64598.200000000012</v>
      </c>
      <c r="Y543" s="14" t="s">
        <v>58</v>
      </c>
      <c r="Z543" s="14" t="s">
        <v>55</v>
      </c>
      <c r="AA543" s="14" t="s">
        <v>2939</v>
      </c>
      <c r="AB543" s="44">
        <v>43202</v>
      </c>
      <c r="AC543" s="44" t="s">
        <v>2925</v>
      </c>
      <c r="AD543" s="29" t="s">
        <v>49</v>
      </c>
      <c r="AE543" s="24" t="s">
        <v>1336</v>
      </c>
      <c r="AF543" s="25" t="s">
        <v>1267</v>
      </c>
      <c r="AG543" t="e">
        <f t="shared" si="8"/>
        <v>#REF!</v>
      </c>
      <c r="AI543" s="58"/>
    </row>
    <row r="544" spans="1:35" ht="15.75" customHeight="1">
      <c r="A544" s="6" t="s">
        <v>1337</v>
      </c>
      <c r="B544" s="5">
        <v>447</v>
      </c>
      <c r="C544" s="7">
        <v>48348.19</v>
      </c>
      <c r="D544" s="7">
        <v>0</v>
      </c>
      <c r="E544" s="7">
        <v>0</v>
      </c>
      <c r="F544" s="5">
        <v>0</v>
      </c>
      <c r="G544" s="7">
        <v>0</v>
      </c>
      <c r="H544" s="5">
        <v>204</v>
      </c>
      <c r="I544" s="7">
        <v>25283.35</v>
      </c>
      <c r="J544" s="7">
        <v>229</v>
      </c>
      <c r="K544" s="5">
        <v>0</v>
      </c>
      <c r="L544" s="5">
        <v>0</v>
      </c>
      <c r="M544" s="5">
        <v>229</v>
      </c>
      <c r="N544" s="7">
        <v>229</v>
      </c>
      <c r="O544" s="7">
        <v>22099.000000000004</v>
      </c>
      <c r="P544" s="7">
        <v>235</v>
      </c>
      <c r="Q544" s="5">
        <v>0</v>
      </c>
      <c r="R544" s="5">
        <v>235</v>
      </c>
      <c r="S544" s="7">
        <v>54518.9</v>
      </c>
      <c r="T544" s="12">
        <v>43199</v>
      </c>
      <c r="U544" s="4">
        <v>11</v>
      </c>
      <c r="X544" s="45">
        <v>150249.44</v>
      </c>
      <c r="Y544" s="14" t="s">
        <v>56</v>
      </c>
      <c r="Z544" s="14" t="s">
        <v>730</v>
      </c>
      <c r="AA544" s="14" t="s">
        <v>2942</v>
      </c>
      <c r="AB544" s="44">
        <v>43201</v>
      </c>
      <c r="AC544" s="44" t="s">
        <v>2943</v>
      </c>
      <c r="AD544" s="29" t="s">
        <v>51</v>
      </c>
      <c r="AE544" s="24" t="s">
        <v>1338</v>
      </c>
      <c r="AF544" s="25" t="s">
        <v>1270</v>
      </c>
      <c r="AG544" t="e">
        <f t="shared" si="8"/>
        <v>#REF!</v>
      </c>
      <c r="AI544" s="58"/>
    </row>
    <row r="545" spans="1:35" ht="15.75" customHeight="1">
      <c r="A545" s="6" t="s">
        <v>1339</v>
      </c>
      <c r="B545" s="5">
        <v>394</v>
      </c>
      <c r="C545" s="7">
        <v>36417.500000000007</v>
      </c>
      <c r="D545" s="7">
        <v>0</v>
      </c>
      <c r="E545" s="7">
        <v>0</v>
      </c>
      <c r="F545" s="5">
        <v>0</v>
      </c>
      <c r="G545" s="7">
        <v>0</v>
      </c>
      <c r="H545" s="5">
        <v>240</v>
      </c>
      <c r="I545" s="7">
        <v>28576.699999999997</v>
      </c>
      <c r="J545" s="7">
        <v>75</v>
      </c>
      <c r="K545" s="5">
        <v>0</v>
      </c>
      <c r="L545" s="5">
        <v>0</v>
      </c>
      <c r="M545" s="5">
        <v>75</v>
      </c>
      <c r="N545" s="7">
        <v>75</v>
      </c>
      <c r="O545" s="7">
        <v>10234.9</v>
      </c>
      <c r="P545" s="7">
        <v>0</v>
      </c>
      <c r="Q545" s="5">
        <v>0</v>
      </c>
      <c r="R545" s="5">
        <v>0</v>
      </c>
      <c r="S545" s="7">
        <v>0</v>
      </c>
      <c r="T545" s="12">
        <v>43199</v>
      </c>
      <c r="U545" s="4">
        <v>6</v>
      </c>
      <c r="X545" s="45">
        <v>75229.100000000006</v>
      </c>
      <c r="Y545" s="14" t="s">
        <v>56</v>
      </c>
      <c r="Z545" s="14" t="s">
        <v>1355</v>
      </c>
      <c r="AA545" s="14" t="s">
        <v>2942</v>
      </c>
      <c r="AB545" s="44">
        <v>43201</v>
      </c>
      <c r="AC545" s="44" t="s">
        <v>2943</v>
      </c>
      <c r="AD545" s="29" t="s">
        <v>51</v>
      </c>
      <c r="AE545" s="24" t="s">
        <v>1340</v>
      </c>
      <c r="AF545" s="25" t="s">
        <v>1270</v>
      </c>
      <c r="AG545" t="e">
        <f t="shared" si="8"/>
        <v>#REF!</v>
      </c>
      <c r="AI545" s="58"/>
    </row>
    <row r="546" spans="1:35" ht="15.75" customHeight="1">
      <c r="A546" s="6" t="s">
        <v>1341</v>
      </c>
      <c r="B546" s="5">
        <v>465</v>
      </c>
      <c r="C546" s="7">
        <v>52952.26</v>
      </c>
      <c r="D546" s="7">
        <v>0</v>
      </c>
      <c r="E546" s="7">
        <v>0</v>
      </c>
      <c r="F546" s="5">
        <v>0</v>
      </c>
      <c r="G546" s="7">
        <v>0</v>
      </c>
      <c r="H546" s="5">
        <v>0</v>
      </c>
      <c r="I546" s="7">
        <v>0</v>
      </c>
      <c r="J546" s="7">
        <v>101</v>
      </c>
      <c r="K546" s="5">
        <v>0</v>
      </c>
      <c r="L546" s="5">
        <v>0</v>
      </c>
      <c r="M546" s="5">
        <v>101</v>
      </c>
      <c r="N546" s="7">
        <v>101</v>
      </c>
      <c r="O546" s="7">
        <v>18886.599999999999</v>
      </c>
      <c r="P546" s="7">
        <v>218</v>
      </c>
      <c r="Q546" s="5">
        <v>0</v>
      </c>
      <c r="R546" s="5">
        <v>218</v>
      </c>
      <c r="S546" s="7">
        <v>50992.6</v>
      </c>
      <c r="T546" s="12">
        <v>43199</v>
      </c>
      <c r="U546" s="4">
        <v>9</v>
      </c>
      <c r="X546" s="45">
        <v>122831.45999999999</v>
      </c>
      <c r="Y546" s="14" t="s">
        <v>54</v>
      </c>
      <c r="Z546" s="14" t="s">
        <v>1281</v>
      </c>
      <c r="AA546" s="14" t="s">
        <v>2935</v>
      </c>
      <c r="AB546" s="44">
        <v>43203</v>
      </c>
      <c r="AC546" s="44" t="s">
        <v>2936</v>
      </c>
      <c r="AD546" s="29" t="s">
        <v>50</v>
      </c>
      <c r="AE546" s="24" t="s">
        <v>1342</v>
      </c>
      <c r="AF546" s="25" t="s">
        <v>1269</v>
      </c>
      <c r="AG546" t="e">
        <f t="shared" si="8"/>
        <v>#REF!</v>
      </c>
      <c r="AI546" s="58"/>
    </row>
    <row r="547" spans="1:35" ht="15.75" customHeight="1">
      <c r="A547" s="13" t="s">
        <v>1343</v>
      </c>
      <c r="B547" s="5">
        <v>722</v>
      </c>
      <c r="C547" s="7">
        <v>57663.399999999994</v>
      </c>
      <c r="D547" s="7">
        <v>0</v>
      </c>
      <c r="E547" s="7">
        <v>0</v>
      </c>
      <c r="F547" s="5">
        <v>0</v>
      </c>
      <c r="G547" s="7">
        <v>0</v>
      </c>
      <c r="H547" s="5">
        <v>0</v>
      </c>
      <c r="I547" s="7">
        <v>0</v>
      </c>
      <c r="J547" s="7">
        <v>248</v>
      </c>
      <c r="K547" s="5">
        <v>0</v>
      </c>
      <c r="L547" s="5">
        <v>0</v>
      </c>
      <c r="M547" s="26">
        <v>248</v>
      </c>
      <c r="N547" s="7">
        <v>248</v>
      </c>
      <c r="O547" s="7">
        <v>21024.7</v>
      </c>
      <c r="P547" s="7">
        <v>335</v>
      </c>
      <c r="Q547" s="5">
        <v>0</v>
      </c>
      <c r="R547" s="5">
        <v>335</v>
      </c>
      <c r="S547" s="7">
        <v>67873.600000000006</v>
      </c>
      <c r="T547" s="12">
        <v>43199</v>
      </c>
      <c r="U547" s="4">
        <v>10</v>
      </c>
      <c r="X547" s="45">
        <v>146561.70000000001</v>
      </c>
      <c r="Y547" s="14" t="s">
        <v>54</v>
      </c>
      <c r="Z547" s="14" t="s">
        <v>59</v>
      </c>
      <c r="AA547" s="14" t="s">
        <v>2935</v>
      </c>
      <c r="AB547" s="44">
        <v>43203</v>
      </c>
      <c r="AC547" s="44" t="s">
        <v>2936</v>
      </c>
      <c r="AD547" s="29" t="s">
        <v>50</v>
      </c>
      <c r="AE547" s="24" t="s">
        <v>1344</v>
      </c>
      <c r="AF547" s="25" t="s">
        <v>1269</v>
      </c>
      <c r="AG547" t="e">
        <f t="shared" si="8"/>
        <v>#REF!</v>
      </c>
      <c r="AI547" s="58"/>
    </row>
    <row r="548" spans="1:35" ht="15.75" customHeight="1">
      <c r="A548" s="6" t="s">
        <v>1348</v>
      </c>
      <c r="B548" s="5">
        <v>1015</v>
      </c>
      <c r="C548" s="7">
        <v>101137.89999999998</v>
      </c>
      <c r="D548" s="7">
        <v>20</v>
      </c>
      <c r="E548" s="7">
        <v>20</v>
      </c>
      <c r="F548" s="5">
        <v>0</v>
      </c>
      <c r="G548" s="7">
        <v>759</v>
      </c>
      <c r="H548" s="5">
        <v>490</v>
      </c>
      <c r="I548" s="7">
        <v>56240.649999999987</v>
      </c>
      <c r="J548" s="7">
        <v>233</v>
      </c>
      <c r="K548" s="5">
        <v>0</v>
      </c>
      <c r="L548" s="5">
        <v>0</v>
      </c>
      <c r="M548" s="5">
        <v>233</v>
      </c>
      <c r="N548" s="7">
        <v>233</v>
      </c>
      <c r="O548" s="7">
        <v>20323.800000000003</v>
      </c>
      <c r="P548" s="7">
        <v>0</v>
      </c>
      <c r="Q548" s="5">
        <v>0</v>
      </c>
      <c r="R548" s="5">
        <v>0</v>
      </c>
      <c r="S548" s="7">
        <v>0</v>
      </c>
      <c r="T548" s="12">
        <v>43200</v>
      </c>
      <c r="U548" s="4">
        <v>14</v>
      </c>
      <c r="X548" s="45">
        <v>178461.34999999998</v>
      </c>
      <c r="Y548" s="14" t="s">
        <v>56</v>
      </c>
      <c r="Z548" s="14" t="s">
        <v>730</v>
      </c>
      <c r="AA548" s="14" t="s">
        <v>2950</v>
      </c>
      <c r="AB548" s="44">
        <v>43202</v>
      </c>
      <c r="AC548" s="44" t="s">
        <v>2925</v>
      </c>
      <c r="AD548" s="29" t="s">
        <v>51</v>
      </c>
      <c r="AE548" s="24" t="s">
        <v>1349</v>
      </c>
      <c r="AF548" s="25" t="s">
        <v>1270</v>
      </c>
      <c r="AG548" t="e">
        <f t="shared" si="8"/>
        <v>#REF!</v>
      </c>
      <c r="AI548" s="58"/>
    </row>
    <row r="549" spans="1:35" ht="15.75" customHeight="1">
      <c r="A549" s="6" t="s">
        <v>1350</v>
      </c>
      <c r="B549" s="5">
        <v>872</v>
      </c>
      <c r="C549" s="7">
        <v>85427.18</v>
      </c>
      <c r="D549" s="7">
        <v>0</v>
      </c>
      <c r="E549" s="7">
        <v>0</v>
      </c>
      <c r="F549" s="5">
        <v>0</v>
      </c>
      <c r="G549" s="7">
        <v>0</v>
      </c>
      <c r="H549" s="5">
        <v>0</v>
      </c>
      <c r="I549" s="7">
        <v>0</v>
      </c>
      <c r="J549" s="7">
        <v>119</v>
      </c>
      <c r="K549" s="5">
        <v>0</v>
      </c>
      <c r="L549" s="5">
        <v>0</v>
      </c>
      <c r="M549" s="5">
        <v>119</v>
      </c>
      <c r="N549" s="7">
        <v>119</v>
      </c>
      <c r="O549" s="7">
        <v>21374.1</v>
      </c>
      <c r="P549" s="7">
        <v>0</v>
      </c>
      <c r="Q549" s="5">
        <v>0</v>
      </c>
      <c r="R549" s="5">
        <v>0</v>
      </c>
      <c r="S549" s="7">
        <v>0</v>
      </c>
      <c r="T549" s="12">
        <v>43200</v>
      </c>
      <c r="U549" s="4">
        <v>9</v>
      </c>
      <c r="X549" s="45">
        <v>106801.28</v>
      </c>
      <c r="Y549" s="14" t="s">
        <v>54</v>
      </c>
      <c r="Z549" s="14" t="s">
        <v>59</v>
      </c>
      <c r="AA549" s="14" t="s">
        <v>2951</v>
      </c>
      <c r="AB549" s="44">
        <v>43210</v>
      </c>
      <c r="AC549" s="44" t="s">
        <v>2952</v>
      </c>
      <c r="AD549" s="29" t="s">
        <v>50</v>
      </c>
      <c r="AE549" s="24" t="s">
        <v>1351</v>
      </c>
      <c r="AF549" s="25" t="s">
        <v>1269</v>
      </c>
      <c r="AG549" t="e">
        <f t="shared" si="8"/>
        <v>#REF!</v>
      </c>
      <c r="AI549" s="58"/>
    </row>
    <row r="550" spans="1:35" ht="15.75" customHeight="1">
      <c r="A550" s="6" t="s">
        <v>1352</v>
      </c>
      <c r="B550" s="5">
        <v>30</v>
      </c>
      <c r="C550" s="7">
        <v>2800.8</v>
      </c>
      <c r="D550" s="7">
        <v>0</v>
      </c>
      <c r="E550" s="7">
        <v>0</v>
      </c>
      <c r="F550" s="5">
        <v>0</v>
      </c>
      <c r="G550" s="7">
        <v>0</v>
      </c>
      <c r="H550" s="5">
        <v>0</v>
      </c>
      <c r="I550" s="7">
        <v>0</v>
      </c>
      <c r="J550" s="7">
        <v>29</v>
      </c>
      <c r="K550" s="5">
        <v>0</v>
      </c>
      <c r="L550" s="5">
        <v>0</v>
      </c>
      <c r="M550" s="5">
        <v>29</v>
      </c>
      <c r="N550" s="7">
        <v>29</v>
      </c>
      <c r="O550" s="7">
        <v>5098.3</v>
      </c>
      <c r="P550" s="7">
        <v>277</v>
      </c>
      <c r="Q550" s="5">
        <v>0</v>
      </c>
      <c r="R550" s="5">
        <v>277</v>
      </c>
      <c r="S550" s="7">
        <v>42248.4</v>
      </c>
      <c r="T550" s="12">
        <v>43200</v>
      </c>
      <c r="U550" s="4">
        <v>4</v>
      </c>
      <c r="X550" s="45">
        <v>50147.5</v>
      </c>
      <c r="Y550" s="14" t="s">
        <v>54</v>
      </c>
      <c r="Z550" s="14" t="s">
        <v>1355</v>
      </c>
      <c r="AA550" s="14" t="s">
        <v>2953</v>
      </c>
      <c r="AB550" s="44">
        <v>43210</v>
      </c>
      <c r="AC550" s="44" t="s">
        <v>2952</v>
      </c>
      <c r="AD550" s="29" t="s">
        <v>49</v>
      </c>
      <c r="AE550" s="24" t="s">
        <v>1353</v>
      </c>
      <c r="AF550" s="25" t="s">
        <v>1266</v>
      </c>
      <c r="AG550" t="e">
        <f t="shared" si="8"/>
        <v>#REF!</v>
      </c>
      <c r="AI550" s="58"/>
    </row>
    <row r="551" spans="1:35" ht="15.75" customHeight="1">
      <c r="A551" s="6" t="s">
        <v>1345</v>
      </c>
      <c r="B551" s="5">
        <v>139</v>
      </c>
      <c r="C551" s="7">
        <v>15744.500000000004</v>
      </c>
      <c r="D551" s="7">
        <v>0</v>
      </c>
      <c r="E551" s="7">
        <v>0</v>
      </c>
      <c r="F551" s="5">
        <v>0</v>
      </c>
      <c r="G551" s="7">
        <v>0</v>
      </c>
      <c r="H551" s="5">
        <v>40</v>
      </c>
      <c r="I551" s="7">
        <v>4549</v>
      </c>
      <c r="J551" s="7">
        <v>11</v>
      </c>
      <c r="K551" s="5">
        <v>0</v>
      </c>
      <c r="L551" s="5">
        <v>0</v>
      </c>
      <c r="M551" s="5">
        <v>11</v>
      </c>
      <c r="N551" s="7">
        <v>11</v>
      </c>
      <c r="O551" s="7">
        <v>2091.6</v>
      </c>
      <c r="P551" s="7">
        <v>100</v>
      </c>
      <c r="Q551" s="5">
        <v>0</v>
      </c>
      <c r="R551" s="5">
        <v>100</v>
      </c>
      <c r="S551" s="7">
        <v>14851</v>
      </c>
      <c r="T551" s="12">
        <v>43201</v>
      </c>
      <c r="U551" s="4">
        <v>3</v>
      </c>
      <c r="X551" s="45">
        <v>37236.100000000006</v>
      </c>
      <c r="Y551" s="14" t="s">
        <v>1633</v>
      </c>
      <c r="Z551" s="14" t="s">
        <v>1355</v>
      </c>
      <c r="AA551" s="14" t="s">
        <v>2940</v>
      </c>
      <c r="AB551" s="44">
        <v>43205</v>
      </c>
      <c r="AC551" s="44" t="s">
        <v>2941</v>
      </c>
      <c r="AD551" s="29" t="s">
        <v>70</v>
      </c>
      <c r="AE551" s="24" t="s">
        <v>1356</v>
      </c>
      <c r="AF551" s="25" t="s">
        <v>1273</v>
      </c>
      <c r="AG551" t="e">
        <f t="shared" si="8"/>
        <v>#REF!</v>
      </c>
      <c r="AI551" s="58"/>
    </row>
    <row r="552" spans="1:35" ht="15.75" customHeight="1">
      <c r="A552" s="13" t="s">
        <v>1346</v>
      </c>
      <c r="B552" s="5">
        <v>0</v>
      </c>
      <c r="C552" s="7">
        <v>0</v>
      </c>
      <c r="D552" s="7">
        <v>0</v>
      </c>
      <c r="E552" s="7">
        <v>0</v>
      </c>
      <c r="F552" s="5">
        <v>0</v>
      </c>
      <c r="G552" s="7">
        <v>0</v>
      </c>
      <c r="H552" s="5">
        <v>810</v>
      </c>
      <c r="I552" s="7">
        <v>97721.700000000012</v>
      </c>
      <c r="J552" s="7">
        <v>0</v>
      </c>
      <c r="K552" s="5">
        <v>0</v>
      </c>
      <c r="L552" s="5">
        <v>0</v>
      </c>
      <c r="M552" s="5">
        <v>0</v>
      </c>
      <c r="N552" s="7">
        <v>0</v>
      </c>
      <c r="O552" s="7">
        <v>0</v>
      </c>
      <c r="P552" s="7">
        <v>0</v>
      </c>
      <c r="Q552" s="5">
        <v>0</v>
      </c>
      <c r="R552" s="5">
        <v>0</v>
      </c>
      <c r="S552" s="7">
        <v>0</v>
      </c>
      <c r="T552" s="12">
        <v>43201</v>
      </c>
      <c r="U552" s="4">
        <v>7</v>
      </c>
      <c r="X552" s="45">
        <v>97721.700000000012</v>
      </c>
      <c r="Y552" s="14" t="s">
        <v>54</v>
      </c>
      <c r="Z552" s="14" t="s">
        <v>57</v>
      </c>
      <c r="AA552" s="14" t="s">
        <v>2953</v>
      </c>
      <c r="AB552" s="44">
        <v>43210</v>
      </c>
      <c r="AC552" s="44" t="s">
        <v>2952</v>
      </c>
      <c r="AD552" s="29" t="s">
        <v>49</v>
      </c>
      <c r="AE552" s="24" t="s">
        <v>1357</v>
      </c>
      <c r="AF552" s="25" t="s">
        <v>1265</v>
      </c>
      <c r="AG552" t="e">
        <f t="shared" si="8"/>
        <v>#REF!</v>
      </c>
      <c r="AI552" s="58"/>
    </row>
    <row r="553" spans="1:35" ht="15.75" customHeight="1">
      <c r="A553" s="6" t="s">
        <v>1347</v>
      </c>
      <c r="B553" s="5">
        <v>752</v>
      </c>
      <c r="C553" s="7">
        <v>57054.98000000001</v>
      </c>
      <c r="D553" s="7">
        <v>10</v>
      </c>
      <c r="E553" s="7">
        <v>10</v>
      </c>
      <c r="F553" s="5">
        <v>0</v>
      </c>
      <c r="G553" s="7">
        <v>446</v>
      </c>
      <c r="H553" s="5">
        <v>10</v>
      </c>
      <c r="I553" s="7">
        <v>1225.1000000000001</v>
      </c>
      <c r="J553" s="7">
        <v>130</v>
      </c>
      <c r="K553" s="5">
        <v>0</v>
      </c>
      <c r="L553" s="5">
        <v>0</v>
      </c>
      <c r="M553" s="5">
        <v>130</v>
      </c>
      <c r="N553" s="7">
        <v>130</v>
      </c>
      <c r="O553" s="7">
        <v>20145.900000000001</v>
      </c>
      <c r="P553" s="7">
        <v>0</v>
      </c>
      <c r="Q553" s="5">
        <v>0</v>
      </c>
      <c r="R553" s="5">
        <v>0</v>
      </c>
      <c r="S553" s="7">
        <v>0</v>
      </c>
      <c r="T553" s="12">
        <v>43201</v>
      </c>
      <c r="U553" s="4">
        <v>6</v>
      </c>
      <c r="X553" s="45">
        <v>78871.98000000001</v>
      </c>
      <c r="Y553" s="14" t="s">
        <v>56</v>
      </c>
      <c r="Z553" s="14" t="s">
        <v>1281</v>
      </c>
      <c r="AA553" s="14" t="s">
        <v>2931</v>
      </c>
      <c r="AB553" s="44">
        <v>43204</v>
      </c>
      <c r="AC553" s="44" t="s">
        <v>2932</v>
      </c>
      <c r="AD553" s="29" t="s">
        <v>52</v>
      </c>
      <c r="AE553" s="24" t="s">
        <v>1358</v>
      </c>
      <c r="AF553" s="25" t="s">
        <v>1271</v>
      </c>
      <c r="AG553" t="e">
        <f t="shared" si="8"/>
        <v>#REF!</v>
      </c>
      <c r="AI553" s="58"/>
    </row>
    <row r="554" spans="1:35" ht="15.75" customHeight="1">
      <c r="A554" s="6" t="s">
        <v>1359</v>
      </c>
      <c r="B554" s="5">
        <v>917</v>
      </c>
      <c r="C554" s="7">
        <v>76947.960000000006</v>
      </c>
      <c r="D554" s="7">
        <v>0</v>
      </c>
      <c r="E554" s="7">
        <v>0</v>
      </c>
      <c r="F554" s="5">
        <v>0</v>
      </c>
      <c r="G554" s="7">
        <v>0</v>
      </c>
      <c r="H554" s="5">
        <v>0</v>
      </c>
      <c r="I554" s="7">
        <v>0</v>
      </c>
      <c r="J554" s="7">
        <v>116</v>
      </c>
      <c r="K554" s="5">
        <v>0</v>
      </c>
      <c r="L554" s="5">
        <v>0</v>
      </c>
      <c r="M554" s="5">
        <v>116</v>
      </c>
      <c r="N554" s="7">
        <v>116</v>
      </c>
      <c r="O554" s="7">
        <v>20497.199999999997</v>
      </c>
      <c r="P554" s="7">
        <v>0</v>
      </c>
      <c r="Q554" s="5">
        <v>0</v>
      </c>
      <c r="R554" s="5">
        <v>0</v>
      </c>
      <c r="S554" s="7">
        <v>0</v>
      </c>
      <c r="T554" s="12">
        <v>43201</v>
      </c>
      <c r="U554" s="4">
        <v>7</v>
      </c>
      <c r="X554" s="45">
        <v>97445.16</v>
      </c>
      <c r="Y554" s="14" t="s">
        <v>85</v>
      </c>
      <c r="Z554" s="14" t="s">
        <v>730</v>
      </c>
      <c r="AA554" s="14">
        <v>350810032860</v>
      </c>
      <c r="AB554" s="44">
        <v>43205</v>
      </c>
      <c r="AC554" s="44" t="s">
        <v>2954</v>
      </c>
      <c r="AD554" s="29" t="s">
        <v>51</v>
      </c>
      <c r="AE554" s="24" t="s">
        <v>1360</v>
      </c>
      <c r="AF554" s="25" t="s">
        <v>1270</v>
      </c>
      <c r="AG554" t="e">
        <f t="shared" si="8"/>
        <v>#REF!</v>
      </c>
      <c r="AI554" s="58"/>
    </row>
    <row r="555" spans="1:35" ht="15.75" customHeight="1">
      <c r="A555" s="6" t="s">
        <v>1361</v>
      </c>
      <c r="B555" s="5">
        <v>223</v>
      </c>
      <c r="C555" s="7">
        <v>22422.080000000002</v>
      </c>
      <c r="D555" s="7">
        <v>0</v>
      </c>
      <c r="E555" s="7">
        <v>0</v>
      </c>
      <c r="F555" s="5">
        <v>0</v>
      </c>
      <c r="G555" s="7">
        <v>0</v>
      </c>
      <c r="H555" s="5">
        <v>95</v>
      </c>
      <c r="I555" s="7">
        <v>12156.2</v>
      </c>
      <c r="J555" s="7">
        <v>106</v>
      </c>
      <c r="K555" s="5">
        <v>0</v>
      </c>
      <c r="L555" s="5">
        <v>0</v>
      </c>
      <c r="M555" s="5">
        <v>106</v>
      </c>
      <c r="N555" s="7">
        <v>106</v>
      </c>
      <c r="O555" s="7">
        <v>20002.900000000001</v>
      </c>
      <c r="P555" s="7">
        <v>803</v>
      </c>
      <c r="Q555" s="5">
        <v>0</v>
      </c>
      <c r="R555" s="5">
        <v>803</v>
      </c>
      <c r="S555" s="7">
        <v>64527.5</v>
      </c>
      <c r="T555" s="12">
        <v>43201</v>
      </c>
      <c r="U555" s="4">
        <v>8</v>
      </c>
      <c r="X555" s="45">
        <v>119108.68</v>
      </c>
      <c r="Y555" s="14" t="s">
        <v>56</v>
      </c>
      <c r="Z555" s="14" t="s">
        <v>1355</v>
      </c>
      <c r="AA555" s="14" t="s">
        <v>2955</v>
      </c>
      <c r="AB555" s="44">
        <v>43209</v>
      </c>
      <c r="AC555" s="44" t="s">
        <v>2956</v>
      </c>
      <c r="AD555" s="29" t="s">
        <v>51</v>
      </c>
      <c r="AE555" s="24" t="s">
        <v>1362</v>
      </c>
      <c r="AF555" s="25" t="s">
        <v>1270</v>
      </c>
      <c r="AG555" t="e">
        <f t="shared" si="8"/>
        <v>#REF!</v>
      </c>
      <c r="AI555" s="58"/>
    </row>
    <row r="556" spans="1:35" ht="15.75" customHeight="1">
      <c r="A556" s="13" t="s">
        <v>1363</v>
      </c>
      <c r="B556" s="5">
        <v>0</v>
      </c>
      <c r="C556" s="7">
        <v>0</v>
      </c>
      <c r="D556" s="7">
        <v>0</v>
      </c>
      <c r="E556" s="7">
        <v>0</v>
      </c>
      <c r="F556" s="5">
        <v>0</v>
      </c>
      <c r="G556" s="7">
        <v>0</v>
      </c>
      <c r="H556" s="5">
        <v>535</v>
      </c>
      <c r="I556" s="7">
        <v>65842.649999999994</v>
      </c>
      <c r="J556" s="7">
        <v>100</v>
      </c>
      <c r="K556" s="5">
        <v>0</v>
      </c>
      <c r="L556" s="5">
        <v>0</v>
      </c>
      <c r="M556" s="5">
        <v>100</v>
      </c>
      <c r="N556" s="7">
        <v>100</v>
      </c>
      <c r="O556" s="7">
        <v>19065.600000000006</v>
      </c>
      <c r="P556" s="7">
        <v>258</v>
      </c>
      <c r="Q556" s="5">
        <v>0</v>
      </c>
      <c r="R556" s="5">
        <v>258</v>
      </c>
      <c r="S556" s="7">
        <v>45785.8</v>
      </c>
      <c r="T556" s="12">
        <v>43201</v>
      </c>
      <c r="U556" s="4">
        <v>10</v>
      </c>
      <c r="X556" s="45">
        <v>130694.05</v>
      </c>
      <c r="Y556" s="14" t="s">
        <v>56</v>
      </c>
      <c r="Z556" s="14" t="s">
        <v>55</v>
      </c>
      <c r="AA556" s="14" t="s">
        <v>2955</v>
      </c>
      <c r="AB556" s="44">
        <v>43209</v>
      </c>
      <c r="AC556" s="44" t="s">
        <v>2956</v>
      </c>
      <c r="AD556" s="29" t="s">
        <v>51</v>
      </c>
      <c r="AE556" s="24" t="s">
        <v>1364</v>
      </c>
      <c r="AF556" s="25" t="s">
        <v>1270</v>
      </c>
      <c r="AG556" t="e">
        <f t="shared" si="8"/>
        <v>#REF!</v>
      </c>
      <c r="AI556" s="58"/>
    </row>
    <row r="557" spans="1:35" ht="15.75" customHeight="1">
      <c r="A557" s="13" t="s">
        <v>1366</v>
      </c>
      <c r="B557" s="5">
        <v>261</v>
      </c>
      <c r="C557" s="7">
        <v>24316.21</v>
      </c>
      <c r="D557" s="7">
        <v>0</v>
      </c>
      <c r="E557" s="7">
        <v>0</v>
      </c>
      <c r="F557" s="5">
        <v>0</v>
      </c>
      <c r="G557" s="7">
        <v>0</v>
      </c>
      <c r="H557" s="5">
        <v>0</v>
      </c>
      <c r="I557" s="7">
        <v>0</v>
      </c>
      <c r="J557" s="7">
        <v>104</v>
      </c>
      <c r="K557" s="5">
        <v>0</v>
      </c>
      <c r="L557" s="5">
        <v>0</v>
      </c>
      <c r="M557" s="5">
        <v>104</v>
      </c>
      <c r="N557" s="7">
        <v>104</v>
      </c>
      <c r="O557" s="7">
        <v>18682.7</v>
      </c>
      <c r="P557" s="7">
        <v>522</v>
      </c>
      <c r="Q557" s="5">
        <v>0</v>
      </c>
      <c r="R557" s="5">
        <v>522</v>
      </c>
      <c r="S557" s="7">
        <v>88868.800000000003</v>
      </c>
      <c r="T557" s="12">
        <v>43201</v>
      </c>
      <c r="U557" s="4">
        <v>10</v>
      </c>
      <c r="X557" s="45">
        <v>131867.71000000002</v>
      </c>
      <c r="Y557" s="14" t="s">
        <v>54</v>
      </c>
      <c r="Z557" s="14" t="s">
        <v>59</v>
      </c>
      <c r="AA557" s="14" t="s">
        <v>2951</v>
      </c>
      <c r="AB557" s="44">
        <v>43210</v>
      </c>
      <c r="AC557" s="44" t="s">
        <v>2952</v>
      </c>
      <c r="AD557" s="29" t="s">
        <v>50</v>
      </c>
      <c r="AE557" s="24" t="s">
        <v>1367</v>
      </c>
      <c r="AF557" s="25" t="s">
        <v>1269</v>
      </c>
      <c r="AG557" t="e">
        <f t="shared" si="8"/>
        <v>#REF!</v>
      </c>
      <c r="AI557" s="58"/>
    </row>
    <row r="558" spans="1:35" ht="15.75" customHeight="1">
      <c r="A558" s="6" t="s">
        <v>1368</v>
      </c>
      <c r="B558" s="5">
        <v>0</v>
      </c>
      <c r="C558" s="7">
        <v>0</v>
      </c>
      <c r="D558" s="7">
        <v>45</v>
      </c>
      <c r="E558" s="7">
        <v>45</v>
      </c>
      <c r="F558" s="5">
        <v>0</v>
      </c>
      <c r="G558" s="7">
        <v>1993.4999999999998</v>
      </c>
      <c r="H558" s="5">
        <v>300</v>
      </c>
      <c r="I558" s="7">
        <v>37953.65</v>
      </c>
      <c r="J558" s="7">
        <v>0</v>
      </c>
      <c r="K558" s="5">
        <v>0</v>
      </c>
      <c r="L558" s="5">
        <v>0</v>
      </c>
      <c r="M558" s="5">
        <v>0</v>
      </c>
      <c r="N558" s="7">
        <v>0</v>
      </c>
      <c r="O558" s="7">
        <v>0</v>
      </c>
      <c r="P558" s="7">
        <v>779</v>
      </c>
      <c r="Q558" s="5">
        <v>0</v>
      </c>
      <c r="R558" s="5">
        <v>779</v>
      </c>
      <c r="S558" s="7">
        <v>64575.5</v>
      </c>
      <c r="T558" s="12">
        <v>43202</v>
      </c>
      <c r="U558" s="4">
        <v>6</v>
      </c>
      <c r="X558" s="45">
        <v>104522.65</v>
      </c>
      <c r="Y558" s="14" t="s">
        <v>85</v>
      </c>
      <c r="Z558" s="14" t="s">
        <v>1492</v>
      </c>
      <c r="AA558" s="14">
        <v>350810033072</v>
      </c>
      <c r="AB558" s="44">
        <v>43212</v>
      </c>
      <c r="AC558" s="44" t="s">
        <v>2957</v>
      </c>
      <c r="AD558" s="29" t="s">
        <v>49</v>
      </c>
      <c r="AE558" s="24" t="s">
        <v>1369</v>
      </c>
      <c r="AF558" s="25" t="s">
        <v>1265</v>
      </c>
      <c r="AG558" t="e">
        <f t="shared" si="8"/>
        <v>#REF!</v>
      </c>
      <c r="AI558" s="58"/>
    </row>
    <row r="559" spans="1:35" ht="15.75" customHeight="1">
      <c r="A559" s="6" t="s">
        <v>1371</v>
      </c>
      <c r="B559" s="5">
        <v>0</v>
      </c>
      <c r="C559" s="7">
        <v>0</v>
      </c>
      <c r="D559" s="7">
        <v>0</v>
      </c>
      <c r="E559" s="7">
        <v>0</v>
      </c>
      <c r="F559" s="5">
        <v>0</v>
      </c>
      <c r="G559" s="7">
        <v>0</v>
      </c>
      <c r="H559" s="5">
        <v>0</v>
      </c>
      <c r="I559" s="7">
        <v>0</v>
      </c>
      <c r="J559" s="7">
        <v>77</v>
      </c>
      <c r="K559" s="5">
        <v>0</v>
      </c>
      <c r="L559" s="5">
        <v>0</v>
      </c>
      <c r="M559" s="5">
        <v>77</v>
      </c>
      <c r="N559" s="7">
        <v>77</v>
      </c>
      <c r="O559" s="7">
        <v>9424.3000000000011</v>
      </c>
      <c r="P559" s="7">
        <v>0</v>
      </c>
      <c r="Q559" s="5">
        <v>0</v>
      </c>
      <c r="R559" s="5">
        <v>0</v>
      </c>
      <c r="S559" s="7">
        <v>0</v>
      </c>
      <c r="T559" s="12">
        <v>43202</v>
      </c>
      <c r="U559" s="4">
        <v>1</v>
      </c>
      <c r="X559" s="45">
        <v>9424.3000000000011</v>
      </c>
      <c r="Y559" s="14" t="s">
        <v>54</v>
      </c>
      <c r="Z559" s="14" t="s">
        <v>1281</v>
      </c>
      <c r="AA559" s="14" t="s">
        <v>2958</v>
      </c>
      <c r="AB559" s="44">
        <v>43206</v>
      </c>
      <c r="AC559" s="44" t="s">
        <v>2959</v>
      </c>
      <c r="AD559" s="29" t="s">
        <v>52</v>
      </c>
      <c r="AE559" s="53" t="s">
        <v>1372</v>
      </c>
      <c r="AF559" s="25" t="s">
        <v>1271</v>
      </c>
      <c r="AG559" t="e">
        <f t="shared" si="8"/>
        <v>#REF!</v>
      </c>
      <c r="AI559" s="58"/>
    </row>
    <row r="560" spans="1:35" ht="15.75" customHeight="1">
      <c r="A560" s="6" t="s">
        <v>1373</v>
      </c>
      <c r="B560" s="5">
        <v>0</v>
      </c>
      <c r="C560" s="7">
        <v>0</v>
      </c>
      <c r="D560" s="7">
        <v>0</v>
      </c>
      <c r="E560" s="7">
        <v>0</v>
      </c>
      <c r="F560" s="5">
        <v>0</v>
      </c>
      <c r="G560" s="7">
        <v>0</v>
      </c>
      <c r="H560" s="5">
        <v>0</v>
      </c>
      <c r="I560" s="7">
        <v>0</v>
      </c>
      <c r="J560" s="7">
        <v>0</v>
      </c>
      <c r="K560" s="5">
        <v>0</v>
      </c>
      <c r="L560" s="5">
        <v>0</v>
      </c>
      <c r="M560" s="5">
        <v>0</v>
      </c>
      <c r="N560" s="7">
        <v>0</v>
      </c>
      <c r="O560" s="7">
        <v>0</v>
      </c>
      <c r="P560" s="7">
        <v>424</v>
      </c>
      <c r="Q560" s="5">
        <v>0</v>
      </c>
      <c r="R560" s="5">
        <v>424</v>
      </c>
      <c r="S560" s="7">
        <v>42961.2</v>
      </c>
      <c r="T560" s="12">
        <v>43202</v>
      </c>
      <c r="U560" s="4">
        <v>2</v>
      </c>
      <c r="X560" s="45">
        <v>42961.2</v>
      </c>
      <c r="Y560" s="14" t="s">
        <v>56</v>
      </c>
      <c r="Z560" s="14" t="s">
        <v>1281</v>
      </c>
      <c r="AA560" s="14" t="s">
        <v>2960</v>
      </c>
      <c r="AB560" s="44">
        <v>43211</v>
      </c>
      <c r="AC560" s="44" t="s">
        <v>2961</v>
      </c>
      <c r="AD560" s="29" t="s">
        <v>52</v>
      </c>
      <c r="AE560" s="24" t="s">
        <v>1374</v>
      </c>
      <c r="AF560" s="25" t="s">
        <v>1271</v>
      </c>
      <c r="AG560" t="e">
        <f t="shared" si="8"/>
        <v>#REF!</v>
      </c>
      <c r="AI560" s="58"/>
    </row>
    <row r="561" spans="1:35" ht="15.75" customHeight="1">
      <c r="A561" s="6" t="s">
        <v>1375</v>
      </c>
      <c r="B561" s="5">
        <v>0</v>
      </c>
      <c r="C561" s="7">
        <v>0</v>
      </c>
      <c r="D561" s="7">
        <v>0</v>
      </c>
      <c r="E561" s="7">
        <v>0</v>
      </c>
      <c r="F561" s="5">
        <v>0</v>
      </c>
      <c r="G561" s="7">
        <v>0</v>
      </c>
      <c r="H561" s="5">
        <v>615</v>
      </c>
      <c r="I561" s="7">
        <v>65068.9</v>
      </c>
      <c r="J561" s="7">
        <v>45</v>
      </c>
      <c r="K561" s="5">
        <v>0</v>
      </c>
      <c r="L561" s="5">
        <v>0</v>
      </c>
      <c r="M561" s="5">
        <v>45</v>
      </c>
      <c r="N561" s="7">
        <v>45</v>
      </c>
      <c r="O561" s="7">
        <v>840.5</v>
      </c>
      <c r="P561" s="7">
        <v>286</v>
      </c>
      <c r="Q561" s="5">
        <v>0</v>
      </c>
      <c r="R561" s="5">
        <v>286</v>
      </c>
      <c r="S561" s="7">
        <v>44348.6</v>
      </c>
      <c r="T561" s="12">
        <v>43202</v>
      </c>
      <c r="U561" s="4">
        <v>8</v>
      </c>
      <c r="X561" s="45">
        <v>110258</v>
      </c>
      <c r="Y561" s="14" t="s">
        <v>58</v>
      </c>
      <c r="Z561" s="14" t="s">
        <v>55</v>
      </c>
      <c r="AA561" s="14" t="s">
        <v>2962</v>
      </c>
      <c r="AB561" s="44">
        <v>43209</v>
      </c>
      <c r="AC561" s="44" t="s">
        <v>2963</v>
      </c>
      <c r="AD561" s="29" t="s">
        <v>51</v>
      </c>
      <c r="AE561" s="24" t="s">
        <v>1376</v>
      </c>
      <c r="AF561" s="25" t="s">
        <v>1270</v>
      </c>
      <c r="AG561" t="e">
        <f t="shared" si="8"/>
        <v>#REF!</v>
      </c>
      <c r="AI561" s="58"/>
    </row>
    <row r="562" spans="1:35" ht="15.75" customHeight="1">
      <c r="A562" s="13" t="s">
        <v>1365</v>
      </c>
      <c r="B562" s="5">
        <v>525</v>
      </c>
      <c r="C562" s="7">
        <v>56699.899999999994</v>
      </c>
      <c r="D562" s="7">
        <v>0</v>
      </c>
      <c r="E562" s="7">
        <v>0</v>
      </c>
      <c r="F562" s="5">
        <v>0</v>
      </c>
      <c r="G562" s="7">
        <v>0</v>
      </c>
      <c r="H562" s="5">
        <v>30</v>
      </c>
      <c r="I562" s="7">
        <v>654.00000000000011</v>
      </c>
      <c r="J562" s="7">
        <v>30</v>
      </c>
      <c r="K562" s="5">
        <v>0</v>
      </c>
      <c r="L562" s="5">
        <v>0</v>
      </c>
      <c r="M562" s="5">
        <v>30</v>
      </c>
      <c r="N562" s="7">
        <v>30</v>
      </c>
      <c r="O562" s="7">
        <v>3856</v>
      </c>
      <c r="P562" s="7">
        <v>10</v>
      </c>
      <c r="Q562" s="5">
        <v>0</v>
      </c>
      <c r="R562" s="5">
        <v>10</v>
      </c>
      <c r="S562" s="7">
        <v>499</v>
      </c>
      <c r="T562" s="12">
        <v>43202</v>
      </c>
      <c r="U562" s="4">
        <v>5</v>
      </c>
      <c r="X562" s="45">
        <v>61708.899999999994</v>
      </c>
      <c r="Y562" s="14" t="s">
        <v>54</v>
      </c>
      <c r="Z562" s="14" t="s">
        <v>59</v>
      </c>
      <c r="AA562" s="14" t="s">
        <v>2951</v>
      </c>
      <c r="AB562" s="44">
        <v>43210</v>
      </c>
      <c r="AC562" s="44" t="s">
        <v>2952</v>
      </c>
      <c r="AD562" s="29" t="s">
        <v>50</v>
      </c>
      <c r="AE562" s="24" t="s">
        <v>1377</v>
      </c>
      <c r="AF562" s="25" t="s">
        <v>1269</v>
      </c>
      <c r="AG562" t="e">
        <f t="shared" si="8"/>
        <v>#REF!</v>
      </c>
      <c r="AI562" s="58"/>
    </row>
    <row r="563" spans="1:35" ht="15.75" customHeight="1">
      <c r="A563" s="6" t="s">
        <v>1378</v>
      </c>
      <c r="B563" s="5">
        <v>120</v>
      </c>
      <c r="C563" s="7">
        <v>11486.1</v>
      </c>
      <c r="D563" s="7">
        <v>0</v>
      </c>
      <c r="E563" s="7">
        <v>0</v>
      </c>
      <c r="F563" s="5">
        <v>0</v>
      </c>
      <c r="G563" s="7">
        <v>0</v>
      </c>
      <c r="H563" s="5">
        <v>95</v>
      </c>
      <c r="I563" s="7">
        <v>12156.2</v>
      </c>
      <c r="J563" s="7">
        <v>313</v>
      </c>
      <c r="K563" s="5">
        <v>0</v>
      </c>
      <c r="L563" s="5">
        <v>0</v>
      </c>
      <c r="M563" s="5">
        <v>313</v>
      </c>
      <c r="N563" s="7">
        <v>313</v>
      </c>
      <c r="O563" s="7">
        <v>50609.1</v>
      </c>
      <c r="P563" s="7">
        <v>218</v>
      </c>
      <c r="Q563" s="5">
        <v>0</v>
      </c>
      <c r="R563" s="5">
        <v>218</v>
      </c>
      <c r="S563" s="7">
        <v>51347.4</v>
      </c>
      <c r="T563" s="12">
        <v>43202</v>
      </c>
      <c r="U563" s="4">
        <v>10</v>
      </c>
      <c r="X563" s="45">
        <v>125598.79999999999</v>
      </c>
      <c r="Y563" s="14" t="s">
        <v>54</v>
      </c>
      <c r="Z563" s="14" t="s">
        <v>59</v>
      </c>
      <c r="AA563" s="14" t="s">
        <v>2964</v>
      </c>
      <c r="AB563" s="44">
        <v>43210</v>
      </c>
      <c r="AC563" s="44" t="s">
        <v>2952</v>
      </c>
      <c r="AD563" s="29" t="s">
        <v>50</v>
      </c>
      <c r="AE563" s="24" t="s">
        <v>1379</v>
      </c>
      <c r="AF563" s="25" t="s">
        <v>1269</v>
      </c>
      <c r="AG563" t="e">
        <f t="shared" si="8"/>
        <v>#REF!</v>
      </c>
      <c r="AI563" s="58"/>
    </row>
    <row r="564" spans="1:35" ht="15.75" customHeight="1">
      <c r="A564" s="6" t="s">
        <v>1380</v>
      </c>
      <c r="B564" s="5">
        <v>86</v>
      </c>
      <c r="C564" s="7">
        <v>9835.9</v>
      </c>
      <c r="D564" s="7">
        <v>0</v>
      </c>
      <c r="E564" s="7">
        <v>0</v>
      </c>
      <c r="F564" s="5">
        <v>0</v>
      </c>
      <c r="G564" s="7">
        <v>0</v>
      </c>
      <c r="H564" s="5">
        <v>20</v>
      </c>
      <c r="I564" s="7">
        <v>1919.4</v>
      </c>
      <c r="J564" s="7">
        <v>0</v>
      </c>
      <c r="K564" s="5">
        <v>0</v>
      </c>
      <c r="L564" s="5">
        <v>0</v>
      </c>
      <c r="M564" s="5">
        <v>0</v>
      </c>
      <c r="N564" s="7">
        <v>0</v>
      </c>
      <c r="O564" s="7">
        <v>0</v>
      </c>
      <c r="P564" s="7">
        <v>0</v>
      </c>
      <c r="Q564" s="5">
        <v>0</v>
      </c>
      <c r="R564" s="5">
        <v>0</v>
      </c>
      <c r="S564" s="7">
        <v>0</v>
      </c>
      <c r="T564" s="12">
        <v>43202</v>
      </c>
      <c r="U564" s="4">
        <v>1</v>
      </c>
      <c r="X564" s="45">
        <v>11755.3</v>
      </c>
      <c r="Y564" s="14" t="s">
        <v>54</v>
      </c>
      <c r="Z564" s="14" t="s">
        <v>1355</v>
      </c>
      <c r="AA564" s="14" t="s">
        <v>2953</v>
      </c>
      <c r="AB564" s="44">
        <v>43210</v>
      </c>
      <c r="AC564" s="44" t="s">
        <v>2952</v>
      </c>
      <c r="AD564" s="29" t="s">
        <v>49</v>
      </c>
      <c r="AE564" s="24" t="s">
        <v>1381</v>
      </c>
      <c r="AF564" s="25" t="s">
        <v>1266</v>
      </c>
      <c r="AG564" t="e">
        <f t="shared" si="8"/>
        <v>#REF!</v>
      </c>
      <c r="AI564" s="58"/>
    </row>
    <row r="565" spans="1:35" ht="15.75" customHeight="1">
      <c r="A565" s="6" t="s">
        <v>1389</v>
      </c>
      <c r="B565" s="5">
        <v>0</v>
      </c>
      <c r="C565" s="7">
        <v>0</v>
      </c>
      <c r="D565" s="7">
        <v>0</v>
      </c>
      <c r="E565" s="7">
        <v>0</v>
      </c>
      <c r="F565" s="5">
        <v>0</v>
      </c>
      <c r="G565" s="7">
        <v>0</v>
      </c>
      <c r="H565" s="5">
        <v>0</v>
      </c>
      <c r="I565" s="7">
        <v>0</v>
      </c>
      <c r="J565" s="7">
        <v>0</v>
      </c>
      <c r="K565" s="5">
        <v>0</v>
      </c>
      <c r="L565" s="5">
        <v>0</v>
      </c>
      <c r="M565" s="5">
        <v>0</v>
      </c>
      <c r="N565" s="7">
        <v>0</v>
      </c>
      <c r="O565" s="7">
        <v>0</v>
      </c>
      <c r="P565" s="7">
        <v>100</v>
      </c>
      <c r="Q565" s="5">
        <v>0</v>
      </c>
      <c r="R565" s="5">
        <v>100</v>
      </c>
      <c r="S565" s="7">
        <v>13498</v>
      </c>
      <c r="T565" s="12">
        <v>43203</v>
      </c>
      <c r="U565" s="4">
        <v>1</v>
      </c>
      <c r="X565" s="45">
        <v>13498</v>
      </c>
      <c r="Y565" s="14" t="s">
        <v>56</v>
      </c>
      <c r="Z565" s="14" t="s">
        <v>1355</v>
      </c>
      <c r="AA565" s="14" t="s">
        <v>2965</v>
      </c>
      <c r="AB565" s="44">
        <v>43209</v>
      </c>
      <c r="AC565" s="44" t="s">
        <v>2963</v>
      </c>
      <c r="AD565" s="29" t="s">
        <v>49</v>
      </c>
      <c r="AE565" s="24" t="s">
        <v>1390</v>
      </c>
      <c r="AF565" s="25" t="s">
        <v>1268</v>
      </c>
      <c r="AG565" t="e">
        <f t="shared" si="8"/>
        <v>#REF!</v>
      </c>
      <c r="AI565" s="58"/>
    </row>
    <row r="566" spans="1:35" ht="15.75" customHeight="1">
      <c r="A566" s="6" t="s">
        <v>1391</v>
      </c>
      <c r="B566" s="5">
        <v>108</v>
      </c>
      <c r="C566" s="7">
        <v>12350.84</v>
      </c>
      <c r="D566" s="7">
        <v>0</v>
      </c>
      <c r="E566" s="7">
        <v>0</v>
      </c>
      <c r="F566" s="5">
        <v>0</v>
      </c>
      <c r="G566" s="7">
        <v>0</v>
      </c>
      <c r="H566" s="5">
        <v>0</v>
      </c>
      <c r="I566" s="7">
        <v>0</v>
      </c>
      <c r="J566" s="7">
        <v>52</v>
      </c>
      <c r="K566" s="5">
        <v>0</v>
      </c>
      <c r="L566" s="5">
        <v>0</v>
      </c>
      <c r="M566" s="5">
        <v>52</v>
      </c>
      <c r="N566" s="7">
        <v>52</v>
      </c>
      <c r="O566" s="7">
        <v>8735.3000000000011</v>
      </c>
      <c r="P566" s="7">
        <v>145</v>
      </c>
      <c r="Q566" s="5">
        <v>0</v>
      </c>
      <c r="R566" s="5">
        <v>145</v>
      </c>
      <c r="S566" s="7">
        <v>18548.5</v>
      </c>
      <c r="T566" s="12">
        <v>43203</v>
      </c>
      <c r="U566" s="4">
        <v>3</v>
      </c>
      <c r="X566" s="45">
        <v>39634.639999999999</v>
      </c>
      <c r="Y566" s="14" t="s">
        <v>1633</v>
      </c>
      <c r="Z566" s="14" t="s">
        <v>1355</v>
      </c>
      <c r="AA566" s="14" t="s">
        <v>2966</v>
      </c>
      <c r="AB566" s="44">
        <v>43213</v>
      </c>
      <c r="AC566" s="44" t="s">
        <v>2967</v>
      </c>
      <c r="AD566" s="29" t="s">
        <v>70</v>
      </c>
      <c r="AE566" s="24" t="s">
        <v>1392</v>
      </c>
      <c r="AF566" s="25" t="s">
        <v>1273</v>
      </c>
      <c r="AG566" t="e">
        <f t="shared" si="8"/>
        <v>#REF!</v>
      </c>
      <c r="AI566" s="58"/>
    </row>
    <row r="567" spans="1:35" ht="15.75" customHeight="1">
      <c r="A567" s="6" t="s">
        <v>1370</v>
      </c>
      <c r="B567" s="5">
        <v>170</v>
      </c>
      <c r="C567" s="7">
        <v>19046.2</v>
      </c>
      <c r="D567" s="7">
        <v>0</v>
      </c>
      <c r="E567" s="7">
        <v>0</v>
      </c>
      <c r="F567" s="5">
        <v>0</v>
      </c>
      <c r="G567" s="7">
        <v>0</v>
      </c>
      <c r="H567" s="5">
        <v>125</v>
      </c>
      <c r="I567" s="7">
        <v>15035.300000000001</v>
      </c>
      <c r="J567" s="7">
        <v>58</v>
      </c>
      <c r="K567" s="5">
        <v>0</v>
      </c>
      <c r="L567" s="5">
        <v>0</v>
      </c>
      <c r="M567" s="5">
        <v>58</v>
      </c>
      <c r="N567" s="7">
        <v>58</v>
      </c>
      <c r="O567" s="7">
        <v>10248.599999999999</v>
      </c>
      <c r="P567" s="7">
        <v>243</v>
      </c>
      <c r="Q567" s="5">
        <v>0</v>
      </c>
      <c r="R567" s="5">
        <v>243</v>
      </c>
      <c r="S567" s="7">
        <v>32258</v>
      </c>
      <c r="T567" s="12">
        <v>43203</v>
      </c>
      <c r="U567" s="4">
        <v>6</v>
      </c>
      <c r="X567" s="45">
        <v>76588.100000000006</v>
      </c>
      <c r="Y567" s="14" t="s">
        <v>1636</v>
      </c>
      <c r="Z567" s="14" t="s">
        <v>57</v>
      </c>
      <c r="AA567" s="14" t="s">
        <v>2968</v>
      </c>
      <c r="AB567" s="44">
        <v>43209</v>
      </c>
      <c r="AC567" s="44" t="s">
        <v>2969</v>
      </c>
      <c r="AD567" s="29" t="s">
        <v>49</v>
      </c>
      <c r="AE567" s="24" t="s">
        <v>1393</v>
      </c>
      <c r="AF567" s="25" t="s">
        <v>1267</v>
      </c>
      <c r="AG567" t="e">
        <f t="shared" si="8"/>
        <v>#REF!</v>
      </c>
      <c r="AI567" s="58"/>
    </row>
    <row r="568" spans="1:35" ht="15.75" customHeight="1">
      <c r="A568" s="6" t="s">
        <v>1382</v>
      </c>
      <c r="B568" s="5">
        <v>884</v>
      </c>
      <c r="C568" s="7">
        <v>71203.399999999994</v>
      </c>
      <c r="D568" s="7">
        <v>0</v>
      </c>
      <c r="E568" s="7">
        <v>0</v>
      </c>
      <c r="F568" s="5">
        <v>0</v>
      </c>
      <c r="G568" s="7">
        <v>0</v>
      </c>
      <c r="H568" s="5">
        <v>105</v>
      </c>
      <c r="I568" s="7">
        <v>9165.7999999999993</v>
      </c>
      <c r="J568" s="7">
        <v>133</v>
      </c>
      <c r="K568" s="5">
        <v>0</v>
      </c>
      <c r="L568" s="5">
        <v>0</v>
      </c>
      <c r="M568" s="5">
        <v>133</v>
      </c>
      <c r="N568" s="7">
        <v>133</v>
      </c>
      <c r="O568" s="7">
        <v>20553.099999999999</v>
      </c>
      <c r="P568" s="7">
        <v>15</v>
      </c>
      <c r="Q568" s="5">
        <v>0</v>
      </c>
      <c r="R568" s="5">
        <v>15</v>
      </c>
      <c r="S568" s="7">
        <v>748.5</v>
      </c>
      <c r="T568" s="12">
        <v>43203</v>
      </c>
      <c r="U568" s="4">
        <v>8</v>
      </c>
      <c r="X568" s="45">
        <v>101670.79999999999</v>
      </c>
      <c r="Y568" s="14" t="s">
        <v>54</v>
      </c>
      <c r="Z568" s="14" t="s">
        <v>730</v>
      </c>
      <c r="AA568" s="14" t="s">
        <v>2970</v>
      </c>
      <c r="AB568" s="44">
        <v>43206</v>
      </c>
      <c r="AC568" s="44" t="s">
        <v>2959</v>
      </c>
      <c r="AD568" s="29" t="s">
        <v>51</v>
      </c>
      <c r="AE568" s="24" t="s">
        <v>1383</v>
      </c>
      <c r="AF568" s="25" t="s">
        <v>1270</v>
      </c>
      <c r="AG568" t="e">
        <f t="shared" si="8"/>
        <v>#REF!</v>
      </c>
      <c r="AI568" s="58"/>
    </row>
    <row r="569" spans="1:35" ht="15.75" customHeight="1">
      <c r="A569" s="6" t="s">
        <v>1394</v>
      </c>
      <c r="B569" s="5">
        <v>283</v>
      </c>
      <c r="C569" s="7">
        <v>28391.1</v>
      </c>
      <c r="D569" s="7">
        <v>0</v>
      </c>
      <c r="E569" s="7">
        <v>0</v>
      </c>
      <c r="F569" s="5">
        <v>0</v>
      </c>
      <c r="G569" s="7">
        <v>0</v>
      </c>
      <c r="H569" s="5">
        <v>0</v>
      </c>
      <c r="I569" s="7">
        <v>0</v>
      </c>
      <c r="J569" s="7">
        <v>224</v>
      </c>
      <c r="K569" s="5">
        <v>0</v>
      </c>
      <c r="L569" s="5">
        <v>0</v>
      </c>
      <c r="M569" s="5">
        <v>224</v>
      </c>
      <c r="N569" s="7">
        <v>224</v>
      </c>
      <c r="O569" s="7">
        <v>29528.399999999998</v>
      </c>
      <c r="P569" s="7">
        <v>314</v>
      </c>
      <c r="Q569" s="5">
        <v>0</v>
      </c>
      <c r="R569" s="5">
        <v>314</v>
      </c>
      <c r="S569" s="7">
        <v>53158.2</v>
      </c>
      <c r="T569" s="12">
        <v>43203</v>
      </c>
      <c r="U569" s="4">
        <v>8</v>
      </c>
      <c r="X569" s="45">
        <v>111077.7</v>
      </c>
      <c r="Y569" s="14" t="s">
        <v>58</v>
      </c>
      <c r="Z569" s="14" t="s">
        <v>55</v>
      </c>
      <c r="AA569" s="14" t="s">
        <v>2962</v>
      </c>
      <c r="AB569" s="44">
        <v>43209</v>
      </c>
      <c r="AC569" s="44" t="s">
        <v>2963</v>
      </c>
      <c r="AD569" s="29" t="s">
        <v>51</v>
      </c>
      <c r="AE569" s="24" t="s">
        <v>1395</v>
      </c>
      <c r="AF569" s="25" t="s">
        <v>1270</v>
      </c>
      <c r="AG569" t="e">
        <f t="shared" si="8"/>
        <v>#REF!</v>
      </c>
      <c r="AI569" s="58"/>
    </row>
    <row r="570" spans="1:35" ht="15.75" customHeight="1">
      <c r="A570" s="6" t="s">
        <v>1384</v>
      </c>
      <c r="B570" s="5">
        <v>241</v>
      </c>
      <c r="C570" s="7">
        <v>25280.729999999992</v>
      </c>
      <c r="D570" s="7">
        <v>0</v>
      </c>
      <c r="E570" s="7">
        <v>0</v>
      </c>
      <c r="F570" s="5">
        <v>0</v>
      </c>
      <c r="G570" s="7">
        <v>0</v>
      </c>
      <c r="H570" s="5">
        <v>357</v>
      </c>
      <c r="I570" s="7">
        <v>19252.200000000004</v>
      </c>
      <c r="J570" s="7">
        <v>0</v>
      </c>
      <c r="K570" s="5">
        <v>0</v>
      </c>
      <c r="L570" s="5">
        <v>0</v>
      </c>
      <c r="M570" s="5">
        <v>0</v>
      </c>
      <c r="N570" s="7">
        <v>0</v>
      </c>
      <c r="O570" s="7">
        <v>0</v>
      </c>
      <c r="P570" s="7">
        <v>91</v>
      </c>
      <c r="Q570" s="5">
        <v>0</v>
      </c>
      <c r="R570" s="5">
        <v>91</v>
      </c>
      <c r="S570" s="7">
        <v>14006.1</v>
      </c>
      <c r="T570" s="12">
        <v>43203</v>
      </c>
      <c r="U570" s="4">
        <v>4</v>
      </c>
      <c r="X570" s="45">
        <v>58539.029999999992</v>
      </c>
      <c r="Y570" s="14" t="s">
        <v>85</v>
      </c>
      <c r="Z570" s="14" t="s">
        <v>1281</v>
      </c>
      <c r="AA570" s="14">
        <v>350810032877</v>
      </c>
      <c r="AB570" s="44">
        <v>43205</v>
      </c>
      <c r="AC570" s="44" t="s">
        <v>2954</v>
      </c>
      <c r="AD570" s="29" t="s">
        <v>600</v>
      </c>
      <c r="AE570" s="24">
        <v>2500000041329</v>
      </c>
      <c r="AF570" s="25" t="s">
        <v>1275</v>
      </c>
      <c r="AG570" t="e">
        <f t="shared" si="8"/>
        <v>#REF!</v>
      </c>
      <c r="AI570" s="58"/>
    </row>
    <row r="571" spans="1:35" ht="15.75" customHeight="1">
      <c r="A571" s="6" t="s">
        <v>1397</v>
      </c>
      <c r="B571" s="5">
        <v>556</v>
      </c>
      <c r="C571" s="7">
        <v>55974.2</v>
      </c>
      <c r="D571" s="7">
        <v>0</v>
      </c>
      <c r="E571" s="7">
        <v>0</v>
      </c>
      <c r="F571" s="5">
        <v>0</v>
      </c>
      <c r="G571" s="7">
        <v>0</v>
      </c>
      <c r="H571" s="5">
        <v>0</v>
      </c>
      <c r="I571" s="7">
        <v>0</v>
      </c>
      <c r="J571" s="7">
        <v>268</v>
      </c>
      <c r="K571" s="5">
        <v>0</v>
      </c>
      <c r="L571" s="5">
        <v>0</v>
      </c>
      <c r="M571" s="5">
        <v>268</v>
      </c>
      <c r="N571" s="7">
        <v>268</v>
      </c>
      <c r="O571" s="7">
        <v>46657.7</v>
      </c>
      <c r="P571" s="7">
        <v>74</v>
      </c>
      <c r="Q571" s="5">
        <v>0</v>
      </c>
      <c r="R571" s="5">
        <v>74</v>
      </c>
      <c r="S571" s="7">
        <v>17671.2</v>
      </c>
      <c r="T571" s="12">
        <v>43203</v>
      </c>
      <c r="U571" s="4">
        <v>10</v>
      </c>
      <c r="X571" s="45">
        <v>120303.09999999999</v>
      </c>
      <c r="Y571" s="14" t="s">
        <v>54</v>
      </c>
      <c r="Z571" s="14" t="s">
        <v>59</v>
      </c>
      <c r="AA571" s="14" t="s">
        <v>2964</v>
      </c>
      <c r="AB571" s="44">
        <v>43210</v>
      </c>
      <c r="AC571" s="44" t="s">
        <v>2952</v>
      </c>
      <c r="AD571" s="29" t="s">
        <v>50</v>
      </c>
      <c r="AE571" s="24" t="s">
        <v>1398</v>
      </c>
      <c r="AF571" s="25" t="s">
        <v>1269</v>
      </c>
      <c r="AG571" t="e">
        <f t="shared" si="8"/>
        <v>#REF!</v>
      </c>
      <c r="AI571" s="58"/>
    </row>
    <row r="572" spans="1:35" ht="15.75" customHeight="1">
      <c r="A572" s="6" t="s">
        <v>1399</v>
      </c>
      <c r="B572" s="5">
        <v>121</v>
      </c>
      <c r="C572" s="7">
        <v>12020.8</v>
      </c>
      <c r="D572" s="7">
        <v>0</v>
      </c>
      <c r="E572" s="7">
        <v>0</v>
      </c>
      <c r="F572" s="5">
        <v>0</v>
      </c>
      <c r="G572" s="7">
        <v>0</v>
      </c>
      <c r="H572" s="5">
        <v>0</v>
      </c>
      <c r="I572" s="7">
        <v>0</v>
      </c>
      <c r="J572" s="7">
        <v>0</v>
      </c>
      <c r="K572" s="5">
        <v>0</v>
      </c>
      <c r="L572" s="5">
        <v>0</v>
      </c>
      <c r="M572" s="5">
        <v>0</v>
      </c>
      <c r="N572" s="7">
        <v>0</v>
      </c>
      <c r="O572" s="7">
        <v>0</v>
      </c>
      <c r="P572" s="7">
        <v>386</v>
      </c>
      <c r="Q572" s="5">
        <v>0</v>
      </c>
      <c r="R572" s="5">
        <v>386</v>
      </c>
      <c r="S572" s="7">
        <v>49108</v>
      </c>
      <c r="T572" s="12">
        <v>43203</v>
      </c>
      <c r="U572" s="4">
        <v>4</v>
      </c>
      <c r="X572" s="45">
        <v>61128.800000000003</v>
      </c>
      <c r="Y572" s="14" t="s">
        <v>58</v>
      </c>
      <c r="Z572" s="14" t="s">
        <v>57</v>
      </c>
      <c r="AA572" s="14" t="s">
        <v>2971</v>
      </c>
      <c r="AB572" s="44">
        <v>43208</v>
      </c>
      <c r="AC572" s="44" t="s">
        <v>2972</v>
      </c>
      <c r="AD572" s="29" t="s">
        <v>49</v>
      </c>
      <c r="AE572" s="24" t="s">
        <v>1400</v>
      </c>
      <c r="AF572" s="25" t="s">
        <v>1266</v>
      </c>
      <c r="AG572" t="e">
        <f t="shared" si="8"/>
        <v>#REF!</v>
      </c>
      <c r="AI572" s="58"/>
    </row>
    <row r="573" spans="1:35" ht="15.75" customHeight="1">
      <c r="A573" s="6" t="s">
        <v>1401</v>
      </c>
      <c r="B573" s="5">
        <v>0</v>
      </c>
      <c r="C573" s="7">
        <v>0</v>
      </c>
      <c r="D573" s="7">
        <v>0</v>
      </c>
      <c r="E573" s="7">
        <v>0</v>
      </c>
      <c r="F573" s="5">
        <v>0</v>
      </c>
      <c r="G573" s="7">
        <v>0</v>
      </c>
      <c r="H573" s="5">
        <v>0</v>
      </c>
      <c r="I573" s="7">
        <v>0</v>
      </c>
      <c r="J573" s="7">
        <v>0</v>
      </c>
      <c r="K573" s="5">
        <v>0</v>
      </c>
      <c r="L573" s="5">
        <v>0</v>
      </c>
      <c r="M573" s="5">
        <v>0</v>
      </c>
      <c r="N573" s="7">
        <v>0</v>
      </c>
      <c r="O573" s="7">
        <v>0</v>
      </c>
      <c r="P573" s="7">
        <v>90</v>
      </c>
      <c r="Q573" s="5">
        <v>0</v>
      </c>
      <c r="R573" s="5">
        <v>90</v>
      </c>
      <c r="S573" s="7">
        <v>12511</v>
      </c>
      <c r="T573" s="12">
        <v>43204</v>
      </c>
      <c r="U573" s="4">
        <v>1</v>
      </c>
      <c r="X573" s="45">
        <v>12511</v>
      </c>
      <c r="Y573" s="14" t="s">
        <v>56</v>
      </c>
      <c r="Z573" s="14" t="s">
        <v>1355</v>
      </c>
      <c r="AA573" s="14" t="s">
        <v>2973</v>
      </c>
      <c r="AB573" s="44">
        <v>43209</v>
      </c>
      <c r="AC573" s="44" t="s">
        <v>2974</v>
      </c>
      <c r="AD573" s="29" t="s">
        <v>218</v>
      </c>
      <c r="AE573" s="24" t="s">
        <v>1402</v>
      </c>
      <c r="AF573" s="25" t="s">
        <v>1272</v>
      </c>
      <c r="AG573" t="e">
        <f t="shared" si="8"/>
        <v>#REF!</v>
      </c>
      <c r="AI573" s="58"/>
    </row>
    <row r="574" spans="1:35" ht="15.75" customHeight="1">
      <c r="A574" s="6" t="s">
        <v>1385</v>
      </c>
      <c r="B574" s="5">
        <v>590</v>
      </c>
      <c r="C574" s="7">
        <v>23260.400000000001</v>
      </c>
      <c r="D574" s="7">
        <v>0</v>
      </c>
      <c r="E574" s="7">
        <v>0</v>
      </c>
      <c r="F574" s="5">
        <v>0</v>
      </c>
      <c r="G574" s="7">
        <v>0</v>
      </c>
      <c r="H574" s="5">
        <v>780</v>
      </c>
      <c r="I574" s="7">
        <v>92633.550000000017</v>
      </c>
      <c r="J574" s="7">
        <v>0</v>
      </c>
      <c r="K574" s="5">
        <v>0</v>
      </c>
      <c r="L574" s="5">
        <v>0</v>
      </c>
      <c r="M574" s="5">
        <v>0</v>
      </c>
      <c r="N574" s="7">
        <v>0</v>
      </c>
      <c r="O574" s="7">
        <v>0</v>
      </c>
      <c r="P574" s="7">
        <v>0</v>
      </c>
      <c r="Q574" s="5">
        <v>0</v>
      </c>
      <c r="R574" s="5">
        <v>0</v>
      </c>
      <c r="S574" s="7">
        <v>0</v>
      </c>
      <c r="T574" s="12">
        <v>43204</v>
      </c>
      <c r="U574" s="4">
        <v>8</v>
      </c>
      <c r="X574" s="45">
        <v>115893.95000000001</v>
      </c>
      <c r="Y574" s="14" t="s">
        <v>54</v>
      </c>
      <c r="Z574" s="14" t="s">
        <v>57</v>
      </c>
      <c r="AA574" s="14" t="s">
        <v>2953</v>
      </c>
      <c r="AB574" s="44">
        <v>43210</v>
      </c>
      <c r="AC574" s="44" t="s">
        <v>2952</v>
      </c>
      <c r="AD574" s="29" t="s">
        <v>49</v>
      </c>
      <c r="AE574" s="24" t="s">
        <v>1386</v>
      </c>
      <c r="AF574" s="25" t="s">
        <v>1265</v>
      </c>
      <c r="AG574" t="e">
        <f t="shared" si="8"/>
        <v>#REF!</v>
      </c>
      <c r="AI574" s="58"/>
    </row>
    <row r="575" spans="1:35" ht="15.75" customHeight="1">
      <c r="A575" s="6" t="s">
        <v>1403</v>
      </c>
      <c r="B575" s="5">
        <v>0</v>
      </c>
      <c r="C575" s="7">
        <v>0</v>
      </c>
      <c r="D575" s="7">
        <v>0</v>
      </c>
      <c r="E575" s="7">
        <v>0</v>
      </c>
      <c r="F575" s="5">
        <v>0</v>
      </c>
      <c r="G575" s="7">
        <v>0</v>
      </c>
      <c r="H575" s="5">
        <v>370</v>
      </c>
      <c r="I575" s="7">
        <v>48770.499999999985</v>
      </c>
      <c r="J575" s="7">
        <v>272</v>
      </c>
      <c r="K575" s="5">
        <v>0</v>
      </c>
      <c r="L575" s="5">
        <v>0</v>
      </c>
      <c r="M575" s="5">
        <v>272</v>
      </c>
      <c r="N575" s="7">
        <v>272</v>
      </c>
      <c r="O575" s="7">
        <v>8370.4</v>
      </c>
      <c r="P575" s="7">
        <v>82</v>
      </c>
      <c r="Q575" s="5">
        <v>0</v>
      </c>
      <c r="R575" s="5">
        <v>82</v>
      </c>
      <c r="S575" s="7">
        <v>14464.800000000001</v>
      </c>
      <c r="T575" s="12">
        <v>43204</v>
      </c>
      <c r="U575" s="4">
        <v>5</v>
      </c>
      <c r="X575" s="45">
        <v>71605.699999999983</v>
      </c>
      <c r="Y575" s="14" t="s">
        <v>1636</v>
      </c>
      <c r="Z575" s="14" t="s">
        <v>1355</v>
      </c>
      <c r="AA575" s="14" t="s">
        <v>2968</v>
      </c>
      <c r="AB575" s="44">
        <v>43209</v>
      </c>
      <c r="AC575" s="44" t="s">
        <v>2969</v>
      </c>
      <c r="AD575" s="29" t="s">
        <v>49</v>
      </c>
      <c r="AE575" s="24" t="s">
        <v>1404</v>
      </c>
      <c r="AF575" s="25" t="s">
        <v>1265</v>
      </c>
      <c r="AG575" t="e">
        <f t="shared" si="8"/>
        <v>#REF!</v>
      </c>
      <c r="AI575" s="58"/>
    </row>
    <row r="576" spans="1:35" ht="15.75" customHeight="1">
      <c r="A576" s="6" t="s">
        <v>1405</v>
      </c>
      <c r="B576" s="5">
        <v>0</v>
      </c>
      <c r="C576" s="7">
        <v>0</v>
      </c>
      <c r="D576" s="7">
        <v>0</v>
      </c>
      <c r="E576" s="7">
        <v>0</v>
      </c>
      <c r="F576" s="5">
        <v>0</v>
      </c>
      <c r="G576" s="7">
        <v>0</v>
      </c>
      <c r="H576" s="5">
        <v>0</v>
      </c>
      <c r="I576" s="7">
        <v>0</v>
      </c>
      <c r="J576" s="7">
        <v>48</v>
      </c>
      <c r="K576" s="5">
        <v>0</v>
      </c>
      <c r="L576" s="5">
        <v>0</v>
      </c>
      <c r="M576" s="5">
        <v>48</v>
      </c>
      <c r="N576" s="7">
        <v>48</v>
      </c>
      <c r="O576" s="7">
        <v>8451.1</v>
      </c>
      <c r="P576" s="7">
        <v>197</v>
      </c>
      <c r="Q576" s="5">
        <v>0</v>
      </c>
      <c r="R576" s="5">
        <v>197</v>
      </c>
      <c r="S576" s="7">
        <v>30415.800000000003</v>
      </c>
      <c r="T576" s="12">
        <v>43204</v>
      </c>
      <c r="U576" s="4">
        <v>3</v>
      </c>
      <c r="X576" s="45">
        <v>38866.9</v>
      </c>
      <c r="Y576" s="14" t="s">
        <v>56</v>
      </c>
      <c r="Z576" s="14" t="s">
        <v>1355</v>
      </c>
      <c r="AA576" s="14" t="s">
        <v>2965</v>
      </c>
      <c r="AB576" s="44">
        <v>43209</v>
      </c>
      <c r="AC576" s="44" t="s">
        <v>2963</v>
      </c>
      <c r="AD576" s="29" t="s">
        <v>49</v>
      </c>
      <c r="AE576" s="24" t="s">
        <v>1406</v>
      </c>
      <c r="AF576" s="25" t="s">
        <v>1267</v>
      </c>
      <c r="AG576" t="e">
        <f t="shared" si="8"/>
        <v>#REF!</v>
      </c>
      <c r="AI576" s="58"/>
    </row>
    <row r="577" spans="1:35" ht="15.75" customHeight="1">
      <c r="A577" s="6" t="s">
        <v>1407</v>
      </c>
      <c r="B577" s="5">
        <v>77</v>
      </c>
      <c r="C577" s="7">
        <v>11588.7</v>
      </c>
      <c r="D577" s="7">
        <v>0</v>
      </c>
      <c r="E577" s="7">
        <v>0</v>
      </c>
      <c r="F577" s="5">
        <v>0</v>
      </c>
      <c r="G577" s="7">
        <v>0</v>
      </c>
      <c r="H577" s="5">
        <v>0</v>
      </c>
      <c r="I577" s="7">
        <v>0</v>
      </c>
      <c r="J577" s="7">
        <v>62</v>
      </c>
      <c r="K577" s="5">
        <v>0</v>
      </c>
      <c r="L577" s="5">
        <v>0</v>
      </c>
      <c r="M577" s="5">
        <v>62</v>
      </c>
      <c r="N577" s="7">
        <v>62</v>
      </c>
      <c r="O577" s="7">
        <v>8881.8000000000011</v>
      </c>
      <c r="P577" s="7">
        <v>177</v>
      </c>
      <c r="Q577" s="5">
        <v>0</v>
      </c>
      <c r="R577" s="5">
        <v>177</v>
      </c>
      <c r="S577" s="7">
        <v>33048</v>
      </c>
      <c r="T577" s="12">
        <v>43204</v>
      </c>
      <c r="U577" s="4">
        <v>4</v>
      </c>
      <c r="X577" s="45">
        <v>53518.5</v>
      </c>
      <c r="Y577" s="14" t="s">
        <v>56</v>
      </c>
      <c r="Z577" s="14" t="s">
        <v>1281</v>
      </c>
      <c r="AA577" s="14" t="s">
        <v>2960</v>
      </c>
      <c r="AB577" s="44">
        <v>43211</v>
      </c>
      <c r="AC577" s="44" t="s">
        <v>2961</v>
      </c>
      <c r="AD577" s="29" t="s">
        <v>52</v>
      </c>
      <c r="AE577" s="24" t="s">
        <v>1408</v>
      </c>
      <c r="AF577" s="25" t="s">
        <v>1271</v>
      </c>
      <c r="AG577" t="e">
        <f t="shared" si="8"/>
        <v>#REF!</v>
      </c>
      <c r="AI577" s="58"/>
    </row>
    <row r="578" spans="1:35" ht="15.75" customHeight="1">
      <c r="A578" s="6" t="s">
        <v>1396</v>
      </c>
      <c r="B578" s="5">
        <v>780</v>
      </c>
      <c r="C578" s="7">
        <v>89509.799999999988</v>
      </c>
      <c r="D578" s="7">
        <v>15</v>
      </c>
      <c r="E578" s="7">
        <v>15</v>
      </c>
      <c r="F578" s="5">
        <v>0</v>
      </c>
      <c r="G578" s="7">
        <v>664.5</v>
      </c>
      <c r="H578" s="5">
        <v>100</v>
      </c>
      <c r="I578" s="7">
        <v>14713.850000000002</v>
      </c>
      <c r="J578" s="7">
        <v>200</v>
      </c>
      <c r="K578" s="5">
        <v>0</v>
      </c>
      <c r="L578" s="5">
        <v>0</v>
      </c>
      <c r="M578" s="5">
        <v>200</v>
      </c>
      <c r="N578" s="7">
        <v>200</v>
      </c>
      <c r="O578" s="7">
        <v>20920.599999999999</v>
      </c>
      <c r="P578" s="7">
        <v>108</v>
      </c>
      <c r="Q578" s="5">
        <v>0</v>
      </c>
      <c r="R578" s="5">
        <v>108</v>
      </c>
      <c r="S578" s="7">
        <v>16675.2</v>
      </c>
      <c r="T578" s="12">
        <v>43204</v>
      </c>
      <c r="U578" s="4">
        <v>11</v>
      </c>
      <c r="X578" s="45">
        <v>142483.95000000001</v>
      </c>
      <c r="Y578" s="14" t="s">
        <v>54</v>
      </c>
      <c r="Z578" s="14" t="s">
        <v>55</v>
      </c>
      <c r="AA578" s="14" t="s">
        <v>2975</v>
      </c>
      <c r="AB578" s="44">
        <v>43210</v>
      </c>
      <c r="AC578" s="44" t="s">
        <v>2976</v>
      </c>
      <c r="AD578" s="29" t="s">
        <v>51</v>
      </c>
      <c r="AE578" s="24" t="s">
        <v>1409</v>
      </c>
      <c r="AF578" s="25" t="s">
        <v>1270</v>
      </c>
      <c r="AG578" t="e">
        <f t="shared" si="8"/>
        <v>#REF!</v>
      </c>
      <c r="AI578" s="58"/>
    </row>
    <row r="579" spans="1:35" ht="15.75" customHeight="1">
      <c r="A579" s="6" t="s">
        <v>1387</v>
      </c>
      <c r="B579" s="5">
        <v>235</v>
      </c>
      <c r="C579" s="7">
        <v>24160.600000000002</v>
      </c>
      <c r="D579" s="7">
        <v>0</v>
      </c>
      <c r="E579" s="7">
        <v>0</v>
      </c>
      <c r="F579" s="5">
        <v>0</v>
      </c>
      <c r="G579" s="7">
        <v>0</v>
      </c>
      <c r="H579" s="5">
        <v>0</v>
      </c>
      <c r="I579" s="7">
        <v>0</v>
      </c>
      <c r="J579" s="7">
        <v>0</v>
      </c>
      <c r="K579" s="5">
        <v>0</v>
      </c>
      <c r="L579" s="5">
        <v>0</v>
      </c>
      <c r="M579" s="5">
        <v>0</v>
      </c>
      <c r="N579" s="7">
        <v>0</v>
      </c>
      <c r="O579" s="7">
        <v>0</v>
      </c>
      <c r="P579" s="7">
        <v>0</v>
      </c>
      <c r="Q579" s="5">
        <v>0</v>
      </c>
      <c r="R579" s="5">
        <v>0</v>
      </c>
      <c r="S579" s="7">
        <v>0</v>
      </c>
      <c r="T579" s="12">
        <v>43204</v>
      </c>
      <c r="U579" s="4">
        <v>2</v>
      </c>
      <c r="X579" s="45">
        <v>24160.600000000002</v>
      </c>
      <c r="Y579" s="14" t="s">
        <v>54</v>
      </c>
      <c r="Z579" s="14" t="s">
        <v>59</v>
      </c>
      <c r="AA579" s="14" t="s">
        <v>2951</v>
      </c>
      <c r="AB579" s="44">
        <v>43210</v>
      </c>
      <c r="AC579" s="44" t="s">
        <v>2952</v>
      </c>
      <c r="AD579" s="29" t="s">
        <v>50</v>
      </c>
      <c r="AE579" s="24" t="s">
        <v>1388</v>
      </c>
      <c r="AF579" s="25" t="s">
        <v>1269</v>
      </c>
      <c r="AG579" t="e">
        <f t="shared" ref="AG579:AG591" si="9">+VLOOKUP(AF579,AH:AH,2,0)</f>
        <v>#REF!</v>
      </c>
      <c r="AI579" s="58"/>
    </row>
    <row r="580" spans="1:35" ht="15.75" customHeight="1">
      <c r="A580" s="6" t="s">
        <v>1410</v>
      </c>
      <c r="B580" s="5">
        <v>321</v>
      </c>
      <c r="C580" s="7">
        <v>35375.9</v>
      </c>
      <c r="D580" s="7">
        <v>0</v>
      </c>
      <c r="E580" s="7">
        <v>0</v>
      </c>
      <c r="F580" s="5">
        <v>0</v>
      </c>
      <c r="G580" s="7">
        <v>0</v>
      </c>
      <c r="H580" s="5">
        <v>0</v>
      </c>
      <c r="I580" s="7">
        <v>0</v>
      </c>
      <c r="J580" s="7">
        <v>42</v>
      </c>
      <c r="K580" s="5">
        <v>0</v>
      </c>
      <c r="L580" s="5">
        <v>0</v>
      </c>
      <c r="M580" s="5">
        <v>42</v>
      </c>
      <c r="N580" s="7">
        <v>42</v>
      </c>
      <c r="O580" s="7">
        <v>9492.1</v>
      </c>
      <c r="P580" s="7">
        <v>0</v>
      </c>
      <c r="Q580" s="5">
        <v>0</v>
      </c>
      <c r="R580" s="5">
        <v>0</v>
      </c>
      <c r="S580" s="7">
        <v>0</v>
      </c>
      <c r="T580" s="12">
        <v>43204</v>
      </c>
      <c r="U580" s="4">
        <v>4</v>
      </c>
      <c r="X580" s="45">
        <v>44868</v>
      </c>
      <c r="Y580" s="14" t="s">
        <v>54</v>
      </c>
      <c r="Z580" s="14" t="s">
        <v>59</v>
      </c>
      <c r="AA580" s="14" t="s">
        <v>2964</v>
      </c>
      <c r="AB580" s="44">
        <v>43210</v>
      </c>
      <c r="AC580" s="44" t="s">
        <v>2952</v>
      </c>
      <c r="AD580" s="29" t="s">
        <v>50</v>
      </c>
      <c r="AE580" s="24" t="s">
        <v>1411</v>
      </c>
      <c r="AF580" s="25" t="s">
        <v>1269</v>
      </c>
      <c r="AG580" t="e">
        <f t="shared" si="9"/>
        <v>#REF!</v>
      </c>
      <c r="AI580" s="58"/>
    </row>
    <row r="581" spans="1:35" ht="15.75" customHeight="1">
      <c r="A581" s="6" t="s">
        <v>1413</v>
      </c>
      <c r="B581" s="5">
        <v>92</v>
      </c>
      <c r="C581" s="7">
        <v>11852.599999999999</v>
      </c>
      <c r="D581" s="7">
        <v>0</v>
      </c>
      <c r="E581" s="7">
        <v>0</v>
      </c>
      <c r="F581" s="5">
        <v>0</v>
      </c>
      <c r="G581" s="7">
        <v>0</v>
      </c>
      <c r="H581" s="5">
        <v>940</v>
      </c>
      <c r="I581" s="7">
        <v>121796.6</v>
      </c>
      <c r="J581" s="7">
        <v>0</v>
      </c>
      <c r="K581" s="5">
        <v>0</v>
      </c>
      <c r="L581" s="5">
        <v>0</v>
      </c>
      <c r="M581" s="5">
        <v>0</v>
      </c>
      <c r="N581" s="7">
        <v>0</v>
      </c>
      <c r="O581" s="7">
        <v>0</v>
      </c>
      <c r="P581" s="7">
        <v>0</v>
      </c>
      <c r="Q581" s="5">
        <v>0</v>
      </c>
      <c r="R581" s="5">
        <v>0</v>
      </c>
      <c r="S581" s="7">
        <v>0</v>
      </c>
      <c r="T581" s="12">
        <v>43206</v>
      </c>
      <c r="U581" s="4">
        <v>10</v>
      </c>
      <c r="X581" s="45">
        <v>133649.20000000001</v>
      </c>
      <c r="Y581" s="14" t="s">
        <v>56</v>
      </c>
      <c r="Z581" s="14" t="s">
        <v>55</v>
      </c>
      <c r="AA581" s="14" t="s">
        <v>2965</v>
      </c>
      <c r="AB581" s="44">
        <v>43209</v>
      </c>
      <c r="AC581" s="44" t="s">
        <v>2963</v>
      </c>
      <c r="AD581" s="29" t="s">
        <v>49</v>
      </c>
      <c r="AE581" s="24" t="s">
        <v>1414</v>
      </c>
      <c r="AF581" s="25" t="s">
        <v>1265</v>
      </c>
      <c r="AG581" t="e">
        <f t="shared" si="9"/>
        <v>#REF!</v>
      </c>
      <c r="AI581" s="58"/>
    </row>
    <row r="582" spans="1:35" ht="15.75" customHeight="1">
      <c r="A582" s="6" t="s">
        <v>1415</v>
      </c>
      <c r="B582" s="5">
        <v>1070</v>
      </c>
      <c r="C582" s="7">
        <v>112891.78</v>
      </c>
      <c r="D582" s="7">
        <v>0</v>
      </c>
      <c r="E582" s="7">
        <v>0</v>
      </c>
      <c r="F582" s="5">
        <v>0</v>
      </c>
      <c r="G582" s="7">
        <v>0</v>
      </c>
      <c r="H582" s="5">
        <v>280</v>
      </c>
      <c r="I582" s="7">
        <v>37124.300000000003</v>
      </c>
      <c r="J582" s="7">
        <v>182</v>
      </c>
      <c r="K582" s="5">
        <v>0</v>
      </c>
      <c r="L582" s="5">
        <v>0</v>
      </c>
      <c r="M582" s="5">
        <v>182</v>
      </c>
      <c r="N582" s="7">
        <v>182</v>
      </c>
      <c r="O582" s="7">
        <v>21636.9</v>
      </c>
      <c r="P582" s="7">
        <v>0</v>
      </c>
      <c r="Q582" s="5">
        <v>0</v>
      </c>
      <c r="R582" s="5">
        <v>0</v>
      </c>
      <c r="S582" s="7">
        <v>0</v>
      </c>
      <c r="T582" s="12">
        <v>43206</v>
      </c>
      <c r="U582" s="4">
        <v>14</v>
      </c>
      <c r="X582" s="45">
        <v>171652.98</v>
      </c>
      <c r="Y582" s="14" t="s">
        <v>56</v>
      </c>
      <c r="Z582" s="14" t="s">
        <v>730</v>
      </c>
      <c r="AA582" s="14" t="s">
        <v>2955</v>
      </c>
      <c r="AB582" s="44">
        <v>43209</v>
      </c>
      <c r="AC582" s="44" t="s">
        <v>2956</v>
      </c>
      <c r="AD582" s="29" t="s">
        <v>51</v>
      </c>
      <c r="AE582" s="24" t="s">
        <v>1416</v>
      </c>
      <c r="AF582" s="25" t="s">
        <v>1270</v>
      </c>
      <c r="AG582" t="e">
        <f t="shared" si="9"/>
        <v>#REF!</v>
      </c>
      <c r="AI582" s="58"/>
    </row>
    <row r="583" spans="1:35" ht="15.75" customHeight="1">
      <c r="A583" s="6" t="s">
        <v>1417</v>
      </c>
      <c r="B583" s="5">
        <v>998</v>
      </c>
      <c r="C583" s="7">
        <v>105951.90000000002</v>
      </c>
      <c r="D583" s="7">
        <v>0</v>
      </c>
      <c r="E583" s="7">
        <v>0</v>
      </c>
      <c r="F583" s="5">
        <v>0</v>
      </c>
      <c r="G583" s="7">
        <v>0</v>
      </c>
      <c r="H583" s="5">
        <v>20</v>
      </c>
      <c r="I583" s="7">
        <v>495.5</v>
      </c>
      <c r="J583" s="7">
        <v>107</v>
      </c>
      <c r="K583" s="5">
        <v>0</v>
      </c>
      <c r="L583" s="5">
        <v>0</v>
      </c>
      <c r="M583" s="5">
        <v>107</v>
      </c>
      <c r="N583" s="7">
        <v>107</v>
      </c>
      <c r="O583" s="7">
        <v>20343.299999999996</v>
      </c>
      <c r="P583" s="7">
        <v>5</v>
      </c>
      <c r="Q583" s="5">
        <v>0</v>
      </c>
      <c r="R583" s="5">
        <v>5</v>
      </c>
      <c r="S583" s="7">
        <v>249.5</v>
      </c>
      <c r="T583" s="12">
        <v>43206</v>
      </c>
      <c r="U583" s="4">
        <v>10</v>
      </c>
      <c r="X583" s="45">
        <v>127040.20000000001</v>
      </c>
      <c r="Y583" s="14" t="s">
        <v>54</v>
      </c>
      <c r="Z583" s="14" t="s">
        <v>59</v>
      </c>
      <c r="AA583" s="14" t="s">
        <v>2964</v>
      </c>
      <c r="AB583" s="44">
        <v>43210</v>
      </c>
      <c r="AC583" s="44" t="s">
        <v>2952</v>
      </c>
      <c r="AD583" s="29" t="s">
        <v>50</v>
      </c>
      <c r="AE583" s="24" t="s">
        <v>1418</v>
      </c>
      <c r="AF583" s="25" t="s">
        <v>1269</v>
      </c>
      <c r="AG583" t="e">
        <f t="shared" si="9"/>
        <v>#REF!</v>
      </c>
      <c r="AI583" s="58"/>
    </row>
    <row r="584" spans="1:35" ht="15.75" customHeight="1">
      <c r="A584" s="6" t="s">
        <v>1419</v>
      </c>
      <c r="B584" s="5">
        <v>85</v>
      </c>
      <c r="C584" s="7">
        <v>11336.099999999999</v>
      </c>
      <c r="D584" s="7">
        <v>0</v>
      </c>
      <c r="E584" s="7">
        <v>0</v>
      </c>
      <c r="F584" s="5">
        <v>0</v>
      </c>
      <c r="G584" s="7">
        <v>0</v>
      </c>
      <c r="H584" s="5">
        <v>190</v>
      </c>
      <c r="I584" s="7">
        <v>24312.400000000001</v>
      </c>
      <c r="J584" s="7">
        <v>58</v>
      </c>
      <c r="K584" s="5">
        <v>0</v>
      </c>
      <c r="L584" s="5">
        <v>0</v>
      </c>
      <c r="M584" s="5">
        <v>58</v>
      </c>
      <c r="N584" s="7">
        <v>58</v>
      </c>
      <c r="O584" s="7">
        <v>10248.599999999999</v>
      </c>
      <c r="P584" s="7">
        <v>0</v>
      </c>
      <c r="Q584" s="5">
        <v>0</v>
      </c>
      <c r="R584" s="5">
        <v>0</v>
      </c>
      <c r="S584" s="7">
        <v>0</v>
      </c>
      <c r="T584" s="12">
        <v>43206</v>
      </c>
      <c r="U584" s="4">
        <v>4</v>
      </c>
      <c r="X584" s="45">
        <v>45897.1</v>
      </c>
      <c r="Y584" s="14" t="s">
        <v>85</v>
      </c>
      <c r="Z584" s="14" t="s">
        <v>55</v>
      </c>
      <c r="AA584" s="14">
        <v>350810033072</v>
      </c>
      <c r="AB584" s="44">
        <v>43212</v>
      </c>
      <c r="AC584" s="44" t="s">
        <v>2957</v>
      </c>
      <c r="AD584" s="29" t="s">
        <v>49</v>
      </c>
      <c r="AE584" s="24" t="s">
        <v>1420</v>
      </c>
      <c r="AF584" s="25" t="s">
        <v>1266</v>
      </c>
      <c r="AG584" t="e">
        <f t="shared" si="9"/>
        <v>#REF!</v>
      </c>
      <c r="AI584" s="58"/>
    </row>
    <row r="585" spans="1:35" ht="15.75" customHeight="1">
      <c r="A585" s="6" t="s">
        <v>1421</v>
      </c>
      <c r="B585" s="5">
        <v>194</v>
      </c>
      <c r="C585" s="7">
        <v>22995.399999999998</v>
      </c>
      <c r="D585" s="7">
        <v>0</v>
      </c>
      <c r="E585" s="7">
        <v>0</v>
      </c>
      <c r="F585" s="5">
        <v>0</v>
      </c>
      <c r="G585" s="7">
        <v>0</v>
      </c>
      <c r="H585" s="5">
        <v>0</v>
      </c>
      <c r="I585" s="7">
        <v>0</v>
      </c>
      <c r="J585" s="7">
        <v>0</v>
      </c>
      <c r="K585" s="5">
        <v>0</v>
      </c>
      <c r="L585" s="5">
        <v>0</v>
      </c>
      <c r="M585" s="5">
        <v>0</v>
      </c>
      <c r="N585" s="7">
        <v>0</v>
      </c>
      <c r="O585" s="7">
        <v>0</v>
      </c>
      <c r="P585" s="7">
        <v>0</v>
      </c>
      <c r="Q585" s="5">
        <v>0</v>
      </c>
      <c r="R585" s="5">
        <v>0</v>
      </c>
      <c r="S585" s="7">
        <v>0</v>
      </c>
      <c r="T585" s="12">
        <v>43207</v>
      </c>
      <c r="U585" s="4">
        <v>2</v>
      </c>
      <c r="X585" s="45">
        <v>22995.399999999998</v>
      </c>
      <c r="Y585" s="14" t="s">
        <v>56</v>
      </c>
      <c r="Z585" s="14" t="s">
        <v>1355</v>
      </c>
      <c r="AA585" s="14" t="s">
        <v>2965</v>
      </c>
      <c r="AB585" s="44">
        <v>43209</v>
      </c>
      <c r="AC585" s="44" t="s">
        <v>2963</v>
      </c>
      <c r="AD585" s="29" t="s">
        <v>49</v>
      </c>
      <c r="AE585" s="24" t="s">
        <v>1470</v>
      </c>
      <c r="AF585" s="25" t="s">
        <v>1267</v>
      </c>
      <c r="AG585" t="e">
        <f t="shared" si="9"/>
        <v>#REF!</v>
      </c>
      <c r="AI585" s="58"/>
    </row>
    <row r="586" spans="1:35" ht="15.75" customHeight="1">
      <c r="A586" s="6" t="s">
        <v>1422</v>
      </c>
      <c r="B586" s="5">
        <v>430</v>
      </c>
      <c r="C586" s="7">
        <v>48985.2</v>
      </c>
      <c r="D586" s="7">
        <v>0</v>
      </c>
      <c r="E586" s="7">
        <v>0</v>
      </c>
      <c r="F586" s="5">
        <v>0</v>
      </c>
      <c r="G586" s="7">
        <v>0</v>
      </c>
      <c r="H586" s="5">
        <v>0</v>
      </c>
      <c r="I586" s="7">
        <v>0</v>
      </c>
      <c r="J586" s="7">
        <v>0</v>
      </c>
      <c r="K586" s="5">
        <v>0</v>
      </c>
      <c r="L586" s="5">
        <v>0</v>
      </c>
      <c r="M586" s="5">
        <v>0</v>
      </c>
      <c r="N586" s="7">
        <v>51</v>
      </c>
      <c r="O586" s="7">
        <v>10370.9</v>
      </c>
      <c r="P586" s="7">
        <v>0</v>
      </c>
      <c r="Q586" s="5">
        <v>0</v>
      </c>
      <c r="R586" s="5">
        <v>0</v>
      </c>
      <c r="S586" s="7">
        <v>0</v>
      </c>
      <c r="T586" s="12">
        <v>43207</v>
      </c>
      <c r="U586" s="4">
        <v>5</v>
      </c>
      <c r="X586" s="45">
        <v>59356.1</v>
      </c>
      <c r="Y586" s="14" t="s">
        <v>54</v>
      </c>
      <c r="Z586" s="14" t="s">
        <v>59</v>
      </c>
      <c r="AA586" s="14" t="s">
        <v>2977</v>
      </c>
      <c r="AB586" s="44">
        <v>43216</v>
      </c>
      <c r="AC586" s="44" t="s">
        <v>2978</v>
      </c>
      <c r="AD586" s="29" t="s">
        <v>50</v>
      </c>
      <c r="AE586" s="24" t="s">
        <v>1471</v>
      </c>
      <c r="AF586" s="25" t="s">
        <v>1269</v>
      </c>
      <c r="AG586" t="e">
        <f t="shared" si="9"/>
        <v>#REF!</v>
      </c>
      <c r="AI586" s="58"/>
    </row>
    <row r="587" spans="1:35" ht="15.75" customHeight="1">
      <c r="A587" s="6" t="s">
        <v>1423</v>
      </c>
      <c r="B587" s="5">
        <v>412</v>
      </c>
      <c r="C587" s="7">
        <v>49562.3</v>
      </c>
      <c r="D587" s="7">
        <v>0</v>
      </c>
      <c r="E587" s="7">
        <v>0</v>
      </c>
      <c r="F587" s="5">
        <v>0</v>
      </c>
      <c r="G587" s="7">
        <v>0</v>
      </c>
      <c r="H587" s="5">
        <v>95</v>
      </c>
      <c r="I587" s="7">
        <v>13690.849999999999</v>
      </c>
      <c r="J587" s="7">
        <v>58</v>
      </c>
      <c r="K587" s="5">
        <v>0</v>
      </c>
      <c r="L587" s="5">
        <v>0</v>
      </c>
      <c r="M587" s="26">
        <v>58</v>
      </c>
      <c r="N587" s="7">
        <v>58</v>
      </c>
      <c r="O587" s="7">
        <v>11510.7</v>
      </c>
      <c r="P587" s="7">
        <v>0</v>
      </c>
      <c r="Q587" s="5">
        <v>0</v>
      </c>
      <c r="R587" s="5">
        <v>0</v>
      </c>
      <c r="S587" s="7">
        <v>0</v>
      </c>
      <c r="T587" s="12">
        <v>43207</v>
      </c>
      <c r="U587" s="4">
        <v>6</v>
      </c>
      <c r="X587" s="45">
        <v>74763.850000000006</v>
      </c>
      <c r="Y587" s="14" t="s">
        <v>56</v>
      </c>
      <c r="Z587" s="14" t="s">
        <v>730</v>
      </c>
      <c r="AA587" s="14" t="s">
        <v>2979</v>
      </c>
      <c r="AB587" s="44">
        <v>43209</v>
      </c>
      <c r="AC587" s="44" t="s">
        <v>2980</v>
      </c>
      <c r="AD587" s="29" t="s">
        <v>51</v>
      </c>
      <c r="AE587" s="24" t="s">
        <v>1472</v>
      </c>
      <c r="AF587" s="25" t="s">
        <v>1270</v>
      </c>
      <c r="AG587" t="e">
        <f t="shared" si="9"/>
        <v>#REF!</v>
      </c>
      <c r="AI587" s="58"/>
    </row>
    <row r="588" spans="1:35" ht="15.75" customHeight="1">
      <c r="A588" s="6" t="s">
        <v>1427</v>
      </c>
      <c r="B588" s="5">
        <v>278</v>
      </c>
      <c r="C588" s="7">
        <v>24092.140000000007</v>
      </c>
      <c r="D588" s="7">
        <v>0</v>
      </c>
      <c r="E588" s="7">
        <v>0</v>
      </c>
      <c r="F588" s="5">
        <v>0</v>
      </c>
      <c r="G588" s="7">
        <v>0</v>
      </c>
      <c r="H588" s="5">
        <v>0</v>
      </c>
      <c r="I588" s="7">
        <v>0</v>
      </c>
      <c r="J588" s="7">
        <v>0</v>
      </c>
      <c r="K588" s="5">
        <v>0</v>
      </c>
      <c r="L588" s="5">
        <v>0</v>
      </c>
      <c r="M588" s="5">
        <v>0</v>
      </c>
      <c r="N588" s="7">
        <v>0</v>
      </c>
      <c r="O588" s="7">
        <v>0</v>
      </c>
      <c r="P588" s="7">
        <v>280</v>
      </c>
      <c r="Q588" s="5">
        <v>0</v>
      </c>
      <c r="R588" s="5">
        <v>280</v>
      </c>
      <c r="S588" s="7">
        <v>65620.600000000006</v>
      </c>
      <c r="T588" s="12">
        <v>43207</v>
      </c>
      <c r="U588" s="4">
        <v>6</v>
      </c>
      <c r="X588" s="45">
        <v>89712.74000000002</v>
      </c>
      <c r="Y588" s="14" t="s">
        <v>54</v>
      </c>
      <c r="Z588" s="14" t="s">
        <v>59</v>
      </c>
      <c r="AA588" s="14" t="s">
        <v>2977</v>
      </c>
      <c r="AB588" s="44">
        <v>43216</v>
      </c>
      <c r="AC588" s="44" t="s">
        <v>2978</v>
      </c>
      <c r="AD588" s="29" t="s">
        <v>50</v>
      </c>
      <c r="AE588" s="24" t="s">
        <v>1473</v>
      </c>
      <c r="AF588" s="25" t="s">
        <v>1269</v>
      </c>
      <c r="AG588" t="e">
        <f t="shared" si="9"/>
        <v>#REF!</v>
      </c>
      <c r="AI588" s="58"/>
    </row>
    <row r="589" spans="1:35" ht="15.75" customHeight="1">
      <c r="A589" s="6" t="s">
        <v>1428</v>
      </c>
      <c r="B589" s="5">
        <v>0</v>
      </c>
      <c r="C589" s="7">
        <v>0</v>
      </c>
      <c r="D589" s="7">
        <v>0</v>
      </c>
      <c r="E589" s="7">
        <v>0</v>
      </c>
      <c r="F589" s="5">
        <v>0</v>
      </c>
      <c r="G589" s="7">
        <v>0</v>
      </c>
      <c r="H589" s="5">
        <v>245</v>
      </c>
      <c r="I589" s="7">
        <v>28465.149999999998</v>
      </c>
      <c r="J589" s="7">
        <v>0</v>
      </c>
      <c r="K589" s="5">
        <v>0</v>
      </c>
      <c r="L589" s="5">
        <v>0</v>
      </c>
      <c r="M589" s="5">
        <v>0</v>
      </c>
      <c r="N589" s="7">
        <v>0</v>
      </c>
      <c r="O589" s="7">
        <v>0</v>
      </c>
      <c r="P589" s="7">
        <v>420</v>
      </c>
      <c r="Q589" s="5">
        <v>0</v>
      </c>
      <c r="R589" s="5">
        <v>420</v>
      </c>
      <c r="S589" s="7">
        <v>52860</v>
      </c>
      <c r="T589" s="12">
        <v>43207</v>
      </c>
      <c r="U589" s="4">
        <v>6</v>
      </c>
      <c r="X589" s="45">
        <v>81325.149999999994</v>
      </c>
      <c r="Y589" s="14" t="s">
        <v>56</v>
      </c>
      <c r="Z589" s="14" t="s">
        <v>55</v>
      </c>
      <c r="AA589" s="14" t="s">
        <v>2981</v>
      </c>
      <c r="AB589" s="44">
        <v>43215</v>
      </c>
      <c r="AC589" s="44" t="s">
        <v>2982</v>
      </c>
      <c r="AD589" s="29" t="s">
        <v>51</v>
      </c>
      <c r="AE589" s="24" t="s">
        <v>1474</v>
      </c>
      <c r="AF589" s="25" t="s">
        <v>1270</v>
      </c>
      <c r="AG589" t="e">
        <f t="shared" si="9"/>
        <v>#REF!</v>
      </c>
      <c r="AI589" s="58"/>
    </row>
    <row r="590" spans="1:35" ht="15.75" customHeight="1">
      <c r="A590" s="6" t="s">
        <v>1412</v>
      </c>
      <c r="B590" s="5">
        <v>165</v>
      </c>
      <c r="C590" s="7">
        <v>17838.099999999999</v>
      </c>
      <c r="D590" s="7">
        <v>0</v>
      </c>
      <c r="E590" s="7">
        <v>0</v>
      </c>
      <c r="F590" s="5">
        <v>0</v>
      </c>
      <c r="G590" s="7">
        <v>0</v>
      </c>
      <c r="H590" s="5">
        <v>151</v>
      </c>
      <c r="I590" s="7">
        <v>18150.93</v>
      </c>
      <c r="J590" s="7">
        <v>60</v>
      </c>
      <c r="K590" s="5">
        <v>0</v>
      </c>
      <c r="L590" s="5">
        <v>0</v>
      </c>
      <c r="M590" s="5">
        <v>60</v>
      </c>
      <c r="N590" s="7">
        <v>60</v>
      </c>
      <c r="O590" s="7">
        <v>10300.700000000001</v>
      </c>
      <c r="P590" s="7">
        <v>0</v>
      </c>
      <c r="Q590" s="5">
        <v>0</v>
      </c>
      <c r="R590" s="5">
        <v>0</v>
      </c>
      <c r="S590" s="7">
        <v>0</v>
      </c>
      <c r="T590" s="12">
        <v>43208</v>
      </c>
      <c r="U590" s="4">
        <v>4</v>
      </c>
      <c r="X590" s="45">
        <v>46289.729999999996</v>
      </c>
      <c r="Y590" s="14" t="s">
        <v>1633</v>
      </c>
      <c r="Z590" s="14" t="s">
        <v>1355</v>
      </c>
      <c r="AA590" s="14" t="s">
        <v>2966</v>
      </c>
      <c r="AB590" s="44">
        <v>43213</v>
      </c>
      <c r="AC590" s="44" t="s">
        <v>2967</v>
      </c>
      <c r="AD590" s="29" t="s">
        <v>70</v>
      </c>
      <c r="AE590" s="24" t="s">
        <v>1475</v>
      </c>
      <c r="AF590" s="25" t="s">
        <v>1273</v>
      </c>
      <c r="AG590" t="e">
        <f t="shared" si="9"/>
        <v>#REF!</v>
      </c>
      <c r="AI590" s="58"/>
    </row>
    <row r="591" spans="1:35" ht="15.75" customHeight="1">
      <c r="A591" s="6" t="s">
        <v>1424</v>
      </c>
      <c r="B591" s="5">
        <v>0</v>
      </c>
      <c r="C591" s="7">
        <v>0</v>
      </c>
      <c r="D591" s="7">
        <v>0</v>
      </c>
      <c r="E591" s="7">
        <v>0</v>
      </c>
      <c r="F591" s="5">
        <v>0</v>
      </c>
      <c r="G591" s="7">
        <v>0</v>
      </c>
      <c r="H591" s="5">
        <v>465</v>
      </c>
      <c r="I591" s="7">
        <v>54025.5</v>
      </c>
      <c r="J591" s="7">
        <v>0</v>
      </c>
      <c r="K591" s="5">
        <v>0</v>
      </c>
      <c r="L591" s="5">
        <v>0</v>
      </c>
      <c r="M591" s="5">
        <v>0</v>
      </c>
      <c r="N591" s="7">
        <v>0</v>
      </c>
      <c r="O591" s="7">
        <v>0</v>
      </c>
      <c r="P591" s="7">
        <v>0</v>
      </c>
      <c r="Q591" s="5">
        <v>0</v>
      </c>
      <c r="R591" s="5">
        <v>0</v>
      </c>
      <c r="S591" s="7">
        <v>0</v>
      </c>
      <c r="T591" s="12">
        <v>43208</v>
      </c>
      <c r="U591" s="4">
        <v>4</v>
      </c>
      <c r="X591" s="45">
        <v>54025.5</v>
      </c>
      <c r="Y591" s="14" t="s">
        <v>54</v>
      </c>
      <c r="Z591" s="14" t="s">
        <v>1355</v>
      </c>
      <c r="AA591" s="14" t="s">
        <v>2983</v>
      </c>
      <c r="AB591" s="44">
        <v>43216</v>
      </c>
      <c r="AC591" s="44" t="s">
        <v>2978</v>
      </c>
      <c r="AD591" s="29" t="s">
        <v>49</v>
      </c>
      <c r="AE591" s="24" t="s">
        <v>1476</v>
      </c>
      <c r="AF591" s="25" t="s">
        <v>1265</v>
      </c>
      <c r="AG591" t="e">
        <f t="shared" si="9"/>
        <v>#REF!</v>
      </c>
      <c r="AI591" s="58"/>
    </row>
    <row r="592" spans="1:35" ht="15.75" customHeight="1">
      <c r="A592" s="6" t="s">
        <v>1425</v>
      </c>
      <c r="B592" s="5">
        <v>244</v>
      </c>
      <c r="C592" s="7">
        <v>30144.400000000005</v>
      </c>
      <c r="D592" s="7">
        <v>0</v>
      </c>
      <c r="E592" s="7">
        <v>0</v>
      </c>
      <c r="F592" s="5">
        <v>0</v>
      </c>
      <c r="G592" s="7">
        <v>0</v>
      </c>
      <c r="H592" s="5">
        <v>30</v>
      </c>
      <c r="I592" s="7">
        <v>3838.8</v>
      </c>
      <c r="J592" s="7">
        <v>41</v>
      </c>
      <c r="K592" s="5">
        <v>0</v>
      </c>
      <c r="L592" s="5">
        <v>0</v>
      </c>
      <c r="M592" s="5">
        <v>41</v>
      </c>
      <c r="N592" s="7">
        <v>41</v>
      </c>
      <c r="O592" s="7">
        <v>8213</v>
      </c>
      <c r="P592" s="7">
        <v>0</v>
      </c>
      <c r="R592" s="5">
        <v>0</v>
      </c>
      <c r="S592" s="7">
        <v>0</v>
      </c>
      <c r="T592" s="12">
        <v>43208</v>
      </c>
      <c r="U592" s="4">
        <v>4</v>
      </c>
      <c r="X592" s="45">
        <v>42196.200000000004</v>
      </c>
      <c r="Y592" s="14" t="s">
        <v>54</v>
      </c>
      <c r="Z592" s="14" t="s">
        <v>1355</v>
      </c>
      <c r="AA592" s="14" t="s">
        <v>2983</v>
      </c>
      <c r="AB592" s="44">
        <v>43216</v>
      </c>
      <c r="AC592" s="44" t="s">
        <v>2978</v>
      </c>
      <c r="AD592" s="29" t="s">
        <v>49</v>
      </c>
      <c r="AE592" s="24" t="s">
        <v>1477</v>
      </c>
      <c r="AF592" s="25"/>
      <c r="AI592" s="58"/>
    </row>
    <row r="593" spans="1:35" ht="15.75" customHeight="1">
      <c r="A593" s="6" t="s">
        <v>1430</v>
      </c>
      <c r="B593" s="5">
        <v>0</v>
      </c>
      <c r="C593" s="7">
        <v>0</v>
      </c>
      <c r="D593" s="7">
        <v>0</v>
      </c>
      <c r="E593" s="7">
        <v>0</v>
      </c>
      <c r="F593" s="5">
        <v>0</v>
      </c>
      <c r="G593" s="7">
        <v>0</v>
      </c>
      <c r="H593" s="5">
        <v>0</v>
      </c>
      <c r="I593" s="7">
        <v>0</v>
      </c>
      <c r="J593" s="7">
        <v>0</v>
      </c>
      <c r="K593" s="5">
        <v>0</v>
      </c>
      <c r="L593" s="5">
        <v>0</v>
      </c>
      <c r="M593" s="5">
        <v>0</v>
      </c>
      <c r="N593" s="7">
        <v>0</v>
      </c>
      <c r="O593" s="7">
        <v>0</v>
      </c>
      <c r="P593" s="7">
        <v>150</v>
      </c>
      <c r="R593" s="5">
        <v>150</v>
      </c>
      <c r="S593" s="7">
        <v>34406.400000000001</v>
      </c>
      <c r="T593" s="12">
        <v>43208</v>
      </c>
      <c r="U593" s="4">
        <v>2</v>
      </c>
      <c r="X593" s="45">
        <v>34406.400000000001</v>
      </c>
      <c r="Y593" s="14" t="s">
        <v>56</v>
      </c>
      <c r="Z593" s="14" t="s">
        <v>730</v>
      </c>
      <c r="AA593" s="14" t="s">
        <v>2984</v>
      </c>
      <c r="AB593" s="44">
        <v>43211</v>
      </c>
      <c r="AC593" s="44" t="s">
        <v>2985</v>
      </c>
      <c r="AD593" s="29" t="s">
        <v>51</v>
      </c>
      <c r="AE593" s="24" t="s">
        <v>1478</v>
      </c>
      <c r="AF593" s="25"/>
      <c r="AI593" s="58"/>
    </row>
    <row r="594" spans="1:35" ht="15.75" customHeight="1">
      <c r="A594" s="6" t="s">
        <v>1426</v>
      </c>
      <c r="B594" s="5">
        <v>447</v>
      </c>
      <c r="C594" s="7">
        <v>50338.080000000002</v>
      </c>
      <c r="D594" s="7">
        <v>10</v>
      </c>
      <c r="E594" s="5">
        <v>10</v>
      </c>
      <c r="F594" s="5">
        <v>0</v>
      </c>
      <c r="G594" s="7">
        <v>446</v>
      </c>
      <c r="H594" s="5">
        <v>220</v>
      </c>
      <c r="I594" s="7">
        <v>26149.15</v>
      </c>
      <c r="J594" s="7">
        <v>52</v>
      </c>
      <c r="K594" s="5">
        <v>0</v>
      </c>
      <c r="L594" s="5">
        <v>0</v>
      </c>
      <c r="M594" s="5">
        <v>52</v>
      </c>
      <c r="N594" s="7">
        <v>52</v>
      </c>
      <c r="O594" s="7">
        <v>9580.6</v>
      </c>
      <c r="P594" s="7">
        <v>0</v>
      </c>
      <c r="R594" s="5">
        <v>0</v>
      </c>
      <c r="S594" s="7">
        <v>0</v>
      </c>
      <c r="T594" s="12">
        <v>43208</v>
      </c>
      <c r="U594" s="4">
        <v>7</v>
      </c>
      <c r="X594" s="45">
        <v>86513.830000000016</v>
      </c>
      <c r="Y594" s="14" t="s">
        <v>56</v>
      </c>
      <c r="Z594" s="14" t="s">
        <v>1281</v>
      </c>
      <c r="AA594" s="14" t="s">
        <v>2960</v>
      </c>
      <c r="AB594" s="44">
        <v>43211</v>
      </c>
      <c r="AC594" s="44" t="s">
        <v>2961</v>
      </c>
      <c r="AD594" s="29" t="s">
        <v>52</v>
      </c>
      <c r="AE594" s="24" t="s">
        <v>1479</v>
      </c>
      <c r="AF594" s="25"/>
      <c r="AI594" s="58"/>
    </row>
    <row r="595" spans="1:35" ht="15.75" customHeight="1">
      <c r="A595" s="6" t="s">
        <v>1431</v>
      </c>
      <c r="B595" s="5">
        <v>114</v>
      </c>
      <c r="C595" s="7">
        <v>12639.7</v>
      </c>
      <c r="D595" s="7">
        <v>0</v>
      </c>
      <c r="E595" s="5">
        <v>0</v>
      </c>
      <c r="F595" s="5">
        <v>0</v>
      </c>
      <c r="G595" s="7">
        <v>0</v>
      </c>
      <c r="H595" s="5">
        <v>0</v>
      </c>
      <c r="I595" s="7">
        <v>0</v>
      </c>
      <c r="J595" s="7">
        <v>396</v>
      </c>
      <c r="K595" s="5">
        <v>0</v>
      </c>
      <c r="L595" s="5">
        <v>0</v>
      </c>
      <c r="M595" s="5">
        <v>396</v>
      </c>
      <c r="N595" s="7">
        <v>396</v>
      </c>
      <c r="O595" s="7">
        <v>73885.399999999994</v>
      </c>
      <c r="P595" s="7">
        <v>0</v>
      </c>
      <c r="R595" s="5">
        <v>0</v>
      </c>
      <c r="S595" s="7">
        <v>0</v>
      </c>
      <c r="T595" s="12">
        <v>43208</v>
      </c>
      <c r="U595" s="4">
        <v>9</v>
      </c>
      <c r="X595" s="45">
        <v>86525.099999999991</v>
      </c>
      <c r="Y595" s="14" t="s">
        <v>54</v>
      </c>
      <c r="Z595" s="14" t="s">
        <v>59</v>
      </c>
      <c r="AA595" s="14" t="s">
        <v>2977</v>
      </c>
      <c r="AB595" s="44">
        <v>43216</v>
      </c>
      <c r="AC595" s="44" t="s">
        <v>2978</v>
      </c>
      <c r="AD595" s="29" t="s">
        <v>50</v>
      </c>
      <c r="AE595" s="24" t="s">
        <v>1480</v>
      </c>
      <c r="AF595" s="25"/>
      <c r="AI595" s="58"/>
    </row>
    <row r="596" spans="1:35" ht="15.75" customHeight="1">
      <c r="A596" s="13" t="s">
        <v>1432</v>
      </c>
      <c r="B596" s="5">
        <v>94</v>
      </c>
      <c r="C596" s="7">
        <v>12260.099999999999</v>
      </c>
      <c r="D596" s="7">
        <v>0</v>
      </c>
      <c r="E596" s="5">
        <v>0</v>
      </c>
      <c r="F596" s="5">
        <v>0</v>
      </c>
      <c r="G596" s="7">
        <v>0</v>
      </c>
      <c r="H596" s="5">
        <v>350</v>
      </c>
      <c r="I596" s="7">
        <v>40811.700000000004</v>
      </c>
      <c r="J596" s="7">
        <v>191</v>
      </c>
      <c r="K596" s="5">
        <v>0</v>
      </c>
      <c r="L596" s="5">
        <v>0</v>
      </c>
      <c r="M596" s="5">
        <v>191</v>
      </c>
      <c r="N596" s="7">
        <v>191</v>
      </c>
      <c r="O596" s="7">
        <v>27255.100000000002</v>
      </c>
      <c r="P596" s="7">
        <v>231</v>
      </c>
      <c r="R596" s="5">
        <v>231</v>
      </c>
      <c r="S596" s="7">
        <v>48807.4</v>
      </c>
      <c r="T596" s="12">
        <v>43208</v>
      </c>
      <c r="U596" s="4">
        <v>10</v>
      </c>
      <c r="X596" s="45">
        <v>129134.30000000002</v>
      </c>
      <c r="Y596" s="14" t="s">
        <v>56</v>
      </c>
      <c r="Z596" s="14" t="s">
        <v>55</v>
      </c>
      <c r="AA596" s="14" t="s">
        <v>2981</v>
      </c>
      <c r="AB596" s="44">
        <v>43215</v>
      </c>
      <c r="AC596" s="44" t="s">
        <v>2982</v>
      </c>
      <c r="AD596" s="29" t="s">
        <v>51</v>
      </c>
      <c r="AE596" s="24" t="s">
        <v>1481</v>
      </c>
      <c r="AF596" s="25"/>
      <c r="AI596" s="58"/>
    </row>
    <row r="597" spans="1:35" ht="15.75" customHeight="1">
      <c r="A597" s="6" t="s">
        <v>1433</v>
      </c>
      <c r="B597" s="5">
        <v>198</v>
      </c>
      <c r="C597" s="7">
        <v>23132.77</v>
      </c>
      <c r="D597" s="7">
        <v>0</v>
      </c>
      <c r="E597" s="5">
        <v>0</v>
      </c>
      <c r="F597" s="5">
        <v>0</v>
      </c>
      <c r="G597" s="7">
        <v>0</v>
      </c>
      <c r="H597" s="5">
        <v>291</v>
      </c>
      <c r="I597" s="7">
        <v>40741.800000000003</v>
      </c>
      <c r="J597" s="7">
        <v>215</v>
      </c>
      <c r="K597" s="5">
        <v>0</v>
      </c>
      <c r="L597" s="5">
        <v>0</v>
      </c>
      <c r="M597" s="5">
        <v>215</v>
      </c>
      <c r="N597" s="7">
        <v>215</v>
      </c>
      <c r="O597" s="7">
        <v>40293.099999999991</v>
      </c>
      <c r="P597" s="7">
        <v>0</v>
      </c>
      <c r="Q597" s="5">
        <v>0</v>
      </c>
      <c r="S597" s="7">
        <v>0</v>
      </c>
      <c r="T597" s="12">
        <v>43208</v>
      </c>
      <c r="U597" s="4">
        <v>9</v>
      </c>
      <c r="X597" s="45">
        <v>104167.67</v>
      </c>
      <c r="Y597" s="14" t="s">
        <v>56</v>
      </c>
      <c r="Z597" s="14" t="s">
        <v>730</v>
      </c>
      <c r="AA597" s="14" t="s">
        <v>2981</v>
      </c>
      <c r="AB597" s="44">
        <v>43215</v>
      </c>
      <c r="AC597" s="44" t="s">
        <v>2982</v>
      </c>
      <c r="AD597" s="29" t="s">
        <v>51</v>
      </c>
      <c r="AE597" s="24" t="s">
        <v>1482</v>
      </c>
      <c r="AF597" s="25" t="s">
        <v>1270</v>
      </c>
      <c r="AG597" t="e">
        <f t="shared" ref="AG597:AG628" si="10">+VLOOKUP(AF597,AH:AH,2,0)</f>
        <v>#REF!</v>
      </c>
      <c r="AI597" s="58"/>
    </row>
    <row r="598" spans="1:35" ht="15.75" customHeight="1">
      <c r="A598" s="6" t="s">
        <v>1434</v>
      </c>
      <c r="B598" s="5">
        <v>360</v>
      </c>
      <c r="C598" s="7">
        <v>39362.700000000004</v>
      </c>
      <c r="D598" s="7">
        <v>0</v>
      </c>
      <c r="E598" s="5">
        <v>0</v>
      </c>
      <c r="F598" s="5">
        <v>0</v>
      </c>
      <c r="G598" s="7">
        <v>0</v>
      </c>
      <c r="H598" s="5">
        <v>0</v>
      </c>
      <c r="I598" s="7">
        <v>0</v>
      </c>
      <c r="J598" s="7">
        <v>0</v>
      </c>
      <c r="K598" s="5">
        <v>0</v>
      </c>
      <c r="L598" s="5">
        <v>0</v>
      </c>
      <c r="M598" s="5">
        <v>0</v>
      </c>
      <c r="N598" s="7">
        <v>0</v>
      </c>
      <c r="O598" s="7">
        <v>0</v>
      </c>
      <c r="P598" s="7">
        <v>0</v>
      </c>
      <c r="Q598" s="5">
        <v>0</v>
      </c>
      <c r="R598" s="5">
        <v>0</v>
      </c>
      <c r="S598" s="7">
        <v>0</v>
      </c>
      <c r="T598" s="12">
        <v>43209</v>
      </c>
      <c r="U598" s="4">
        <v>4</v>
      </c>
      <c r="X598" s="45">
        <v>39362.700000000004</v>
      </c>
      <c r="Y598" s="14" t="s">
        <v>1608</v>
      </c>
      <c r="Z598" s="14" t="s">
        <v>1281</v>
      </c>
      <c r="AA598" s="14" t="s">
        <v>2986</v>
      </c>
      <c r="AB598" s="44">
        <v>43214</v>
      </c>
      <c r="AC598" s="44" t="s">
        <v>2987</v>
      </c>
      <c r="AD598" s="29" t="s">
        <v>1010</v>
      </c>
      <c r="AE598" s="24" t="s">
        <v>1483</v>
      </c>
      <c r="AF598" s="25"/>
      <c r="AG598" t="e">
        <f t="shared" si="10"/>
        <v>#N/A</v>
      </c>
      <c r="AI598" s="58"/>
    </row>
    <row r="599" spans="1:35" ht="15.75" customHeight="1">
      <c r="A599" s="6" t="s">
        <v>1429</v>
      </c>
      <c r="B599" s="5">
        <v>748</v>
      </c>
      <c r="C599" s="7">
        <v>65888.98000000001</v>
      </c>
      <c r="D599" s="7">
        <v>0</v>
      </c>
      <c r="E599" s="5">
        <v>0</v>
      </c>
      <c r="F599" s="5">
        <v>0</v>
      </c>
      <c r="G599" s="7">
        <v>0</v>
      </c>
      <c r="H599" s="5">
        <v>30</v>
      </c>
      <c r="I599" s="7">
        <v>1219</v>
      </c>
      <c r="J599" s="7">
        <v>65</v>
      </c>
      <c r="K599" s="5">
        <v>0</v>
      </c>
      <c r="L599" s="5">
        <v>0</v>
      </c>
      <c r="M599" s="5">
        <v>65</v>
      </c>
      <c r="N599" s="7">
        <v>65</v>
      </c>
      <c r="O599" s="7">
        <v>11966</v>
      </c>
      <c r="P599" s="7">
        <v>118</v>
      </c>
      <c r="Q599" s="5">
        <v>0</v>
      </c>
      <c r="R599" s="5">
        <v>118</v>
      </c>
      <c r="S599" s="7">
        <v>20730.7</v>
      </c>
      <c r="T599" s="12">
        <v>43209</v>
      </c>
      <c r="U599" s="4">
        <v>7</v>
      </c>
      <c r="X599" s="45">
        <v>99804.680000000008</v>
      </c>
      <c r="Y599" s="14" t="s">
        <v>54</v>
      </c>
      <c r="Z599" s="14" t="s">
        <v>59</v>
      </c>
      <c r="AA599" s="14" t="s">
        <v>2977</v>
      </c>
      <c r="AB599" s="44">
        <v>43216</v>
      </c>
      <c r="AC599" s="44" t="s">
        <v>2978</v>
      </c>
      <c r="AD599" s="29" t="s">
        <v>50</v>
      </c>
      <c r="AE599" s="24" t="s">
        <v>1484</v>
      </c>
      <c r="AF599" s="25" t="s">
        <v>1269</v>
      </c>
      <c r="AG599" t="e">
        <f t="shared" si="10"/>
        <v>#REF!</v>
      </c>
      <c r="AI599" s="58"/>
    </row>
    <row r="600" spans="1:35" ht="15.75" customHeight="1">
      <c r="A600" s="6" t="s">
        <v>1435</v>
      </c>
      <c r="B600" s="5">
        <v>0</v>
      </c>
      <c r="C600" s="7">
        <v>0</v>
      </c>
      <c r="D600" s="7">
        <v>0</v>
      </c>
      <c r="E600" s="5">
        <v>0</v>
      </c>
      <c r="F600" s="5">
        <v>0</v>
      </c>
      <c r="G600" s="7">
        <v>0</v>
      </c>
      <c r="H600" s="5">
        <v>0</v>
      </c>
      <c r="I600" s="7">
        <v>0</v>
      </c>
      <c r="J600" s="7">
        <v>0</v>
      </c>
      <c r="K600" s="5">
        <v>0</v>
      </c>
      <c r="L600" s="5">
        <v>0</v>
      </c>
      <c r="M600" s="5">
        <v>0</v>
      </c>
      <c r="N600" s="7">
        <v>0</v>
      </c>
      <c r="O600" s="7">
        <v>0</v>
      </c>
      <c r="P600" s="7">
        <v>75</v>
      </c>
      <c r="Q600" s="5">
        <v>0</v>
      </c>
      <c r="R600" s="5">
        <v>75</v>
      </c>
      <c r="S600" s="7">
        <v>18090</v>
      </c>
      <c r="T600" s="12">
        <v>43209</v>
      </c>
      <c r="U600" s="4">
        <v>1</v>
      </c>
      <c r="X600" s="45">
        <v>18090</v>
      </c>
      <c r="Y600" s="14" t="s">
        <v>54</v>
      </c>
      <c r="Z600" s="14" t="s">
        <v>59</v>
      </c>
      <c r="AA600" s="14" t="s">
        <v>2977</v>
      </c>
      <c r="AB600" s="44">
        <v>43216</v>
      </c>
      <c r="AC600" s="44" t="s">
        <v>2978</v>
      </c>
      <c r="AD600" s="29" t="s">
        <v>50</v>
      </c>
      <c r="AE600" s="24" t="s">
        <v>1485</v>
      </c>
      <c r="AF600" s="25" t="s">
        <v>1269</v>
      </c>
      <c r="AG600" t="e">
        <f t="shared" si="10"/>
        <v>#REF!</v>
      </c>
      <c r="AI600" s="58"/>
    </row>
    <row r="601" spans="1:35" ht="15.75" customHeight="1">
      <c r="A601" s="6" t="s">
        <v>1436</v>
      </c>
      <c r="B601" s="5">
        <v>0</v>
      </c>
      <c r="C601" s="7">
        <v>0</v>
      </c>
      <c r="D601" s="7">
        <v>0</v>
      </c>
      <c r="E601" s="5">
        <v>0</v>
      </c>
      <c r="F601" s="5">
        <v>0</v>
      </c>
      <c r="G601" s="7">
        <v>0</v>
      </c>
      <c r="H601" s="5">
        <v>0</v>
      </c>
      <c r="I601" s="7">
        <v>0</v>
      </c>
      <c r="J601" s="7">
        <v>0</v>
      </c>
      <c r="K601" s="5">
        <v>0</v>
      </c>
      <c r="L601" s="5">
        <v>0</v>
      </c>
      <c r="M601" s="5">
        <v>0</v>
      </c>
      <c r="N601" s="7">
        <v>0</v>
      </c>
      <c r="O601" s="7">
        <v>0</v>
      </c>
      <c r="P601" s="7">
        <v>264</v>
      </c>
      <c r="Q601" s="5">
        <v>0</v>
      </c>
      <c r="R601" s="5">
        <v>264</v>
      </c>
      <c r="S601" s="7">
        <v>31360</v>
      </c>
      <c r="T601" s="12">
        <v>43209</v>
      </c>
      <c r="U601" s="4">
        <v>2</v>
      </c>
      <c r="X601" s="45">
        <v>31360</v>
      </c>
      <c r="Y601" s="14" t="s">
        <v>85</v>
      </c>
      <c r="Z601" s="14" t="s">
        <v>1281</v>
      </c>
      <c r="AA601" s="14">
        <v>350810036226</v>
      </c>
      <c r="AB601" s="44">
        <v>43212</v>
      </c>
      <c r="AC601" s="44" t="s">
        <v>2957</v>
      </c>
      <c r="AD601" s="29" t="s">
        <v>600</v>
      </c>
      <c r="AE601" s="24">
        <v>2500000041335</v>
      </c>
      <c r="AF601" s="25" t="s">
        <v>1275</v>
      </c>
      <c r="AG601" t="e">
        <f t="shared" si="10"/>
        <v>#REF!</v>
      </c>
      <c r="AI601" s="58"/>
    </row>
    <row r="602" spans="1:35" ht="15.75" customHeight="1">
      <c r="A602" s="6" t="s">
        <v>1437</v>
      </c>
      <c r="B602" s="5">
        <v>0</v>
      </c>
      <c r="C602" s="7">
        <v>0</v>
      </c>
      <c r="D602" s="7">
        <v>0</v>
      </c>
      <c r="E602" s="5">
        <v>0</v>
      </c>
      <c r="F602" s="5">
        <v>0</v>
      </c>
      <c r="G602" s="7">
        <v>0</v>
      </c>
      <c r="H602" s="5">
        <v>190</v>
      </c>
      <c r="I602" s="7">
        <v>24312.400000000001</v>
      </c>
      <c r="J602" s="7">
        <v>0</v>
      </c>
      <c r="K602" s="5">
        <v>0</v>
      </c>
      <c r="L602" s="5">
        <v>0</v>
      </c>
      <c r="M602" s="5">
        <v>0</v>
      </c>
      <c r="N602" s="7">
        <v>0</v>
      </c>
      <c r="O602" s="7">
        <v>0</v>
      </c>
      <c r="P602" s="7">
        <v>0</v>
      </c>
      <c r="Q602" s="5">
        <v>0</v>
      </c>
      <c r="R602" s="5">
        <v>0</v>
      </c>
      <c r="S602" s="7">
        <v>0</v>
      </c>
      <c r="T602" s="12">
        <v>43209</v>
      </c>
      <c r="U602" s="4">
        <v>2</v>
      </c>
      <c r="X602" s="45">
        <v>24312.400000000001</v>
      </c>
      <c r="Y602" s="14" t="s">
        <v>56</v>
      </c>
      <c r="Z602" s="14" t="s">
        <v>55</v>
      </c>
      <c r="AA602" s="14" t="s">
        <v>2988</v>
      </c>
      <c r="AB602" s="44">
        <v>43216</v>
      </c>
      <c r="AC602" s="44" t="s">
        <v>2989</v>
      </c>
      <c r="AD602" s="29" t="s">
        <v>49</v>
      </c>
      <c r="AE602" s="24" t="s">
        <v>1486</v>
      </c>
      <c r="AF602" s="25" t="s">
        <v>1265</v>
      </c>
      <c r="AG602" t="e">
        <f t="shared" si="10"/>
        <v>#REF!</v>
      </c>
      <c r="AI602" s="58"/>
    </row>
    <row r="603" spans="1:35" ht="15.75" customHeight="1">
      <c r="A603" s="6" t="s">
        <v>1438</v>
      </c>
      <c r="B603" s="5">
        <v>100</v>
      </c>
      <c r="C603" s="7">
        <v>13115.98</v>
      </c>
      <c r="D603" s="7">
        <v>0</v>
      </c>
      <c r="E603" s="5">
        <v>0</v>
      </c>
      <c r="F603" s="5">
        <v>0</v>
      </c>
      <c r="G603" s="7">
        <v>0</v>
      </c>
      <c r="H603" s="5">
        <v>95</v>
      </c>
      <c r="I603" s="7">
        <v>12156.2</v>
      </c>
      <c r="J603" s="7">
        <v>58</v>
      </c>
      <c r="K603" s="5">
        <v>0</v>
      </c>
      <c r="L603" s="5">
        <v>0</v>
      </c>
      <c r="M603" s="5">
        <v>58</v>
      </c>
      <c r="N603" s="7">
        <v>58</v>
      </c>
      <c r="O603" s="7">
        <v>10248.599999999999</v>
      </c>
      <c r="P603" s="7">
        <v>0</v>
      </c>
      <c r="Q603" s="5">
        <v>0</v>
      </c>
      <c r="R603" s="5">
        <v>0</v>
      </c>
      <c r="S603" s="7">
        <v>0</v>
      </c>
      <c r="T603" s="12">
        <v>43209</v>
      </c>
      <c r="U603" s="4">
        <v>3</v>
      </c>
      <c r="X603" s="45">
        <v>35520.78</v>
      </c>
      <c r="Y603" s="14" t="s">
        <v>85</v>
      </c>
      <c r="Z603" s="14" t="s">
        <v>1492</v>
      </c>
      <c r="AA603" s="14">
        <v>350810036066</v>
      </c>
      <c r="AB603" s="44">
        <v>43219</v>
      </c>
      <c r="AC603" s="44" t="s">
        <v>2990</v>
      </c>
      <c r="AD603" s="29" t="s">
        <v>49</v>
      </c>
      <c r="AE603" s="24" t="s">
        <v>1487</v>
      </c>
      <c r="AF603" s="25" t="s">
        <v>1267</v>
      </c>
      <c r="AG603" t="e">
        <f t="shared" si="10"/>
        <v>#REF!</v>
      </c>
      <c r="AI603" s="58"/>
    </row>
    <row r="604" spans="1:35" ht="15.75" customHeight="1">
      <c r="A604" s="6" t="s">
        <v>1439</v>
      </c>
      <c r="B604" s="5">
        <v>551</v>
      </c>
      <c r="C604" s="7">
        <v>60222.5</v>
      </c>
      <c r="D604" s="7">
        <v>0</v>
      </c>
      <c r="E604" s="5">
        <v>0</v>
      </c>
      <c r="F604" s="5">
        <v>0</v>
      </c>
      <c r="G604" s="7">
        <v>0</v>
      </c>
      <c r="H604" s="5">
        <v>50</v>
      </c>
      <c r="I604" s="7">
        <v>1149.5</v>
      </c>
      <c r="J604" s="7">
        <v>105</v>
      </c>
      <c r="K604" s="5">
        <v>0</v>
      </c>
      <c r="L604" s="5">
        <v>0</v>
      </c>
      <c r="M604" s="5">
        <v>105</v>
      </c>
      <c r="N604" s="7">
        <v>105</v>
      </c>
      <c r="O604" s="7">
        <v>17323.900000000001</v>
      </c>
      <c r="P604" s="7">
        <v>15</v>
      </c>
      <c r="Q604" s="5">
        <v>0</v>
      </c>
      <c r="R604" s="5">
        <v>15</v>
      </c>
      <c r="S604" s="7">
        <v>748.5</v>
      </c>
      <c r="T604" s="12">
        <v>43209</v>
      </c>
      <c r="U604" s="4">
        <v>7</v>
      </c>
      <c r="X604" s="45">
        <v>79444.399999999994</v>
      </c>
      <c r="Y604" s="14" t="s">
        <v>54</v>
      </c>
      <c r="Z604" s="14" t="s">
        <v>59</v>
      </c>
      <c r="AA604" s="14" t="s">
        <v>2991</v>
      </c>
      <c r="AB604" s="44">
        <v>43216</v>
      </c>
      <c r="AC604" s="44" t="s">
        <v>2978</v>
      </c>
      <c r="AD604" s="29" t="s">
        <v>50</v>
      </c>
      <c r="AE604" s="24" t="s">
        <v>1488</v>
      </c>
      <c r="AF604" s="25" t="s">
        <v>1269</v>
      </c>
      <c r="AG604" t="e">
        <f t="shared" si="10"/>
        <v>#REF!</v>
      </c>
      <c r="AI604" s="58"/>
    </row>
    <row r="605" spans="1:35" ht="15.75" customHeight="1">
      <c r="A605" s="6" t="s">
        <v>1440</v>
      </c>
      <c r="B605" s="5">
        <v>563</v>
      </c>
      <c r="C605" s="7">
        <v>70797.98</v>
      </c>
      <c r="D605" s="7">
        <v>0</v>
      </c>
      <c r="E605" s="5">
        <v>0</v>
      </c>
      <c r="F605" s="5">
        <v>0</v>
      </c>
      <c r="G605" s="7">
        <v>0</v>
      </c>
      <c r="H605" s="5">
        <v>0</v>
      </c>
      <c r="I605" s="7">
        <v>0</v>
      </c>
      <c r="J605" s="7">
        <v>41</v>
      </c>
      <c r="K605" s="5">
        <v>0</v>
      </c>
      <c r="L605" s="5">
        <v>0</v>
      </c>
      <c r="M605" s="5">
        <v>41</v>
      </c>
      <c r="N605" s="7">
        <v>41</v>
      </c>
      <c r="O605" s="7">
        <v>8558</v>
      </c>
      <c r="P605" s="7">
        <v>0</v>
      </c>
      <c r="Q605" s="5">
        <v>0</v>
      </c>
      <c r="R605" s="5">
        <v>0</v>
      </c>
      <c r="S605" s="7">
        <v>0</v>
      </c>
      <c r="T605" s="12">
        <v>43209</v>
      </c>
      <c r="U605" s="4">
        <v>7</v>
      </c>
      <c r="X605" s="45">
        <v>79355.98</v>
      </c>
      <c r="Y605" s="14" t="s">
        <v>56</v>
      </c>
      <c r="Z605" s="14" t="s">
        <v>730</v>
      </c>
      <c r="AA605" s="14" t="s">
        <v>2981</v>
      </c>
      <c r="AB605" s="44">
        <v>43215</v>
      </c>
      <c r="AC605" s="44" t="s">
        <v>2982</v>
      </c>
      <c r="AD605" s="29" t="s">
        <v>51</v>
      </c>
      <c r="AE605" s="24" t="s">
        <v>1489</v>
      </c>
      <c r="AF605" s="25" t="s">
        <v>1270</v>
      </c>
      <c r="AG605" t="e">
        <f t="shared" si="10"/>
        <v>#REF!</v>
      </c>
      <c r="AI605" s="58"/>
    </row>
    <row r="606" spans="1:35" ht="15.75" customHeight="1">
      <c r="A606" s="6" t="s">
        <v>1441</v>
      </c>
      <c r="B606" s="5">
        <v>0</v>
      </c>
      <c r="C606" s="7">
        <v>0</v>
      </c>
      <c r="D606" s="7">
        <v>0</v>
      </c>
      <c r="E606" s="5">
        <v>0</v>
      </c>
      <c r="F606" s="5">
        <v>0</v>
      </c>
      <c r="G606" s="7">
        <v>0</v>
      </c>
      <c r="H606" s="5">
        <v>0</v>
      </c>
      <c r="I606" s="7">
        <v>0</v>
      </c>
      <c r="J606" s="7">
        <v>0</v>
      </c>
      <c r="K606" s="5">
        <v>0</v>
      </c>
      <c r="L606" s="5">
        <v>0</v>
      </c>
      <c r="M606" s="5">
        <v>0</v>
      </c>
      <c r="N606" s="7">
        <v>0</v>
      </c>
      <c r="O606" s="7">
        <v>0</v>
      </c>
      <c r="P606" s="7">
        <v>1265</v>
      </c>
      <c r="Q606" s="5">
        <v>0</v>
      </c>
      <c r="R606" s="5">
        <v>1265</v>
      </c>
      <c r="S606" s="7">
        <v>113569.5</v>
      </c>
      <c r="T606" s="12">
        <v>43209</v>
      </c>
      <c r="U606" s="4">
        <v>5</v>
      </c>
      <c r="X606" s="45">
        <v>113569.5</v>
      </c>
      <c r="Y606" s="14" t="s">
        <v>56</v>
      </c>
      <c r="Z606" s="14" t="s">
        <v>55</v>
      </c>
      <c r="AA606" s="14" t="s">
        <v>2988</v>
      </c>
      <c r="AB606" s="44">
        <v>43216</v>
      </c>
      <c r="AC606" s="44" t="s">
        <v>2989</v>
      </c>
      <c r="AD606" s="29" t="s">
        <v>49</v>
      </c>
      <c r="AE606" s="24" t="s">
        <v>1490</v>
      </c>
      <c r="AF606" s="25" t="s">
        <v>1265</v>
      </c>
      <c r="AG606" t="e">
        <f t="shared" si="10"/>
        <v>#REF!</v>
      </c>
      <c r="AI606" s="58"/>
    </row>
    <row r="607" spans="1:35" ht="15.75" customHeight="1">
      <c r="A607" s="6" t="s">
        <v>1442</v>
      </c>
      <c r="B607" s="5">
        <v>0</v>
      </c>
      <c r="C607" s="7">
        <v>0</v>
      </c>
      <c r="D607" s="7">
        <v>0</v>
      </c>
      <c r="E607" s="5">
        <v>0</v>
      </c>
      <c r="F607" s="5">
        <v>0</v>
      </c>
      <c r="G607" s="7">
        <v>0</v>
      </c>
      <c r="H607" s="5">
        <v>0</v>
      </c>
      <c r="I607" s="7">
        <v>0</v>
      </c>
      <c r="J607" s="7">
        <v>0</v>
      </c>
      <c r="K607" s="5">
        <v>0</v>
      </c>
      <c r="L607" s="5">
        <v>0</v>
      </c>
      <c r="M607" s="5">
        <v>0</v>
      </c>
      <c r="N607" s="7">
        <v>0</v>
      </c>
      <c r="O607" s="7">
        <v>0</v>
      </c>
      <c r="P607" s="7">
        <v>165</v>
      </c>
      <c r="Q607" s="5">
        <v>0</v>
      </c>
      <c r="R607" s="5">
        <v>165</v>
      </c>
      <c r="S607" s="7">
        <v>27969.5</v>
      </c>
      <c r="T607" s="12">
        <v>43209</v>
      </c>
      <c r="U607" s="4">
        <v>2</v>
      </c>
      <c r="X607" s="45">
        <v>27969.5</v>
      </c>
      <c r="Y607" s="14" t="s">
        <v>85</v>
      </c>
      <c r="Z607" s="14" t="s">
        <v>1492</v>
      </c>
      <c r="AA607" s="14">
        <v>350810036066</v>
      </c>
      <c r="AB607" s="44">
        <v>43219</v>
      </c>
      <c r="AC607" s="44" t="s">
        <v>2990</v>
      </c>
      <c r="AD607" s="29" t="s">
        <v>49</v>
      </c>
      <c r="AE607" s="24" t="s">
        <v>1491</v>
      </c>
      <c r="AF607" s="25" t="s">
        <v>1267</v>
      </c>
      <c r="AG607" t="e">
        <f t="shared" si="10"/>
        <v>#REF!</v>
      </c>
      <c r="AI607" s="58"/>
    </row>
    <row r="608" spans="1:35" ht="15.75" customHeight="1">
      <c r="A608" s="6" t="s">
        <v>1443</v>
      </c>
      <c r="B608" s="5">
        <v>0</v>
      </c>
      <c r="C608" s="7">
        <v>0</v>
      </c>
      <c r="D608" s="7">
        <v>0</v>
      </c>
      <c r="E608" s="5">
        <v>0</v>
      </c>
      <c r="F608" s="5">
        <v>0</v>
      </c>
      <c r="G608" s="7">
        <v>0</v>
      </c>
      <c r="H608" s="5">
        <v>95</v>
      </c>
      <c r="I608" s="7">
        <v>12156.2</v>
      </c>
      <c r="J608" s="7">
        <v>0</v>
      </c>
      <c r="K608" s="5">
        <v>0</v>
      </c>
      <c r="L608" s="5">
        <v>0</v>
      </c>
      <c r="M608" s="5">
        <v>0</v>
      </c>
      <c r="N608" s="7">
        <v>0</v>
      </c>
      <c r="O608" s="7">
        <v>0</v>
      </c>
      <c r="P608" s="7">
        <v>90</v>
      </c>
      <c r="Q608" s="5">
        <v>0</v>
      </c>
      <c r="R608" s="5">
        <v>90</v>
      </c>
      <c r="S608" s="7">
        <v>12963</v>
      </c>
      <c r="T608" s="12">
        <v>43210</v>
      </c>
      <c r="U608" s="4">
        <v>2</v>
      </c>
      <c r="X608" s="45">
        <v>25119.200000000001</v>
      </c>
      <c r="Y608" s="14" t="s">
        <v>56</v>
      </c>
      <c r="Z608" s="14" t="s">
        <v>57</v>
      </c>
      <c r="AA608" s="14" t="s">
        <v>2988</v>
      </c>
      <c r="AB608" s="44">
        <v>43216</v>
      </c>
      <c r="AC608" s="44" t="s">
        <v>2989</v>
      </c>
      <c r="AD608" s="29" t="s">
        <v>49</v>
      </c>
      <c r="AE608" s="24" t="s">
        <v>1444</v>
      </c>
      <c r="AF608" s="25" t="s">
        <v>1268</v>
      </c>
      <c r="AG608" t="e">
        <f t="shared" si="10"/>
        <v>#REF!</v>
      </c>
      <c r="AI608" s="58"/>
    </row>
    <row r="609" spans="1:35" ht="15.75" customHeight="1">
      <c r="A609" s="6" t="s">
        <v>1445</v>
      </c>
      <c r="B609" s="5">
        <v>0</v>
      </c>
      <c r="C609" s="7">
        <v>0</v>
      </c>
      <c r="D609" s="7">
        <v>0</v>
      </c>
      <c r="E609" s="5">
        <v>0</v>
      </c>
      <c r="F609" s="5">
        <v>0</v>
      </c>
      <c r="G609" s="7">
        <v>0</v>
      </c>
      <c r="H609" s="5">
        <v>0</v>
      </c>
      <c r="I609" s="7">
        <v>0</v>
      </c>
      <c r="J609" s="7">
        <v>0</v>
      </c>
      <c r="K609" s="5">
        <v>0</v>
      </c>
      <c r="L609" s="5">
        <v>0</v>
      </c>
      <c r="M609" s="5">
        <v>0</v>
      </c>
      <c r="N609" s="7">
        <v>0</v>
      </c>
      <c r="O609" s="7">
        <v>0</v>
      </c>
      <c r="P609" s="7">
        <v>100</v>
      </c>
      <c r="Q609" s="5">
        <v>0</v>
      </c>
      <c r="R609" s="5">
        <v>100</v>
      </c>
      <c r="S609" s="7">
        <v>13610</v>
      </c>
      <c r="T609" s="12">
        <v>43210</v>
      </c>
      <c r="U609" s="4">
        <v>1</v>
      </c>
      <c r="X609" s="45">
        <v>13610</v>
      </c>
      <c r="Y609" s="14" t="s">
        <v>56</v>
      </c>
      <c r="Z609" s="14" t="s">
        <v>1355</v>
      </c>
      <c r="AA609" s="14" t="s">
        <v>2992</v>
      </c>
      <c r="AB609" s="44">
        <v>43215</v>
      </c>
      <c r="AC609" s="44" t="s">
        <v>2993</v>
      </c>
      <c r="AD609" s="29" t="s">
        <v>218</v>
      </c>
      <c r="AE609" s="24" t="s">
        <v>1446</v>
      </c>
      <c r="AF609" s="25" t="s">
        <v>1272</v>
      </c>
      <c r="AG609" t="e">
        <f t="shared" si="10"/>
        <v>#REF!</v>
      </c>
      <c r="AI609" s="58"/>
    </row>
    <row r="610" spans="1:35" ht="15.75" customHeight="1">
      <c r="A610" s="6" t="s">
        <v>1447</v>
      </c>
      <c r="B610" s="5">
        <v>0</v>
      </c>
      <c r="C610" s="7">
        <v>0</v>
      </c>
      <c r="D610" s="7">
        <v>0</v>
      </c>
      <c r="E610" s="5">
        <v>0</v>
      </c>
      <c r="F610" s="5">
        <v>0</v>
      </c>
      <c r="G610" s="7">
        <v>0</v>
      </c>
      <c r="H610" s="5">
        <v>0</v>
      </c>
      <c r="I610" s="7">
        <v>0</v>
      </c>
      <c r="J610" s="7">
        <v>0</v>
      </c>
      <c r="K610" s="5">
        <v>0</v>
      </c>
      <c r="L610" s="5">
        <v>0</v>
      </c>
      <c r="M610" s="5">
        <v>0</v>
      </c>
      <c r="N610" s="7">
        <v>0</v>
      </c>
      <c r="O610" s="7">
        <v>0</v>
      </c>
      <c r="P610" s="7">
        <v>114</v>
      </c>
      <c r="Q610" s="5">
        <v>0</v>
      </c>
      <c r="R610" s="5">
        <v>114</v>
      </c>
      <c r="S610" s="7">
        <v>16180.4</v>
      </c>
      <c r="T610" s="12">
        <v>43210</v>
      </c>
      <c r="U610" s="4">
        <v>1</v>
      </c>
      <c r="X610" s="45">
        <v>16180.4</v>
      </c>
      <c r="Y610" s="14" t="s">
        <v>1633</v>
      </c>
      <c r="Z610" s="14" t="s">
        <v>1355</v>
      </c>
      <c r="AA610" s="14" t="s">
        <v>2994</v>
      </c>
      <c r="AB610" s="44">
        <v>43220</v>
      </c>
      <c r="AC610" s="44" t="s">
        <v>2995</v>
      </c>
      <c r="AD610" s="29" t="s">
        <v>70</v>
      </c>
      <c r="AE610" s="24" t="s">
        <v>1448</v>
      </c>
      <c r="AF610" s="25" t="s">
        <v>1273</v>
      </c>
      <c r="AG610" t="e">
        <f t="shared" si="10"/>
        <v>#REF!</v>
      </c>
      <c r="AI610" s="58"/>
    </row>
    <row r="611" spans="1:35" ht="15.75" customHeight="1">
      <c r="A611" s="6" t="s">
        <v>1449</v>
      </c>
      <c r="B611" s="5">
        <v>330</v>
      </c>
      <c r="C611" s="7">
        <v>19465.800000000003</v>
      </c>
      <c r="D611" s="7">
        <v>0</v>
      </c>
      <c r="E611" s="5">
        <v>0</v>
      </c>
      <c r="F611" s="5">
        <v>0</v>
      </c>
      <c r="G611" s="7">
        <v>0</v>
      </c>
      <c r="H611" s="5">
        <v>225</v>
      </c>
      <c r="I611" s="7">
        <v>26976.25</v>
      </c>
      <c r="J611" s="7">
        <v>0</v>
      </c>
      <c r="K611" s="5">
        <v>0</v>
      </c>
      <c r="L611" s="5">
        <v>0</v>
      </c>
      <c r="M611" s="5">
        <v>0</v>
      </c>
      <c r="N611" s="7">
        <v>0</v>
      </c>
      <c r="O611" s="7">
        <v>0</v>
      </c>
      <c r="P611" s="7">
        <v>0</v>
      </c>
      <c r="Q611" s="5">
        <v>0</v>
      </c>
      <c r="R611" s="5">
        <v>0</v>
      </c>
      <c r="S611" s="7">
        <v>0</v>
      </c>
      <c r="T611" s="12">
        <v>43210</v>
      </c>
      <c r="U611" s="4">
        <v>3</v>
      </c>
      <c r="X611" s="45">
        <v>46442.05</v>
      </c>
      <c r="Y611" s="14" t="s">
        <v>54</v>
      </c>
      <c r="Z611" s="14" t="s">
        <v>1355</v>
      </c>
      <c r="AA611" s="14" t="s">
        <v>2983</v>
      </c>
      <c r="AB611" s="44">
        <v>43216</v>
      </c>
      <c r="AC611" s="44" t="s">
        <v>2978</v>
      </c>
      <c r="AD611" s="29" t="s">
        <v>49</v>
      </c>
      <c r="AE611" s="24" t="s">
        <v>1450</v>
      </c>
      <c r="AF611" s="25" t="s">
        <v>1265</v>
      </c>
      <c r="AG611" t="e">
        <f t="shared" si="10"/>
        <v>#REF!</v>
      </c>
      <c r="AI611" s="58"/>
    </row>
    <row r="612" spans="1:35" ht="15.75" customHeight="1">
      <c r="A612" s="6" t="s">
        <v>1452</v>
      </c>
      <c r="B612" s="5">
        <v>142</v>
      </c>
      <c r="C612" s="7">
        <v>13437.929999999998</v>
      </c>
      <c r="D612" s="7">
        <v>0</v>
      </c>
      <c r="E612" s="5">
        <v>0</v>
      </c>
      <c r="F612" s="5">
        <v>0</v>
      </c>
      <c r="G612" s="7">
        <v>0</v>
      </c>
      <c r="H612" s="5">
        <v>95</v>
      </c>
      <c r="I612" s="7">
        <v>13777.249999999998</v>
      </c>
      <c r="J612" s="7">
        <v>66</v>
      </c>
      <c r="K612" s="5">
        <v>0</v>
      </c>
      <c r="L612" s="5">
        <v>0</v>
      </c>
      <c r="M612" s="5">
        <v>66</v>
      </c>
      <c r="N612" s="7">
        <v>66</v>
      </c>
      <c r="O612" s="7">
        <v>8980.9000000000015</v>
      </c>
      <c r="P612" s="7">
        <v>186</v>
      </c>
      <c r="Q612" s="5">
        <v>0</v>
      </c>
      <c r="R612" s="5">
        <v>186</v>
      </c>
      <c r="S612" s="7">
        <v>28935.200000000001</v>
      </c>
      <c r="T612" s="12">
        <v>43210</v>
      </c>
      <c r="U612" s="4">
        <v>5</v>
      </c>
      <c r="X612" s="45">
        <v>65131.28</v>
      </c>
      <c r="Y612" s="14" t="s">
        <v>56</v>
      </c>
      <c r="Z612" s="14" t="s">
        <v>1355</v>
      </c>
      <c r="AA612" s="14" t="s">
        <v>2996</v>
      </c>
      <c r="AB612" s="44">
        <v>43223</v>
      </c>
      <c r="AC612" s="44" t="s">
        <v>2997</v>
      </c>
      <c r="AD612" s="29" t="s">
        <v>52</v>
      </c>
      <c r="AE612" s="24" t="s">
        <v>1453</v>
      </c>
      <c r="AF612" s="25" t="s">
        <v>1271</v>
      </c>
      <c r="AG612" t="e">
        <f t="shared" si="10"/>
        <v>#REF!</v>
      </c>
      <c r="AI612" s="58"/>
    </row>
    <row r="613" spans="1:35" ht="15.75" customHeight="1">
      <c r="A613" s="6" t="s">
        <v>1454</v>
      </c>
      <c r="B613" s="5">
        <v>450</v>
      </c>
      <c r="C613" s="7">
        <v>30657.600000000002</v>
      </c>
      <c r="D613" s="7">
        <v>0</v>
      </c>
      <c r="E613" s="5">
        <v>0</v>
      </c>
      <c r="F613" s="5">
        <v>0</v>
      </c>
      <c r="G613" s="7">
        <v>0</v>
      </c>
      <c r="H613" s="5">
        <v>751</v>
      </c>
      <c r="I613" s="7">
        <v>86947.65</v>
      </c>
      <c r="J613" s="7">
        <v>154</v>
      </c>
      <c r="K613" s="5">
        <v>0</v>
      </c>
      <c r="L613" s="5">
        <v>0</v>
      </c>
      <c r="M613" s="5">
        <v>154</v>
      </c>
      <c r="N613" s="7">
        <v>154</v>
      </c>
      <c r="O613" s="7">
        <v>28020.400000000001</v>
      </c>
      <c r="P613" s="7">
        <v>5</v>
      </c>
      <c r="Q613" s="5">
        <v>0</v>
      </c>
      <c r="R613" s="5">
        <v>5</v>
      </c>
      <c r="S613" s="7">
        <v>251.14999999999998</v>
      </c>
      <c r="T613" s="12">
        <v>43210</v>
      </c>
      <c r="U613" s="4">
        <v>12</v>
      </c>
      <c r="X613" s="45">
        <v>145876.79999999999</v>
      </c>
      <c r="Y613" s="14" t="s">
        <v>54</v>
      </c>
      <c r="Z613" s="14" t="s">
        <v>730</v>
      </c>
      <c r="AA613" s="14" t="s">
        <v>2998</v>
      </c>
      <c r="AB613" s="44">
        <v>43214</v>
      </c>
      <c r="AC613" s="44" t="s">
        <v>2999</v>
      </c>
      <c r="AD613" s="29" t="s">
        <v>51</v>
      </c>
      <c r="AE613" s="24" t="s">
        <v>1455</v>
      </c>
      <c r="AF613" s="25" t="s">
        <v>1270</v>
      </c>
      <c r="AG613" t="e">
        <f t="shared" si="10"/>
        <v>#REF!</v>
      </c>
      <c r="AI613" s="58"/>
    </row>
    <row r="614" spans="1:35" ht="15.75" customHeight="1">
      <c r="A614" s="6" t="s">
        <v>1456</v>
      </c>
      <c r="B614" s="5">
        <v>0</v>
      </c>
      <c r="C614" s="7">
        <v>0</v>
      </c>
      <c r="D614" s="7">
        <v>0</v>
      </c>
      <c r="E614" s="5">
        <v>0</v>
      </c>
      <c r="F614" s="5">
        <v>0</v>
      </c>
      <c r="G614" s="7">
        <v>0</v>
      </c>
      <c r="H614" s="5">
        <v>190</v>
      </c>
      <c r="I614" s="7">
        <v>24312.400000000001</v>
      </c>
      <c r="J614" s="7">
        <v>0</v>
      </c>
      <c r="K614" s="5">
        <v>0</v>
      </c>
      <c r="L614" s="5">
        <v>0</v>
      </c>
      <c r="M614" s="5">
        <v>0</v>
      </c>
      <c r="N614" s="7">
        <v>0</v>
      </c>
      <c r="O614" s="7">
        <v>0</v>
      </c>
      <c r="P614" s="7">
        <v>138</v>
      </c>
      <c r="Q614" s="5">
        <v>0</v>
      </c>
      <c r="R614" s="5">
        <v>138</v>
      </c>
      <c r="S614" s="7">
        <v>33769.199999999997</v>
      </c>
      <c r="T614" s="12">
        <v>43210</v>
      </c>
      <c r="U614" s="4">
        <v>4</v>
      </c>
      <c r="X614" s="45">
        <v>58081.599999999999</v>
      </c>
      <c r="Y614" s="14" t="s">
        <v>58</v>
      </c>
      <c r="Z614" s="14" t="s">
        <v>55</v>
      </c>
      <c r="AA614" s="14" t="s">
        <v>3000</v>
      </c>
      <c r="AB614" s="44">
        <v>43216</v>
      </c>
      <c r="AC614" s="44" t="s">
        <v>2989</v>
      </c>
      <c r="AD614" s="29" t="s">
        <v>51</v>
      </c>
      <c r="AE614" s="24" t="s">
        <v>1457</v>
      </c>
      <c r="AF614" s="25" t="s">
        <v>1270</v>
      </c>
      <c r="AG614" t="e">
        <f t="shared" si="10"/>
        <v>#REF!</v>
      </c>
      <c r="AI614" s="58"/>
    </row>
    <row r="615" spans="1:35" ht="15.75" customHeight="1">
      <c r="A615" s="6" t="s">
        <v>1458</v>
      </c>
      <c r="B615" s="5">
        <v>178</v>
      </c>
      <c r="C615" s="7">
        <v>23906.2</v>
      </c>
      <c r="D615" s="7">
        <v>0</v>
      </c>
      <c r="E615" s="5">
        <v>0</v>
      </c>
      <c r="F615" s="5">
        <v>0</v>
      </c>
      <c r="G615" s="7">
        <v>0</v>
      </c>
      <c r="H615" s="5">
        <v>265</v>
      </c>
      <c r="I615" s="7">
        <v>30844.999999999996</v>
      </c>
      <c r="J615" s="7">
        <v>43</v>
      </c>
      <c r="K615" s="5">
        <v>0</v>
      </c>
      <c r="L615" s="5">
        <v>0</v>
      </c>
      <c r="M615" s="5">
        <v>43</v>
      </c>
      <c r="N615" s="7">
        <v>43</v>
      </c>
      <c r="O615" s="7">
        <v>10746.6</v>
      </c>
      <c r="P615" s="7">
        <v>0</v>
      </c>
      <c r="Q615" s="5">
        <v>0</v>
      </c>
      <c r="R615" s="5">
        <v>0</v>
      </c>
      <c r="S615" s="7">
        <v>0</v>
      </c>
      <c r="T615" s="12">
        <v>43210</v>
      </c>
      <c r="U615" s="4">
        <v>5</v>
      </c>
      <c r="X615" s="45">
        <v>65497.799999999996</v>
      </c>
      <c r="Y615" s="14" t="s">
        <v>56</v>
      </c>
      <c r="Z615" s="48" t="s">
        <v>55</v>
      </c>
      <c r="AA615" s="14" t="s">
        <v>2981</v>
      </c>
      <c r="AB615" s="44">
        <v>43215</v>
      </c>
      <c r="AC615" s="44" t="s">
        <v>2982</v>
      </c>
      <c r="AD615" s="29" t="s">
        <v>51</v>
      </c>
      <c r="AE615" s="24" t="s">
        <v>1459</v>
      </c>
      <c r="AF615" s="25" t="s">
        <v>1270</v>
      </c>
      <c r="AG615" t="e">
        <f t="shared" si="10"/>
        <v>#REF!</v>
      </c>
      <c r="AI615" s="58"/>
    </row>
    <row r="616" spans="1:35" ht="15.75" customHeight="1">
      <c r="A616" s="6" t="s">
        <v>1460</v>
      </c>
      <c r="B616" s="5">
        <v>150</v>
      </c>
      <c r="C616" s="7">
        <v>22355.7</v>
      </c>
      <c r="D616" s="7">
        <v>0</v>
      </c>
      <c r="E616" s="5">
        <v>0</v>
      </c>
      <c r="F616" s="5">
        <v>0</v>
      </c>
      <c r="G616" s="7">
        <v>0</v>
      </c>
      <c r="H616" s="5">
        <v>0</v>
      </c>
      <c r="I616" s="7">
        <v>0</v>
      </c>
      <c r="J616" s="7">
        <v>186</v>
      </c>
      <c r="K616" s="5">
        <v>0</v>
      </c>
      <c r="L616" s="5">
        <v>0</v>
      </c>
      <c r="M616" s="5">
        <v>186</v>
      </c>
      <c r="N616" s="7">
        <v>186</v>
      </c>
      <c r="O616" s="7">
        <v>28528.799999999999</v>
      </c>
      <c r="P616" s="7">
        <v>0</v>
      </c>
      <c r="Q616" s="5">
        <v>0</v>
      </c>
      <c r="R616" s="5">
        <v>0</v>
      </c>
      <c r="S616" s="7">
        <v>0</v>
      </c>
      <c r="T616" s="12">
        <v>43210</v>
      </c>
      <c r="U616" s="4">
        <v>5</v>
      </c>
      <c r="X616" s="45">
        <v>50884.5</v>
      </c>
      <c r="Y616" s="14" t="s">
        <v>54</v>
      </c>
      <c r="Z616" s="14" t="s">
        <v>59</v>
      </c>
      <c r="AA616" s="14" t="s">
        <v>2977</v>
      </c>
      <c r="AB616" s="44">
        <v>43216</v>
      </c>
      <c r="AC616" s="44" t="s">
        <v>2978</v>
      </c>
      <c r="AD616" s="29" t="s">
        <v>50</v>
      </c>
      <c r="AE616" s="53" t="s">
        <v>1461</v>
      </c>
      <c r="AF616" s="25" t="s">
        <v>1269</v>
      </c>
      <c r="AG616" t="e">
        <f t="shared" si="10"/>
        <v>#REF!</v>
      </c>
      <c r="AI616" s="58"/>
    </row>
    <row r="617" spans="1:35" ht="15.75" customHeight="1">
      <c r="A617" s="6" t="s">
        <v>1462</v>
      </c>
      <c r="B617" s="5">
        <v>236</v>
      </c>
      <c r="C617" s="7">
        <v>35072.699999999997</v>
      </c>
      <c r="D617" s="7">
        <v>0</v>
      </c>
      <c r="E617" s="5">
        <v>0</v>
      </c>
      <c r="F617" s="5">
        <v>0</v>
      </c>
      <c r="G617" s="7">
        <v>0</v>
      </c>
      <c r="H617" s="5">
        <v>0</v>
      </c>
      <c r="I617" s="7">
        <v>0</v>
      </c>
      <c r="J617" s="7">
        <v>147</v>
      </c>
      <c r="K617" s="5">
        <v>0</v>
      </c>
      <c r="L617" s="5">
        <v>0</v>
      </c>
      <c r="M617" s="5">
        <v>147</v>
      </c>
      <c r="N617" s="7">
        <v>147</v>
      </c>
      <c r="O617" s="7">
        <v>28403.1</v>
      </c>
      <c r="P617" s="7">
        <v>0</v>
      </c>
      <c r="Q617" s="5">
        <v>0</v>
      </c>
      <c r="R617" s="5">
        <v>0</v>
      </c>
      <c r="S617" s="7">
        <v>0</v>
      </c>
      <c r="T617" s="12">
        <v>43210</v>
      </c>
      <c r="U617" s="4">
        <v>6</v>
      </c>
      <c r="X617" s="45">
        <v>63475.799999999996</v>
      </c>
      <c r="Y617" s="14" t="s">
        <v>54</v>
      </c>
      <c r="Z617" s="14" t="s">
        <v>59</v>
      </c>
      <c r="AA617" s="14" t="s">
        <v>2991</v>
      </c>
      <c r="AB617" s="44">
        <v>43216</v>
      </c>
      <c r="AC617" s="44" t="s">
        <v>2978</v>
      </c>
      <c r="AD617" s="29" t="s">
        <v>50</v>
      </c>
      <c r="AE617" s="24" t="s">
        <v>1463</v>
      </c>
      <c r="AF617" s="25" t="s">
        <v>1269</v>
      </c>
      <c r="AG617" t="e">
        <f t="shared" si="10"/>
        <v>#REF!</v>
      </c>
      <c r="AI617" s="58"/>
    </row>
    <row r="618" spans="1:35" ht="15.75" customHeight="1">
      <c r="A618" s="6" t="s">
        <v>1464</v>
      </c>
      <c r="B618" s="5">
        <v>118</v>
      </c>
      <c r="C618" s="7">
        <v>12907.400000000001</v>
      </c>
      <c r="D618" s="7">
        <v>0</v>
      </c>
      <c r="E618" s="5">
        <v>0</v>
      </c>
      <c r="F618" s="5">
        <v>0</v>
      </c>
      <c r="G618" s="7">
        <v>0</v>
      </c>
      <c r="H618" s="5">
        <v>0</v>
      </c>
      <c r="I618" s="7">
        <v>0</v>
      </c>
      <c r="J618" s="7">
        <v>37</v>
      </c>
      <c r="K618" s="5">
        <v>0</v>
      </c>
      <c r="L618" s="5">
        <v>0</v>
      </c>
      <c r="M618" s="5">
        <v>37</v>
      </c>
      <c r="N618" s="7">
        <v>37</v>
      </c>
      <c r="O618" s="7">
        <v>6164.2000000000007</v>
      </c>
      <c r="P618" s="7">
        <v>300</v>
      </c>
      <c r="Q618" s="5">
        <v>0</v>
      </c>
      <c r="R618" s="5">
        <v>300</v>
      </c>
      <c r="S618" s="7">
        <v>41690.200000000004</v>
      </c>
      <c r="T618" s="12">
        <v>43210</v>
      </c>
      <c r="U618" s="4">
        <v>5</v>
      </c>
      <c r="X618" s="45">
        <v>60761.8</v>
      </c>
      <c r="Y618" s="14" t="s">
        <v>1636</v>
      </c>
      <c r="Z618" s="14" t="s">
        <v>57</v>
      </c>
      <c r="AA618" s="14" t="s">
        <v>3001</v>
      </c>
      <c r="AB618" s="44">
        <v>43215</v>
      </c>
      <c r="AC618" s="44" t="s">
        <v>3002</v>
      </c>
      <c r="AD618" s="29" t="s">
        <v>49</v>
      </c>
      <c r="AE618" s="24" t="s">
        <v>1465</v>
      </c>
      <c r="AF618" s="25" t="s">
        <v>1266</v>
      </c>
      <c r="AG618" t="e">
        <f t="shared" si="10"/>
        <v>#REF!</v>
      </c>
      <c r="AI618" s="58"/>
    </row>
    <row r="619" spans="1:35" ht="15.75" customHeight="1">
      <c r="A619" s="6" t="s">
        <v>1466</v>
      </c>
      <c r="B619" s="5">
        <v>92</v>
      </c>
      <c r="C619" s="7">
        <v>10791.099999999999</v>
      </c>
      <c r="D619" s="7">
        <v>0</v>
      </c>
      <c r="E619" s="5">
        <v>0</v>
      </c>
      <c r="F619" s="5">
        <v>0</v>
      </c>
      <c r="G619" s="7">
        <v>0</v>
      </c>
      <c r="H619" s="5">
        <v>115</v>
      </c>
      <c r="I619" s="7">
        <v>14892.400000000001</v>
      </c>
      <c r="J619" s="7">
        <v>47</v>
      </c>
      <c r="K619" s="5">
        <v>0</v>
      </c>
      <c r="L619" s="5">
        <v>0</v>
      </c>
      <c r="M619" s="5">
        <v>47</v>
      </c>
      <c r="N619" s="7">
        <v>47</v>
      </c>
      <c r="O619" s="7">
        <v>9281.4</v>
      </c>
      <c r="P619" s="7">
        <v>0</v>
      </c>
      <c r="Q619" s="5">
        <v>0</v>
      </c>
      <c r="R619" s="5">
        <v>0</v>
      </c>
      <c r="S619" s="7">
        <v>0</v>
      </c>
      <c r="T619" s="12">
        <v>43211</v>
      </c>
      <c r="U619" s="4">
        <v>3</v>
      </c>
      <c r="X619" s="45">
        <v>34964.9</v>
      </c>
      <c r="Y619" s="14" t="s">
        <v>54</v>
      </c>
      <c r="Z619" s="14" t="s">
        <v>1281</v>
      </c>
      <c r="AA619" s="14" t="s">
        <v>3003</v>
      </c>
      <c r="AB619" s="44">
        <v>43214</v>
      </c>
      <c r="AC619" s="44" t="s">
        <v>2999</v>
      </c>
      <c r="AD619" s="29" t="s">
        <v>52</v>
      </c>
      <c r="AE619" s="24" t="s">
        <v>1467</v>
      </c>
      <c r="AF619" s="25" t="s">
        <v>1271</v>
      </c>
      <c r="AG619" t="e">
        <f t="shared" si="10"/>
        <v>#REF!</v>
      </c>
      <c r="AI619" s="58"/>
    </row>
    <row r="620" spans="1:35" ht="15.75" customHeight="1">
      <c r="A620" s="6" t="s">
        <v>1468</v>
      </c>
      <c r="B620" s="5">
        <v>0</v>
      </c>
      <c r="C620" s="7">
        <v>0</v>
      </c>
      <c r="D620" s="7">
        <v>0</v>
      </c>
      <c r="E620" s="5">
        <v>0</v>
      </c>
      <c r="F620" s="5">
        <v>0</v>
      </c>
      <c r="G620" s="7">
        <v>0</v>
      </c>
      <c r="H620" s="5">
        <v>128</v>
      </c>
      <c r="I620" s="7">
        <v>11757.279999999999</v>
      </c>
      <c r="J620" s="7">
        <v>0</v>
      </c>
      <c r="K620" s="5">
        <v>0</v>
      </c>
      <c r="L620" s="5">
        <v>0</v>
      </c>
      <c r="N620" s="7">
        <v>0</v>
      </c>
      <c r="O620" s="7">
        <v>0</v>
      </c>
      <c r="P620" s="7">
        <v>0</v>
      </c>
      <c r="Q620" s="5">
        <v>0</v>
      </c>
      <c r="R620" s="5">
        <v>0</v>
      </c>
      <c r="S620" s="7">
        <v>0</v>
      </c>
      <c r="T620" s="12">
        <v>43211</v>
      </c>
      <c r="U620" s="4">
        <v>1</v>
      </c>
      <c r="X620" s="45">
        <v>11757.279999999999</v>
      </c>
      <c r="Y620" s="14" t="s">
        <v>85</v>
      </c>
      <c r="Z620" s="48" t="s">
        <v>59</v>
      </c>
      <c r="AA620" s="14">
        <v>350810037681</v>
      </c>
      <c r="AB620" s="44">
        <v>43212</v>
      </c>
      <c r="AC620" s="44" t="s">
        <v>2957</v>
      </c>
      <c r="AD620" s="29" t="s">
        <v>49</v>
      </c>
      <c r="AE620" s="24" t="s">
        <v>1469</v>
      </c>
      <c r="AF620" s="25" t="s">
        <v>1265</v>
      </c>
      <c r="AG620" t="e">
        <f t="shared" si="10"/>
        <v>#REF!</v>
      </c>
      <c r="AI620" s="58"/>
    </row>
    <row r="621" spans="1:35" ht="15.75" customHeight="1">
      <c r="A621" s="6" t="s">
        <v>1451</v>
      </c>
      <c r="B621" s="5">
        <v>0</v>
      </c>
      <c r="C621" s="7">
        <v>0</v>
      </c>
      <c r="D621" s="7">
        <v>70</v>
      </c>
      <c r="E621" s="5">
        <v>70</v>
      </c>
      <c r="F621" s="5">
        <v>0</v>
      </c>
      <c r="G621" s="5">
        <v>3101</v>
      </c>
      <c r="H621" s="5">
        <v>1425</v>
      </c>
      <c r="I621" s="7">
        <v>176718.51</v>
      </c>
      <c r="J621" s="7">
        <v>0</v>
      </c>
      <c r="K621" s="5">
        <v>0</v>
      </c>
      <c r="L621" s="5">
        <v>0</v>
      </c>
      <c r="M621" s="5">
        <v>0</v>
      </c>
      <c r="N621" s="7">
        <v>0</v>
      </c>
      <c r="O621" s="7">
        <v>0</v>
      </c>
      <c r="P621" s="7">
        <v>0</v>
      </c>
      <c r="Q621" s="5">
        <v>0</v>
      </c>
      <c r="R621" s="5">
        <v>0</v>
      </c>
      <c r="S621" s="7">
        <v>0</v>
      </c>
      <c r="T621" s="12">
        <v>43211</v>
      </c>
      <c r="U621" s="4">
        <v>13</v>
      </c>
      <c r="X621" s="45">
        <v>179819.51</v>
      </c>
      <c r="Y621" s="14" t="s">
        <v>56</v>
      </c>
      <c r="Z621" s="14" t="s">
        <v>55</v>
      </c>
      <c r="AA621" s="14" t="s">
        <v>2988</v>
      </c>
      <c r="AB621" s="44">
        <v>43216</v>
      </c>
      <c r="AC621" s="44" t="s">
        <v>2989</v>
      </c>
      <c r="AD621" s="29" t="s">
        <v>49</v>
      </c>
      <c r="AE621" s="24" t="s">
        <v>1550</v>
      </c>
      <c r="AF621" s="25" t="s">
        <v>1265</v>
      </c>
      <c r="AG621" t="e">
        <f t="shared" si="10"/>
        <v>#REF!</v>
      </c>
      <c r="AI621" s="58"/>
    </row>
    <row r="622" spans="1:35" ht="15.75" customHeight="1">
      <c r="A622" s="6" t="s">
        <v>1493</v>
      </c>
      <c r="B622" s="5">
        <v>0</v>
      </c>
      <c r="C622" s="7">
        <v>0</v>
      </c>
      <c r="D622" s="7">
        <v>0</v>
      </c>
      <c r="E622" s="5">
        <v>0</v>
      </c>
      <c r="F622" s="5">
        <v>0</v>
      </c>
      <c r="G622" s="7">
        <v>0</v>
      </c>
      <c r="H622" s="5">
        <v>0</v>
      </c>
      <c r="I622" s="7">
        <v>0</v>
      </c>
      <c r="J622" s="7">
        <v>0</v>
      </c>
      <c r="K622" s="5">
        <v>0</v>
      </c>
      <c r="L622" s="5">
        <v>0</v>
      </c>
      <c r="M622" s="5">
        <v>0</v>
      </c>
      <c r="N622" s="7">
        <v>0</v>
      </c>
      <c r="O622" s="7">
        <v>0</v>
      </c>
      <c r="P622" s="7">
        <v>649</v>
      </c>
      <c r="Q622" s="5">
        <v>0</v>
      </c>
      <c r="R622" s="5">
        <v>649</v>
      </c>
      <c r="S622" s="7">
        <v>50333.5</v>
      </c>
      <c r="T622" s="12">
        <v>43211</v>
      </c>
      <c r="U622" s="4">
        <v>2</v>
      </c>
      <c r="X622" s="45">
        <v>50333.5</v>
      </c>
      <c r="Y622" s="14" t="s">
        <v>54</v>
      </c>
      <c r="Z622" s="14" t="s">
        <v>59</v>
      </c>
      <c r="AA622" s="14" t="s">
        <v>3004</v>
      </c>
      <c r="AB622" s="44">
        <v>43223</v>
      </c>
      <c r="AC622" s="44" t="s">
        <v>3005</v>
      </c>
      <c r="AD622" s="29" t="s">
        <v>49</v>
      </c>
      <c r="AE622" s="24" t="s">
        <v>1551</v>
      </c>
      <c r="AF622" s="25" t="s">
        <v>1265</v>
      </c>
      <c r="AG622" t="e">
        <f t="shared" si="10"/>
        <v>#REF!</v>
      </c>
      <c r="AI622" s="58"/>
    </row>
    <row r="623" spans="1:35" ht="15.75" customHeight="1">
      <c r="A623" s="6" t="s">
        <v>1494</v>
      </c>
      <c r="B623" s="5">
        <v>0</v>
      </c>
      <c r="C623" s="7">
        <v>0</v>
      </c>
      <c r="D623" s="7">
        <v>0</v>
      </c>
      <c r="E623" s="5">
        <v>0</v>
      </c>
      <c r="F623" s="5">
        <v>0</v>
      </c>
      <c r="G623" s="7">
        <v>0</v>
      </c>
      <c r="H623" s="5">
        <v>0</v>
      </c>
      <c r="I623" s="7">
        <v>0</v>
      </c>
      <c r="J623" s="7">
        <v>38</v>
      </c>
      <c r="K623" s="5">
        <v>0</v>
      </c>
      <c r="L623" s="5">
        <v>0</v>
      </c>
      <c r="M623" s="5">
        <v>38</v>
      </c>
      <c r="N623" s="7">
        <v>38</v>
      </c>
      <c r="O623" s="7">
        <v>6430.4000000000005</v>
      </c>
      <c r="P623" s="7">
        <v>0</v>
      </c>
      <c r="Q623" s="5">
        <v>0</v>
      </c>
      <c r="R623" s="5">
        <v>0</v>
      </c>
      <c r="S623" s="7">
        <v>0</v>
      </c>
      <c r="T623" s="12">
        <v>43211</v>
      </c>
      <c r="U623" s="4">
        <v>1</v>
      </c>
      <c r="X623" s="45">
        <v>6430.4000000000005</v>
      </c>
      <c r="Y623" s="14" t="s">
        <v>56</v>
      </c>
      <c r="Z623" s="14" t="s">
        <v>1355</v>
      </c>
      <c r="AA623" s="14" t="s">
        <v>3006</v>
      </c>
      <c r="AB623" s="44">
        <v>43216</v>
      </c>
      <c r="AC623" s="44" t="s">
        <v>2989</v>
      </c>
      <c r="AD623" s="29" t="s">
        <v>49</v>
      </c>
      <c r="AE623" s="24" t="s">
        <v>1552</v>
      </c>
      <c r="AF623" s="25" t="s">
        <v>1267</v>
      </c>
      <c r="AG623" t="e">
        <f t="shared" si="10"/>
        <v>#REF!</v>
      </c>
      <c r="AI623" s="58"/>
    </row>
    <row r="624" spans="1:35" ht="15.75" customHeight="1">
      <c r="A624" s="6" t="s">
        <v>1495</v>
      </c>
      <c r="B624" s="5">
        <v>225</v>
      </c>
      <c r="C624" s="7">
        <v>22848.5</v>
      </c>
      <c r="D624" s="7">
        <v>0</v>
      </c>
      <c r="E624" s="5">
        <v>0</v>
      </c>
      <c r="F624" s="5">
        <v>0</v>
      </c>
      <c r="G624" s="7">
        <v>0</v>
      </c>
      <c r="H624" s="5">
        <v>95</v>
      </c>
      <c r="I624" s="7">
        <v>12281.6</v>
      </c>
      <c r="J624" s="7">
        <v>95</v>
      </c>
      <c r="K624" s="5">
        <v>0</v>
      </c>
      <c r="L624" s="5">
        <v>0</v>
      </c>
      <c r="M624" s="5">
        <v>95</v>
      </c>
      <c r="N624" s="7">
        <v>95</v>
      </c>
      <c r="O624" s="7">
        <v>17054.599999999999</v>
      </c>
      <c r="P624" s="7">
        <v>0</v>
      </c>
      <c r="Q624" s="5">
        <v>0</v>
      </c>
      <c r="R624" s="5">
        <v>0</v>
      </c>
      <c r="S624" s="7">
        <v>0</v>
      </c>
      <c r="T624" s="12">
        <v>43211</v>
      </c>
      <c r="U624" s="4">
        <v>5</v>
      </c>
      <c r="X624" s="45">
        <v>52184.7</v>
      </c>
      <c r="Y624" s="14" t="s">
        <v>56</v>
      </c>
      <c r="Z624" s="14" t="s">
        <v>1281</v>
      </c>
      <c r="AA624" s="14" t="s">
        <v>2996</v>
      </c>
      <c r="AB624" s="44">
        <v>43223</v>
      </c>
      <c r="AC624" s="44" t="s">
        <v>2997</v>
      </c>
      <c r="AD624" s="29" t="s">
        <v>52</v>
      </c>
      <c r="AE624" s="53" t="s">
        <v>1553</v>
      </c>
      <c r="AF624" s="25" t="s">
        <v>1271</v>
      </c>
      <c r="AG624" t="e">
        <f t="shared" si="10"/>
        <v>#REF!</v>
      </c>
      <c r="AI624" s="58"/>
    </row>
    <row r="625" spans="1:35" ht="15.75" customHeight="1">
      <c r="A625" s="6" t="s">
        <v>1496</v>
      </c>
      <c r="B625" s="5">
        <v>623</v>
      </c>
      <c r="C625" s="7">
        <v>77814.919999999984</v>
      </c>
      <c r="D625" s="7">
        <v>0</v>
      </c>
      <c r="E625" s="5">
        <v>0</v>
      </c>
      <c r="F625" s="5">
        <v>0</v>
      </c>
      <c r="G625" s="7">
        <v>0</v>
      </c>
      <c r="H625" s="5">
        <v>100</v>
      </c>
      <c r="I625" s="7">
        <v>14056.699999999999</v>
      </c>
      <c r="J625" s="7">
        <v>69</v>
      </c>
      <c r="K625" s="5">
        <v>0</v>
      </c>
      <c r="L625" s="5">
        <v>0</v>
      </c>
      <c r="M625" s="5">
        <v>69</v>
      </c>
      <c r="N625" s="7">
        <v>69</v>
      </c>
      <c r="O625" s="7">
        <v>10708.4</v>
      </c>
      <c r="P625" s="7">
        <v>0</v>
      </c>
      <c r="Q625" s="5">
        <v>0</v>
      </c>
      <c r="R625" s="5">
        <v>0</v>
      </c>
      <c r="S625" s="7">
        <v>0</v>
      </c>
      <c r="T625" s="12">
        <v>43211</v>
      </c>
      <c r="U625" s="4">
        <v>8</v>
      </c>
      <c r="X625" s="45">
        <v>102580.01999999997</v>
      </c>
      <c r="Y625" s="14" t="s">
        <v>56</v>
      </c>
      <c r="Z625" s="14" t="s">
        <v>730</v>
      </c>
      <c r="AA625" s="14" t="s">
        <v>2981</v>
      </c>
      <c r="AB625" s="44">
        <v>43215</v>
      </c>
      <c r="AC625" s="44" t="s">
        <v>2982</v>
      </c>
      <c r="AD625" s="29" t="s">
        <v>51</v>
      </c>
      <c r="AE625" s="24" t="s">
        <v>1554</v>
      </c>
      <c r="AF625" s="25" t="s">
        <v>1270</v>
      </c>
      <c r="AG625" t="e">
        <f t="shared" si="10"/>
        <v>#REF!</v>
      </c>
      <c r="AI625" s="58"/>
    </row>
    <row r="626" spans="1:35" ht="15.75" customHeight="1">
      <c r="A626" s="6" t="s">
        <v>1497</v>
      </c>
      <c r="B626" s="5">
        <v>260</v>
      </c>
      <c r="C626" s="7">
        <v>34077.800000000003</v>
      </c>
      <c r="D626" s="7">
        <v>0</v>
      </c>
      <c r="E626" s="5">
        <v>0</v>
      </c>
      <c r="F626" s="5">
        <v>0</v>
      </c>
      <c r="G626" s="7">
        <v>0</v>
      </c>
      <c r="H626" s="5">
        <v>0</v>
      </c>
      <c r="I626" s="7">
        <v>0</v>
      </c>
      <c r="J626" s="7">
        <v>65</v>
      </c>
      <c r="K626" s="5">
        <v>0</v>
      </c>
      <c r="L626" s="5">
        <v>0</v>
      </c>
      <c r="M626" s="5">
        <v>65</v>
      </c>
      <c r="N626" s="7">
        <v>65</v>
      </c>
      <c r="O626" s="7">
        <v>9603.5</v>
      </c>
      <c r="P626" s="7">
        <v>105</v>
      </c>
      <c r="Q626" s="5">
        <v>0</v>
      </c>
      <c r="R626" s="5">
        <v>105</v>
      </c>
      <c r="S626" s="7">
        <v>19423.5</v>
      </c>
      <c r="T626" s="12">
        <v>43211</v>
      </c>
      <c r="U626" s="4">
        <v>5</v>
      </c>
      <c r="X626" s="45">
        <v>63104.800000000003</v>
      </c>
      <c r="Y626" s="14" t="s">
        <v>54</v>
      </c>
      <c r="Z626" s="14" t="s">
        <v>57</v>
      </c>
      <c r="AA626" s="14" t="s">
        <v>2991</v>
      </c>
      <c r="AB626" s="44">
        <v>43216</v>
      </c>
      <c r="AC626" s="44" t="s">
        <v>2978</v>
      </c>
      <c r="AD626" s="29" t="s">
        <v>50</v>
      </c>
      <c r="AE626" s="24" t="s">
        <v>1555</v>
      </c>
      <c r="AF626" s="25" t="s">
        <v>1269</v>
      </c>
      <c r="AG626" t="e">
        <f t="shared" si="10"/>
        <v>#REF!</v>
      </c>
      <c r="AI626" s="58"/>
    </row>
    <row r="627" spans="1:35" ht="15.75" customHeight="1">
      <c r="A627" s="6" t="s">
        <v>1498</v>
      </c>
      <c r="B627" s="5">
        <v>0</v>
      </c>
      <c r="C627" s="7">
        <v>0</v>
      </c>
      <c r="D627" s="7">
        <v>0</v>
      </c>
      <c r="E627" s="5">
        <v>0</v>
      </c>
      <c r="F627" s="5">
        <v>0</v>
      </c>
      <c r="G627" s="7">
        <v>0</v>
      </c>
      <c r="H627" s="5">
        <v>620</v>
      </c>
      <c r="I627" s="7">
        <v>77479.700000000012</v>
      </c>
      <c r="J627" s="7">
        <v>0</v>
      </c>
      <c r="K627" s="5">
        <v>0</v>
      </c>
      <c r="L627" s="5">
        <v>0</v>
      </c>
      <c r="M627" s="5">
        <v>0</v>
      </c>
      <c r="N627" s="7">
        <v>0</v>
      </c>
      <c r="O627" s="7">
        <v>0</v>
      </c>
      <c r="P627" s="7">
        <v>0</v>
      </c>
      <c r="Q627" s="5">
        <v>0</v>
      </c>
      <c r="R627" s="5">
        <v>0</v>
      </c>
      <c r="S627" s="7">
        <v>0</v>
      </c>
      <c r="T627" s="12">
        <v>43213</v>
      </c>
      <c r="U627" s="4">
        <v>6</v>
      </c>
      <c r="X627" s="45">
        <v>77479.700000000012</v>
      </c>
      <c r="Y627" s="14" t="s">
        <v>56</v>
      </c>
      <c r="Z627" s="14" t="s">
        <v>730</v>
      </c>
      <c r="AA627" s="14" t="s">
        <v>3007</v>
      </c>
      <c r="AB627" s="44">
        <v>43222</v>
      </c>
      <c r="AC627" s="44" t="s">
        <v>3008</v>
      </c>
      <c r="AD627" s="29" t="s">
        <v>49</v>
      </c>
      <c r="AE627" s="24" t="s">
        <v>1556</v>
      </c>
      <c r="AF627" s="25" t="s">
        <v>1265</v>
      </c>
      <c r="AG627" t="e">
        <f t="shared" si="10"/>
        <v>#REF!</v>
      </c>
      <c r="AI627" s="58"/>
    </row>
    <row r="628" spans="1:35" ht="15.75" customHeight="1">
      <c r="A628" s="6" t="s">
        <v>1499</v>
      </c>
      <c r="B628" s="5">
        <v>346</v>
      </c>
      <c r="C628" s="7">
        <v>34998.87000000001</v>
      </c>
      <c r="D628" s="7">
        <v>10</v>
      </c>
      <c r="E628" s="5">
        <v>10</v>
      </c>
      <c r="F628" s="5">
        <v>0</v>
      </c>
      <c r="G628" s="7">
        <v>446</v>
      </c>
      <c r="H628" s="5">
        <v>0</v>
      </c>
      <c r="I628" s="7">
        <v>0</v>
      </c>
      <c r="J628" s="7">
        <v>58</v>
      </c>
      <c r="K628" s="5">
        <v>0</v>
      </c>
      <c r="L628" s="5">
        <v>0</v>
      </c>
      <c r="M628" s="5">
        <v>58</v>
      </c>
      <c r="N628" s="7">
        <v>58</v>
      </c>
      <c r="O628" s="7">
        <v>9693.9</v>
      </c>
      <c r="P628" s="7">
        <v>0</v>
      </c>
      <c r="Q628" s="5">
        <v>0</v>
      </c>
      <c r="R628" s="5">
        <v>0</v>
      </c>
      <c r="S628" s="7">
        <v>0</v>
      </c>
      <c r="T628" s="12">
        <v>43213</v>
      </c>
      <c r="U628" s="4">
        <v>4</v>
      </c>
      <c r="X628" s="45">
        <v>45138.770000000011</v>
      </c>
      <c r="Y628" s="14" t="s">
        <v>56</v>
      </c>
      <c r="Z628" s="14" t="s">
        <v>1281</v>
      </c>
      <c r="AA628" s="14" t="s">
        <v>2996</v>
      </c>
      <c r="AB628" s="44">
        <v>43223</v>
      </c>
      <c r="AC628" s="44" t="s">
        <v>2997</v>
      </c>
      <c r="AD628" s="29" t="s">
        <v>52</v>
      </c>
      <c r="AE628" s="24" t="s">
        <v>1557</v>
      </c>
      <c r="AF628" s="25" t="s">
        <v>1271</v>
      </c>
      <c r="AG628" t="e">
        <f t="shared" si="10"/>
        <v>#REF!</v>
      </c>
      <c r="AI628" s="58"/>
    </row>
    <row r="629" spans="1:35" ht="15.75" customHeight="1">
      <c r="A629" s="6" t="s">
        <v>1500</v>
      </c>
      <c r="B629" s="5">
        <v>94</v>
      </c>
      <c r="C629" s="7">
        <v>11440.850000000002</v>
      </c>
      <c r="D629" s="7">
        <v>0</v>
      </c>
      <c r="E629" s="5">
        <v>0</v>
      </c>
      <c r="F629" s="5">
        <v>0</v>
      </c>
      <c r="G629" s="7">
        <v>0</v>
      </c>
      <c r="H629" s="5">
        <v>560</v>
      </c>
      <c r="I629" s="7">
        <v>62930.399999999994</v>
      </c>
      <c r="J629" s="7">
        <v>226</v>
      </c>
      <c r="K629" s="5">
        <v>0</v>
      </c>
      <c r="L629" s="5">
        <v>0</v>
      </c>
      <c r="M629" s="5">
        <v>226</v>
      </c>
      <c r="N629" s="7">
        <v>226</v>
      </c>
      <c r="O629" s="7">
        <v>35580.899999999994</v>
      </c>
      <c r="P629" s="7">
        <v>830</v>
      </c>
      <c r="Q629" s="5">
        <v>0</v>
      </c>
      <c r="R629" s="5">
        <v>830</v>
      </c>
      <c r="S629" s="7">
        <v>80947.3</v>
      </c>
      <c r="T629" s="12">
        <v>43213</v>
      </c>
      <c r="U629" s="4">
        <v>14</v>
      </c>
      <c r="X629" s="45">
        <v>190899.45</v>
      </c>
      <c r="Y629" s="14" t="s">
        <v>56</v>
      </c>
      <c r="Z629" s="14" t="s">
        <v>55</v>
      </c>
      <c r="AA629" s="14" t="s">
        <v>3009</v>
      </c>
      <c r="AB629" s="44">
        <v>43222</v>
      </c>
      <c r="AC629" s="44" t="s">
        <v>3008</v>
      </c>
      <c r="AD629" s="29" t="s">
        <v>51</v>
      </c>
      <c r="AE629" s="24" t="s">
        <v>1558</v>
      </c>
      <c r="AF629" s="25" t="s">
        <v>1270</v>
      </c>
      <c r="AG629" t="e">
        <f t="shared" ref="AG629:AG660" si="11">+VLOOKUP(AF629,AH:AH,2,0)</f>
        <v>#REF!</v>
      </c>
      <c r="AI629" s="58"/>
    </row>
    <row r="630" spans="1:35" ht="23.25" customHeight="1">
      <c r="A630" s="6" t="s">
        <v>1501</v>
      </c>
      <c r="B630" s="5">
        <v>653</v>
      </c>
      <c r="C630" s="7">
        <v>64150.840000000018</v>
      </c>
      <c r="D630" s="7">
        <v>0</v>
      </c>
      <c r="E630" s="5">
        <v>0</v>
      </c>
      <c r="F630" s="5">
        <v>0</v>
      </c>
      <c r="G630" s="7">
        <v>0</v>
      </c>
      <c r="H630" s="5">
        <v>45</v>
      </c>
      <c r="I630" s="7">
        <v>1828.5</v>
      </c>
      <c r="J630" s="7">
        <v>288</v>
      </c>
      <c r="K630" s="5">
        <v>0</v>
      </c>
      <c r="L630" s="5">
        <v>0</v>
      </c>
      <c r="M630" s="5">
        <v>288</v>
      </c>
      <c r="N630" s="7">
        <v>288</v>
      </c>
      <c r="O630" s="7">
        <v>48288.600000000006</v>
      </c>
      <c r="P630" s="7">
        <v>174</v>
      </c>
      <c r="Q630" s="5">
        <v>0</v>
      </c>
      <c r="R630" s="5">
        <v>174</v>
      </c>
      <c r="S630" s="7">
        <v>32560.95</v>
      </c>
      <c r="T630" s="12">
        <v>43213</v>
      </c>
      <c r="U630" s="4">
        <v>12</v>
      </c>
      <c r="X630" s="45">
        <v>146828.89000000004</v>
      </c>
      <c r="Y630" s="14" t="s">
        <v>54</v>
      </c>
      <c r="Z630" s="14" t="s">
        <v>59</v>
      </c>
      <c r="AA630" s="14" t="s">
        <v>3010</v>
      </c>
      <c r="AB630" s="44">
        <v>43223</v>
      </c>
      <c r="AC630" s="44" t="s">
        <v>3005</v>
      </c>
      <c r="AD630" s="29" t="s">
        <v>50</v>
      </c>
      <c r="AE630" s="24" t="s">
        <v>1559</v>
      </c>
      <c r="AF630" s="25" t="s">
        <v>1269</v>
      </c>
      <c r="AG630" t="e">
        <f t="shared" si="11"/>
        <v>#REF!</v>
      </c>
      <c r="AI630" s="58"/>
    </row>
    <row r="631" spans="1:35" ht="15.75" customHeight="1">
      <c r="A631" s="6" t="s">
        <v>1502</v>
      </c>
      <c r="B631" s="5">
        <v>40</v>
      </c>
      <c r="C631" s="7">
        <v>5224.2</v>
      </c>
      <c r="D631" s="7">
        <v>0</v>
      </c>
      <c r="E631" s="5">
        <v>0</v>
      </c>
      <c r="F631" s="5">
        <v>0</v>
      </c>
      <c r="G631" s="7">
        <v>0</v>
      </c>
      <c r="H631" s="5">
        <v>57</v>
      </c>
      <c r="I631" s="7">
        <v>7520.5999999999995</v>
      </c>
      <c r="J631" s="7">
        <v>57</v>
      </c>
      <c r="K631" s="5">
        <v>0</v>
      </c>
      <c r="L631" s="5">
        <v>0</v>
      </c>
      <c r="M631" s="5">
        <v>57</v>
      </c>
      <c r="N631" s="7">
        <v>57</v>
      </c>
      <c r="O631" s="7">
        <v>8993.9000000000015</v>
      </c>
      <c r="P631" s="7">
        <v>0</v>
      </c>
      <c r="Q631" s="5">
        <v>0</v>
      </c>
      <c r="R631" s="5">
        <v>0</v>
      </c>
      <c r="S631" s="7">
        <v>0</v>
      </c>
      <c r="T631" s="12">
        <v>43214</v>
      </c>
      <c r="U631" s="4">
        <v>2</v>
      </c>
      <c r="X631" s="45">
        <v>21738.7</v>
      </c>
      <c r="Y631" s="14" t="s">
        <v>1633</v>
      </c>
      <c r="Z631" s="14" t="s">
        <v>1355</v>
      </c>
      <c r="AA631" s="14" t="s">
        <v>2994</v>
      </c>
      <c r="AB631" s="44">
        <v>43220</v>
      </c>
      <c r="AC631" s="44" t="s">
        <v>2995</v>
      </c>
      <c r="AD631" s="29" t="s">
        <v>70</v>
      </c>
      <c r="AE631" s="24" t="s">
        <v>1503</v>
      </c>
      <c r="AF631" s="25" t="s">
        <v>1273</v>
      </c>
      <c r="AG631" t="e">
        <f t="shared" si="11"/>
        <v>#REF!</v>
      </c>
      <c r="AI631" s="58"/>
    </row>
    <row r="632" spans="1:35" ht="16.5" customHeight="1">
      <c r="A632" s="6" t="s">
        <v>1504</v>
      </c>
      <c r="B632" s="5">
        <v>435</v>
      </c>
      <c r="C632" s="7">
        <v>20919.749999999996</v>
      </c>
      <c r="D632" s="7">
        <v>0</v>
      </c>
      <c r="E632" s="5">
        <v>0</v>
      </c>
      <c r="F632" s="5">
        <v>0</v>
      </c>
      <c r="G632" s="7">
        <v>0</v>
      </c>
      <c r="H632" s="5">
        <v>763</v>
      </c>
      <c r="I632" s="7">
        <v>97954.709999999977</v>
      </c>
      <c r="J632" s="7">
        <v>0</v>
      </c>
      <c r="K632" s="5">
        <v>0</v>
      </c>
      <c r="L632" s="5">
        <v>0</v>
      </c>
      <c r="M632" s="5">
        <v>0</v>
      </c>
      <c r="N632" s="7">
        <v>0</v>
      </c>
      <c r="O632" s="7">
        <v>0</v>
      </c>
      <c r="P632" s="7">
        <v>0</v>
      </c>
      <c r="Q632" s="5">
        <v>0</v>
      </c>
      <c r="R632" s="5">
        <v>0</v>
      </c>
      <c r="S632" s="7">
        <v>0</v>
      </c>
      <c r="T632" s="12">
        <v>43214</v>
      </c>
      <c r="U632" s="4">
        <v>8</v>
      </c>
      <c r="X632" s="45">
        <v>118874.45999999998</v>
      </c>
      <c r="Y632" s="14" t="s">
        <v>54</v>
      </c>
      <c r="Z632" s="14" t="s">
        <v>57</v>
      </c>
      <c r="AA632" s="14" t="s">
        <v>3004</v>
      </c>
      <c r="AB632" s="44">
        <v>43223</v>
      </c>
      <c r="AC632" s="44" t="s">
        <v>3005</v>
      </c>
      <c r="AD632" s="29" t="s">
        <v>49</v>
      </c>
      <c r="AE632" s="24" t="s">
        <v>1505</v>
      </c>
      <c r="AF632" s="25" t="s">
        <v>1265</v>
      </c>
      <c r="AG632" t="e">
        <f t="shared" si="11"/>
        <v>#REF!</v>
      </c>
      <c r="AI632" s="58"/>
    </row>
    <row r="633" spans="1:35" ht="15.75" customHeight="1">
      <c r="A633" s="6" t="s">
        <v>1506</v>
      </c>
      <c r="B633" s="5">
        <v>0</v>
      </c>
      <c r="C633" s="7">
        <v>0</v>
      </c>
      <c r="D633" s="7">
        <v>50</v>
      </c>
      <c r="E633" s="5">
        <v>50</v>
      </c>
      <c r="F633" s="5">
        <v>0</v>
      </c>
      <c r="G633" s="7">
        <v>2215</v>
      </c>
      <c r="H633" s="5">
        <v>413</v>
      </c>
      <c r="I633" s="7">
        <v>51871.24</v>
      </c>
      <c r="J633" s="7">
        <v>0</v>
      </c>
      <c r="K633" s="5">
        <v>0</v>
      </c>
      <c r="L633" s="5">
        <v>0</v>
      </c>
      <c r="M633" s="5">
        <v>0</v>
      </c>
      <c r="N633" s="7">
        <v>0</v>
      </c>
      <c r="O633" s="7">
        <v>0</v>
      </c>
      <c r="P633" s="7">
        <v>0</v>
      </c>
      <c r="Q633" s="5">
        <v>0</v>
      </c>
      <c r="R633" s="5">
        <v>0</v>
      </c>
      <c r="S633" s="7">
        <v>0</v>
      </c>
      <c r="T633" s="12">
        <v>43214</v>
      </c>
      <c r="U633" s="4">
        <v>4</v>
      </c>
      <c r="X633" s="45">
        <v>54086.239999999998</v>
      </c>
      <c r="Y633" s="14" t="s">
        <v>56</v>
      </c>
      <c r="Z633" s="14" t="s">
        <v>1355</v>
      </c>
      <c r="AA633" s="14" t="s">
        <v>3007</v>
      </c>
      <c r="AB633" s="44">
        <v>43222</v>
      </c>
      <c r="AC633" s="44" t="s">
        <v>3008</v>
      </c>
      <c r="AD633" s="29" t="s">
        <v>49</v>
      </c>
      <c r="AE633" s="24" t="s">
        <v>1507</v>
      </c>
      <c r="AF633" s="25" t="s">
        <v>1265</v>
      </c>
      <c r="AG633" t="e">
        <f t="shared" si="11"/>
        <v>#REF!</v>
      </c>
      <c r="AI633" s="58"/>
    </row>
    <row r="634" spans="1:35" ht="15.75" customHeight="1">
      <c r="A634" s="6" t="s">
        <v>1508</v>
      </c>
      <c r="B634" s="5">
        <v>88</v>
      </c>
      <c r="C634" s="7">
        <v>7985.8000000000011</v>
      </c>
      <c r="D634" s="7">
        <v>0</v>
      </c>
      <c r="E634" s="5">
        <v>0</v>
      </c>
      <c r="F634" s="5">
        <v>0</v>
      </c>
      <c r="G634" s="7">
        <v>0</v>
      </c>
      <c r="H634" s="5">
        <v>30</v>
      </c>
      <c r="I634" s="7">
        <v>3838.8</v>
      </c>
      <c r="J634" s="7">
        <v>51</v>
      </c>
      <c r="K634" s="5">
        <v>0</v>
      </c>
      <c r="L634" s="5">
        <v>0</v>
      </c>
      <c r="M634" s="5">
        <v>51</v>
      </c>
      <c r="N634" s="7">
        <v>51</v>
      </c>
      <c r="O634" s="7">
        <v>8874.6</v>
      </c>
      <c r="P634" s="7">
        <v>0</v>
      </c>
      <c r="Q634" s="5">
        <v>0</v>
      </c>
      <c r="R634" s="5">
        <v>0</v>
      </c>
      <c r="S634" s="7">
        <v>0</v>
      </c>
      <c r="T634" s="12">
        <v>43214</v>
      </c>
      <c r="U634" s="4">
        <v>2</v>
      </c>
      <c r="X634" s="45">
        <v>20699.200000000004</v>
      </c>
      <c r="Y634" s="14" t="s">
        <v>56</v>
      </c>
      <c r="Z634" s="14" t="s">
        <v>1355</v>
      </c>
      <c r="AA634" s="14" t="s">
        <v>3006</v>
      </c>
      <c r="AB634" s="44">
        <v>43216</v>
      </c>
      <c r="AC634" s="44" t="s">
        <v>2989</v>
      </c>
      <c r="AD634" s="29" t="s">
        <v>49</v>
      </c>
      <c r="AE634" s="24" t="s">
        <v>1509</v>
      </c>
      <c r="AF634" s="25" t="s">
        <v>1267</v>
      </c>
      <c r="AG634" t="e">
        <f t="shared" si="11"/>
        <v>#REF!</v>
      </c>
      <c r="AI634" s="58"/>
    </row>
    <row r="635" spans="1:35" ht="15.75" customHeight="1">
      <c r="A635" s="6" t="s">
        <v>1510</v>
      </c>
      <c r="B635" s="5">
        <v>407</v>
      </c>
      <c r="C635" s="7">
        <v>25363.970000000005</v>
      </c>
      <c r="D635" s="7">
        <v>0</v>
      </c>
      <c r="E635" s="5">
        <v>0</v>
      </c>
      <c r="F635" s="5">
        <v>0</v>
      </c>
      <c r="G635" s="7">
        <v>0</v>
      </c>
      <c r="H635" s="5">
        <v>428</v>
      </c>
      <c r="I635" s="7">
        <v>37505.600000000006</v>
      </c>
      <c r="J635" s="7">
        <v>154</v>
      </c>
      <c r="K635" s="5">
        <v>0</v>
      </c>
      <c r="L635" s="5">
        <v>0</v>
      </c>
      <c r="M635" s="5">
        <v>154</v>
      </c>
      <c r="N635" s="7">
        <v>154</v>
      </c>
      <c r="O635" s="7">
        <v>20199.799999999996</v>
      </c>
      <c r="P635" s="7">
        <v>47</v>
      </c>
      <c r="Q635" s="5">
        <v>0</v>
      </c>
      <c r="R635" s="5">
        <v>47</v>
      </c>
      <c r="S635" s="7">
        <v>2355.1999999999998</v>
      </c>
      <c r="T635" s="12">
        <v>43214</v>
      </c>
      <c r="U635" s="4">
        <v>7</v>
      </c>
      <c r="X635" s="45">
        <v>85424.569999999992</v>
      </c>
      <c r="Y635" s="14" t="s">
        <v>54</v>
      </c>
      <c r="Z635" s="14" t="s">
        <v>730</v>
      </c>
      <c r="AA635" s="14" t="s">
        <v>3011</v>
      </c>
      <c r="AB635" s="44">
        <v>43221</v>
      </c>
      <c r="AC635" s="44" t="s">
        <v>3012</v>
      </c>
      <c r="AD635" s="29" t="s">
        <v>51</v>
      </c>
      <c r="AE635" s="24" t="s">
        <v>1511</v>
      </c>
      <c r="AF635" s="25" t="s">
        <v>1270</v>
      </c>
      <c r="AG635" t="e">
        <f t="shared" si="11"/>
        <v>#REF!</v>
      </c>
      <c r="AI635" s="58"/>
    </row>
    <row r="636" spans="1:35" ht="15.75" customHeight="1">
      <c r="A636" s="6" t="s">
        <v>1512</v>
      </c>
      <c r="B636" s="5">
        <v>401</v>
      </c>
      <c r="C636" s="7">
        <v>38723.22</v>
      </c>
      <c r="D636" s="7">
        <v>0</v>
      </c>
      <c r="E636" s="5">
        <v>0</v>
      </c>
      <c r="F636" s="5">
        <v>0</v>
      </c>
      <c r="G636" s="7">
        <v>0</v>
      </c>
      <c r="H636" s="5">
        <v>95</v>
      </c>
      <c r="I636" s="7">
        <v>12156.2</v>
      </c>
      <c r="J636" s="7">
        <v>233</v>
      </c>
      <c r="K636" s="5">
        <v>0</v>
      </c>
      <c r="L636" s="5">
        <v>0</v>
      </c>
      <c r="M636" s="5">
        <v>233</v>
      </c>
      <c r="N636" s="7">
        <v>233</v>
      </c>
      <c r="O636" s="7">
        <v>29147.600000000002</v>
      </c>
      <c r="P636" s="7">
        <v>190</v>
      </c>
      <c r="Q636" s="5">
        <v>0</v>
      </c>
      <c r="R636" s="5">
        <v>190</v>
      </c>
      <c r="S636" s="7">
        <v>23424</v>
      </c>
      <c r="T636" s="12">
        <v>43214</v>
      </c>
      <c r="U636" s="4">
        <v>8</v>
      </c>
      <c r="X636" s="45">
        <v>103451.02</v>
      </c>
      <c r="Y636" s="14" t="s">
        <v>56</v>
      </c>
      <c r="Z636" s="14" t="s">
        <v>1281</v>
      </c>
      <c r="AA636" s="14" t="s">
        <v>3013</v>
      </c>
      <c r="AB636" s="44">
        <v>43222</v>
      </c>
      <c r="AC636" s="44" t="s">
        <v>3014</v>
      </c>
      <c r="AD636" s="29" t="s">
        <v>51</v>
      </c>
      <c r="AE636" s="24" t="s">
        <v>1513</v>
      </c>
      <c r="AF636" s="25" t="s">
        <v>1270</v>
      </c>
      <c r="AG636" t="e">
        <f t="shared" si="11"/>
        <v>#REF!</v>
      </c>
      <c r="AI636" s="58"/>
    </row>
    <row r="637" spans="1:35" ht="15.75" customHeight="1">
      <c r="A637" s="6" t="s">
        <v>1514</v>
      </c>
      <c r="B637" s="5">
        <v>933</v>
      </c>
      <c r="C637" s="7">
        <v>90242.599999999991</v>
      </c>
      <c r="D637" s="7">
        <v>1</v>
      </c>
      <c r="E637" s="5">
        <v>1</v>
      </c>
      <c r="F637" s="5">
        <v>0</v>
      </c>
      <c r="G637" s="7">
        <v>77.8</v>
      </c>
      <c r="H637" s="5">
        <v>285</v>
      </c>
      <c r="I637" s="7">
        <v>11298</v>
      </c>
      <c r="J637" s="7">
        <v>219</v>
      </c>
      <c r="K637" s="5">
        <v>0</v>
      </c>
      <c r="L637" s="5">
        <v>0</v>
      </c>
      <c r="M637" s="5">
        <v>219</v>
      </c>
      <c r="N637" s="7">
        <v>219</v>
      </c>
      <c r="O637" s="7">
        <v>12665.7</v>
      </c>
      <c r="P637" s="7">
        <v>203</v>
      </c>
      <c r="Q637" s="5">
        <v>0</v>
      </c>
      <c r="R637" s="5">
        <v>203</v>
      </c>
      <c r="S637" s="7">
        <v>21445.4</v>
      </c>
      <c r="T637" s="12">
        <v>43214</v>
      </c>
      <c r="U637" s="4">
        <v>10</v>
      </c>
      <c r="X637" s="45">
        <v>135729.5</v>
      </c>
      <c r="Y637" s="14" t="s">
        <v>54</v>
      </c>
      <c r="Z637" s="14" t="s">
        <v>59</v>
      </c>
      <c r="AA637" s="14" t="s">
        <v>3010</v>
      </c>
      <c r="AB637" s="44">
        <v>43223</v>
      </c>
      <c r="AC637" s="44" t="s">
        <v>3005</v>
      </c>
      <c r="AD637" s="29" t="s">
        <v>50</v>
      </c>
      <c r="AE637" s="24" t="s">
        <v>1515</v>
      </c>
      <c r="AF637" s="25" t="s">
        <v>1269</v>
      </c>
      <c r="AG637" t="e">
        <f t="shared" si="11"/>
        <v>#REF!</v>
      </c>
      <c r="AI637" s="58"/>
    </row>
    <row r="638" spans="1:35" ht="15.75" customHeight="1">
      <c r="A638" s="6" t="s">
        <v>1516</v>
      </c>
      <c r="B638" s="5">
        <v>119</v>
      </c>
      <c r="C638" s="7">
        <v>11724.5</v>
      </c>
      <c r="D638" s="7">
        <v>0</v>
      </c>
      <c r="E638" s="5">
        <v>0</v>
      </c>
      <c r="F638" s="5">
        <v>0</v>
      </c>
      <c r="G638" s="7">
        <v>0</v>
      </c>
      <c r="H638" s="5">
        <v>70</v>
      </c>
      <c r="I638" s="7">
        <v>8317.4</v>
      </c>
      <c r="J638" s="7">
        <v>78</v>
      </c>
      <c r="K638" s="5">
        <v>0</v>
      </c>
      <c r="L638" s="5">
        <v>0</v>
      </c>
      <c r="M638" s="5">
        <v>78</v>
      </c>
      <c r="N638" s="7">
        <v>78</v>
      </c>
      <c r="O638" s="7">
        <v>13072.099999999999</v>
      </c>
      <c r="P638" s="7">
        <v>0</v>
      </c>
      <c r="Q638" s="5">
        <v>0</v>
      </c>
      <c r="R638" s="5">
        <v>0</v>
      </c>
      <c r="S638" s="7">
        <v>0</v>
      </c>
      <c r="T638" s="12">
        <v>43214</v>
      </c>
      <c r="U638" s="4">
        <v>3</v>
      </c>
      <c r="X638" s="45">
        <v>33114</v>
      </c>
      <c r="Y638" s="14" t="s">
        <v>54</v>
      </c>
      <c r="Z638" s="14" t="s">
        <v>1355</v>
      </c>
      <c r="AA638" s="14" t="s">
        <v>2983</v>
      </c>
      <c r="AB638" s="44">
        <v>43216</v>
      </c>
      <c r="AC638" s="44" t="s">
        <v>2978</v>
      </c>
      <c r="AD638" s="29" t="s">
        <v>49</v>
      </c>
      <c r="AE638" s="24" t="s">
        <v>1517</v>
      </c>
      <c r="AF638" s="25" t="s">
        <v>1266</v>
      </c>
      <c r="AG638" t="e">
        <f t="shared" si="11"/>
        <v>#REF!</v>
      </c>
      <c r="AI638" s="58"/>
    </row>
    <row r="639" spans="1:35" ht="15.75" customHeight="1">
      <c r="A639" s="6" t="s">
        <v>1518</v>
      </c>
      <c r="B639" s="5">
        <v>0</v>
      </c>
      <c r="C639" s="7">
        <v>0</v>
      </c>
      <c r="D639" s="7">
        <v>0</v>
      </c>
      <c r="E639" s="5">
        <v>0</v>
      </c>
      <c r="F639" s="5">
        <v>0</v>
      </c>
      <c r="G639" s="7">
        <v>0</v>
      </c>
      <c r="H639" s="5">
        <v>0</v>
      </c>
      <c r="I639" s="7">
        <v>0</v>
      </c>
      <c r="J639" s="7">
        <v>0</v>
      </c>
      <c r="K639" s="5">
        <v>0</v>
      </c>
      <c r="L639" s="5">
        <v>0</v>
      </c>
      <c r="M639" s="5">
        <v>0</v>
      </c>
      <c r="N639" s="7">
        <v>0</v>
      </c>
      <c r="O639" s="7">
        <v>0</v>
      </c>
      <c r="P639" s="7">
        <v>95</v>
      </c>
      <c r="Q639" s="5">
        <v>0</v>
      </c>
      <c r="R639" s="5">
        <v>95</v>
      </c>
      <c r="S639" s="7">
        <v>14699</v>
      </c>
      <c r="T639" s="12">
        <v>43216</v>
      </c>
      <c r="U639" s="4">
        <v>1</v>
      </c>
      <c r="X639" s="45">
        <v>14699</v>
      </c>
      <c r="Y639" s="14" t="s">
        <v>56</v>
      </c>
      <c r="Z639" s="14" t="s">
        <v>1355</v>
      </c>
      <c r="AA639" s="14" t="s">
        <v>3015</v>
      </c>
      <c r="AB639" s="44">
        <v>43223</v>
      </c>
      <c r="AC639" s="44" t="s">
        <v>3016</v>
      </c>
      <c r="AD639" s="29" t="s">
        <v>218</v>
      </c>
      <c r="AE639" s="24" t="s">
        <v>1519</v>
      </c>
      <c r="AF639" s="25" t="s">
        <v>1272</v>
      </c>
      <c r="AG639" t="e">
        <f t="shared" si="11"/>
        <v>#REF!</v>
      </c>
      <c r="AI639" s="58"/>
    </row>
    <row r="640" spans="1:35" ht="15.75" customHeight="1">
      <c r="A640" s="6" t="s">
        <v>1520</v>
      </c>
      <c r="B640" s="5">
        <v>133</v>
      </c>
      <c r="C640" s="7">
        <v>16469.099999999999</v>
      </c>
      <c r="D640" s="7">
        <v>0</v>
      </c>
      <c r="E640" s="5">
        <v>0</v>
      </c>
      <c r="F640" s="5">
        <v>0</v>
      </c>
      <c r="G640" s="7">
        <v>0</v>
      </c>
      <c r="H640" s="5">
        <v>0</v>
      </c>
      <c r="I640" s="7">
        <v>0</v>
      </c>
      <c r="J640" s="7">
        <v>0</v>
      </c>
      <c r="K640" s="5">
        <v>0</v>
      </c>
      <c r="L640" s="5">
        <v>0</v>
      </c>
      <c r="M640" s="5">
        <v>0</v>
      </c>
      <c r="N640" s="7">
        <v>0</v>
      </c>
      <c r="O640" s="7">
        <v>0</v>
      </c>
      <c r="P640" s="7">
        <v>103</v>
      </c>
      <c r="Q640" s="5">
        <v>0</v>
      </c>
      <c r="R640" s="5">
        <v>103</v>
      </c>
      <c r="S640" s="7">
        <v>25463.199999999997</v>
      </c>
      <c r="T640" s="12">
        <v>43216</v>
      </c>
      <c r="U640" s="4">
        <v>3</v>
      </c>
      <c r="X640" s="45">
        <v>41932.299999999996</v>
      </c>
      <c r="Y640" s="14" t="s">
        <v>1608</v>
      </c>
      <c r="Z640" s="14" t="s">
        <v>1355</v>
      </c>
      <c r="AA640" s="14" t="s">
        <v>3017</v>
      </c>
      <c r="AB640" s="44">
        <v>43228</v>
      </c>
      <c r="AC640" s="44" t="s">
        <v>3018</v>
      </c>
      <c r="AD640" s="29" t="s">
        <v>1010</v>
      </c>
      <c r="AE640" s="24">
        <v>2500000040448</v>
      </c>
      <c r="AF640" s="25" t="s">
        <v>1275</v>
      </c>
      <c r="AG640" t="e">
        <f t="shared" si="11"/>
        <v>#REF!</v>
      </c>
      <c r="AI640" s="58"/>
    </row>
    <row r="641" spans="1:35" ht="15.75" customHeight="1">
      <c r="A641" s="6" t="s">
        <v>1521</v>
      </c>
      <c r="B641" s="5">
        <v>4</v>
      </c>
      <c r="C641" s="7">
        <v>397.2</v>
      </c>
      <c r="D641" s="7">
        <v>0</v>
      </c>
      <c r="E641" s="5">
        <v>0</v>
      </c>
      <c r="F641" s="5">
        <v>0</v>
      </c>
      <c r="G641" s="7">
        <v>0</v>
      </c>
      <c r="H641" s="5">
        <v>221</v>
      </c>
      <c r="I641" s="7">
        <v>25851.08</v>
      </c>
      <c r="J641" s="7">
        <v>77</v>
      </c>
      <c r="K641" s="5">
        <v>0</v>
      </c>
      <c r="L641" s="5">
        <v>0</v>
      </c>
      <c r="M641" s="5">
        <v>77</v>
      </c>
      <c r="N641" s="7">
        <v>77</v>
      </c>
      <c r="O641" s="7">
        <v>9603.2000000000007</v>
      </c>
      <c r="P641" s="7">
        <v>3</v>
      </c>
      <c r="Q641" s="5">
        <v>0</v>
      </c>
      <c r="R641" s="5">
        <v>3</v>
      </c>
      <c r="S641" s="7">
        <v>151.17000000000002</v>
      </c>
      <c r="T641" s="12">
        <v>43216</v>
      </c>
      <c r="U641" s="4">
        <v>3</v>
      </c>
      <c r="X641" s="45">
        <v>36002.65</v>
      </c>
      <c r="Y641" s="14" t="s">
        <v>54</v>
      </c>
      <c r="Z641" s="14" t="s">
        <v>57</v>
      </c>
      <c r="AA641" s="14" t="s">
        <v>3019</v>
      </c>
      <c r="AB641" s="44">
        <v>43221</v>
      </c>
      <c r="AC641" s="44" t="s">
        <v>3012</v>
      </c>
      <c r="AD641" s="29" t="s">
        <v>52</v>
      </c>
      <c r="AE641" s="24" t="s">
        <v>1522</v>
      </c>
      <c r="AF641" s="25" t="s">
        <v>1271</v>
      </c>
      <c r="AG641" t="e">
        <f t="shared" si="11"/>
        <v>#REF!</v>
      </c>
      <c r="AI641" s="58"/>
    </row>
    <row r="642" spans="1:35" ht="15.75" customHeight="1">
      <c r="A642" s="6" t="s">
        <v>1523</v>
      </c>
      <c r="B642" s="5">
        <v>0</v>
      </c>
      <c r="C642" s="7">
        <v>0</v>
      </c>
      <c r="D642" s="7">
        <v>0</v>
      </c>
      <c r="E642" s="5">
        <v>0</v>
      </c>
      <c r="F642" s="5">
        <v>0</v>
      </c>
      <c r="G642" s="7">
        <v>0</v>
      </c>
      <c r="H642" s="5">
        <v>0</v>
      </c>
      <c r="I642" s="7">
        <v>0</v>
      </c>
      <c r="J642" s="7">
        <v>58</v>
      </c>
      <c r="K642" s="5">
        <v>0</v>
      </c>
      <c r="L642" s="5">
        <v>0</v>
      </c>
      <c r="M642" s="5">
        <v>58</v>
      </c>
      <c r="N642" s="7">
        <v>58</v>
      </c>
      <c r="O642" s="7">
        <v>10358.799999999999</v>
      </c>
      <c r="P642" s="7">
        <v>633</v>
      </c>
      <c r="Q642" s="5">
        <v>0</v>
      </c>
      <c r="R642" s="5">
        <v>633</v>
      </c>
      <c r="S642" s="7">
        <v>76985.600000000006</v>
      </c>
      <c r="T642" s="12">
        <v>43216</v>
      </c>
      <c r="U642" s="4">
        <v>5</v>
      </c>
      <c r="X642" s="45">
        <v>87344.400000000009</v>
      </c>
      <c r="Y642" s="14" t="s">
        <v>56</v>
      </c>
      <c r="Z642" s="14" t="s">
        <v>1281</v>
      </c>
      <c r="AA642" s="14" t="s">
        <v>3020</v>
      </c>
      <c r="AB642" s="44">
        <v>43223</v>
      </c>
      <c r="AC642" s="44" t="s">
        <v>2997</v>
      </c>
      <c r="AD642" s="29" t="s">
        <v>52</v>
      </c>
      <c r="AE642" s="24" t="s">
        <v>1524</v>
      </c>
      <c r="AF642" s="25" t="s">
        <v>1271</v>
      </c>
      <c r="AG642" t="e">
        <f t="shared" si="11"/>
        <v>#REF!</v>
      </c>
      <c r="AI642" s="58"/>
    </row>
    <row r="643" spans="1:35" ht="15.75" customHeight="1">
      <c r="A643" s="6" t="s">
        <v>1525</v>
      </c>
      <c r="B643" s="5">
        <v>602</v>
      </c>
      <c r="C643" s="7">
        <v>54139</v>
      </c>
      <c r="D643" s="7">
        <v>0</v>
      </c>
      <c r="E643" s="5">
        <v>0</v>
      </c>
      <c r="F643" s="5">
        <v>0</v>
      </c>
      <c r="G643" s="7">
        <v>0</v>
      </c>
      <c r="H643" s="5">
        <v>115</v>
      </c>
      <c r="I643" s="7">
        <v>13377.2</v>
      </c>
      <c r="J643" s="7">
        <v>164</v>
      </c>
      <c r="K643" s="5">
        <v>0</v>
      </c>
      <c r="L643" s="5">
        <v>0</v>
      </c>
      <c r="M643" s="5">
        <v>164</v>
      </c>
      <c r="N643" s="7">
        <v>164</v>
      </c>
      <c r="O643" s="7">
        <v>20973.3</v>
      </c>
      <c r="P643" s="7">
        <v>213</v>
      </c>
      <c r="Q643" s="5">
        <v>0</v>
      </c>
      <c r="R643" s="5">
        <v>213</v>
      </c>
      <c r="S643" s="7">
        <v>46216</v>
      </c>
      <c r="T643" s="12">
        <v>43216</v>
      </c>
      <c r="U643" s="4">
        <v>10</v>
      </c>
      <c r="X643" s="45">
        <v>134705.5</v>
      </c>
      <c r="Y643" s="14" t="s">
        <v>56</v>
      </c>
      <c r="Z643" s="14" t="s">
        <v>55</v>
      </c>
      <c r="AA643" s="14" t="s">
        <v>3009</v>
      </c>
      <c r="AB643" s="44">
        <v>43222</v>
      </c>
      <c r="AC643" s="44" t="s">
        <v>3008</v>
      </c>
      <c r="AD643" s="29" t="s">
        <v>51</v>
      </c>
      <c r="AE643" s="24" t="s">
        <v>1526</v>
      </c>
      <c r="AF643" s="25" t="s">
        <v>1270</v>
      </c>
      <c r="AG643" t="e">
        <f t="shared" si="11"/>
        <v>#REF!</v>
      </c>
      <c r="AI643" s="58"/>
    </row>
    <row r="644" spans="1:35" ht="15.75" customHeight="1">
      <c r="A644" s="6" t="s">
        <v>1527</v>
      </c>
      <c r="B644" s="5">
        <v>158</v>
      </c>
      <c r="C644" s="7">
        <v>16134.8</v>
      </c>
      <c r="D644" s="7">
        <v>0</v>
      </c>
      <c r="E644" s="5">
        <v>0</v>
      </c>
      <c r="F644" s="5">
        <v>0</v>
      </c>
      <c r="G644" s="7">
        <v>0</v>
      </c>
      <c r="H644" s="5">
        <v>0</v>
      </c>
      <c r="I644" s="7">
        <v>0</v>
      </c>
      <c r="J644" s="7">
        <v>2</v>
      </c>
      <c r="K644" s="5">
        <v>0</v>
      </c>
      <c r="L644" s="5">
        <v>0</v>
      </c>
      <c r="M644" s="5">
        <v>2</v>
      </c>
      <c r="N644" s="7">
        <v>2</v>
      </c>
      <c r="O644" s="7">
        <v>491.2</v>
      </c>
      <c r="P644" s="7">
        <v>136</v>
      </c>
      <c r="Q644" s="5">
        <v>0</v>
      </c>
      <c r="R644" s="5">
        <v>136</v>
      </c>
      <c r="S644" s="7">
        <v>24402.7</v>
      </c>
      <c r="T644" s="12">
        <v>43216</v>
      </c>
      <c r="U644" s="4">
        <v>3</v>
      </c>
      <c r="X644" s="45">
        <v>41028.699999999997</v>
      </c>
      <c r="Y644" s="14" t="s">
        <v>85</v>
      </c>
      <c r="Z644" s="14" t="s">
        <v>1281</v>
      </c>
      <c r="AA644" s="14">
        <v>350810036073</v>
      </c>
      <c r="AB644" s="44">
        <v>43219</v>
      </c>
      <c r="AC644" s="44" t="s">
        <v>2990</v>
      </c>
      <c r="AD644" s="29" t="s">
        <v>600</v>
      </c>
      <c r="AE644" s="24">
        <v>2500000041397</v>
      </c>
      <c r="AF644" s="25" t="s">
        <v>1275</v>
      </c>
      <c r="AG644" t="e">
        <f t="shared" si="11"/>
        <v>#REF!</v>
      </c>
      <c r="AI644" s="58"/>
    </row>
    <row r="645" spans="1:35" ht="15.75" customHeight="1">
      <c r="A645" s="6" t="s">
        <v>1528</v>
      </c>
      <c r="B645" s="5">
        <v>828</v>
      </c>
      <c r="C645" s="7">
        <v>79939.48</v>
      </c>
      <c r="D645" s="7">
        <v>0</v>
      </c>
      <c r="E645" s="5">
        <v>0</v>
      </c>
      <c r="F645" s="5">
        <v>0</v>
      </c>
      <c r="G645" s="7">
        <v>0</v>
      </c>
      <c r="H645" s="5">
        <v>0</v>
      </c>
      <c r="I645" s="7">
        <v>0</v>
      </c>
      <c r="J645" s="7">
        <v>172</v>
      </c>
      <c r="K645" s="5">
        <v>0</v>
      </c>
      <c r="L645" s="5">
        <v>0</v>
      </c>
      <c r="M645" s="5">
        <v>172</v>
      </c>
      <c r="N645" s="7">
        <v>172</v>
      </c>
      <c r="O645" s="7">
        <v>31680.300000000003</v>
      </c>
      <c r="P645" s="7">
        <v>58</v>
      </c>
      <c r="Q645" s="5">
        <v>0</v>
      </c>
      <c r="R645" s="5">
        <v>58</v>
      </c>
      <c r="S645" s="7">
        <v>16843.199999999997</v>
      </c>
      <c r="T645" s="12">
        <v>43216</v>
      </c>
      <c r="U645" s="4">
        <v>10</v>
      </c>
      <c r="X645" s="45">
        <v>128462.98</v>
      </c>
      <c r="Y645" s="14" t="s">
        <v>54</v>
      </c>
      <c r="Z645" s="14" t="s">
        <v>59</v>
      </c>
      <c r="AA645" s="14" t="s">
        <v>3010</v>
      </c>
      <c r="AB645" s="44">
        <v>43223</v>
      </c>
      <c r="AC645" s="44" t="s">
        <v>3005</v>
      </c>
      <c r="AD645" s="29" t="s">
        <v>50</v>
      </c>
      <c r="AE645" s="24" t="s">
        <v>1529</v>
      </c>
      <c r="AF645" s="25" t="s">
        <v>1269</v>
      </c>
      <c r="AG645" t="e">
        <f t="shared" si="11"/>
        <v>#REF!</v>
      </c>
      <c r="AI645" s="58"/>
    </row>
    <row r="646" spans="1:35" ht="15.75" customHeight="1">
      <c r="A646" s="6" t="s">
        <v>1530</v>
      </c>
      <c r="B646" s="5">
        <v>73</v>
      </c>
      <c r="C646" s="7">
        <v>9539.5000000000018</v>
      </c>
      <c r="D646" s="7">
        <v>0</v>
      </c>
      <c r="E646" s="5">
        <v>0</v>
      </c>
      <c r="F646" s="5">
        <v>0</v>
      </c>
      <c r="G646" s="7">
        <v>0</v>
      </c>
      <c r="H646" s="5">
        <v>42</v>
      </c>
      <c r="I646" s="7">
        <v>2634.35</v>
      </c>
      <c r="J646" s="7">
        <v>8</v>
      </c>
      <c r="K646" s="5">
        <v>0</v>
      </c>
      <c r="L646" s="5">
        <v>0</v>
      </c>
      <c r="M646" s="5">
        <v>8</v>
      </c>
      <c r="N646" s="7">
        <v>8</v>
      </c>
      <c r="O646" s="7">
        <v>162.80000000000001</v>
      </c>
      <c r="P646" s="7">
        <v>118</v>
      </c>
      <c r="Q646" s="5">
        <v>0</v>
      </c>
      <c r="R646" s="5">
        <v>118</v>
      </c>
      <c r="S646" s="7">
        <v>16588.25</v>
      </c>
      <c r="T646" s="12">
        <v>43217</v>
      </c>
      <c r="U646" s="4">
        <v>2</v>
      </c>
      <c r="X646" s="45">
        <v>28924.9</v>
      </c>
      <c r="Y646" s="14" t="s">
        <v>1633</v>
      </c>
      <c r="Z646" s="14" t="s">
        <v>1355</v>
      </c>
      <c r="AA646" s="14" t="s">
        <v>3021</v>
      </c>
      <c r="AB646" s="44">
        <v>43227</v>
      </c>
      <c r="AC646" s="44" t="s">
        <v>3022</v>
      </c>
      <c r="AD646" s="29" t="s">
        <v>70</v>
      </c>
      <c r="AE646" s="24" t="s">
        <v>1531</v>
      </c>
      <c r="AF646" s="25" t="s">
        <v>1273</v>
      </c>
      <c r="AG646" t="e">
        <f t="shared" si="11"/>
        <v>#REF!</v>
      </c>
      <c r="AI646" s="58"/>
    </row>
    <row r="647" spans="1:35" ht="15.75" customHeight="1">
      <c r="A647" s="6" t="s">
        <v>1532</v>
      </c>
      <c r="B647" s="5">
        <v>0</v>
      </c>
      <c r="C647" s="7">
        <v>0</v>
      </c>
      <c r="D647" s="7">
        <v>0</v>
      </c>
      <c r="E647" s="5">
        <v>0</v>
      </c>
      <c r="F647" s="5">
        <v>0</v>
      </c>
      <c r="G647" s="7">
        <v>0</v>
      </c>
      <c r="H647" s="5">
        <v>85</v>
      </c>
      <c r="I647" s="7">
        <v>12515.75</v>
      </c>
      <c r="J647" s="7">
        <v>429</v>
      </c>
      <c r="K647" s="5">
        <v>0</v>
      </c>
      <c r="L647" s="5">
        <v>0</v>
      </c>
      <c r="M647" s="5">
        <v>429</v>
      </c>
      <c r="N647" s="7">
        <v>429</v>
      </c>
      <c r="O647" s="7">
        <v>15729.8</v>
      </c>
      <c r="P647" s="7">
        <v>0</v>
      </c>
      <c r="Q647" s="5">
        <v>0</v>
      </c>
      <c r="R647" s="5">
        <v>0</v>
      </c>
      <c r="S647" s="7">
        <v>0</v>
      </c>
      <c r="T647" s="12">
        <v>43217</v>
      </c>
      <c r="U647" s="4">
        <v>2</v>
      </c>
      <c r="X647" s="45">
        <v>28245.55</v>
      </c>
      <c r="Y647" s="14" t="s">
        <v>54</v>
      </c>
      <c r="Z647" s="14" t="s">
        <v>57</v>
      </c>
      <c r="AA647" s="14" t="s">
        <v>3004</v>
      </c>
      <c r="AB647" s="44">
        <v>43223</v>
      </c>
      <c r="AC647" s="44" t="s">
        <v>3005</v>
      </c>
      <c r="AD647" s="29" t="s">
        <v>49</v>
      </c>
      <c r="AE647" s="24" t="s">
        <v>1533</v>
      </c>
      <c r="AF647" s="25" t="s">
        <v>1265</v>
      </c>
      <c r="AG647" t="e">
        <f t="shared" si="11"/>
        <v>#REF!</v>
      </c>
      <c r="AI647" s="58"/>
    </row>
    <row r="648" spans="1:35" ht="15.75" customHeight="1">
      <c r="A648" s="6" t="s">
        <v>1534</v>
      </c>
      <c r="B648" s="5">
        <v>200</v>
      </c>
      <c r="C648" s="7">
        <v>12163.2</v>
      </c>
      <c r="D648" s="7">
        <v>0</v>
      </c>
      <c r="E648" s="5">
        <v>0</v>
      </c>
      <c r="F648" s="5">
        <v>0</v>
      </c>
      <c r="G648" s="7">
        <v>0</v>
      </c>
      <c r="H648" s="5">
        <v>335</v>
      </c>
      <c r="I648" s="7">
        <v>42655.95</v>
      </c>
      <c r="J648" s="7">
        <v>0</v>
      </c>
      <c r="K648" s="5">
        <v>0</v>
      </c>
      <c r="L648" s="5">
        <v>0</v>
      </c>
      <c r="M648" s="5">
        <v>0</v>
      </c>
      <c r="N648" s="7">
        <v>0</v>
      </c>
      <c r="O648" s="7">
        <v>0</v>
      </c>
      <c r="P648" s="7">
        <v>210</v>
      </c>
      <c r="Q648" s="5">
        <v>0</v>
      </c>
      <c r="R648" s="5">
        <v>210</v>
      </c>
      <c r="S648" s="7">
        <v>46186</v>
      </c>
      <c r="T648" s="12">
        <v>43217</v>
      </c>
      <c r="U648" s="4">
        <v>7</v>
      </c>
      <c r="X648" s="45">
        <v>101005.15</v>
      </c>
      <c r="Y648" s="14" t="s">
        <v>56</v>
      </c>
      <c r="Z648" s="14" t="s">
        <v>1355</v>
      </c>
      <c r="AA648" s="14" t="s">
        <v>3007</v>
      </c>
      <c r="AB648" s="44">
        <v>43222</v>
      </c>
      <c r="AC648" s="44" t="s">
        <v>3008</v>
      </c>
      <c r="AD648" s="29" t="s">
        <v>49</v>
      </c>
      <c r="AE648" s="24" t="s">
        <v>1535</v>
      </c>
      <c r="AF648" s="25" t="s">
        <v>1265</v>
      </c>
      <c r="AG648" t="e">
        <f t="shared" si="11"/>
        <v>#REF!</v>
      </c>
      <c r="AI648" s="58"/>
    </row>
    <row r="649" spans="1:35" ht="15.75" customHeight="1">
      <c r="A649" s="6" t="s">
        <v>1536</v>
      </c>
      <c r="B649" s="5">
        <v>0</v>
      </c>
      <c r="C649" s="7">
        <v>0</v>
      </c>
      <c r="D649" s="7">
        <v>0</v>
      </c>
      <c r="E649" s="5">
        <v>0</v>
      </c>
      <c r="F649" s="5">
        <v>0</v>
      </c>
      <c r="G649" s="7">
        <v>0</v>
      </c>
      <c r="H649" s="5">
        <v>95</v>
      </c>
      <c r="I649" s="7">
        <v>12156.2</v>
      </c>
      <c r="J649" s="7">
        <v>58</v>
      </c>
      <c r="K649" s="5">
        <v>0</v>
      </c>
      <c r="L649" s="5">
        <v>0</v>
      </c>
      <c r="M649" s="5">
        <v>58</v>
      </c>
      <c r="N649" s="7">
        <v>58</v>
      </c>
      <c r="O649" s="7">
        <v>10248.599999999999</v>
      </c>
      <c r="P649" s="7">
        <v>230</v>
      </c>
      <c r="Q649" s="5">
        <v>0</v>
      </c>
      <c r="R649" s="5">
        <v>230</v>
      </c>
      <c r="S649" s="7">
        <v>23025</v>
      </c>
      <c r="T649" s="12">
        <v>43217</v>
      </c>
      <c r="U649" s="4">
        <v>3</v>
      </c>
      <c r="X649" s="45">
        <v>45429.8</v>
      </c>
      <c r="Y649" s="14" t="s">
        <v>1636</v>
      </c>
      <c r="Z649" s="14" t="s">
        <v>57</v>
      </c>
      <c r="AA649" s="14" t="s">
        <v>3023</v>
      </c>
      <c r="AB649" s="44">
        <v>43223</v>
      </c>
      <c r="AC649" s="44" t="s">
        <v>3024</v>
      </c>
      <c r="AD649" s="29" t="s">
        <v>49</v>
      </c>
      <c r="AE649" s="24" t="s">
        <v>1537</v>
      </c>
      <c r="AF649" s="25" t="s">
        <v>1267</v>
      </c>
      <c r="AG649" t="e">
        <f t="shared" si="11"/>
        <v>#REF!</v>
      </c>
      <c r="AI649" s="58"/>
    </row>
    <row r="650" spans="1:35" ht="15.75" customHeight="1">
      <c r="A650" s="6" t="s">
        <v>1538</v>
      </c>
      <c r="B650" s="5">
        <v>244</v>
      </c>
      <c r="C650" s="7">
        <v>25752.83</v>
      </c>
      <c r="D650" s="7">
        <v>10</v>
      </c>
      <c r="E650" s="5">
        <v>10</v>
      </c>
      <c r="F650" s="5">
        <v>0</v>
      </c>
      <c r="G650" s="7">
        <v>446</v>
      </c>
      <c r="H650" s="5">
        <v>0</v>
      </c>
      <c r="I650" s="7">
        <v>0</v>
      </c>
      <c r="J650" s="7">
        <v>76</v>
      </c>
      <c r="K650" s="5">
        <v>0</v>
      </c>
      <c r="L650" s="5">
        <v>0</v>
      </c>
      <c r="M650" s="5">
        <v>76</v>
      </c>
      <c r="N650" s="7">
        <v>76</v>
      </c>
      <c r="O650" s="7">
        <v>9631.3000000000011</v>
      </c>
      <c r="P650" s="7">
        <v>73</v>
      </c>
      <c r="Q650" s="5">
        <v>0</v>
      </c>
      <c r="R650" s="5">
        <v>73</v>
      </c>
      <c r="S650" s="7">
        <v>16191.6</v>
      </c>
      <c r="T650" s="12">
        <v>43217</v>
      </c>
      <c r="U650" s="4">
        <v>4</v>
      </c>
      <c r="X650" s="45">
        <v>52021.73</v>
      </c>
      <c r="Y650" s="14" t="s">
        <v>54</v>
      </c>
      <c r="Z650" s="14" t="s">
        <v>59</v>
      </c>
      <c r="AA650" s="14" t="s">
        <v>3025</v>
      </c>
      <c r="AB650" s="44">
        <v>43227</v>
      </c>
      <c r="AC650" s="44" t="s">
        <v>3026</v>
      </c>
      <c r="AD650" s="29" t="s">
        <v>52</v>
      </c>
      <c r="AE650" s="24" t="s">
        <v>1539</v>
      </c>
      <c r="AF650" s="25" t="s">
        <v>1271</v>
      </c>
      <c r="AG650" t="e">
        <f t="shared" si="11"/>
        <v>#REF!</v>
      </c>
      <c r="AI650" s="58"/>
    </row>
    <row r="651" spans="1:35" ht="15.75" customHeight="1">
      <c r="A651" s="6" t="s">
        <v>1540</v>
      </c>
      <c r="B651" s="5">
        <v>1116</v>
      </c>
      <c r="C651" s="7">
        <v>101345.90000000001</v>
      </c>
      <c r="D651" s="7">
        <v>0</v>
      </c>
      <c r="E651" s="5">
        <v>0</v>
      </c>
      <c r="F651" s="5">
        <v>0</v>
      </c>
      <c r="G651" s="7">
        <v>0</v>
      </c>
      <c r="H651" s="5">
        <v>475</v>
      </c>
      <c r="I651" s="7">
        <v>55711.650000000009</v>
      </c>
      <c r="J651" s="7">
        <v>222</v>
      </c>
      <c r="K651" s="5">
        <v>0</v>
      </c>
      <c r="L651" s="5">
        <v>0</v>
      </c>
      <c r="M651" s="5">
        <v>222</v>
      </c>
      <c r="N651" s="7">
        <v>222</v>
      </c>
      <c r="O651" s="7">
        <v>11650.6</v>
      </c>
      <c r="P651" s="7">
        <v>0</v>
      </c>
      <c r="Q651" s="5">
        <v>0</v>
      </c>
      <c r="R651" s="5">
        <v>0</v>
      </c>
      <c r="S651" s="7">
        <v>0</v>
      </c>
      <c r="T651" s="12">
        <v>43217</v>
      </c>
      <c r="U651" s="4">
        <v>13</v>
      </c>
      <c r="X651" s="45">
        <v>168708.15000000002</v>
      </c>
      <c r="Y651" s="14" t="s">
        <v>54</v>
      </c>
      <c r="Z651" s="14" t="s">
        <v>730</v>
      </c>
      <c r="AA651" s="14" t="s">
        <v>3011</v>
      </c>
      <c r="AB651" s="44">
        <v>43221</v>
      </c>
      <c r="AC651" s="44" t="s">
        <v>3012</v>
      </c>
      <c r="AD651" s="29" t="s">
        <v>51</v>
      </c>
      <c r="AE651" s="53" t="s">
        <v>1541</v>
      </c>
      <c r="AF651" s="25" t="s">
        <v>1270</v>
      </c>
      <c r="AG651" t="e">
        <f t="shared" si="11"/>
        <v>#REF!</v>
      </c>
      <c r="AI651" s="58"/>
    </row>
    <row r="652" spans="1:35" ht="15.75" customHeight="1">
      <c r="A652" s="6" t="s">
        <v>1542</v>
      </c>
      <c r="B652" s="5">
        <v>134</v>
      </c>
      <c r="C652" s="7">
        <v>23155.399999999998</v>
      </c>
      <c r="D652" s="7">
        <v>0</v>
      </c>
      <c r="E652" s="5">
        <v>0</v>
      </c>
      <c r="F652" s="5">
        <v>0</v>
      </c>
      <c r="G652" s="7">
        <v>0</v>
      </c>
      <c r="H652" s="5">
        <v>115</v>
      </c>
      <c r="I652" s="7">
        <v>12992.7</v>
      </c>
      <c r="J652" s="7">
        <v>60</v>
      </c>
      <c r="K652" s="5">
        <v>0</v>
      </c>
      <c r="L652" s="5">
        <v>0</v>
      </c>
      <c r="M652" s="5">
        <v>60</v>
      </c>
      <c r="N652" s="7">
        <v>60</v>
      </c>
      <c r="O652" s="7">
        <v>9279.7000000000007</v>
      </c>
      <c r="P652" s="7">
        <v>75</v>
      </c>
      <c r="Q652" s="5">
        <v>0</v>
      </c>
      <c r="R652" s="5">
        <v>75</v>
      </c>
      <c r="S652" s="7">
        <v>17260.5</v>
      </c>
      <c r="T652" s="12">
        <v>43217</v>
      </c>
      <c r="U652" s="4">
        <v>5</v>
      </c>
      <c r="X652" s="45">
        <v>62688.3</v>
      </c>
      <c r="Y652" s="14" t="s">
        <v>56</v>
      </c>
      <c r="Z652" s="14" t="s">
        <v>55</v>
      </c>
      <c r="AA652" s="14" t="s">
        <v>3009</v>
      </c>
      <c r="AB652" s="44">
        <v>43222</v>
      </c>
      <c r="AC652" s="44" t="s">
        <v>3008</v>
      </c>
      <c r="AD652" s="29" t="s">
        <v>51</v>
      </c>
      <c r="AE652" s="24" t="s">
        <v>1543</v>
      </c>
      <c r="AF652" s="25" t="s">
        <v>1270</v>
      </c>
      <c r="AG652" t="e">
        <f t="shared" si="11"/>
        <v>#REF!</v>
      </c>
      <c r="AI652" s="58"/>
    </row>
    <row r="653" spans="1:35" ht="15.75" customHeight="1">
      <c r="A653" s="6" t="s">
        <v>1544</v>
      </c>
      <c r="B653" s="5">
        <v>367</v>
      </c>
      <c r="C653" s="7">
        <v>34047.199999999997</v>
      </c>
      <c r="D653" s="7">
        <v>0</v>
      </c>
      <c r="E653" s="5">
        <v>0</v>
      </c>
      <c r="F653" s="5">
        <v>0</v>
      </c>
      <c r="G653" s="7">
        <v>0</v>
      </c>
      <c r="H653" s="5">
        <v>0</v>
      </c>
      <c r="I653" s="7">
        <v>0</v>
      </c>
      <c r="J653" s="7">
        <v>73</v>
      </c>
      <c r="K653" s="5">
        <v>0</v>
      </c>
      <c r="L653" s="5">
        <v>0</v>
      </c>
      <c r="M653" s="5">
        <v>73</v>
      </c>
      <c r="N653" s="7">
        <v>73</v>
      </c>
      <c r="O653" s="7">
        <v>10044.5</v>
      </c>
      <c r="P653" s="7">
        <v>120</v>
      </c>
      <c r="Q653" s="5">
        <v>0</v>
      </c>
      <c r="R653" s="5">
        <v>120</v>
      </c>
      <c r="S653" s="7">
        <v>13176</v>
      </c>
      <c r="T653" s="12">
        <v>43217</v>
      </c>
      <c r="U653" s="4">
        <v>5</v>
      </c>
      <c r="X653" s="45">
        <v>57267.7</v>
      </c>
      <c r="Y653" s="14" t="s">
        <v>54</v>
      </c>
      <c r="Z653" s="14" t="s">
        <v>59</v>
      </c>
      <c r="AA653" s="14" t="s">
        <v>3010</v>
      </c>
      <c r="AB653" s="44">
        <v>43223</v>
      </c>
      <c r="AC653" s="44" t="s">
        <v>3005</v>
      </c>
      <c r="AD653" s="29" t="s">
        <v>50</v>
      </c>
      <c r="AE653" s="24" t="s">
        <v>1545</v>
      </c>
      <c r="AF653" s="25" t="s">
        <v>1269</v>
      </c>
      <c r="AG653" t="e">
        <f t="shared" si="11"/>
        <v>#REF!</v>
      </c>
      <c r="AI653" s="58"/>
    </row>
    <row r="654" spans="1:35" ht="15.75" customHeight="1">
      <c r="A654" s="6" t="s">
        <v>1546</v>
      </c>
      <c r="B654" s="5">
        <v>324</v>
      </c>
      <c r="C654" s="7">
        <v>27653.599999999999</v>
      </c>
      <c r="D654" s="7">
        <v>0</v>
      </c>
      <c r="E654" s="5">
        <v>0</v>
      </c>
      <c r="F654" s="5">
        <v>0</v>
      </c>
      <c r="G654" s="7">
        <v>0</v>
      </c>
      <c r="H654" s="5">
        <v>0</v>
      </c>
      <c r="I654" s="7">
        <v>0</v>
      </c>
      <c r="J654" s="7">
        <v>59</v>
      </c>
      <c r="K654" s="5">
        <v>0</v>
      </c>
      <c r="L654" s="5">
        <v>0</v>
      </c>
      <c r="M654" s="5">
        <v>59</v>
      </c>
      <c r="N654" s="7">
        <v>59</v>
      </c>
      <c r="O654" s="7">
        <v>9848</v>
      </c>
      <c r="P654" s="7">
        <v>348</v>
      </c>
      <c r="Q654" s="5">
        <v>0</v>
      </c>
      <c r="R654" s="5">
        <v>348</v>
      </c>
      <c r="S654" s="7">
        <v>71339.600000000006</v>
      </c>
      <c r="T654" s="12">
        <v>43217</v>
      </c>
      <c r="U654" s="4">
        <v>7</v>
      </c>
      <c r="X654" s="45">
        <v>108841.20000000001</v>
      </c>
      <c r="Y654" s="14" t="s">
        <v>54</v>
      </c>
      <c r="Z654" s="14" t="s">
        <v>59</v>
      </c>
      <c r="AA654" s="14" t="s">
        <v>3027</v>
      </c>
      <c r="AB654" s="44">
        <v>43228</v>
      </c>
      <c r="AC654" s="44" t="s">
        <v>3028</v>
      </c>
      <c r="AD654" s="29" t="s">
        <v>50</v>
      </c>
      <c r="AE654" s="24" t="s">
        <v>1547</v>
      </c>
      <c r="AF654" s="25" t="s">
        <v>1269</v>
      </c>
      <c r="AG654" t="e">
        <f t="shared" si="11"/>
        <v>#REF!</v>
      </c>
      <c r="AI654" s="58"/>
    </row>
    <row r="655" spans="1:35" ht="15.75" customHeight="1">
      <c r="A655" s="6" t="s">
        <v>1548</v>
      </c>
      <c r="B655" s="5">
        <v>77</v>
      </c>
      <c r="C655" s="7">
        <v>11452.5</v>
      </c>
      <c r="D655" s="7">
        <v>0</v>
      </c>
      <c r="E655" s="5">
        <v>0</v>
      </c>
      <c r="F655" s="5">
        <v>0</v>
      </c>
      <c r="G655" s="7">
        <v>0</v>
      </c>
      <c r="H655" s="5">
        <v>95</v>
      </c>
      <c r="I655" s="7">
        <v>12156.2</v>
      </c>
      <c r="J655" s="7">
        <v>0</v>
      </c>
      <c r="K655" s="5">
        <v>0</v>
      </c>
      <c r="L655" s="5">
        <v>0</v>
      </c>
      <c r="M655" s="5">
        <v>0</v>
      </c>
      <c r="N655" s="7">
        <v>0</v>
      </c>
      <c r="O655" s="7">
        <v>0</v>
      </c>
      <c r="P655" s="7">
        <v>320</v>
      </c>
      <c r="Q655" s="5">
        <v>0</v>
      </c>
      <c r="R655" s="5">
        <v>320</v>
      </c>
      <c r="S655" s="7">
        <v>34216</v>
      </c>
      <c r="T655" s="12">
        <v>43217</v>
      </c>
      <c r="U655" s="4">
        <v>4</v>
      </c>
      <c r="V655" s="4">
        <v>5</v>
      </c>
      <c r="W655" s="4">
        <v>5</v>
      </c>
      <c r="X655" s="45">
        <v>57824.7</v>
      </c>
      <c r="Y655" s="14" t="s">
        <v>56</v>
      </c>
      <c r="Z655" s="14" t="s">
        <v>1492</v>
      </c>
      <c r="AA655" s="14" t="s">
        <v>3007</v>
      </c>
      <c r="AB655" s="44">
        <v>43222</v>
      </c>
      <c r="AC655" s="44" t="s">
        <v>3008</v>
      </c>
      <c r="AD655" s="29" t="s">
        <v>49</v>
      </c>
      <c r="AE655" s="24" t="s">
        <v>1549</v>
      </c>
      <c r="AF655" s="25" t="s">
        <v>1266</v>
      </c>
      <c r="AG655" t="e">
        <f t="shared" si="11"/>
        <v>#REF!</v>
      </c>
      <c r="AI655" s="58"/>
    </row>
    <row r="656" spans="1:35" ht="15.75" customHeight="1">
      <c r="A656" s="6" t="s">
        <v>1560</v>
      </c>
      <c r="B656" s="5">
        <v>87</v>
      </c>
      <c r="C656" s="7">
        <v>8740.4</v>
      </c>
      <c r="D656" s="7">
        <v>0</v>
      </c>
      <c r="E656" s="5">
        <v>0</v>
      </c>
      <c r="F656" s="5">
        <v>0</v>
      </c>
      <c r="G656" s="7">
        <v>0</v>
      </c>
      <c r="H656" s="5">
        <v>30</v>
      </c>
      <c r="I656" s="7">
        <v>3838.8</v>
      </c>
      <c r="J656" s="7">
        <v>58</v>
      </c>
      <c r="K656" s="5">
        <v>0</v>
      </c>
      <c r="L656" s="5">
        <v>0</v>
      </c>
      <c r="M656" s="5">
        <v>58</v>
      </c>
      <c r="N656" s="7">
        <v>58</v>
      </c>
      <c r="O656" s="7">
        <v>10248.599999999999</v>
      </c>
      <c r="P656" s="7">
        <v>0</v>
      </c>
      <c r="Q656" s="5">
        <v>0</v>
      </c>
      <c r="R656" s="5">
        <v>0</v>
      </c>
      <c r="S656" s="7">
        <v>0</v>
      </c>
      <c r="T656" s="12">
        <v>43222</v>
      </c>
      <c r="U656" s="4">
        <v>2</v>
      </c>
      <c r="V656" s="4">
        <v>1</v>
      </c>
      <c r="W656" s="4">
        <v>1</v>
      </c>
      <c r="X656" s="45">
        <v>22827.8</v>
      </c>
      <c r="Y656" s="14" t="s">
        <v>85</v>
      </c>
      <c r="Z656" s="14" t="s">
        <v>1492</v>
      </c>
      <c r="AA656" s="14">
        <v>350810039500</v>
      </c>
      <c r="AB656" s="44">
        <v>43227</v>
      </c>
      <c r="AC656" s="44" t="s">
        <v>3029</v>
      </c>
      <c r="AD656" s="29" t="s">
        <v>49</v>
      </c>
      <c r="AE656" s="24" t="s">
        <v>1584</v>
      </c>
      <c r="AF656" s="25" t="s">
        <v>1266</v>
      </c>
      <c r="AG656" t="e">
        <f t="shared" si="11"/>
        <v>#REF!</v>
      </c>
      <c r="AI656" s="58"/>
    </row>
    <row r="657" spans="1:35" ht="15.75" customHeight="1">
      <c r="A657" s="6" t="s">
        <v>1562</v>
      </c>
      <c r="B657" s="5">
        <v>36</v>
      </c>
      <c r="C657" s="7">
        <v>5049.4999999999982</v>
      </c>
      <c r="D657" s="7">
        <v>0</v>
      </c>
      <c r="E657" s="5">
        <v>0</v>
      </c>
      <c r="F657" s="5">
        <v>0</v>
      </c>
      <c r="G657" s="7">
        <v>0</v>
      </c>
      <c r="H657" s="5">
        <v>15</v>
      </c>
      <c r="I657" s="7">
        <v>658</v>
      </c>
      <c r="J657" s="7">
        <v>12</v>
      </c>
      <c r="K657" s="5">
        <v>0</v>
      </c>
      <c r="L657" s="5">
        <v>0</v>
      </c>
      <c r="M657" s="5">
        <v>12</v>
      </c>
      <c r="N657" s="7">
        <v>12</v>
      </c>
      <c r="O657" s="7">
        <v>1569.3</v>
      </c>
      <c r="P657" s="7">
        <v>65</v>
      </c>
      <c r="Q657" s="5">
        <v>0</v>
      </c>
      <c r="R657" s="5">
        <v>65</v>
      </c>
      <c r="S657" s="7">
        <v>7495.9</v>
      </c>
      <c r="T657" s="12">
        <v>43222</v>
      </c>
      <c r="U657" s="4">
        <v>1</v>
      </c>
      <c r="V657" s="4">
        <v>6</v>
      </c>
      <c r="W657" s="4">
        <v>6</v>
      </c>
      <c r="X657" s="45">
        <v>14772.699999999997</v>
      </c>
      <c r="Y657" s="14" t="s">
        <v>1354</v>
      </c>
      <c r="Z657" s="14" t="s">
        <v>57</v>
      </c>
      <c r="AA657" s="14" t="s">
        <v>3030</v>
      </c>
      <c r="AB657" s="44">
        <v>43225</v>
      </c>
      <c r="AC657" s="44" t="s">
        <v>3031</v>
      </c>
      <c r="AD657" s="29" t="s">
        <v>240</v>
      </c>
      <c r="AE657" s="24" t="s">
        <v>1586</v>
      </c>
      <c r="AF657" s="25" t="s">
        <v>1274</v>
      </c>
      <c r="AG657" t="e">
        <f t="shared" si="11"/>
        <v>#REF!</v>
      </c>
      <c r="AI657" s="58"/>
    </row>
    <row r="658" spans="1:35" ht="15.75" customHeight="1">
      <c r="A658" s="6" t="s">
        <v>1567</v>
      </c>
      <c r="B658" s="5">
        <v>0</v>
      </c>
      <c r="C658" s="7">
        <v>0</v>
      </c>
      <c r="D658" s="7">
        <v>0</v>
      </c>
      <c r="E658" s="5">
        <v>0</v>
      </c>
      <c r="F658" s="5">
        <v>0</v>
      </c>
      <c r="G658" s="7">
        <v>0</v>
      </c>
      <c r="H658" s="5">
        <v>0</v>
      </c>
      <c r="I658" s="7">
        <v>0</v>
      </c>
      <c r="J658" s="7">
        <v>0</v>
      </c>
      <c r="K658" s="5">
        <v>0</v>
      </c>
      <c r="L658" s="5">
        <v>0</v>
      </c>
      <c r="M658" s="5">
        <v>0</v>
      </c>
      <c r="N658" s="7">
        <v>0</v>
      </c>
      <c r="O658" s="7">
        <v>0</v>
      </c>
      <c r="P658" s="7">
        <v>1288</v>
      </c>
      <c r="Q658" s="5">
        <v>0</v>
      </c>
      <c r="R658" s="5">
        <v>1288</v>
      </c>
      <c r="S658" s="7">
        <v>151831.4</v>
      </c>
      <c r="T658" s="12">
        <v>43222</v>
      </c>
      <c r="U658" s="4">
        <v>9</v>
      </c>
      <c r="V658" s="4">
        <v>3</v>
      </c>
      <c r="W658" s="4">
        <v>1</v>
      </c>
      <c r="X658" s="45">
        <v>151831.4</v>
      </c>
      <c r="Y658" s="14" t="s">
        <v>56</v>
      </c>
      <c r="Z658" s="14" t="s">
        <v>1281</v>
      </c>
      <c r="AA658" s="14" t="s">
        <v>3032</v>
      </c>
      <c r="AB658" s="44">
        <v>43229</v>
      </c>
      <c r="AC658" s="44" t="s">
        <v>3033</v>
      </c>
      <c r="AD658" s="29" t="s">
        <v>51</v>
      </c>
      <c r="AE658" s="24" t="s">
        <v>1585</v>
      </c>
      <c r="AF658" s="25" t="s">
        <v>1270</v>
      </c>
      <c r="AG658" t="e">
        <f t="shared" si="11"/>
        <v>#REF!</v>
      </c>
      <c r="AI658" s="58"/>
    </row>
    <row r="659" spans="1:35" ht="15.75" customHeight="1">
      <c r="A659" s="6" t="s">
        <v>1569</v>
      </c>
      <c r="B659" s="5">
        <v>0</v>
      </c>
      <c r="C659" s="7">
        <v>0</v>
      </c>
      <c r="D659" s="7">
        <v>0</v>
      </c>
      <c r="E659" s="5">
        <v>0</v>
      </c>
      <c r="F659" s="5">
        <v>0</v>
      </c>
      <c r="G659" s="7">
        <v>0</v>
      </c>
      <c r="H659" s="5">
        <v>0</v>
      </c>
      <c r="I659" s="7">
        <v>0</v>
      </c>
      <c r="J659" s="7">
        <v>0</v>
      </c>
      <c r="K659" s="5">
        <v>0</v>
      </c>
      <c r="L659" s="5">
        <v>0</v>
      </c>
      <c r="M659" s="5">
        <v>0</v>
      </c>
      <c r="N659" s="7">
        <v>0</v>
      </c>
      <c r="O659" s="7">
        <v>0</v>
      </c>
      <c r="P659" s="7">
        <v>123</v>
      </c>
      <c r="Q659" s="5">
        <v>0</v>
      </c>
      <c r="R659" s="5">
        <v>123</v>
      </c>
      <c r="S659" s="7">
        <v>31465.4</v>
      </c>
      <c r="T659" s="12">
        <v>43222</v>
      </c>
      <c r="U659" s="4">
        <v>2</v>
      </c>
      <c r="V659" s="4">
        <v>3</v>
      </c>
      <c r="W659" s="4">
        <v>1</v>
      </c>
      <c r="X659" s="45">
        <v>31465.4</v>
      </c>
      <c r="Y659" s="14" t="s">
        <v>54</v>
      </c>
      <c r="Z659" s="14" t="s">
        <v>59</v>
      </c>
      <c r="AA659" s="14" t="s">
        <v>3034</v>
      </c>
      <c r="AB659" s="44">
        <v>43233</v>
      </c>
      <c r="AC659" s="44" t="s">
        <v>3035</v>
      </c>
      <c r="AD659" s="29" t="s">
        <v>50</v>
      </c>
      <c r="AE659" s="24" t="s">
        <v>1587</v>
      </c>
      <c r="AF659" s="25" t="s">
        <v>1269</v>
      </c>
      <c r="AG659" t="e">
        <f t="shared" si="11"/>
        <v>#REF!</v>
      </c>
      <c r="AI659" s="58"/>
    </row>
    <row r="660" spans="1:35" ht="15.75" customHeight="1">
      <c r="A660" s="6" t="s">
        <v>1563</v>
      </c>
      <c r="B660" s="5">
        <v>0</v>
      </c>
      <c r="C660" s="7">
        <v>0</v>
      </c>
      <c r="D660" s="7">
        <v>0</v>
      </c>
      <c r="E660" s="5">
        <v>0</v>
      </c>
      <c r="F660" s="5">
        <v>0</v>
      </c>
      <c r="G660" s="7">
        <v>0</v>
      </c>
      <c r="H660" s="5">
        <v>618</v>
      </c>
      <c r="I660" s="7">
        <v>87291.920000000013</v>
      </c>
      <c r="J660" s="7">
        <v>52</v>
      </c>
      <c r="K660" s="5">
        <v>0</v>
      </c>
      <c r="L660" s="5">
        <v>0</v>
      </c>
      <c r="M660" s="5">
        <v>52</v>
      </c>
      <c r="N660" s="7">
        <v>52</v>
      </c>
      <c r="O660" s="7">
        <v>13348.4</v>
      </c>
      <c r="P660" s="7">
        <v>139</v>
      </c>
      <c r="Q660" s="5">
        <v>0</v>
      </c>
      <c r="R660" s="5">
        <v>139</v>
      </c>
      <c r="S660" s="7">
        <v>30158</v>
      </c>
      <c r="T660" s="12">
        <v>43223</v>
      </c>
      <c r="U660" s="4">
        <v>8</v>
      </c>
      <c r="V660" s="4">
        <v>3</v>
      </c>
      <c r="W660" s="4" t="s">
        <v>32</v>
      </c>
      <c r="X660" s="45">
        <v>130798.32</v>
      </c>
      <c r="Y660" s="14" t="s">
        <v>56</v>
      </c>
      <c r="Z660" s="14" t="s">
        <v>1355</v>
      </c>
      <c r="AA660" s="14" t="s">
        <v>3036</v>
      </c>
      <c r="AB660" s="44">
        <v>43226</v>
      </c>
      <c r="AC660" s="44" t="s">
        <v>3037</v>
      </c>
      <c r="AD660" s="29" t="s">
        <v>49</v>
      </c>
      <c r="AE660" s="24" t="s">
        <v>1595</v>
      </c>
      <c r="AF660" s="25" t="s">
        <v>1265</v>
      </c>
      <c r="AG660" t="e">
        <f t="shared" si="11"/>
        <v>#REF!</v>
      </c>
      <c r="AI660" s="58"/>
    </row>
    <row r="661" spans="1:35" ht="15.75" customHeight="1">
      <c r="A661" s="6" t="s">
        <v>1564</v>
      </c>
      <c r="B661" s="5">
        <v>212</v>
      </c>
      <c r="C661" s="7">
        <v>22358.9</v>
      </c>
      <c r="D661" s="7">
        <v>0</v>
      </c>
      <c r="E661" s="5">
        <v>0</v>
      </c>
      <c r="F661" s="5">
        <v>0</v>
      </c>
      <c r="G661" s="7">
        <v>0</v>
      </c>
      <c r="H661" s="5">
        <v>20</v>
      </c>
      <c r="I661" s="7">
        <v>1919.4</v>
      </c>
      <c r="J661" s="7">
        <v>0</v>
      </c>
      <c r="K661" s="5">
        <v>0</v>
      </c>
      <c r="L661" s="5">
        <v>0</v>
      </c>
      <c r="M661" s="5">
        <v>0</v>
      </c>
      <c r="N661" s="7">
        <v>0</v>
      </c>
      <c r="O661" s="7">
        <v>0</v>
      </c>
      <c r="P661" s="7">
        <v>0</v>
      </c>
      <c r="Q661" s="5">
        <v>0</v>
      </c>
      <c r="R661" s="5">
        <v>0</v>
      </c>
      <c r="S661" s="7">
        <v>0</v>
      </c>
      <c r="T661" s="12">
        <v>43223</v>
      </c>
      <c r="U661" s="4">
        <v>2</v>
      </c>
      <c r="V661" s="4">
        <v>4</v>
      </c>
      <c r="W661" s="4">
        <v>12</v>
      </c>
      <c r="X661" s="45">
        <v>24278.300000000003</v>
      </c>
      <c r="Y661" s="14" t="s">
        <v>85</v>
      </c>
      <c r="Z661" s="14" t="s">
        <v>57</v>
      </c>
      <c r="AA661" s="14">
        <v>350810039500</v>
      </c>
      <c r="AB661" s="44">
        <v>43227</v>
      </c>
      <c r="AC661" s="44" t="s">
        <v>3029</v>
      </c>
      <c r="AD661" s="29" t="s">
        <v>49</v>
      </c>
      <c r="AE661" s="24" t="s">
        <v>1594</v>
      </c>
      <c r="AF661" s="25" t="s">
        <v>1267</v>
      </c>
      <c r="AG661" t="e">
        <f t="shared" ref="AG661:AG692" si="12">+VLOOKUP(AF661,AH:AH,2,0)</f>
        <v>#REF!</v>
      </c>
      <c r="AI661" s="58"/>
    </row>
    <row r="662" spans="1:35" ht="15.75" customHeight="1">
      <c r="A662" s="6" t="s">
        <v>1565</v>
      </c>
      <c r="B662" s="5">
        <v>183</v>
      </c>
      <c r="C662" s="7">
        <v>23957.800000000003</v>
      </c>
      <c r="D662" s="7">
        <v>0</v>
      </c>
      <c r="E662" s="5">
        <v>0</v>
      </c>
      <c r="F662" s="5">
        <v>0</v>
      </c>
      <c r="G662" s="7">
        <v>0</v>
      </c>
      <c r="H662" s="5">
        <v>222</v>
      </c>
      <c r="I662" s="7">
        <v>30562.93</v>
      </c>
      <c r="J662" s="7">
        <v>0</v>
      </c>
      <c r="K662" s="5">
        <v>0</v>
      </c>
      <c r="L662" s="5">
        <v>0</v>
      </c>
      <c r="M662" s="5">
        <v>0</v>
      </c>
      <c r="N662" s="7">
        <v>0</v>
      </c>
      <c r="O662" s="7">
        <v>0</v>
      </c>
      <c r="P662" s="7">
        <v>0</v>
      </c>
      <c r="Q662" s="5">
        <v>0</v>
      </c>
      <c r="R662" s="5">
        <v>0</v>
      </c>
      <c r="S662" s="7">
        <v>0</v>
      </c>
      <c r="T662" s="12">
        <v>43223</v>
      </c>
      <c r="U662" s="4">
        <v>4</v>
      </c>
      <c r="V662" s="4">
        <v>4</v>
      </c>
      <c r="W662" s="4">
        <v>12</v>
      </c>
      <c r="X662" s="45">
        <v>54520.73</v>
      </c>
      <c r="Y662" s="14" t="s">
        <v>54</v>
      </c>
      <c r="Z662" s="48" t="s">
        <v>57</v>
      </c>
      <c r="AA662" s="14" t="s">
        <v>3025</v>
      </c>
      <c r="AB662" s="44">
        <v>43227</v>
      </c>
      <c r="AC662" s="44" t="s">
        <v>3026</v>
      </c>
      <c r="AD662" s="29" t="s">
        <v>52</v>
      </c>
      <c r="AE662" s="24" t="s">
        <v>1593</v>
      </c>
      <c r="AF662" s="25" t="s">
        <v>1271</v>
      </c>
      <c r="AG662" t="e">
        <f t="shared" si="12"/>
        <v>#REF!</v>
      </c>
      <c r="AI662" s="58"/>
    </row>
    <row r="663" spans="1:35" ht="15.75" customHeight="1">
      <c r="A663" s="6" t="s">
        <v>1570</v>
      </c>
      <c r="B663" s="5">
        <v>0</v>
      </c>
      <c r="C663" s="7">
        <v>0</v>
      </c>
      <c r="D663" s="7">
        <v>0</v>
      </c>
      <c r="E663" s="5">
        <v>0</v>
      </c>
      <c r="F663" s="5">
        <v>0</v>
      </c>
      <c r="G663" s="7">
        <v>0</v>
      </c>
      <c r="H663" s="5">
        <v>0</v>
      </c>
      <c r="I663" s="7">
        <v>0</v>
      </c>
      <c r="J663" s="7">
        <v>58</v>
      </c>
      <c r="K663" s="5">
        <v>0</v>
      </c>
      <c r="L663" s="5">
        <v>0</v>
      </c>
      <c r="M663" s="5">
        <v>58</v>
      </c>
      <c r="N663" s="7">
        <v>58</v>
      </c>
      <c r="O663" s="7">
        <v>10358.799999999999</v>
      </c>
      <c r="P663" s="7">
        <v>198</v>
      </c>
      <c r="Q663" s="5">
        <v>0</v>
      </c>
      <c r="R663" s="5">
        <v>198</v>
      </c>
      <c r="S663" s="7">
        <v>26390.400000000001</v>
      </c>
      <c r="T663" s="12">
        <v>43223</v>
      </c>
      <c r="U663" s="4">
        <v>3</v>
      </c>
      <c r="V663" s="4">
        <v>4</v>
      </c>
      <c r="W663" s="4">
        <v>12</v>
      </c>
      <c r="X663" s="45">
        <v>36749.199999999997</v>
      </c>
      <c r="Y663" s="14" t="s">
        <v>56</v>
      </c>
      <c r="Z663" s="14" t="s">
        <v>1355</v>
      </c>
      <c r="AA663" s="14" t="s">
        <v>3038</v>
      </c>
      <c r="AB663" s="44">
        <v>43230</v>
      </c>
      <c r="AC663" s="44" t="s">
        <v>3039</v>
      </c>
      <c r="AD663" s="29" t="s">
        <v>52</v>
      </c>
      <c r="AE663" s="24" t="s">
        <v>1592</v>
      </c>
      <c r="AF663" s="25" t="s">
        <v>1271</v>
      </c>
      <c r="AG663" t="e">
        <f t="shared" si="12"/>
        <v>#REF!</v>
      </c>
      <c r="AI663" s="58"/>
    </row>
    <row r="664" spans="1:35" ht="15.75" customHeight="1">
      <c r="A664" s="6" t="s">
        <v>1566</v>
      </c>
      <c r="B664" s="5">
        <v>1190</v>
      </c>
      <c r="C664" s="7">
        <v>111242.02</v>
      </c>
      <c r="D664" s="7">
        <v>15</v>
      </c>
      <c r="E664" s="5">
        <v>15</v>
      </c>
      <c r="F664" s="5">
        <v>0</v>
      </c>
      <c r="G664" s="7">
        <v>664.5</v>
      </c>
      <c r="H664" s="5">
        <v>440</v>
      </c>
      <c r="I664" s="7">
        <v>44111.45</v>
      </c>
      <c r="J664" s="7">
        <v>203</v>
      </c>
      <c r="K664" s="5">
        <v>0</v>
      </c>
      <c r="L664" s="5">
        <v>0</v>
      </c>
      <c r="M664" s="5">
        <v>203</v>
      </c>
      <c r="N664" s="7">
        <v>203</v>
      </c>
      <c r="O664" s="7">
        <v>31534.300000000003</v>
      </c>
      <c r="P664" s="7">
        <v>85</v>
      </c>
      <c r="Q664" s="5">
        <v>0</v>
      </c>
      <c r="R664" s="5">
        <v>85</v>
      </c>
      <c r="S664" s="7">
        <v>18238</v>
      </c>
      <c r="T664" s="12">
        <v>43223</v>
      </c>
      <c r="U664" s="4">
        <v>15</v>
      </c>
      <c r="V664" s="4">
        <v>4</v>
      </c>
      <c r="W664" s="4">
        <v>12</v>
      </c>
      <c r="X664" s="45">
        <v>205790.27000000002</v>
      </c>
      <c r="Y664" s="14" t="s">
        <v>54</v>
      </c>
      <c r="Z664" s="14" t="s">
        <v>59</v>
      </c>
      <c r="AA664" s="14" t="s">
        <v>3040</v>
      </c>
      <c r="AB664" s="44">
        <v>43227</v>
      </c>
      <c r="AC664" s="44" t="s">
        <v>3026</v>
      </c>
      <c r="AD664" s="29" t="s">
        <v>51</v>
      </c>
      <c r="AE664" s="24" t="s">
        <v>1591</v>
      </c>
      <c r="AF664" s="25" t="s">
        <v>1270</v>
      </c>
      <c r="AG664" t="e">
        <f t="shared" si="12"/>
        <v>#REF!</v>
      </c>
      <c r="AI664" s="58"/>
    </row>
    <row r="665" spans="1:35" ht="15.75" customHeight="1">
      <c r="A665" s="6" t="s">
        <v>1571</v>
      </c>
      <c r="B665" s="5">
        <v>308</v>
      </c>
      <c r="C665" s="7">
        <v>24765.720000000005</v>
      </c>
      <c r="D665" s="7">
        <v>15</v>
      </c>
      <c r="E665" s="5">
        <v>15</v>
      </c>
      <c r="F665" s="5">
        <v>0</v>
      </c>
      <c r="G665" s="7">
        <v>664.5</v>
      </c>
      <c r="H665" s="5">
        <v>544</v>
      </c>
      <c r="I665" s="7">
        <v>64261.770000000004</v>
      </c>
      <c r="J665" s="7">
        <v>181</v>
      </c>
      <c r="K665" s="5">
        <v>0</v>
      </c>
      <c r="L665" s="5">
        <v>0</v>
      </c>
      <c r="M665" s="5">
        <v>181</v>
      </c>
      <c r="N665" s="7">
        <v>181</v>
      </c>
      <c r="O665" s="7">
        <v>30026.499999999996</v>
      </c>
      <c r="P665" s="7">
        <v>660</v>
      </c>
      <c r="Q665" s="5">
        <v>0</v>
      </c>
      <c r="R665" s="5">
        <v>660</v>
      </c>
      <c r="S665" s="7">
        <v>69086</v>
      </c>
      <c r="T665" s="12">
        <v>43223</v>
      </c>
      <c r="U665" s="4">
        <v>13</v>
      </c>
      <c r="V665" s="4">
        <v>4</v>
      </c>
      <c r="W665" s="4">
        <v>12</v>
      </c>
      <c r="X665" s="45">
        <v>188804.49</v>
      </c>
      <c r="Y665" s="14" t="s">
        <v>54</v>
      </c>
      <c r="Z665" s="14" t="s">
        <v>55</v>
      </c>
      <c r="AA665" s="14" t="s">
        <v>3041</v>
      </c>
      <c r="AB665" s="44">
        <v>43231</v>
      </c>
      <c r="AC665" s="44" t="s">
        <v>3042</v>
      </c>
      <c r="AD665" s="29" t="s">
        <v>51</v>
      </c>
      <c r="AE665" s="24" t="s">
        <v>1590</v>
      </c>
      <c r="AF665" s="25" t="s">
        <v>1270</v>
      </c>
      <c r="AG665" t="e">
        <f t="shared" si="12"/>
        <v>#REF!</v>
      </c>
      <c r="AI665" s="58"/>
    </row>
    <row r="666" spans="1:35" ht="15.75" customHeight="1">
      <c r="A666" s="6" t="s">
        <v>1568</v>
      </c>
      <c r="B666" s="5">
        <v>689</v>
      </c>
      <c r="C666" s="7">
        <v>65481.999999999993</v>
      </c>
      <c r="D666" s="7">
        <v>0</v>
      </c>
      <c r="E666" s="5">
        <v>0</v>
      </c>
      <c r="F666" s="5">
        <v>0</v>
      </c>
      <c r="G666" s="7">
        <v>0</v>
      </c>
      <c r="H666" s="5">
        <v>0</v>
      </c>
      <c r="I666" s="7">
        <v>0</v>
      </c>
      <c r="J666" s="7">
        <v>197</v>
      </c>
      <c r="K666" s="5">
        <v>0</v>
      </c>
      <c r="L666" s="5">
        <v>0</v>
      </c>
      <c r="M666" s="5">
        <v>197</v>
      </c>
      <c r="N666" s="7">
        <v>197</v>
      </c>
      <c r="O666" s="7">
        <v>37140.1</v>
      </c>
      <c r="P666" s="7">
        <v>0</v>
      </c>
      <c r="Q666" s="5">
        <v>0</v>
      </c>
      <c r="R666" s="5">
        <v>0</v>
      </c>
      <c r="S666" s="7">
        <v>0</v>
      </c>
      <c r="T666" s="12">
        <v>43223</v>
      </c>
      <c r="U666" s="4">
        <v>9</v>
      </c>
      <c r="V666" s="4">
        <v>4</v>
      </c>
      <c r="W666" s="4">
        <v>12</v>
      </c>
      <c r="X666" s="45">
        <v>102622.09999999999</v>
      </c>
      <c r="Y666" s="14" t="s">
        <v>54</v>
      </c>
      <c r="Z666" s="14" t="s">
        <v>55</v>
      </c>
      <c r="AA666" s="14" t="s">
        <v>3027</v>
      </c>
      <c r="AB666" s="44">
        <v>43228</v>
      </c>
      <c r="AC666" s="44" t="s">
        <v>3028</v>
      </c>
      <c r="AD666" s="29" t="s">
        <v>50</v>
      </c>
      <c r="AE666" s="24" t="s">
        <v>1589</v>
      </c>
      <c r="AF666" s="25" t="s">
        <v>1269</v>
      </c>
      <c r="AG666" t="e">
        <f t="shared" si="12"/>
        <v>#REF!</v>
      </c>
      <c r="AI666" s="58"/>
    </row>
    <row r="667" spans="1:35" ht="15.75" customHeight="1">
      <c r="A667" s="6" t="s">
        <v>1572</v>
      </c>
      <c r="B667" s="5">
        <v>289</v>
      </c>
      <c r="C667" s="7">
        <v>32809.680000000008</v>
      </c>
      <c r="D667" s="7">
        <v>0</v>
      </c>
      <c r="E667" s="5">
        <v>0</v>
      </c>
      <c r="F667" s="5">
        <v>0</v>
      </c>
      <c r="G667" s="7">
        <v>0</v>
      </c>
      <c r="H667" s="5">
        <v>80</v>
      </c>
      <c r="I667" s="7">
        <v>2368.5</v>
      </c>
      <c r="J667" s="7">
        <v>181</v>
      </c>
      <c r="K667" s="5">
        <v>0</v>
      </c>
      <c r="L667" s="5">
        <v>0</v>
      </c>
      <c r="M667" s="5">
        <v>181</v>
      </c>
      <c r="N667" s="7">
        <v>181</v>
      </c>
      <c r="O667" s="7">
        <v>29309.9</v>
      </c>
      <c r="P667" s="7">
        <v>201</v>
      </c>
      <c r="Q667" s="5">
        <v>0</v>
      </c>
      <c r="R667" s="5">
        <v>201</v>
      </c>
      <c r="S667" s="7">
        <v>32620.400000000001</v>
      </c>
      <c r="T667" s="12">
        <v>43223</v>
      </c>
      <c r="U667" s="4">
        <v>8</v>
      </c>
      <c r="V667" s="4">
        <v>4</v>
      </c>
      <c r="W667" s="4">
        <v>12</v>
      </c>
      <c r="X667" s="45">
        <v>97108.48000000001</v>
      </c>
      <c r="Y667" s="14" t="s">
        <v>54</v>
      </c>
      <c r="Z667" s="14" t="s">
        <v>59</v>
      </c>
      <c r="AA667" s="14" t="s">
        <v>3034</v>
      </c>
      <c r="AB667" s="44">
        <v>43233</v>
      </c>
      <c r="AC667" s="44" t="s">
        <v>3035</v>
      </c>
      <c r="AD667" s="29" t="s">
        <v>50</v>
      </c>
      <c r="AE667" s="24" t="s">
        <v>1588</v>
      </c>
      <c r="AF667" s="25" t="s">
        <v>1269</v>
      </c>
      <c r="AG667" t="e">
        <f t="shared" si="12"/>
        <v>#REF!</v>
      </c>
      <c r="AI667" s="58"/>
    </row>
    <row r="668" spans="1:35" ht="15.75" customHeight="1">
      <c r="A668" s="6" t="s">
        <v>1573</v>
      </c>
      <c r="B668" s="5">
        <v>222</v>
      </c>
      <c r="C668" s="7">
        <v>22969</v>
      </c>
      <c r="D668" s="7">
        <v>0</v>
      </c>
      <c r="E668" s="5">
        <v>0</v>
      </c>
      <c r="F668" s="5">
        <v>0</v>
      </c>
      <c r="G668" s="7">
        <v>0</v>
      </c>
      <c r="H668" s="5">
        <v>0</v>
      </c>
      <c r="I668" s="7">
        <v>0</v>
      </c>
      <c r="J668" s="7">
        <v>0</v>
      </c>
      <c r="K668" s="5">
        <v>0</v>
      </c>
      <c r="L668" s="5">
        <v>0</v>
      </c>
      <c r="M668" s="5">
        <v>0</v>
      </c>
      <c r="N668" s="7">
        <v>0</v>
      </c>
      <c r="O668" s="7">
        <v>0</v>
      </c>
      <c r="P668" s="7">
        <v>69</v>
      </c>
      <c r="Q668" s="5">
        <v>0</v>
      </c>
      <c r="R668" s="5">
        <v>69</v>
      </c>
      <c r="S668" s="7">
        <v>17592.3</v>
      </c>
      <c r="T668" s="12">
        <v>43225</v>
      </c>
      <c r="U668" s="4">
        <v>3</v>
      </c>
      <c r="V668" s="4">
        <v>4</v>
      </c>
      <c r="W668" s="4">
        <v>12</v>
      </c>
      <c r="X668" s="45">
        <v>40561.300000000003</v>
      </c>
      <c r="Y668" s="14" t="s">
        <v>1608</v>
      </c>
      <c r="Z668" s="14" t="s">
        <v>1355</v>
      </c>
      <c r="AA668" s="14" t="s">
        <v>3043</v>
      </c>
      <c r="AB668" s="44">
        <v>43235</v>
      </c>
      <c r="AC668" s="44" t="s">
        <v>3044</v>
      </c>
      <c r="AD668" s="29" t="s">
        <v>1010</v>
      </c>
      <c r="AE668" s="24">
        <v>2500000040388</v>
      </c>
      <c r="AF668" s="25" t="s">
        <v>1602</v>
      </c>
      <c r="AG668" t="e">
        <f t="shared" si="12"/>
        <v>#N/A</v>
      </c>
      <c r="AI668" s="58"/>
    </row>
    <row r="669" spans="1:35" ht="15.75" customHeight="1">
      <c r="A669" s="6" t="s">
        <v>1574</v>
      </c>
      <c r="B669" s="5">
        <v>0</v>
      </c>
      <c r="C669" s="7">
        <v>0</v>
      </c>
      <c r="D669" s="7">
        <v>0</v>
      </c>
      <c r="E669" s="5">
        <v>0</v>
      </c>
      <c r="F669" s="5">
        <v>0</v>
      </c>
      <c r="G669" s="7">
        <v>0</v>
      </c>
      <c r="H669" s="5">
        <v>371</v>
      </c>
      <c r="I669" s="7">
        <v>49600.299999999996</v>
      </c>
      <c r="J669" s="7">
        <v>0</v>
      </c>
      <c r="K669" s="5">
        <v>0</v>
      </c>
      <c r="L669" s="5">
        <v>0</v>
      </c>
      <c r="M669" s="5">
        <v>0</v>
      </c>
      <c r="N669" s="7">
        <v>0</v>
      </c>
      <c r="O669" s="7">
        <v>0</v>
      </c>
      <c r="P669" s="7">
        <v>178</v>
      </c>
      <c r="Q669" s="5">
        <v>0</v>
      </c>
      <c r="R669" s="5">
        <v>178</v>
      </c>
      <c r="S669" s="7">
        <v>28576.800000000003</v>
      </c>
      <c r="T669" s="12">
        <v>43224</v>
      </c>
      <c r="U669" s="4">
        <v>6</v>
      </c>
      <c r="V669" s="4">
        <v>4</v>
      </c>
      <c r="W669" s="4">
        <v>12</v>
      </c>
      <c r="X669" s="45">
        <v>78177.100000000006</v>
      </c>
      <c r="Y669" s="14" t="s">
        <v>85</v>
      </c>
      <c r="Z669" s="14" t="s">
        <v>57</v>
      </c>
      <c r="AA669" s="14">
        <v>350810042104</v>
      </c>
      <c r="AB669" s="44">
        <v>43233</v>
      </c>
      <c r="AC669" s="44" t="s">
        <v>3045</v>
      </c>
      <c r="AD669" s="29" t="s">
        <v>49</v>
      </c>
      <c r="AE669" s="24" t="s">
        <v>1601</v>
      </c>
      <c r="AF669" s="25" t="s">
        <v>1265</v>
      </c>
      <c r="AG669" t="e">
        <f t="shared" si="12"/>
        <v>#REF!</v>
      </c>
      <c r="AI669" s="58"/>
    </row>
    <row r="670" spans="1:35" ht="15.75" customHeight="1">
      <c r="A670" s="6" t="s">
        <v>1575</v>
      </c>
      <c r="B670" s="5">
        <v>126</v>
      </c>
      <c r="C670" s="7">
        <v>11963.3</v>
      </c>
      <c r="D670" s="7">
        <v>0</v>
      </c>
      <c r="E670" s="5">
        <v>0</v>
      </c>
      <c r="F670" s="5">
        <v>0</v>
      </c>
      <c r="G670" s="7">
        <v>0</v>
      </c>
      <c r="H670" s="5">
        <v>0</v>
      </c>
      <c r="I670" s="7">
        <v>0</v>
      </c>
      <c r="J670" s="7">
        <v>49</v>
      </c>
      <c r="K670" s="5">
        <v>0</v>
      </c>
      <c r="L670" s="5">
        <v>0</v>
      </c>
      <c r="M670" s="5">
        <v>49</v>
      </c>
      <c r="N670" s="7">
        <v>49</v>
      </c>
      <c r="O670" s="7">
        <v>8639.7000000000007</v>
      </c>
      <c r="P670" s="7">
        <v>0</v>
      </c>
      <c r="Q670" s="5">
        <v>0</v>
      </c>
      <c r="R670" s="5">
        <v>0</v>
      </c>
      <c r="S670" s="7">
        <v>0</v>
      </c>
      <c r="T670" s="12">
        <v>43224</v>
      </c>
      <c r="U670" s="4">
        <v>2</v>
      </c>
      <c r="V670" s="4">
        <v>6</v>
      </c>
      <c r="W670" s="4">
        <v>6</v>
      </c>
      <c r="X670" s="45">
        <v>20603</v>
      </c>
      <c r="Y670" s="14" t="s">
        <v>85</v>
      </c>
      <c r="Z670" s="14" t="s">
        <v>57</v>
      </c>
      <c r="AA670" s="14">
        <v>350810039500</v>
      </c>
      <c r="AB670" s="44">
        <v>43227</v>
      </c>
      <c r="AC670" s="44" t="s">
        <v>3029</v>
      </c>
      <c r="AD670" s="29" t="s">
        <v>49</v>
      </c>
      <c r="AE670" s="24" t="s">
        <v>1600</v>
      </c>
      <c r="AF670" s="25" t="s">
        <v>1267</v>
      </c>
      <c r="AG670" t="e">
        <f t="shared" si="12"/>
        <v>#REF!</v>
      </c>
      <c r="AI670" s="58"/>
    </row>
    <row r="671" spans="1:35" ht="15.75" customHeight="1">
      <c r="A671" s="6" t="s">
        <v>1576</v>
      </c>
      <c r="B671" s="5">
        <v>112</v>
      </c>
      <c r="C671" s="7">
        <v>12087.259999999998</v>
      </c>
      <c r="D671" s="7">
        <v>0</v>
      </c>
      <c r="E671" s="5">
        <v>0</v>
      </c>
      <c r="F671" s="5">
        <v>0</v>
      </c>
      <c r="G671" s="7">
        <v>0</v>
      </c>
      <c r="H671" s="5">
        <v>60</v>
      </c>
      <c r="I671" s="7">
        <v>551.4</v>
      </c>
      <c r="J671" s="7">
        <v>72</v>
      </c>
      <c r="K671" s="5">
        <v>0</v>
      </c>
      <c r="L671" s="5">
        <v>0</v>
      </c>
      <c r="M671" s="5">
        <v>72</v>
      </c>
      <c r="N671" s="7">
        <v>72</v>
      </c>
      <c r="O671" s="7">
        <v>9890.4</v>
      </c>
      <c r="P671" s="7">
        <v>0</v>
      </c>
      <c r="Q671" s="5">
        <v>0</v>
      </c>
      <c r="R671" s="5">
        <v>0</v>
      </c>
      <c r="S671" s="7">
        <v>0</v>
      </c>
      <c r="T671" s="12">
        <v>43224</v>
      </c>
      <c r="U671" s="4">
        <v>2</v>
      </c>
      <c r="V671" s="4">
        <v>3</v>
      </c>
      <c r="W671" s="4">
        <v>1</v>
      </c>
      <c r="X671" s="45">
        <v>22529.059999999998</v>
      </c>
      <c r="Y671" s="14" t="s">
        <v>54</v>
      </c>
      <c r="Z671" s="14" t="s">
        <v>57</v>
      </c>
      <c r="AA671" s="14" t="s">
        <v>3025</v>
      </c>
      <c r="AB671" s="44">
        <v>43227</v>
      </c>
      <c r="AC671" s="44" t="s">
        <v>3026</v>
      </c>
      <c r="AD671" s="29" t="s">
        <v>52</v>
      </c>
      <c r="AE671" s="24" t="s">
        <v>1599</v>
      </c>
      <c r="AF671" s="25" t="s">
        <v>1271</v>
      </c>
      <c r="AG671" t="e">
        <f t="shared" si="12"/>
        <v>#REF!</v>
      </c>
      <c r="AI671" s="58"/>
    </row>
    <row r="672" spans="1:35" ht="15.75" customHeight="1">
      <c r="A672" s="6" t="s">
        <v>1577</v>
      </c>
      <c r="B672" s="5">
        <v>417</v>
      </c>
      <c r="C672" s="7">
        <v>57862.900000000009</v>
      </c>
      <c r="D672" s="7">
        <v>0</v>
      </c>
      <c r="E672" s="5">
        <v>0</v>
      </c>
      <c r="F672" s="5">
        <v>0</v>
      </c>
      <c r="G672" s="7">
        <v>0</v>
      </c>
      <c r="H672" s="5">
        <v>215</v>
      </c>
      <c r="I672" s="7">
        <v>25355.9</v>
      </c>
      <c r="J672" s="7">
        <v>35</v>
      </c>
      <c r="K672" s="5">
        <v>0</v>
      </c>
      <c r="L672" s="5">
        <v>0</v>
      </c>
      <c r="M672" s="5">
        <v>35</v>
      </c>
      <c r="N672" s="7">
        <v>35</v>
      </c>
      <c r="O672" s="7">
        <v>7074.4000000000005</v>
      </c>
      <c r="P672" s="7">
        <v>295</v>
      </c>
      <c r="Q672" s="5">
        <v>0</v>
      </c>
      <c r="R672" s="5">
        <v>295</v>
      </c>
      <c r="S672" s="7">
        <v>63725.9</v>
      </c>
      <c r="T672" s="12">
        <v>43224</v>
      </c>
      <c r="U672" s="4">
        <v>12</v>
      </c>
      <c r="V672" s="4">
        <v>3</v>
      </c>
      <c r="W672" s="4">
        <v>5</v>
      </c>
      <c r="X672" s="45">
        <v>154019.1</v>
      </c>
      <c r="Y672" s="14" t="s">
        <v>56</v>
      </c>
      <c r="Z672" s="14" t="s">
        <v>55</v>
      </c>
      <c r="AA672" s="14" t="s">
        <v>3032</v>
      </c>
      <c r="AB672" s="44">
        <v>43229</v>
      </c>
      <c r="AC672" s="44" t="s">
        <v>3033</v>
      </c>
      <c r="AD672" s="29" t="s">
        <v>51</v>
      </c>
      <c r="AE672" s="24" t="s">
        <v>1598</v>
      </c>
      <c r="AF672" s="25" t="s">
        <v>1270</v>
      </c>
      <c r="AG672" t="e">
        <f t="shared" si="12"/>
        <v>#REF!</v>
      </c>
      <c r="AI672" s="58"/>
    </row>
    <row r="673" spans="1:35" ht="15.75" customHeight="1">
      <c r="A673" s="6" t="s">
        <v>1578</v>
      </c>
      <c r="B673" s="5">
        <v>406</v>
      </c>
      <c r="C673" s="7">
        <v>47677.700000000012</v>
      </c>
      <c r="D673" s="7">
        <v>0</v>
      </c>
      <c r="E673" s="5">
        <v>0</v>
      </c>
      <c r="F673" s="5">
        <v>0</v>
      </c>
      <c r="G673" s="7">
        <v>0</v>
      </c>
      <c r="H673" s="5">
        <v>0</v>
      </c>
      <c r="I673" s="7">
        <v>0</v>
      </c>
      <c r="J673" s="7">
        <v>37</v>
      </c>
      <c r="K673" s="5">
        <v>0</v>
      </c>
      <c r="L673" s="5">
        <v>0</v>
      </c>
      <c r="M673" s="5">
        <v>37</v>
      </c>
      <c r="N673" s="7">
        <v>37</v>
      </c>
      <c r="O673" s="7">
        <v>7044.1</v>
      </c>
      <c r="P673" s="7">
        <v>381</v>
      </c>
      <c r="Q673" s="5">
        <v>0</v>
      </c>
      <c r="R673" s="5">
        <v>381</v>
      </c>
      <c r="S673" s="7">
        <v>84178.4</v>
      </c>
      <c r="T673" s="12">
        <v>43224</v>
      </c>
      <c r="U673" s="4">
        <v>10</v>
      </c>
      <c r="V673" s="4">
        <v>1</v>
      </c>
      <c r="W673" s="4">
        <v>8</v>
      </c>
      <c r="X673" s="45">
        <v>138900.20000000001</v>
      </c>
      <c r="Y673" s="14" t="s">
        <v>54</v>
      </c>
      <c r="Z673" s="14" t="s">
        <v>59</v>
      </c>
      <c r="AA673" s="14" t="s">
        <v>3034</v>
      </c>
      <c r="AB673" s="44">
        <v>43233</v>
      </c>
      <c r="AC673" s="44" t="s">
        <v>3035</v>
      </c>
      <c r="AD673" s="29" t="s">
        <v>50</v>
      </c>
      <c r="AE673" s="24" t="s">
        <v>1597</v>
      </c>
      <c r="AF673" s="25" t="s">
        <v>1269</v>
      </c>
      <c r="AG673" t="e">
        <f t="shared" si="12"/>
        <v>#REF!</v>
      </c>
      <c r="AI673" s="58"/>
    </row>
    <row r="674" spans="1:35" ht="15.75" customHeight="1">
      <c r="A674" s="6" t="s">
        <v>1579</v>
      </c>
      <c r="B674" s="5">
        <v>32</v>
      </c>
      <c r="C674" s="7">
        <v>3836.8</v>
      </c>
      <c r="D674" s="7">
        <v>0</v>
      </c>
      <c r="E674" s="5">
        <v>0</v>
      </c>
      <c r="F674" s="5">
        <v>0</v>
      </c>
      <c r="G674" s="7">
        <v>0</v>
      </c>
      <c r="H674" s="5">
        <v>0</v>
      </c>
      <c r="I674" s="7">
        <v>0</v>
      </c>
      <c r="J674" s="7">
        <v>31</v>
      </c>
      <c r="K674" s="5">
        <v>0</v>
      </c>
      <c r="L674" s="5">
        <v>0</v>
      </c>
      <c r="M674" s="5">
        <v>31</v>
      </c>
      <c r="N674" s="7">
        <v>31</v>
      </c>
      <c r="O674" s="7">
        <v>5803.5999999999995</v>
      </c>
      <c r="P674" s="7">
        <v>0</v>
      </c>
      <c r="Q674" s="5">
        <v>0</v>
      </c>
      <c r="R674" s="5">
        <v>0</v>
      </c>
      <c r="S674" s="7">
        <v>0</v>
      </c>
      <c r="T674" s="12">
        <v>43224</v>
      </c>
      <c r="U674" s="4">
        <v>1</v>
      </c>
      <c r="V674" s="4">
        <v>5</v>
      </c>
      <c r="W674" s="4">
        <v>5</v>
      </c>
      <c r="X674" s="45">
        <v>9640.4</v>
      </c>
      <c r="Y674" s="14" t="s">
        <v>85</v>
      </c>
      <c r="Z674" s="14" t="s">
        <v>1492</v>
      </c>
      <c r="AA674" s="14">
        <v>350810039500</v>
      </c>
      <c r="AB674" s="44">
        <v>43227</v>
      </c>
      <c r="AC674" s="44" t="s">
        <v>3029</v>
      </c>
      <c r="AD674" s="29" t="s">
        <v>49</v>
      </c>
      <c r="AE674" s="24" t="s">
        <v>1596</v>
      </c>
      <c r="AF674" s="25" t="s">
        <v>1266</v>
      </c>
      <c r="AG674" t="e">
        <f t="shared" si="12"/>
        <v>#REF!</v>
      </c>
      <c r="AI674" s="58"/>
    </row>
    <row r="675" spans="1:35" ht="15.75" customHeight="1">
      <c r="A675" s="6" t="s">
        <v>1580</v>
      </c>
      <c r="B675" s="5">
        <v>113</v>
      </c>
      <c r="C675" s="7">
        <v>12355.099999999999</v>
      </c>
      <c r="D675" s="7">
        <v>0</v>
      </c>
      <c r="E675" s="5">
        <v>0</v>
      </c>
      <c r="F675" s="5">
        <v>0</v>
      </c>
      <c r="G675" s="7">
        <v>0</v>
      </c>
      <c r="H675" s="5">
        <v>95</v>
      </c>
      <c r="I675" s="7">
        <v>12156.2</v>
      </c>
      <c r="J675" s="7">
        <v>58</v>
      </c>
      <c r="K675" s="5">
        <v>0</v>
      </c>
      <c r="L675" s="5">
        <v>0</v>
      </c>
      <c r="M675" s="5">
        <v>58</v>
      </c>
      <c r="N675" s="7">
        <v>58</v>
      </c>
      <c r="O675" s="7">
        <v>10248.599999999999</v>
      </c>
      <c r="P675" s="7">
        <v>75</v>
      </c>
      <c r="Q675" s="5">
        <v>0</v>
      </c>
      <c r="R675" s="5">
        <v>75</v>
      </c>
      <c r="S675" s="7">
        <v>14725</v>
      </c>
      <c r="T675" s="12">
        <v>43224</v>
      </c>
      <c r="U675" s="4">
        <v>4</v>
      </c>
      <c r="V675" s="4">
        <v>9</v>
      </c>
      <c r="W675" s="4">
        <v>9</v>
      </c>
      <c r="X675" s="45">
        <v>49484.899999999994</v>
      </c>
      <c r="Y675" s="14" t="s">
        <v>58</v>
      </c>
      <c r="Z675" s="14" t="s">
        <v>1492</v>
      </c>
      <c r="AA675" s="14" t="s">
        <v>3046</v>
      </c>
      <c r="AB675" s="44">
        <v>43230</v>
      </c>
      <c r="AC675" s="44" t="s">
        <v>3047</v>
      </c>
      <c r="AD675" s="29" t="s">
        <v>49</v>
      </c>
      <c r="AE675" s="24" t="s">
        <v>1603</v>
      </c>
      <c r="AF675" s="25" t="s">
        <v>1266</v>
      </c>
      <c r="AG675" t="e">
        <f t="shared" si="12"/>
        <v>#REF!</v>
      </c>
      <c r="AI675" s="58"/>
    </row>
    <row r="676" spans="1:35" ht="15.75" customHeight="1">
      <c r="A676" s="6" t="s">
        <v>1561</v>
      </c>
      <c r="B676" s="5">
        <v>79</v>
      </c>
      <c r="C676" s="7">
        <v>7844.4000000000005</v>
      </c>
      <c r="D676" s="7">
        <v>0</v>
      </c>
      <c r="E676" s="5">
        <v>0</v>
      </c>
      <c r="F676" s="5">
        <v>0</v>
      </c>
      <c r="G676" s="7">
        <v>0</v>
      </c>
      <c r="H676" s="5">
        <v>171</v>
      </c>
      <c r="I676" s="7">
        <v>17972.009999999998</v>
      </c>
      <c r="J676" s="7">
        <v>66</v>
      </c>
      <c r="K676" s="5">
        <v>0</v>
      </c>
      <c r="L676" s="5">
        <v>0</v>
      </c>
      <c r="M676" s="5">
        <v>66</v>
      </c>
      <c r="N676" s="7">
        <v>66</v>
      </c>
      <c r="O676" s="7">
        <v>11065.300000000003</v>
      </c>
      <c r="P676" s="7">
        <v>0</v>
      </c>
      <c r="Q676" s="5">
        <v>0</v>
      </c>
      <c r="R676" s="5">
        <v>0</v>
      </c>
      <c r="S676" s="7">
        <v>0</v>
      </c>
      <c r="T676" s="12">
        <v>43225</v>
      </c>
      <c r="U676" s="4">
        <v>3</v>
      </c>
      <c r="V676" s="4">
        <v>9</v>
      </c>
      <c r="W676" s="4">
        <v>9</v>
      </c>
      <c r="X676" s="45">
        <v>36881.710000000006</v>
      </c>
      <c r="Y676" s="14" t="s">
        <v>1633</v>
      </c>
      <c r="Z676" s="14" t="s">
        <v>1355</v>
      </c>
      <c r="AA676" s="14" t="s">
        <v>3021</v>
      </c>
      <c r="AB676" s="44">
        <v>43227</v>
      </c>
      <c r="AC676" s="44" t="s">
        <v>3022</v>
      </c>
      <c r="AD676" s="29" t="s">
        <v>70</v>
      </c>
      <c r="AE676" s="24" t="s">
        <v>1607</v>
      </c>
      <c r="AF676" s="25" t="s">
        <v>1273</v>
      </c>
      <c r="AG676" t="e">
        <f t="shared" si="12"/>
        <v>#REF!</v>
      </c>
      <c r="AI676" s="58"/>
    </row>
    <row r="677" spans="1:35" ht="15.75" customHeight="1">
      <c r="A677" s="6" t="s">
        <v>1581</v>
      </c>
      <c r="B677" s="5">
        <v>0</v>
      </c>
      <c r="C677" s="7">
        <v>0</v>
      </c>
      <c r="D677" s="7">
        <v>0</v>
      </c>
      <c r="E677" s="5">
        <v>0</v>
      </c>
      <c r="F677" s="5">
        <v>0</v>
      </c>
      <c r="G677" s="7">
        <v>0</v>
      </c>
      <c r="H677" s="5">
        <v>205</v>
      </c>
      <c r="I677" s="7">
        <v>16867.150000000001</v>
      </c>
      <c r="J677" s="7">
        <v>328</v>
      </c>
      <c r="K677" s="5">
        <v>0</v>
      </c>
      <c r="L677" s="5">
        <v>0</v>
      </c>
      <c r="M677" s="5">
        <v>328</v>
      </c>
      <c r="N677" s="7">
        <v>328</v>
      </c>
      <c r="O677" s="7">
        <v>26442.6</v>
      </c>
      <c r="P677" s="7">
        <v>0</v>
      </c>
      <c r="Q677" s="5">
        <v>0</v>
      </c>
      <c r="R677" s="5">
        <v>0</v>
      </c>
      <c r="S677" s="7">
        <v>0</v>
      </c>
      <c r="T677" s="12">
        <v>43225</v>
      </c>
      <c r="U677" s="4">
        <v>3</v>
      </c>
      <c r="V677" s="4">
        <v>9</v>
      </c>
      <c r="W677" s="4">
        <v>9</v>
      </c>
      <c r="X677" s="45">
        <v>43309.75</v>
      </c>
      <c r="Y677" s="14" t="s">
        <v>54</v>
      </c>
      <c r="Z677" s="14" t="s">
        <v>1355</v>
      </c>
      <c r="AA677" s="14" t="s">
        <v>3048</v>
      </c>
      <c r="AB677" s="44">
        <v>43228</v>
      </c>
      <c r="AC677" s="44" t="s">
        <v>3028</v>
      </c>
      <c r="AD677" s="29" t="s">
        <v>49</v>
      </c>
      <c r="AE677" s="24" t="s">
        <v>1606</v>
      </c>
      <c r="AF677" s="25" t="s">
        <v>1265</v>
      </c>
      <c r="AG677" t="e">
        <f t="shared" si="12"/>
        <v>#REF!</v>
      </c>
      <c r="AI677" s="58"/>
    </row>
    <row r="678" spans="1:35" ht="15.75" customHeight="1">
      <c r="A678" s="6" t="s">
        <v>1582</v>
      </c>
      <c r="B678" s="5">
        <v>449</v>
      </c>
      <c r="C678" s="7">
        <v>47837.399999999994</v>
      </c>
      <c r="D678" s="7">
        <v>0</v>
      </c>
      <c r="E678" s="5">
        <v>0</v>
      </c>
      <c r="F678" s="5">
        <v>0</v>
      </c>
      <c r="G678" s="7">
        <v>0</v>
      </c>
      <c r="H678" s="5">
        <v>160</v>
      </c>
      <c r="I678" s="7">
        <v>23591.65</v>
      </c>
      <c r="J678" s="7">
        <v>191</v>
      </c>
      <c r="K678" s="5">
        <v>0</v>
      </c>
      <c r="L678" s="5">
        <v>0</v>
      </c>
      <c r="M678" s="5">
        <v>191</v>
      </c>
      <c r="N678" s="7">
        <v>191</v>
      </c>
      <c r="O678" s="7">
        <v>9747.2000000000007</v>
      </c>
      <c r="P678" s="7">
        <v>108</v>
      </c>
      <c r="Q678" s="5">
        <v>0</v>
      </c>
      <c r="R678" s="5">
        <v>108</v>
      </c>
      <c r="S678" s="7">
        <v>20833.2</v>
      </c>
      <c r="T678" s="12">
        <v>43225</v>
      </c>
      <c r="U678" s="4">
        <v>7</v>
      </c>
      <c r="V678" s="4">
        <v>9</v>
      </c>
      <c r="W678" s="4">
        <v>9</v>
      </c>
      <c r="X678" s="45">
        <v>102009.44999999998</v>
      </c>
      <c r="Y678" s="14" t="s">
        <v>54</v>
      </c>
      <c r="Z678" s="14" t="s">
        <v>59</v>
      </c>
      <c r="AA678" s="14" t="s">
        <v>3040</v>
      </c>
      <c r="AB678" s="44">
        <v>43227</v>
      </c>
      <c r="AC678" s="44" t="s">
        <v>3026</v>
      </c>
      <c r="AD678" s="29" t="s">
        <v>51</v>
      </c>
      <c r="AE678" s="24" t="s">
        <v>1605</v>
      </c>
      <c r="AF678" s="25" t="s">
        <v>1270</v>
      </c>
      <c r="AG678" t="e">
        <f t="shared" si="12"/>
        <v>#REF!</v>
      </c>
      <c r="AI678" s="58"/>
    </row>
    <row r="679" spans="1:35" ht="15.75" customHeight="1">
      <c r="A679" s="6" t="s">
        <v>1583</v>
      </c>
      <c r="B679" s="5">
        <v>249</v>
      </c>
      <c r="C679" s="7">
        <v>25188.799999999996</v>
      </c>
      <c r="D679" s="7">
        <v>0</v>
      </c>
      <c r="E679" s="5">
        <v>0</v>
      </c>
      <c r="F679" s="5">
        <v>0</v>
      </c>
      <c r="G679" s="7">
        <v>0</v>
      </c>
      <c r="H679" s="5">
        <v>0</v>
      </c>
      <c r="I679" s="7">
        <v>0</v>
      </c>
      <c r="J679" s="7">
        <v>146</v>
      </c>
      <c r="K679" s="5">
        <v>0</v>
      </c>
      <c r="L679" s="5">
        <v>0</v>
      </c>
      <c r="M679" s="5">
        <v>146</v>
      </c>
      <c r="N679" s="7">
        <v>146</v>
      </c>
      <c r="O679" s="7">
        <v>8999.4</v>
      </c>
      <c r="P679" s="7">
        <v>0</v>
      </c>
      <c r="Q679" s="5">
        <v>0</v>
      </c>
      <c r="R679" s="5">
        <v>0</v>
      </c>
      <c r="S679" s="7">
        <v>0</v>
      </c>
      <c r="T679" s="12">
        <v>43225</v>
      </c>
      <c r="U679" s="4">
        <v>3</v>
      </c>
      <c r="V679" s="4">
        <v>9</v>
      </c>
      <c r="W679" s="4">
        <v>9</v>
      </c>
      <c r="X679" s="45">
        <v>34188.199999999997</v>
      </c>
      <c r="Y679" s="14" t="s">
        <v>54</v>
      </c>
      <c r="Z679" s="14" t="s">
        <v>55</v>
      </c>
      <c r="AA679" s="14" t="s">
        <v>3027</v>
      </c>
      <c r="AB679" s="44">
        <v>43228</v>
      </c>
      <c r="AC679" s="44" t="s">
        <v>3028</v>
      </c>
      <c r="AD679" s="29" t="s">
        <v>50</v>
      </c>
      <c r="AE679" s="24" t="s">
        <v>1604</v>
      </c>
      <c r="AF679" s="25" t="s">
        <v>1269</v>
      </c>
      <c r="AG679" t="e">
        <f t="shared" si="12"/>
        <v>#REF!</v>
      </c>
      <c r="AI679" s="58"/>
    </row>
    <row r="680" spans="1:35" ht="15.75" customHeight="1">
      <c r="A680" s="6" t="s">
        <v>1609</v>
      </c>
      <c r="B680" s="5">
        <v>298</v>
      </c>
      <c r="C680" s="7">
        <v>40463.630000000005</v>
      </c>
      <c r="D680" s="7">
        <v>0</v>
      </c>
      <c r="E680" s="5">
        <v>0</v>
      </c>
      <c r="F680" s="5">
        <v>0</v>
      </c>
      <c r="G680" s="7">
        <v>0</v>
      </c>
      <c r="H680" s="5">
        <v>924</v>
      </c>
      <c r="I680" s="7">
        <v>29600.5</v>
      </c>
      <c r="J680" s="7">
        <v>41</v>
      </c>
      <c r="K680" s="5">
        <v>0</v>
      </c>
      <c r="L680" s="5">
        <v>0</v>
      </c>
      <c r="M680" s="5">
        <v>41</v>
      </c>
      <c r="N680" s="7">
        <v>41</v>
      </c>
      <c r="O680" s="7">
        <v>857</v>
      </c>
      <c r="P680" s="7">
        <v>229</v>
      </c>
      <c r="Q680" s="5">
        <v>0</v>
      </c>
      <c r="R680" s="5">
        <v>229</v>
      </c>
      <c r="S680" s="7">
        <v>36276.300000000003</v>
      </c>
      <c r="T680" s="12">
        <v>43225</v>
      </c>
      <c r="U680" s="4">
        <v>8</v>
      </c>
      <c r="V680" s="4">
        <v>9</v>
      </c>
      <c r="W680" s="4">
        <v>9</v>
      </c>
      <c r="X680" s="45">
        <v>107197.43000000001</v>
      </c>
      <c r="Y680" s="14" t="s">
        <v>85</v>
      </c>
      <c r="Z680" s="14" t="s">
        <v>1281</v>
      </c>
      <c r="AA680" s="14">
        <v>350810041817</v>
      </c>
      <c r="AB680" s="44">
        <v>43227</v>
      </c>
      <c r="AC680" s="44" t="s">
        <v>3029</v>
      </c>
      <c r="AD680" s="29" t="s">
        <v>600</v>
      </c>
      <c r="AE680" s="24" t="s">
        <v>1610</v>
      </c>
      <c r="AF680" s="25" t="s">
        <v>1275</v>
      </c>
      <c r="AG680" t="e">
        <f t="shared" si="12"/>
        <v>#REF!</v>
      </c>
      <c r="AI680" s="58"/>
    </row>
    <row r="681" spans="1:35" ht="15.75" customHeight="1">
      <c r="A681" s="6" t="s">
        <v>1611</v>
      </c>
      <c r="B681" s="5">
        <v>1046</v>
      </c>
      <c r="C681" s="7">
        <v>112641.82</v>
      </c>
      <c r="D681" s="7">
        <v>0</v>
      </c>
      <c r="E681" s="5">
        <v>0</v>
      </c>
      <c r="F681" s="5">
        <v>0</v>
      </c>
      <c r="G681" s="7">
        <v>0</v>
      </c>
      <c r="H681" s="5">
        <v>0</v>
      </c>
      <c r="I681" s="7">
        <v>0</v>
      </c>
      <c r="J681" s="7">
        <v>318</v>
      </c>
      <c r="K681" s="5">
        <v>0</v>
      </c>
      <c r="L681" s="5">
        <v>0</v>
      </c>
      <c r="M681" s="5">
        <v>318</v>
      </c>
      <c r="N681" s="7">
        <v>318</v>
      </c>
      <c r="O681" s="7">
        <v>41014.899999999994</v>
      </c>
      <c r="P681" s="7">
        <v>0</v>
      </c>
      <c r="Q681" s="5">
        <v>0</v>
      </c>
      <c r="R681" s="5">
        <v>0</v>
      </c>
      <c r="S681" s="7">
        <v>0</v>
      </c>
      <c r="T681" s="12">
        <v>43227</v>
      </c>
      <c r="U681" s="4">
        <v>13</v>
      </c>
      <c r="V681" s="4">
        <v>9</v>
      </c>
      <c r="W681" s="4">
        <v>9</v>
      </c>
      <c r="X681" s="45">
        <v>153656.72</v>
      </c>
      <c r="Y681" s="14" t="s">
        <v>54</v>
      </c>
      <c r="Z681" s="14" t="s">
        <v>59</v>
      </c>
      <c r="AA681" s="14" t="s">
        <v>3034</v>
      </c>
      <c r="AB681" s="44">
        <v>43233</v>
      </c>
      <c r="AC681" s="44" t="s">
        <v>3035</v>
      </c>
      <c r="AD681" s="29" t="s">
        <v>50</v>
      </c>
      <c r="AE681" s="24" t="s">
        <v>1612</v>
      </c>
      <c r="AF681" s="25" t="s">
        <v>1269</v>
      </c>
      <c r="AG681" t="e">
        <f t="shared" si="12"/>
        <v>#REF!</v>
      </c>
      <c r="AI681" s="58"/>
    </row>
    <row r="682" spans="1:35" ht="15.75" customHeight="1">
      <c r="A682" s="6" t="s">
        <v>1613</v>
      </c>
      <c r="B682" s="5">
        <v>519</v>
      </c>
      <c r="C682" s="7">
        <v>59329.7</v>
      </c>
      <c r="D682" s="7">
        <v>73</v>
      </c>
      <c r="E682" s="5">
        <v>73</v>
      </c>
      <c r="F682" s="5">
        <v>0</v>
      </c>
      <c r="G682" s="7">
        <v>3931.2</v>
      </c>
      <c r="H682" s="5">
        <v>345</v>
      </c>
      <c r="I682" s="7">
        <v>41728.689999999995</v>
      </c>
      <c r="J682" s="7">
        <v>135</v>
      </c>
      <c r="K682" s="5">
        <v>0</v>
      </c>
      <c r="L682" s="5">
        <v>0</v>
      </c>
      <c r="M682" s="5">
        <v>135</v>
      </c>
      <c r="N682" s="7">
        <v>135</v>
      </c>
      <c r="O682" s="7">
        <v>27019.899999999998</v>
      </c>
      <c r="P682" s="7">
        <v>66</v>
      </c>
      <c r="Q682" s="5">
        <v>0</v>
      </c>
      <c r="R682" s="5">
        <v>66</v>
      </c>
      <c r="S682" s="7">
        <v>16279.2</v>
      </c>
      <c r="T682" s="12">
        <v>43227</v>
      </c>
      <c r="U682" s="4">
        <v>12</v>
      </c>
      <c r="V682" s="4">
        <v>9</v>
      </c>
      <c r="W682" s="4">
        <v>9</v>
      </c>
      <c r="X682" s="45">
        <v>148288.69</v>
      </c>
      <c r="Y682" s="14" t="s">
        <v>56</v>
      </c>
      <c r="Z682" s="14" t="s">
        <v>1281</v>
      </c>
      <c r="AA682" s="14" t="s">
        <v>3049</v>
      </c>
      <c r="AB682" s="44">
        <v>43230</v>
      </c>
      <c r="AC682" s="44" t="s">
        <v>3047</v>
      </c>
      <c r="AD682" s="29" t="s">
        <v>51</v>
      </c>
      <c r="AE682" s="24" t="s">
        <v>1614</v>
      </c>
      <c r="AF682" s="25" t="s">
        <v>1270</v>
      </c>
      <c r="AG682" t="e">
        <f t="shared" si="12"/>
        <v>#REF!</v>
      </c>
      <c r="AI682" s="58"/>
    </row>
    <row r="683" spans="1:35" ht="15.75" customHeight="1">
      <c r="A683" s="6" t="s">
        <v>1615</v>
      </c>
      <c r="B683" s="5">
        <v>0</v>
      </c>
      <c r="C683" s="7">
        <v>0</v>
      </c>
      <c r="D683" s="7">
        <v>0</v>
      </c>
      <c r="E683" s="7">
        <v>0</v>
      </c>
      <c r="F683" s="5">
        <v>0</v>
      </c>
      <c r="G683" s="7">
        <v>0</v>
      </c>
      <c r="H683" s="5">
        <v>0</v>
      </c>
      <c r="I683" s="7">
        <v>0</v>
      </c>
      <c r="J683" s="7">
        <v>0</v>
      </c>
      <c r="K683" s="5">
        <v>0</v>
      </c>
      <c r="L683" s="5">
        <v>0</v>
      </c>
      <c r="M683" s="5">
        <v>0</v>
      </c>
      <c r="N683" s="7">
        <v>0</v>
      </c>
      <c r="O683" s="7">
        <v>0</v>
      </c>
      <c r="P683" s="7">
        <v>193</v>
      </c>
      <c r="Q683" s="5">
        <v>0</v>
      </c>
      <c r="R683" s="5">
        <v>193</v>
      </c>
      <c r="S683" s="7">
        <v>30061.4</v>
      </c>
      <c r="T683" s="12">
        <v>43227</v>
      </c>
      <c r="U683" s="4">
        <v>2</v>
      </c>
      <c r="V683" s="4">
        <v>9</v>
      </c>
      <c r="W683" s="4">
        <v>9</v>
      </c>
      <c r="X683" s="45">
        <v>30061.4</v>
      </c>
      <c r="Y683" s="14" t="s">
        <v>58</v>
      </c>
      <c r="Z683" s="14" t="s">
        <v>1492</v>
      </c>
      <c r="AA683" s="14" t="s">
        <v>3046</v>
      </c>
      <c r="AB683" s="44">
        <v>43230</v>
      </c>
      <c r="AC683" s="44" t="s">
        <v>3047</v>
      </c>
      <c r="AD683" s="29" t="s">
        <v>49</v>
      </c>
      <c r="AE683" s="24" t="s">
        <v>1616</v>
      </c>
      <c r="AF683" s="25" t="s">
        <v>1268</v>
      </c>
      <c r="AG683" t="e">
        <f t="shared" si="12"/>
        <v>#REF!</v>
      </c>
      <c r="AI683" s="58"/>
    </row>
    <row r="684" spans="1:35" ht="15.75" customHeight="1">
      <c r="A684" s="6" t="s">
        <v>1617</v>
      </c>
      <c r="B684" s="5">
        <v>300</v>
      </c>
      <c r="C684" s="7">
        <v>13605.599999999999</v>
      </c>
      <c r="D684" s="7">
        <v>112</v>
      </c>
      <c r="E684" s="7">
        <v>112</v>
      </c>
      <c r="F684" s="5">
        <v>0</v>
      </c>
      <c r="G684" s="7">
        <v>5554</v>
      </c>
      <c r="H684" s="5">
        <v>945</v>
      </c>
      <c r="I684" s="7">
        <v>102427.7</v>
      </c>
      <c r="J684" s="7">
        <v>0</v>
      </c>
      <c r="K684" s="5">
        <v>0</v>
      </c>
      <c r="L684" s="5">
        <v>0</v>
      </c>
      <c r="M684" s="5">
        <v>0</v>
      </c>
      <c r="N684" s="7">
        <v>0</v>
      </c>
      <c r="O684" s="7">
        <v>0</v>
      </c>
      <c r="P684" s="7">
        <v>0</v>
      </c>
      <c r="Q684" s="5">
        <v>0</v>
      </c>
      <c r="R684" s="5">
        <v>0</v>
      </c>
      <c r="S684" s="7">
        <v>0</v>
      </c>
      <c r="T684" s="12">
        <v>43227</v>
      </c>
      <c r="U684" s="4">
        <v>8</v>
      </c>
      <c r="V684" s="4">
        <v>9</v>
      </c>
      <c r="W684" s="4">
        <v>9</v>
      </c>
      <c r="X684" s="45">
        <v>121587.29999999999</v>
      </c>
      <c r="Y684" s="14" t="s">
        <v>54</v>
      </c>
      <c r="Z684" s="14" t="s">
        <v>1355</v>
      </c>
      <c r="AA684" s="14" t="s">
        <v>3050</v>
      </c>
      <c r="AB684" s="44">
        <v>43233</v>
      </c>
      <c r="AC684" s="44" t="s">
        <v>3035</v>
      </c>
      <c r="AD684" s="29" t="s">
        <v>49</v>
      </c>
      <c r="AE684" s="24" t="s">
        <v>1618</v>
      </c>
      <c r="AF684" s="25" t="s">
        <v>1265</v>
      </c>
      <c r="AG684" t="e">
        <f t="shared" si="12"/>
        <v>#REF!</v>
      </c>
      <c r="AI684" s="58"/>
    </row>
    <row r="685" spans="1:35" ht="15.75" customHeight="1">
      <c r="A685" s="6" t="s">
        <v>1619</v>
      </c>
      <c r="B685" s="5">
        <v>102</v>
      </c>
      <c r="C685" s="7">
        <v>11498.8</v>
      </c>
      <c r="D685" s="7">
        <v>0</v>
      </c>
      <c r="E685" s="7">
        <v>0</v>
      </c>
      <c r="F685" s="5">
        <v>0</v>
      </c>
      <c r="G685" s="7">
        <v>0</v>
      </c>
      <c r="H685" s="5">
        <v>95</v>
      </c>
      <c r="I685" s="7">
        <v>12156.2</v>
      </c>
      <c r="J685" s="7">
        <v>58</v>
      </c>
      <c r="K685" s="5">
        <v>0</v>
      </c>
      <c r="L685" s="5">
        <v>0</v>
      </c>
      <c r="M685" s="5">
        <v>58</v>
      </c>
      <c r="N685" s="7">
        <v>58</v>
      </c>
      <c r="O685" s="7">
        <v>10248.599999999999</v>
      </c>
      <c r="P685" s="7">
        <v>335</v>
      </c>
      <c r="Q685" s="5">
        <v>0</v>
      </c>
      <c r="R685" s="5">
        <v>335</v>
      </c>
      <c r="S685" s="7">
        <v>47478.5</v>
      </c>
      <c r="T685" s="12">
        <v>43227</v>
      </c>
      <c r="U685" s="4">
        <v>6</v>
      </c>
      <c r="V685" s="4">
        <v>9</v>
      </c>
      <c r="W685" s="4">
        <v>9</v>
      </c>
      <c r="X685" s="45">
        <v>81382.100000000006</v>
      </c>
      <c r="Y685" s="14" t="s">
        <v>56</v>
      </c>
      <c r="Z685" s="14" t="s">
        <v>1355</v>
      </c>
      <c r="AA685" s="14" t="s">
        <v>3051</v>
      </c>
      <c r="AB685" s="44">
        <v>43230</v>
      </c>
      <c r="AC685" s="44" t="s">
        <v>3047</v>
      </c>
      <c r="AD685" s="29" t="s">
        <v>49</v>
      </c>
      <c r="AE685" s="24" t="s">
        <v>1620</v>
      </c>
      <c r="AF685" s="25" t="s">
        <v>1267</v>
      </c>
      <c r="AG685" t="e">
        <f t="shared" si="12"/>
        <v>#REF!</v>
      </c>
      <c r="AI685" s="58"/>
    </row>
    <row r="686" spans="1:35" ht="15.75" customHeight="1">
      <c r="A686" s="6" t="s">
        <v>1621</v>
      </c>
      <c r="B686" s="5">
        <v>142</v>
      </c>
      <c r="C686" s="7">
        <v>14154.340000000002</v>
      </c>
      <c r="D686" s="7">
        <v>0</v>
      </c>
      <c r="E686" s="7">
        <v>0</v>
      </c>
      <c r="F686" s="5">
        <v>0</v>
      </c>
      <c r="G686" s="7">
        <v>0</v>
      </c>
      <c r="H686" s="5">
        <v>10</v>
      </c>
      <c r="I686" s="7">
        <v>959.7</v>
      </c>
      <c r="J686" s="7">
        <v>81</v>
      </c>
      <c r="K686" s="5">
        <v>0</v>
      </c>
      <c r="L686" s="5">
        <v>0</v>
      </c>
      <c r="M686" s="5">
        <v>81</v>
      </c>
      <c r="N686" s="7">
        <v>81</v>
      </c>
      <c r="O686" s="7">
        <v>13942.900000000001</v>
      </c>
      <c r="P686" s="7">
        <v>186</v>
      </c>
      <c r="Q686" s="5">
        <v>0</v>
      </c>
      <c r="R686" s="5">
        <v>186</v>
      </c>
      <c r="S686" s="7">
        <v>31649</v>
      </c>
      <c r="T686" s="12">
        <v>43227</v>
      </c>
      <c r="U686" s="4">
        <v>5</v>
      </c>
      <c r="V686" s="4">
        <v>9</v>
      </c>
      <c r="W686" s="4">
        <v>9</v>
      </c>
      <c r="X686" s="45">
        <v>60705.94</v>
      </c>
      <c r="Y686" s="14" t="s">
        <v>56</v>
      </c>
      <c r="Z686" s="14" t="s">
        <v>1492</v>
      </c>
      <c r="AA686" s="14" t="s">
        <v>3051</v>
      </c>
      <c r="AB686" s="44">
        <v>43230</v>
      </c>
      <c r="AC686" s="44" t="s">
        <v>3047</v>
      </c>
      <c r="AD686" s="29" t="s">
        <v>49</v>
      </c>
      <c r="AE686" s="24" t="s">
        <v>1622</v>
      </c>
      <c r="AF686" s="25" t="s">
        <v>1266</v>
      </c>
      <c r="AG686" t="e">
        <f t="shared" si="12"/>
        <v>#REF!</v>
      </c>
      <c r="AI686" s="58"/>
    </row>
    <row r="687" spans="1:35" ht="15.75" customHeight="1">
      <c r="A687" s="6" t="s">
        <v>1623</v>
      </c>
      <c r="B687" s="5">
        <v>152</v>
      </c>
      <c r="C687" s="7">
        <v>23181.200000000001</v>
      </c>
      <c r="D687" s="7">
        <v>0</v>
      </c>
      <c r="E687" s="7">
        <v>0</v>
      </c>
      <c r="F687" s="5">
        <v>0</v>
      </c>
      <c r="G687" s="7">
        <v>0</v>
      </c>
      <c r="H687" s="5">
        <v>0</v>
      </c>
      <c r="I687" s="7">
        <v>0</v>
      </c>
      <c r="J687" s="7">
        <v>79</v>
      </c>
      <c r="K687" s="5">
        <v>0</v>
      </c>
      <c r="L687" s="5">
        <v>0</v>
      </c>
      <c r="M687" s="5">
        <v>79</v>
      </c>
      <c r="N687" s="7">
        <v>79</v>
      </c>
      <c r="O687" s="7">
        <v>19165.8</v>
      </c>
      <c r="P687" s="7">
        <v>0</v>
      </c>
      <c r="Q687" s="5">
        <v>0</v>
      </c>
      <c r="R687" s="5">
        <v>0</v>
      </c>
      <c r="S687" s="7">
        <v>0</v>
      </c>
      <c r="T687" s="12">
        <v>43225</v>
      </c>
      <c r="U687" s="4">
        <v>4</v>
      </c>
      <c r="V687" s="4">
        <v>9</v>
      </c>
      <c r="W687" s="4">
        <v>9</v>
      </c>
      <c r="X687" s="45">
        <v>42347</v>
      </c>
      <c r="Y687" s="14" t="s">
        <v>54</v>
      </c>
      <c r="Z687" s="14" t="s">
        <v>59</v>
      </c>
      <c r="AA687" s="14" t="s">
        <v>3034</v>
      </c>
      <c r="AB687" s="44">
        <v>43233</v>
      </c>
      <c r="AC687" s="44" t="s">
        <v>3035</v>
      </c>
      <c r="AD687" s="29" t="s">
        <v>50</v>
      </c>
      <c r="AE687" s="24" t="s">
        <v>1624</v>
      </c>
      <c r="AF687" s="25" t="s">
        <v>1269</v>
      </c>
      <c r="AG687" t="e">
        <f t="shared" si="12"/>
        <v>#REF!</v>
      </c>
      <c r="AI687" s="58"/>
    </row>
    <row r="688" spans="1:35" ht="15.75" customHeight="1">
      <c r="A688" s="6" t="s">
        <v>1625</v>
      </c>
      <c r="B688" s="5">
        <v>192</v>
      </c>
      <c r="C688" s="7">
        <v>24388.640000000003</v>
      </c>
      <c r="D688" s="7">
        <v>0</v>
      </c>
      <c r="E688" s="7">
        <v>0</v>
      </c>
      <c r="F688" s="5">
        <v>0</v>
      </c>
      <c r="G688" s="7">
        <v>0</v>
      </c>
      <c r="H688" s="5">
        <v>189</v>
      </c>
      <c r="I688" s="7">
        <v>25427.58</v>
      </c>
      <c r="J688" s="7">
        <v>94</v>
      </c>
      <c r="K688" s="5">
        <v>0</v>
      </c>
      <c r="L688" s="5">
        <v>0</v>
      </c>
      <c r="M688" s="5">
        <v>94</v>
      </c>
      <c r="N688" s="7">
        <v>94</v>
      </c>
      <c r="O688" s="7">
        <v>16782</v>
      </c>
      <c r="P688" s="7">
        <v>0</v>
      </c>
      <c r="Q688" s="5">
        <v>0</v>
      </c>
      <c r="R688" s="5">
        <v>0</v>
      </c>
      <c r="S688" s="7">
        <v>0</v>
      </c>
      <c r="T688" s="12">
        <v>43225</v>
      </c>
      <c r="U688" s="4">
        <v>6</v>
      </c>
      <c r="V688" s="4">
        <v>9</v>
      </c>
      <c r="W688" s="4">
        <v>9</v>
      </c>
      <c r="X688" s="45">
        <v>66598.22</v>
      </c>
      <c r="Y688" s="14" t="s">
        <v>56</v>
      </c>
      <c r="Z688" s="14" t="s">
        <v>55</v>
      </c>
      <c r="AA688" s="14" t="s">
        <v>3032</v>
      </c>
      <c r="AB688" s="44">
        <v>43229</v>
      </c>
      <c r="AC688" s="44" t="s">
        <v>3033</v>
      </c>
      <c r="AD688" s="29" t="s">
        <v>51</v>
      </c>
      <c r="AE688" s="24" t="s">
        <v>1626</v>
      </c>
      <c r="AF688" s="25" t="s">
        <v>1270</v>
      </c>
      <c r="AG688" t="e">
        <f t="shared" si="12"/>
        <v>#REF!</v>
      </c>
      <c r="AI688" s="58"/>
    </row>
    <row r="689" spans="1:35" ht="15.75" customHeight="1">
      <c r="A689" s="6" t="s">
        <v>1627</v>
      </c>
      <c r="B689" s="5">
        <v>0</v>
      </c>
      <c r="C689" s="7">
        <v>0</v>
      </c>
      <c r="D689" s="7">
        <v>0</v>
      </c>
      <c r="E689" s="7">
        <v>0</v>
      </c>
      <c r="F689" s="5">
        <v>0</v>
      </c>
      <c r="G689" s="7">
        <v>0</v>
      </c>
      <c r="H689" s="5">
        <v>0</v>
      </c>
      <c r="I689" s="7">
        <v>0</v>
      </c>
      <c r="J689" s="7">
        <v>51</v>
      </c>
      <c r="K689" s="5">
        <v>0</v>
      </c>
      <c r="L689" s="5">
        <v>0</v>
      </c>
      <c r="M689" s="5">
        <v>51</v>
      </c>
      <c r="N689" s="7">
        <v>51</v>
      </c>
      <c r="O689" s="7">
        <v>8713.4000000000015</v>
      </c>
      <c r="P689" s="7">
        <v>0</v>
      </c>
      <c r="Q689" s="5">
        <v>0</v>
      </c>
      <c r="R689" s="5">
        <v>0</v>
      </c>
      <c r="S689" s="7">
        <v>0</v>
      </c>
      <c r="T689" s="12">
        <v>43225</v>
      </c>
      <c r="U689" s="4">
        <v>1</v>
      </c>
      <c r="V689" s="4">
        <v>9</v>
      </c>
      <c r="W689" s="4">
        <v>9</v>
      </c>
      <c r="X689" s="45">
        <v>8713.4000000000015</v>
      </c>
      <c r="Y689" s="14" t="s">
        <v>1633</v>
      </c>
      <c r="Z689" s="14" t="s">
        <v>1355</v>
      </c>
      <c r="AA689" s="14" t="s">
        <v>3052</v>
      </c>
      <c r="AB689" s="44">
        <v>43234</v>
      </c>
      <c r="AC689" s="44" t="s">
        <v>3053</v>
      </c>
      <c r="AD689" s="29" t="s">
        <v>70</v>
      </c>
      <c r="AE689" s="24" t="s">
        <v>1628</v>
      </c>
      <c r="AF689" s="25" t="s">
        <v>1273</v>
      </c>
      <c r="AG689" t="e">
        <f t="shared" si="12"/>
        <v>#REF!</v>
      </c>
      <c r="AI689" s="58"/>
    </row>
    <row r="690" spans="1:35" ht="15.75" customHeight="1">
      <c r="A690" s="6" t="s">
        <v>1629</v>
      </c>
      <c r="B690" s="5">
        <v>0</v>
      </c>
      <c r="C690" s="7">
        <v>0</v>
      </c>
      <c r="D690" s="7">
        <v>0</v>
      </c>
      <c r="E690" s="7">
        <v>0</v>
      </c>
      <c r="F690" s="5">
        <v>0</v>
      </c>
      <c r="G690" s="7">
        <v>0</v>
      </c>
      <c r="H690" s="5">
        <v>330</v>
      </c>
      <c r="I690" s="7">
        <v>39251.9</v>
      </c>
      <c r="J690" s="7">
        <v>0</v>
      </c>
      <c r="K690" s="5">
        <v>0</v>
      </c>
      <c r="L690" s="5">
        <v>0</v>
      </c>
      <c r="M690" s="5">
        <v>0</v>
      </c>
      <c r="N690" s="7">
        <v>0</v>
      </c>
      <c r="O690" s="7">
        <v>0</v>
      </c>
      <c r="P690" s="7">
        <v>1556</v>
      </c>
      <c r="Q690" s="5">
        <v>0</v>
      </c>
      <c r="R690" s="5">
        <v>1556</v>
      </c>
      <c r="S690" s="7">
        <v>111503</v>
      </c>
      <c r="T690" s="12">
        <v>43225</v>
      </c>
      <c r="U690" s="4">
        <v>6</v>
      </c>
      <c r="V690" s="4">
        <v>9</v>
      </c>
      <c r="W690" s="4">
        <v>9</v>
      </c>
      <c r="X690" s="45">
        <v>150754.9</v>
      </c>
      <c r="Y690" s="14" t="s">
        <v>85</v>
      </c>
      <c r="Z690" s="14" t="s">
        <v>57</v>
      </c>
      <c r="AA690" s="14">
        <v>350810042104</v>
      </c>
      <c r="AB690" s="44">
        <v>43233</v>
      </c>
      <c r="AC690" s="44" t="s">
        <v>3045</v>
      </c>
      <c r="AD690" s="29" t="s">
        <v>49</v>
      </c>
      <c r="AE690" s="24" t="s">
        <v>1630</v>
      </c>
      <c r="AF690" s="25" t="s">
        <v>1265</v>
      </c>
      <c r="AG690" t="e">
        <f t="shared" si="12"/>
        <v>#REF!</v>
      </c>
      <c r="AI690" s="58"/>
    </row>
    <row r="691" spans="1:35" ht="15.75" customHeight="1">
      <c r="A691" s="6" t="s">
        <v>1631</v>
      </c>
      <c r="B691" s="5">
        <v>92</v>
      </c>
      <c r="C691" s="7">
        <v>12097</v>
      </c>
      <c r="D691" s="7">
        <v>0</v>
      </c>
      <c r="E691" s="7">
        <v>0</v>
      </c>
      <c r="F691" s="5">
        <v>0</v>
      </c>
      <c r="G691" s="7">
        <v>0</v>
      </c>
      <c r="H691" s="5">
        <v>115</v>
      </c>
      <c r="I691" s="7">
        <v>13660.6</v>
      </c>
      <c r="J691" s="7">
        <v>37</v>
      </c>
      <c r="K691" s="5">
        <v>0</v>
      </c>
      <c r="L691" s="5">
        <v>0</v>
      </c>
      <c r="M691" s="5">
        <v>37</v>
      </c>
      <c r="N691" s="7">
        <v>37</v>
      </c>
      <c r="O691" s="7">
        <v>6331.1</v>
      </c>
      <c r="P691" s="7">
        <v>283</v>
      </c>
      <c r="Q691" s="5">
        <v>0</v>
      </c>
      <c r="R691" s="5">
        <v>283</v>
      </c>
      <c r="S691" s="7">
        <v>52064.800000000003</v>
      </c>
      <c r="T691" s="12">
        <v>43225</v>
      </c>
      <c r="U691" s="4">
        <v>6</v>
      </c>
      <c r="V691" s="4">
        <v>9</v>
      </c>
      <c r="W691" s="4">
        <v>9</v>
      </c>
      <c r="X691" s="45">
        <v>84153.5</v>
      </c>
      <c r="Y691" s="14" t="s">
        <v>56</v>
      </c>
      <c r="Z691" s="14" t="s">
        <v>1281</v>
      </c>
      <c r="AA691" s="14" t="s">
        <v>3038</v>
      </c>
      <c r="AB691" s="44">
        <v>43230</v>
      </c>
      <c r="AC691" s="44" t="s">
        <v>3039</v>
      </c>
      <c r="AD691" s="29" t="s">
        <v>52</v>
      </c>
      <c r="AE691" s="24" t="s">
        <v>1632</v>
      </c>
      <c r="AF691" s="25" t="s">
        <v>1271</v>
      </c>
      <c r="AG691" t="e">
        <f t="shared" si="12"/>
        <v>#REF!</v>
      </c>
      <c r="AI691" s="58"/>
    </row>
    <row r="692" spans="1:35" ht="15.75" customHeight="1">
      <c r="A692" s="6" t="s">
        <v>1638</v>
      </c>
      <c r="B692" s="5">
        <v>179</v>
      </c>
      <c r="C692" s="7">
        <v>14521.780000000002</v>
      </c>
      <c r="D692" s="7">
        <v>0</v>
      </c>
      <c r="E692" s="7">
        <v>0</v>
      </c>
      <c r="F692" s="5">
        <v>0</v>
      </c>
      <c r="G692" s="7">
        <v>0</v>
      </c>
      <c r="H692" s="5">
        <v>10</v>
      </c>
      <c r="I692" s="7">
        <v>756.69999999999982</v>
      </c>
      <c r="J692" s="7">
        <v>59</v>
      </c>
      <c r="K692" s="5">
        <v>0</v>
      </c>
      <c r="L692" s="5">
        <v>0</v>
      </c>
      <c r="M692" s="5">
        <v>59</v>
      </c>
      <c r="N692" s="7">
        <v>59</v>
      </c>
      <c r="O692" s="7">
        <v>8843.3000000000011</v>
      </c>
      <c r="P692" s="7">
        <v>100</v>
      </c>
      <c r="Q692" s="5">
        <v>0</v>
      </c>
      <c r="R692" s="5">
        <v>100</v>
      </c>
      <c r="S692" s="7">
        <v>17138</v>
      </c>
      <c r="T692" s="12">
        <v>43228</v>
      </c>
      <c r="U692" s="4">
        <v>3</v>
      </c>
      <c r="V692" s="4">
        <v>9</v>
      </c>
      <c r="W692" s="4">
        <v>9</v>
      </c>
      <c r="X692" s="45">
        <v>41259.780000000006</v>
      </c>
      <c r="Y692" s="14" t="s">
        <v>1633</v>
      </c>
      <c r="Z692" s="14" t="s">
        <v>1355</v>
      </c>
      <c r="AA692" s="14" t="s">
        <v>3052</v>
      </c>
      <c r="AB692" s="44">
        <v>43234</v>
      </c>
      <c r="AC692" s="44" t="s">
        <v>3053</v>
      </c>
      <c r="AD692" s="29" t="s">
        <v>70</v>
      </c>
      <c r="AE692" s="24" t="s">
        <v>1675</v>
      </c>
      <c r="AF692" s="25" t="s">
        <v>1273</v>
      </c>
      <c r="AG692" t="e">
        <f t="shared" si="12"/>
        <v>#REF!</v>
      </c>
      <c r="AI692" s="58"/>
    </row>
    <row r="693" spans="1:35" ht="15.75" customHeight="1">
      <c r="A693" s="6" t="s">
        <v>1641</v>
      </c>
      <c r="B693" s="5">
        <v>188</v>
      </c>
      <c r="C693" s="7">
        <v>24059.900000000005</v>
      </c>
      <c r="D693" s="7">
        <v>10</v>
      </c>
      <c r="E693" s="7">
        <v>0</v>
      </c>
      <c r="F693" s="5">
        <v>10</v>
      </c>
      <c r="G693" s="7">
        <v>446</v>
      </c>
      <c r="H693" s="5">
        <v>245</v>
      </c>
      <c r="I693" s="7">
        <v>24000.199999999997</v>
      </c>
      <c r="J693" s="7">
        <v>105</v>
      </c>
      <c r="K693" s="5">
        <v>0</v>
      </c>
      <c r="L693" s="5">
        <v>0</v>
      </c>
      <c r="M693" s="5">
        <v>105</v>
      </c>
      <c r="N693" s="7">
        <v>105</v>
      </c>
      <c r="O693" s="7">
        <v>22835.8</v>
      </c>
      <c r="P693" s="7">
        <v>15</v>
      </c>
      <c r="Q693" s="5">
        <v>0</v>
      </c>
      <c r="R693" s="5">
        <v>15</v>
      </c>
      <c r="S693" s="7">
        <v>755.85</v>
      </c>
      <c r="T693" s="12">
        <v>43228</v>
      </c>
      <c r="U693" s="4">
        <v>6</v>
      </c>
      <c r="V693" s="4">
        <v>9</v>
      </c>
      <c r="W693" s="4">
        <v>9</v>
      </c>
      <c r="X693" s="45">
        <v>72097.750000000015</v>
      </c>
      <c r="Y693" s="14" t="s">
        <v>54</v>
      </c>
      <c r="Z693" s="14" t="s">
        <v>1281</v>
      </c>
      <c r="AA693" s="14" t="s">
        <v>3054</v>
      </c>
      <c r="AB693" s="44">
        <v>43235</v>
      </c>
      <c r="AC693" s="44" t="s">
        <v>3055</v>
      </c>
      <c r="AD693" s="29" t="s">
        <v>52</v>
      </c>
      <c r="AE693" s="24" t="s">
        <v>1676</v>
      </c>
      <c r="AF693" s="25" t="s">
        <v>1271</v>
      </c>
      <c r="AG693" t="e">
        <f t="shared" ref="AG693:AG723" si="13">+VLOOKUP(AF693,AH:AH,2,0)</f>
        <v>#REF!</v>
      </c>
      <c r="AI693" s="58"/>
    </row>
    <row r="694" spans="1:35" ht="15.75" customHeight="1">
      <c r="A694" s="6" t="s">
        <v>1642</v>
      </c>
      <c r="B694" s="5">
        <v>890</v>
      </c>
      <c r="C694" s="7">
        <v>90858.8</v>
      </c>
      <c r="D694" s="7">
        <v>0</v>
      </c>
      <c r="E694" s="7">
        <v>0</v>
      </c>
      <c r="F694" s="5">
        <v>0</v>
      </c>
      <c r="G694" s="7">
        <v>0</v>
      </c>
      <c r="H694" s="5">
        <v>732</v>
      </c>
      <c r="I694" s="7">
        <v>70206.95</v>
      </c>
      <c r="J694" s="7">
        <v>150</v>
      </c>
      <c r="K694" s="5">
        <v>0</v>
      </c>
      <c r="L694" s="5">
        <v>0</v>
      </c>
      <c r="M694" s="5">
        <v>150</v>
      </c>
      <c r="N694" s="7">
        <v>150</v>
      </c>
      <c r="O694" s="7">
        <v>18424.800000000003</v>
      </c>
      <c r="P694" s="7">
        <v>48</v>
      </c>
      <c r="Q694" s="5">
        <v>0</v>
      </c>
      <c r="R694" s="5">
        <v>48</v>
      </c>
      <c r="S694" s="7">
        <v>2410.0499999999997</v>
      </c>
      <c r="T694" s="12">
        <v>43228</v>
      </c>
      <c r="U694" s="4">
        <v>14</v>
      </c>
      <c r="V694" s="4">
        <v>9</v>
      </c>
      <c r="W694" s="4">
        <v>9</v>
      </c>
      <c r="X694" s="45">
        <v>181900.59999999998</v>
      </c>
      <c r="Y694" s="14" t="s">
        <v>56</v>
      </c>
      <c r="Z694" s="14" t="s">
        <v>55</v>
      </c>
      <c r="AA694" s="14" t="s">
        <v>3049</v>
      </c>
      <c r="AB694" s="44">
        <v>43230</v>
      </c>
      <c r="AC694" s="44" t="s">
        <v>3047</v>
      </c>
      <c r="AD694" s="29" t="s">
        <v>51</v>
      </c>
      <c r="AE694" s="24" t="s">
        <v>1674</v>
      </c>
      <c r="AF694" s="25" t="s">
        <v>1270</v>
      </c>
      <c r="AG694" t="e">
        <f t="shared" si="13"/>
        <v>#REF!</v>
      </c>
      <c r="AI694" s="58"/>
    </row>
    <row r="695" spans="1:35" ht="15.75" customHeight="1">
      <c r="A695" s="6" t="s">
        <v>1643</v>
      </c>
      <c r="B695" s="5">
        <v>600</v>
      </c>
      <c r="C695" s="7">
        <v>68223</v>
      </c>
      <c r="D695" s="7">
        <v>0</v>
      </c>
      <c r="E695" s="7">
        <v>0</v>
      </c>
      <c r="F695" s="5">
        <v>0</v>
      </c>
      <c r="G695" s="7">
        <v>0</v>
      </c>
      <c r="H695" s="5">
        <v>0</v>
      </c>
      <c r="I695" s="7">
        <v>0</v>
      </c>
      <c r="J695" s="7">
        <v>94</v>
      </c>
      <c r="K695" s="5">
        <v>0</v>
      </c>
      <c r="L695" s="5">
        <v>0</v>
      </c>
      <c r="M695" s="5">
        <v>94</v>
      </c>
      <c r="N695" s="7">
        <v>94</v>
      </c>
      <c r="O695" s="7">
        <v>17329.500000000004</v>
      </c>
      <c r="P695" s="7">
        <v>0</v>
      </c>
      <c r="Q695" s="5">
        <v>0</v>
      </c>
      <c r="R695" s="5">
        <v>0</v>
      </c>
      <c r="S695" s="7">
        <v>0</v>
      </c>
      <c r="T695" s="12">
        <v>43228</v>
      </c>
      <c r="U695" s="4">
        <v>7</v>
      </c>
      <c r="V695" s="4">
        <v>9</v>
      </c>
      <c r="W695" s="4">
        <v>9</v>
      </c>
      <c r="X695" s="45">
        <v>85552.5</v>
      </c>
      <c r="Y695" s="14" t="s">
        <v>54</v>
      </c>
      <c r="Z695" s="14" t="s">
        <v>59</v>
      </c>
      <c r="AA695" s="14" t="s">
        <v>3056</v>
      </c>
      <c r="AB695" s="44">
        <v>43233</v>
      </c>
      <c r="AC695" s="44" t="s">
        <v>3035</v>
      </c>
      <c r="AD695" s="29" t="s">
        <v>50</v>
      </c>
      <c r="AE695" s="24" t="s">
        <v>1673</v>
      </c>
      <c r="AF695" s="25" t="s">
        <v>1269</v>
      </c>
      <c r="AG695" t="e">
        <f t="shared" si="13"/>
        <v>#REF!</v>
      </c>
      <c r="AI695" s="58"/>
    </row>
    <row r="696" spans="1:35" ht="15.75" customHeight="1">
      <c r="A696" s="6" t="s">
        <v>1639</v>
      </c>
      <c r="B696" s="5">
        <v>0</v>
      </c>
      <c r="C696" s="7">
        <v>0</v>
      </c>
      <c r="D696" s="7">
        <v>0</v>
      </c>
      <c r="E696" s="7">
        <v>0</v>
      </c>
      <c r="F696" s="5">
        <v>0</v>
      </c>
      <c r="G696" s="7">
        <v>0</v>
      </c>
      <c r="H696" s="5">
        <v>737</v>
      </c>
      <c r="I696" s="7">
        <v>86379.06</v>
      </c>
      <c r="J696" s="7">
        <v>0</v>
      </c>
      <c r="K696" s="5">
        <v>0</v>
      </c>
      <c r="L696" s="5">
        <v>0</v>
      </c>
      <c r="M696" s="5">
        <v>0</v>
      </c>
      <c r="N696" s="7">
        <v>0</v>
      </c>
      <c r="O696" s="7">
        <v>0</v>
      </c>
      <c r="P696" s="7">
        <v>0</v>
      </c>
      <c r="Q696" s="5">
        <v>0</v>
      </c>
      <c r="R696" s="5">
        <v>0</v>
      </c>
      <c r="S696" s="7">
        <v>0</v>
      </c>
      <c r="T696" s="12">
        <v>43229</v>
      </c>
      <c r="U696" s="4">
        <v>6</v>
      </c>
      <c r="V696" s="4">
        <v>9</v>
      </c>
      <c r="W696" s="4">
        <v>9</v>
      </c>
      <c r="X696" s="45">
        <v>86379.06</v>
      </c>
      <c r="Y696" s="14" t="s">
        <v>54</v>
      </c>
      <c r="Z696" s="14" t="s">
        <v>1355</v>
      </c>
      <c r="AA696" s="14" t="s">
        <v>3057</v>
      </c>
      <c r="AB696" s="44">
        <v>43233</v>
      </c>
      <c r="AC696" s="44" t="s">
        <v>3035</v>
      </c>
      <c r="AD696" s="29" t="s">
        <v>49</v>
      </c>
      <c r="AE696" s="24" t="s">
        <v>1672</v>
      </c>
      <c r="AF696" s="25" t="s">
        <v>1265</v>
      </c>
      <c r="AG696" t="e">
        <f t="shared" si="13"/>
        <v>#REF!</v>
      </c>
      <c r="AI696" s="58"/>
    </row>
    <row r="697" spans="1:35" ht="15.75" customHeight="1">
      <c r="A697" s="6" t="s">
        <v>1640</v>
      </c>
      <c r="B697" s="5">
        <v>295</v>
      </c>
      <c r="C697" s="7">
        <v>35289.599999999999</v>
      </c>
      <c r="D697" s="7">
        <v>0</v>
      </c>
      <c r="E697" s="7">
        <v>0</v>
      </c>
      <c r="F697" s="5">
        <v>0</v>
      </c>
      <c r="G697" s="7">
        <v>0</v>
      </c>
      <c r="H697" s="5">
        <v>0</v>
      </c>
      <c r="I697" s="7">
        <v>0</v>
      </c>
      <c r="J697" s="7">
        <v>90</v>
      </c>
      <c r="K697" s="5">
        <v>0</v>
      </c>
      <c r="L697" s="5">
        <v>0</v>
      </c>
      <c r="M697" s="5">
        <v>90</v>
      </c>
      <c r="N697" s="7">
        <v>90</v>
      </c>
      <c r="O697" s="7">
        <v>15760.1</v>
      </c>
      <c r="P697" s="7">
        <v>85</v>
      </c>
      <c r="Q697" s="5">
        <v>0</v>
      </c>
      <c r="R697" s="5">
        <v>85</v>
      </c>
      <c r="S697" s="7">
        <v>16496</v>
      </c>
      <c r="T697" s="12">
        <v>43229</v>
      </c>
      <c r="U697" s="4">
        <v>6</v>
      </c>
      <c r="V697" s="4">
        <v>9</v>
      </c>
      <c r="W697" s="4">
        <v>9</v>
      </c>
      <c r="X697" s="45">
        <v>67545.7</v>
      </c>
      <c r="Y697" s="14" t="s">
        <v>54</v>
      </c>
      <c r="Z697" s="14" t="s">
        <v>1637</v>
      </c>
      <c r="AA697" s="14" t="s">
        <v>3050</v>
      </c>
      <c r="AB697" s="44">
        <v>43233</v>
      </c>
      <c r="AC697" s="44" t="s">
        <v>3035</v>
      </c>
      <c r="AD697" s="29" t="s">
        <v>49</v>
      </c>
      <c r="AE697" s="24" t="s">
        <v>1671</v>
      </c>
      <c r="AF697" s="25" t="s">
        <v>1267</v>
      </c>
      <c r="AG697" t="e">
        <f t="shared" si="13"/>
        <v>#REF!</v>
      </c>
      <c r="AI697" s="58"/>
    </row>
    <row r="698" spans="1:35" ht="15.75" customHeight="1">
      <c r="A698" s="6" t="s">
        <v>1645</v>
      </c>
      <c r="B698" s="5">
        <v>0</v>
      </c>
      <c r="C698" s="7">
        <v>0</v>
      </c>
      <c r="D698" s="7">
        <v>0</v>
      </c>
      <c r="E698" s="7">
        <v>0</v>
      </c>
      <c r="F698" s="5">
        <v>0</v>
      </c>
      <c r="G698" s="7">
        <v>0</v>
      </c>
      <c r="H698" s="5">
        <v>310</v>
      </c>
      <c r="I698" s="7">
        <v>39512.449999999997</v>
      </c>
      <c r="J698" s="7">
        <v>100</v>
      </c>
      <c r="K698" s="5">
        <v>0</v>
      </c>
      <c r="L698" s="5">
        <v>0</v>
      </c>
      <c r="M698" s="5">
        <v>100</v>
      </c>
      <c r="N698" s="7">
        <v>100</v>
      </c>
      <c r="O698" s="7">
        <v>19484</v>
      </c>
      <c r="P698" s="7">
        <v>731</v>
      </c>
      <c r="Q698" s="5">
        <v>0</v>
      </c>
      <c r="R698" s="5">
        <v>731</v>
      </c>
      <c r="S698" s="7">
        <v>64798.3</v>
      </c>
      <c r="T698" s="12">
        <v>43229</v>
      </c>
      <c r="U698" s="4">
        <v>8</v>
      </c>
      <c r="V698" s="4">
        <v>9</v>
      </c>
      <c r="W698" s="4">
        <v>9</v>
      </c>
      <c r="X698" s="45">
        <v>123794.75</v>
      </c>
      <c r="Y698" s="14" t="s">
        <v>56</v>
      </c>
      <c r="Z698" s="14" t="s">
        <v>1355</v>
      </c>
      <c r="AA698" s="14" t="s">
        <v>3058</v>
      </c>
      <c r="AB698" s="44">
        <v>43236</v>
      </c>
      <c r="AC698" s="44" t="s">
        <v>3059</v>
      </c>
      <c r="AD698" s="29" t="s">
        <v>51</v>
      </c>
      <c r="AE698" s="24" t="s">
        <v>1670</v>
      </c>
      <c r="AF698" s="25" t="s">
        <v>1270</v>
      </c>
      <c r="AG698" t="e">
        <f t="shared" si="13"/>
        <v>#REF!</v>
      </c>
      <c r="AI698" s="58"/>
    </row>
    <row r="699" spans="1:35" ht="15.75" customHeight="1">
      <c r="A699" s="6" t="s">
        <v>1646</v>
      </c>
      <c r="B699" s="5">
        <v>0</v>
      </c>
      <c r="C699" s="7">
        <v>0</v>
      </c>
      <c r="D699" s="7">
        <v>0</v>
      </c>
      <c r="E699" s="7">
        <v>0</v>
      </c>
      <c r="F699" s="5">
        <v>0</v>
      </c>
      <c r="G699" s="7">
        <v>0</v>
      </c>
      <c r="H699" s="5">
        <v>420</v>
      </c>
      <c r="I699" s="7">
        <v>51551.799999999988</v>
      </c>
      <c r="J699" s="7">
        <v>57</v>
      </c>
      <c r="K699" s="5">
        <v>0</v>
      </c>
      <c r="L699" s="5">
        <v>0</v>
      </c>
      <c r="M699" s="5">
        <v>57</v>
      </c>
      <c r="N699" s="7">
        <v>57</v>
      </c>
      <c r="O699" s="7">
        <v>10283.200000000001</v>
      </c>
      <c r="P699" s="7">
        <v>158</v>
      </c>
      <c r="Q699" s="5">
        <v>0</v>
      </c>
      <c r="R699" s="5">
        <v>158</v>
      </c>
      <c r="S699" s="7">
        <v>34276.6</v>
      </c>
      <c r="T699" s="12">
        <v>43229</v>
      </c>
      <c r="U699" s="4">
        <v>7</v>
      </c>
      <c r="V699" s="4">
        <v>9</v>
      </c>
      <c r="W699" s="4">
        <v>9</v>
      </c>
      <c r="X699" s="45">
        <v>96111.599999999977</v>
      </c>
      <c r="Y699" s="14" t="s">
        <v>56</v>
      </c>
      <c r="Z699" s="14" t="s">
        <v>1281</v>
      </c>
      <c r="AA699" s="14" t="s">
        <v>3058</v>
      </c>
      <c r="AB699" s="44">
        <v>43236</v>
      </c>
      <c r="AC699" s="44" t="s">
        <v>3059</v>
      </c>
      <c r="AD699" s="29" t="s">
        <v>51</v>
      </c>
      <c r="AE699" s="24" t="s">
        <v>1669</v>
      </c>
      <c r="AF699" s="25" t="s">
        <v>1270</v>
      </c>
      <c r="AG699" t="e">
        <f t="shared" si="13"/>
        <v>#REF!</v>
      </c>
      <c r="AI699" s="58"/>
    </row>
    <row r="700" spans="1:35" ht="15.75" customHeight="1">
      <c r="A700" s="6" t="s">
        <v>1649</v>
      </c>
      <c r="B700" s="5">
        <v>444</v>
      </c>
      <c r="C700" s="7">
        <v>37982</v>
      </c>
      <c r="D700" s="7">
        <v>0</v>
      </c>
      <c r="E700" s="7">
        <v>0</v>
      </c>
      <c r="F700" s="5">
        <v>0</v>
      </c>
      <c r="G700" s="7">
        <v>0</v>
      </c>
      <c r="H700" s="5">
        <v>0</v>
      </c>
      <c r="I700" s="7">
        <v>0</v>
      </c>
      <c r="J700" s="7">
        <v>148</v>
      </c>
      <c r="K700" s="5">
        <v>0</v>
      </c>
      <c r="L700" s="5">
        <v>0</v>
      </c>
      <c r="M700" s="5">
        <v>148</v>
      </c>
      <c r="N700" s="7">
        <v>148</v>
      </c>
      <c r="O700" s="7">
        <v>28855.699999999997</v>
      </c>
      <c r="P700" s="7">
        <v>345</v>
      </c>
      <c r="Q700" s="5">
        <v>0</v>
      </c>
      <c r="R700" s="5">
        <v>345</v>
      </c>
      <c r="S700" s="7">
        <v>57601.5</v>
      </c>
      <c r="T700" s="12">
        <v>43229</v>
      </c>
      <c r="U700" s="4">
        <v>10</v>
      </c>
      <c r="V700" s="4">
        <v>9</v>
      </c>
      <c r="W700" s="4">
        <v>9</v>
      </c>
      <c r="X700" s="45">
        <v>124439.2</v>
      </c>
      <c r="Y700" s="14" t="s">
        <v>54</v>
      </c>
      <c r="Z700" s="14" t="s">
        <v>55</v>
      </c>
      <c r="AA700" s="14" t="s">
        <v>3060</v>
      </c>
      <c r="AB700" s="44">
        <v>43240</v>
      </c>
      <c r="AC700" s="44" t="s">
        <v>3061</v>
      </c>
      <c r="AD700" s="29" t="s">
        <v>50</v>
      </c>
      <c r="AE700" s="24" t="s">
        <v>1668</v>
      </c>
      <c r="AF700" s="25" t="s">
        <v>1269</v>
      </c>
      <c r="AG700" t="e">
        <f t="shared" si="13"/>
        <v>#REF!</v>
      </c>
      <c r="AI700" s="58"/>
    </row>
    <row r="701" spans="1:35" ht="15.75" customHeight="1">
      <c r="A701" s="6" t="s">
        <v>1650</v>
      </c>
      <c r="B701" s="5">
        <v>104</v>
      </c>
      <c r="C701" s="7">
        <v>12082.7</v>
      </c>
      <c r="D701" s="7">
        <v>0</v>
      </c>
      <c r="E701" s="7">
        <v>0</v>
      </c>
      <c r="F701" s="5">
        <v>0</v>
      </c>
      <c r="G701" s="7">
        <v>0</v>
      </c>
      <c r="H701" s="5">
        <v>0</v>
      </c>
      <c r="I701" s="7">
        <v>0</v>
      </c>
      <c r="J701" s="7">
        <v>0</v>
      </c>
      <c r="K701" s="5">
        <v>0</v>
      </c>
      <c r="L701" s="5">
        <v>0</v>
      </c>
      <c r="M701" s="5">
        <v>0</v>
      </c>
      <c r="N701" s="7">
        <v>0</v>
      </c>
      <c r="O701" s="7">
        <v>0</v>
      </c>
      <c r="P701" s="7">
        <v>140</v>
      </c>
      <c r="Q701" s="5">
        <v>0</v>
      </c>
      <c r="R701" s="5">
        <v>140</v>
      </c>
      <c r="S701" s="7">
        <v>17218</v>
      </c>
      <c r="T701" s="12">
        <v>43230</v>
      </c>
      <c r="U701" s="4">
        <v>2</v>
      </c>
      <c r="V701" s="4">
        <v>9</v>
      </c>
      <c r="W701" s="4">
        <v>9</v>
      </c>
      <c r="X701" s="45">
        <v>29300.7</v>
      </c>
      <c r="Y701" s="14" t="s">
        <v>1633</v>
      </c>
      <c r="Z701" s="14" t="s">
        <v>1492</v>
      </c>
      <c r="AA701" s="14" t="s">
        <v>3062</v>
      </c>
      <c r="AB701" s="44">
        <v>43238</v>
      </c>
      <c r="AC701" s="44" t="s">
        <v>3063</v>
      </c>
      <c r="AD701" s="29" t="s">
        <v>70</v>
      </c>
      <c r="AE701" s="24" t="s">
        <v>1667</v>
      </c>
      <c r="AF701" s="25" t="s">
        <v>1273</v>
      </c>
      <c r="AG701" t="e">
        <f t="shared" si="13"/>
        <v>#REF!</v>
      </c>
      <c r="AI701" s="58"/>
    </row>
    <row r="702" spans="1:35" ht="15.75" customHeight="1">
      <c r="A702" s="6" t="s">
        <v>1651</v>
      </c>
      <c r="B702" s="5">
        <v>0</v>
      </c>
      <c r="C702" s="7">
        <v>0</v>
      </c>
      <c r="D702" s="7">
        <v>0</v>
      </c>
      <c r="E702" s="7">
        <v>0</v>
      </c>
      <c r="F702" s="5">
        <v>0</v>
      </c>
      <c r="G702" s="7">
        <v>0</v>
      </c>
      <c r="H702" s="5">
        <v>630</v>
      </c>
      <c r="I702" s="7">
        <v>78967.850000000006</v>
      </c>
      <c r="J702" s="7">
        <v>0</v>
      </c>
      <c r="K702" s="5">
        <v>0</v>
      </c>
      <c r="L702" s="5">
        <v>0</v>
      </c>
      <c r="M702" s="5">
        <v>0</v>
      </c>
      <c r="N702" s="7">
        <v>0</v>
      </c>
      <c r="O702" s="7">
        <v>0</v>
      </c>
      <c r="P702" s="7">
        <v>553</v>
      </c>
      <c r="Q702" s="5">
        <v>0</v>
      </c>
      <c r="R702" s="5">
        <v>553</v>
      </c>
      <c r="S702" s="7">
        <v>36221.5</v>
      </c>
      <c r="T702" s="12">
        <v>43230</v>
      </c>
      <c r="U702" s="4">
        <v>7</v>
      </c>
      <c r="V702" s="4">
        <v>9</v>
      </c>
      <c r="W702" s="4">
        <v>9</v>
      </c>
      <c r="X702" s="45">
        <v>115189.35</v>
      </c>
      <c r="Y702" s="14" t="s">
        <v>56</v>
      </c>
      <c r="Z702" s="14" t="s">
        <v>1355</v>
      </c>
      <c r="AA702" s="14" t="s">
        <v>3064</v>
      </c>
      <c r="AB702" s="44">
        <v>43236</v>
      </c>
      <c r="AC702" s="44" t="s">
        <v>3065</v>
      </c>
      <c r="AD702" s="29" t="s">
        <v>49</v>
      </c>
      <c r="AE702" s="24" t="s">
        <v>1666</v>
      </c>
      <c r="AF702" s="25" t="s">
        <v>1265</v>
      </c>
      <c r="AG702" t="e">
        <f t="shared" si="13"/>
        <v>#REF!</v>
      </c>
      <c r="AI702" s="58"/>
    </row>
    <row r="703" spans="1:35" ht="15.75" customHeight="1">
      <c r="A703" s="6" t="s">
        <v>1654</v>
      </c>
      <c r="B703" s="5">
        <v>148</v>
      </c>
      <c r="C703" s="7">
        <v>12617.350000000004</v>
      </c>
      <c r="D703" s="7">
        <v>0</v>
      </c>
      <c r="E703" s="7">
        <v>0</v>
      </c>
      <c r="F703" s="5">
        <v>0</v>
      </c>
      <c r="G703" s="7">
        <v>0</v>
      </c>
      <c r="H703" s="5">
        <v>90</v>
      </c>
      <c r="I703" s="7">
        <v>12494.400000000001</v>
      </c>
      <c r="J703" s="7">
        <v>50</v>
      </c>
      <c r="K703" s="5">
        <v>0</v>
      </c>
      <c r="L703" s="5">
        <v>0</v>
      </c>
      <c r="M703" s="5">
        <v>50</v>
      </c>
      <c r="N703" s="7">
        <v>50</v>
      </c>
      <c r="O703" s="7">
        <v>8505</v>
      </c>
      <c r="P703" s="7">
        <v>350</v>
      </c>
      <c r="Q703" s="5">
        <v>0</v>
      </c>
      <c r="R703" s="5">
        <v>350</v>
      </c>
      <c r="S703" s="7">
        <v>38145</v>
      </c>
      <c r="T703" s="12">
        <v>43230</v>
      </c>
      <c r="U703" s="4">
        <v>5</v>
      </c>
      <c r="V703" s="4">
        <v>9</v>
      </c>
      <c r="W703" s="4">
        <v>9</v>
      </c>
      <c r="X703" s="45">
        <v>71761.75</v>
      </c>
      <c r="Y703" s="14" t="s">
        <v>56</v>
      </c>
      <c r="Z703" s="14" t="s">
        <v>1281</v>
      </c>
      <c r="AA703" s="14" t="s">
        <v>3066</v>
      </c>
      <c r="AB703" s="44">
        <v>43236</v>
      </c>
      <c r="AC703" s="44" t="s">
        <v>3067</v>
      </c>
      <c r="AD703" s="29" t="s">
        <v>52</v>
      </c>
      <c r="AE703" s="24" t="s">
        <v>1665</v>
      </c>
      <c r="AF703" s="25" t="s">
        <v>1271</v>
      </c>
      <c r="AG703" t="e">
        <f t="shared" si="13"/>
        <v>#REF!</v>
      </c>
      <c r="AI703" s="58"/>
    </row>
    <row r="704" spans="1:35" ht="15.75" customHeight="1">
      <c r="A704" s="6" t="s">
        <v>1644</v>
      </c>
      <c r="B704" s="5">
        <v>504</v>
      </c>
      <c r="C704" s="7">
        <v>60393.9</v>
      </c>
      <c r="D704" s="7">
        <v>0</v>
      </c>
      <c r="E704" s="7">
        <v>0</v>
      </c>
      <c r="F704" s="5">
        <v>0</v>
      </c>
      <c r="G704" s="7">
        <v>0</v>
      </c>
      <c r="H704" s="5">
        <v>380</v>
      </c>
      <c r="I704" s="7">
        <v>36379.199999999997</v>
      </c>
      <c r="J704" s="7">
        <v>302</v>
      </c>
      <c r="K704" s="5">
        <v>0</v>
      </c>
      <c r="L704" s="5">
        <v>0</v>
      </c>
      <c r="M704" s="5">
        <v>302</v>
      </c>
      <c r="N704" s="7">
        <v>302</v>
      </c>
      <c r="O704" s="7">
        <v>14541.300000000001</v>
      </c>
      <c r="P704" s="7">
        <v>0</v>
      </c>
      <c r="Q704" s="5">
        <v>0</v>
      </c>
      <c r="R704" s="5">
        <v>0</v>
      </c>
      <c r="S704" s="7">
        <v>0</v>
      </c>
      <c r="T704" s="12">
        <v>43230</v>
      </c>
      <c r="U704" s="4">
        <v>8</v>
      </c>
      <c r="V704" s="4">
        <v>9</v>
      </c>
      <c r="W704" s="4">
        <v>9</v>
      </c>
      <c r="X704" s="45">
        <v>111314.40000000001</v>
      </c>
      <c r="Y704" s="14" t="s">
        <v>54</v>
      </c>
      <c r="Z704" s="14" t="s">
        <v>59</v>
      </c>
      <c r="AA704" s="14" t="s">
        <v>3068</v>
      </c>
      <c r="AB704" s="44">
        <v>43235</v>
      </c>
      <c r="AC704" s="44" t="s">
        <v>3055</v>
      </c>
      <c r="AD704" s="29" t="s">
        <v>51</v>
      </c>
      <c r="AE704" s="24" t="s">
        <v>1664</v>
      </c>
      <c r="AF704" s="25" t="s">
        <v>1270</v>
      </c>
      <c r="AG704" t="e">
        <f t="shared" si="13"/>
        <v>#REF!</v>
      </c>
      <c r="AI704" s="58"/>
    </row>
    <row r="705" spans="1:35" ht="15.75" customHeight="1">
      <c r="A705" s="6" t="s">
        <v>1655</v>
      </c>
      <c r="B705" s="5">
        <v>213</v>
      </c>
      <c r="C705" s="7">
        <v>34233.1</v>
      </c>
      <c r="D705" s="7">
        <v>0</v>
      </c>
      <c r="E705" s="7">
        <v>0</v>
      </c>
      <c r="F705" s="5">
        <v>0</v>
      </c>
      <c r="G705" s="7">
        <v>0</v>
      </c>
      <c r="H705" s="5">
        <v>0</v>
      </c>
      <c r="I705" s="7">
        <v>0</v>
      </c>
      <c r="J705" s="7">
        <v>243</v>
      </c>
      <c r="K705" s="5">
        <v>0</v>
      </c>
      <c r="L705" s="5">
        <v>0</v>
      </c>
      <c r="M705" s="5">
        <v>243</v>
      </c>
      <c r="N705" s="7">
        <v>243</v>
      </c>
      <c r="O705" s="7">
        <v>29244.899999999998</v>
      </c>
      <c r="P705" s="7">
        <v>279</v>
      </c>
      <c r="Q705" s="5">
        <v>0</v>
      </c>
      <c r="R705" s="5">
        <v>279</v>
      </c>
      <c r="S705" s="7">
        <v>37849.5</v>
      </c>
      <c r="T705" s="12">
        <v>43230</v>
      </c>
      <c r="U705" s="4">
        <v>9</v>
      </c>
      <c r="V705" s="4">
        <v>9</v>
      </c>
      <c r="W705" s="4">
        <v>9</v>
      </c>
      <c r="X705" s="45">
        <v>101327.5</v>
      </c>
      <c r="Y705" s="14" t="s">
        <v>56</v>
      </c>
      <c r="Z705" s="14" t="s">
        <v>55</v>
      </c>
      <c r="AA705" s="14" t="s">
        <v>3058</v>
      </c>
      <c r="AB705" s="44">
        <v>43236</v>
      </c>
      <c r="AC705" s="44" t="s">
        <v>3059</v>
      </c>
      <c r="AD705" s="29" t="s">
        <v>51</v>
      </c>
      <c r="AE705" s="24" t="s">
        <v>1663</v>
      </c>
      <c r="AF705" s="25" t="s">
        <v>1270</v>
      </c>
      <c r="AG705" t="e">
        <f t="shared" si="13"/>
        <v>#REF!</v>
      </c>
      <c r="AI705" s="58"/>
    </row>
    <row r="706" spans="1:35" ht="15.75" customHeight="1">
      <c r="A706" s="6" t="s">
        <v>1648</v>
      </c>
      <c r="B706" s="5">
        <v>720</v>
      </c>
      <c r="C706" s="7">
        <v>79878.100000000006</v>
      </c>
      <c r="D706" s="7">
        <v>0</v>
      </c>
      <c r="E706" s="7">
        <v>0</v>
      </c>
      <c r="F706" s="5">
        <v>0</v>
      </c>
      <c r="G706" s="7">
        <v>0</v>
      </c>
      <c r="H706" s="5">
        <v>0</v>
      </c>
      <c r="I706" s="7">
        <v>0</v>
      </c>
      <c r="J706" s="7">
        <v>50</v>
      </c>
      <c r="K706" s="5">
        <v>0</v>
      </c>
      <c r="L706" s="5">
        <v>0</v>
      </c>
      <c r="M706" s="5">
        <v>50</v>
      </c>
      <c r="N706" s="7">
        <v>50</v>
      </c>
      <c r="O706" s="7">
        <v>9888</v>
      </c>
      <c r="P706" s="7">
        <v>0</v>
      </c>
      <c r="Q706" s="5">
        <v>0</v>
      </c>
      <c r="R706" s="5">
        <v>0</v>
      </c>
      <c r="S706" s="7">
        <v>0</v>
      </c>
      <c r="T706" s="12">
        <v>43230</v>
      </c>
      <c r="U706" s="4">
        <v>7</v>
      </c>
      <c r="V706" s="4">
        <v>9</v>
      </c>
      <c r="W706" s="4">
        <v>9</v>
      </c>
      <c r="X706" s="45">
        <v>89766.1</v>
      </c>
      <c r="Y706" s="14" t="s">
        <v>54</v>
      </c>
      <c r="Z706" s="14" t="s">
        <v>59</v>
      </c>
      <c r="AA706" s="14" t="s">
        <v>3056</v>
      </c>
      <c r="AB706" s="44">
        <v>43233</v>
      </c>
      <c r="AC706" s="44" t="s">
        <v>3035</v>
      </c>
      <c r="AD706" s="29" t="s">
        <v>50</v>
      </c>
      <c r="AE706" s="24" t="s">
        <v>1662</v>
      </c>
      <c r="AF706" s="25" t="s">
        <v>1269</v>
      </c>
      <c r="AG706" t="e">
        <f t="shared" si="13"/>
        <v>#REF!</v>
      </c>
      <c r="AI706" s="58"/>
    </row>
    <row r="707" spans="1:35" ht="15.75" customHeight="1">
      <c r="A707" s="6" t="s">
        <v>1656</v>
      </c>
      <c r="B707" s="5">
        <v>124</v>
      </c>
      <c r="C707" s="7">
        <v>21344.399999999998</v>
      </c>
      <c r="D707" s="7">
        <v>0</v>
      </c>
      <c r="E707" s="7">
        <v>0</v>
      </c>
      <c r="F707" s="5">
        <v>0</v>
      </c>
      <c r="G707" s="7">
        <v>0</v>
      </c>
      <c r="H707" s="5">
        <v>0</v>
      </c>
      <c r="I707" s="7">
        <v>0</v>
      </c>
      <c r="J707" s="7">
        <v>110</v>
      </c>
      <c r="K707" s="5">
        <v>0</v>
      </c>
      <c r="L707" s="5">
        <v>0</v>
      </c>
      <c r="M707" s="5">
        <v>110</v>
      </c>
      <c r="N707" s="7">
        <v>110</v>
      </c>
      <c r="O707" s="7">
        <v>19238</v>
      </c>
      <c r="P707" s="7">
        <v>132</v>
      </c>
      <c r="Q707" s="5">
        <v>0</v>
      </c>
      <c r="R707" s="5">
        <v>132</v>
      </c>
      <c r="S707" s="7">
        <v>32397.999999999996</v>
      </c>
      <c r="T707" s="12">
        <v>43230</v>
      </c>
      <c r="U707" s="4">
        <v>6</v>
      </c>
      <c r="V707" s="4">
        <v>9</v>
      </c>
      <c r="W707" s="4">
        <v>9</v>
      </c>
      <c r="X707" s="45">
        <v>72980.399999999994</v>
      </c>
      <c r="Y707" s="14" t="s">
        <v>54</v>
      </c>
      <c r="Z707" s="14" t="s">
        <v>59</v>
      </c>
      <c r="AA707" s="14" t="s">
        <v>3069</v>
      </c>
      <c r="AB707" s="44">
        <v>43240</v>
      </c>
      <c r="AC707" s="44" t="s">
        <v>3061</v>
      </c>
      <c r="AD707" s="29" t="s">
        <v>50</v>
      </c>
      <c r="AE707" s="24" t="s">
        <v>1661</v>
      </c>
      <c r="AF707" s="25" t="s">
        <v>1269</v>
      </c>
      <c r="AG707" t="e">
        <f t="shared" si="13"/>
        <v>#REF!</v>
      </c>
      <c r="AI707" s="58"/>
    </row>
    <row r="708" spans="1:35" ht="15.75" customHeight="1">
      <c r="A708" s="6" t="s">
        <v>1677</v>
      </c>
      <c r="B708" s="5">
        <v>0</v>
      </c>
      <c r="C708" s="7">
        <v>0</v>
      </c>
      <c r="D708" s="7">
        <v>0</v>
      </c>
      <c r="E708" s="7">
        <v>0</v>
      </c>
      <c r="F708" s="5">
        <v>0</v>
      </c>
      <c r="G708" s="7">
        <v>0</v>
      </c>
      <c r="H708" s="5">
        <v>831</v>
      </c>
      <c r="I708" s="7">
        <v>98194.950000000012</v>
      </c>
      <c r="J708" s="7">
        <v>0</v>
      </c>
      <c r="K708" s="5">
        <v>0</v>
      </c>
      <c r="L708" s="5">
        <v>0</v>
      </c>
      <c r="M708" s="5">
        <v>0</v>
      </c>
      <c r="N708" s="7">
        <v>0</v>
      </c>
      <c r="O708" s="7">
        <v>0</v>
      </c>
      <c r="P708" s="7">
        <v>0</v>
      </c>
      <c r="Q708" s="5">
        <v>0</v>
      </c>
      <c r="R708" s="5">
        <v>0</v>
      </c>
      <c r="S708" s="7">
        <v>0</v>
      </c>
      <c r="T708" s="12">
        <v>43231</v>
      </c>
      <c r="U708" s="4">
        <v>8</v>
      </c>
      <c r="V708" s="4">
        <v>9</v>
      </c>
      <c r="W708" s="4">
        <v>9</v>
      </c>
      <c r="X708" s="45">
        <v>98194.950000000012</v>
      </c>
      <c r="Y708" s="14" t="s">
        <v>85</v>
      </c>
      <c r="Z708" s="14" t="s">
        <v>57</v>
      </c>
      <c r="AA708" s="14">
        <v>350810044795</v>
      </c>
      <c r="AB708" s="44">
        <v>43240</v>
      </c>
      <c r="AC708" s="44" t="s">
        <v>3070</v>
      </c>
      <c r="AD708" s="29" t="s">
        <v>49</v>
      </c>
      <c r="AE708" s="24" t="s">
        <v>1681</v>
      </c>
      <c r="AF708" s="25" t="s">
        <v>1265</v>
      </c>
      <c r="AG708" t="e">
        <f t="shared" si="13"/>
        <v>#REF!</v>
      </c>
      <c r="AI708" s="58"/>
    </row>
    <row r="709" spans="1:35" ht="15.75" customHeight="1">
      <c r="A709" s="6" t="s">
        <v>1652</v>
      </c>
      <c r="B709" s="5">
        <v>0</v>
      </c>
      <c r="C709" s="7">
        <v>0</v>
      </c>
      <c r="D709" s="7">
        <v>0</v>
      </c>
      <c r="E709" s="7">
        <v>0</v>
      </c>
      <c r="F709" s="5">
        <v>0</v>
      </c>
      <c r="G709" s="7">
        <v>0</v>
      </c>
      <c r="H709" s="5">
        <v>980</v>
      </c>
      <c r="I709" s="7">
        <v>68239.549999999988</v>
      </c>
      <c r="J709" s="7">
        <v>260</v>
      </c>
      <c r="K709" s="5">
        <v>0</v>
      </c>
      <c r="L709" s="5">
        <v>0</v>
      </c>
      <c r="M709" s="5">
        <v>260</v>
      </c>
      <c r="N709" s="7">
        <v>260</v>
      </c>
      <c r="O709" s="7">
        <v>7510</v>
      </c>
      <c r="P709" s="7">
        <v>80</v>
      </c>
      <c r="Q709" s="5">
        <v>0</v>
      </c>
      <c r="R709" s="5">
        <v>80</v>
      </c>
      <c r="S709" s="7">
        <v>23187.5</v>
      </c>
      <c r="T709" s="12">
        <v>43231</v>
      </c>
      <c r="U709" s="4">
        <v>5</v>
      </c>
      <c r="V709" s="4">
        <v>9</v>
      </c>
      <c r="W709" s="4">
        <v>9</v>
      </c>
      <c r="X709" s="45">
        <v>98937.049999999988</v>
      </c>
      <c r="Y709" s="14" t="s">
        <v>54</v>
      </c>
      <c r="Z709" s="14" t="s">
        <v>1355</v>
      </c>
      <c r="AA709" s="14" t="s">
        <v>3057</v>
      </c>
      <c r="AB709" s="44">
        <v>43233</v>
      </c>
      <c r="AC709" s="44" t="s">
        <v>3035</v>
      </c>
      <c r="AD709" s="29" t="s">
        <v>49</v>
      </c>
      <c r="AE709" s="24" t="s">
        <v>1682</v>
      </c>
      <c r="AF709" s="25" t="s">
        <v>1265</v>
      </c>
      <c r="AG709" t="e">
        <f t="shared" si="13"/>
        <v>#REF!</v>
      </c>
      <c r="AI709" s="58"/>
    </row>
    <row r="710" spans="1:35" ht="15.75" customHeight="1">
      <c r="A710" s="6" t="s">
        <v>1653</v>
      </c>
      <c r="B710" s="5">
        <v>124</v>
      </c>
      <c r="C710" s="7">
        <v>16406.650000000001</v>
      </c>
      <c r="D710" s="7">
        <v>0</v>
      </c>
      <c r="E710" s="7">
        <v>0</v>
      </c>
      <c r="F710" s="5">
        <v>0</v>
      </c>
      <c r="G710" s="7">
        <v>0</v>
      </c>
      <c r="H710" s="5">
        <v>91</v>
      </c>
      <c r="I710" s="7">
        <v>11174.96</v>
      </c>
      <c r="J710" s="7">
        <v>132</v>
      </c>
      <c r="K710" s="5">
        <v>0</v>
      </c>
      <c r="L710" s="5">
        <v>0</v>
      </c>
      <c r="M710" s="5">
        <v>132</v>
      </c>
      <c r="N710" s="7">
        <v>132</v>
      </c>
      <c r="O710" s="7">
        <v>19472.100000000009</v>
      </c>
      <c r="P710" s="7">
        <v>0</v>
      </c>
      <c r="Q710" s="5">
        <v>0</v>
      </c>
      <c r="R710" s="5">
        <v>0</v>
      </c>
      <c r="S710" s="7">
        <v>0</v>
      </c>
      <c r="T710" s="12">
        <v>43231</v>
      </c>
      <c r="U710" s="4">
        <v>4</v>
      </c>
      <c r="V710" s="4">
        <v>9</v>
      </c>
      <c r="W710" s="4">
        <v>9</v>
      </c>
      <c r="X710" s="45">
        <v>47053.710000000006</v>
      </c>
      <c r="Y710" s="14" t="s">
        <v>54</v>
      </c>
      <c r="Z710" s="14" t="s">
        <v>1281</v>
      </c>
      <c r="AA710" s="14" t="s">
        <v>3054</v>
      </c>
      <c r="AB710" s="44">
        <v>43235</v>
      </c>
      <c r="AC710" s="44" t="s">
        <v>3055</v>
      </c>
      <c r="AD710" s="29" t="s">
        <v>52</v>
      </c>
      <c r="AE710" s="24" t="s">
        <v>1683</v>
      </c>
      <c r="AF710" s="25" t="s">
        <v>1271</v>
      </c>
      <c r="AG710" t="e">
        <f t="shared" si="13"/>
        <v>#REF!</v>
      </c>
      <c r="AI710" s="58"/>
    </row>
    <row r="711" spans="1:35" ht="15.75" customHeight="1">
      <c r="A711" s="6" t="s">
        <v>1657</v>
      </c>
      <c r="B711" s="5">
        <v>80</v>
      </c>
      <c r="C711" s="7">
        <v>8343</v>
      </c>
      <c r="D711" s="7">
        <v>0</v>
      </c>
      <c r="E711" s="7">
        <v>0</v>
      </c>
      <c r="F711" s="5">
        <v>0</v>
      </c>
      <c r="G711" s="7">
        <v>0</v>
      </c>
      <c r="H711" s="5">
        <v>168</v>
      </c>
      <c r="I711" s="7">
        <v>24971.18</v>
      </c>
      <c r="J711" s="7">
        <v>201</v>
      </c>
      <c r="K711" s="5">
        <v>0</v>
      </c>
      <c r="L711" s="5">
        <v>0</v>
      </c>
      <c r="M711" s="5">
        <v>201</v>
      </c>
      <c r="N711" s="7">
        <v>201</v>
      </c>
      <c r="O711" s="7">
        <v>46181.299999999996</v>
      </c>
      <c r="P711" s="7">
        <v>0</v>
      </c>
      <c r="Q711" s="5">
        <v>0</v>
      </c>
      <c r="R711" s="5">
        <v>0</v>
      </c>
      <c r="S711" s="7">
        <v>0</v>
      </c>
      <c r="T711" s="12">
        <v>43231</v>
      </c>
      <c r="U711" s="4">
        <v>6</v>
      </c>
      <c r="V711" s="4">
        <v>9</v>
      </c>
      <c r="W711" s="4">
        <v>9</v>
      </c>
      <c r="X711" s="45">
        <v>79495.48</v>
      </c>
      <c r="Y711" s="14" t="s">
        <v>54</v>
      </c>
      <c r="Z711" s="14" t="s">
        <v>59</v>
      </c>
      <c r="AA711" s="14" t="s">
        <v>3068</v>
      </c>
      <c r="AB711" s="44">
        <v>43235</v>
      </c>
      <c r="AC711" s="44" t="s">
        <v>3055</v>
      </c>
      <c r="AD711" s="29" t="s">
        <v>51</v>
      </c>
      <c r="AE711" s="24" t="s">
        <v>1659</v>
      </c>
      <c r="AF711" s="25" t="s">
        <v>1270</v>
      </c>
      <c r="AG711" t="e">
        <f t="shared" si="13"/>
        <v>#REF!</v>
      </c>
      <c r="AI711" s="58"/>
    </row>
    <row r="712" spans="1:35" ht="15.75" customHeight="1">
      <c r="A712" s="6" t="s">
        <v>1678</v>
      </c>
      <c r="B712" s="5">
        <v>95</v>
      </c>
      <c r="C712" s="7">
        <v>11181.5</v>
      </c>
      <c r="D712" s="7">
        <v>0</v>
      </c>
      <c r="E712" s="7">
        <v>0</v>
      </c>
      <c r="F712" s="5">
        <v>0</v>
      </c>
      <c r="G712" s="7">
        <v>0</v>
      </c>
      <c r="H712" s="5">
        <v>95</v>
      </c>
      <c r="I712" s="7">
        <v>12156.2</v>
      </c>
      <c r="J712" s="7">
        <v>171</v>
      </c>
      <c r="K712" s="5">
        <v>0</v>
      </c>
      <c r="L712" s="5">
        <v>0</v>
      </c>
      <c r="M712" s="5">
        <v>171</v>
      </c>
      <c r="N712" s="7">
        <v>171</v>
      </c>
      <c r="O712" s="7">
        <v>17317.400000000001</v>
      </c>
      <c r="P712" s="7">
        <v>405</v>
      </c>
      <c r="Q712" s="5">
        <v>0</v>
      </c>
      <c r="R712" s="5">
        <v>405</v>
      </c>
      <c r="S712" s="7">
        <v>73639.899999999994</v>
      </c>
      <c r="T712" s="12">
        <v>43231</v>
      </c>
      <c r="U712" s="4">
        <v>8</v>
      </c>
      <c r="V712" s="4">
        <v>9</v>
      </c>
      <c r="W712" s="4">
        <v>9</v>
      </c>
      <c r="X712" s="45">
        <v>114295</v>
      </c>
      <c r="Y712" s="14" t="s">
        <v>56</v>
      </c>
      <c r="Z712" s="14" t="s">
        <v>55</v>
      </c>
      <c r="AA712" s="14" t="s">
        <v>3058</v>
      </c>
      <c r="AB712" s="44">
        <v>43236</v>
      </c>
      <c r="AC712" s="44" t="s">
        <v>3059</v>
      </c>
      <c r="AD712" s="29" t="s">
        <v>51</v>
      </c>
      <c r="AE712" s="24" t="s">
        <v>1684</v>
      </c>
      <c r="AF712" s="25" t="s">
        <v>1270</v>
      </c>
      <c r="AG712" t="e">
        <f t="shared" si="13"/>
        <v>#REF!</v>
      </c>
      <c r="AI712" s="58"/>
    </row>
    <row r="713" spans="1:35" ht="15.75" customHeight="1">
      <c r="A713" s="6" t="s">
        <v>1647</v>
      </c>
      <c r="B713" s="5">
        <v>73</v>
      </c>
      <c r="C713" s="7">
        <v>11213.94</v>
      </c>
      <c r="D713" s="7">
        <v>0</v>
      </c>
      <c r="E713" s="7">
        <v>0</v>
      </c>
      <c r="F713" s="5">
        <v>0</v>
      </c>
      <c r="G713" s="7">
        <v>0</v>
      </c>
      <c r="H713" s="5">
        <v>0</v>
      </c>
      <c r="I713" s="7">
        <v>0</v>
      </c>
      <c r="J713" s="7">
        <v>0</v>
      </c>
      <c r="K713" s="5">
        <v>0</v>
      </c>
      <c r="L713" s="5">
        <v>0</v>
      </c>
      <c r="M713" s="5">
        <v>0</v>
      </c>
      <c r="N713" s="7">
        <v>0</v>
      </c>
      <c r="O713" s="7">
        <v>0</v>
      </c>
      <c r="P713" s="7">
        <v>88</v>
      </c>
      <c r="Q713" s="5">
        <v>0</v>
      </c>
      <c r="R713" s="5">
        <v>88</v>
      </c>
      <c r="S713" s="7">
        <v>13183.3</v>
      </c>
      <c r="T713" s="12">
        <v>43231</v>
      </c>
      <c r="U713" s="4">
        <v>2</v>
      </c>
      <c r="V713" s="4">
        <v>9</v>
      </c>
      <c r="W713" s="4">
        <v>9</v>
      </c>
      <c r="X713" s="45">
        <v>24397.239999999998</v>
      </c>
      <c r="Y713" s="14" t="s">
        <v>85</v>
      </c>
      <c r="Z713" s="14" t="s">
        <v>57</v>
      </c>
      <c r="AA713" s="14">
        <v>350810044689</v>
      </c>
      <c r="AB713" s="44">
        <v>43233</v>
      </c>
      <c r="AC713" s="44" t="s">
        <v>3045</v>
      </c>
      <c r="AD713" s="29" t="s">
        <v>600</v>
      </c>
      <c r="AE713" s="24">
        <v>2500000041488</v>
      </c>
      <c r="AF713" s="25" t="s">
        <v>1275</v>
      </c>
      <c r="AG713" t="e">
        <f t="shared" si="13"/>
        <v>#REF!</v>
      </c>
      <c r="AI713" s="58"/>
    </row>
    <row r="714" spans="1:35" ht="15.75" customHeight="1">
      <c r="A714" s="6" t="s">
        <v>1679</v>
      </c>
      <c r="B714" s="5">
        <v>328</v>
      </c>
      <c r="C714" s="7">
        <v>36351.599999999999</v>
      </c>
      <c r="D714" s="7">
        <v>0</v>
      </c>
      <c r="E714" s="7">
        <v>0</v>
      </c>
      <c r="F714" s="5">
        <v>0</v>
      </c>
      <c r="G714" s="7">
        <v>0</v>
      </c>
      <c r="H714" s="5">
        <v>0</v>
      </c>
      <c r="I714" s="7">
        <v>0</v>
      </c>
      <c r="J714" s="7">
        <v>118</v>
      </c>
      <c r="K714" s="5">
        <v>0</v>
      </c>
      <c r="L714" s="5">
        <v>0</v>
      </c>
      <c r="M714" s="5">
        <v>118</v>
      </c>
      <c r="N714" s="7">
        <v>118</v>
      </c>
      <c r="O714" s="7">
        <v>21914.000000000004</v>
      </c>
      <c r="P714" s="7">
        <v>352</v>
      </c>
      <c r="Q714" s="5">
        <v>0</v>
      </c>
      <c r="R714" s="5">
        <v>352</v>
      </c>
      <c r="S714" s="7">
        <v>68707.199999999997</v>
      </c>
      <c r="T714" s="12">
        <v>43231</v>
      </c>
      <c r="U714" s="4">
        <v>9</v>
      </c>
      <c r="V714" s="4">
        <v>9</v>
      </c>
      <c r="W714" s="4">
        <v>9</v>
      </c>
      <c r="X714" s="45">
        <v>126972.8</v>
      </c>
      <c r="Y714" s="14" t="s">
        <v>54</v>
      </c>
      <c r="Z714" s="14" t="s">
        <v>1355</v>
      </c>
      <c r="AA714" s="14" t="s">
        <v>3060</v>
      </c>
      <c r="AB714" s="44">
        <v>43240</v>
      </c>
      <c r="AC714" s="44" t="s">
        <v>3061</v>
      </c>
      <c r="AD714" s="29" t="s">
        <v>50</v>
      </c>
      <c r="AE714" s="24" t="s">
        <v>1756</v>
      </c>
      <c r="AF714" s="25" t="s">
        <v>1269</v>
      </c>
      <c r="AG714" t="e">
        <f t="shared" si="13"/>
        <v>#REF!</v>
      </c>
      <c r="AI714" s="58"/>
    </row>
    <row r="715" spans="1:35" ht="15.75" customHeight="1">
      <c r="A715" s="6" t="s">
        <v>1658</v>
      </c>
      <c r="B715" s="5">
        <v>153</v>
      </c>
      <c r="C715" s="7">
        <v>12493.4</v>
      </c>
      <c r="D715" s="7">
        <v>0</v>
      </c>
      <c r="E715" s="7">
        <v>0</v>
      </c>
      <c r="F715" s="5">
        <v>0</v>
      </c>
      <c r="G715" s="7">
        <v>0</v>
      </c>
      <c r="H715" s="5">
        <v>0</v>
      </c>
      <c r="I715" s="7">
        <v>0</v>
      </c>
      <c r="J715" s="7">
        <v>66</v>
      </c>
      <c r="K715" s="5">
        <v>0</v>
      </c>
      <c r="L715" s="5">
        <v>0</v>
      </c>
      <c r="M715" s="5">
        <v>66</v>
      </c>
      <c r="N715" s="7">
        <v>66</v>
      </c>
      <c r="O715" s="7">
        <v>9777.2999999999993</v>
      </c>
      <c r="P715" s="7">
        <v>0</v>
      </c>
      <c r="Q715" s="5">
        <v>0</v>
      </c>
      <c r="R715" s="5">
        <v>0</v>
      </c>
      <c r="S715" s="7">
        <v>0</v>
      </c>
      <c r="T715" s="12">
        <v>43231</v>
      </c>
      <c r="U715" s="4">
        <v>2</v>
      </c>
      <c r="V715" s="4">
        <v>9</v>
      </c>
      <c r="W715" s="4">
        <v>9</v>
      </c>
      <c r="X715" s="45">
        <v>22270.699999999997</v>
      </c>
      <c r="Y715" s="14" t="s">
        <v>54</v>
      </c>
      <c r="Z715" s="14" t="s">
        <v>59</v>
      </c>
      <c r="AA715" s="14" t="s">
        <v>3056</v>
      </c>
      <c r="AB715" s="44">
        <v>43233</v>
      </c>
      <c r="AC715" s="44" t="s">
        <v>3035</v>
      </c>
      <c r="AD715" s="29" t="s">
        <v>50</v>
      </c>
      <c r="AE715" s="24" t="s">
        <v>1660</v>
      </c>
      <c r="AF715" s="25" t="s">
        <v>1269</v>
      </c>
      <c r="AG715" t="e">
        <f t="shared" si="13"/>
        <v>#REF!</v>
      </c>
      <c r="AI715" s="58"/>
    </row>
    <row r="716" spans="1:35" ht="15.75" customHeight="1">
      <c r="A716" s="6" t="s">
        <v>1680</v>
      </c>
      <c r="B716" s="5">
        <v>89</v>
      </c>
      <c r="C716" s="7">
        <v>11216.6</v>
      </c>
      <c r="D716" s="7">
        <v>0</v>
      </c>
      <c r="E716" s="7">
        <v>0</v>
      </c>
      <c r="F716" s="5">
        <v>0</v>
      </c>
      <c r="G716" s="7">
        <v>0</v>
      </c>
      <c r="H716" s="5">
        <v>95</v>
      </c>
      <c r="I716" s="7">
        <v>12156.2</v>
      </c>
      <c r="J716" s="7">
        <v>0</v>
      </c>
      <c r="K716" s="5">
        <v>0</v>
      </c>
      <c r="L716" s="5">
        <v>0</v>
      </c>
      <c r="M716" s="5">
        <v>0</v>
      </c>
      <c r="N716" s="7">
        <v>0</v>
      </c>
      <c r="O716" s="7">
        <v>0</v>
      </c>
      <c r="P716" s="7">
        <v>216</v>
      </c>
      <c r="Q716" s="5">
        <v>0</v>
      </c>
      <c r="R716" s="5">
        <v>216</v>
      </c>
      <c r="S716" s="7">
        <v>28176</v>
      </c>
      <c r="T716" s="12">
        <v>43231</v>
      </c>
      <c r="U716" s="4">
        <v>4</v>
      </c>
      <c r="V716" s="4">
        <v>9</v>
      </c>
      <c r="W716" s="4">
        <v>9</v>
      </c>
      <c r="X716" s="45">
        <v>51548.800000000003</v>
      </c>
      <c r="Y716" s="14" t="s">
        <v>58</v>
      </c>
      <c r="Z716" s="14" t="s">
        <v>1492</v>
      </c>
      <c r="AA716" s="14" t="s">
        <v>3071</v>
      </c>
      <c r="AB716" s="44">
        <v>43236</v>
      </c>
      <c r="AC716" s="44" t="s">
        <v>3065</v>
      </c>
      <c r="AD716" s="29" t="s">
        <v>49</v>
      </c>
      <c r="AE716" s="24" t="s">
        <v>1685</v>
      </c>
      <c r="AF716" s="25" t="s">
        <v>1266</v>
      </c>
      <c r="AG716" t="e">
        <f t="shared" si="13"/>
        <v>#REF!</v>
      </c>
      <c r="AI716" s="58"/>
    </row>
    <row r="717" spans="1:35" ht="15.75" customHeight="1">
      <c r="A717" s="6" t="s">
        <v>1686</v>
      </c>
      <c r="B717" s="5">
        <v>0</v>
      </c>
      <c r="C717" s="7">
        <v>0</v>
      </c>
      <c r="D717" s="7">
        <v>0</v>
      </c>
      <c r="E717" s="7">
        <v>0</v>
      </c>
      <c r="F717" s="5">
        <v>0</v>
      </c>
      <c r="G717" s="7">
        <v>0</v>
      </c>
      <c r="H717" s="5">
        <v>95</v>
      </c>
      <c r="I717" s="7">
        <v>12156.2</v>
      </c>
      <c r="J717" s="7">
        <v>0</v>
      </c>
      <c r="K717" s="5">
        <v>0</v>
      </c>
      <c r="L717" s="5">
        <v>0</v>
      </c>
      <c r="M717" s="5">
        <v>0</v>
      </c>
      <c r="N717" s="7">
        <v>0</v>
      </c>
      <c r="O717" s="7">
        <v>0</v>
      </c>
      <c r="P717" s="7">
        <v>0</v>
      </c>
      <c r="Q717" s="5">
        <v>0</v>
      </c>
      <c r="R717" s="5">
        <v>0</v>
      </c>
      <c r="S717" s="7">
        <v>0</v>
      </c>
      <c r="T717" s="12">
        <v>43234</v>
      </c>
      <c r="U717" s="4">
        <v>1</v>
      </c>
      <c r="V717" s="4">
        <v>9</v>
      </c>
      <c r="W717" s="4">
        <v>9</v>
      </c>
      <c r="X717" s="45">
        <v>12156.2</v>
      </c>
      <c r="Y717" s="14" t="s">
        <v>54</v>
      </c>
      <c r="Z717" s="14" t="s">
        <v>1281</v>
      </c>
      <c r="AA717" s="14" t="s">
        <v>3060</v>
      </c>
      <c r="AB717" s="44">
        <v>43240</v>
      </c>
      <c r="AC717" s="44" t="s">
        <v>3061</v>
      </c>
      <c r="AD717" s="29" t="s">
        <v>50</v>
      </c>
      <c r="AE717" s="24" t="s">
        <v>1755</v>
      </c>
      <c r="AF717" s="25" t="s">
        <v>2178</v>
      </c>
      <c r="AG717" t="e">
        <f t="shared" si="13"/>
        <v>#N/A</v>
      </c>
      <c r="AI717" s="58"/>
    </row>
    <row r="718" spans="1:35" ht="15.75" customHeight="1">
      <c r="A718" s="6" t="s">
        <v>1687</v>
      </c>
      <c r="B718" s="5">
        <v>0</v>
      </c>
      <c r="C718" s="7">
        <v>0</v>
      </c>
      <c r="D718" s="7">
        <v>0</v>
      </c>
      <c r="E718" s="7">
        <v>0</v>
      </c>
      <c r="F718" s="5">
        <v>0</v>
      </c>
      <c r="G718" s="7">
        <v>0</v>
      </c>
      <c r="H718" s="5">
        <v>95</v>
      </c>
      <c r="I718" s="7">
        <v>12156.2</v>
      </c>
      <c r="J718" s="7">
        <v>0</v>
      </c>
      <c r="K718" s="5">
        <v>0</v>
      </c>
      <c r="L718" s="5">
        <v>0</v>
      </c>
      <c r="M718" s="5">
        <v>0</v>
      </c>
      <c r="N718" s="7">
        <v>0</v>
      </c>
      <c r="O718" s="7">
        <v>0</v>
      </c>
      <c r="P718" s="7">
        <v>183</v>
      </c>
      <c r="Q718" s="5">
        <v>0</v>
      </c>
      <c r="R718" s="5">
        <v>183</v>
      </c>
      <c r="S718" s="7">
        <v>28672.6</v>
      </c>
      <c r="T718" s="12">
        <v>43234</v>
      </c>
      <c r="U718" s="4">
        <v>3</v>
      </c>
      <c r="V718" s="4">
        <v>9</v>
      </c>
      <c r="W718" s="4">
        <v>9</v>
      </c>
      <c r="X718" s="45">
        <v>40828.800000000003</v>
      </c>
      <c r="Y718" s="14" t="s">
        <v>58</v>
      </c>
      <c r="Z718" s="14" t="s">
        <v>1492</v>
      </c>
      <c r="AA718" s="14" t="s">
        <v>3071</v>
      </c>
      <c r="AB718" s="44">
        <v>43236</v>
      </c>
      <c r="AC718" s="44" t="s">
        <v>3065</v>
      </c>
      <c r="AD718" s="29" t="s">
        <v>49</v>
      </c>
      <c r="AE718" s="24" t="s">
        <v>1695</v>
      </c>
      <c r="AF718" s="25" t="s">
        <v>1268</v>
      </c>
      <c r="AG718" t="e">
        <f t="shared" si="13"/>
        <v>#REF!</v>
      </c>
      <c r="AI718" s="58"/>
    </row>
    <row r="719" spans="1:35" ht="15.75" customHeight="1">
      <c r="A719" s="6" t="s">
        <v>1688</v>
      </c>
      <c r="B719" s="5">
        <v>0</v>
      </c>
      <c r="C719" s="7">
        <v>0</v>
      </c>
      <c r="D719" s="7">
        <v>0</v>
      </c>
      <c r="E719" s="7">
        <v>0</v>
      </c>
      <c r="F719" s="5">
        <v>0</v>
      </c>
      <c r="G719" s="7">
        <v>0</v>
      </c>
      <c r="H719" s="5">
        <v>0</v>
      </c>
      <c r="I719" s="7">
        <v>0</v>
      </c>
      <c r="J719" s="7">
        <v>0</v>
      </c>
      <c r="K719" s="5">
        <v>0</v>
      </c>
      <c r="L719" s="5">
        <v>0</v>
      </c>
      <c r="M719" s="5">
        <v>0</v>
      </c>
      <c r="N719" s="7">
        <v>0</v>
      </c>
      <c r="O719" s="7">
        <v>0</v>
      </c>
      <c r="P719" s="7">
        <v>98</v>
      </c>
      <c r="Q719" s="5">
        <v>0</v>
      </c>
      <c r="R719" s="5">
        <v>98</v>
      </c>
      <c r="S719" s="7">
        <v>14046.6</v>
      </c>
      <c r="T719" s="12">
        <v>43234</v>
      </c>
      <c r="U719" s="4">
        <v>1</v>
      </c>
      <c r="V719" s="4">
        <v>9</v>
      </c>
      <c r="W719" s="4">
        <v>9</v>
      </c>
      <c r="X719" s="45">
        <v>14046.6</v>
      </c>
      <c r="Y719" s="14" t="s">
        <v>56</v>
      </c>
      <c r="Z719" s="14" t="s">
        <v>1355</v>
      </c>
      <c r="AA719" s="14" t="s">
        <v>3072</v>
      </c>
      <c r="AB719" s="44">
        <v>43236</v>
      </c>
      <c r="AC719" s="44" t="s">
        <v>3067</v>
      </c>
      <c r="AD719" s="29" t="s">
        <v>218</v>
      </c>
      <c r="AE719" s="24" t="s">
        <v>1696</v>
      </c>
      <c r="AF719" s="25" t="s">
        <v>1272</v>
      </c>
      <c r="AG719" t="e">
        <f t="shared" si="13"/>
        <v>#REF!</v>
      </c>
      <c r="AI719" s="58"/>
    </row>
    <row r="720" spans="1:35" ht="15.75" customHeight="1">
      <c r="A720" s="6" t="s">
        <v>1689</v>
      </c>
      <c r="B720" s="5">
        <v>0</v>
      </c>
      <c r="C720" s="7">
        <v>0</v>
      </c>
      <c r="D720" s="7">
        <v>0</v>
      </c>
      <c r="E720" s="7">
        <v>0</v>
      </c>
      <c r="F720" s="5">
        <v>0</v>
      </c>
      <c r="G720" s="7">
        <v>0</v>
      </c>
      <c r="H720" s="5">
        <v>806</v>
      </c>
      <c r="I720" s="7">
        <v>101382.72999999998</v>
      </c>
      <c r="J720" s="7">
        <v>0</v>
      </c>
      <c r="K720" s="5">
        <v>0</v>
      </c>
      <c r="L720" s="5">
        <v>0</v>
      </c>
      <c r="M720" s="5">
        <v>0</v>
      </c>
      <c r="N720" s="7">
        <v>0</v>
      </c>
      <c r="O720" s="7">
        <v>0</v>
      </c>
      <c r="P720" s="7">
        <v>0</v>
      </c>
      <c r="Q720" s="5">
        <v>0</v>
      </c>
      <c r="R720" s="5">
        <v>0</v>
      </c>
      <c r="S720" s="7">
        <v>0</v>
      </c>
      <c r="T720" s="12">
        <v>43234</v>
      </c>
      <c r="U720" s="4">
        <v>7</v>
      </c>
      <c r="V720" s="4">
        <v>9</v>
      </c>
      <c r="W720" s="4">
        <v>9</v>
      </c>
      <c r="X720" s="45">
        <v>101382.72999999998</v>
      </c>
      <c r="Y720" s="14" t="s">
        <v>85</v>
      </c>
      <c r="Z720" s="14" t="s">
        <v>57</v>
      </c>
      <c r="AA720" s="14">
        <v>350810044795</v>
      </c>
      <c r="AB720" s="44">
        <v>43240</v>
      </c>
      <c r="AC720" s="44" t="s">
        <v>3070</v>
      </c>
      <c r="AD720" s="29" t="s">
        <v>49</v>
      </c>
      <c r="AE720" s="24" t="s">
        <v>1697</v>
      </c>
      <c r="AF720" s="25" t="s">
        <v>1265</v>
      </c>
      <c r="AG720" t="e">
        <f t="shared" si="13"/>
        <v>#REF!</v>
      </c>
      <c r="AI720" s="58"/>
    </row>
    <row r="721" spans="1:35" ht="15.75" customHeight="1">
      <c r="A721" s="6" t="s">
        <v>1690</v>
      </c>
      <c r="B721" s="5">
        <v>203</v>
      </c>
      <c r="C721" s="7">
        <v>20798.370000000003</v>
      </c>
      <c r="D721" s="7">
        <v>0</v>
      </c>
      <c r="E721" s="7">
        <v>0</v>
      </c>
      <c r="F721" s="5">
        <v>0</v>
      </c>
      <c r="G721" s="7">
        <v>0</v>
      </c>
      <c r="H721" s="5">
        <v>125</v>
      </c>
      <c r="I721" s="7">
        <v>15995</v>
      </c>
      <c r="J721" s="7">
        <v>58</v>
      </c>
      <c r="K721" s="5">
        <v>0</v>
      </c>
      <c r="L721" s="5">
        <v>0</v>
      </c>
      <c r="M721" s="5">
        <v>58</v>
      </c>
      <c r="N721" s="7">
        <v>58</v>
      </c>
      <c r="O721" s="7">
        <v>10248.599999999999</v>
      </c>
      <c r="P721" s="7">
        <v>190</v>
      </c>
      <c r="Q721" s="5">
        <v>0</v>
      </c>
      <c r="R721" s="5">
        <v>190</v>
      </c>
      <c r="S721" s="7">
        <v>28609</v>
      </c>
      <c r="T721" s="12">
        <v>43234</v>
      </c>
      <c r="U721" s="4">
        <v>6</v>
      </c>
      <c r="V721" s="4">
        <v>9</v>
      </c>
      <c r="W721" s="4">
        <v>9</v>
      </c>
      <c r="X721" s="45">
        <v>75650.97</v>
      </c>
      <c r="Y721" s="14" t="s">
        <v>56</v>
      </c>
      <c r="Z721" s="14" t="s">
        <v>1637</v>
      </c>
      <c r="AA721" s="14" t="s">
        <v>3073</v>
      </c>
      <c r="AB721" s="44">
        <v>43237</v>
      </c>
      <c r="AC721" s="44" t="s">
        <v>3074</v>
      </c>
      <c r="AD721" s="29" t="s">
        <v>49</v>
      </c>
      <c r="AE721" s="24" t="s">
        <v>1698</v>
      </c>
      <c r="AF721" s="25" t="s">
        <v>1267</v>
      </c>
      <c r="AG721" t="e">
        <f t="shared" si="13"/>
        <v>#REF!</v>
      </c>
      <c r="AI721" s="58"/>
    </row>
    <row r="722" spans="1:35" ht="15.75" customHeight="1">
      <c r="A722" s="6" t="s">
        <v>1691</v>
      </c>
      <c r="B722" s="5">
        <v>89</v>
      </c>
      <c r="C722" s="7">
        <v>11624.600000000002</v>
      </c>
      <c r="D722" s="7">
        <v>0</v>
      </c>
      <c r="E722" s="7">
        <v>0</v>
      </c>
      <c r="F722" s="5">
        <v>0</v>
      </c>
      <c r="G722" s="7">
        <v>0</v>
      </c>
      <c r="H722" s="5">
        <v>100</v>
      </c>
      <c r="I722" s="7">
        <v>13337.85</v>
      </c>
      <c r="J722" s="7">
        <v>54</v>
      </c>
      <c r="K722" s="5">
        <v>0</v>
      </c>
      <c r="L722" s="5">
        <v>0</v>
      </c>
      <c r="M722" s="5">
        <v>54</v>
      </c>
      <c r="N722" s="7">
        <v>54</v>
      </c>
      <c r="O722" s="7">
        <v>9871.4999999999982</v>
      </c>
      <c r="P722" s="7">
        <v>158</v>
      </c>
      <c r="Q722" s="5">
        <v>0</v>
      </c>
      <c r="R722" s="5">
        <v>158</v>
      </c>
      <c r="S722" s="7">
        <v>33793</v>
      </c>
      <c r="T722" s="12">
        <v>43234</v>
      </c>
      <c r="U722" s="4">
        <v>5</v>
      </c>
      <c r="V722" s="4">
        <v>9</v>
      </c>
      <c r="W722" s="4">
        <v>9</v>
      </c>
      <c r="X722" s="45">
        <v>68626.950000000012</v>
      </c>
      <c r="Y722" s="14" t="s">
        <v>56</v>
      </c>
      <c r="Z722" s="14" t="s">
        <v>1281</v>
      </c>
      <c r="AA722" s="14" t="s">
        <v>3066</v>
      </c>
      <c r="AB722" s="44">
        <v>43236</v>
      </c>
      <c r="AC722" s="44" t="s">
        <v>3067</v>
      </c>
      <c r="AD722" s="29" t="s">
        <v>52</v>
      </c>
      <c r="AE722" s="24" t="s">
        <v>1699</v>
      </c>
      <c r="AF722" s="25" t="s">
        <v>1271</v>
      </c>
      <c r="AG722" t="e">
        <f t="shared" si="13"/>
        <v>#REF!</v>
      </c>
      <c r="AI722" s="58"/>
    </row>
    <row r="723" spans="1:35" ht="15.75" customHeight="1">
      <c r="A723" s="6" t="s">
        <v>1692</v>
      </c>
      <c r="B723" s="5">
        <v>629</v>
      </c>
      <c r="C723" s="7">
        <v>75242.860000000015</v>
      </c>
      <c r="D723" s="7">
        <v>0</v>
      </c>
      <c r="E723" s="7">
        <v>0</v>
      </c>
      <c r="F723" s="5">
        <v>0</v>
      </c>
      <c r="G723" s="7">
        <v>0</v>
      </c>
      <c r="H723" s="5">
        <v>0</v>
      </c>
      <c r="I723" s="7">
        <v>0</v>
      </c>
      <c r="J723" s="7">
        <v>0</v>
      </c>
      <c r="K723" s="5">
        <v>0</v>
      </c>
      <c r="L723" s="5">
        <v>0</v>
      </c>
      <c r="M723" s="5">
        <v>0</v>
      </c>
      <c r="N723" s="7">
        <v>0</v>
      </c>
      <c r="O723" s="7">
        <v>0</v>
      </c>
      <c r="P723" s="7">
        <v>0</v>
      </c>
      <c r="Q723" s="5">
        <v>0</v>
      </c>
      <c r="R723" s="5">
        <v>0</v>
      </c>
      <c r="S723" s="7">
        <v>0</v>
      </c>
      <c r="T723" s="12">
        <v>43234</v>
      </c>
      <c r="U723" s="4">
        <v>6</v>
      </c>
      <c r="V723" s="4">
        <v>9</v>
      </c>
      <c r="W723" s="4">
        <v>9</v>
      </c>
      <c r="X723" s="45">
        <v>75242.860000000015</v>
      </c>
      <c r="Y723" s="14" t="s">
        <v>56</v>
      </c>
      <c r="Z723" s="14" t="s">
        <v>55</v>
      </c>
      <c r="AA723" s="14" t="s">
        <v>3058</v>
      </c>
      <c r="AB723" s="44">
        <v>43236</v>
      </c>
      <c r="AC723" s="44" t="s">
        <v>3059</v>
      </c>
      <c r="AD723" s="29" t="s">
        <v>51</v>
      </c>
      <c r="AE723" s="24" t="s">
        <v>1700</v>
      </c>
      <c r="AF723" s="25" t="s">
        <v>1270</v>
      </c>
      <c r="AG723" t="e">
        <f t="shared" si="13"/>
        <v>#REF!</v>
      </c>
      <c r="AI723" s="58"/>
    </row>
    <row r="724" spans="1:35" ht="15.75" customHeight="1">
      <c r="A724" s="13" t="s">
        <v>1693</v>
      </c>
      <c r="B724" s="5">
        <v>419</v>
      </c>
      <c r="C724" s="7">
        <v>58349.7</v>
      </c>
      <c r="D724" s="7">
        <v>0</v>
      </c>
      <c r="E724" s="7">
        <v>0</v>
      </c>
      <c r="F724" s="5">
        <v>0</v>
      </c>
      <c r="G724" s="7">
        <v>0</v>
      </c>
      <c r="H724" s="5">
        <v>0</v>
      </c>
      <c r="I724" s="7">
        <v>0</v>
      </c>
      <c r="J724" s="7">
        <v>60</v>
      </c>
      <c r="K724" s="5">
        <v>0</v>
      </c>
      <c r="L724" s="5">
        <v>0</v>
      </c>
      <c r="M724" s="5">
        <v>60</v>
      </c>
      <c r="N724" s="7">
        <v>60</v>
      </c>
      <c r="O724" s="7">
        <v>9289</v>
      </c>
      <c r="P724" s="7">
        <v>182</v>
      </c>
      <c r="Q724" s="5">
        <v>0</v>
      </c>
      <c r="R724" s="5">
        <v>182</v>
      </c>
      <c r="S724" s="7">
        <v>37899.599999999999</v>
      </c>
      <c r="T724" s="12">
        <v>43234</v>
      </c>
      <c r="U724" s="4">
        <v>8</v>
      </c>
      <c r="V724" s="4">
        <v>9</v>
      </c>
      <c r="W724" s="4">
        <v>9</v>
      </c>
      <c r="X724" s="45">
        <v>105538.29999999999</v>
      </c>
      <c r="Y724" s="14" t="s">
        <v>54</v>
      </c>
      <c r="Z724" s="14" t="s">
        <v>59</v>
      </c>
      <c r="AA724" s="14" t="s">
        <v>3069</v>
      </c>
      <c r="AB724" s="44">
        <v>43240</v>
      </c>
      <c r="AC724" s="44" t="s">
        <v>3061</v>
      </c>
      <c r="AD724" s="29" t="s">
        <v>50</v>
      </c>
      <c r="AE724" s="24" t="s">
        <v>1701</v>
      </c>
      <c r="AF724" s="25" t="s">
        <v>1269</v>
      </c>
      <c r="AI724" s="58"/>
    </row>
    <row r="725" spans="1:35" ht="15" customHeight="1">
      <c r="A725" s="13" t="s">
        <v>1694</v>
      </c>
      <c r="B725" s="5">
        <v>0</v>
      </c>
      <c r="C725" s="7">
        <v>0</v>
      </c>
      <c r="D725" s="7">
        <v>0</v>
      </c>
      <c r="E725" s="7">
        <v>0</v>
      </c>
      <c r="F725" s="5">
        <v>0</v>
      </c>
      <c r="G725" s="7">
        <v>0</v>
      </c>
      <c r="H725" s="5">
        <v>0</v>
      </c>
      <c r="I725" s="7">
        <v>0</v>
      </c>
      <c r="J725" s="7">
        <v>121</v>
      </c>
      <c r="K725" s="5">
        <v>0</v>
      </c>
      <c r="L725" s="5">
        <v>0</v>
      </c>
      <c r="M725" s="5">
        <v>121</v>
      </c>
      <c r="N725" s="7">
        <v>121</v>
      </c>
      <c r="O725" s="7">
        <v>20337.199999999997</v>
      </c>
      <c r="P725" s="7">
        <v>358</v>
      </c>
      <c r="Q725" s="5">
        <v>0</v>
      </c>
      <c r="R725" s="5">
        <v>358</v>
      </c>
      <c r="S725" s="7">
        <v>59357.599999999999</v>
      </c>
      <c r="T725" s="12">
        <v>43234</v>
      </c>
      <c r="U725" s="4">
        <v>6</v>
      </c>
      <c r="V725" s="4">
        <v>9</v>
      </c>
      <c r="W725" s="4">
        <v>9</v>
      </c>
      <c r="X725" s="45">
        <v>79694.799999999988</v>
      </c>
      <c r="Y725" s="14" t="s">
        <v>54</v>
      </c>
      <c r="Z725" s="14" t="s">
        <v>1355</v>
      </c>
      <c r="AA725" s="14" t="s">
        <v>3075</v>
      </c>
      <c r="AB725" s="44">
        <v>43245</v>
      </c>
      <c r="AC725" s="44" t="s">
        <v>3076</v>
      </c>
      <c r="AD725" s="29" t="s">
        <v>50</v>
      </c>
      <c r="AE725" s="24" t="s">
        <v>1702</v>
      </c>
      <c r="AF725" s="25" t="s">
        <v>1269</v>
      </c>
      <c r="AI725" s="58"/>
    </row>
    <row r="726" spans="1:35" ht="15.75" customHeight="1">
      <c r="A726" s="13" t="s">
        <v>1703</v>
      </c>
      <c r="B726" s="5">
        <v>193</v>
      </c>
      <c r="C726" s="7">
        <v>19411.34</v>
      </c>
      <c r="D726" s="7">
        <v>0</v>
      </c>
      <c r="E726" s="7">
        <v>0</v>
      </c>
      <c r="F726" s="5">
        <v>0</v>
      </c>
      <c r="G726" s="7">
        <v>0</v>
      </c>
      <c r="H726" s="5">
        <v>100</v>
      </c>
      <c r="I726" s="7">
        <v>7911.62</v>
      </c>
      <c r="J726" s="7">
        <v>0</v>
      </c>
      <c r="K726" s="5">
        <v>0</v>
      </c>
      <c r="L726" s="5">
        <v>0</v>
      </c>
      <c r="M726" s="5">
        <v>18</v>
      </c>
      <c r="N726" s="7">
        <v>18</v>
      </c>
      <c r="O726" s="7">
        <v>331.2</v>
      </c>
      <c r="P726" s="7">
        <v>18</v>
      </c>
      <c r="Q726" s="5">
        <v>0</v>
      </c>
      <c r="R726" s="5">
        <v>18</v>
      </c>
      <c r="S726" s="7">
        <v>907.02</v>
      </c>
      <c r="T726" s="12">
        <v>43235</v>
      </c>
      <c r="U726" s="4">
        <v>2</v>
      </c>
      <c r="V726" s="4">
        <v>9</v>
      </c>
      <c r="W726" s="4">
        <v>9</v>
      </c>
      <c r="X726" s="45">
        <v>28561.18</v>
      </c>
      <c r="Y726" s="14" t="s">
        <v>54</v>
      </c>
      <c r="Z726" s="14" t="s">
        <v>57</v>
      </c>
      <c r="AA726" s="14" t="s">
        <v>3077</v>
      </c>
      <c r="AB726" s="44">
        <v>43240</v>
      </c>
      <c r="AC726" s="44" t="s">
        <v>3078</v>
      </c>
      <c r="AD726" s="29" t="s">
        <v>52</v>
      </c>
      <c r="AE726" s="24" t="s">
        <v>1707</v>
      </c>
      <c r="AF726" s="25"/>
      <c r="AI726" s="58"/>
    </row>
    <row r="727" spans="1:35" ht="15.75" customHeight="1">
      <c r="A727" s="13" t="s">
        <v>1704</v>
      </c>
      <c r="B727" s="5">
        <v>504</v>
      </c>
      <c r="C727" s="7">
        <v>63515.75</v>
      </c>
      <c r="D727" s="7">
        <v>0</v>
      </c>
      <c r="E727" s="7">
        <v>0</v>
      </c>
      <c r="F727" s="5">
        <v>0</v>
      </c>
      <c r="G727" s="7">
        <v>0</v>
      </c>
      <c r="H727" s="5">
        <v>0</v>
      </c>
      <c r="I727" s="7">
        <v>0</v>
      </c>
      <c r="J727" s="7">
        <v>0</v>
      </c>
      <c r="K727" s="5">
        <v>0</v>
      </c>
      <c r="L727" s="5">
        <v>0</v>
      </c>
      <c r="M727" s="5">
        <v>0</v>
      </c>
      <c r="N727" s="7">
        <v>0</v>
      </c>
      <c r="O727" s="7">
        <v>0</v>
      </c>
      <c r="P727" s="7">
        <v>440</v>
      </c>
      <c r="Q727" s="5">
        <v>0</v>
      </c>
      <c r="R727" s="5">
        <v>440</v>
      </c>
      <c r="S727" s="7">
        <v>88638.599999999991</v>
      </c>
      <c r="T727" s="12">
        <v>43235</v>
      </c>
      <c r="U727" s="4">
        <v>10</v>
      </c>
      <c r="V727" s="4">
        <v>9</v>
      </c>
      <c r="W727" s="4">
        <v>9</v>
      </c>
      <c r="X727" s="45">
        <v>152154.34999999998</v>
      </c>
      <c r="Y727" s="14" t="s">
        <v>56</v>
      </c>
      <c r="Z727" s="14" t="s">
        <v>1355</v>
      </c>
      <c r="AA727" s="14" t="s">
        <v>3079</v>
      </c>
      <c r="AB727" s="44">
        <v>43236</v>
      </c>
      <c r="AC727" s="44" t="s">
        <v>3065</v>
      </c>
      <c r="AD727" s="29" t="s">
        <v>51</v>
      </c>
      <c r="AE727" s="24" t="s">
        <v>1708</v>
      </c>
      <c r="AF727" s="25"/>
      <c r="AI727" s="58"/>
    </row>
    <row r="728" spans="1:35" ht="15.75" customHeight="1">
      <c r="A728" s="13" t="s">
        <v>1705</v>
      </c>
      <c r="B728" s="5">
        <v>1358</v>
      </c>
      <c r="C728" s="7">
        <v>147806.04</v>
      </c>
      <c r="D728" s="7">
        <v>0</v>
      </c>
      <c r="E728" s="7">
        <v>0</v>
      </c>
      <c r="F728" s="5">
        <v>0</v>
      </c>
      <c r="G728" s="7">
        <v>0</v>
      </c>
      <c r="H728" s="5">
        <v>50</v>
      </c>
      <c r="I728" s="7">
        <v>1714.5</v>
      </c>
      <c r="J728" s="7">
        <v>0</v>
      </c>
      <c r="K728" s="5">
        <v>0</v>
      </c>
      <c r="L728" s="5">
        <v>0</v>
      </c>
      <c r="M728" s="5">
        <v>65</v>
      </c>
      <c r="N728" s="7">
        <v>65</v>
      </c>
      <c r="O728" s="7">
        <v>9915.6000000000022</v>
      </c>
      <c r="P728" s="7">
        <v>354</v>
      </c>
      <c r="Q728" s="5">
        <v>0</v>
      </c>
      <c r="R728" s="5">
        <v>354</v>
      </c>
      <c r="S728" s="7">
        <v>71900</v>
      </c>
      <c r="T728" s="12">
        <v>43235</v>
      </c>
      <c r="U728" s="4">
        <v>16</v>
      </c>
      <c r="V728" s="4">
        <v>9</v>
      </c>
      <c r="W728" s="4">
        <v>9</v>
      </c>
      <c r="X728" s="45">
        <v>231336.14</v>
      </c>
      <c r="Y728" s="14" t="s">
        <v>54</v>
      </c>
      <c r="Z728" s="14" t="s">
        <v>59</v>
      </c>
      <c r="AA728" s="14" t="s">
        <v>3069</v>
      </c>
      <c r="AB728" s="44">
        <v>43240</v>
      </c>
      <c r="AC728" s="44" t="s">
        <v>3061</v>
      </c>
      <c r="AD728" s="29" t="s">
        <v>50</v>
      </c>
      <c r="AE728" s="24" t="s">
        <v>1709</v>
      </c>
      <c r="AF728" s="25"/>
      <c r="AI728" s="58"/>
    </row>
    <row r="729" spans="1:35" ht="15.75" customHeight="1">
      <c r="A729" s="13" t="s">
        <v>1706</v>
      </c>
      <c r="B729" s="5">
        <v>76</v>
      </c>
      <c r="C729" s="7">
        <v>6795.8000000000011</v>
      </c>
      <c r="D729" s="7">
        <v>0</v>
      </c>
      <c r="E729" s="7">
        <v>0</v>
      </c>
      <c r="F729" s="5">
        <v>0</v>
      </c>
      <c r="G729" s="7">
        <v>0</v>
      </c>
      <c r="H729" s="5">
        <v>30</v>
      </c>
      <c r="I729" s="7">
        <v>3838.8</v>
      </c>
      <c r="J729" s="7">
        <v>0</v>
      </c>
      <c r="K729" s="5">
        <v>0</v>
      </c>
      <c r="L729" s="5">
        <v>0</v>
      </c>
      <c r="M729" s="5">
        <v>5</v>
      </c>
      <c r="N729" s="7">
        <v>5</v>
      </c>
      <c r="O729" s="7">
        <v>988</v>
      </c>
      <c r="P729" s="7">
        <v>184</v>
      </c>
      <c r="Q729" s="5">
        <v>0</v>
      </c>
      <c r="R729" s="5">
        <v>184</v>
      </c>
      <c r="S729" s="7">
        <v>27606</v>
      </c>
      <c r="T729" s="12">
        <v>43235</v>
      </c>
      <c r="U729" s="4">
        <v>3</v>
      </c>
      <c r="V729" s="4">
        <v>9</v>
      </c>
      <c r="W729" s="4">
        <v>9</v>
      </c>
      <c r="X729" s="45">
        <v>39228.600000000006</v>
      </c>
      <c r="Y729" s="14" t="s">
        <v>56</v>
      </c>
      <c r="Z729" s="14" t="s">
        <v>55</v>
      </c>
      <c r="AA729" s="14" t="s">
        <v>3080</v>
      </c>
      <c r="AB729" s="44">
        <v>43239</v>
      </c>
      <c r="AC729" s="44" t="s">
        <v>3081</v>
      </c>
      <c r="AD729" s="29" t="s">
        <v>49</v>
      </c>
      <c r="AE729" s="24" t="s">
        <v>1710</v>
      </c>
      <c r="AF729" s="25"/>
      <c r="AI729" s="58"/>
    </row>
    <row r="730" spans="1:35" ht="15.75" customHeight="1">
      <c r="A730" s="13" t="s">
        <v>1711</v>
      </c>
      <c r="B730" s="5">
        <v>137</v>
      </c>
      <c r="C730" s="7">
        <v>19267.319999999996</v>
      </c>
      <c r="D730" s="7">
        <v>0</v>
      </c>
      <c r="E730" s="7">
        <v>0</v>
      </c>
      <c r="F730" s="5">
        <v>0</v>
      </c>
      <c r="G730" s="7">
        <v>0</v>
      </c>
      <c r="H730" s="5">
        <v>35</v>
      </c>
      <c r="I730" s="7">
        <v>3991.3499999999995</v>
      </c>
      <c r="J730" s="7">
        <v>0</v>
      </c>
      <c r="K730" s="5">
        <v>0</v>
      </c>
      <c r="L730" s="5">
        <v>0</v>
      </c>
      <c r="M730" s="5">
        <v>53</v>
      </c>
      <c r="N730" s="7">
        <v>53</v>
      </c>
      <c r="O730" s="7">
        <v>9597.7000000000007</v>
      </c>
      <c r="P730" s="7">
        <v>0</v>
      </c>
      <c r="Q730" s="5">
        <v>0</v>
      </c>
      <c r="R730" s="5">
        <v>0</v>
      </c>
      <c r="S730" s="7">
        <v>0</v>
      </c>
      <c r="T730" s="12">
        <v>43236</v>
      </c>
      <c r="U730" s="4">
        <v>3</v>
      </c>
      <c r="V730" s="4">
        <v>9</v>
      </c>
      <c r="W730" s="4">
        <v>9</v>
      </c>
      <c r="X730" s="45">
        <v>32856.369999999995</v>
      </c>
      <c r="Y730" s="14" t="s">
        <v>1633</v>
      </c>
      <c r="Z730" s="14" t="s">
        <v>1492</v>
      </c>
      <c r="AA730" s="14" t="s">
        <v>3062</v>
      </c>
      <c r="AB730" s="44">
        <v>43238</v>
      </c>
      <c r="AC730" s="44" t="s">
        <v>3063</v>
      </c>
      <c r="AD730" s="29" t="s">
        <v>70</v>
      </c>
      <c r="AE730" s="24" t="s">
        <v>1717</v>
      </c>
      <c r="AF730" s="25"/>
      <c r="AI730" s="58"/>
    </row>
    <row r="731" spans="1:35" ht="15.75" customHeight="1">
      <c r="A731" s="13" t="s">
        <v>1712</v>
      </c>
      <c r="B731" s="5">
        <v>0</v>
      </c>
      <c r="C731" s="7">
        <v>0</v>
      </c>
      <c r="D731" s="7">
        <v>0</v>
      </c>
      <c r="E731" s="7">
        <v>0</v>
      </c>
      <c r="F731" s="5">
        <v>0</v>
      </c>
      <c r="G731" s="7">
        <v>0</v>
      </c>
      <c r="H731" s="5">
        <v>360</v>
      </c>
      <c r="I731" s="7">
        <v>33917.1</v>
      </c>
      <c r="J731" s="7">
        <v>0</v>
      </c>
      <c r="K731" s="5">
        <v>0</v>
      </c>
      <c r="L731" s="5">
        <v>0</v>
      </c>
      <c r="M731" s="5">
        <v>0</v>
      </c>
      <c r="N731" s="7">
        <v>0</v>
      </c>
      <c r="O731" s="7">
        <v>0</v>
      </c>
      <c r="P731" s="7">
        <v>0</v>
      </c>
      <c r="Q731" s="5">
        <v>0</v>
      </c>
      <c r="R731" s="5">
        <v>0</v>
      </c>
      <c r="S731" s="7">
        <v>0</v>
      </c>
      <c r="T731" s="12">
        <v>43236</v>
      </c>
      <c r="U731" s="4">
        <v>2</v>
      </c>
      <c r="V731" s="4">
        <v>9</v>
      </c>
      <c r="W731" s="4">
        <v>9</v>
      </c>
      <c r="X731" s="45">
        <v>33917.1</v>
      </c>
      <c r="Y731" s="14" t="s">
        <v>56</v>
      </c>
      <c r="Z731" s="14" t="s">
        <v>1355</v>
      </c>
      <c r="AA731" s="14" t="s">
        <v>3080</v>
      </c>
      <c r="AB731" s="44">
        <v>43239</v>
      </c>
      <c r="AC731" s="44" t="s">
        <v>3081</v>
      </c>
      <c r="AD731" s="29" t="s">
        <v>49</v>
      </c>
      <c r="AE731" s="24" t="s">
        <v>1718</v>
      </c>
      <c r="AF731" s="25"/>
      <c r="AI731" s="58"/>
    </row>
    <row r="732" spans="1:35" ht="15.75" customHeight="1">
      <c r="A732" s="13" t="s">
        <v>1713</v>
      </c>
      <c r="B732" s="5">
        <v>1148</v>
      </c>
      <c r="C732" s="7">
        <v>98836.339999999982</v>
      </c>
      <c r="D732" s="7">
        <v>0</v>
      </c>
      <c r="E732" s="7">
        <v>0</v>
      </c>
      <c r="F732" s="5">
        <v>0</v>
      </c>
      <c r="G732" s="7">
        <v>0</v>
      </c>
      <c r="H732" s="5">
        <v>604</v>
      </c>
      <c r="I732" s="7">
        <v>70894.66</v>
      </c>
      <c r="J732" s="7">
        <v>0</v>
      </c>
      <c r="K732" s="5">
        <v>0</v>
      </c>
      <c r="L732" s="5">
        <v>0</v>
      </c>
      <c r="M732" s="5">
        <v>296</v>
      </c>
      <c r="N732" s="7">
        <v>296</v>
      </c>
      <c r="O732" s="7">
        <v>31528.799999999996</v>
      </c>
      <c r="P732" s="7">
        <v>25</v>
      </c>
      <c r="Q732" s="5">
        <v>0</v>
      </c>
      <c r="R732" s="5">
        <v>25</v>
      </c>
      <c r="S732" s="7">
        <v>1254.0999999999999</v>
      </c>
      <c r="T732" s="12">
        <v>43236</v>
      </c>
      <c r="U732" s="4">
        <v>15</v>
      </c>
      <c r="V732" s="4">
        <v>9</v>
      </c>
      <c r="W732" s="4">
        <v>9</v>
      </c>
      <c r="X732" s="45">
        <v>202513.9</v>
      </c>
      <c r="Y732" s="14" t="s">
        <v>54</v>
      </c>
      <c r="Z732" s="14" t="s">
        <v>55</v>
      </c>
      <c r="AA732" s="14" t="s">
        <v>3082</v>
      </c>
      <c r="AB732" s="44">
        <v>43240</v>
      </c>
      <c r="AC732" s="44" t="s">
        <v>3078</v>
      </c>
      <c r="AD732" s="29" t="s">
        <v>51</v>
      </c>
      <c r="AE732" s="24" t="s">
        <v>1719</v>
      </c>
      <c r="AF732" s="25"/>
      <c r="AI732" s="58"/>
    </row>
    <row r="733" spans="1:35" ht="15.75" customHeight="1">
      <c r="A733" s="13" t="s">
        <v>1714</v>
      </c>
      <c r="B733" s="5">
        <v>48</v>
      </c>
      <c r="C733" s="7">
        <v>11097.599999999999</v>
      </c>
      <c r="D733" s="7">
        <v>0</v>
      </c>
      <c r="E733" s="7">
        <v>0</v>
      </c>
      <c r="F733" s="5">
        <v>0</v>
      </c>
      <c r="G733" s="7">
        <v>0</v>
      </c>
      <c r="H733" s="5">
        <v>276</v>
      </c>
      <c r="I733" s="7">
        <v>37074.800000000003</v>
      </c>
      <c r="J733" s="7">
        <v>0</v>
      </c>
      <c r="K733" s="5">
        <v>0</v>
      </c>
      <c r="L733" s="5">
        <v>0</v>
      </c>
      <c r="M733" s="5">
        <v>58</v>
      </c>
      <c r="N733" s="7">
        <v>58</v>
      </c>
      <c r="O733" s="7">
        <v>10248.599999999999</v>
      </c>
      <c r="P733" s="7">
        <v>1045</v>
      </c>
      <c r="Q733" s="5">
        <v>0</v>
      </c>
      <c r="R733" s="5">
        <v>1045</v>
      </c>
      <c r="S733" s="7">
        <v>111310.8</v>
      </c>
      <c r="T733" s="12">
        <v>43236</v>
      </c>
      <c r="U733" s="4">
        <v>11</v>
      </c>
      <c r="V733" s="4">
        <v>9</v>
      </c>
      <c r="W733" s="4">
        <v>9</v>
      </c>
      <c r="X733" s="45">
        <v>169731.8</v>
      </c>
      <c r="Y733" s="14" t="s">
        <v>56</v>
      </c>
      <c r="Z733" s="14" t="s">
        <v>1281</v>
      </c>
      <c r="AA733" s="14" t="s">
        <v>3083</v>
      </c>
      <c r="AB733" s="44">
        <v>43243</v>
      </c>
      <c r="AC733" s="44" t="s">
        <v>3084</v>
      </c>
      <c r="AD733" s="29" t="s">
        <v>51</v>
      </c>
      <c r="AE733" s="24" t="s">
        <v>1720</v>
      </c>
      <c r="AF733" s="25"/>
      <c r="AI733" s="58"/>
    </row>
    <row r="734" spans="1:35" ht="15.75" customHeight="1">
      <c r="A734" s="13" t="s">
        <v>1716</v>
      </c>
      <c r="B734" s="5">
        <v>500</v>
      </c>
      <c r="C734" s="7">
        <v>59251.199999999997</v>
      </c>
      <c r="D734" s="7">
        <v>0</v>
      </c>
      <c r="E734" s="7">
        <v>0</v>
      </c>
      <c r="F734" s="5">
        <v>0</v>
      </c>
      <c r="G734" s="7">
        <v>0</v>
      </c>
      <c r="H734" s="5">
        <v>0</v>
      </c>
      <c r="I734" s="7">
        <v>0</v>
      </c>
      <c r="J734" s="7">
        <v>0</v>
      </c>
      <c r="K734" s="5">
        <v>0</v>
      </c>
      <c r="L734" s="5">
        <v>0</v>
      </c>
      <c r="M734" s="5">
        <v>91</v>
      </c>
      <c r="N734" s="7">
        <v>91</v>
      </c>
      <c r="O734" s="7">
        <v>18481</v>
      </c>
      <c r="P734" s="7">
        <v>325</v>
      </c>
      <c r="Q734" s="5">
        <v>0</v>
      </c>
      <c r="R734" s="5">
        <v>325</v>
      </c>
      <c r="S734" s="7">
        <v>61203.200000000004</v>
      </c>
      <c r="T734" s="12">
        <v>43236</v>
      </c>
      <c r="U734" s="4">
        <v>11</v>
      </c>
      <c r="V734" s="4">
        <v>9</v>
      </c>
      <c r="W734" s="4">
        <v>9</v>
      </c>
      <c r="X734" s="45">
        <v>138935.4</v>
      </c>
      <c r="Y734" s="14" t="s">
        <v>54</v>
      </c>
      <c r="Z734" s="14" t="s">
        <v>1355</v>
      </c>
      <c r="AA734" s="14" t="s">
        <v>3075</v>
      </c>
      <c r="AB734" s="44">
        <v>43245</v>
      </c>
      <c r="AC734" s="44" t="s">
        <v>3076</v>
      </c>
      <c r="AD734" s="29" t="s">
        <v>50</v>
      </c>
      <c r="AE734" s="24" t="s">
        <v>1721</v>
      </c>
      <c r="AF734" s="25"/>
      <c r="AI734" s="58"/>
    </row>
    <row r="735" spans="1:35" ht="15.75" customHeight="1">
      <c r="A735" s="13" t="s">
        <v>1722</v>
      </c>
      <c r="B735" s="5">
        <v>117</v>
      </c>
      <c r="C735" s="7">
        <v>23708.1</v>
      </c>
      <c r="D735" s="7">
        <v>0</v>
      </c>
      <c r="E735" s="7">
        <v>0</v>
      </c>
      <c r="F735" s="5">
        <v>0</v>
      </c>
      <c r="G735" s="7">
        <v>0</v>
      </c>
      <c r="H735" s="5">
        <v>255</v>
      </c>
      <c r="I735" s="7">
        <v>28497.050000000003</v>
      </c>
      <c r="J735" s="7">
        <v>0</v>
      </c>
      <c r="K735" s="5">
        <v>0</v>
      </c>
      <c r="L735" s="5">
        <v>0</v>
      </c>
      <c r="M735" s="5">
        <v>0</v>
      </c>
      <c r="N735" s="7">
        <v>0</v>
      </c>
      <c r="O735" s="7">
        <v>0</v>
      </c>
      <c r="P735" s="7">
        <v>629</v>
      </c>
      <c r="Q735" s="5">
        <v>0</v>
      </c>
      <c r="R735" s="5">
        <v>629</v>
      </c>
      <c r="S735" s="7">
        <v>52956.7</v>
      </c>
      <c r="T735" s="12">
        <v>43237</v>
      </c>
      <c r="U735" s="4">
        <v>6</v>
      </c>
      <c r="V735" s="4">
        <v>9</v>
      </c>
      <c r="W735" s="4">
        <v>9</v>
      </c>
      <c r="X735" s="45">
        <v>105161.85</v>
      </c>
      <c r="Y735" s="14" t="s">
        <v>54</v>
      </c>
      <c r="Z735" s="14" t="s">
        <v>1355</v>
      </c>
      <c r="AA735" s="14" t="s">
        <v>3085</v>
      </c>
      <c r="AB735" s="44">
        <v>43245</v>
      </c>
      <c r="AC735" s="44" t="s">
        <v>3076</v>
      </c>
      <c r="AD735" s="29" t="s">
        <v>49</v>
      </c>
      <c r="AE735" s="24" t="s">
        <v>1729</v>
      </c>
      <c r="AF735" s="25"/>
      <c r="AI735" s="58"/>
    </row>
    <row r="736" spans="1:35" ht="15.75" customHeight="1">
      <c r="A736" s="13" t="s">
        <v>1723</v>
      </c>
      <c r="B736" s="5">
        <v>101</v>
      </c>
      <c r="C736" s="7">
        <v>11480.5</v>
      </c>
      <c r="D736" s="7">
        <v>0</v>
      </c>
      <c r="E736" s="7">
        <v>0</v>
      </c>
      <c r="F736" s="5">
        <v>0</v>
      </c>
      <c r="G736" s="7">
        <v>0</v>
      </c>
      <c r="H736" s="5">
        <v>95</v>
      </c>
      <c r="I736" s="7">
        <v>12156.2</v>
      </c>
      <c r="J736" s="7">
        <v>0</v>
      </c>
      <c r="K736" s="5">
        <v>0</v>
      </c>
      <c r="L736" s="5">
        <v>0</v>
      </c>
      <c r="M736" s="5">
        <v>58</v>
      </c>
      <c r="N736" s="7">
        <v>58</v>
      </c>
      <c r="O736" s="7">
        <v>10248.599999999999</v>
      </c>
      <c r="P736" s="7">
        <v>470</v>
      </c>
      <c r="Q736" s="5">
        <v>0</v>
      </c>
      <c r="R736" s="5">
        <v>470</v>
      </c>
      <c r="S736" s="7">
        <v>43980</v>
      </c>
      <c r="T736" s="12">
        <v>43237</v>
      </c>
      <c r="U736" s="4">
        <v>5</v>
      </c>
      <c r="V736" s="4">
        <v>9</v>
      </c>
      <c r="W736" s="4">
        <v>9</v>
      </c>
      <c r="X736" s="45">
        <v>77865.3</v>
      </c>
      <c r="Y736" s="14" t="s">
        <v>56</v>
      </c>
      <c r="Z736" s="14" t="s">
        <v>1637</v>
      </c>
      <c r="AA736" s="14" t="s">
        <v>3086</v>
      </c>
      <c r="AB736" s="44">
        <v>43244</v>
      </c>
      <c r="AC736" s="44" t="s">
        <v>3087</v>
      </c>
      <c r="AD736" s="29" t="s">
        <v>49</v>
      </c>
      <c r="AE736" s="24" t="s">
        <v>1730</v>
      </c>
      <c r="AF736" s="25"/>
      <c r="AI736" s="58"/>
    </row>
    <row r="737" spans="1:35" ht="15.75" customHeight="1">
      <c r="A737" s="13" t="s">
        <v>1724</v>
      </c>
      <c r="B737" s="5">
        <v>126</v>
      </c>
      <c r="C737" s="7">
        <v>11562.800000000003</v>
      </c>
      <c r="D737" s="7">
        <v>0</v>
      </c>
      <c r="E737" s="7">
        <v>0</v>
      </c>
      <c r="F737" s="5">
        <v>0</v>
      </c>
      <c r="G737" s="7">
        <v>0</v>
      </c>
      <c r="H737" s="5">
        <v>174</v>
      </c>
      <c r="I737" s="7">
        <v>13669.799999999996</v>
      </c>
      <c r="J737" s="7">
        <v>0</v>
      </c>
      <c r="K737" s="5">
        <v>0</v>
      </c>
      <c r="L737" s="5">
        <v>0</v>
      </c>
      <c r="M737" s="5">
        <v>78</v>
      </c>
      <c r="N737" s="7">
        <v>78</v>
      </c>
      <c r="O737" s="7">
        <v>8859</v>
      </c>
      <c r="P737" s="7">
        <v>272</v>
      </c>
      <c r="Q737" s="5">
        <v>0</v>
      </c>
      <c r="R737" s="5">
        <v>272</v>
      </c>
      <c r="S737" s="7">
        <v>49331.369999999995</v>
      </c>
      <c r="T737" s="12">
        <v>43237</v>
      </c>
      <c r="U737" s="4">
        <v>6</v>
      </c>
      <c r="V737" s="4">
        <v>9</v>
      </c>
      <c r="W737" s="4">
        <v>9</v>
      </c>
      <c r="X737" s="45">
        <v>83422.97</v>
      </c>
      <c r="Y737" s="14" t="s">
        <v>85</v>
      </c>
      <c r="Z737" s="14" t="s">
        <v>57</v>
      </c>
      <c r="AA737" s="14">
        <v>350810048205</v>
      </c>
      <c r="AB737" s="44">
        <v>43247</v>
      </c>
      <c r="AC737" s="44" t="s">
        <v>3088</v>
      </c>
      <c r="AD737" s="29" t="s">
        <v>52</v>
      </c>
      <c r="AE737" s="24" t="s">
        <v>1731</v>
      </c>
      <c r="AF737" s="25"/>
      <c r="AI737" s="58"/>
    </row>
    <row r="738" spans="1:35" ht="15.75" customHeight="1">
      <c r="A738" s="13" t="s">
        <v>1725</v>
      </c>
      <c r="B738" s="5">
        <v>0</v>
      </c>
      <c r="C738" s="7">
        <v>0</v>
      </c>
      <c r="D738" s="7">
        <v>0</v>
      </c>
      <c r="E738" s="7">
        <v>0</v>
      </c>
      <c r="F738" s="5">
        <v>0</v>
      </c>
      <c r="G738" s="7">
        <v>0</v>
      </c>
      <c r="H738" s="5">
        <v>155</v>
      </c>
      <c r="I738" s="7">
        <v>15666.6</v>
      </c>
      <c r="J738" s="7">
        <v>0</v>
      </c>
      <c r="K738" s="5">
        <v>0</v>
      </c>
      <c r="L738" s="5">
        <v>0</v>
      </c>
      <c r="M738" s="5">
        <v>0</v>
      </c>
      <c r="N738" s="7">
        <v>0</v>
      </c>
      <c r="O738" s="7">
        <v>0</v>
      </c>
      <c r="P738" s="7">
        <v>74</v>
      </c>
      <c r="Q738" s="5">
        <v>0</v>
      </c>
      <c r="R738" s="5">
        <v>74</v>
      </c>
      <c r="S738" s="7">
        <v>15984</v>
      </c>
      <c r="T738" s="12">
        <v>43237</v>
      </c>
      <c r="U738" s="4">
        <v>2</v>
      </c>
      <c r="V738" s="4">
        <v>9</v>
      </c>
      <c r="W738" s="4">
        <v>9</v>
      </c>
      <c r="X738" s="45">
        <v>31650.6</v>
      </c>
      <c r="Y738" s="14" t="s">
        <v>54</v>
      </c>
      <c r="Z738" s="14" t="s">
        <v>55</v>
      </c>
      <c r="AA738" s="14" t="s">
        <v>3082</v>
      </c>
      <c r="AB738" s="44">
        <v>43240</v>
      </c>
      <c r="AC738" s="44" t="s">
        <v>3078</v>
      </c>
      <c r="AD738" s="29" t="s">
        <v>51</v>
      </c>
      <c r="AE738" s="24" t="s">
        <v>1732</v>
      </c>
      <c r="AF738" s="25"/>
      <c r="AI738" s="58"/>
    </row>
    <row r="739" spans="1:35" ht="15.75" customHeight="1">
      <c r="A739" s="13" t="s">
        <v>1726</v>
      </c>
      <c r="B739" s="5">
        <v>422</v>
      </c>
      <c r="C739" s="7">
        <v>41399.360000000001</v>
      </c>
      <c r="D739" s="7">
        <v>30</v>
      </c>
      <c r="E739" s="7">
        <v>0</v>
      </c>
      <c r="F739" s="5">
        <v>30</v>
      </c>
      <c r="G739" s="7">
        <v>1329</v>
      </c>
      <c r="H739" s="5">
        <v>230</v>
      </c>
      <c r="I739" s="7">
        <v>27658.75</v>
      </c>
      <c r="J739" s="7">
        <v>0</v>
      </c>
      <c r="K739" s="5">
        <v>0</v>
      </c>
      <c r="L739" s="5">
        <v>0</v>
      </c>
      <c r="M739" s="5">
        <v>115</v>
      </c>
      <c r="N739" s="7">
        <v>115</v>
      </c>
      <c r="O739" s="7">
        <v>18044.8</v>
      </c>
      <c r="P739" s="7">
        <v>574</v>
      </c>
      <c r="Q739" s="5">
        <v>0</v>
      </c>
      <c r="R739" s="5">
        <v>574</v>
      </c>
      <c r="S739" s="7">
        <v>70711.8</v>
      </c>
      <c r="T739" s="12">
        <v>43237</v>
      </c>
      <c r="U739" s="4">
        <v>10</v>
      </c>
      <c r="V739" s="4">
        <v>9</v>
      </c>
      <c r="W739" s="4">
        <v>9</v>
      </c>
      <c r="X739" s="45">
        <v>159143.71000000002</v>
      </c>
      <c r="Y739" s="14" t="s">
        <v>56</v>
      </c>
      <c r="Z739" s="14" t="s">
        <v>59</v>
      </c>
      <c r="AA739" s="14" t="s">
        <v>3083</v>
      </c>
      <c r="AB739" s="44">
        <v>43243</v>
      </c>
      <c r="AC739" s="44" t="s">
        <v>3084</v>
      </c>
      <c r="AD739" s="29" t="s">
        <v>51</v>
      </c>
      <c r="AE739" s="24" t="s">
        <v>1733</v>
      </c>
      <c r="AF739" s="25"/>
      <c r="AI739" s="58"/>
    </row>
    <row r="740" spans="1:35" ht="15.75" customHeight="1">
      <c r="A740" s="13" t="s">
        <v>1727</v>
      </c>
      <c r="B740" s="5">
        <v>262</v>
      </c>
      <c r="C740" s="7">
        <v>29616.789999999997</v>
      </c>
      <c r="D740" s="7">
        <v>0</v>
      </c>
      <c r="E740" s="7">
        <v>0</v>
      </c>
      <c r="F740" s="5">
        <v>0</v>
      </c>
      <c r="G740" s="7">
        <v>0</v>
      </c>
      <c r="H740" s="5">
        <v>0</v>
      </c>
      <c r="I740" s="7">
        <v>0</v>
      </c>
      <c r="J740" s="7">
        <v>0</v>
      </c>
      <c r="K740" s="5">
        <v>0</v>
      </c>
      <c r="L740" s="5">
        <v>0</v>
      </c>
      <c r="M740" s="5">
        <v>3</v>
      </c>
      <c r="N740" s="7">
        <v>3</v>
      </c>
      <c r="O740" s="7">
        <v>736.8</v>
      </c>
      <c r="P740" s="7">
        <v>153</v>
      </c>
      <c r="Q740" s="5">
        <v>0</v>
      </c>
      <c r="R740" s="5">
        <v>153</v>
      </c>
      <c r="S740" s="7">
        <v>22658.9</v>
      </c>
      <c r="T740" s="12">
        <v>43237</v>
      </c>
      <c r="U740" s="4">
        <v>4</v>
      </c>
      <c r="V740" s="4">
        <v>9</v>
      </c>
      <c r="W740" s="4">
        <v>9</v>
      </c>
      <c r="X740" s="45">
        <v>53012.49</v>
      </c>
      <c r="Y740" s="14" t="s">
        <v>85</v>
      </c>
      <c r="Z740" s="14" t="s">
        <v>1281</v>
      </c>
      <c r="AA740" s="14">
        <v>350810048984</v>
      </c>
      <c r="AB740" s="44">
        <v>43240</v>
      </c>
      <c r="AC740" s="44" t="s">
        <v>3070</v>
      </c>
      <c r="AD740" s="29" t="s">
        <v>600</v>
      </c>
      <c r="AE740" s="24" t="s">
        <v>1734</v>
      </c>
      <c r="AF740" s="25"/>
      <c r="AI740" s="58"/>
    </row>
    <row r="741" spans="1:35" ht="15.75" customHeight="1">
      <c r="A741" s="13" t="s">
        <v>1715</v>
      </c>
      <c r="B741" s="5">
        <v>955</v>
      </c>
      <c r="C741" s="7">
        <v>80224.200000000026</v>
      </c>
      <c r="D741" s="7">
        <v>0</v>
      </c>
      <c r="E741" s="7">
        <v>0</v>
      </c>
      <c r="F741" s="5">
        <v>0</v>
      </c>
      <c r="G741" s="7">
        <v>0</v>
      </c>
      <c r="H741" s="5">
        <v>0</v>
      </c>
      <c r="I741" s="7">
        <v>0</v>
      </c>
      <c r="J741" s="7">
        <v>0</v>
      </c>
      <c r="K741" s="5">
        <v>0</v>
      </c>
      <c r="L741" s="5">
        <v>0</v>
      </c>
      <c r="M741" s="5">
        <v>178</v>
      </c>
      <c r="N741" s="7">
        <v>178</v>
      </c>
      <c r="O741" s="7">
        <v>20651.5</v>
      </c>
      <c r="P741" s="7">
        <v>0</v>
      </c>
      <c r="Q741" s="5">
        <v>0</v>
      </c>
      <c r="R741" s="5">
        <v>0</v>
      </c>
      <c r="S741" s="7">
        <v>0</v>
      </c>
      <c r="T741" s="12">
        <v>43237</v>
      </c>
      <c r="U741" s="4">
        <v>8</v>
      </c>
      <c r="V741" s="4">
        <v>9</v>
      </c>
      <c r="W741" s="4">
        <v>9</v>
      </c>
      <c r="X741" s="45">
        <v>100875.70000000003</v>
      </c>
      <c r="Y741" s="14" t="s">
        <v>54</v>
      </c>
      <c r="Z741" s="14" t="s">
        <v>59</v>
      </c>
      <c r="AA741" s="14" t="s">
        <v>3069</v>
      </c>
      <c r="AB741" s="44">
        <v>43240</v>
      </c>
      <c r="AC741" s="44" t="s">
        <v>3061</v>
      </c>
      <c r="AD741" s="29" t="s">
        <v>50</v>
      </c>
      <c r="AE741" s="24" t="s">
        <v>1735</v>
      </c>
      <c r="AF741" s="25"/>
      <c r="AI741" s="58"/>
    </row>
    <row r="742" spans="1:35" ht="15.75" customHeight="1">
      <c r="A742" s="13" t="s">
        <v>1728</v>
      </c>
      <c r="B742" s="5">
        <v>254</v>
      </c>
      <c r="C742" s="7">
        <v>30562</v>
      </c>
      <c r="D742" s="7">
        <v>0</v>
      </c>
      <c r="E742" s="7">
        <v>0</v>
      </c>
      <c r="F742" s="5">
        <v>0</v>
      </c>
      <c r="G742" s="7">
        <v>0</v>
      </c>
      <c r="H742" s="5">
        <v>160</v>
      </c>
      <c r="I742" s="7">
        <v>4350.5</v>
      </c>
      <c r="J742" s="7">
        <v>0</v>
      </c>
      <c r="K742" s="5">
        <v>0</v>
      </c>
      <c r="L742" s="5">
        <v>0</v>
      </c>
      <c r="M742" s="5">
        <v>129</v>
      </c>
      <c r="N742" s="7">
        <v>129</v>
      </c>
      <c r="O742" s="7">
        <v>18931.900000000001</v>
      </c>
      <c r="P742" s="7">
        <v>177</v>
      </c>
      <c r="Q742" s="5">
        <v>0</v>
      </c>
      <c r="R742" s="5">
        <v>177</v>
      </c>
      <c r="S742" s="7">
        <v>37211.399999999994</v>
      </c>
      <c r="T742" s="12">
        <v>43237</v>
      </c>
      <c r="U742" s="4">
        <v>7</v>
      </c>
      <c r="V742" s="4">
        <v>9</v>
      </c>
      <c r="W742" s="4">
        <v>9</v>
      </c>
      <c r="X742" s="45">
        <v>91055.799999999988</v>
      </c>
      <c r="Y742" s="14" t="s">
        <v>54</v>
      </c>
      <c r="Z742" s="14" t="s">
        <v>1281</v>
      </c>
      <c r="AA742" s="14" t="s">
        <v>3075</v>
      </c>
      <c r="AB742" s="44">
        <v>43245</v>
      </c>
      <c r="AC742" s="44" t="s">
        <v>3076</v>
      </c>
      <c r="AD742" s="29" t="s">
        <v>50</v>
      </c>
      <c r="AE742" s="24" t="s">
        <v>1736</v>
      </c>
      <c r="AF742" s="25"/>
      <c r="AI742" s="58"/>
    </row>
    <row r="743" spans="1:35" ht="15.75" customHeight="1">
      <c r="A743" s="13" t="s">
        <v>1737</v>
      </c>
      <c r="B743" s="5">
        <v>250</v>
      </c>
      <c r="C743" s="7">
        <v>8073.6</v>
      </c>
      <c r="D743" s="7">
        <v>0</v>
      </c>
      <c r="E743" s="7">
        <v>0</v>
      </c>
      <c r="F743" s="5">
        <v>0</v>
      </c>
      <c r="G743" s="7">
        <v>0</v>
      </c>
      <c r="H743" s="5">
        <v>271</v>
      </c>
      <c r="I743" s="7">
        <v>31492.42</v>
      </c>
      <c r="J743" s="7">
        <v>0</v>
      </c>
      <c r="K743" s="5">
        <v>0</v>
      </c>
      <c r="L743" s="5">
        <v>0</v>
      </c>
      <c r="M743" s="5">
        <v>409</v>
      </c>
      <c r="N743" s="7">
        <v>409</v>
      </c>
      <c r="O743" s="7">
        <v>11891.3</v>
      </c>
      <c r="P743" s="7">
        <v>0</v>
      </c>
      <c r="Q743" s="5">
        <v>0</v>
      </c>
      <c r="R743" s="5">
        <v>0</v>
      </c>
      <c r="S743" s="7">
        <v>0</v>
      </c>
      <c r="T743" s="12">
        <v>43238</v>
      </c>
      <c r="U743" s="4">
        <v>3</v>
      </c>
      <c r="V743" s="4">
        <v>9</v>
      </c>
      <c r="W743" s="4">
        <v>9</v>
      </c>
      <c r="X743" s="45">
        <v>51457.319999999992</v>
      </c>
      <c r="Y743" s="14" t="s">
        <v>54</v>
      </c>
      <c r="Z743" s="14" t="s">
        <v>1355</v>
      </c>
      <c r="AA743" s="14" t="s">
        <v>3089</v>
      </c>
      <c r="AB743" s="44">
        <v>43240</v>
      </c>
      <c r="AC743" s="44" t="s">
        <v>3061</v>
      </c>
      <c r="AD743" s="29" t="s">
        <v>49</v>
      </c>
      <c r="AE743" s="24" t="s">
        <v>1745</v>
      </c>
      <c r="AF743" s="25"/>
      <c r="AI743" s="58"/>
    </row>
    <row r="744" spans="1:35" ht="15.75" customHeight="1">
      <c r="A744" s="13" t="s">
        <v>1738</v>
      </c>
      <c r="B744" s="5">
        <v>93</v>
      </c>
      <c r="C744" s="7">
        <v>22067.5</v>
      </c>
      <c r="D744" s="7">
        <v>0</v>
      </c>
      <c r="E744" s="7">
        <v>0</v>
      </c>
      <c r="F744" s="5">
        <v>0</v>
      </c>
      <c r="G744" s="7">
        <v>0</v>
      </c>
      <c r="H744" s="5">
        <v>181</v>
      </c>
      <c r="I744" s="7">
        <v>24918.6</v>
      </c>
      <c r="J744" s="7">
        <v>0</v>
      </c>
      <c r="K744" s="5">
        <v>0</v>
      </c>
      <c r="L744" s="5">
        <v>0</v>
      </c>
      <c r="M744" s="5">
        <v>0</v>
      </c>
      <c r="N744" s="7">
        <v>0</v>
      </c>
      <c r="O744" s="7">
        <v>0</v>
      </c>
      <c r="P744" s="7">
        <v>450</v>
      </c>
      <c r="Q744" s="5">
        <v>0</v>
      </c>
      <c r="R744" s="5">
        <v>450</v>
      </c>
      <c r="S744" s="7">
        <v>39060</v>
      </c>
      <c r="T744" s="12">
        <v>43238</v>
      </c>
      <c r="U744" s="4">
        <v>5</v>
      </c>
      <c r="V744" s="4">
        <v>9</v>
      </c>
      <c r="W744" s="4">
        <v>9</v>
      </c>
      <c r="X744" s="45">
        <v>86046.1</v>
      </c>
      <c r="Y744" s="14" t="s">
        <v>54</v>
      </c>
      <c r="Z744" s="14" t="s">
        <v>1355</v>
      </c>
      <c r="AA744" s="14" t="s">
        <v>3085</v>
      </c>
      <c r="AB744" s="44">
        <v>43245</v>
      </c>
      <c r="AC744" s="44" t="s">
        <v>3076</v>
      </c>
      <c r="AD744" s="29" t="s">
        <v>49</v>
      </c>
      <c r="AE744" s="24" t="s">
        <v>1746</v>
      </c>
      <c r="AF744" s="25"/>
      <c r="AI744" s="58"/>
    </row>
    <row r="745" spans="1:35" ht="15.75" customHeight="1">
      <c r="A745" s="13" t="s">
        <v>1739</v>
      </c>
      <c r="B745" s="5">
        <v>65</v>
      </c>
      <c r="C745" s="7">
        <v>6867.5</v>
      </c>
      <c r="D745" s="7">
        <v>0</v>
      </c>
      <c r="E745" s="7">
        <v>0</v>
      </c>
      <c r="F745" s="5">
        <v>0</v>
      </c>
      <c r="G745" s="7">
        <v>0</v>
      </c>
      <c r="H745" s="5">
        <v>0</v>
      </c>
      <c r="I745" s="7">
        <v>0</v>
      </c>
      <c r="J745" s="7">
        <v>0</v>
      </c>
      <c r="K745" s="5">
        <v>0</v>
      </c>
      <c r="L745" s="5">
        <v>0</v>
      </c>
      <c r="M745" s="5">
        <v>23</v>
      </c>
      <c r="N745" s="7">
        <v>23</v>
      </c>
      <c r="O745" s="7">
        <v>3731</v>
      </c>
      <c r="P745" s="7">
        <v>0</v>
      </c>
      <c r="Q745" s="5">
        <v>0</v>
      </c>
      <c r="R745" s="5">
        <v>0</v>
      </c>
      <c r="S745" s="7">
        <v>0</v>
      </c>
      <c r="T745" s="12">
        <v>43238</v>
      </c>
      <c r="U745" s="4">
        <v>1</v>
      </c>
      <c r="V745" s="4">
        <v>9</v>
      </c>
      <c r="W745" s="4">
        <v>9</v>
      </c>
      <c r="X745" s="45">
        <v>10598.5</v>
      </c>
      <c r="Y745" s="14" t="s">
        <v>54</v>
      </c>
      <c r="Z745" s="14" t="s">
        <v>1355</v>
      </c>
      <c r="AA745" s="14" t="s">
        <v>3089</v>
      </c>
      <c r="AB745" s="44">
        <v>43240</v>
      </c>
      <c r="AC745" s="44" t="s">
        <v>3061</v>
      </c>
      <c r="AD745" s="29" t="s">
        <v>49</v>
      </c>
      <c r="AE745" s="24" t="s">
        <v>1747</v>
      </c>
      <c r="AF745" s="25"/>
      <c r="AI745" s="58"/>
    </row>
    <row r="746" spans="1:35" ht="15.75" customHeight="1">
      <c r="A746" s="13" t="s">
        <v>1740</v>
      </c>
      <c r="B746" s="5">
        <v>243</v>
      </c>
      <c r="C746" s="7">
        <v>30210.6</v>
      </c>
      <c r="D746" s="7">
        <v>0</v>
      </c>
      <c r="E746" s="7">
        <v>0</v>
      </c>
      <c r="F746" s="5">
        <v>0</v>
      </c>
      <c r="G746" s="7">
        <v>0</v>
      </c>
      <c r="H746" s="5">
        <v>275</v>
      </c>
      <c r="I746" s="7">
        <v>29070.649999999994</v>
      </c>
      <c r="J746" s="7">
        <v>0</v>
      </c>
      <c r="K746" s="5">
        <v>0</v>
      </c>
      <c r="L746" s="5">
        <v>0</v>
      </c>
      <c r="M746" s="5">
        <v>69</v>
      </c>
      <c r="N746" s="7">
        <v>69</v>
      </c>
      <c r="O746" s="7">
        <v>10746.9</v>
      </c>
      <c r="P746" s="7">
        <v>0</v>
      </c>
      <c r="Q746" s="5">
        <v>0</v>
      </c>
      <c r="R746" s="5">
        <v>0</v>
      </c>
      <c r="S746" s="7">
        <v>0</v>
      </c>
      <c r="T746" s="12">
        <v>43238</v>
      </c>
      <c r="U746" s="4">
        <v>5</v>
      </c>
      <c r="V746" s="4">
        <v>9</v>
      </c>
      <c r="W746" s="4">
        <v>9</v>
      </c>
      <c r="X746" s="45">
        <v>70028.149999999994</v>
      </c>
      <c r="Y746" s="14" t="s">
        <v>54</v>
      </c>
      <c r="Z746" s="14" t="s">
        <v>55</v>
      </c>
      <c r="AA746" s="14" t="s">
        <v>3082</v>
      </c>
      <c r="AB746" s="44">
        <v>43240</v>
      </c>
      <c r="AC746" s="44" t="s">
        <v>3078</v>
      </c>
      <c r="AD746" s="29" t="s">
        <v>51</v>
      </c>
      <c r="AE746" s="24" t="s">
        <v>1748</v>
      </c>
      <c r="AF746" s="25"/>
      <c r="AI746" s="58"/>
    </row>
    <row r="747" spans="1:35" ht="15.75" customHeight="1">
      <c r="A747" s="13" t="s">
        <v>1741</v>
      </c>
      <c r="B747" s="5">
        <v>455</v>
      </c>
      <c r="C747" s="7">
        <v>69360</v>
      </c>
      <c r="D747" s="7">
        <v>0</v>
      </c>
      <c r="E747" s="7">
        <v>0</v>
      </c>
      <c r="F747" s="5">
        <v>0</v>
      </c>
      <c r="G747" s="7">
        <v>0</v>
      </c>
      <c r="H747" s="5">
        <v>190</v>
      </c>
      <c r="I747" s="7">
        <v>24312.400000000001</v>
      </c>
      <c r="J747" s="7">
        <v>0</v>
      </c>
      <c r="K747" s="5">
        <v>0</v>
      </c>
      <c r="L747" s="5">
        <v>0</v>
      </c>
      <c r="M747" s="5">
        <v>58</v>
      </c>
      <c r="N747" s="7">
        <v>58</v>
      </c>
      <c r="O747" s="7">
        <v>10248.599999999999</v>
      </c>
      <c r="P747" s="7">
        <v>240</v>
      </c>
      <c r="Q747" s="5">
        <v>0</v>
      </c>
      <c r="R747" s="5">
        <v>240</v>
      </c>
      <c r="S747" s="7">
        <v>27240</v>
      </c>
      <c r="T747" s="12">
        <v>43238</v>
      </c>
      <c r="U747" s="4">
        <v>11</v>
      </c>
      <c r="V747" s="4">
        <v>9</v>
      </c>
      <c r="W747" s="4">
        <v>9</v>
      </c>
      <c r="X747" s="45">
        <v>131161</v>
      </c>
      <c r="Y747" s="14" t="s">
        <v>56</v>
      </c>
      <c r="Z747" s="14" t="s">
        <v>55</v>
      </c>
      <c r="AA747" s="14" t="s">
        <v>3083</v>
      </c>
      <c r="AB747" s="44">
        <v>43243</v>
      </c>
      <c r="AC747" s="44" t="s">
        <v>3084</v>
      </c>
      <c r="AD747" s="29" t="s">
        <v>51</v>
      </c>
      <c r="AE747" s="24" t="s">
        <v>1749</v>
      </c>
      <c r="AF747" s="25"/>
      <c r="AI747" s="58"/>
    </row>
    <row r="748" spans="1:35" ht="15.75" customHeight="1">
      <c r="A748" s="13" t="s">
        <v>1742</v>
      </c>
      <c r="B748" s="5">
        <v>220</v>
      </c>
      <c r="C748" s="7">
        <v>23511.840000000004</v>
      </c>
      <c r="D748" s="7">
        <v>0</v>
      </c>
      <c r="E748" s="7">
        <v>0</v>
      </c>
      <c r="F748" s="5">
        <v>0</v>
      </c>
      <c r="G748" s="7">
        <v>0</v>
      </c>
      <c r="H748" s="5">
        <v>0</v>
      </c>
      <c r="I748" s="7">
        <v>0</v>
      </c>
      <c r="J748" s="7">
        <v>0</v>
      </c>
      <c r="K748" s="5">
        <v>0</v>
      </c>
      <c r="L748" s="5">
        <v>0</v>
      </c>
      <c r="M748" s="5">
        <v>94</v>
      </c>
      <c r="N748" s="7">
        <v>94</v>
      </c>
      <c r="O748" s="7">
        <v>20125.5</v>
      </c>
      <c r="P748" s="7">
        <v>0</v>
      </c>
      <c r="Q748" s="5">
        <v>0</v>
      </c>
      <c r="R748" s="5">
        <v>0</v>
      </c>
      <c r="S748" s="7">
        <v>0</v>
      </c>
      <c r="T748" s="12">
        <v>43238</v>
      </c>
      <c r="U748" s="4">
        <v>4</v>
      </c>
      <c r="V748" s="4">
        <v>9</v>
      </c>
      <c r="W748" s="4">
        <v>9</v>
      </c>
      <c r="X748" s="45">
        <v>43637.340000000004</v>
      </c>
      <c r="Y748" s="14" t="s">
        <v>54</v>
      </c>
      <c r="Z748" s="14" t="s">
        <v>59</v>
      </c>
      <c r="AA748" s="14" t="s">
        <v>3069</v>
      </c>
      <c r="AB748" s="44">
        <v>43240</v>
      </c>
      <c r="AC748" s="44" t="s">
        <v>3061</v>
      </c>
      <c r="AD748" s="29" t="s">
        <v>50</v>
      </c>
      <c r="AE748" s="24" t="s">
        <v>1750</v>
      </c>
      <c r="AF748" s="25"/>
      <c r="AI748" s="58"/>
    </row>
    <row r="749" spans="1:35" ht="15.75" customHeight="1">
      <c r="A749" s="13" t="s">
        <v>1743</v>
      </c>
      <c r="B749" s="5">
        <v>970</v>
      </c>
      <c r="C749" s="7">
        <v>103467.48000000001</v>
      </c>
      <c r="D749" s="7">
        <v>0</v>
      </c>
      <c r="E749" s="7">
        <v>0</v>
      </c>
      <c r="F749" s="5">
        <v>0</v>
      </c>
      <c r="G749" s="7">
        <v>0</v>
      </c>
      <c r="H749" s="5">
        <v>0</v>
      </c>
      <c r="I749" s="7">
        <v>0</v>
      </c>
      <c r="J749" s="7">
        <v>0</v>
      </c>
      <c r="K749" s="5">
        <v>0</v>
      </c>
      <c r="L749" s="5">
        <v>0</v>
      </c>
      <c r="M749" s="5">
        <v>128</v>
      </c>
      <c r="N749" s="7">
        <v>128</v>
      </c>
      <c r="O749" s="7">
        <v>22346.399999999994</v>
      </c>
      <c r="P749" s="7">
        <v>232</v>
      </c>
      <c r="Q749" s="5">
        <v>0</v>
      </c>
      <c r="R749" s="5">
        <v>232</v>
      </c>
      <c r="S749" s="7">
        <v>49422</v>
      </c>
      <c r="T749" s="12">
        <v>43238</v>
      </c>
      <c r="U749" s="4">
        <v>13</v>
      </c>
      <c r="V749" s="4">
        <v>9</v>
      </c>
      <c r="W749" s="4">
        <v>9</v>
      </c>
      <c r="X749" s="45">
        <v>175235.88</v>
      </c>
      <c r="Y749" s="14" t="s">
        <v>54</v>
      </c>
      <c r="Z749" s="14" t="s">
        <v>59</v>
      </c>
      <c r="AA749" s="14" t="s">
        <v>3075</v>
      </c>
      <c r="AB749" s="44">
        <v>43245</v>
      </c>
      <c r="AC749" s="44" t="s">
        <v>3076</v>
      </c>
      <c r="AD749" s="29" t="s">
        <v>50</v>
      </c>
      <c r="AE749" s="24" t="s">
        <v>1751</v>
      </c>
      <c r="AF749" s="25"/>
      <c r="AI749" s="58"/>
    </row>
    <row r="750" spans="1:35" ht="15.75" customHeight="1">
      <c r="A750" s="13" t="s">
        <v>1744</v>
      </c>
      <c r="B750" s="5">
        <v>80</v>
      </c>
      <c r="C750" s="7">
        <v>11566.4</v>
      </c>
      <c r="D750" s="7">
        <v>0</v>
      </c>
      <c r="E750" s="7">
        <v>0</v>
      </c>
      <c r="F750" s="5">
        <v>0</v>
      </c>
      <c r="G750" s="7">
        <v>0</v>
      </c>
      <c r="H750" s="5">
        <v>0</v>
      </c>
      <c r="I750" s="7">
        <v>0</v>
      </c>
      <c r="J750" s="7">
        <v>0</v>
      </c>
      <c r="K750" s="5">
        <v>0</v>
      </c>
      <c r="L750" s="5">
        <v>0</v>
      </c>
      <c r="M750" s="5">
        <v>0</v>
      </c>
      <c r="N750" s="7">
        <v>0</v>
      </c>
      <c r="O750" s="7">
        <v>0</v>
      </c>
      <c r="P750" s="7">
        <v>558</v>
      </c>
      <c r="Q750" s="5">
        <v>0</v>
      </c>
      <c r="R750" s="5">
        <v>558</v>
      </c>
      <c r="S750" s="7">
        <v>60031.8</v>
      </c>
      <c r="T750" s="12">
        <v>43238</v>
      </c>
      <c r="U750" s="4">
        <v>4</v>
      </c>
      <c r="V750" s="4">
        <v>9</v>
      </c>
      <c r="W750" s="4">
        <v>9</v>
      </c>
      <c r="X750" s="45">
        <v>71598.2</v>
      </c>
      <c r="Y750" s="14" t="s">
        <v>56</v>
      </c>
      <c r="Z750" s="14" t="s">
        <v>1492</v>
      </c>
      <c r="AA750" s="14" t="s">
        <v>3086</v>
      </c>
      <c r="AB750" s="44">
        <v>43244</v>
      </c>
      <c r="AC750" s="44" t="s">
        <v>3087</v>
      </c>
      <c r="AD750" s="29" t="s">
        <v>49</v>
      </c>
      <c r="AE750" s="24" t="s">
        <v>1752</v>
      </c>
      <c r="AF750" s="25"/>
      <c r="AI750" s="58"/>
    </row>
    <row r="751" spans="1:35" ht="15.75" customHeight="1">
      <c r="A751" s="13" t="s">
        <v>1757</v>
      </c>
      <c r="B751" s="5">
        <v>0</v>
      </c>
      <c r="C751" s="7">
        <v>0</v>
      </c>
      <c r="D751" s="7">
        <v>0</v>
      </c>
      <c r="E751" s="7">
        <v>0</v>
      </c>
      <c r="F751" s="5">
        <v>0</v>
      </c>
      <c r="G751" s="7">
        <v>0</v>
      </c>
      <c r="H751" s="5">
        <v>0</v>
      </c>
      <c r="I751" s="7">
        <v>0</v>
      </c>
      <c r="J751" s="7">
        <v>0</v>
      </c>
      <c r="K751" s="5">
        <v>0</v>
      </c>
      <c r="L751" s="5">
        <v>0</v>
      </c>
      <c r="M751" s="5">
        <v>0</v>
      </c>
      <c r="N751" s="7">
        <v>0</v>
      </c>
      <c r="O751" s="7">
        <v>0</v>
      </c>
      <c r="P751" s="7">
        <v>95</v>
      </c>
      <c r="Q751" s="5">
        <v>0</v>
      </c>
      <c r="R751" s="5">
        <v>95</v>
      </c>
      <c r="S751" s="7">
        <v>14103</v>
      </c>
      <c r="T751" s="12">
        <v>43239</v>
      </c>
      <c r="U751" s="4">
        <v>1</v>
      </c>
      <c r="V751" s="4">
        <v>9</v>
      </c>
      <c r="W751" s="4">
        <v>9</v>
      </c>
      <c r="X751" s="45">
        <v>14103</v>
      </c>
      <c r="Y751" s="14" t="s">
        <v>58</v>
      </c>
      <c r="Z751" s="14" t="s">
        <v>1281</v>
      </c>
      <c r="AA751" s="14" t="s">
        <v>3090</v>
      </c>
      <c r="AB751" s="44">
        <v>43244</v>
      </c>
      <c r="AC751" s="44" t="s">
        <v>3087</v>
      </c>
      <c r="AD751" s="29" t="s">
        <v>49</v>
      </c>
      <c r="AE751" s="24" t="s">
        <v>1764</v>
      </c>
      <c r="AF751" s="25"/>
      <c r="AI751" s="58"/>
    </row>
    <row r="752" spans="1:35" ht="16.5" customHeight="1">
      <c r="A752" s="13" t="s">
        <v>1758</v>
      </c>
      <c r="B752" s="5">
        <v>0</v>
      </c>
      <c r="C752" s="7">
        <v>0</v>
      </c>
      <c r="D752" s="7">
        <v>0</v>
      </c>
      <c r="E752" s="7">
        <v>0</v>
      </c>
      <c r="F752" s="5">
        <v>0</v>
      </c>
      <c r="G752" s="7">
        <v>0</v>
      </c>
      <c r="H752" s="5">
        <v>0</v>
      </c>
      <c r="I752" s="7">
        <v>0</v>
      </c>
      <c r="J752" s="7">
        <v>0</v>
      </c>
      <c r="K752" s="5">
        <v>0</v>
      </c>
      <c r="L752" s="5">
        <v>0</v>
      </c>
      <c r="M752" s="5">
        <v>0</v>
      </c>
      <c r="N752" s="7">
        <v>0</v>
      </c>
      <c r="O752" s="7">
        <v>0</v>
      </c>
      <c r="P752" s="7">
        <v>94</v>
      </c>
      <c r="Q752" s="5">
        <v>0</v>
      </c>
      <c r="R752" s="5">
        <v>94</v>
      </c>
      <c r="S752" s="7">
        <v>14831.8</v>
      </c>
      <c r="T752" s="12">
        <v>43239</v>
      </c>
      <c r="U752" s="4">
        <v>1</v>
      </c>
      <c r="V752" s="4">
        <v>9</v>
      </c>
      <c r="W752" s="4">
        <v>9</v>
      </c>
      <c r="X752" s="45">
        <v>14831.8</v>
      </c>
      <c r="Y752" s="14" t="s">
        <v>56</v>
      </c>
      <c r="Z752" s="14" t="s">
        <v>1281</v>
      </c>
      <c r="AA752" s="14" t="s">
        <v>3091</v>
      </c>
      <c r="AB752" s="44">
        <v>43243</v>
      </c>
      <c r="AC752" s="44" t="s">
        <v>3092</v>
      </c>
      <c r="AD752" s="29" t="s">
        <v>218</v>
      </c>
      <c r="AE752" s="24" t="s">
        <v>1765</v>
      </c>
      <c r="AF752" s="25"/>
      <c r="AI752" s="58"/>
    </row>
    <row r="753" spans="1:35" ht="16.5" customHeight="1">
      <c r="A753" s="13" t="s">
        <v>1759</v>
      </c>
      <c r="B753" s="5">
        <v>65</v>
      </c>
      <c r="C753" s="7">
        <v>13526.5</v>
      </c>
      <c r="D753" s="7">
        <v>0</v>
      </c>
      <c r="E753" s="7">
        <v>0</v>
      </c>
      <c r="F753" s="5">
        <v>0</v>
      </c>
      <c r="G753" s="7">
        <v>0</v>
      </c>
      <c r="H753" s="5">
        <v>652</v>
      </c>
      <c r="I753" s="7">
        <v>73197.98</v>
      </c>
      <c r="J753" s="7">
        <v>0</v>
      </c>
      <c r="K753" s="5">
        <v>0</v>
      </c>
      <c r="L753" s="5">
        <v>0</v>
      </c>
      <c r="M753" s="5">
        <v>0</v>
      </c>
      <c r="N753" s="7">
        <v>0</v>
      </c>
      <c r="O753" s="7">
        <v>0</v>
      </c>
      <c r="P753" s="7">
        <v>0</v>
      </c>
      <c r="Q753" s="5">
        <v>0</v>
      </c>
      <c r="R753" s="5">
        <v>0</v>
      </c>
      <c r="S753" s="7">
        <v>0</v>
      </c>
      <c r="T753" s="12">
        <v>43239</v>
      </c>
      <c r="U753" s="4">
        <v>6</v>
      </c>
      <c r="V753" s="4">
        <v>9</v>
      </c>
      <c r="W753" s="4">
        <v>9</v>
      </c>
      <c r="X753" s="45">
        <v>86724.479999999996</v>
      </c>
      <c r="Y753" s="14" t="s">
        <v>56</v>
      </c>
      <c r="Z753" s="14" t="s">
        <v>57</v>
      </c>
      <c r="AA753" s="14" t="s">
        <v>3086</v>
      </c>
      <c r="AB753" s="44">
        <v>43244</v>
      </c>
      <c r="AC753" s="44" t="s">
        <v>3087</v>
      </c>
      <c r="AD753" s="29" t="s">
        <v>49</v>
      </c>
      <c r="AE753" s="24" t="s">
        <v>1766</v>
      </c>
      <c r="AF753" s="25"/>
      <c r="AI753" s="58"/>
    </row>
    <row r="754" spans="1:35" ht="16.5" customHeight="1">
      <c r="A754" s="13" t="s">
        <v>1760</v>
      </c>
      <c r="B754" s="5">
        <v>218</v>
      </c>
      <c r="C754" s="7">
        <v>23236.300000000003</v>
      </c>
      <c r="D754" s="7">
        <v>0</v>
      </c>
      <c r="E754" s="7">
        <v>0</v>
      </c>
      <c r="F754" s="5">
        <v>0</v>
      </c>
      <c r="G754" s="7">
        <v>0</v>
      </c>
      <c r="H754" s="5">
        <v>0</v>
      </c>
      <c r="I754" s="7">
        <v>0</v>
      </c>
      <c r="J754" s="7">
        <v>0</v>
      </c>
      <c r="K754" s="5">
        <v>0</v>
      </c>
      <c r="L754" s="5">
        <v>0</v>
      </c>
      <c r="M754" s="5">
        <v>37</v>
      </c>
      <c r="N754" s="7">
        <v>37</v>
      </c>
      <c r="O754" s="7">
        <v>6372.6</v>
      </c>
      <c r="P754" s="7">
        <v>0</v>
      </c>
      <c r="Q754" s="5">
        <v>0</v>
      </c>
      <c r="R754" s="5">
        <v>0</v>
      </c>
      <c r="S754" s="7">
        <v>0</v>
      </c>
      <c r="T754" s="12">
        <v>43239</v>
      </c>
      <c r="U754" s="4">
        <v>3</v>
      </c>
      <c r="V754" s="4">
        <v>9</v>
      </c>
      <c r="W754" s="4">
        <v>9</v>
      </c>
      <c r="X754" s="45">
        <v>29608.9</v>
      </c>
      <c r="Y754" s="14" t="s">
        <v>58</v>
      </c>
      <c r="Z754" s="14" t="s">
        <v>57</v>
      </c>
      <c r="AA754" s="14" t="s">
        <v>3090</v>
      </c>
      <c r="AB754" s="44">
        <v>43244</v>
      </c>
      <c r="AC754" s="44" t="s">
        <v>3087</v>
      </c>
      <c r="AD754" s="29" t="s">
        <v>49</v>
      </c>
      <c r="AE754" s="24" t="s">
        <v>1767</v>
      </c>
      <c r="AF754" s="25"/>
      <c r="AI754" s="58"/>
    </row>
    <row r="755" spans="1:35" ht="16.5" customHeight="1">
      <c r="A755" s="13" t="s">
        <v>1753</v>
      </c>
      <c r="B755" s="5">
        <v>0</v>
      </c>
      <c r="C755" s="7">
        <v>0</v>
      </c>
      <c r="D755" s="7">
        <v>0</v>
      </c>
      <c r="E755" s="7">
        <v>0</v>
      </c>
      <c r="F755" s="5">
        <v>0</v>
      </c>
      <c r="G755" s="7">
        <v>0</v>
      </c>
      <c r="H755" s="5">
        <v>110</v>
      </c>
      <c r="I755" s="7">
        <v>13664.999999999996</v>
      </c>
      <c r="J755" s="7">
        <v>0</v>
      </c>
      <c r="K755" s="5">
        <v>0</v>
      </c>
      <c r="L755" s="5">
        <v>0</v>
      </c>
      <c r="M755" s="5">
        <v>82</v>
      </c>
      <c r="N755" s="7">
        <v>82</v>
      </c>
      <c r="O755" s="7">
        <v>9812.5000000000018</v>
      </c>
      <c r="P755" s="7">
        <v>0</v>
      </c>
      <c r="Q755" s="5">
        <v>0</v>
      </c>
      <c r="R755" s="5">
        <v>0</v>
      </c>
      <c r="S755" s="7">
        <v>0</v>
      </c>
      <c r="T755" s="12">
        <v>43239</v>
      </c>
      <c r="U755" s="4">
        <v>2</v>
      </c>
      <c r="V755" s="4">
        <v>9</v>
      </c>
      <c r="W755" s="4">
        <v>9</v>
      </c>
      <c r="X755" s="45">
        <v>23477.5</v>
      </c>
      <c r="Y755" s="14" t="s">
        <v>54</v>
      </c>
      <c r="Z755" s="14" t="s">
        <v>57</v>
      </c>
      <c r="AA755" s="14" t="s">
        <v>3077</v>
      </c>
      <c r="AB755" s="44">
        <v>43240</v>
      </c>
      <c r="AC755" s="44" t="s">
        <v>3078</v>
      </c>
      <c r="AD755" s="29" t="s">
        <v>52</v>
      </c>
      <c r="AE755" s="24" t="s">
        <v>1754</v>
      </c>
      <c r="AF755" s="25"/>
      <c r="AI755" s="58"/>
    </row>
    <row r="756" spans="1:35" ht="16.5" customHeight="1">
      <c r="A756" s="13" t="s">
        <v>1761</v>
      </c>
      <c r="B756" s="5">
        <v>228</v>
      </c>
      <c r="C756" s="7">
        <v>37840.800000000003</v>
      </c>
      <c r="D756" s="7">
        <v>0</v>
      </c>
      <c r="E756" s="7">
        <v>0</v>
      </c>
      <c r="F756" s="5">
        <v>0</v>
      </c>
      <c r="G756" s="7">
        <v>0</v>
      </c>
      <c r="H756" s="5">
        <v>0</v>
      </c>
      <c r="I756" s="7">
        <v>0</v>
      </c>
      <c r="J756" s="7">
        <v>0</v>
      </c>
      <c r="K756" s="5">
        <v>0</v>
      </c>
      <c r="L756" s="5">
        <v>0</v>
      </c>
      <c r="M756" s="5">
        <v>0</v>
      </c>
      <c r="N756" s="7">
        <v>0</v>
      </c>
      <c r="O756" s="7">
        <v>0</v>
      </c>
      <c r="P756" s="7">
        <v>486</v>
      </c>
      <c r="Q756" s="5">
        <v>0</v>
      </c>
      <c r="R756" s="5">
        <v>486</v>
      </c>
      <c r="S756" s="7">
        <v>46917.2</v>
      </c>
      <c r="T756" s="12">
        <v>43239</v>
      </c>
      <c r="U756" s="4">
        <v>5</v>
      </c>
      <c r="V756" s="4">
        <v>9</v>
      </c>
      <c r="W756" s="4">
        <v>9</v>
      </c>
      <c r="X756" s="45">
        <v>84758</v>
      </c>
      <c r="Y756" s="14" t="s">
        <v>54</v>
      </c>
      <c r="Z756" s="14" t="s">
        <v>1281</v>
      </c>
      <c r="AA756" s="14" t="s">
        <v>3093</v>
      </c>
      <c r="AB756" s="44">
        <v>43251</v>
      </c>
      <c r="AC756" s="44" t="s">
        <v>3094</v>
      </c>
      <c r="AD756" s="29" t="s">
        <v>52</v>
      </c>
      <c r="AE756" s="24" t="s">
        <v>1768</v>
      </c>
      <c r="AF756" s="25"/>
      <c r="AI756" s="58"/>
    </row>
    <row r="757" spans="1:35" ht="16.5" customHeight="1">
      <c r="A757" s="13" t="s">
        <v>1762</v>
      </c>
      <c r="B757" s="5">
        <v>191</v>
      </c>
      <c r="C757" s="7">
        <v>24556.5</v>
      </c>
      <c r="D757" s="7">
        <v>0</v>
      </c>
      <c r="E757" s="7">
        <v>0</v>
      </c>
      <c r="F757" s="5">
        <v>0</v>
      </c>
      <c r="G757" s="7">
        <v>0</v>
      </c>
      <c r="H757" s="5">
        <v>95</v>
      </c>
      <c r="I757" s="7">
        <v>12156.2</v>
      </c>
      <c r="J757" s="7">
        <v>0</v>
      </c>
      <c r="K757" s="5">
        <v>0</v>
      </c>
      <c r="L757" s="5">
        <v>0</v>
      </c>
      <c r="M757" s="5">
        <v>192</v>
      </c>
      <c r="N757" s="7">
        <v>192</v>
      </c>
      <c r="O757" s="7">
        <v>33197.599999999999</v>
      </c>
      <c r="P757" s="7">
        <v>156</v>
      </c>
      <c r="Q757" s="5">
        <v>0</v>
      </c>
      <c r="R757" s="5">
        <v>156</v>
      </c>
      <c r="S757" s="7">
        <v>33850.400000000001</v>
      </c>
      <c r="T757" s="12">
        <v>43239</v>
      </c>
      <c r="U757" s="4">
        <v>9</v>
      </c>
      <c r="V757" s="4">
        <v>9</v>
      </c>
      <c r="W757" s="4">
        <v>9</v>
      </c>
      <c r="X757" s="45">
        <v>103760.69999999998</v>
      </c>
      <c r="Y757" s="14" t="s">
        <v>56</v>
      </c>
      <c r="Z757" s="14" t="s">
        <v>1355</v>
      </c>
      <c r="AA757" s="14" t="s">
        <v>3083</v>
      </c>
      <c r="AB757" s="44">
        <v>43243</v>
      </c>
      <c r="AC757" s="44" t="s">
        <v>3084</v>
      </c>
      <c r="AD757" s="29" t="s">
        <v>51</v>
      </c>
      <c r="AE757" s="24" t="s">
        <v>1769</v>
      </c>
      <c r="AF757" s="25"/>
      <c r="AI757" s="58"/>
    </row>
    <row r="758" spans="1:35" ht="16.5" customHeight="1">
      <c r="A758" s="13" t="s">
        <v>1771</v>
      </c>
      <c r="B758" s="5">
        <v>0</v>
      </c>
      <c r="C758" s="7">
        <v>0</v>
      </c>
      <c r="D758" s="7">
        <v>0</v>
      </c>
      <c r="E758" s="7">
        <v>0</v>
      </c>
      <c r="F758" s="5">
        <v>0</v>
      </c>
      <c r="G758" s="7">
        <v>0</v>
      </c>
      <c r="H758" s="5">
        <v>529</v>
      </c>
      <c r="I758" s="7">
        <v>65405.53</v>
      </c>
      <c r="J758" s="7">
        <v>0</v>
      </c>
      <c r="K758" s="5">
        <v>0</v>
      </c>
      <c r="L758" s="5">
        <v>0</v>
      </c>
      <c r="M758" s="5">
        <v>0</v>
      </c>
      <c r="N758" s="7">
        <v>0</v>
      </c>
      <c r="O758" s="7">
        <v>0</v>
      </c>
      <c r="P758" s="7">
        <v>553</v>
      </c>
      <c r="Q758" s="5">
        <v>0</v>
      </c>
      <c r="R758" s="5">
        <v>553</v>
      </c>
      <c r="S758" s="7">
        <v>36221.5</v>
      </c>
      <c r="T758" s="12">
        <v>43241</v>
      </c>
      <c r="U758" s="4">
        <v>6</v>
      </c>
      <c r="V758" s="4">
        <v>9</v>
      </c>
      <c r="W758" s="4">
        <v>9</v>
      </c>
      <c r="X758" s="45">
        <v>101627.03</v>
      </c>
      <c r="Y758" s="14" t="s">
        <v>56</v>
      </c>
      <c r="Z758" s="14" t="s">
        <v>1355</v>
      </c>
      <c r="AA758" s="14" t="s">
        <v>3095</v>
      </c>
      <c r="AB758" s="44">
        <v>43250</v>
      </c>
      <c r="AC758" s="44" t="s">
        <v>3096</v>
      </c>
      <c r="AD758" s="29" t="s">
        <v>49</v>
      </c>
      <c r="AE758" s="24" t="s">
        <v>1774</v>
      </c>
      <c r="AF758" s="25"/>
      <c r="AI758" s="58"/>
    </row>
    <row r="759" spans="1:35" ht="16.5" customHeight="1">
      <c r="A759" s="13" t="s">
        <v>1772</v>
      </c>
      <c r="B759" s="5">
        <v>466</v>
      </c>
      <c r="C759" s="7">
        <v>54766.349999999991</v>
      </c>
      <c r="D759" s="7">
        <v>0</v>
      </c>
      <c r="E759" s="7">
        <v>0</v>
      </c>
      <c r="F759" s="5">
        <v>0</v>
      </c>
      <c r="G759" s="7">
        <v>0</v>
      </c>
      <c r="H759" s="5">
        <v>300</v>
      </c>
      <c r="I759" s="7">
        <v>21118.350000000002</v>
      </c>
      <c r="J759" s="7">
        <v>0</v>
      </c>
      <c r="K759" s="5">
        <v>0</v>
      </c>
      <c r="L759" s="5">
        <v>0</v>
      </c>
      <c r="M759" s="5">
        <v>94</v>
      </c>
      <c r="N759" s="7">
        <v>94</v>
      </c>
      <c r="O759" s="7">
        <v>10370</v>
      </c>
      <c r="P759" s="7">
        <v>321</v>
      </c>
      <c r="Q759" s="5">
        <v>0</v>
      </c>
      <c r="R759" s="5">
        <v>321</v>
      </c>
      <c r="S759" s="7">
        <v>57657.85</v>
      </c>
      <c r="T759" s="12">
        <v>43241</v>
      </c>
      <c r="U759" s="4">
        <v>10</v>
      </c>
      <c r="V759" s="4">
        <v>9</v>
      </c>
      <c r="W759" s="4">
        <v>9</v>
      </c>
      <c r="X759" s="45">
        <v>143912.54999999999</v>
      </c>
      <c r="Y759" s="14" t="s">
        <v>56</v>
      </c>
      <c r="Z759" s="14" t="s">
        <v>59</v>
      </c>
      <c r="AA759" s="14" t="s">
        <v>3083</v>
      </c>
      <c r="AB759" s="44">
        <v>43243</v>
      </c>
      <c r="AC759" s="44" t="s">
        <v>3084</v>
      </c>
      <c r="AD759" s="29" t="s">
        <v>51</v>
      </c>
      <c r="AE759" s="24" t="s">
        <v>1775</v>
      </c>
      <c r="AF759" s="25"/>
      <c r="AI759" s="58"/>
    </row>
    <row r="760" spans="1:35" ht="16.5" customHeight="1">
      <c r="A760" s="13" t="s">
        <v>1773</v>
      </c>
      <c r="B760" s="5">
        <v>0</v>
      </c>
      <c r="C760" s="7">
        <v>0</v>
      </c>
      <c r="D760" s="7">
        <v>0</v>
      </c>
      <c r="E760" s="7">
        <v>0</v>
      </c>
      <c r="F760" s="5">
        <v>0</v>
      </c>
      <c r="G760" s="7">
        <v>0</v>
      </c>
      <c r="H760" s="5">
        <v>115</v>
      </c>
      <c r="I760" s="7">
        <v>12992.7</v>
      </c>
      <c r="J760" s="7">
        <v>0</v>
      </c>
      <c r="K760" s="5">
        <v>0</v>
      </c>
      <c r="L760" s="5">
        <v>0</v>
      </c>
      <c r="M760" s="5">
        <v>407</v>
      </c>
      <c r="N760" s="7">
        <v>407</v>
      </c>
      <c r="O760" s="7">
        <v>64587.100000000006</v>
      </c>
      <c r="P760" s="7">
        <v>764</v>
      </c>
      <c r="Q760" s="5">
        <v>0</v>
      </c>
      <c r="R760" s="5">
        <v>764</v>
      </c>
      <c r="S760" s="7">
        <v>107987.7</v>
      </c>
      <c r="T760" s="12">
        <v>43241</v>
      </c>
      <c r="U760" s="4">
        <v>14</v>
      </c>
      <c r="V760" s="4">
        <v>9</v>
      </c>
      <c r="W760" s="4">
        <v>9</v>
      </c>
      <c r="X760" s="45">
        <v>185567.5</v>
      </c>
      <c r="Y760" s="14" t="s">
        <v>56</v>
      </c>
      <c r="Z760" s="14" t="s">
        <v>55</v>
      </c>
      <c r="AA760" s="14" t="s">
        <v>3097</v>
      </c>
      <c r="AB760" s="44">
        <v>43250</v>
      </c>
      <c r="AC760" s="44" t="s">
        <v>3098</v>
      </c>
      <c r="AD760" s="29" t="s">
        <v>51</v>
      </c>
      <c r="AE760" s="24" t="s">
        <v>1776</v>
      </c>
      <c r="AF760" s="25"/>
      <c r="AI760" s="58"/>
    </row>
    <row r="761" spans="1:35" ht="16.5" customHeight="1">
      <c r="A761" s="13" t="s">
        <v>1763</v>
      </c>
      <c r="B761" s="5">
        <v>806</v>
      </c>
      <c r="C761" s="7">
        <v>84867.05</v>
      </c>
      <c r="D761" s="7">
        <v>0</v>
      </c>
      <c r="E761" s="7">
        <v>0</v>
      </c>
      <c r="F761" s="5">
        <v>0</v>
      </c>
      <c r="G761" s="7">
        <v>0</v>
      </c>
      <c r="H761" s="5">
        <v>0</v>
      </c>
      <c r="I761" s="7">
        <v>0</v>
      </c>
      <c r="J761" s="7">
        <v>0</v>
      </c>
      <c r="K761" s="5">
        <v>0</v>
      </c>
      <c r="L761" s="5">
        <v>0</v>
      </c>
      <c r="M761" s="5">
        <v>0</v>
      </c>
      <c r="N761" s="7">
        <v>0</v>
      </c>
      <c r="O761" s="7">
        <v>0</v>
      </c>
      <c r="P761" s="7">
        <v>165</v>
      </c>
      <c r="Q761" s="5">
        <v>0</v>
      </c>
      <c r="R761" s="5">
        <v>165</v>
      </c>
      <c r="S761" s="7">
        <v>36535</v>
      </c>
      <c r="T761" s="12">
        <v>43241</v>
      </c>
      <c r="U761" s="4">
        <v>9</v>
      </c>
      <c r="V761" s="4">
        <v>9</v>
      </c>
      <c r="W761" s="4">
        <v>9</v>
      </c>
      <c r="X761" s="45">
        <v>121402.05</v>
      </c>
      <c r="Y761" s="14" t="s">
        <v>54</v>
      </c>
      <c r="Z761" s="14" t="s">
        <v>59</v>
      </c>
      <c r="AA761" s="14" t="s">
        <v>3075</v>
      </c>
      <c r="AB761" s="44">
        <v>43245</v>
      </c>
      <c r="AC761" s="44" t="s">
        <v>3076</v>
      </c>
      <c r="AD761" s="29" t="s">
        <v>50</v>
      </c>
      <c r="AE761" s="24" t="s">
        <v>1777</v>
      </c>
      <c r="AF761" s="25"/>
      <c r="AI761" s="58"/>
    </row>
    <row r="762" spans="1:35" ht="16.5" customHeight="1">
      <c r="A762" s="13" t="s">
        <v>1778</v>
      </c>
      <c r="B762" s="5">
        <v>620</v>
      </c>
      <c r="C762" s="7">
        <v>37232.100000000006</v>
      </c>
      <c r="D762" s="7">
        <v>41</v>
      </c>
      <c r="E762" s="7">
        <v>0</v>
      </c>
      <c r="F762" s="5">
        <v>41</v>
      </c>
      <c r="G762" s="7">
        <v>1816.3</v>
      </c>
      <c r="H762" s="5">
        <v>866</v>
      </c>
      <c r="I762" s="7">
        <v>100063.65</v>
      </c>
      <c r="J762" s="7">
        <v>0</v>
      </c>
      <c r="K762" s="5">
        <v>0</v>
      </c>
      <c r="L762" s="5">
        <v>0</v>
      </c>
      <c r="M762" s="5">
        <v>0</v>
      </c>
      <c r="N762" s="7">
        <v>0</v>
      </c>
      <c r="O762" s="7">
        <v>0</v>
      </c>
      <c r="P762" s="7">
        <v>0</v>
      </c>
      <c r="Q762" s="5">
        <v>0</v>
      </c>
      <c r="R762" s="5">
        <v>0</v>
      </c>
      <c r="S762" s="7">
        <v>0</v>
      </c>
      <c r="T762" s="12">
        <v>43242</v>
      </c>
      <c r="U762" s="4">
        <v>10</v>
      </c>
      <c r="V762" s="4">
        <v>9</v>
      </c>
      <c r="W762" s="4">
        <v>9</v>
      </c>
      <c r="X762" s="45">
        <v>139112.04999999999</v>
      </c>
      <c r="Y762" s="14" t="s">
        <v>54</v>
      </c>
      <c r="Z762" s="14" t="s">
        <v>1355</v>
      </c>
      <c r="AA762" s="14" t="s">
        <v>3085</v>
      </c>
      <c r="AB762" s="44">
        <v>43245</v>
      </c>
      <c r="AC762" s="44" t="s">
        <v>3076</v>
      </c>
      <c r="AD762" s="29" t="s">
        <v>49</v>
      </c>
      <c r="AE762" s="24" t="s">
        <v>1785</v>
      </c>
      <c r="AF762" s="25"/>
      <c r="AI762" s="58"/>
    </row>
    <row r="763" spans="1:35" ht="15.75" customHeight="1">
      <c r="A763" s="13" t="s">
        <v>1779</v>
      </c>
      <c r="B763" s="5">
        <v>0</v>
      </c>
      <c r="C763" s="7">
        <v>0</v>
      </c>
      <c r="D763" s="7">
        <v>0</v>
      </c>
      <c r="E763" s="7">
        <v>0</v>
      </c>
      <c r="F763" s="5">
        <v>0</v>
      </c>
      <c r="G763" s="7">
        <v>0</v>
      </c>
      <c r="H763" s="5">
        <v>0</v>
      </c>
      <c r="I763" s="7">
        <v>0</v>
      </c>
      <c r="J763" s="7">
        <v>0</v>
      </c>
      <c r="K763" s="5">
        <v>0</v>
      </c>
      <c r="L763" s="5">
        <v>0</v>
      </c>
      <c r="M763" s="5">
        <v>53</v>
      </c>
      <c r="N763" s="7">
        <v>53</v>
      </c>
      <c r="O763" s="7">
        <v>8168.7</v>
      </c>
      <c r="P763" s="7">
        <v>80</v>
      </c>
      <c r="Q763" s="5">
        <v>0</v>
      </c>
      <c r="R763" s="5">
        <v>80</v>
      </c>
      <c r="S763" s="7">
        <v>14720</v>
      </c>
      <c r="T763" s="12">
        <v>43242</v>
      </c>
      <c r="U763" s="4">
        <v>2</v>
      </c>
      <c r="V763" s="4">
        <v>9</v>
      </c>
      <c r="W763" s="4">
        <v>9</v>
      </c>
      <c r="X763" s="45">
        <v>22888.7</v>
      </c>
      <c r="Y763" s="14" t="s">
        <v>85</v>
      </c>
      <c r="Z763" s="14" t="s">
        <v>1492</v>
      </c>
      <c r="AA763" s="14">
        <v>350810048168</v>
      </c>
      <c r="AB763" s="44">
        <v>43247</v>
      </c>
      <c r="AC763" s="44" t="s">
        <v>3088</v>
      </c>
      <c r="AD763" s="29" t="s">
        <v>49</v>
      </c>
      <c r="AE763" s="24" t="s">
        <v>1786</v>
      </c>
      <c r="AF763" s="25"/>
      <c r="AI763" s="58"/>
    </row>
    <row r="764" spans="1:35" ht="15.75" customHeight="1">
      <c r="A764" s="13" t="s">
        <v>1780</v>
      </c>
      <c r="B764" s="5">
        <v>161</v>
      </c>
      <c r="C764" s="7">
        <v>13008.989999999998</v>
      </c>
      <c r="D764" s="7">
        <v>0</v>
      </c>
      <c r="E764" s="7">
        <v>0</v>
      </c>
      <c r="F764" s="5">
        <v>0</v>
      </c>
      <c r="G764" s="7">
        <v>0</v>
      </c>
      <c r="H764" s="5">
        <v>0</v>
      </c>
      <c r="I764" s="7">
        <v>0</v>
      </c>
      <c r="J764" s="7">
        <v>0</v>
      </c>
      <c r="K764" s="5">
        <v>0</v>
      </c>
      <c r="L764" s="5">
        <v>0</v>
      </c>
      <c r="M764" s="5">
        <v>124</v>
      </c>
      <c r="N764" s="7">
        <v>124</v>
      </c>
      <c r="O764" s="7">
        <v>19133.8</v>
      </c>
      <c r="P764" s="7">
        <v>0</v>
      </c>
      <c r="Q764" s="5">
        <v>0</v>
      </c>
      <c r="R764" s="5">
        <v>0</v>
      </c>
      <c r="S764" s="7">
        <v>0</v>
      </c>
      <c r="T764" s="12">
        <v>43242</v>
      </c>
      <c r="U764" s="4">
        <v>3</v>
      </c>
      <c r="V764" s="4">
        <v>9</v>
      </c>
      <c r="W764" s="4">
        <v>9</v>
      </c>
      <c r="X764" s="45">
        <v>32142.789999999997</v>
      </c>
      <c r="Y764" s="14" t="s">
        <v>56</v>
      </c>
      <c r="Z764" s="14" t="s">
        <v>1355</v>
      </c>
      <c r="AA764" s="14" t="s">
        <v>3099</v>
      </c>
      <c r="AB764" s="44">
        <v>43250</v>
      </c>
      <c r="AC764" s="44" t="s">
        <v>3100</v>
      </c>
      <c r="AD764" s="29" t="s">
        <v>52</v>
      </c>
      <c r="AE764" s="24" t="s">
        <v>1787</v>
      </c>
      <c r="AF764" s="25"/>
      <c r="AI764" s="58"/>
    </row>
    <row r="765" spans="1:35" ht="15.75" customHeight="1">
      <c r="A765" s="13" t="s">
        <v>1781</v>
      </c>
      <c r="B765" s="5">
        <v>654</v>
      </c>
      <c r="C765" s="7">
        <v>67206.45</v>
      </c>
      <c r="D765" s="7">
        <v>0</v>
      </c>
      <c r="E765" s="7">
        <v>0</v>
      </c>
      <c r="F765" s="5">
        <v>0</v>
      </c>
      <c r="G765" s="7">
        <v>0</v>
      </c>
      <c r="H765" s="5">
        <v>674</v>
      </c>
      <c r="I765" s="7">
        <v>76769.930000000037</v>
      </c>
      <c r="J765" s="7">
        <v>0</v>
      </c>
      <c r="K765" s="5">
        <v>0</v>
      </c>
      <c r="L765" s="5">
        <v>0</v>
      </c>
      <c r="M765" s="5">
        <v>0</v>
      </c>
      <c r="N765" s="7">
        <v>0</v>
      </c>
      <c r="O765" s="7">
        <v>0</v>
      </c>
      <c r="P765" s="7">
        <v>0</v>
      </c>
      <c r="Q765" s="5">
        <v>0</v>
      </c>
      <c r="R765" s="5">
        <v>0</v>
      </c>
      <c r="S765" s="7">
        <v>0</v>
      </c>
      <c r="T765" s="12">
        <v>43242</v>
      </c>
      <c r="U765" s="4">
        <v>11</v>
      </c>
      <c r="V765" s="4">
        <v>9</v>
      </c>
      <c r="W765" s="4">
        <v>9</v>
      </c>
      <c r="X765" s="45">
        <v>143976.38000000003</v>
      </c>
      <c r="Y765" s="14" t="s">
        <v>56</v>
      </c>
      <c r="Z765" s="14" t="s">
        <v>55</v>
      </c>
      <c r="AA765" s="14" t="s">
        <v>3101</v>
      </c>
      <c r="AB765" s="44">
        <v>43244</v>
      </c>
      <c r="AC765" s="44" t="s">
        <v>3087</v>
      </c>
      <c r="AD765" s="29" t="s">
        <v>51</v>
      </c>
      <c r="AE765" s="24" t="s">
        <v>1788</v>
      </c>
      <c r="AF765" s="25"/>
      <c r="AI765" s="58"/>
    </row>
    <row r="766" spans="1:35" ht="15.75" customHeight="1">
      <c r="A766" s="13" t="s">
        <v>1782</v>
      </c>
      <c r="B766" s="5">
        <v>429</v>
      </c>
      <c r="C766" s="7">
        <v>45987.25</v>
      </c>
      <c r="D766" s="7">
        <v>0</v>
      </c>
      <c r="E766" s="7">
        <v>0</v>
      </c>
      <c r="F766" s="5">
        <v>0</v>
      </c>
      <c r="G766" s="7">
        <v>0</v>
      </c>
      <c r="H766" s="5">
        <v>0</v>
      </c>
      <c r="I766" s="7">
        <v>0</v>
      </c>
      <c r="J766" s="7">
        <v>0</v>
      </c>
      <c r="K766" s="5">
        <v>0</v>
      </c>
      <c r="L766" s="5">
        <v>0</v>
      </c>
      <c r="M766" s="5">
        <v>42</v>
      </c>
      <c r="N766" s="7">
        <v>42</v>
      </c>
      <c r="O766" s="7">
        <v>8927.4</v>
      </c>
      <c r="P766" s="7">
        <v>0</v>
      </c>
      <c r="Q766" s="5">
        <v>0</v>
      </c>
      <c r="R766" s="5">
        <v>0</v>
      </c>
      <c r="S766" s="7">
        <v>0</v>
      </c>
      <c r="T766" s="12">
        <v>43242</v>
      </c>
      <c r="U766" s="4">
        <v>5</v>
      </c>
      <c r="V766" s="4">
        <v>9</v>
      </c>
      <c r="W766" s="4">
        <v>9</v>
      </c>
      <c r="X766" s="45">
        <v>54914.65</v>
      </c>
      <c r="Y766" s="14" t="s">
        <v>54</v>
      </c>
      <c r="Z766" s="14" t="s">
        <v>1281</v>
      </c>
      <c r="AA766" s="14" t="s">
        <v>3102</v>
      </c>
      <c r="AB766" s="44">
        <v>43248</v>
      </c>
      <c r="AC766" s="44" t="s">
        <v>3103</v>
      </c>
      <c r="AD766" s="29" t="s">
        <v>50</v>
      </c>
      <c r="AE766" s="24" t="s">
        <v>1789</v>
      </c>
      <c r="AF766" s="25"/>
      <c r="AI766" s="58"/>
    </row>
    <row r="767" spans="1:35" ht="15.75" customHeight="1">
      <c r="A767" s="13" t="s">
        <v>1783</v>
      </c>
      <c r="B767" s="5">
        <v>141</v>
      </c>
      <c r="C767" s="7">
        <v>13436.4</v>
      </c>
      <c r="D767" s="7">
        <v>0</v>
      </c>
      <c r="E767" s="7">
        <v>0</v>
      </c>
      <c r="F767" s="5">
        <v>0</v>
      </c>
      <c r="G767" s="7">
        <v>0</v>
      </c>
      <c r="H767" s="5">
        <v>0</v>
      </c>
      <c r="I767" s="7">
        <v>0</v>
      </c>
      <c r="J767" s="7">
        <v>0</v>
      </c>
      <c r="K767" s="5">
        <v>0</v>
      </c>
      <c r="L767" s="5">
        <v>0</v>
      </c>
      <c r="M767" s="5">
        <v>95</v>
      </c>
      <c r="N767" s="7">
        <v>95</v>
      </c>
      <c r="O767" s="7">
        <v>17318.899999999998</v>
      </c>
      <c r="P767" s="7">
        <v>353</v>
      </c>
      <c r="Q767" s="5">
        <v>0</v>
      </c>
      <c r="R767" s="5">
        <v>353</v>
      </c>
      <c r="S767" s="7">
        <v>73399.100000000006</v>
      </c>
      <c r="T767" s="12">
        <v>43242</v>
      </c>
      <c r="U767" s="4">
        <v>7</v>
      </c>
      <c r="V767" s="4">
        <v>9</v>
      </c>
      <c r="W767" s="4">
        <v>9</v>
      </c>
      <c r="X767" s="45">
        <v>104154.4</v>
      </c>
      <c r="Y767" s="14" t="s">
        <v>54</v>
      </c>
      <c r="Z767" s="14" t="s">
        <v>59</v>
      </c>
      <c r="AA767" s="14" t="s">
        <v>3104</v>
      </c>
      <c r="AB767" s="44">
        <v>43251</v>
      </c>
      <c r="AC767" s="44" t="s">
        <v>3105</v>
      </c>
      <c r="AD767" s="29" t="s">
        <v>50</v>
      </c>
      <c r="AE767" s="24" t="s">
        <v>1790</v>
      </c>
      <c r="AF767" s="25"/>
      <c r="AI767" s="58"/>
    </row>
    <row r="768" spans="1:35" ht="15.75" customHeight="1">
      <c r="A768" s="13" t="s">
        <v>1784</v>
      </c>
      <c r="B768" s="5">
        <v>160</v>
      </c>
      <c r="C768" s="7">
        <v>14787.900000000001</v>
      </c>
      <c r="D768" s="7">
        <v>0</v>
      </c>
      <c r="E768" s="7">
        <v>0</v>
      </c>
      <c r="F768" s="5">
        <v>0</v>
      </c>
      <c r="G768" s="7">
        <v>0</v>
      </c>
      <c r="H768" s="5">
        <v>115</v>
      </c>
      <c r="I768" s="7">
        <v>14075.6</v>
      </c>
      <c r="J768" s="7">
        <v>0</v>
      </c>
      <c r="K768" s="5">
        <v>0</v>
      </c>
      <c r="L768" s="5">
        <v>0</v>
      </c>
      <c r="M768" s="5">
        <v>32</v>
      </c>
      <c r="N768" s="7">
        <v>32</v>
      </c>
      <c r="O768" s="7">
        <v>5019.7000000000007</v>
      </c>
      <c r="P768" s="7">
        <v>86</v>
      </c>
      <c r="Q768" s="5">
        <v>0</v>
      </c>
      <c r="R768" s="5">
        <v>86</v>
      </c>
      <c r="S768" s="7">
        <v>15709.2</v>
      </c>
      <c r="T768" s="12">
        <v>43242</v>
      </c>
      <c r="U768" s="4">
        <v>4</v>
      </c>
      <c r="V768" s="4">
        <v>9</v>
      </c>
      <c r="W768" s="4">
        <v>9</v>
      </c>
      <c r="X768" s="45">
        <v>49592.399999999994</v>
      </c>
      <c r="Y768" s="14" t="s">
        <v>56</v>
      </c>
      <c r="Z768" s="14" t="s">
        <v>1492</v>
      </c>
      <c r="AA768" s="14" t="s">
        <v>3086</v>
      </c>
      <c r="AB768" s="44">
        <v>43244</v>
      </c>
      <c r="AC768" s="44" t="s">
        <v>3087</v>
      </c>
      <c r="AD768" s="29" t="s">
        <v>49</v>
      </c>
      <c r="AE768" s="24" t="s">
        <v>1791</v>
      </c>
      <c r="AF768" s="25"/>
      <c r="AI768" s="58"/>
    </row>
    <row r="769" spans="1:35" ht="15.75" customHeight="1">
      <c r="A769" s="13" t="s">
        <v>1770</v>
      </c>
      <c r="B769" s="5">
        <v>171</v>
      </c>
      <c r="C769" s="7">
        <v>21256.799999999999</v>
      </c>
      <c r="D769" s="7">
        <v>0</v>
      </c>
      <c r="E769" s="7">
        <v>0</v>
      </c>
      <c r="F769" s="5">
        <v>0</v>
      </c>
      <c r="G769" s="7">
        <v>0</v>
      </c>
      <c r="H769" s="5">
        <v>125</v>
      </c>
      <c r="I769" s="7">
        <v>14980.549999999997</v>
      </c>
      <c r="J769" s="7">
        <v>0</v>
      </c>
      <c r="K769" s="5">
        <v>0</v>
      </c>
      <c r="L769" s="5">
        <v>0</v>
      </c>
      <c r="M769" s="5">
        <v>57</v>
      </c>
      <c r="N769" s="7">
        <v>57</v>
      </c>
      <c r="O769" s="7">
        <v>9124.8000000000029</v>
      </c>
      <c r="P769" s="7">
        <v>89</v>
      </c>
      <c r="Q769" s="5">
        <v>0</v>
      </c>
      <c r="R769" s="5">
        <v>89</v>
      </c>
      <c r="S769" s="7">
        <v>15643.1</v>
      </c>
      <c r="T769" s="12">
        <v>43243</v>
      </c>
      <c r="U769" s="4">
        <v>5</v>
      </c>
      <c r="V769" s="4">
        <v>9</v>
      </c>
      <c r="W769" s="4">
        <v>9</v>
      </c>
      <c r="X769" s="45">
        <v>61005.25</v>
      </c>
      <c r="Y769" s="14" t="s">
        <v>1633</v>
      </c>
      <c r="Z769" s="14" t="s">
        <v>1492</v>
      </c>
      <c r="AA769" s="14" t="s">
        <v>3106</v>
      </c>
      <c r="AB769" s="44">
        <v>43245</v>
      </c>
      <c r="AC769" s="44" t="s">
        <v>3107</v>
      </c>
      <c r="AD769" s="29" t="s">
        <v>70</v>
      </c>
      <c r="AE769" s="24" t="s">
        <v>1798</v>
      </c>
      <c r="AF769" s="25"/>
      <c r="AI769" s="58"/>
    </row>
    <row r="770" spans="1:35" ht="15.75" customHeight="1">
      <c r="A770" s="13" t="s">
        <v>1793</v>
      </c>
      <c r="B770" s="5">
        <v>376</v>
      </c>
      <c r="C770" s="7">
        <v>47655.920000000006</v>
      </c>
      <c r="D770" s="7">
        <v>0</v>
      </c>
      <c r="E770" s="7">
        <v>0</v>
      </c>
      <c r="F770" s="5">
        <v>0</v>
      </c>
      <c r="G770" s="7">
        <v>0</v>
      </c>
      <c r="H770" s="5">
        <v>172</v>
      </c>
      <c r="I770" s="7">
        <v>16505.78</v>
      </c>
      <c r="J770" s="7">
        <v>0</v>
      </c>
      <c r="K770" s="5">
        <v>0</v>
      </c>
      <c r="L770" s="5">
        <v>0</v>
      </c>
      <c r="M770" s="5">
        <v>68</v>
      </c>
      <c r="N770" s="7">
        <v>68</v>
      </c>
      <c r="O770" s="7">
        <v>10230.9</v>
      </c>
      <c r="P770" s="7">
        <v>0</v>
      </c>
      <c r="Q770" s="5">
        <v>0</v>
      </c>
      <c r="R770" s="5">
        <v>0</v>
      </c>
      <c r="S770" s="7">
        <v>0</v>
      </c>
      <c r="T770" s="12">
        <v>43243</v>
      </c>
      <c r="U770" s="4">
        <v>6</v>
      </c>
      <c r="V770" s="4">
        <v>9</v>
      </c>
      <c r="W770" s="4">
        <v>9</v>
      </c>
      <c r="X770" s="45">
        <v>74392.600000000006</v>
      </c>
      <c r="Y770" s="14" t="s">
        <v>54</v>
      </c>
      <c r="Z770" s="14" t="s">
        <v>1281</v>
      </c>
      <c r="AA770" s="14" t="s">
        <v>3093</v>
      </c>
      <c r="AB770" s="44">
        <v>43251</v>
      </c>
      <c r="AC770" s="44" t="s">
        <v>3094</v>
      </c>
      <c r="AD770" s="29" t="s">
        <v>52</v>
      </c>
      <c r="AE770" s="24" t="s">
        <v>1799</v>
      </c>
      <c r="AF770" s="25"/>
      <c r="AI770" s="58"/>
    </row>
    <row r="771" spans="1:35" ht="15.75" customHeight="1">
      <c r="A771" s="13" t="s">
        <v>1794</v>
      </c>
      <c r="B771" s="5">
        <v>1153</v>
      </c>
      <c r="C771" s="7">
        <v>102358.95000000001</v>
      </c>
      <c r="D771" s="7">
        <v>0</v>
      </c>
      <c r="E771" s="7">
        <v>0</v>
      </c>
      <c r="F771" s="5">
        <v>0</v>
      </c>
      <c r="G771" s="7">
        <v>0</v>
      </c>
      <c r="H771" s="5">
        <v>905</v>
      </c>
      <c r="I771" s="7">
        <v>102979.74999999999</v>
      </c>
      <c r="J771" s="7">
        <v>0</v>
      </c>
      <c r="K771" s="5">
        <v>0</v>
      </c>
      <c r="L771" s="5">
        <v>0</v>
      </c>
      <c r="M771" s="5">
        <v>177</v>
      </c>
      <c r="N771" s="7">
        <v>177</v>
      </c>
      <c r="O771" s="7">
        <v>32529.199999999997</v>
      </c>
      <c r="P771" s="7">
        <v>0</v>
      </c>
      <c r="Q771" s="5">
        <v>0</v>
      </c>
      <c r="R771" s="5">
        <v>0</v>
      </c>
      <c r="S771" s="7">
        <v>0</v>
      </c>
      <c r="T771" s="12">
        <v>43243</v>
      </c>
      <c r="U771" s="4">
        <v>16</v>
      </c>
      <c r="V771" s="4">
        <v>9</v>
      </c>
      <c r="W771" s="4">
        <v>9</v>
      </c>
      <c r="X771" s="45">
        <v>237867.90000000002</v>
      </c>
      <c r="Y771" s="14" t="s">
        <v>54</v>
      </c>
      <c r="Z771" s="14" t="s">
        <v>55</v>
      </c>
      <c r="AA771" s="14" t="s">
        <v>3108</v>
      </c>
      <c r="AB771" s="44">
        <v>43251</v>
      </c>
      <c r="AC771" s="44" t="s">
        <v>3094</v>
      </c>
      <c r="AD771" s="29" t="s">
        <v>51</v>
      </c>
      <c r="AE771" s="24" t="s">
        <v>1800</v>
      </c>
      <c r="AF771" s="25"/>
      <c r="AI771" s="58"/>
    </row>
    <row r="772" spans="1:35" ht="15.75" customHeight="1">
      <c r="A772" s="13" t="s">
        <v>1795</v>
      </c>
      <c r="B772" s="5">
        <v>0</v>
      </c>
      <c r="C772" s="7">
        <v>0</v>
      </c>
      <c r="D772" s="7">
        <v>0</v>
      </c>
      <c r="E772" s="7">
        <v>0</v>
      </c>
      <c r="F772" s="5">
        <v>0</v>
      </c>
      <c r="G772" s="7">
        <v>0</v>
      </c>
      <c r="H772" s="5">
        <v>105</v>
      </c>
      <c r="I772" s="7">
        <v>12485.099999999999</v>
      </c>
      <c r="J772" s="7">
        <v>0</v>
      </c>
      <c r="K772" s="5">
        <v>0</v>
      </c>
      <c r="L772" s="5">
        <v>0</v>
      </c>
      <c r="M772" s="5">
        <v>104</v>
      </c>
      <c r="N772" s="7">
        <v>104</v>
      </c>
      <c r="O772" s="7">
        <v>16681.8</v>
      </c>
      <c r="P772" s="7">
        <v>0</v>
      </c>
      <c r="Q772" s="5">
        <v>0</v>
      </c>
      <c r="R772" s="5">
        <v>0</v>
      </c>
      <c r="S772" s="7">
        <v>0</v>
      </c>
      <c r="T772" s="12">
        <v>43243</v>
      </c>
      <c r="U772" s="4">
        <v>3</v>
      </c>
      <c r="V772" s="4">
        <v>9</v>
      </c>
      <c r="W772" s="4">
        <v>9</v>
      </c>
      <c r="X772" s="45">
        <v>29166.899999999998</v>
      </c>
      <c r="Y772" s="14" t="s">
        <v>56</v>
      </c>
      <c r="Z772" s="14" t="s">
        <v>59</v>
      </c>
      <c r="AA772" s="14" t="s">
        <v>3097</v>
      </c>
      <c r="AB772" s="44">
        <v>43250</v>
      </c>
      <c r="AC772" s="44" t="s">
        <v>3098</v>
      </c>
      <c r="AD772" s="29" t="s">
        <v>51</v>
      </c>
      <c r="AE772" s="24" t="s">
        <v>1801</v>
      </c>
      <c r="AF772" s="25"/>
      <c r="AI772" s="58"/>
    </row>
    <row r="773" spans="1:35" ht="15.75" customHeight="1">
      <c r="A773" s="13" t="s">
        <v>1796</v>
      </c>
      <c r="B773" s="5">
        <v>0</v>
      </c>
      <c r="C773" s="7">
        <v>0</v>
      </c>
      <c r="D773" s="7">
        <v>0</v>
      </c>
      <c r="E773" s="7">
        <v>0</v>
      </c>
      <c r="F773" s="5">
        <v>0</v>
      </c>
      <c r="G773" s="7">
        <v>0</v>
      </c>
      <c r="H773" s="5">
        <v>185</v>
      </c>
      <c r="I773" s="7">
        <v>24776.1</v>
      </c>
      <c r="J773" s="7">
        <v>0</v>
      </c>
      <c r="K773" s="5">
        <v>0</v>
      </c>
      <c r="L773" s="5">
        <v>0</v>
      </c>
      <c r="M773" s="5">
        <v>0</v>
      </c>
      <c r="N773" s="7">
        <v>0</v>
      </c>
      <c r="O773" s="7">
        <v>0</v>
      </c>
      <c r="P773" s="7">
        <v>913</v>
      </c>
      <c r="Q773" s="5">
        <v>0</v>
      </c>
      <c r="R773" s="5">
        <v>913</v>
      </c>
      <c r="S773" s="7">
        <v>98307.9</v>
      </c>
      <c r="T773" s="12">
        <v>43243</v>
      </c>
      <c r="U773" s="4">
        <v>7</v>
      </c>
      <c r="V773" s="4">
        <v>9</v>
      </c>
      <c r="W773" s="4">
        <v>9</v>
      </c>
      <c r="X773" s="45">
        <v>123084</v>
      </c>
      <c r="Y773" s="14" t="s">
        <v>56</v>
      </c>
      <c r="Z773" s="14" t="s">
        <v>1281</v>
      </c>
      <c r="AA773" s="14" t="s">
        <v>3097</v>
      </c>
      <c r="AB773" s="44">
        <v>43250</v>
      </c>
      <c r="AC773" s="44" t="s">
        <v>3098</v>
      </c>
      <c r="AD773" s="29" t="s">
        <v>51</v>
      </c>
      <c r="AE773" s="24" t="s">
        <v>1802</v>
      </c>
      <c r="AF773" s="25"/>
      <c r="AI773" s="58"/>
    </row>
    <row r="774" spans="1:35" ht="15.75" customHeight="1">
      <c r="A774" s="13" t="s">
        <v>1803</v>
      </c>
      <c r="B774" s="5">
        <v>0</v>
      </c>
      <c r="C774" s="7">
        <v>0</v>
      </c>
      <c r="D774" s="7">
        <v>0</v>
      </c>
      <c r="E774" s="7">
        <v>0</v>
      </c>
      <c r="F774" s="5">
        <v>0</v>
      </c>
      <c r="G774" s="7">
        <v>0</v>
      </c>
      <c r="H774" s="5">
        <v>0</v>
      </c>
      <c r="I774" s="7">
        <v>0</v>
      </c>
      <c r="J774" s="7">
        <v>0</v>
      </c>
      <c r="K774" s="5">
        <v>0</v>
      </c>
      <c r="L774" s="5">
        <v>0</v>
      </c>
      <c r="M774" s="5">
        <v>0</v>
      </c>
      <c r="N774" s="7">
        <v>0</v>
      </c>
      <c r="O774" s="7">
        <v>0</v>
      </c>
      <c r="P774" s="7">
        <v>100</v>
      </c>
      <c r="Q774" s="5">
        <v>0</v>
      </c>
      <c r="R774" s="5">
        <v>100</v>
      </c>
      <c r="S774" s="7">
        <v>14216</v>
      </c>
      <c r="T774" s="12">
        <v>43244</v>
      </c>
      <c r="U774" s="4">
        <v>1</v>
      </c>
      <c r="V774" s="4">
        <v>9</v>
      </c>
      <c r="W774" s="4">
        <v>9</v>
      </c>
      <c r="X774" s="45">
        <v>14216</v>
      </c>
      <c r="Y774" s="14" t="s">
        <v>56</v>
      </c>
      <c r="Z774" s="14" t="s">
        <v>1355</v>
      </c>
      <c r="AA774" s="14" t="s">
        <v>3109</v>
      </c>
      <c r="AB774" s="44">
        <v>43251</v>
      </c>
      <c r="AC774" s="44" t="s">
        <v>3110</v>
      </c>
      <c r="AD774" s="29" t="s">
        <v>218</v>
      </c>
      <c r="AE774" s="24" t="s">
        <v>1809</v>
      </c>
      <c r="AF774" s="25"/>
      <c r="AI774" s="58"/>
    </row>
    <row r="775" spans="1:35" ht="15.75" customHeight="1">
      <c r="A775" s="13" t="s">
        <v>1792</v>
      </c>
      <c r="B775" s="5">
        <v>230</v>
      </c>
      <c r="C775" s="7">
        <v>11528.7</v>
      </c>
      <c r="D775" s="7">
        <v>0</v>
      </c>
      <c r="E775" s="7">
        <v>0</v>
      </c>
      <c r="F775" s="5">
        <v>0</v>
      </c>
      <c r="G775" s="7">
        <v>0</v>
      </c>
      <c r="H775" s="5">
        <v>1218</v>
      </c>
      <c r="I775" s="7">
        <v>139789.50000000003</v>
      </c>
      <c r="J775" s="7">
        <v>0</v>
      </c>
      <c r="K775" s="5">
        <v>0</v>
      </c>
      <c r="L775" s="5">
        <v>0</v>
      </c>
      <c r="M775" s="5">
        <v>0</v>
      </c>
      <c r="N775" s="7">
        <v>0</v>
      </c>
      <c r="O775" s="7">
        <v>0</v>
      </c>
      <c r="P775" s="7">
        <v>0</v>
      </c>
      <c r="Q775" s="5">
        <v>0</v>
      </c>
      <c r="R775" s="5">
        <v>0</v>
      </c>
      <c r="S775" s="7">
        <v>0</v>
      </c>
      <c r="T775" s="12">
        <v>43244</v>
      </c>
      <c r="U775" s="4">
        <v>8</v>
      </c>
      <c r="V775" s="4">
        <v>9</v>
      </c>
      <c r="W775" s="4">
        <v>9</v>
      </c>
      <c r="X775" s="45">
        <v>151318.20000000004</v>
      </c>
      <c r="Y775" s="14" t="s">
        <v>54</v>
      </c>
      <c r="Z775" s="14" t="s">
        <v>1355</v>
      </c>
      <c r="AA775" s="14" t="s">
        <v>3111</v>
      </c>
      <c r="AB775" s="44">
        <v>43248</v>
      </c>
      <c r="AC775" s="44" t="s">
        <v>3103</v>
      </c>
      <c r="AD775" s="29" t="s">
        <v>49</v>
      </c>
      <c r="AE775" s="24" t="s">
        <v>1810</v>
      </c>
      <c r="AF775" s="25"/>
      <c r="AI775" s="58"/>
    </row>
    <row r="776" spans="1:35" ht="15.75" customHeight="1">
      <c r="A776" s="13" t="s">
        <v>1804</v>
      </c>
      <c r="B776" s="5">
        <v>323</v>
      </c>
      <c r="C776" s="7">
        <v>36209.500000000015</v>
      </c>
      <c r="D776" s="7">
        <v>0</v>
      </c>
      <c r="E776" s="7">
        <v>0</v>
      </c>
      <c r="F776" s="5">
        <v>0</v>
      </c>
      <c r="G776" s="7">
        <v>0</v>
      </c>
      <c r="H776" s="5">
        <v>95</v>
      </c>
      <c r="I776" s="7">
        <v>13030.149999999998</v>
      </c>
      <c r="J776" s="7">
        <v>0</v>
      </c>
      <c r="K776" s="5">
        <v>0</v>
      </c>
      <c r="L776" s="5">
        <v>0</v>
      </c>
      <c r="M776" s="5">
        <v>0</v>
      </c>
      <c r="N776" s="7">
        <v>0</v>
      </c>
      <c r="O776" s="7">
        <v>0</v>
      </c>
      <c r="P776" s="7">
        <v>250</v>
      </c>
      <c r="Q776" s="5">
        <v>0</v>
      </c>
      <c r="R776" s="5">
        <v>250</v>
      </c>
      <c r="S776" s="7">
        <v>37952</v>
      </c>
      <c r="T776" s="12">
        <v>43244</v>
      </c>
      <c r="U776" s="4">
        <v>6</v>
      </c>
      <c r="V776" s="4">
        <v>9</v>
      </c>
      <c r="W776" s="4">
        <v>9</v>
      </c>
      <c r="X776" s="45">
        <v>87191.650000000009</v>
      </c>
      <c r="Y776" s="14" t="s">
        <v>56</v>
      </c>
      <c r="Z776" s="14" t="s">
        <v>57</v>
      </c>
      <c r="AA776" s="14" t="s">
        <v>3099</v>
      </c>
      <c r="AB776" s="44">
        <v>43250</v>
      </c>
      <c r="AC776" s="44" t="s">
        <v>3100</v>
      </c>
      <c r="AD776" s="29" t="s">
        <v>52</v>
      </c>
      <c r="AE776" s="24" t="s">
        <v>1811</v>
      </c>
      <c r="AF776" s="25"/>
      <c r="AI776" s="58"/>
    </row>
    <row r="777" spans="1:35" ht="15.75" customHeight="1">
      <c r="A777" s="13" t="s">
        <v>1805</v>
      </c>
      <c r="B777" s="5">
        <v>453</v>
      </c>
      <c r="C777" s="7">
        <v>61907.899999999994</v>
      </c>
      <c r="D777" s="7">
        <v>0</v>
      </c>
      <c r="E777" s="7">
        <v>0</v>
      </c>
      <c r="F777" s="5">
        <v>0</v>
      </c>
      <c r="G777" s="7">
        <v>0</v>
      </c>
      <c r="H777" s="5">
        <v>0</v>
      </c>
      <c r="I777" s="7">
        <v>0</v>
      </c>
      <c r="J777" s="7">
        <v>0</v>
      </c>
      <c r="K777" s="5">
        <v>0</v>
      </c>
      <c r="L777" s="5">
        <v>0</v>
      </c>
      <c r="M777" s="5">
        <v>0</v>
      </c>
      <c r="N777" s="7">
        <v>0</v>
      </c>
      <c r="O777" s="7">
        <v>0</v>
      </c>
      <c r="P777" s="7">
        <v>68</v>
      </c>
      <c r="Q777" s="5">
        <v>0</v>
      </c>
      <c r="R777" s="5">
        <v>68</v>
      </c>
      <c r="S777" s="7">
        <v>15924</v>
      </c>
      <c r="T777" s="12">
        <v>43244</v>
      </c>
      <c r="U777" s="4">
        <v>6</v>
      </c>
      <c r="V777" s="4">
        <v>9</v>
      </c>
      <c r="W777" s="4">
        <v>9</v>
      </c>
      <c r="X777" s="45">
        <v>77831.899999999994</v>
      </c>
      <c r="Y777" s="14" t="s">
        <v>54</v>
      </c>
      <c r="Z777" s="14" t="s">
        <v>55</v>
      </c>
      <c r="AA777" s="14" t="s">
        <v>3108</v>
      </c>
      <c r="AB777" s="44">
        <v>43251</v>
      </c>
      <c r="AC777" s="44" t="s">
        <v>3094</v>
      </c>
      <c r="AD777" s="29" t="s">
        <v>51</v>
      </c>
      <c r="AE777" s="24" t="s">
        <v>1812</v>
      </c>
      <c r="AF777" s="25"/>
      <c r="AI777" s="58"/>
    </row>
    <row r="778" spans="1:35" ht="15.75" customHeight="1">
      <c r="A778" s="13" t="s">
        <v>1806</v>
      </c>
      <c r="B778" s="5">
        <v>371</v>
      </c>
      <c r="C778" s="7">
        <v>47219.900000000009</v>
      </c>
      <c r="D778" s="7">
        <v>0</v>
      </c>
      <c r="E778" s="7">
        <v>0</v>
      </c>
      <c r="F778" s="5">
        <v>0</v>
      </c>
      <c r="G778" s="7">
        <v>0</v>
      </c>
      <c r="H778" s="5">
        <v>0</v>
      </c>
      <c r="I778" s="7">
        <v>0</v>
      </c>
      <c r="J778" s="7">
        <v>0</v>
      </c>
      <c r="K778" s="5">
        <v>0</v>
      </c>
      <c r="L778" s="5">
        <v>0</v>
      </c>
      <c r="M778" s="5">
        <v>0</v>
      </c>
      <c r="N778" s="7">
        <v>0</v>
      </c>
      <c r="O778" s="7">
        <v>0</v>
      </c>
      <c r="P778" s="7">
        <v>142</v>
      </c>
      <c r="Q778" s="5">
        <v>0</v>
      </c>
      <c r="R778" s="5">
        <v>142</v>
      </c>
      <c r="S778" s="7">
        <v>35773.1</v>
      </c>
      <c r="T778" s="12">
        <v>43244</v>
      </c>
      <c r="U778" s="4">
        <v>6</v>
      </c>
      <c r="V778" s="4">
        <v>9</v>
      </c>
      <c r="W778" s="4">
        <v>9</v>
      </c>
      <c r="X778" s="45">
        <v>82993</v>
      </c>
      <c r="Y778" s="14" t="s">
        <v>56</v>
      </c>
      <c r="Z778" s="14" t="s">
        <v>55</v>
      </c>
      <c r="AA778" s="14" t="s">
        <v>3097</v>
      </c>
      <c r="AB778" s="44">
        <v>43250</v>
      </c>
      <c r="AC778" s="44" t="s">
        <v>3098</v>
      </c>
      <c r="AD778" s="29" t="s">
        <v>51</v>
      </c>
      <c r="AE778" s="24" t="s">
        <v>1813</v>
      </c>
      <c r="AF778" s="25"/>
      <c r="AI778" s="58"/>
    </row>
    <row r="779" spans="1:35" ht="15.75" customHeight="1">
      <c r="A779" s="13" t="s">
        <v>1807</v>
      </c>
      <c r="B779" s="5">
        <v>217</v>
      </c>
      <c r="C779" s="7">
        <v>25449.589999999997</v>
      </c>
      <c r="D779" s="7">
        <v>0</v>
      </c>
      <c r="E779" s="7">
        <v>0</v>
      </c>
      <c r="F779" s="5">
        <v>0</v>
      </c>
      <c r="G779" s="7">
        <v>0</v>
      </c>
      <c r="H779" s="5">
        <v>0</v>
      </c>
      <c r="I779" s="7">
        <v>0</v>
      </c>
      <c r="J779" s="7">
        <v>0</v>
      </c>
      <c r="K779" s="5">
        <v>0</v>
      </c>
      <c r="L779" s="5">
        <v>0</v>
      </c>
      <c r="M779" s="5">
        <v>6</v>
      </c>
      <c r="N779" s="7">
        <v>6</v>
      </c>
      <c r="O779" s="7">
        <v>1473.6</v>
      </c>
      <c r="P779" s="7">
        <v>258</v>
      </c>
      <c r="Q779" s="5">
        <v>0</v>
      </c>
      <c r="R779" s="5">
        <v>258</v>
      </c>
      <c r="S779" s="7">
        <v>37093.100000000006</v>
      </c>
      <c r="T779" s="12">
        <v>43244</v>
      </c>
      <c r="U779" s="4">
        <v>5</v>
      </c>
      <c r="V779" s="4">
        <v>9</v>
      </c>
      <c r="W779" s="4">
        <v>9</v>
      </c>
      <c r="X779" s="45">
        <v>64016.29</v>
      </c>
      <c r="Y779" s="14" t="s">
        <v>85</v>
      </c>
      <c r="Z779" s="14" t="s">
        <v>57</v>
      </c>
      <c r="AA779" s="14">
        <v>350810048212</v>
      </c>
      <c r="AB779" s="44">
        <v>43247</v>
      </c>
      <c r="AC779" s="44" t="s">
        <v>3088</v>
      </c>
      <c r="AD779" s="29" t="s">
        <v>600</v>
      </c>
      <c r="AE779" s="24">
        <v>2500000041516</v>
      </c>
      <c r="AF779" s="25"/>
      <c r="AI779" s="58"/>
    </row>
    <row r="780" spans="1:35" ht="15.75" customHeight="1">
      <c r="A780" s="13" t="s">
        <v>1797</v>
      </c>
      <c r="B780" s="5">
        <v>401</v>
      </c>
      <c r="C780" s="7">
        <v>45902.250000000007</v>
      </c>
      <c r="D780" s="7">
        <v>0</v>
      </c>
      <c r="E780" s="7">
        <v>0</v>
      </c>
      <c r="F780" s="5">
        <v>0</v>
      </c>
      <c r="G780" s="7">
        <v>0</v>
      </c>
      <c r="H780" s="5">
        <v>160</v>
      </c>
      <c r="I780" s="7">
        <v>3964</v>
      </c>
      <c r="J780" s="7">
        <v>0</v>
      </c>
      <c r="K780" s="5">
        <v>0</v>
      </c>
      <c r="L780" s="5">
        <v>0</v>
      </c>
      <c r="M780" s="5">
        <v>198</v>
      </c>
      <c r="N780" s="7">
        <v>198</v>
      </c>
      <c r="O780" s="7">
        <v>21610.2</v>
      </c>
      <c r="P780" s="7">
        <v>40</v>
      </c>
      <c r="Q780" s="5">
        <v>0</v>
      </c>
      <c r="R780" s="5">
        <v>40</v>
      </c>
      <c r="S780" s="7">
        <v>1996</v>
      </c>
      <c r="T780" s="12">
        <v>43244</v>
      </c>
      <c r="U780" s="4">
        <v>6</v>
      </c>
      <c r="V780" s="4">
        <v>9</v>
      </c>
      <c r="W780" s="4">
        <v>9</v>
      </c>
      <c r="X780" s="45">
        <v>73472.450000000012</v>
      </c>
      <c r="Y780" s="14" t="s">
        <v>54</v>
      </c>
      <c r="Z780" s="14" t="s">
        <v>59</v>
      </c>
      <c r="AA780" s="14" t="s">
        <v>3102</v>
      </c>
      <c r="AB780" s="44">
        <v>43248</v>
      </c>
      <c r="AC780" s="44" t="s">
        <v>3103</v>
      </c>
      <c r="AD780" s="29" t="s">
        <v>50</v>
      </c>
      <c r="AE780" s="24" t="s">
        <v>1814</v>
      </c>
      <c r="AF780" s="25"/>
      <c r="AI780" s="58"/>
    </row>
    <row r="781" spans="1:35" ht="15.75" customHeight="1">
      <c r="A781" s="13" t="s">
        <v>1808</v>
      </c>
      <c r="B781" s="5">
        <v>154</v>
      </c>
      <c r="C781" s="7">
        <v>21756</v>
      </c>
      <c r="D781" s="7">
        <v>0</v>
      </c>
      <c r="E781" s="7">
        <v>0</v>
      </c>
      <c r="F781" s="5">
        <v>0</v>
      </c>
      <c r="G781" s="7">
        <v>0</v>
      </c>
      <c r="H781" s="5">
        <v>0</v>
      </c>
      <c r="I781" s="7">
        <v>0</v>
      </c>
      <c r="J781" s="7">
        <v>0</v>
      </c>
      <c r="K781" s="5">
        <v>0</v>
      </c>
      <c r="L781" s="5">
        <v>0</v>
      </c>
      <c r="M781" s="5">
        <v>212</v>
      </c>
      <c r="N781" s="7">
        <v>212</v>
      </c>
      <c r="O781" s="7">
        <v>38761</v>
      </c>
      <c r="P781" s="7">
        <v>257</v>
      </c>
      <c r="Q781" s="5">
        <v>0</v>
      </c>
      <c r="R781" s="5">
        <v>257</v>
      </c>
      <c r="S781" s="7">
        <v>54006.400000000001</v>
      </c>
      <c r="T781" s="12">
        <v>43244</v>
      </c>
      <c r="U781" s="4">
        <v>9</v>
      </c>
      <c r="V781" s="4">
        <v>9</v>
      </c>
      <c r="W781" s="4">
        <v>9</v>
      </c>
      <c r="X781" s="45">
        <v>114523.4</v>
      </c>
      <c r="Y781" s="14" t="s">
        <v>54</v>
      </c>
      <c r="Z781" s="14" t="s">
        <v>59</v>
      </c>
      <c r="AA781" s="14" t="s">
        <v>3104</v>
      </c>
      <c r="AB781" s="44">
        <v>43251</v>
      </c>
      <c r="AC781" s="44" t="s">
        <v>3105</v>
      </c>
      <c r="AD781" s="29" t="s">
        <v>50</v>
      </c>
      <c r="AE781" s="24" t="s">
        <v>1815</v>
      </c>
      <c r="AF781" s="25"/>
      <c r="AI781" s="58"/>
    </row>
    <row r="782" spans="1:35" ht="15.75" customHeight="1">
      <c r="A782" s="13" t="s">
        <v>1816</v>
      </c>
      <c r="B782" s="5">
        <v>0</v>
      </c>
      <c r="C782" s="7">
        <v>0</v>
      </c>
      <c r="D782" s="7">
        <v>0</v>
      </c>
      <c r="E782" s="7">
        <v>0</v>
      </c>
      <c r="F782" s="5">
        <v>0</v>
      </c>
      <c r="G782" s="7">
        <v>0</v>
      </c>
      <c r="H782" s="5">
        <v>405</v>
      </c>
      <c r="I782" s="7">
        <v>44771.45</v>
      </c>
      <c r="J782" s="7">
        <v>0</v>
      </c>
      <c r="K782" s="5">
        <v>0</v>
      </c>
      <c r="L782" s="5">
        <v>0</v>
      </c>
      <c r="M782" s="5">
        <v>294</v>
      </c>
      <c r="N782" s="7">
        <v>294</v>
      </c>
      <c r="O782" s="7">
        <v>8505.1</v>
      </c>
      <c r="P782" s="7">
        <v>0</v>
      </c>
      <c r="Q782" s="5">
        <v>0</v>
      </c>
      <c r="R782" s="5">
        <v>0</v>
      </c>
      <c r="S782" s="7">
        <v>0</v>
      </c>
      <c r="T782" s="12">
        <v>43245</v>
      </c>
      <c r="U782" s="4">
        <v>3</v>
      </c>
      <c r="V782" s="4">
        <v>9</v>
      </c>
      <c r="W782" s="4">
        <v>9</v>
      </c>
      <c r="X782" s="45">
        <v>53276.549999999996</v>
      </c>
      <c r="Y782" s="14" t="s">
        <v>54</v>
      </c>
      <c r="Z782" s="14" t="s">
        <v>1355</v>
      </c>
      <c r="AA782" s="14" t="s">
        <v>3111</v>
      </c>
      <c r="AB782" s="44">
        <v>43248</v>
      </c>
      <c r="AC782" s="44" t="s">
        <v>3103</v>
      </c>
      <c r="AD782" s="29" t="s">
        <v>49</v>
      </c>
      <c r="AE782" s="24" t="s">
        <v>1824</v>
      </c>
      <c r="AF782" s="25"/>
      <c r="AI782" s="58"/>
    </row>
    <row r="783" spans="1:35" ht="15.75" customHeight="1">
      <c r="A783" s="13" t="s">
        <v>1817</v>
      </c>
      <c r="B783" s="5">
        <v>115</v>
      </c>
      <c r="C783" s="7">
        <v>9234.5</v>
      </c>
      <c r="D783" s="7">
        <v>0</v>
      </c>
      <c r="E783" s="7">
        <v>0</v>
      </c>
      <c r="F783" s="5">
        <v>0</v>
      </c>
      <c r="G783" s="7">
        <v>0</v>
      </c>
      <c r="H783" s="5">
        <v>390</v>
      </c>
      <c r="I783" s="7">
        <v>50769.45</v>
      </c>
      <c r="J783" s="7">
        <v>0</v>
      </c>
      <c r="K783" s="5">
        <v>0</v>
      </c>
      <c r="L783" s="5">
        <v>0</v>
      </c>
      <c r="M783" s="5">
        <v>254</v>
      </c>
      <c r="N783" s="7">
        <v>254</v>
      </c>
      <c r="O783" s="7">
        <v>7539.5999999999995</v>
      </c>
      <c r="P783" s="7">
        <v>0</v>
      </c>
      <c r="Q783" s="5">
        <v>0</v>
      </c>
      <c r="R783" s="5">
        <v>0</v>
      </c>
      <c r="S783" s="7">
        <v>0</v>
      </c>
      <c r="T783" s="12">
        <v>43245</v>
      </c>
      <c r="U783" s="4">
        <v>5</v>
      </c>
      <c r="V783" s="4">
        <v>9</v>
      </c>
      <c r="W783" s="4">
        <v>9</v>
      </c>
      <c r="X783" s="45">
        <v>67543.55</v>
      </c>
      <c r="Y783" s="14" t="s">
        <v>54</v>
      </c>
      <c r="Z783" s="14" t="s">
        <v>1355</v>
      </c>
      <c r="AA783" s="14" t="s">
        <v>3112</v>
      </c>
      <c r="AB783" s="44">
        <v>43251</v>
      </c>
      <c r="AC783" s="44" t="s">
        <v>3105</v>
      </c>
      <c r="AD783" s="29" t="s">
        <v>49</v>
      </c>
      <c r="AE783" s="24" t="s">
        <v>1825</v>
      </c>
      <c r="AF783" s="25"/>
      <c r="AI783" s="58"/>
    </row>
    <row r="784" spans="1:35" ht="15.75" customHeight="1">
      <c r="A784" s="13" t="s">
        <v>1818</v>
      </c>
      <c r="B784" s="5">
        <v>207</v>
      </c>
      <c r="C784" s="7">
        <v>23999.300000000003</v>
      </c>
      <c r="D784" s="7">
        <v>0</v>
      </c>
      <c r="E784" s="7">
        <v>0</v>
      </c>
      <c r="F784" s="5">
        <v>0</v>
      </c>
      <c r="G784" s="7">
        <v>0</v>
      </c>
      <c r="H784" s="5">
        <v>0</v>
      </c>
      <c r="I784" s="7">
        <v>0</v>
      </c>
      <c r="J784" s="7">
        <v>0</v>
      </c>
      <c r="K784" s="5">
        <v>0</v>
      </c>
      <c r="L784" s="5">
        <v>0</v>
      </c>
      <c r="M784" s="5">
        <v>58</v>
      </c>
      <c r="N784" s="7">
        <v>58</v>
      </c>
      <c r="O784" s="7">
        <v>10248.599999999999</v>
      </c>
      <c r="P784" s="7">
        <v>85</v>
      </c>
      <c r="Q784" s="5">
        <v>0</v>
      </c>
      <c r="R784" s="5">
        <v>85</v>
      </c>
      <c r="S784" s="7">
        <v>14308.5</v>
      </c>
      <c r="T784" s="12">
        <v>43245</v>
      </c>
      <c r="U784" s="4">
        <v>4</v>
      </c>
      <c r="V784" s="4">
        <v>9</v>
      </c>
      <c r="W784" s="4">
        <v>9</v>
      </c>
      <c r="X784" s="45">
        <v>48556.4</v>
      </c>
      <c r="Y784" s="14" t="s">
        <v>85</v>
      </c>
      <c r="Z784" s="14" t="s">
        <v>1492</v>
      </c>
      <c r="AA784" s="14">
        <v>350810052042</v>
      </c>
      <c r="AB784" s="44">
        <v>43254</v>
      </c>
      <c r="AC784" s="44" t="s">
        <v>3113</v>
      </c>
      <c r="AD784" s="29" t="s">
        <v>50</v>
      </c>
      <c r="AE784" s="24" t="s">
        <v>1831</v>
      </c>
      <c r="AF784" s="25"/>
      <c r="AI784" s="58"/>
    </row>
    <row r="785" spans="1:35" ht="15.75" customHeight="1">
      <c r="A785" s="13" t="s">
        <v>1819</v>
      </c>
      <c r="B785" s="5">
        <v>83</v>
      </c>
      <c r="C785" s="7">
        <v>6953.6</v>
      </c>
      <c r="D785" s="7">
        <v>0</v>
      </c>
      <c r="E785" s="7">
        <v>0</v>
      </c>
      <c r="F785" s="5">
        <v>0</v>
      </c>
      <c r="G785" s="7">
        <v>0</v>
      </c>
      <c r="H785" s="5">
        <v>950</v>
      </c>
      <c r="I785" s="7">
        <v>101275.19999999998</v>
      </c>
      <c r="J785" s="7">
        <v>0</v>
      </c>
      <c r="K785" s="5">
        <v>0</v>
      </c>
      <c r="L785" s="5">
        <v>0</v>
      </c>
      <c r="M785" s="5">
        <v>149</v>
      </c>
      <c r="N785" s="7">
        <v>149</v>
      </c>
      <c r="O785" s="7">
        <v>10649.799999999997</v>
      </c>
      <c r="P785" s="7">
        <v>0</v>
      </c>
      <c r="Q785" s="5">
        <v>0</v>
      </c>
      <c r="R785" s="5">
        <v>0</v>
      </c>
      <c r="S785" s="7">
        <v>0</v>
      </c>
      <c r="T785" s="12">
        <v>43245</v>
      </c>
      <c r="U785" s="4">
        <v>7</v>
      </c>
      <c r="V785" s="4">
        <v>9</v>
      </c>
      <c r="W785" s="4">
        <v>9</v>
      </c>
      <c r="X785" s="45">
        <v>118878.59999999999</v>
      </c>
      <c r="Y785" s="14" t="s">
        <v>54</v>
      </c>
      <c r="Z785" s="14" t="s">
        <v>55</v>
      </c>
      <c r="AA785" s="14" t="s">
        <v>3108</v>
      </c>
      <c r="AB785" s="44">
        <v>43251</v>
      </c>
      <c r="AC785" s="44" t="s">
        <v>3094</v>
      </c>
      <c r="AD785" s="29" t="s">
        <v>51</v>
      </c>
      <c r="AE785" s="24" t="s">
        <v>1827</v>
      </c>
      <c r="AF785" s="25"/>
      <c r="AI785" s="58"/>
    </row>
    <row r="786" spans="1:35" ht="15.75" customHeight="1">
      <c r="A786" s="13" t="s">
        <v>1820</v>
      </c>
      <c r="B786" s="5">
        <v>385</v>
      </c>
      <c r="C786" s="7">
        <v>38976.699999999997</v>
      </c>
      <c r="D786" s="7">
        <v>0</v>
      </c>
      <c r="E786" s="7">
        <v>0</v>
      </c>
      <c r="F786" s="5">
        <v>0</v>
      </c>
      <c r="G786" s="7">
        <v>0</v>
      </c>
      <c r="H786" s="5">
        <v>195</v>
      </c>
      <c r="I786" s="7">
        <v>23701.4</v>
      </c>
      <c r="J786" s="7">
        <v>0</v>
      </c>
      <c r="K786" s="5">
        <v>0</v>
      </c>
      <c r="L786" s="5">
        <v>0</v>
      </c>
      <c r="M786" s="5">
        <v>101</v>
      </c>
      <c r="N786" s="7">
        <v>101</v>
      </c>
      <c r="O786" s="7">
        <v>18822.099999999999</v>
      </c>
      <c r="P786" s="7">
        <v>193</v>
      </c>
      <c r="Q786" s="5">
        <v>0</v>
      </c>
      <c r="R786" s="5">
        <v>193</v>
      </c>
      <c r="S786" s="7">
        <v>35743.1</v>
      </c>
      <c r="T786" s="12">
        <v>43245</v>
      </c>
      <c r="U786" s="4">
        <v>9</v>
      </c>
      <c r="V786" s="4">
        <v>9</v>
      </c>
      <c r="W786" s="4">
        <v>9</v>
      </c>
      <c r="X786" s="45">
        <v>117243.29999999999</v>
      </c>
      <c r="Y786" s="14" t="s">
        <v>56</v>
      </c>
      <c r="Z786" s="14" t="s">
        <v>1355</v>
      </c>
      <c r="AA786" s="14" t="s">
        <v>3097</v>
      </c>
      <c r="AB786" s="44">
        <v>43250</v>
      </c>
      <c r="AC786" s="44" t="s">
        <v>3098</v>
      </c>
      <c r="AD786" s="29" t="s">
        <v>51</v>
      </c>
      <c r="AE786" s="24" t="s">
        <v>1828</v>
      </c>
      <c r="AF786" s="25"/>
      <c r="AI786" s="58"/>
    </row>
    <row r="787" spans="1:35" ht="15.75" customHeight="1">
      <c r="A787" s="13" t="s">
        <v>1821</v>
      </c>
      <c r="B787" s="5">
        <v>115</v>
      </c>
      <c r="C787" s="7">
        <v>11501</v>
      </c>
      <c r="D787" s="7">
        <v>0</v>
      </c>
      <c r="E787" s="7">
        <v>0</v>
      </c>
      <c r="F787" s="5">
        <v>0</v>
      </c>
      <c r="G787" s="7">
        <v>0</v>
      </c>
      <c r="H787" s="5">
        <v>0</v>
      </c>
      <c r="I787" s="7">
        <v>0</v>
      </c>
      <c r="J787" s="7">
        <v>0</v>
      </c>
      <c r="K787" s="5">
        <v>0</v>
      </c>
      <c r="L787" s="5">
        <v>0</v>
      </c>
      <c r="M787" s="5">
        <v>55</v>
      </c>
      <c r="N787" s="7">
        <v>55</v>
      </c>
      <c r="O787" s="7">
        <v>11348.400000000001</v>
      </c>
      <c r="P787" s="7">
        <v>0</v>
      </c>
      <c r="Q787" s="5">
        <v>0</v>
      </c>
      <c r="R787" s="5">
        <v>0</v>
      </c>
      <c r="S787" s="7">
        <v>0</v>
      </c>
      <c r="T787" s="12">
        <v>43245</v>
      </c>
      <c r="U787" s="4">
        <v>2</v>
      </c>
      <c r="V787" s="4">
        <v>9</v>
      </c>
      <c r="W787" s="4">
        <v>9</v>
      </c>
      <c r="X787" s="45">
        <v>22849.4</v>
      </c>
      <c r="Y787" s="14" t="s">
        <v>54</v>
      </c>
      <c r="Z787" s="14" t="s">
        <v>59</v>
      </c>
      <c r="AA787" s="14" t="s">
        <v>3102</v>
      </c>
      <c r="AB787" s="44">
        <v>43248</v>
      </c>
      <c r="AC787" s="44" t="s">
        <v>3103</v>
      </c>
      <c r="AD787" s="29" t="s">
        <v>50</v>
      </c>
      <c r="AE787" s="24" t="s">
        <v>1829</v>
      </c>
      <c r="AF787" s="25"/>
      <c r="AI787" s="58"/>
    </row>
    <row r="788" spans="1:35" ht="15.75" customHeight="1">
      <c r="A788" s="13" t="s">
        <v>1822</v>
      </c>
      <c r="B788" s="5">
        <v>488</v>
      </c>
      <c r="C788" s="7">
        <v>73009.660000000018</v>
      </c>
      <c r="D788" s="7">
        <v>0</v>
      </c>
      <c r="E788" s="7">
        <v>0</v>
      </c>
      <c r="F788" s="5">
        <v>0</v>
      </c>
      <c r="G788" s="7">
        <v>0</v>
      </c>
      <c r="H788" s="5">
        <v>0</v>
      </c>
      <c r="I788" s="7">
        <v>0</v>
      </c>
      <c r="J788" s="7">
        <v>0</v>
      </c>
      <c r="K788" s="5">
        <v>0</v>
      </c>
      <c r="L788" s="5">
        <v>0</v>
      </c>
      <c r="M788" s="5">
        <v>95</v>
      </c>
      <c r="N788" s="7">
        <v>95</v>
      </c>
      <c r="O788" s="7">
        <v>16609.3</v>
      </c>
      <c r="P788" s="7">
        <v>0</v>
      </c>
      <c r="Q788" s="5">
        <v>0</v>
      </c>
      <c r="R788" s="5">
        <v>0</v>
      </c>
      <c r="S788" s="7">
        <v>0</v>
      </c>
      <c r="T788" s="12">
        <v>43245</v>
      </c>
      <c r="U788" s="4">
        <v>8</v>
      </c>
      <c r="V788" s="4">
        <v>9</v>
      </c>
      <c r="W788" s="4">
        <v>9</v>
      </c>
      <c r="X788" s="45">
        <v>89618.960000000021</v>
      </c>
      <c r="Y788" s="14" t="s">
        <v>54</v>
      </c>
      <c r="Z788" s="14" t="s">
        <v>59</v>
      </c>
      <c r="AA788" s="14" t="s">
        <v>3104</v>
      </c>
      <c r="AB788" s="44">
        <v>43251</v>
      </c>
      <c r="AC788" s="44" t="s">
        <v>3105</v>
      </c>
      <c r="AD788" s="29" t="s">
        <v>50</v>
      </c>
      <c r="AE788" s="24" t="s">
        <v>1826</v>
      </c>
      <c r="AF788" s="25"/>
      <c r="AI788" s="58"/>
    </row>
    <row r="789" spans="1:35" ht="15.75" customHeight="1">
      <c r="A789" s="13" t="s">
        <v>1823</v>
      </c>
      <c r="B789" s="5">
        <v>128</v>
      </c>
      <c r="C789" s="7">
        <v>16163.240000000002</v>
      </c>
      <c r="D789" s="7">
        <v>0</v>
      </c>
      <c r="E789" s="7">
        <v>0</v>
      </c>
      <c r="F789" s="5">
        <v>0</v>
      </c>
      <c r="G789" s="7">
        <v>0</v>
      </c>
      <c r="H789" s="5">
        <v>0</v>
      </c>
      <c r="I789" s="7">
        <v>0</v>
      </c>
      <c r="J789" s="7">
        <v>0</v>
      </c>
      <c r="K789" s="5">
        <v>0</v>
      </c>
      <c r="L789" s="5">
        <v>0</v>
      </c>
      <c r="M789" s="5">
        <v>91</v>
      </c>
      <c r="N789" s="7">
        <v>91</v>
      </c>
      <c r="O789" s="7">
        <v>15256.599999999999</v>
      </c>
      <c r="P789" s="7">
        <v>215</v>
      </c>
      <c r="Q789" s="5">
        <v>0</v>
      </c>
      <c r="R789" s="5">
        <v>215</v>
      </c>
      <c r="S789" s="7">
        <v>30410.5</v>
      </c>
      <c r="T789" s="12">
        <v>43245</v>
      </c>
      <c r="U789" s="4">
        <v>5</v>
      </c>
      <c r="V789" s="4">
        <v>9</v>
      </c>
      <c r="W789" s="4">
        <v>9</v>
      </c>
      <c r="X789" s="45">
        <v>61830.34</v>
      </c>
      <c r="Y789" s="48" t="s">
        <v>56</v>
      </c>
      <c r="Z789" s="14" t="s">
        <v>1637</v>
      </c>
      <c r="AA789" s="14" t="s">
        <v>3095</v>
      </c>
      <c r="AB789" s="44">
        <v>43250</v>
      </c>
      <c r="AC789" s="44" t="s">
        <v>3096</v>
      </c>
      <c r="AD789" s="29" t="s">
        <v>49</v>
      </c>
      <c r="AE789" s="24" t="s">
        <v>1830</v>
      </c>
      <c r="AF789" s="25"/>
      <c r="AI789" s="58"/>
    </row>
    <row r="790" spans="1:35" ht="15.75" customHeight="1">
      <c r="A790" s="13" t="s">
        <v>1832</v>
      </c>
      <c r="B790" s="5">
        <v>80</v>
      </c>
      <c r="C790" s="7">
        <v>9909.1999999999989</v>
      </c>
      <c r="D790" s="7">
        <v>0</v>
      </c>
      <c r="E790" s="7">
        <v>0</v>
      </c>
      <c r="F790" s="5">
        <v>0</v>
      </c>
      <c r="G790" s="7">
        <v>0</v>
      </c>
      <c r="H790" s="5">
        <v>20</v>
      </c>
      <c r="I790" s="7">
        <v>2403</v>
      </c>
      <c r="J790" s="7">
        <v>0</v>
      </c>
      <c r="K790" s="5">
        <v>0</v>
      </c>
      <c r="L790" s="5">
        <v>0</v>
      </c>
      <c r="M790" s="5">
        <v>0</v>
      </c>
      <c r="N790" s="7">
        <v>0</v>
      </c>
      <c r="O790" s="7">
        <v>0</v>
      </c>
      <c r="P790" s="7">
        <v>251</v>
      </c>
      <c r="Q790" s="5">
        <v>0</v>
      </c>
      <c r="R790" s="5">
        <v>251</v>
      </c>
      <c r="S790" s="7">
        <v>23345.3</v>
      </c>
      <c r="T790" s="12">
        <v>43248</v>
      </c>
      <c r="U790" s="4">
        <v>2</v>
      </c>
      <c r="V790" s="4">
        <v>9</v>
      </c>
      <c r="W790" s="4">
        <v>9</v>
      </c>
      <c r="X790" s="45">
        <v>35657.5</v>
      </c>
      <c r="Y790" s="14" t="s">
        <v>1633</v>
      </c>
      <c r="Z790" s="14" t="s">
        <v>1492</v>
      </c>
      <c r="AA790" s="14" t="s">
        <v>3114</v>
      </c>
      <c r="AB790" s="44">
        <v>43254</v>
      </c>
      <c r="AC790" s="44" t="s">
        <v>3115</v>
      </c>
      <c r="AD790" s="29" t="s">
        <v>70</v>
      </c>
      <c r="AE790" s="24" t="s">
        <v>1838</v>
      </c>
      <c r="AF790" s="25"/>
      <c r="AI790" s="58"/>
    </row>
    <row r="791" spans="1:35" ht="15.75" customHeight="1">
      <c r="A791" s="13" t="s">
        <v>1833</v>
      </c>
      <c r="B791" s="5">
        <v>0</v>
      </c>
      <c r="C791" s="7">
        <v>0</v>
      </c>
      <c r="D791" s="7">
        <v>0</v>
      </c>
      <c r="E791" s="7">
        <v>0</v>
      </c>
      <c r="F791" s="5">
        <v>0</v>
      </c>
      <c r="G791" s="7">
        <v>0</v>
      </c>
      <c r="H791" s="5">
        <v>714</v>
      </c>
      <c r="I791" s="7">
        <v>67444.45</v>
      </c>
      <c r="J791" s="7">
        <v>0</v>
      </c>
      <c r="K791" s="5">
        <v>0</v>
      </c>
      <c r="L791" s="5">
        <v>0</v>
      </c>
      <c r="M791" s="5">
        <v>0</v>
      </c>
      <c r="N791" s="7">
        <v>0</v>
      </c>
      <c r="O791" s="7">
        <v>0</v>
      </c>
      <c r="P791" s="7">
        <v>0</v>
      </c>
      <c r="Q791" s="5">
        <v>0</v>
      </c>
      <c r="R791" s="5">
        <v>0</v>
      </c>
      <c r="S791" s="7">
        <v>0</v>
      </c>
      <c r="T791" s="12">
        <v>43248</v>
      </c>
      <c r="U791" s="4">
        <v>5</v>
      </c>
      <c r="V791" s="4">
        <v>9</v>
      </c>
      <c r="W791" s="4">
        <v>9</v>
      </c>
      <c r="X791" s="45">
        <v>67444.45</v>
      </c>
      <c r="Y791" s="14" t="s">
        <v>54</v>
      </c>
      <c r="Z791" s="14" t="s">
        <v>1355</v>
      </c>
      <c r="AA791" s="14" t="s">
        <v>3116</v>
      </c>
      <c r="AB791" s="44">
        <v>43255</v>
      </c>
      <c r="AC791" s="44" t="s">
        <v>3117</v>
      </c>
      <c r="AD791" s="29" t="s">
        <v>49</v>
      </c>
      <c r="AE791" s="24" t="s">
        <v>1839</v>
      </c>
      <c r="AF791" s="25"/>
      <c r="AI791" s="58"/>
    </row>
    <row r="792" spans="1:35" ht="16.5" customHeight="1">
      <c r="A792" s="13" t="s">
        <v>1834</v>
      </c>
      <c r="B792" s="5">
        <v>146</v>
      </c>
      <c r="C792" s="7">
        <v>13156.720000000003</v>
      </c>
      <c r="D792" s="7">
        <v>0</v>
      </c>
      <c r="E792" s="7">
        <v>0</v>
      </c>
      <c r="F792" s="5">
        <v>0</v>
      </c>
      <c r="G792" s="7">
        <v>0</v>
      </c>
      <c r="H792" s="5">
        <v>0</v>
      </c>
      <c r="I792" s="7">
        <v>0</v>
      </c>
      <c r="J792" s="7">
        <v>0</v>
      </c>
      <c r="K792" s="5">
        <v>0</v>
      </c>
      <c r="L792" s="5">
        <v>0</v>
      </c>
      <c r="M792" s="5">
        <v>41</v>
      </c>
      <c r="N792" s="7">
        <v>41</v>
      </c>
      <c r="O792" s="7">
        <v>6808.9</v>
      </c>
      <c r="P792" s="7">
        <v>167</v>
      </c>
      <c r="Q792" s="5">
        <v>0</v>
      </c>
      <c r="R792" s="5">
        <v>167</v>
      </c>
      <c r="S792" s="7">
        <v>36756.699999999997</v>
      </c>
      <c r="T792" s="12">
        <v>43248</v>
      </c>
      <c r="U792" s="4">
        <v>4</v>
      </c>
      <c r="V792" s="4">
        <v>9</v>
      </c>
      <c r="W792" s="4">
        <v>9</v>
      </c>
      <c r="X792" s="45">
        <v>56722.32</v>
      </c>
      <c r="Y792" s="14" t="s">
        <v>56</v>
      </c>
      <c r="Z792" s="14" t="s">
        <v>57</v>
      </c>
      <c r="AA792" s="14" t="s">
        <v>3118</v>
      </c>
      <c r="AB792" s="44">
        <v>43253</v>
      </c>
      <c r="AC792" s="44" t="s">
        <v>3119</v>
      </c>
      <c r="AD792" s="29" t="s">
        <v>52</v>
      </c>
      <c r="AE792" s="24" t="s">
        <v>1840</v>
      </c>
      <c r="AF792" s="25"/>
      <c r="AI792" s="58"/>
    </row>
    <row r="793" spans="1:35" ht="16.5" customHeight="1">
      <c r="A793" s="13" t="s">
        <v>1835</v>
      </c>
      <c r="B793" s="5">
        <v>427</v>
      </c>
      <c r="C793" s="7">
        <v>40524.699999999997</v>
      </c>
      <c r="D793" s="7">
        <v>0</v>
      </c>
      <c r="E793" s="7">
        <v>0</v>
      </c>
      <c r="F793" s="5">
        <v>0</v>
      </c>
      <c r="G793" s="7">
        <v>0</v>
      </c>
      <c r="H793" s="5">
        <v>413</v>
      </c>
      <c r="I793" s="7">
        <v>28955.449999999997</v>
      </c>
      <c r="J793" s="7">
        <v>0</v>
      </c>
      <c r="K793" s="5">
        <v>0</v>
      </c>
      <c r="L793" s="5">
        <v>0</v>
      </c>
      <c r="M793" s="5">
        <v>142</v>
      </c>
      <c r="N793" s="7">
        <v>142</v>
      </c>
      <c r="O793" s="7">
        <v>19931.5</v>
      </c>
      <c r="P793" s="7">
        <v>150</v>
      </c>
      <c r="Q793" s="5">
        <v>0</v>
      </c>
      <c r="R793" s="5">
        <v>150</v>
      </c>
      <c r="S793" s="7">
        <v>31678.200000000004</v>
      </c>
      <c r="T793" s="12">
        <v>43248</v>
      </c>
      <c r="U793" s="4">
        <v>9</v>
      </c>
      <c r="V793" s="4">
        <v>9</v>
      </c>
      <c r="W793" s="4">
        <v>9</v>
      </c>
      <c r="X793" s="45">
        <v>121089.85</v>
      </c>
      <c r="Y793" s="14" t="s">
        <v>56</v>
      </c>
      <c r="Z793" s="14" t="s">
        <v>55</v>
      </c>
      <c r="AA793" s="14" t="s">
        <v>3120</v>
      </c>
      <c r="AB793" s="44">
        <v>43253</v>
      </c>
      <c r="AC793" s="44" t="s">
        <v>3121</v>
      </c>
      <c r="AD793" s="29" t="s">
        <v>51</v>
      </c>
      <c r="AE793" s="24" t="s">
        <v>1841</v>
      </c>
      <c r="AF793" s="25"/>
      <c r="AI793" s="58"/>
    </row>
    <row r="794" spans="1:35" ht="16.5" customHeight="1">
      <c r="A794" s="6" t="s">
        <v>1836</v>
      </c>
      <c r="B794" s="5">
        <v>330</v>
      </c>
      <c r="C794" s="7">
        <v>36022.800000000003</v>
      </c>
      <c r="D794" s="7">
        <v>0</v>
      </c>
      <c r="E794" s="7">
        <v>0</v>
      </c>
      <c r="F794" s="5">
        <v>0</v>
      </c>
      <c r="G794" s="7">
        <v>0</v>
      </c>
      <c r="H794" s="5">
        <v>0</v>
      </c>
      <c r="I794" s="7">
        <v>0</v>
      </c>
      <c r="J794" s="7">
        <v>0</v>
      </c>
      <c r="K794" s="5">
        <v>0</v>
      </c>
      <c r="L794" s="5">
        <v>0</v>
      </c>
      <c r="M794" s="5">
        <v>166</v>
      </c>
      <c r="N794" s="7">
        <v>166</v>
      </c>
      <c r="O794" s="7">
        <v>29051.8</v>
      </c>
      <c r="P794" s="7">
        <v>724</v>
      </c>
      <c r="Q794" s="5">
        <v>0</v>
      </c>
      <c r="R794" s="5">
        <v>724</v>
      </c>
      <c r="S794" s="7">
        <v>62611</v>
      </c>
      <c r="T794" s="12">
        <v>43248</v>
      </c>
      <c r="U794" s="4">
        <v>9</v>
      </c>
      <c r="V794" s="4">
        <v>9</v>
      </c>
      <c r="W794" s="4">
        <v>9</v>
      </c>
      <c r="X794" s="45">
        <v>127685.6</v>
      </c>
      <c r="Y794" s="14" t="s">
        <v>56</v>
      </c>
      <c r="Z794" s="14" t="s">
        <v>1281</v>
      </c>
      <c r="AA794" s="14" t="s">
        <v>3122</v>
      </c>
      <c r="AB794" s="44">
        <v>43257</v>
      </c>
      <c r="AC794" s="44" t="s">
        <v>3123</v>
      </c>
      <c r="AD794" s="29" t="s">
        <v>51</v>
      </c>
      <c r="AE794" s="24" t="s">
        <v>1842</v>
      </c>
      <c r="AF794" s="25"/>
      <c r="AI794" s="58"/>
    </row>
    <row r="795" spans="1:35" ht="16.5" customHeight="1">
      <c r="A795" s="6" t="s">
        <v>1837</v>
      </c>
      <c r="B795" s="5">
        <v>978</v>
      </c>
      <c r="C795" s="7">
        <v>79110</v>
      </c>
      <c r="D795" s="7">
        <v>0</v>
      </c>
      <c r="E795" s="7">
        <v>0</v>
      </c>
      <c r="F795" s="5">
        <v>0</v>
      </c>
      <c r="G795" s="7">
        <v>0</v>
      </c>
      <c r="H795" s="5">
        <v>0</v>
      </c>
      <c r="I795" s="7">
        <v>0</v>
      </c>
      <c r="J795" s="7">
        <v>0</v>
      </c>
      <c r="K795" s="5">
        <v>0</v>
      </c>
      <c r="L795" s="5">
        <v>0</v>
      </c>
      <c r="M795" s="5">
        <v>310</v>
      </c>
      <c r="N795" s="7">
        <v>310</v>
      </c>
      <c r="O795" s="7">
        <v>58289.69999999999</v>
      </c>
      <c r="P795" s="7">
        <v>0</v>
      </c>
      <c r="Q795" s="5">
        <v>0</v>
      </c>
      <c r="R795" s="5">
        <v>0</v>
      </c>
      <c r="S795" s="7">
        <v>0</v>
      </c>
      <c r="T795" s="12">
        <v>43248</v>
      </c>
      <c r="U795" s="4">
        <v>12</v>
      </c>
      <c r="V795" s="4">
        <v>9</v>
      </c>
      <c r="W795" s="4">
        <v>9</v>
      </c>
      <c r="X795" s="45">
        <v>137399.69999999998</v>
      </c>
      <c r="Y795" s="14" t="s">
        <v>54</v>
      </c>
      <c r="Z795" s="14" t="s">
        <v>59</v>
      </c>
      <c r="AA795" s="14" t="s">
        <v>3124</v>
      </c>
      <c r="AB795" s="44">
        <v>43251</v>
      </c>
      <c r="AC795" s="44" t="s">
        <v>3105</v>
      </c>
      <c r="AD795" s="29" t="s">
        <v>50</v>
      </c>
      <c r="AE795" s="24" t="s">
        <v>1843</v>
      </c>
      <c r="AF795" s="25"/>
      <c r="AI795" s="58"/>
    </row>
    <row r="796" spans="1:35" ht="16.5" customHeight="1">
      <c r="A796" s="6" t="s">
        <v>1844</v>
      </c>
      <c r="B796" s="5">
        <v>0</v>
      </c>
      <c r="C796" s="7">
        <v>0</v>
      </c>
      <c r="D796" s="7">
        <v>0</v>
      </c>
      <c r="E796" s="7">
        <v>0</v>
      </c>
      <c r="F796" s="5">
        <v>0</v>
      </c>
      <c r="G796" s="7">
        <v>0</v>
      </c>
      <c r="H796" s="5">
        <v>0</v>
      </c>
      <c r="I796" s="7">
        <v>0</v>
      </c>
      <c r="J796" s="7">
        <v>0</v>
      </c>
      <c r="K796" s="5">
        <v>0</v>
      </c>
      <c r="L796" s="5">
        <v>0</v>
      </c>
      <c r="M796" s="5">
        <v>0</v>
      </c>
      <c r="N796" s="7">
        <v>0</v>
      </c>
      <c r="O796" s="7">
        <v>0</v>
      </c>
      <c r="P796" s="7">
        <v>86</v>
      </c>
      <c r="Q796" s="5">
        <v>0</v>
      </c>
      <c r="R796" s="5">
        <v>86</v>
      </c>
      <c r="S796" s="7">
        <v>16058</v>
      </c>
      <c r="T796" s="12">
        <v>43249</v>
      </c>
      <c r="U796" s="4">
        <v>1</v>
      </c>
      <c r="V796" s="4">
        <v>9</v>
      </c>
      <c r="W796" s="4">
        <v>9</v>
      </c>
      <c r="X796" s="45">
        <v>16058</v>
      </c>
      <c r="Y796" s="14" t="s">
        <v>58</v>
      </c>
      <c r="Z796" s="14" t="s">
        <v>55</v>
      </c>
      <c r="AA796" s="14" t="s">
        <v>3125</v>
      </c>
      <c r="AB796" s="44">
        <v>43250</v>
      </c>
      <c r="AC796" s="44" t="s">
        <v>3096</v>
      </c>
      <c r="AD796" s="29" t="s">
        <v>49</v>
      </c>
      <c r="AE796" s="24" t="s">
        <v>1851</v>
      </c>
      <c r="AF796" s="25"/>
      <c r="AI796" s="58"/>
    </row>
    <row r="797" spans="1:35" ht="16.5" customHeight="1">
      <c r="A797" s="6" t="s">
        <v>1846</v>
      </c>
      <c r="B797" s="5">
        <v>170</v>
      </c>
      <c r="C797" s="7">
        <v>23361.5</v>
      </c>
      <c r="D797" s="7">
        <v>0</v>
      </c>
      <c r="E797" s="7">
        <v>0</v>
      </c>
      <c r="F797" s="5">
        <v>0</v>
      </c>
      <c r="G797" s="7">
        <v>0</v>
      </c>
      <c r="H797" s="5">
        <v>0</v>
      </c>
      <c r="I797" s="7">
        <v>0</v>
      </c>
      <c r="J797" s="7">
        <v>0</v>
      </c>
      <c r="K797" s="5">
        <v>0</v>
      </c>
      <c r="L797" s="5">
        <v>0</v>
      </c>
      <c r="M797" s="5">
        <v>0</v>
      </c>
      <c r="N797" s="7">
        <v>0</v>
      </c>
      <c r="O797" s="7">
        <v>0</v>
      </c>
      <c r="P797" s="7">
        <v>0</v>
      </c>
      <c r="Q797" s="5">
        <v>0</v>
      </c>
      <c r="R797" s="5">
        <v>0</v>
      </c>
      <c r="S797" s="7">
        <v>0</v>
      </c>
      <c r="T797" s="12">
        <v>43249</v>
      </c>
      <c r="U797" s="4">
        <v>2</v>
      </c>
      <c r="V797" s="4">
        <v>9</v>
      </c>
      <c r="W797" s="4">
        <v>9</v>
      </c>
      <c r="X797" s="45">
        <v>23361.5</v>
      </c>
      <c r="Y797" s="14" t="s">
        <v>85</v>
      </c>
      <c r="Z797" s="14" t="s">
        <v>1492</v>
      </c>
      <c r="AA797" s="14">
        <v>350810052042</v>
      </c>
      <c r="AB797" s="44">
        <v>43254</v>
      </c>
      <c r="AC797" s="44" t="s">
        <v>3113</v>
      </c>
      <c r="AD797" s="29" t="s">
        <v>49</v>
      </c>
      <c r="AE797" s="24" t="s">
        <v>1852</v>
      </c>
      <c r="AF797" s="25"/>
      <c r="AI797" s="58"/>
    </row>
    <row r="798" spans="1:35" ht="16.5" customHeight="1">
      <c r="A798" s="6" t="s">
        <v>1847</v>
      </c>
      <c r="B798" s="5">
        <v>110</v>
      </c>
      <c r="C798" s="7">
        <v>12068.099999999999</v>
      </c>
      <c r="D798" s="7">
        <v>0</v>
      </c>
      <c r="E798" s="7">
        <v>0</v>
      </c>
      <c r="F798" s="5">
        <v>0</v>
      </c>
      <c r="G798" s="7">
        <v>0</v>
      </c>
      <c r="H798" s="5">
        <v>210</v>
      </c>
      <c r="I798" s="7">
        <v>25148.9</v>
      </c>
      <c r="J798" s="7">
        <v>0</v>
      </c>
      <c r="K798" s="5">
        <v>0</v>
      </c>
      <c r="L798" s="5">
        <v>0</v>
      </c>
      <c r="M798" s="5">
        <v>103</v>
      </c>
      <c r="N798" s="7">
        <v>103</v>
      </c>
      <c r="O798" s="7">
        <v>20744.3</v>
      </c>
      <c r="P798" s="7">
        <v>351</v>
      </c>
      <c r="Q798" s="5">
        <v>0</v>
      </c>
      <c r="R798" s="5">
        <v>351</v>
      </c>
      <c r="S798" s="7">
        <v>59648.600000000006</v>
      </c>
      <c r="T798" s="12">
        <v>43249</v>
      </c>
      <c r="U798" s="4">
        <v>9</v>
      </c>
      <c r="V798" s="4">
        <v>9</v>
      </c>
      <c r="W798" s="4">
        <v>9</v>
      </c>
      <c r="X798" s="45">
        <v>117609.90000000001</v>
      </c>
      <c r="Y798" s="14" t="s">
        <v>56</v>
      </c>
      <c r="Z798" s="14" t="s">
        <v>1281</v>
      </c>
      <c r="AA798" s="14" t="s">
        <v>3122</v>
      </c>
      <c r="AB798" s="44">
        <v>43257</v>
      </c>
      <c r="AC798" s="44" t="s">
        <v>3123</v>
      </c>
      <c r="AD798" s="29" t="s">
        <v>51</v>
      </c>
      <c r="AE798" s="24" t="s">
        <v>1853</v>
      </c>
      <c r="AF798" s="25"/>
      <c r="AI798" s="58"/>
    </row>
    <row r="799" spans="1:35" ht="16.5" customHeight="1">
      <c r="A799" s="6" t="s">
        <v>1848</v>
      </c>
      <c r="B799" s="5">
        <v>1322</v>
      </c>
      <c r="C799" s="7">
        <v>134471.53</v>
      </c>
      <c r="D799" s="7">
        <v>0</v>
      </c>
      <c r="E799" s="7">
        <v>0</v>
      </c>
      <c r="F799" s="5">
        <v>0</v>
      </c>
      <c r="G799" s="7">
        <v>0</v>
      </c>
      <c r="H799" s="5">
        <v>824</v>
      </c>
      <c r="I799" s="7">
        <v>63509.819999999992</v>
      </c>
      <c r="J799" s="7">
        <v>0</v>
      </c>
      <c r="K799" s="5">
        <v>0</v>
      </c>
      <c r="L799" s="5">
        <v>0</v>
      </c>
      <c r="M799" s="5">
        <v>170</v>
      </c>
      <c r="N799" s="7">
        <v>170</v>
      </c>
      <c r="O799" s="7">
        <v>3207</v>
      </c>
      <c r="P799" s="7">
        <v>170</v>
      </c>
      <c r="Q799" s="5">
        <v>0</v>
      </c>
      <c r="R799" s="5">
        <v>170</v>
      </c>
      <c r="S799" s="7">
        <v>8530.8499999999985</v>
      </c>
      <c r="T799" s="12">
        <v>43249</v>
      </c>
      <c r="U799" s="4">
        <v>16</v>
      </c>
      <c r="V799" s="4">
        <v>9</v>
      </c>
      <c r="W799" s="4">
        <v>9</v>
      </c>
      <c r="X799" s="45">
        <v>209719.19999999998</v>
      </c>
      <c r="Y799" s="14" t="s">
        <v>56</v>
      </c>
      <c r="Z799" s="14" t="s">
        <v>55</v>
      </c>
      <c r="AA799" s="14" t="s">
        <v>3120</v>
      </c>
      <c r="AB799" s="44">
        <v>43253</v>
      </c>
      <c r="AC799" s="44" t="s">
        <v>3121</v>
      </c>
      <c r="AD799" s="29" t="s">
        <v>51</v>
      </c>
      <c r="AE799" s="24" t="s">
        <v>1854</v>
      </c>
      <c r="AF799" s="25"/>
      <c r="AI799" s="58"/>
    </row>
    <row r="800" spans="1:35" ht="16.5" customHeight="1">
      <c r="A800" s="6" t="s">
        <v>1849</v>
      </c>
      <c r="B800" s="5">
        <v>983</v>
      </c>
      <c r="C800" s="7">
        <v>78278.98000000001</v>
      </c>
      <c r="D800" s="7">
        <v>0</v>
      </c>
      <c r="E800" s="7">
        <v>0</v>
      </c>
      <c r="F800" s="5">
        <v>0</v>
      </c>
      <c r="G800" s="7">
        <v>0</v>
      </c>
      <c r="H800" s="5">
        <v>100</v>
      </c>
      <c r="I800" s="7">
        <v>3146.5</v>
      </c>
      <c r="J800" s="7">
        <v>0</v>
      </c>
      <c r="K800" s="5">
        <v>0</v>
      </c>
      <c r="L800" s="5">
        <v>0</v>
      </c>
      <c r="M800" s="5">
        <v>83</v>
      </c>
      <c r="N800" s="7">
        <v>83</v>
      </c>
      <c r="O800" s="7">
        <v>10979.400000000001</v>
      </c>
      <c r="P800" s="7">
        <v>30</v>
      </c>
      <c r="Q800" s="5">
        <v>0</v>
      </c>
      <c r="R800" s="5">
        <v>30</v>
      </c>
      <c r="S800" s="7">
        <v>1501.9499999999998</v>
      </c>
      <c r="T800" s="12">
        <v>43249</v>
      </c>
      <c r="U800" s="4">
        <v>7</v>
      </c>
      <c r="V800" s="4">
        <v>9</v>
      </c>
      <c r="W800" s="4">
        <v>9</v>
      </c>
      <c r="X800" s="45">
        <v>93906.83</v>
      </c>
      <c r="Y800" s="14" t="s">
        <v>54</v>
      </c>
      <c r="Z800" s="14" t="s">
        <v>59</v>
      </c>
      <c r="AA800" s="14" t="s">
        <v>3124</v>
      </c>
      <c r="AB800" s="44">
        <v>43251</v>
      </c>
      <c r="AC800" s="44" t="s">
        <v>3105</v>
      </c>
      <c r="AD800" s="29" t="s">
        <v>50</v>
      </c>
      <c r="AE800" s="24" t="s">
        <v>1855</v>
      </c>
      <c r="AF800" s="25"/>
      <c r="AI800" s="58"/>
    </row>
    <row r="801" spans="1:41" ht="16.5" customHeight="1">
      <c r="A801" s="6" t="s">
        <v>1850</v>
      </c>
      <c r="B801" s="5">
        <v>177</v>
      </c>
      <c r="C801" s="7">
        <v>20258.7</v>
      </c>
      <c r="D801" s="7">
        <v>0</v>
      </c>
      <c r="E801" s="7">
        <v>0</v>
      </c>
      <c r="F801" s="5">
        <v>0</v>
      </c>
      <c r="G801" s="7">
        <v>0</v>
      </c>
      <c r="H801" s="5">
        <v>30</v>
      </c>
      <c r="I801" s="7">
        <v>3838.8</v>
      </c>
      <c r="J801" s="7">
        <v>0</v>
      </c>
      <c r="K801" s="5">
        <v>0</v>
      </c>
      <c r="L801" s="5">
        <v>0</v>
      </c>
      <c r="M801" s="5">
        <v>0</v>
      </c>
      <c r="N801" s="7">
        <v>0</v>
      </c>
      <c r="O801" s="7">
        <v>0</v>
      </c>
      <c r="P801" s="7">
        <v>0</v>
      </c>
      <c r="Q801" s="5">
        <v>0</v>
      </c>
      <c r="R801" s="5">
        <v>0</v>
      </c>
      <c r="S801" s="7">
        <v>0</v>
      </c>
      <c r="T801" s="12">
        <v>43249</v>
      </c>
      <c r="U801" s="4">
        <v>2</v>
      </c>
      <c r="V801" s="4">
        <v>9</v>
      </c>
      <c r="W801" s="4">
        <v>9</v>
      </c>
      <c r="X801" s="45">
        <v>24097.5</v>
      </c>
      <c r="Y801" s="14" t="s">
        <v>54</v>
      </c>
      <c r="Z801" s="14" t="s">
        <v>1355</v>
      </c>
      <c r="AA801" s="14" t="s">
        <v>3116</v>
      </c>
      <c r="AB801" s="44">
        <v>43255</v>
      </c>
      <c r="AC801" s="44" t="s">
        <v>3117</v>
      </c>
      <c r="AD801" s="29" t="s">
        <v>49</v>
      </c>
      <c r="AE801" s="24" t="s">
        <v>1856</v>
      </c>
      <c r="AF801" s="25"/>
      <c r="AI801" s="58"/>
    </row>
    <row r="802" spans="1:41" s="50" customFormat="1" ht="16.5" customHeight="1">
      <c r="A802" s="35" t="s">
        <v>1857</v>
      </c>
      <c r="B802" s="26">
        <v>91</v>
      </c>
      <c r="C802" s="32">
        <v>11761.100000000002</v>
      </c>
      <c r="D802" s="32">
        <v>0</v>
      </c>
      <c r="E802" s="32">
        <v>0</v>
      </c>
      <c r="F802" s="26">
        <v>0</v>
      </c>
      <c r="G802" s="32">
        <v>0</v>
      </c>
      <c r="H802" s="26">
        <v>0</v>
      </c>
      <c r="I802" s="32">
        <v>0</v>
      </c>
      <c r="J802" s="32">
        <v>0</v>
      </c>
      <c r="K802" s="26">
        <v>0</v>
      </c>
      <c r="L802" s="26">
        <v>0</v>
      </c>
      <c r="M802" s="26">
        <v>49</v>
      </c>
      <c r="N802" s="32">
        <v>49</v>
      </c>
      <c r="O802" s="32">
        <v>9459.3000000000011</v>
      </c>
      <c r="P802" s="32">
        <v>0</v>
      </c>
      <c r="Q802" s="26">
        <v>0</v>
      </c>
      <c r="R802" s="26">
        <v>0</v>
      </c>
      <c r="S802" s="32">
        <v>0</v>
      </c>
      <c r="T802" s="46">
        <v>43250</v>
      </c>
      <c r="U802" s="33">
        <v>2</v>
      </c>
      <c r="V802" s="33">
        <v>9</v>
      </c>
      <c r="W802" s="33">
        <v>9</v>
      </c>
      <c r="X802" s="47">
        <v>21220.400000000001</v>
      </c>
      <c r="Y802" s="48" t="s">
        <v>1633</v>
      </c>
      <c r="Z802" s="48" t="s">
        <v>1492</v>
      </c>
      <c r="AA802" s="14" t="s">
        <v>3114</v>
      </c>
      <c r="AB802" s="44">
        <v>43254</v>
      </c>
      <c r="AC802" s="44" t="s">
        <v>3115</v>
      </c>
      <c r="AD802" s="48" t="s">
        <v>70</v>
      </c>
      <c r="AE802" s="49" t="s">
        <v>1864</v>
      </c>
      <c r="AF802" s="25"/>
      <c r="AG802" s="34"/>
      <c r="AH802" s="34"/>
      <c r="AI802" s="58"/>
      <c r="AJ802"/>
      <c r="AK802" s="34"/>
      <c r="AL802" s="34"/>
      <c r="AM802" s="34"/>
      <c r="AN802" s="34"/>
      <c r="AO802" s="34"/>
    </row>
    <row r="803" spans="1:41" ht="16.5" customHeight="1">
      <c r="A803" s="6" t="s">
        <v>1858</v>
      </c>
      <c r="B803" s="5">
        <v>32</v>
      </c>
      <c r="C803" s="7">
        <v>4119.4000000000005</v>
      </c>
      <c r="D803" s="7">
        <v>0</v>
      </c>
      <c r="E803" s="7">
        <v>0</v>
      </c>
      <c r="F803" s="5">
        <v>0</v>
      </c>
      <c r="G803" s="7">
        <v>0</v>
      </c>
      <c r="H803" s="5">
        <v>0</v>
      </c>
      <c r="I803" s="7">
        <v>0</v>
      </c>
      <c r="J803" s="7">
        <v>0</v>
      </c>
      <c r="K803" s="5">
        <v>0</v>
      </c>
      <c r="L803" s="5">
        <v>0</v>
      </c>
      <c r="M803" s="5">
        <v>15</v>
      </c>
      <c r="N803" s="7">
        <v>15</v>
      </c>
      <c r="O803" s="7">
        <v>2977.5</v>
      </c>
      <c r="P803" s="7">
        <v>60</v>
      </c>
      <c r="Q803" s="5">
        <v>0</v>
      </c>
      <c r="R803" s="5">
        <v>60</v>
      </c>
      <c r="S803" s="7">
        <v>6112</v>
      </c>
      <c r="T803" s="12">
        <v>43250</v>
      </c>
      <c r="U803" s="4">
        <v>1</v>
      </c>
      <c r="V803" s="4">
        <v>9</v>
      </c>
      <c r="W803" s="4">
        <v>9</v>
      </c>
      <c r="X803" s="45">
        <v>13208.900000000001</v>
      </c>
      <c r="Y803" s="14" t="s">
        <v>1354</v>
      </c>
      <c r="Z803" s="14" t="s">
        <v>57</v>
      </c>
      <c r="AA803" s="14" t="s">
        <v>3126</v>
      </c>
      <c r="AB803" s="44">
        <v>43253</v>
      </c>
      <c r="AC803" s="44" t="s">
        <v>3127</v>
      </c>
      <c r="AD803" s="29" t="s">
        <v>240</v>
      </c>
      <c r="AE803" s="24" t="s">
        <v>1865</v>
      </c>
      <c r="AF803" s="25"/>
      <c r="AI803" s="58"/>
    </row>
    <row r="804" spans="1:41" ht="16.5" customHeight="1">
      <c r="A804" s="6" t="s">
        <v>1845</v>
      </c>
      <c r="B804" s="5">
        <v>0</v>
      </c>
      <c r="C804" s="7">
        <v>0</v>
      </c>
      <c r="D804" s="7">
        <v>0</v>
      </c>
      <c r="E804" s="7">
        <v>0</v>
      </c>
      <c r="F804" s="5">
        <v>0</v>
      </c>
      <c r="G804" s="7">
        <v>0</v>
      </c>
      <c r="H804" s="5">
        <v>661</v>
      </c>
      <c r="I804" s="7">
        <v>75274.989999999991</v>
      </c>
      <c r="J804" s="7">
        <v>0</v>
      </c>
      <c r="K804" s="5">
        <v>0</v>
      </c>
      <c r="L804" s="5">
        <v>0</v>
      </c>
      <c r="M804" s="5">
        <v>0</v>
      </c>
      <c r="N804" s="7">
        <v>0</v>
      </c>
      <c r="O804" s="7">
        <v>0</v>
      </c>
      <c r="P804" s="7">
        <v>0</v>
      </c>
      <c r="Q804" s="5">
        <v>0</v>
      </c>
      <c r="R804" s="5">
        <v>0</v>
      </c>
      <c r="S804" s="7">
        <v>0</v>
      </c>
      <c r="T804" s="12">
        <v>43250</v>
      </c>
      <c r="U804" s="4">
        <v>5</v>
      </c>
      <c r="V804" s="4">
        <v>9</v>
      </c>
      <c r="W804" s="4">
        <v>9</v>
      </c>
      <c r="X804" s="45">
        <v>75274.989999999991</v>
      </c>
      <c r="Y804" s="14" t="s">
        <v>54</v>
      </c>
      <c r="Z804" s="14" t="s">
        <v>1355</v>
      </c>
      <c r="AA804" s="14" t="s">
        <v>3116</v>
      </c>
      <c r="AB804" s="44">
        <v>43255</v>
      </c>
      <c r="AC804" s="44" t="s">
        <v>3117</v>
      </c>
      <c r="AD804" s="29" t="s">
        <v>49</v>
      </c>
      <c r="AE804" s="24" t="s">
        <v>1866</v>
      </c>
      <c r="AF804" s="25"/>
      <c r="AI804" s="58"/>
    </row>
    <row r="805" spans="1:41" ht="16.5" customHeight="1">
      <c r="A805" s="6" t="s">
        <v>1859</v>
      </c>
      <c r="B805" s="5">
        <v>58</v>
      </c>
      <c r="C805" s="7">
        <v>6406.5000000000009</v>
      </c>
      <c r="D805" s="7">
        <v>0</v>
      </c>
      <c r="E805" s="7">
        <v>0</v>
      </c>
      <c r="F805" s="5">
        <v>0</v>
      </c>
      <c r="G805" s="7">
        <v>0</v>
      </c>
      <c r="H805" s="5">
        <v>71</v>
      </c>
      <c r="I805" s="7">
        <v>6163.8600000000015</v>
      </c>
      <c r="J805" s="7">
        <v>0</v>
      </c>
      <c r="K805" s="5">
        <v>0</v>
      </c>
      <c r="L805" s="5">
        <v>0</v>
      </c>
      <c r="M805" s="5">
        <v>81</v>
      </c>
      <c r="N805" s="7">
        <v>81</v>
      </c>
      <c r="O805" s="7">
        <v>9605.6</v>
      </c>
      <c r="P805" s="7">
        <v>8</v>
      </c>
      <c r="Q805" s="5">
        <v>0</v>
      </c>
      <c r="R805" s="5">
        <v>8</v>
      </c>
      <c r="S805" s="7">
        <v>401.67</v>
      </c>
      <c r="T805" s="12">
        <v>43250</v>
      </c>
      <c r="U805" s="4">
        <v>2</v>
      </c>
      <c r="V805" s="4">
        <v>9</v>
      </c>
      <c r="W805" s="4">
        <v>9</v>
      </c>
      <c r="X805" s="45">
        <v>22577.63</v>
      </c>
      <c r="Y805" s="14" t="s">
        <v>56</v>
      </c>
      <c r="Z805" s="14" t="s">
        <v>57</v>
      </c>
      <c r="AA805" s="14" t="s">
        <v>3118</v>
      </c>
      <c r="AB805" s="44">
        <v>43253</v>
      </c>
      <c r="AC805" s="44" t="s">
        <v>3119</v>
      </c>
      <c r="AD805" s="29" t="s">
        <v>52</v>
      </c>
      <c r="AE805" s="24" t="s">
        <v>1867</v>
      </c>
      <c r="AF805" s="25"/>
      <c r="AI805" s="58"/>
    </row>
    <row r="806" spans="1:41" ht="16.5" customHeight="1">
      <c r="A806" s="6" t="s">
        <v>1860</v>
      </c>
      <c r="B806" s="5">
        <v>294</v>
      </c>
      <c r="C806" s="7">
        <v>23769.68</v>
      </c>
      <c r="D806" s="7">
        <v>0</v>
      </c>
      <c r="E806" s="7">
        <v>0</v>
      </c>
      <c r="F806" s="5">
        <v>0</v>
      </c>
      <c r="G806" s="7">
        <v>0</v>
      </c>
      <c r="H806" s="5">
        <v>130</v>
      </c>
      <c r="I806" s="7">
        <v>13842.100000000002</v>
      </c>
      <c r="J806" s="7">
        <v>0</v>
      </c>
      <c r="K806" s="5">
        <v>0</v>
      </c>
      <c r="L806" s="5">
        <v>0</v>
      </c>
      <c r="M806" s="5">
        <v>154</v>
      </c>
      <c r="N806" s="7">
        <v>154</v>
      </c>
      <c r="O806" s="7">
        <v>13402.8</v>
      </c>
      <c r="P806" s="7">
        <v>0</v>
      </c>
      <c r="Q806" s="5">
        <v>0</v>
      </c>
      <c r="R806" s="5">
        <v>0</v>
      </c>
      <c r="S806" s="7">
        <v>0</v>
      </c>
      <c r="T806" s="12">
        <v>43250</v>
      </c>
      <c r="U806" s="4">
        <v>4</v>
      </c>
      <c r="V806" s="4">
        <v>9</v>
      </c>
      <c r="W806" s="4">
        <v>9</v>
      </c>
      <c r="X806" s="45">
        <v>51014.58</v>
      </c>
      <c r="Y806" s="14" t="s">
        <v>56</v>
      </c>
      <c r="Z806" s="14" t="s">
        <v>55</v>
      </c>
      <c r="AA806" s="14" t="s">
        <v>3120</v>
      </c>
      <c r="AB806" s="44">
        <v>43253</v>
      </c>
      <c r="AC806" s="44" t="s">
        <v>3121</v>
      </c>
      <c r="AD806" s="29" t="s">
        <v>51</v>
      </c>
      <c r="AE806" s="24" t="s">
        <v>1868</v>
      </c>
      <c r="AF806" s="25"/>
      <c r="AI806" s="58"/>
    </row>
    <row r="807" spans="1:41" ht="16.5" customHeight="1">
      <c r="A807" s="6" t="s">
        <v>1861</v>
      </c>
      <c r="B807" s="5">
        <v>178</v>
      </c>
      <c r="C807" s="7">
        <v>25243.8</v>
      </c>
      <c r="D807" s="7">
        <v>0</v>
      </c>
      <c r="E807" s="7">
        <v>0</v>
      </c>
      <c r="F807" s="5">
        <v>0</v>
      </c>
      <c r="G807" s="7">
        <v>0</v>
      </c>
      <c r="H807" s="5">
        <v>310</v>
      </c>
      <c r="I807" s="7">
        <v>37345.899999999994</v>
      </c>
      <c r="J807" s="7">
        <v>0</v>
      </c>
      <c r="K807" s="5">
        <v>0</v>
      </c>
      <c r="L807" s="5">
        <v>0</v>
      </c>
      <c r="M807" s="5">
        <v>88</v>
      </c>
      <c r="N807" s="7">
        <v>88</v>
      </c>
      <c r="O807" s="7">
        <v>10434.200000000001</v>
      </c>
      <c r="P807" s="7">
        <v>482</v>
      </c>
      <c r="Q807" s="5">
        <v>0</v>
      </c>
      <c r="R807" s="5">
        <v>482</v>
      </c>
      <c r="S807" s="7">
        <v>82454.599999999991</v>
      </c>
      <c r="T807" s="12">
        <v>43250</v>
      </c>
      <c r="U807" s="4">
        <v>10</v>
      </c>
      <c r="V807" s="4">
        <v>9</v>
      </c>
      <c r="W807" s="4">
        <v>9</v>
      </c>
      <c r="X807" s="45">
        <v>155478.5</v>
      </c>
      <c r="Y807" s="14" t="s">
        <v>56</v>
      </c>
      <c r="Z807" s="14" t="s">
        <v>1281</v>
      </c>
      <c r="AA807" s="14" t="s">
        <v>3122</v>
      </c>
      <c r="AB807" s="44">
        <v>43257</v>
      </c>
      <c r="AC807" s="44" t="s">
        <v>3123</v>
      </c>
      <c r="AD807" s="29" t="s">
        <v>51</v>
      </c>
      <c r="AE807" s="24" t="s">
        <v>1869</v>
      </c>
      <c r="AF807" s="25"/>
      <c r="AI807" s="58"/>
    </row>
    <row r="808" spans="1:41" ht="16.5" customHeight="1">
      <c r="A808" s="6" t="s">
        <v>1862</v>
      </c>
      <c r="B808" s="5">
        <v>450</v>
      </c>
      <c r="C808" s="7">
        <v>41784.6</v>
      </c>
      <c r="D808" s="7">
        <v>0</v>
      </c>
      <c r="E808" s="7">
        <v>0</v>
      </c>
      <c r="F808" s="5">
        <v>0</v>
      </c>
      <c r="G808" s="7">
        <v>0</v>
      </c>
      <c r="H808" s="5">
        <v>0</v>
      </c>
      <c r="I808" s="7">
        <v>0</v>
      </c>
      <c r="J808" s="7">
        <v>0</v>
      </c>
      <c r="K808" s="5">
        <v>0</v>
      </c>
      <c r="L808" s="5">
        <v>0</v>
      </c>
      <c r="M808" s="5">
        <v>118</v>
      </c>
      <c r="N808" s="7">
        <v>118</v>
      </c>
      <c r="O808" s="7">
        <v>20328.400000000001</v>
      </c>
      <c r="P808" s="7">
        <v>0</v>
      </c>
      <c r="Q808" s="5">
        <v>0</v>
      </c>
      <c r="R808" s="5">
        <v>0</v>
      </c>
      <c r="S808" s="7">
        <v>0</v>
      </c>
      <c r="T808" s="12">
        <v>43250</v>
      </c>
      <c r="U808" s="4">
        <v>5</v>
      </c>
      <c r="V808" s="4">
        <v>9</v>
      </c>
      <c r="W808" s="4">
        <v>9</v>
      </c>
      <c r="X808" s="45">
        <v>62113</v>
      </c>
      <c r="Y808" s="14" t="s">
        <v>54</v>
      </c>
      <c r="Z808" s="14" t="s">
        <v>59</v>
      </c>
      <c r="AA808" s="14" t="s">
        <v>3128</v>
      </c>
      <c r="AB808" s="44">
        <v>43255</v>
      </c>
      <c r="AC808" s="44" t="s">
        <v>3117</v>
      </c>
      <c r="AD808" s="29" t="s">
        <v>50</v>
      </c>
      <c r="AE808" s="24" t="s">
        <v>1870</v>
      </c>
      <c r="AF808" s="25"/>
      <c r="AI808" s="58"/>
    </row>
    <row r="809" spans="1:41" ht="16.5" customHeight="1">
      <c r="A809" s="6" t="s">
        <v>1863</v>
      </c>
      <c r="B809" s="5">
        <v>647</v>
      </c>
      <c r="C809" s="7">
        <v>67514.98</v>
      </c>
      <c r="D809" s="7">
        <v>0</v>
      </c>
      <c r="E809" s="7">
        <v>0</v>
      </c>
      <c r="F809" s="5">
        <v>0</v>
      </c>
      <c r="G809" s="7">
        <v>0</v>
      </c>
      <c r="H809" s="5">
        <v>0</v>
      </c>
      <c r="I809" s="7">
        <v>0</v>
      </c>
      <c r="J809" s="7">
        <v>0</v>
      </c>
      <c r="K809" s="5">
        <v>0</v>
      </c>
      <c r="L809" s="5">
        <v>0</v>
      </c>
      <c r="M809" s="5">
        <v>189</v>
      </c>
      <c r="N809" s="7">
        <v>189</v>
      </c>
      <c r="O809" s="7">
        <v>31019.499999999996</v>
      </c>
      <c r="P809" s="7">
        <v>503</v>
      </c>
      <c r="Q809" s="5">
        <v>0</v>
      </c>
      <c r="R809" s="5">
        <v>503</v>
      </c>
      <c r="S809" s="7">
        <v>101747.20000000001</v>
      </c>
      <c r="T809" s="12">
        <v>43250</v>
      </c>
      <c r="U809" s="4">
        <v>14</v>
      </c>
      <c r="V809" s="4">
        <v>9</v>
      </c>
      <c r="W809" s="4">
        <v>9</v>
      </c>
      <c r="X809" s="45">
        <v>200281.68</v>
      </c>
      <c r="Y809" s="14" t="s">
        <v>54</v>
      </c>
      <c r="Z809" s="14" t="s">
        <v>59</v>
      </c>
      <c r="AA809" s="14" t="s">
        <v>3129</v>
      </c>
      <c r="AB809" s="44">
        <v>43261</v>
      </c>
      <c r="AC809" s="44" t="s">
        <v>3130</v>
      </c>
      <c r="AD809" s="29" t="s">
        <v>50</v>
      </c>
      <c r="AE809" s="24" t="s">
        <v>1871</v>
      </c>
      <c r="AF809" s="25"/>
      <c r="AI809" s="58"/>
    </row>
    <row r="810" spans="1:41" ht="16.5" customHeight="1">
      <c r="A810" s="6" t="s">
        <v>1872</v>
      </c>
      <c r="B810" s="5">
        <v>0</v>
      </c>
      <c r="C810" s="7">
        <v>0</v>
      </c>
      <c r="D810" s="7">
        <v>0</v>
      </c>
      <c r="E810" s="7">
        <v>0</v>
      </c>
      <c r="F810" s="5">
        <v>0</v>
      </c>
      <c r="G810" s="7">
        <v>0</v>
      </c>
      <c r="H810" s="5">
        <v>495</v>
      </c>
      <c r="I810" s="7">
        <v>63543.7</v>
      </c>
      <c r="J810" s="7">
        <v>0</v>
      </c>
      <c r="K810" s="5">
        <v>0</v>
      </c>
      <c r="L810" s="5">
        <v>0</v>
      </c>
      <c r="M810" s="5">
        <v>0</v>
      </c>
      <c r="N810" s="7">
        <v>0</v>
      </c>
      <c r="O810" s="7">
        <v>0</v>
      </c>
      <c r="P810" s="7">
        <v>0</v>
      </c>
      <c r="Q810" s="5">
        <v>0</v>
      </c>
      <c r="R810" s="5">
        <v>0</v>
      </c>
      <c r="S810" s="7">
        <v>0</v>
      </c>
      <c r="T810" s="12">
        <v>43251</v>
      </c>
      <c r="U810" s="4">
        <v>5</v>
      </c>
      <c r="V810" s="4">
        <v>9</v>
      </c>
      <c r="W810" s="4">
        <v>9</v>
      </c>
      <c r="X810" s="45">
        <v>63543.7</v>
      </c>
      <c r="Y810" s="14" t="s">
        <v>54</v>
      </c>
      <c r="Z810" s="14" t="s">
        <v>1355</v>
      </c>
      <c r="AA810" s="14" t="s">
        <v>3131</v>
      </c>
      <c r="AB810" s="44">
        <v>43261</v>
      </c>
      <c r="AC810" s="44" t="s">
        <v>3130</v>
      </c>
      <c r="AD810" s="29" t="s">
        <v>49</v>
      </c>
      <c r="AE810" s="24" t="s">
        <v>1873</v>
      </c>
      <c r="AF810" s="25"/>
      <c r="AI810" s="58"/>
    </row>
    <row r="811" spans="1:41" ht="16.5" customHeight="1">
      <c r="A811" s="6" t="s">
        <v>1874</v>
      </c>
      <c r="B811" s="5">
        <v>124</v>
      </c>
      <c r="C811" s="7">
        <v>12164</v>
      </c>
      <c r="D811" s="7">
        <v>0</v>
      </c>
      <c r="E811" s="7">
        <v>0</v>
      </c>
      <c r="F811" s="5">
        <v>0</v>
      </c>
      <c r="G811" s="7">
        <v>0</v>
      </c>
      <c r="H811" s="5">
        <v>0</v>
      </c>
      <c r="I811" s="7">
        <v>0</v>
      </c>
      <c r="J811" s="7">
        <v>0</v>
      </c>
      <c r="K811" s="5">
        <v>0</v>
      </c>
      <c r="L811" s="5">
        <v>0</v>
      </c>
      <c r="M811" s="5">
        <v>51</v>
      </c>
      <c r="N811" s="7">
        <v>51</v>
      </c>
      <c r="O811" s="7">
        <v>8080.9</v>
      </c>
      <c r="P811" s="7">
        <v>0</v>
      </c>
      <c r="Q811" s="5">
        <v>0</v>
      </c>
      <c r="R811" s="5">
        <v>0</v>
      </c>
      <c r="S811" s="7">
        <v>0</v>
      </c>
      <c r="T811" s="12">
        <v>43251</v>
      </c>
      <c r="U811" s="4">
        <v>2</v>
      </c>
      <c r="V811" s="4">
        <v>9</v>
      </c>
      <c r="W811" s="4">
        <v>9</v>
      </c>
      <c r="X811" s="45">
        <v>20244.900000000001</v>
      </c>
      <c r="Y811" s="14" t="s">
        <v>54</v>
      </c>
      <c r="Z811" s="14" t="s">
        <v>1492</v>
      </c>
      <c r="AA811" s="14" t="s">
        <v>3116</v>
      </c>
      <c r="AB811" s="44">
        <v>43255</v>
      </c>
      <c r="AC811" s="44" t="s">
        <v>3117</v>
      </c>
      <c r="AD811" s="29" t="s">
        <v>49</v>
      </c>
      <c r="AE811" s="24" t="s">
        <v>1875</v>
      </c>
      <c r="AF811" s="25"/>
      <c r="AI811" s="58"/>
    </row>
    <row r="812" spans="1:41" ht="16.5" customHeight="1">
      <c r="A812" s="6" t="s">
        <v>1876</v>
      </c>
      <c r="B812" s="5">
        <v>90</v>
      </c>
      <c r="C812" s="7">
        <v>11446.8</v>
      </c>
      <c r="D812" s="7">
        <v>0</v>
      </c>
      <c r="E812" s="7">
        <v>0</v>
      </c>
      <c r="F812" s="5">
        <v>0</v>
      </c>
      <c r="G812" s="7">
        <v>0</v>
      </c>
      <c r="H812" s="5">
        <v>95</v>
      </c>
      <c r="I812" s="7">
        <v>12156.2</v>
      </c>
      <c r="J812" s="7">
        <v>0</v>
      </c>
      <c r="K812" s="5">
        <v>0</v>
      </c>
      <c r="L812" s="5">
        <v>0</v>
      </c>
      <c r="M812" s="5">
        <v>58</v>
      </c>
      <c r="N812" s="7">
        <v>58</v>
      </c>
      <c r="O812" s="7">
        <v>10248.599999999999</v>
      </c>
      <c r="P812" s="7">
        <v>197</v>
      </c>
      <c r="Q812" s="5">
        <v>0</v>
      </c>
      <c r="R812" s="5">
        <v>197</v>
      </c>
      <c r="S812" s="7">
        <v>28376.400000000001</v>
      </c>
      <c r="T812" s="12">
        <v>43251</v>
      </c>
      <c r="U812" s="4">
        <v>5</v>
      </c>
      <c r="V812" s="4">
        <v>9</v>
      </c>
      <c r="W812" s="4">
        <v>9</v>
      </c>
      <c r="X812" s="45">
        <v>62228</v>
      </c>
      <c r="Y812" s="14" t="s">
        <v>54</v>
      </c>
      <c r="Z812" s="14" t="s">
        <v>1355</v>
      </c>
      <c r="AA812" s="14" t="s">
        <v>3131</v>
      </c>
      <c r="AB812" s="44">
        <v>43261</v>
      </c>
      <c r="AC812" s="44" t="s">
        <v>3130</v>
      </c>
      <c r="AD812" s="29" t="s">
        <v>49</v>
      </c>
      <c r="AE812" s="24" t="s">
        <v>1877</v>
      </c>
      <c r="AF812" s="25"/>
      <c r="AI812" s="58"/>
    </row>
    <row r="813" spans="1:41" ht="16.5" customHeight="1">
      <c r="A813" s="6" t="s">
        <v>1880</v>
      </c>
      <c r="B813" s="5">
        <v>440</v>
      </c>
      <c r="C813" s="7">
        <v>42384.899999999994</v>
      </c>
      <c r="D813" s="7">
        <v>0</v>
      </c>
      <c r="E813" s="7">
        <v>0</v>
      </c>
      <c r="F813" s="5">
        <v>0</v>
      </c>
      <c r="G813" s="7">
        <v>0</v>
      </c>
      <c r="H813" s="5">
        <v>221</v>
      </c>
      <c r="I813" s="7">
        <v>27515.229999999996</v>
      </c>
      <c r="J813" s="7">
        <v>0</v>
      </c>
      <c r="K813" s="5">
        <v>0</v>
      </c>
      <c r="L813" s="5">
        <v>0</v>
      </c>
      <c r="M813" s="5">
        <v>0</v>
      </c>
      <c r="N813" s="7">
        <v>0</v>
      </c>
      <c r="O813" s="7">
        <v>0</v>
      </c>
      <c r="P813" s="7">
        <v>0</v>
      </c>
      <c r="Q813" s="5">
        <v>0</v>
      </c>
      <c r="R813" s="5">
        <v>0</v>
      </c>
      <c r="S813" s="7">
        <v>0</v>
      </c>
      <c r="T813" s="12">
        <v>43251</v>
      </c>
      <c r="U813" s="4">
        <v>5</v>
      </c>
      <c r="V813" s="4">
        <v>9</v>
      </c>
      <c r="W813" s="4">
        <v>9</v>
      </c>
      <c r="X813" s="45">
        <v>69900.12999999999</v>
      </c>
      <c r="Y813" s="14" t="s">
        <v>54</v>
      </c>
      <c r="Z813" s="14" t="s">
        <v>55</v>
      </c>
      <c r="AA813" s="14" t="s">
        <v>3132</v>
      </c>
      <c r="AB813" s="44">
        <v>43254</v>
      </c>
      <c r="AC813" s="44" t="s">
        <v>3133</v>
      </c>
      <c r="AD813" s="29" t="s">
        <v>51</v>
      </c>
      <c r="AE813" s="24" t="s">
        <v>1881</v>
      </c>
      <c r="AF813" s="25"/>
      <c r="AI813" s="58"/>
    </row>
    <row r="814" spans="1:41" ht="16.5" customHeight="1">
      <c r="A814" s="6" t="s">
        <v>1882</v>
      </c>
      <c r="B814" s="5">
        <v>718</v>
      </c>
      <c r="C814" s="7">
        <v>59316.49</v>
      </c>
      <c r="D814" s="7">
        <v>0</v>
      </c>
      <c r="E814" s="7">
        <v>0</v>
      </c>
      <c r="F814" s="5">
        <v>0</v>
      </c>
      <c r="G814" s="7">
        <v>0</v>
      </c>
      <c r="H814" s="5">
        <v>275</v>
      </c>
      <c r="I814" s="7">
        <v>20478.050000000003</v>
      </c>
      <c r="J814" s="7">
        <v>0</v>
      </c>
      <c r="K814" s="5">
        <v>0</v>
      </c>
      <c r="L814" s="5">
        <v>0</v>
      </c>
      <c r="M814" s="5">
        <v>222</v>
      </c>
      <c r="N814" s="7">
        <v>222</v>
      </c>
      <c r="O814" s="7">
        <v>11342.550000000001</v>
      </c>
      <c r="P814" s="7">
        <v>55</v>
      </c>
      <c r="Q814" s="5">
        <v>0</v>
      </c>
      <c r="R814" s="5">
        <v>55</v>
      </c>
      <c r="S814" s="7">
        <v>2761</v>
      </c>
      <c r="T814" s="12">
        <v>43251</v>
      </c>
      <c r="U814" s="4">
        <v>7</v>
      </c>
      <c r="V814" s="4">
        <v>9</v>
      </c>
      <c r="W814" s="4">
        <v>9</v>
      </c>
      <c r="X814" s="45">
        <v>93898.090000000011</v>
      </c>
      <c r="Y814" s="14" t="s">
        <v>56</v>
      </c>
      <c r="Z814" s="14" t="s">
        <v>55</v>
      </c>
      <c r="AA814" s="14" t="s">
        <v>3122</v>
      </c>
      <c r="AB814" s="44">
        <v>43257</v>
      </c>
      <c r="AC814" s="44" t="s">
        <v>3123</v>
      </c>
      <c r="AD814" s="29" t="s">
        <v>51</v>
      </c>
      <c r="AE814" s="24" t="s">
        <v>1883</v>
      </c>
      <c r="AF814" s="25"/>
      <c r="AI814" s="58"/>
    </row>
    <row r="815" spans="1:41" ht="16.5" customHeight="1">
      <c r="A815" s="6" t="s">
        <v>1886</v>
      </c>
      <c r="B815" s="5">
        <v>134</v>
      </c>
      <c r="C815" s="7">
        <v>12449.1</v>
      </c>
      <c r="D815" s="7">
        <v>0</v>
      </c>
      <c r="E815" s="7">
        <v>0</v>
      </c>
      <c r="F815" s="5">
        <v>0</v>
      </c>
      <c r="G815" s="7">
        <v>0</v>
      </c>
      <c r="H815" s="5">
        <v>0</v>
      </c>
      <c r="I815" s="7">
        <v>0</v>
      </c>
      <c r="J815" s="7">
        <v>0</v>
      </c>
      <c r="K815" s="5">
        <v>0</v>
      </c>
      <c r="L815" s="5">
        <v>0</v>
      </c>
      <c r="M815" s="5">
        <v>161</v>
      </c>
      <c r="N815" s="7">
        <v>161</v>
      </c>
      <c r="O815" s="7">
        <v>28712.400000000001</v>
      </c>
      <c r="P815" s="7">
        <v>278</v>
      </c>
      <c r="Q815" s="5">
        <v>0</v>
      </c>
      <c r="R815" s="5">
        <v>278</v>
      </c>
      <c r="S815" s="7">
        <v>44856.4</v>
      </c>
      <c r="T815" s="12">
        <v>43251</v>
      </c>
      <c r="U815" s="4">
        <v>7</v>
      </c>
      <c r="V815" s="4">
        <v>9</v>
      </c>
      <c r="W815" s="4">
        <v>9</v>
      </c>
      <c r="X815" s="45">
        <v>86017.9</v>
      </c>
      <c r="Y815" s="14" t="s">
        <v>54</v>
      </c>
      <c r="Z815" s="14" t="s">
        <v>59</v>
      </c>
      <c r="AA815" s="14" t="s">
        <v>3129</v>
      </c>
      <c r="AB815" s="44">
        <v>43261</v>
      </c>
      <c r="AC815" s="44" t="s">
        <v>3130</v>
      </c>
      <c r="AD815" s="29" t="s">
        <v>50</v>
      </c>
      <c r="AE815" s="24" t="s">
        <v>1887</v>
      </c>
      <c r="AF815" s="25"/>
      <c r="AI815" s="58"/>
    </row>
    <row r="816" spans="1:41" s="31" customFormat="1" ht="15.75" customHeight="1">
      <c r="A816" s="13" t="s">
        <v>1888</v>
      </c>
      <c r="B816" s="5"/>
      <c r="C816" s="7"/>
      <c r="D816" s="7">
        <v>0</v>
      </c>
      <c r="E816" s="7">
        <v>0</v>
      </c>
      <c r="F816" s="5">
        <v>0</v>
      </c>
      <c r="G816" s="7">
        <v>0</v>
      </c>
      <c r="H816" s="5">
        <v>0</v>
      </c>
      <c r="I816" s="7">
        <v>0</v>
      </c>
      <c r="J816" s="7">
        <v>0</v>
      </c>
      <c r="K816" s="5">
        <v>0</v>
      </c>
      <c r="L816" s="5">
        <v>0</v>
      </c>
      <c r="M816" s="5">
        <v>0</v>
      </c>
      <c r="N816" s="7">
        <v>0</v>
      </c>
      <c r="O816" s="7">
        <v>0</v>
      </c>
      <c r="P816" s="7">
        <v>100</v>
      </c>
      <c r="Q816" s="5">
        <v>0</v>
      </c>
      <c r="R816" s="5">
        <v>100</v>
      </c>
      <c r="S816" s="7">
        <v>13732</v>
      </c>
      <c r="T816" s="12">
        <v>43252</v>
      </c>
      <c r="U816" s="4">
        <v>1</v>
      </c>
      <c r="V816" s="4">
        <v>9</v>
      </c>
      <c r="W816" s="4">
        <v>9</v>
      </c>
      <c r="X816" s="45">
        <v>13732</v>
      </c>
      <c r="Y816" s="14" t="s">
        <v>56</v>
      </c>
      <c r="Z816" s="14" t="s">
        <v>59</v>
      </c>
      <c r="AA816" s="14" t="s">
        <v>3134</v>
      </c>
      <c r="AB816" s="44">
        <v>43260</v>
      </c>
      <c r="AC816" s="44" t="s">
        <v>3135</v>
      </c>
      <c r="AD816" s="29" t="s">
        <v>218</v>
      </c>
      <c r="AE816" s="24" t="s">
        <v>1889</v>
      </c>
      <c r="AF816" s="25"/>
      <c r="AG816"/>
      <c r="AH816"/>
      <c r="AI816" s="58"/>
      <c r="AJ816"/>
      <c r="AK816"/>
      <c r="AL816"/>
      <c r="AM816"/>
      <c r="AN816" s="30"/>
      <c r="AO816" s="30"/>
    </row>
    <row r="817" spans="1:41" ht="15.75" customHeight="1">
      <c r="A817" s="6" t="s">
        <v>1890</v>
      </c>
      <c r="B817" s="5">
        <v>90</v>
      </c>
      <c r="C817" s="7">
        <v>11977.46</v>
      </c>
      <c r="D817" s="7">
        <v>0</v>
      </c>
      <c r="E817" s="7">
        <v>0</v>
      </c>
      <c r="F817" s="5">
        <v>0</v>
      </c>
      <c r="G817" s="7">
        <v>0</v>
      </c>
      <c r="H817" s="5">
        <v>0</v>
      </c>
      <c r="I817" s="7">
        <v>0</v>
      </c>
      <c r="J817" s="7">
        <v>0</v>
      </c>
      <c r="K817" s="5">
        <v>0</v>
      </c>
      <c r="L817" s="5">
        <v>0</v>
      </c>
      <c r="M817" s="5">
        <v>0</v>
      </c>
      <c r="N817" s="7">
        <v>0</v>
      </c>
      <c r="O817" s="7">
        <v>0</v>
      </c>
      <c r="P817" s="7">
        <v>197</v>
      </c>
      <c r="Q817" s="5">
        <v>0</v>
      </c>
      <c r="R817" s="5">
        <v>197</v>
      </c>
      <c r="S817" s="7">
        <v>20254.099999999999</v>
      </c>
      <c r="T817" s="12">
        <v>43252</v>
      </c>
      <c r="U817" s="4">
        <v>2</v>
      </c>
      <c r="V817" s="4">
        <v>9</v>
      </c>
      <c r="W817" s="4">
        <v>9</v>
      </c>
      <c r="X817" s="45">
        <v>32231.559999999998</v>
      </c>
      <c r="Y817" s="14" t="s">
        <v>1633</v>
      </c>
      <c r="Z817" s="14" t="s">
        <v>1492</v>
      </c>
      <c r="AA817" s="14" t="s">
        <v>3136</v>
      </c>
      <c r="AB817" s="44">
        <v>43259</v>
      </c>
      <c r="AC817" s="44" t="s">
        <v>3137</v>
      </c>
      <c r="AD817" s="29" t="s">
        <v>70</v>
      </c>
      <c r="AE817" s="24" t="s">
        <v>1891</v>
      </c>
      <c r="AF817" s="25" t="s">
        <v>1273</v>
      </c>
      <c r="AG817" t="e">
        <f t="shared" ref="AG817:AG828" si="14">+VLOOKUP(AF817,AH:AH,2,0)</f>
        <v>#REF!</v>
      </c>
      <c r="AI817" s="58"/>
    </row>
    <row r="818" spans="1:41" ht="15.75" customHeight="1">
      <c r="A818" s="6" t="s">
        <v>1892</v>
      </c>
      <c r="B818" s="5">
        <v>286</v>
      </c>
      <c r="C818" s="7">
        <v>10827.82</v>
      </c>
      <c r="D818" s="7">
        <v>0</v>
      </c>
      <c r="E818" s="7">
        <v>0</v>
      </c>
      <c r="F818" s="5">
        <v>0</v>
      </c>
      <c r="G818" s="7">
        <v>0</v>
      </c>
      <c r="H818" s="5">
        <v>449</v>
      </c>
      <c r="I818" s="7">
        <v>63988.81</v>
      </c>
      <c r="J818" s="7">
        <v>0</v>
      </c>
      <c r="K818" s="5">
        <v>0</v>
      </c>
      <c r="L818" s="5">
        <v>0</v>
      </c>
      <c r="M818" s="5">
        <v>75</v>
      </c>
      <c r="N818" s="7">
        <v>75</v>
      </c>
      <c r="O818" s="7">
        <v>2473.5</v>
      </c>
      <c r="P818" s="7">
        <v>0</v>
      </c>
      <c r="Q818" s="5">
        <v>0</v>
      </c>
      <c r="R818" s="5">
        <v>0</v>
      </c>
      <c r="S818" s="7">
        <v>0</v>
      </c>
      <c r="T818" s="12">
        <v>43252</v>
      </c>
      <c r="U818" s="4">
        <v>5</v>
      </c>
      <c r="V818" s="4">
        <v>9</v>
      </c>
      <c r="W818" s="4">
        <v>9</v>
      </c>
      <c r="X818" s="45">
        <v>77290.13</v>
      </c>
      <c r="Y818" s="14" t="s">
        <v>54</v>
      </c>
      <c r="Z818" s="14" t="s">
        <v>57</v>
      </c>
      <c r="AA818" s="14" t="s">
        <v>3116</v>
      </c>
      <c r="AB818" s="44">
        <v>43255</v>
      </c>
      <c r="AC818" s="44" t="s">
        <v>3117</v>
      </c>
      <c r="AD818" s="29" t="s">
        <v>49</v>
      </c>
      <c r="AE818" s="24" t="s">
        <v>1893</v>
      </c>
      <c r="AF818" s="25" t="s">
        <v>1265</v>
      </c>
      <c r="AG818" t="e">
        <f t="shared" si="14"/>
        <v>#REF!</v>
      </c>
      <c r="AI818" s="58"/>
    </row>
    <row r="819" spans="1:41" ht="15.75" customHeight="1">
      <c r="A819" s="13" t="s">
        <v>1894</v>
      </c>
      <c r="D819" s="7">
        <v>0</v>
      </c>
      <c r="E819" s="7">
        <v>0</v>
      </c>
      <c r="F819" s="5">
        <v>0</v>
      </c>
      <c r="G819" s="7">
        <v>0</v>
      </c>
      <c r="H819" s="5">
        <v>109</v>
      </c>
      <c r="I819" s="7">
        <v>13368.43</v>
      </c>
      <c r="J819" s="7">
        <v>0</v>
      </c>
      <c r="K819" s="5">
        <v>0</v>
      </c>
      <c r="L819" s="5">
        <v>0</v>
      </c>
      <c r="M819" s="5">
        <v>42</v>
      </c>
      <c r="N819" s="7">
        <v>42</v>
      </c>
      <c r="O819" s="7">
        <v>9665.7000000000007</v>
      </c>
      <c r="P819" s="7">
        <v>0</v>
      </c>
      <c r="Q819" s="5">
        <v>0</v>
      </c>
      <c r="R819" s="5">
        <v>0</v>
      </c>
      <c r="S819" s="7">
        <v>0</v>
      </c>
      <c r="T819" s="12">
        <v>43252</v>
      </c>
      <c r="U819" s="4">
        <v>2</v>
      </c>
      <c r="V819" s="4">
        <v>9</v>
      </c>
      <c r="W819" s="4">
        <v>9</v>
      </c>
      <c r="X819" s="45">
        <v>23034.13</v>
      </c>
      <c r="Y819" s="14" t="s">
        <v>54</v>
      </c>
      <c r="Z819" s="14" t="s">
        <v>57</v>
      </c>
      <c r="AA819" s="14" t="s">
        <v>3138</v>
      </c>
      <c r="AB819" s="44">
        <v>43254</v>
      </c>
      <c r="AC819" s="44" t="s">
        <v>3133</v>
      </c>
      <c r="AD819" s="29" t="s">
        <v>52</v>
      </c>
      <c r="AE819" s="24" t="s">
        <v>1895</v>
      </c>
      <c r="AF819" s="25" t="s">
        <v>1271</v>
      </c>
      <c r="AG819" t="e">
        <f t="shared" si="14"/>
        <v>#REF!</v>
      </c>
      <c r="AI819" s="58"/>
    </row>
    <row r="820" spans="1:41" ht="15.75" customHeight="1">
      <c r="A820" s="6" t="s">
        <v>1878</v>
      </c>
      <c r="B820" s="5">
        <v>90</v>
      </c>
      <c r="C820" s="7">
        <v>11697.8</v>
      </c>
      <c r="D820" s="7">
        <v>0</v>
      </c>
      <c r="E820" s="7">
        <v>0</v>
      </c>
      <c r="F820" s="5">
        <v>0</v>
      </c>
      <c r="G820" s="7">
        <v>0</v>
      </c>
      <c r="H820" s="5">
        <v>220</v>
      </c>
      <c r="I820" s="7">
        <v>25472.550000000003</v>
      </c>
      <c r="J820" s="7">
        <v>0</v>
      </c>
      <c r="K820" s="5">
        <v>0</v>
      </c>
      <c r="L820" s="5">
        <v>0</v>
      </c>
      <c r="M820" s="5">
        <v>46</v>
      </c>
      <c r="N820" s="7">
        <v>46</v>
      </c>
      <c r="O820" s="7">
        <v>9623.5999999999985</v>
      </c>
      <c r="P820" s="7">
        <v>304</v>
      </c>
      <c r="Q820" s="5">
        <v>0</v>
      </c>
      <c r="R820" s="5">
        <v>304</v>
      </c>
      <c r="S820" s="7">
        <v>34373.300000000003</v>
      </c>
      <c r="T820" s="12">
        <v>43252</v>
      </c>
      <c r="U820" s="4">
        <v>6</v>
      </c>
      <c r="V820" s="4">
        <v>9</v>
      </c>
      <c r="W820" s="4">
        <v>9</v>
      </c>
      <c r="X820" s="45">
        <v>81167.25</v>
      </c>
      <c r="Y820" s="14" t="s">
        <v>56</v>
      </c>
      <c r="Z820" s="14" t="s">
        <v>1281</v>
      </c>
      <c r="AA820" s="14" t="s">
        <v>3139</v>
      </c>
      <c r="AB820" s="44">
        <v>43258</v>
      </c>
      <c r="AC820" s="44" t="s">
        <v>3140</v>
      </c>
      <c r="AD820" s="29" t="s">
        <v>52</v>
      </c>
      <c r="AE820" s="24" t="s">
        <v>1879</v>
      </c>
      <c r="AF820" s="25" t="s">
        <v>1271</v>
      </c>
      <c r="AG820" t="e">
        <f t="shared" si="14"/>
        <v>#REF!</v>
      </c>
      <c r="AI820" s="58"/>
    </row>
    <row r="821" spans="1:41" ht="15.75" customHeight="1">
      <c r="A821" s="6" t="s">
        <v>1896</v>
      </c>
      <c r="B821" s="5">
        <v>106</v>
      </c>
      <c r="C821" s="7">
        <v>9408.2000000000007</v>
      </c>
      <c r="D821" s="7">
        <v>0</v>
      </c>
      <c r="E821" s="7">
        <v>0</v>
      </c>
      <c r="F821" s="5">
        <v>0</v>
      </c>
      <c r="G821" s="7">
        <v>0</v>
      </c>
      <c r="H821" s="5">
        <v>410</v>
      </c>
      <c r="I821" s="7">
        <v>48832.15</v>
      </c>
      <c r="J821" s="7">
        <v>0</v>
      </c>
      <c r="K821" s="5">
        <v>0</v>
      </c>
      <c r="L821" s="5">
        <v>0</v>
      </c>
      <c r="M821" s="5">
        <v>58</v>
      </c>
      <c r="N821" s="7">
        <v>58</v>
      </c>
      <c r="O821" s="7">
        <v>10432</v>
      </c>
      <c r="P821" s="7">
        <v>0</v>
      </c>
      <c r="Q821" s="5">
        <v>0</v>
      </c>
      <c r="R821" s="5">
        <v>0</v>
      </c>
      <c r="S821" s="7">
        <v>0</v>
      </c>
      <c r="T821" s="12">
        <v>43252</v>
      </c>
      <c r="U821" s="4">
        <v>5</v>
      </c>
      <c r="V821" s="4">
        <v>9</v>
      </c>
      <c r="W821" s="4">
        <v>9</v>
      </c>
      <c r="X821" s="45">
        <v>68672.350000000006</v>
      </c>
      <c r="Y821" s="14" t="s">
        <v>54</v>
      </c>
      <c r="Z821" s="14" t="s">
        <v>55</v>
      </c>
      <c r="AA821" s="14" t="s">
        <v>3132</v>
      </c>
      <c r="AB821" s="44">
        <v>43254</v>
      </c>
      <c r="AC821" s="44" t="s">
        <v>3133</v>
      </c>
      <c r="AD821" s="29" t="s">
        <v>51</v>
      </c>
      <c r="AE821" s="24" t="s">
        <v>1897</v>
      </c>
      <c r="AF821" s="25" t="s">
        <v>1270</v>
      </c>
      <c r="AG821" t="e">
        <f t="shared" si="14"/>
        <v>#REF!</v>
      </c>
      <c r="AI821" s="58"/>
    </row>
    <row r="822" spans="1:41" ht="15.75" customHeight="1">
      <c r="A822" s="6" t="s">
        <v>1898</v>
      </c>
      <c r="B822" s="5">
        <v>325</v>
      </c>
      <c r="C822" s="7">
        <v>40989.199999999997</v>
      </c>
      <c r="D822" s="7">
        <v>0</v>
      </c>
      <c r="E822" s="7">
        <v>0</v>
      </c>
      <c r="F822" s="5">
        <v>0</v>
      </c>
      <c r="G822" s="7">
        <v>0</v>
      </c>
      <c r="H822" s="5">
        <v>230</v>
      </c>
      <c r="I822" s="7">
        <v>26489.5</v>
      </c>
      <c r="J822" s="7">
        <v>0</v>
      </c>
      <c r="K822" s="5">
        <v>0</v>
      </c>
      <c r="L822" s="5">
        <v>0</v>
      </c>
      <c r="M822" s="5">
        <v>107</v>
      </c>
      <c r="N822" s="7">
        <v>107</v>
      </c>
      <c r="O822" s="7">
        <v>19647.799999999996</v>
      </c>
      <c r="P822" s="7">
        <v>0</v>
      </c>
      <c r="Q822" s="5">
        <v>0</v>
      </c>
      <c r="R822" s="5">
        <v>0</v>
      </c>
      <c r="S822" s="7">
        <v>0</v>
      </c>
      <c r="T822" s="12">
        <v>43252</v>
      </c>
      <c r="U822" s="4">
        <v>7</v>
      </c>
      <c r="V822" s="4">
        <v>9</v>
      </c>
      <c r="W822" s="4">
        <v>9</v>
      </c>
      <c r="X822" s="45">
        <v>87126.5</v>
      </c>
      <c r="Y822" s="14" t="s">
        <v>54</v>
      </c>
      <c r="Z822" s="14" t="s">
        <v>55</v>
      </c>
      <c r="AA822" s="14" t="s">
        <v>3141</v>
      </c>
      <c r="AB822" s="44">
        <v>43259</v>
      </c>
      <c r="AC822" s="44" t="s">
        <v>3142</v>
      </c>
      <c r="AD822" s="29" t="s">
        <v>51</v>
      </c>
      <c r="AE822" s="24" t="s">
        <v>1899</v>
      </c>
      <c r="AF822" s="25" t="s">
        <v>1270</v>
      </c>
      <c r="AG822" t="e">
        <f t="shared" si="14"/>
        <v>#REF!</v>
      </c>
      <c r="AI822" s="58"/>
    </row>
    <row r="823" spans="1:41" ht="15.75" customHeight="1">
      <c r="A823" s="6" t="s">
        <v>1884</v>
      </c>
      <c r="B823" s="5">
        <v>407</v>
      </c>
      <c r="C823" s="7">
        <v>41753.409999999996</v>
      </c>
      <c r="D823" s="7">
        <v>0</v>
      </c>
      <c r="E823" s="7">
        <v>0</v>
      </c>
      <c r="F823" s="5">
        <v>0</v>
      </c>
      <c r="G823" s="7">
        <v>0</v>
      </c>
      <c r="H823" s="5">
        <v>0</v>
      </c>
      <c r="I823" s="7">
        <v>0</v>
      </c>
      <c r="J823" s="7">
        <v>0</v>
      </c>
      <c r="K823" s="5">
        <v>0</v>
      </c>
      <c r="L823" s="5">
        <v>0</v>
      </c>
      <c r="M823" s="5">
        <v>0</v>
      </c>
      <c r="N823" s="7">
        <v>0</v>
      </c>
      <c r="O823" s="7">
        <v>0</v>
      </c>
      <c r="P823" s="7">
        <v>155</v>
      </c>
      <c r="Q823" s="5">
        <v>0</v>
      </c>
      <c r="R823" s="5">
        <v>155</v>
      </c>
      <c r="S823" s="7">
        <v>23749.5</v>
      </c>
      <c r="T823" s="12">
        <v>43252</v>
      </c>
      <c r="U823" s="4">
        <v>5</v>
      </c>
      <c r="V823" s="4">
        <v>9</v>
      </c>
      <c r="W823" s="4">
        <v>9</v>
      </c>
      <c r="X823" s="45">
        <v>65502.909999999996</v>
      </c>
      <c r="Y823" s="14" t="s">
        <v>85</v>
      </c>
      <c r="Z823" s="14" t="s">
        <v>55</v>
      </c>
      <c r="AA823" s="14">
        <v>350810052059</v>
      </c>
      <c r="AB823" s="44">
        <v>43254</v>
      </c>
      <c r="AC823" s="44" t="s">
        <v>3113</v>
      </c>
      <c r="AD823" s="29" t="s">
        <v>600</v>
      </c>
      <c r="AE823" s="24" t="s">
        <v>1885</v>
      </c>
      <c r="AF823" s="25" t="s">
        <v>1275</v>
      </c>
      <c r="AG823" t="e">
        <f t="shared" si="14"/>
        <v>#REF!</v>
      </c>
      <c r="AI823" s="58"/>
    </row>
    <row r="824" spans="1:41" ht="15.75" customHeight="1">
      <c r="A824" s="6" t="s">
        <v>1900</v>
      </c>
      <c r="B824" s="5">
        <v>392</v>
      </c>
      <c r="C824" s="7">
        <v>37797.9</v>
      </c>
      <c r="D824" s="7">
        <v>0</v>
      </c>
      <c r="E824" s="7">
        <v>0</v>
      </c>
      <c r="F824" s="5">
        <v>0</v>
      </c>
      <c r="G824" s="7">
        <v>0</v>
      </c>
      <c r="H824" s="5">
        <v>0</v>
      </c>
      <c r="I824" s="7">
        <v>0</v>
      </c>
      <c r="J824" s="7">
        <v>0</v>
      </c>
      <c r="K824" s="5">
        <v>0</v>
      </c>
      <c r="L824" s="5">
        <v>0</v>
      </c>
      <c r="M824" s="5">
        <v>41</v>
      </c>
      <c r="N824" s="7">
        <v>41</v>
      </c>
      <c r="O824" s="7">
        <v>9778.7999999999993</v>
      </c>
      <c r="P824" s="7">
        <v>0</v>
      </c>
      <c r="Q824" s="5">
        <v>0</v>
      </c>
      <c r="R824" s="5">
        <v>0</v>
      </c>
      <c r="S824" s="7">
        <v>0</v>
      </c>
      <c r="T824" s="12">
        <v>43252</v>
      </c>
      <c r="U824" s="4">
        <v>4</v>
      </c>
      <c r="V824" s="4">
        <v>9</v>
      </c>
      <c r="W824" s="4">
        <v>9</v>
      </c>
      <c r="X824" s="45">
        <v>47576.7</v>
      </c>
      <c r="Y824" s="14" t="s">
        <v>54</v>
      </c>
      <c r="Z824" s="14" t="s">
        <v>59</v>
      </c>
      <c r="AA824" s="14" t="s">
        <v>3128</v>
      </c>
      <c r="AB824" s="44">
        <v>43255</v>
      </c>
      <c r="AC824" s="44" t="s">
        <v>3117</v>
      </c>
      <c r="AD824" s="29" t="s">
        <v>50</v>
      </c>
      <c r="AE824" s="24" t="s">
        <v>1901</v>
      </c>
      <c r="AF824" s="25" t="s">
        <v>1269</v>
      </c>
      <c r="AG824" t="e">
        <f t="shared" si="14"/>
        <v>#REF!</v>
      </c>
      <c r="AI824" s="58"/>
    </row>
    <row r="825" spans="1:41" ht="15.75" customHeight="1">
      <c r="A825" s="6" t="s">
        <v>1902</v>
      </c>
      <c r="B825" s="5">
        <v>259</v>
      </c>
      <c r="C825" s="7">
        <v>36150.9</v>
      </c>
      <c r="D825" s="7">
        <v>0</v>
      </c>
      <c r="E825" s="7">
        <v>0</v>
      </c>
      <c r="F825" s="5">
        <v>0</v>
      </c>
      <c r="G825" s="7">
        <v>0</v>
      </c>
      <c r="H825" s="5">
        <v>0</v>
      </c>
      <c r="I825" s="7">
        <v>0</v>
      </c>
      <c r="J825" s="7">
        <v>0</v>
      </c>
      <c r="K825" s="5">
        <v>0</v>
      </c>
      <c r="L825" s="5">
        <v>0</v>
      </c>
      <c r="M825" s="5">
        <v>89</v>
      </c>
      <c r="N825" s="7">
        <v>89</v>
      </c>
      <c r="O825" s="7">
        <v>18578.2</v>
      </c>
      <c r="P825" s="7">
        <v>252</v>
      </c>
      <c r="Q825" s="5">
        <v>0</v>
      </c>
      <c r="R825" s="5">
        <v>252</v>
      </c>
      <c r="S825" s="7">
        <v>46248</v>
      </c>
      <c r="T825" s="12">
        <v>43252</v>
      </c>
      <c r="U825" s="4">
        <v>8</v>
      </c>
      <c r="V825" s="4">
        <v>9</v>
      </c>
      <c r="W825" s="4">
        <v>9</v>
      </c>
      <c r="X825" s="45">
        <v>100977.1</v>
      </c>
      <c r="Y825" s="14" t="s">
        <v>54</v>
      </c>
      <c r="Z825" s="14" t="s">
        <v>59</v>
      </c>
      <c r="AA825" s="14" t="s">
        <v>3129</v>
      </c>
      <c r="AB825" s="44">
        <v>43261</v>
      </c>
      <c r="AC825" s="44" t="s">
        <v>3130</v>
      </c>
      <c r="AD825" s="29" t="s">
        <v>50</v>
      </c>
      <c r="AE825" s="24" t="s">
        <v>1903</v>
      </c>
      <c r="AF825" s="25" t="s">
        <v>1269</v>
      </c>
      <c r="AG825" t="e">
        <f t="shared" si="14"/>
        <v>#REF!</v>
      </c>
      <c r="AI825" s="58"/>
    </row>
    <row r="826" spans="1:41" ht="15.75" customHeight="1">
      <c r="A826" s="6" t="s">
        <v>1904</v>
      </c>
      <c r="D826" s="7">
        <v>0</v>
      </c>
      <c r="E826" s="7">
        <v>0</v>
      </c>
      <c r="F826" s="5">
        <v>0</v>
      </c>
      <c r="G826" s="7">
        <v>0</v>
      </c>
      <c r="H826" s="5">
        <v>190</v>
      </c>
      <c r="I826" s="7">
        <v>24312.400000000001</v>
      </c>
      <c r="J826" s="7">
        <v>0</v>
      </c>
      <c r="K826" s="5">
        <v>0</v>
      </c>
      <c r="L826" s="5">
        <v>0</v>
      </c>
      <c r="M826" s="5">
        <v>95</v>
      </c>
      <c r="N826" s="7">
        <v>95</v>
      </c>
      <c r="O826" s="7">
        <v>17334.199999999997</v>
      </c>
      <c r="P826" s="7">
        <v>309</v>
      </c>
      <c r="Q826" s="5">
        <v>0</v>
      </c>
      <c r="R826" s="5">
        <v>309</v>
      </c>
      <c r="S826" s="7">
        <v>26435</v>
      </c>
      <c r="T826" s="12">
        <v>43252</v>
      </c>
      <c r="U826" s="4">
        <v>5</v>
      </c>
      <c r="V826" s="4">
        <v>9</v>
      </c>
      <c r="W826" s="4">
        <v>9</v>
      </c>
      <c r="X826" s="45">
        <v>68081.600000000006</v>
      </c>
      <c r="Y826" s="14" t="s">
        <v>85</v>
      </c>
      <c r="Z826" s="14" t="s">
        <v>1637</v>
      </c>
      <c r="AA826" s="14">
        <v>350810055654</v>
      </c>
      <c r="AB826" s="44">
        <v>43261</v>
      </c>
      <c r="AC826" s="44" t="s">
        <v>3143</v>
      </c>
      <c r="AD826" s="29" t="s">
        <v>49</v>
      </c>
      <c r="AE826" s="24" t="s">
        <v>1905</v>
      </c>
      <c r="AF826" s="25" t="s">
        <v>1266</v>
      </c>
      <c r="AG826" t="e">
        <f t="shared" si="14"/>
        <v>#REF!</v>
      </c>
      <c r="AI826" s="58"/>
    </row>
    <row r="827" spans="1:41" ht="15.75" customHeight="1">
      <c r="A827" s="6" t="s">
        <v>1906</v>
      </c>
      <c r="D827" s="7">
        <v>5</v>
      </c>
      <c r="E827" s="7">
        <v>0</v>
      </c>
      <c r="F827" s="5">
        <v>5</v>
      </c>
      <c r="G827" s="7">
        <v>94.5</v>
      </c>
      <c r="H827" s="5">
        <v>787</v>
      </c>
      <c r="I827" s="7">
        <v>86036.780000000013</v>
      </c>
      <c r="J827" s="7">
        <v>0</v>
      </c>
      <c r="K827" s="5">
        <v>0</v>
      </c>
      <c r="L827" s="5">
        <v>0</v>
      </c>
      <c r="N827" s="7">
        <v>0</v>
      </c>
      <c r="Q827" s="5">
        <v>0</v>
      </c>
      <c r="R827" s="5">
        <v>1003</v>
      </c>
      <c r="S827" s="7">
        <v>74516.5</v>
      </c>
      <c r="T827" s="12">
        <v>43255</v>
      </c>
      <c r="U827" s="4">
        <v>8</v>
      </c>
      <c r="V827" s="4">
        <v>3</v>
      </c>
      <c r="W827" s="4">
        <v>7</v>
      </c>
      <c r="X827" s="45">
        <v>160647.78000000003</v>
      </c>
      <c r="Y827" s="14" t="s">
        <v>54</v>
      </c>
      <c r="Z827" s="14" t="s">
        <v>1355</v>
      </c>
      <c r="AA827" s="14" t="s">
        <v>3131</v>
      </c>
      <c r="AB827" s="44">
        <v>43261</v>
      </c>
      <c r="AC827" s="44" t="s">
        <v>3130</v>
      </c>
      <c r="AD827" s="14" t="s">
        <v>49</v>
      </c>
      <c r="AE827" s="24" t="s">
        <v>1911</v>
      </c>
      <c r="AF827" s="25" t="s">
        <v>1265</v>
      </c>
      <c r="AG827" t="e">
        <f t="shared" si="14"/>
        <v>#REF!</v>
      </c>
      <c r="AI827" s="58"/>
    </row>
    <row r="828" spans="1:41" ht="15.75" customHeight="1">
      <c r="A828" s="13" t="s">
        <v>1907</v>
      </c>
      <c r="B828" s="5">
        <v>240</v>
      </c>
      <c r="C828" s="7">
        <v>25913.899999999998</v>
      </c>
      <c r="D828" s="7">
        <v>0</v>
      </c>
      <c r="E828" s="7">
        <v>0</v>
      </c>
      <c r="H828" s="5">
        <v>152</v>
      </c>
      <c r="I828" s="7">
        <v>11542.599999999999</v>
      </c>
      <c r="J828" s="7">
        <v>0</v>
      </c>
      <c r="K828" s="5">
        <v>0</v>
      </c>
      <c r="L828" s="5">
        <v>0</v>
      </c>
      <c r="M828" s="5">
        <v>122</v>
      </c>
      <c r="N828" s="7">
        <v>122</v>
      </c>
      <c r="O828" s="7">
        <v>19525.900000000001</v>
      </c>
      <c r="Q828" s="5">
        <v>0</v>
      </c>
      <c r="R828" s="5">
        <v>117</v>
      </c>
      <c r="S828" s="7">
        <v>14234.1</v>
      </c>
      <c r="T828" s="12">
        <v>43255</v>
      </c>
      <c r="U828" s="4">
        <v>6</v>
      </c>
      <c r="V828" s="4">
        <v>1</v>
      </c>
      <c r="W828" s="4">
        <v>1</v>
      </c>
      <c r="X828" s="45">
        <v>71216.5</v>
      </c>
      <c r="Y828" s="14" t="s">
        <v>56</v>
      </c>
      <c r="Z828" s="14" t="s">
        <v>1281</v>
      </c>
      <c r="AA828" s="14" t="s">
        <v>3144</v>
      </c>
      <c r="AB828" s="44">
        <v>43260</v>
      </c>
      <c r="AC828" s="44" t="s">
        <v>3135</v>
      </c>
      <c r="AD828" s="14" t="s">
        <v>52</v>
      </c>
      <c r="AE828" s="24" t="s">
        <v>1912</v>
      </c>
      <c r="AF828" s="25" t="s">
        <v>1271</v>
      </c>
      <c r="AG828" t="e">
        <f t="shared" si="14"/>
        <v>#REF!</v>
      </c>
      <c r="AI828" s="58"/>
    </row>
    <row r="829" spans="1:41" ht="15.75" customHeight="1">
      <c r="A829" s="6" t="s">
        <v>1908</v>
      </c>
      <c r="B829" s="5">
        <v>786</v>
      </c>
      <c r="C829" s="7">
        <v>71262.37000000001</v>
      </c>
      <c r="D829" s="7">
        <v>0</v>
      </c>
      <c r="E829" s="7">
        <v>0</v>
      </c>
      <c r="H829" s="5">
        <v>280</v>
      </c>
      <c r="I829" s="7">
        <v>28991.199999999997</v>
      </c>
      <c r="J829" s="7">
        <v>0</v>
      </c>
      <c r="K829" s="5">
        <v>0</v>
      </c>
      <c r="L829" s="5">
        <v>0</v>
      </c>
      <c r="M829" s="5">
        <v>82</v>
      </c>
      <c r="N829" s="7">
        <v>82</v>
      </c>
      <c r="O829" s="7">
        <v>12264</v>
      </c>
      <c r="Q829" s="5">
        <v>0</v>
      </c>
      <c r="T829" s="12">
        <v>43255</v>
      </c>
      <c r="U829" s="4">
        <v>8</v>
      </c>
      <c r="X829" s="45">
        <v>112517.57</v>
      </c>
      <c r="Y829" s="14" t="s">
        <v>56</v>
      </c>
      <c r="Z829" s="14" t="s">
        <v>55</v>
      </c>
      <c r="AA829" s="14" t="s">
        <v>3145</v>
      </c>
      <c r="AB829" s="44">
        <v>43260</v>
      </c>
      <c r="AC829" s="44" t="s">
        <v>3135</v>
      </c>
      <c r="AD829" s="14" t="s">
        <v>51</v>
      </c>
      <c r="AE829" s="24" t="s">
        <v>1913</v>
      </c>
      <c r="AF829" s="25"/>
      <c r="AI829" s="58"/>
    </row>
    <row r="830" spans="1:41" ht="15.75" customHeight="1">
      <c r="A830" s="13" t="s">
        <v>1909</v>
      </c>
      <c r="B830" s="5">
        <v>144</v>
      </c>
      <c r="C830" s="7">
        <v>12771.5</v>
      </c>
      <c r="D830" s="7">
        <v>0</v>
      </c>
      <c r="E830" s="7">
        <v>0</v>
      </c>
      <c r="H830" s="5">
        <v>190</v>
      </c>
      <c r="I830" s="7">
        <v>24312.400000000001</v>
      </c>
      <c r="J830" s="7">
        <v>0</v>
      </c>
      <c r="K830" s="5">
        <v>0</v>
      </c>
      <c r="L830" s="5">
        <v>0</v>
      </c>
      <c r="M830" s="5">
        <v>116</v>
      </c>
      <c r="N830" s="7">
        <v>116</v>
      </c>
      <c r="O830" s="7">
        <v>20497.199999999997</v>
      </c>
      <c r="Q830" s="5">
        <v>0</v>
      </c>
      <c r="R830" s="5">
        <v>425</v>
      </c>
      <c r="S830" s="7">
        <v>73382</v>
      </c>
      <c r="T830" s="12">
        <v>43255</v>
      </c>
      <c r="U830" s="4">
        <v>10</v>
      </c>
      <c r="X830" s="45">
        <v>130963.1</v>
      </c>
      <c r="Y830" s="14" t="s">
        <v>56</v>
      </c>
      <c r="Z830" s="14" t="s">
        <v>1355</v>
      </c>
      <c r="AA830" s="14" t="s">
        <v>3146</v>
      </c>
      <c r="AB830" s="44">
        <v>43264</v>
      </c>
      <c r="AC830" s="44" t="s">
        <v>3147</v>
      </c>
      <c r="AD830" s="14" t="s">
        <v>51</v>
      </c>
      <c r="AE830" s="14" t="s">
        <v>1914</v>
      </c>
      <c r="AF830" s="25"/>
      <c r="AI830" s="58"/>
    </row>
    <row r="831" spans="1:41" s="31" customFormat="1" ht="15.75" customHeight="1">
      <c r="A831" s="6" t="s">
        <v>1910</v>
      </c>
      <c r="B831" s="5">
        <v>388</v>
      </c>
      <c r="C831" s="7">
        <v>47968.900000000009</v>
      </c>
      <c r="D831" s="7">
        <v>0</v>
      </c>
      <c r="E831" s="7"/>
      <c r="F831" s="5"/>
      <c r="G831" s="7"/>
      <c r="H831" s="5"/>
      <c r="I831" s="7"/>
      <c r="J831" s="7">
        <v>0</v>
      </c>
      <c r="K831" s="5">
        <v>0</v>
      </c>
      <c r="L831" s="5">
        <v>0</v>
      </c>
      <c r="M831" s="5">
        <v>171</v>
      </c>
      <c r="N831" s="7">
        <v>171</v>
      </c>
      <c r="O831" s="7">
        <v>35757.9</v>
      </c>
      <c r="P831" s="7"/>
      <c r="Q831" s="5">
        <v>0</v>
      </c>
      <c r="R831" s="5"/>
      <c r="S831" s="7"/>
      <c r="T831" s="12">
        <v>43255</v>
      </c>
      <c r="U831" s="28">
        <v>8</v>
      </c>
      <c r="V831" s="4"/>
      <c r="W831" s="4"/>
      <c r="X831" s="45">
        <v>83726.800000000017</v>
      </c>
      <c r="Y831" s="14" t="s">
        <v>54</v>
      </c>
      <c r="Z831" s="14" t="s">
        <v>59</v>
      </c>
      <c r="AA831" s="14" t="s">
        <v>3129</v>
      </c>
      <c r="AB831" s="44">
        <v>43261</v>
      </c>
      <c r="AC831" s="44" t="s">
        <v>3130</v>
      </c>
      <c r="AD831" s="29" t="s">
        <v>50</v>
      </c>
      <c r="AE831" s="43" t="s">
        <v>1921</v>
      </c>
      <c r="AF831" s="25"/>
      <c r="AG831"/>
      <c r="AH831"/>
      <c r="AI831" s="58"/>
      <c r="AJ831"/>
      <c r="AK831"/>
      <c r="AL831"/>
      <c r="AM831"/>
      <c r="AN831" s="30"/>
      <c r="AO831" s="30"/>
    </row>
    <row r="832" spans="1:41" ht="16.5" customHeight="1">
      <c r="A832" s="6" t="s">
        <v>1915</v>
      </c>
      <c r="D832" s="7">
        <v>0</v>
      </c>
      <c r="E832" s="7">
        <v>0</v>
      </c>
      <c r="F832" s="5">
        <v>0</v>
      </c>
      <c r="G832" s="7">
        <v>0</v>
      </c>
      <c r="H832" s="5">
        <v>0</v>
      </c>
      <c r="I832" s="7">
        <v>0</v>
      </c>
      <c r="J832" s="7">
        <v>0</v>
      </c>
      <c r="K832" s="5">
        <v>0</v>
      </c>
      <c r="L832" s="5">
        <v>0</v>
      </c>
      <c r="M832" s="5">
        <v>64</v>
      </c>
      <c r="N832" s="7">
        <v>64</v>
      </c>
      <c r="O832" s="7">
        <v>9614.1000000000022</v>
      </c>
      <c r="P832" s="7">
        <v>0</v>
      </c>
      <c r="Q832" s="5">
        <v>0</v>
      </c>
      <c r="R832" s="5">
        <v>0</v>
      </c>
      <c r="S832" s="7">
        <v>0</v>
      </c>
      <c r="T832" s="12">
        <v>43256</v>
      </c>
      <c r="U832" s="4">
        <v>1</v>
      </c>
      <c r="V832" s="4">
        <v>9</v>
      </c>
      <c r="W832" s="4">
        <v>9</v>
      </c>
      <c r="X832" s="45">
        <v>9614.1000000000022</v>
      </c>
      <c r="Y832" s="14" t="s">
        <v>1633</v>
      </c>
      <c r="Z832" s="14" t="s">
        <v>1492</v>
      </c>
      <c r="AA832" s="14" t="s">
        <v>3148</v>
      </c>
      <c r="AB832" s="44">
        <v>43262</v>
      </c>
      <c r="AC832" s="44" t="s">
        <v>3149</v>
      </c>
      <c r="AD832" s="29" t="s">
        <v>70</v>
      </c>
      <c r="AE832" s="24" t="s">
        <v>1922</v>
      </c>
      <c r="AF832" s="25"/>
      <c r="AI832" s="58"/>
    </row>
    <row r="833" spans="1:35" ht="16.5" customHeight="1">
      <c r="A833" s="6" t="s">
        <v>1916</v>
      </c>
      <c r="B833" s="5">
        <v>286</v>
      </c>
      <c r="C833" s="7">
        <v>31099.599999999999</v>
      </c>
      <c r="D833" s="7">
        <v>0</v>
      </c>
      <c r="E833" s="7">
        <v>0</v>
      </c>
      <c r="F833" s="5">
        <v>0</v>
      </c>
      <c r="G833" s="7">
        <v>0</v>
      </c>
      <c r="H833" s="5">
        <v>120</v>
      </c>
      <c r="I833" s="7">
        <v>14715.4</v>
      </c>
      <c r="J833" s="7">
        <v>0</v>
      </c>
      <c r="K833" s="5">
        <v>0</v>
      </c>
      <c r="L833" s="5">
        <v>0</v>
      </c>
      <c r="M833" s="5">
        <v>43</v>
      </c>
      <c r="N833" s="7">
        <v>43</v>
      </c>
      <c r="O833" s="7">
        <v>7769.5</v>
      </c>
      <c r="P833" s="7">
        <v>0</v>
      </c>
      <c r="Q833" s="5">
        <v>0</v>
      </c>
      <c r="R833" s="5">
        <v>0</v>
      </c>
      <c r="S833" s="7">
        <v>0</v>
      </c>
      <c r="T833" s="12">
        <v>43256</v>
      </c>
      <c r="U833" s="4">
        <v>5</v>
      </c>
      <c r="V833" s="4">
        <v>9</v>
      </c>
      <c r="W833" s="4">
        <v>9</v>
      </c>
      <c r="X833" s="45">
        <v>53584.5</v>
      </c>
      <c r="Y833" s="14" t="s">
        <v>54</v>
      </c>
      <c r="Z833" s="14" t="s">
        <v>1492</v>
      </c>
      <c r="AA833" s="14" t="s">
        <v>3131</v>
      </c>
      <c r="AB833" s="44">
        <v>43261</v>
      </c>
      <c r="AC833" s="44" t="s">
        <v>3130</v>
      </c>
      <c r="AD833" s="29" t="s">
        <v>49</v>
      </c>
      <c r="AE833" s="24" t="s">
        <v>1923</v>
      </c>
      <c r="AF833" s="25"/>
      <c r="AI833" s="58"/>
    </row>
    <row r="834" spans="1:35" ht="16.5" customHeight="1">
      <c r="A834" s="6" t="s">
        <v>1917</v>
      </c>
      <c r="B834" s="5">
        <v>496</v>
      </c>
      <c r="C834" s="7">
        <v>58851.31</v>
      </c>
      <c r="D834" s="7">
        <v>0</v>
      </c>
      <c r="E834" s="7">
        <v>0</v>
      </c>
      <c r="F834" s="5">
        <v>0</v>
      </c>
      <c r="G834" s="7">
        <v>0</v>
      </c>
      <c r="H834" s="5">
        <v>160</v>
      </c>
      <c r="I834" s="7">
        <v>14849.5</v>
      </c>
      <c r="J834" s="7">
        <v>0</v>
      </c>
      <c r="K834" s="5">
        <v>0</v>
      </c>
      <c r="L834" s="5">
        <v>0</v>
      </c>
      <c r="M834" s="5">
        <v>0</v>
      </c>
      <c r="N834" s="7">
        <v>0</v>
      </c>
      <c r="O834" s="7">
        <v>0</v>
      </c>
      <c r="P834" s="7">
        <v>0</v>
      </c>
      <c r="Q834" s="5">
        <v>0</v>
      </c>
      <c r="R834" s="5">
        <v>0</v>
      </c>
      <c r="S834" s="7">
        <v>0</v>
      </c>
      <c r="T834" s="12">
        <v>43256</v>
      </c>
      <c r="U834" s="4">
        <v>6</v>
      </c>
      <c r="V834" s="4">
        <v>9</v>
      </c>
      <c r="W834" s="4">
        <v>9</v>
      </c>
      <c r="X834" s="45">
        <v>73700.81</v>
      </c>
      <c r="Y834" s="14" t="s">
        <v>56</v>
      </c>
      <c r="Z834" s="14" t="s">
        <v>55</v>
      </c>
      <c r="AA834" s="14" t="s">
        <v>3145</v>
      </c>
      <c r="AB834" s="44">
        <v>43260</v>
      </c>
      <c r="AC834" s="44" t="s">
        <v>3135</v>
      </c>
      <c r="AD834" s="29" t="s">
        <v>51</v>
      </c>
      <c r="AE834" s="24" t="s">
        <v>1924</v>
      </c>
      <c r="AF834" s="25"/>
      <c r="AI834" s="58"/>
    </row>
    <row r="835" spans="1:35" ht="16.5" customHeight="1">
      <c r="A835" s="6" t="s">
        <v>1918</v>
      </c>
      <c r="B835" s="5">
        <v>70</v>
      </c>
      <c r="C835" s="7">
        <v>6203.96</v>
      </c>
      <c r="D835" s="7">
        <v>0</v>
      </c>
      <c r="E835" s="7">
        <v>0</v>
      </c>
      <c r="F835" s="5">
        <v>0</v>
      </c>
      <c r="G835" s="7">
        <v>0</v>
      </c>
      <c r="H835" s="5">
        <v>522</v>
      </c>
      <c r="I835" s="7">
        <v>22540.1</v>
      </c>
      <c r="J835" s="7">
        <v>0</v>
      </c>
      <c r="K835" s="5">
        <v>0</v>
      </c>
      <c r="L835" s="5">
        <v>0</v>
      </c>
      <c r="M835" s="5">
        <v>0</v>
      </c>
      <c r="N835" s="7">
        <v>0</v>
      </c>
      <c r="O835" s="7">
        <v>0</v>
      </c>
      <c r="P835" s="7">
        <v>38</v>
      </c>
      <c r="Q835" s="5">
        <v>0</v>
      </c>
      <c r="R835" s="5">
        <v>38</v>
      </c>
      <c r="S835" s="7">
        <v>6186.7000000000007</v>
      </c>
      <c r="T835" s="12">
        <v>43256</v>
      </c>
      <c r="U835" s="4">
        <v>2</v>
      </c>
      <c r="V835" s="4">
        <v>9</v>
      </c>
      <c r="W835" s="4">
        <v>9</v>
      </c>
      <c r="X835" s="45">
        <v>34930.759999999995</v>
      </c>
      <c r="Y835" s="14" t="s">
        <v>85</v>
      </c>
      <c r="Z835" s="14" t="s">
        <v>55</v>
      </c>
      <c r="AA835" s="14">
        <v>350810057450</v>
      </c>
      <c r="AB835" s="44">
        <v>43258</v>
      </c>
      <c r="AC835" s="44" t="s">
        <v>3150</v>
      </c>
      <c r="AD835" s="29" t="s">
        <v>600</v>
      </c>
      <c r="AE835" s="24">
        <v>2500000041391</v>
      </c>
      <c r="AF835" s="25"/>
      <c r="AI835" s="58"/>
    </row>
    <row r="836" spans="1:35" ht="16.5" customHeight="1">
      <c r="A836" s="6" t="s">
        <v>1919</v>
      </c>
      <c r="B836" s="5">
        <v>1235</v>
      </c>
      <c r="C836" s="7">
        <v>113441.11000000002</v>
      </c>
      <c r="D836" s="7">
        <v>0</v>
      </c>
      <c r="E836" s="7">
        <v>0</v>
      </c>
      <c r="F836" s="5">
        <v>0</v>
      </c>
      <c r="G836" s="7">
        <v>0</v>
      </c>
      <c r="H836" s="5">
        <v>0</v>
      </c>
      <c r="I836" s="7">
        <v>0</v>
      </c>
      <c r="J836" s="7">
        <v>0</v>
      </c>
      <c r="K836" s="5">
        <v>0</v>
      </c>
      <c r="L836" s="5">
        <v>0</v>
      </c>
      <c r="M836" s="5">
        <v>138</v>
      </c>
      <c r="N836" s="7">
        <v>138</v>
      </c>
      <c r="O836" s="7">
        <v>22325.1</v>
      </c>
      <c r="P836" s="7">
        <v>0</v>
      </c>
      <c r="Q836" s="5">
        <v>0</v>
      </c>
      <c r="R836" s="5">
        <v>0</v>
      </c>
      <c r="S836" s="7">
        <v>0</v>
      </c>
      <c r="T836" s="12">
        <v>43256</v>
      </c>
      <c r="U836" s="4">
        <v>11</v>
      </c>
      <c r="V836" s="4">
        <v>9</v>
      </c>
      <c r="W836" s="4">
        <v>9</v>
      </c>
      <c r="X836" s="45">
        <v>135766.21000000002</v>
      </c>
      <c r="Y836" s="14" t="s">
        <v>54</v>
      </c>
      <c r="Z836" s="14" t="s">
        <v>1281</v>
      </c>
      <c r="AA836" s="14" t="s">
        <v>3151</v>
      </c>
      <c r="AB836" s="44">
        <v>43261</v>
      </c>
      <c r="AC836" s="44" t="s">
        <v>3130</v>
      </c>
      <c r="AD836" s="29" t="s">
        <v>50</v>
      </c>
      <c r="AE836" s="24" t="s">
        <v>1925</v>
      </c>
      <c r="AF836" s="25"/>
      <c r="AI836" s="58"/>
    </row>
    <row r="837" spans="1:35" ht="16.5" customHeight="1">
      <c r="A837" s="6" t="s">
        <v>1920</v>
      </c>
      <c r="B837" s="5">
        <v>307</v>
      </c>
      <c r="C837" s="7">
        <v>35461.5</v>
      </c>
      <c r="D837" s="7">
        <v>0</v>
      </c>
      <c r="E837" s="7">
        <v>0</v>
      </c>
      <c r="F837" s="5">
        <v>0</v>
      </c>
      <c r="G837" s="7">
        <v>0</v>
      </c>
      <c r="H837" s="5">
        <v>0</v>
      </c>
      <c r="I837" s="7">
        <v>0</v>
      </c>
      <c r="J837" s="7">
        <v>0</v>
      </c>
      <c r="K837" s="5">
        <v>0</v>
      </c>
      <c r="L837" s="5">
        <v>0</v>
      </c>
      <c r="M837" s="5">
        <v>54</v>
      </c>
      <c r="N837" s="7">
        <v>54</v>
      </c>
      <c r="O837" s="7">
        <v>8396.5</v>
      </c>
      <c r="P837" s="7">
        <v>0</v>
      </c>
      <c r="Q837" s="5">
        <v>0</v>
      </c>
      <c r="R837" s="5">
        <v>0</v>
      </c>
      <c r="S837" s="7">
        <v>0</v>
      </c>
      <c r="T837" s="12">
        <v>43256</v>
      </c>
      <c r="U837" s="4">
        <v>4</v>
      </c>
      <c r="V837" s="4">
        <v>9</v>
      </c>
      <c r="W837" s="4">
        <v>9</v>
      </c>
      <c r="X837" s="45">
        <v>43858</v>
      </c>
      <c r="Y837" s="14" t="s">
        <v>54</v>
      </c>
      <c r="Z837" s="14" t="s">
        <v>1492</v>
      </c>
      <c r="AA837" s="14" t="s">
        <v>3131</v>
      </c>
      <c r="AB837" s="44">
        <v>43261</v>
      </c>
      <c r="AC837" s="44" t="s">
        <v>3130</v>
      </c>
      <c r="AD837" s="29" t="s">
        <v>49</v>
      </c>
      <c r="AE837" s="24" t="s">
        <v>1926</v>
      </c>
      <c r="AF837" s="25"/>
      <c r="AI837" s="58"/>
    </row>
    <row r="838" spans="1:35" ht="16.5" customHeight="1">
      <c r="A838" s="6" t="s">
        <v>1927</v>
      </c>
      <c r="B838" s="5">
        <v>0</v>
      </c>
      <c r="C838" s="7">
        <v>0</v>
      </c>
      <c r="D838" s="7">
        <v>0</v>
      </c>
      <c r="E838" s="7">
        <v>0</v>
      </c>
      <c r="F838" s="5">
        <v>0</v>
      </c>
      <c r="G838" s="7">
        <v>0</v>
      </c>
      <c r="H838" s="5">
        <v>635</v>
      </c>
      <c r="I838" s="7">
        <v>68802.799999999988</v>
      </c>
      <c r="J838" s="7">
        <v>0</v>
      </c>
      <c r="K838" s="5">
        <v>0</v>
      </c>
      <c r="L838" s="5">
        <v>0</v>
      </c>
      <c r="M838" s="5">
        <v>0</v>
      </c>
      <c r="N838" s="7">
        <v>0</v>
      </c>
      <c r="O838" s="7">
        <v>0</v>
      </c>
      <c r="P838" s="7">
        <v>0</v>
      </c>
      <c r="Q838" s="5">
        <v>0</v>
      </c>
      <c r="R838" s="5">
        <v>0</v>
      </c>
      <c r="S838" s="7">
        <v>0</v>
      </c>
      <c r="T838" s="12">
        <v>43257</v>
      </c>
      <c r="U838" s="4">
        <v>5</v>
      </c>
      <c r="V838" s="4">
        <v>9</v>
      </c>
      <c r="W838" s="4">
        <v>9</v>
      </c>
      <c r="X838" s="45">
        <v>68802.799999999988</v>
      </c>
      <c r="Y838" s="14" t="s">
        <v>54</v>
      </c>
      <c r="Z838" s="14" t="s">
        <v>57</v>
      </c>
      <c r="AA838" s="14" t="s">
        <v>3152</v>
      </c>
      <c r="AB838" s="44">
        <v>43261</v>
      </c>
      <c r="AC838" s="44" t="s">
        <v>3130</v>
      </c>
      <c r="AD838" s="29" t="s">
        <v>49</v>
      </c>
      <c r="AE838" s="24" t="s">
        <v>1932</v>
      </c>
      <c r="AF838" s="25"/>
      <c r="AI838" s="58"/>
    </row>
    <row r="839" spans="1:35" ht="16.5" customHeight="1">
      <c r="A839" s="6" t="s">
        <v>1928</v>
      </c>
      <c r="D839" s="7">
        <v>0</v>
      </c>
      <c r="E839" s="7">
        <v>0</v>
      </c>
      <c r="F839" s="5">
        <v>0</v>
      </c>
      <c r="G839" s="7">
        <v>0</v>
      </c>
      <c r="H839" s="5">
        <v>491</v>
      </c>
      <c r="I839" s="7">
        <v>66332.45</v>
      </c>
      <c r="J839" s="7">
        <v>0</v>
      </c>
      <c r="K839" s="5">
        <v>0</v>
      </c>
      <c r="L839" s="5">
        <v>0</v>
      </c>
      <c r="M839" s="5">
        <v>0</v>
      </c>
      <c r="N839" s="7">
        <v>0</v>
      </c>
      <c r="O839" s="7">
        <v>0</v>
      </c>
      <c r="P839" s="7">
        <v>0</v>
      </c>
      <c r="Q839" s="5">
        <v>0</v>
      </c>
      <c r="R839" s="5">
        <v>0</v>
      </c>
      <c r="S839" s="7">
        <v>0</v>
      </c>
      <c r="T839" s="12">
        <v>43257</v>
      </c>
      <c r="U839" s="4">
        <v>5</v>
      </c>
      <c r="V839" s="4">
        <v>9</v>
      </c>
      <c r="W839" s="4">
        <v>9</v>
      </c>
      <c r="X839" s="45">
        <v>66332.45</v>
      </c>
      <c r="Y839" s="14" t="s">
        <v>56</v>
      </c>
      <c r="Z839" s="14" t="s">
        <v>730</v>
      </c>
      <c r="AA839" s="14" t="s">
        <v>3153</v>
      </c>
      <c r="AB839" s="44">
        <v>43264</v>
      </c>
      <c r="AC839" s="44" t="s">
        <v>3154</v>
      </c>
      <c r="AD839" s="29" t="s">
        <v>49</v>
      </c>
      <c r="AE839" s="24" t="s">
        <v>1933</v>
      </c>
      <c r="AF839" s="25"/>
      <c r="AI839" s="58"/>
    </row>
    <row r="840" spans="1:35" ht="16.5" customHeight="1">
      <c r="A840" s="6" t="s">
        <v>1929</v>
      </c>
      <c r="B840" s="5">
        <v>285</v>
      </c>
      <c r="C840" s="7">
        <v>28708.61</v>
      </c>
      <c r="D840" s="7">
        <v>0</v>
      </c>
      <c r="E840" s="7">
        <v>0</v>
      </c>
      <c r="F840" s="5">
        <v>0</v>
      </c>
      <c r="G840" s="7">
        <v>0</v>
      </c>
      <c r="H840" s="5">
        <v>142</v>
      </c>
      <c r="I840" s="7">
        <v>12530.579999999998</v>
      </c>
      <c r="J840" s="7">
        <v>0</v>
      </c>
      <c r="K840" s="5">
        <v>0</v>
      </c>
      <c r="L840" s="5">
        <v>0</v>
      </c>
      <c r="M840" s="5">
        <v>0</v>
      </c>
      <c r="N840" s="7">
        <v>0</v>
      </c>
      <c r="O840" s="7">
        <v>0</v>
      </c>
      <c r="P840" s="7">
        <v>0</v>
      </c>
      <c r="Q840" s="5">
        <v>0</v>
      </c>
      <c r="R840" s="5">
        <v>0</v>
      </c>
      <c r="S840" s="7">
        <v>0</v>
      </c>
      <c r="T840" s="12">
        <v>43257</v>
      </c>
      <c r="U840" s="4">
        <v>3</v>
      </c>
      <c r="V840" s="4">
        <v>9</v>
      </c>
      <c r="W840" s="4">
        <v>9</v>
      </c>
      <c r="X840" s="45">
        <v>41239.19</v>
      </c>
      <c r="Y840" s="14" t="s">
        <v>56</v>
      </c>
      <c r="Z840" s="14" t="s">
        <v>1281</v>
      </c>
      <c r="AA840" s="14" t="s">
        <v>3144</v>
      </c>
      <c r="AB840" s="44">
        <v>43260</v>
      </c>
      <c r="AC840" s="44" t="s">
        <v>3135</v>
      </c>
      <c r="AD840" s="29" t="s">
        <v>52</v>
      </c>
      <c r="AE840" s="24" t="s">
        <v>1934</v>
      </c>
      <c r="AF840" s="25"/>
      <c r="AI840" s="58"/>
    </row>
    <row r="841" spans="1:35" ht="16.5" customHeight="1">
      <c r="A841" s="6" t="s">
        <v>1930</v>
      </c>
      <c r="B841" s="5">
        <v>352</v>
      </c>
      <c r="C841" s="7">
        <v>20134.5</v>
      </c>
      <c r="D841" s="7">
        <v>0</v>
      </c>
      <c r="E841" s="7">
        <v>0</v>
      </c>
      <c r="F841" s="5">
        <v>0</v>
      </c>
      <c r="G841" s="7">
        <v>0</v>
      </c>
      <c r="H841" s="5">
        <v>245</v>
      </c>
      <c r="I841" s="7">
        <v>26514.2</v>
      </c>
      <c r="J841" s="7">
        <v>0</v>
      </c>
      <c r="K841" s="5">
        <v>0</v>
      </c>
      <c r="L841" s="5">
        <v>0</v>
      </c>
      <c r="M841" s="5">
        <v>402</v>
      </c>
      <c r="N841" s="7">
        <v>402</v>
      </c>
      <c r="O841" s="7">
        <v>48208.299999999996</v>
      </c>
      <c r="P841" s="7">
        <v>285</v>
      </c>
      <c r="Q841" s="5">
        <v>0</v>
      </c>
      <c r="R841" s="5">
        <v>285</v>
      </c>
      <c r="S841" s="7">
        <v>39607</v>
      </c>
      <c r="T841" s="12">
        <v>43257</v>
      </c>
      <c r="U841" s="4">
        <v>10</v>
      </c>
      <c r="V841" s="4">
        <v>9</v>
      </c>
      <c r="W841" s="4">
        <v>9</v>
      </c>
      <c r="X841" s="45">
        <v>134464</v>
      </c>
      <c r="Y841" s="14" t="s">
        <v>56</v>
      </c>
      <c r="Z841" s="14" t="s">
        <v>1355</v>
      </c>
      <c r="AA841" s="14" t="s">
        <v>3146</v>
      </c>
      <c r="AB841" s="44">
        <v>43264</v>
      </c>
      <c r="AC841" s="44" t="s">
        <v>3147</v>
      </c>
      <c r="AD841" s="29" t="s">
        <v>51</v>
      </c>
      <c r="AE841" s="24" t="s">
        <v>1935</v>
      </c>
      <c r="AF841" s="25"/>
      <c r="AI841" s="58"/>
    </row>
    <row r="842" spans="1:35" ht="16.5" customHeight="1">
      <c r="A842" s="6" t="s">
        <v>1931</v>
      </c>
      <c r="B842" s="5">
        <v>669</v>
      </c>
      <c r="C842" s="7">
        <v>45100.579999999994</v>
      </c>
      <c r="D842" s="7">
        <v>0</v>
      </c>
      <c r="E842" s="7">
        <v>0</v>
      </c>
      <c r="F842" s="5">
        <v>0</v>
      </c>
      <c r="G842" s="7">
        <v>0</v>
      </c>
      <c r="H842" s="5">
        <v>0</v>
      </c>
      <c r="I842" s="7">
        <v>0</v>
      </c>
      <c r="J842" s="7">
        <v>0</v>
      </c>
      <c r="K842" s="5">
        <v>0</v>
      </c>
      <c r="L842" s="5">
        <v>0</v>
      </c>
      <c r="M842" s="5">
        <v>377</v>
      </c>
      <c r="N842" s="7">
        <v>377</v>
      </c>
      <c r="O842" s="7">
        <v>60126</v>
      </c>
      <c r="P842" s="7">
        <v>712</v>
      </c>
      <c r="Q842" s="5">
        <v>0</v>
      </c>
      <c r="R842" s="5">
        <v>712</v>
      </c>
      <c r="S842" s="7">
        <v>143163.90000000002</v>
      </c>
      <c r="T842" s="12">
        <v>43257</v>
      </c>
      <c r="U842" s="4">
        <v>19</v>
      </c>
      <c r="V842" s="4">
        <v>9</v>
      </c>
      <c r="W842" s="4">
        <v>9</v>
      </c>
      <c r="X842" s="45">
        <v>248390.48</v>
      </c>
      <c r="Y842" s="14" t="s">
        <v>54</v>
      </c>
      <c r="Z842" s="14" t="s">
        <v>59</v>
      </c>
      <c r="AA842" s="14" t="s">
        <v>3155</v>
      </c>
      <c r="AB842" s="44">
        <v>43266</v>
      </c>
      <c r="AC842" s="44" t="s">
        <v>3156</v>
      </c>
      <c r="AD842" s="29" t="s">
        <v>50</v>
      </c>
      <c r="AE842" s="24" t="s">
        <v>1936</v>
      </c>
      <c r="AF842" s="25"/>
      <c r="AI842" s="58"/>
    </row>
    <row r="843" spans="1:35" ht="16.5" customHeight="1">
      <c r="A843" s="6" t="s">
        <v>1937</v>
      </c>
      <c r="B843" s="5">
        <v>319</v>
      </c>
      <c r="C843" s="7">
        <v>26171.200000000001</v>
      </c>
      <c r="D843" s="7">
        <v>0</v>
      </c>
      <c r="E843" s="7">
        <v>0</v>
      </c>
      <c r="F843" s="5">
        <v>0</v>
      </c>
      <c r="G843" s="7">
        <v>0</v>
      </c>
      <c r="H843" s="5">
        <v>0</v>
      </c>
      <c r="I843" s="7">
        <v>0</v>
      </c>
      <c r="J843" s="7">
        <v>0</v>
      </c>
      <c r="K843" s="5">
        <v>0</v>
      </c>
      <c r="L843" s="5">
        <v>0</v>
      </c>
      <c r="M843" s="5">
        <v>53</v>
      </c>
      <c r="N843" s="7">
        <v>53</v>
      </c>
      <c r="O843" s="7">
        <v>8916.4000000000015</v>
      </c>
      <c r="P843" s="7">
        <v>0</v>
      </c>
      <c r="Q843" s="5">
        <v>0</v>
      </c>
      <c r="R843" s="5">
        <v>0</v>
      </c>
      <c r="S843" s="7">
        <v>0</v>
      </c>
      <c r="T843" s="12">
        <v>43258</v>
      </c>
      <c r="U843" s="4">
        <v>3</v>
      </c>
      <c r="V843" s="4">
        <v>9</v>
      </c>
      <c r="W843" s="4">
        <v>9</v>
      </c>
      <c r="X843" s="45">
        <v>35087.600000000006</v>
      </c>
      <c r="Y843" s="14" t="s">
        <v>1633</v>
      </c>
      <c r="Z843" s="14" t="s">
        <v>1492</v>
      </c>
      <c r="AA843" s="14" t="s">
        <v>3157</v>
      </c>
      <c r="AB843" s="44">
        <v>43265</v>
      </c>
      <c r="AC843" s="44" t="s">
        <v>3158</v>
      </c>
      <c r="AD843" s="29" t="s">
        <v>70</v>
      </c>
      <c r="AE843" s="24" t="s">
        <v>1943</v>
      </c>
      <c r="AF843" s="25"/>
      <c r="AI843" s="58"/>
    </row>
    <row r="844" spans="1:35" ht="16.5" customHeight="1">
      <c r="A844" s="6" t="s">
        <v>1938</v>
      </c>
      <c r="D844" s="7">
        <v>0</v>
      </c>
      <c r="E844" s="7">
        <v>0</v>
      </c>
      <c r="F844" s="5">
        <v>0</v>
      </c>
      <c r="G844" s="7">
        <v>0</v>
      </c>
      <c r="H844" s="5">
        <v>152</v>
      </c>
      <c r="I844" s="7">
        <v>16214.640000000003</v>
      </c>
      <c r="J844" s="7">
        <v>0</v>
      </c>
      <c r="K844" s="5">
        <v>0</v>
      </c>
      <c r="L844" s="5">
        <v>0</v>
      </c>
      <c r="M844" s="5">
        <v>0</v>
      </c>
      <c r="N844" s="7">
        <v>0</v>
      </c>
      <c r="O844" s="7">
        <v>0</v>
      </c>
      <c r="P844" s="7">
        <v>0</v>
      </c>
      <c r="Q844" s="5">
        <v>0</v>
      </c>
      <c r="R844" s="5">
        <v>0</v>
      </c>
      <c r="S844" s="7">
        <v>0</v>
      </c>
      <c r="T844" s="12">
        <v>43258</v>
      </c>
      <c r="U844" s="4">
        <v>1</v>
      </c>
      <c r="V844" s="4">
        <v>9</v>
      </c>
      <c r="W844" s="4">
        <v>9</v>
      </c>
      <c r="X844" s="45">
        <v>16214.640000000003</v>
      </c>
      <c r="Y844" s="14" t="s">
        <v>54</v>
      </c>
      <c r="Z844" s="14" t="s">
        <v>57</v>
      </c>
      <c r="AA844" s="14" t="s">
        <v>3152</v>
      </c>
      <c r="AB844" s="44">
        <v>43261</v>
      </c>
      <c r="AC844" s="44" t="s">
        <v>3130</v>
      </c>
      <c r="AD844" s="29" t="s">
        <v>49</v>
      </c>
      <c r="AE844" s="24" t="s">
        <v>1944</v>
      </c>
      <c r="AF844" s="25"/>
      <c r="AI844" s="58"/>
    </row>
    <row r="845" spans="1:35" ht="16.5" customHeight="1">
      <c r="A845" s="6" t="s">
        <v>1939</v>
      </c>
      <c r="D845" s="7">
        <v>0</v>
      </c>
      <c r="E845" s="7">
        <v>0</v>
      </c>
      <c r="F845" s="5">
        <v>0</v>
      </c>
      <c r="G845" s="7">
        <v>0</v>
      </c>
      <c r="H845" s="5">
        <v>455</v>
      </c>
      <c r="I845" s="7">
        <v>55983.7</v>
      </c>
      <c r="J845" s="7">
        <v>0</v>
      </c>
      <c r="K845" s="5">
        <v>0</v>
      </c>
      <c r="L845" s="5">
        <v>0</v>
      </c>
      <c r="M845" s="5">
        <v>0</v>
      </c>
      <c r="N845" s="7">
        <v>0</v>
      </c>
      <c r="O845" s="7">
        <v>0</v>
      </c>
      <c r="P845" s="7">
        <v>0</v>
      </c>
      <c r="Q845" s="5">
        <v>0</v>
      </c>
      <c r="R845" s="5">
        <v>0</v>
      </c>
      <c r="S845" s="7">
        <v>0</v>
      </c>
      <c r="T845" s="12">
        <v>43258</v>
      </c>
      <c r="U845" s="4">
        <v>4</v>
      </c>
      <c r="V845" s="4">
        <v>9</v>
      </c>
      <c r="W845" s="4">
        <v>9</v>
      </c>
      <c r="X845" s="45">
        <v>55983.7</v>
      </c>
      <c r="Y845" s="14" t="s">
        <v>54</v>
      </c>
      <c r="Z845" s="14" t="s">
        <v>57</v>
      </c>
      <c r="AA845" s="14" t="s">
        <v>3159</v>
      </c>
      <c r="AB845" s="44">
        <v>43266</v>
      </c>
      <c r="AC845" s="44" t="s">
        <v>3156</v>
      </c>
      <c r="AD845" s="29" t="s">
        <v>49</v>
      </c>
      <c r="AE845" s="24" t="s">
        <v>1945</v>
      </c>
      <c r="AF845" s="25"/>
      <c r="AI845" s="58"/>
    </row>
    <row r="846" spans="1:35" ht="16.5" customHeight="1">
      <c r="A846" s="6" t="s">
        <v>1940</v>
      </c>
      <c r="B846" s="5">
        <v>435</v>
      </c>
      <c r="C846" s="7">
        <v>39026.21</v>
      </c>
      <c r="D846" s="7">
        <v>0</v>
      </c>
      <c r="E846" s="7">
        <v>0</v>
      </c>
      <c r="F846" s="5">
        <v>0</v>
      </c>
      <c r="G846" s="7">
        <v>0</v>
      </c>
      <c r="H846" s="5">
        <v>0</v>
      </c>
      <c r="I846" s="7">
        <v>0</v>
      </c>
      <c r="J846" s="7">
        <v>0</v>
      </c>
      <c r="K846" s="5">
        <v>0</v>
      </c>
      <c r="L846" s="5">
        <v>0</v>
      </c>
      <c r="M846" s="5">
        <v>61</v>
      </c>
      <c r="N846" s="7">
        <v>61</v>
      </c>
      <c r="O846" s="7">
        <v>9084.8000000000029</v>
      </c>
      <c r="P846" s="7">
        <v>90</v>
      </c>
      <c r="Q846" s="5">
        <v>0</v>
      </c>
      <c r="R846" s="5">
        <v>90</v>
      </c>
      <c r="S846" s="7">
        <v>13660</v>
      </c>
      <c r="T846" s="12">
        <v>43258</v>
      </c>
      <c r="U846" s="4">
        <v>5</v>
      </c>
      <c r="V846" s="4">
        <v>9</v>
      </c>
      <c r="W846" s="4">
        <v>9</v>
      </c>
      <c r="X846" s="45">
        <v>61771.01</v>
      </c>
      <c r="Y846" s="14" t="s">
        <v>56</v>
      </c>
      <c r="Z846" s="14" t="s">
        <v>1281</v>
      </c>
      <c r="AA846" s="14" t="s">
        <v>3160</v>
      </c>
      <c r="AB846" s="44">
        <v>43264</v>
      </c>
      <c r="AC846" s="44" t="s">
        <v>3161</v>
      </c>
      <c r="AD846" s="29" t="s">
        <v>52</v>
      </c>
      <c r="AE846" s="24" t="s">
        <v>1946</v>
      </c>
      <c r="AF846" s="25"/>
      <c r="AI846" s="58"/>
    </row>
    <row r="847" spans="1:35" ht="16.5" customHeight="1">
      <c r="A847" s="6" t="s">
        <v>1941</v>
      </c>
      <c r="B847" s="5">
        <v>398</v>
      </c>
      <c r="C847" s="7">
        <v>47420.759999999995</v>
      </c>
      <c r="D847" s="7">
        <v>0</v>
      </c>
      <c r="E847" s="7">
        <v>0</v>
      </c>
      <c r="F847" s="5">
        <v>0</v>
      </c>
      <c r="G847" s="7">
        <v>0</v>
      </c>
      <c r="H847" s="5">
        <v>235</v>
      </c>
      <c r="I847" s="7">
        <v>27546.299999999996</v>
      </c>
      <c r="J847" s="7">
        <v>0</v>
      </c>
      <c r="K847" s="5">
        <v>0</v>
      </c>
      <c r="L847" s="5">
        <v>0</v>
      </c>
      <c r="M847" s="5">
        <v>130</v>
      </c>
      <c r="N847" s="7">
        <v>130</v>
      </c>
      <c r="O847" s="7">
        <v>10429.199999999999</v>
      </c>
      <c r="P847" s="7">
        <v>0</v>
      </c>
      <c r="Q847" s="5">
        <v>0</v>
      </c>
      <c r="R847" s="5">
        <v>0</v>
      </c>
      <c r="S847" s="7">
        <v>0</v>
      </c>
      <c r="T847" s="12">
        <v>43258</v>
      </c>
      <c r="U847" s="4">
        <v>7</v>
      </c>
      <c r="V847" s="4">
        <v>9</v>
      </c>
      <c r="W847" s="4">
        <v>9</v>
      </c>
      <c r="X847" s="45">
        <v>85396.26</v>
      </c>
      <c r="Y847" s="14" t="s">
        <v>54</v>
      </c>
      <c r="Z847" s="14" t="s">
        <v>55</v>
      </c>
      <c r="AA847" s="14" t="s">
        <v>3162</v>
      </c>
      <c r="AB847" s="44">
        <v>43261</v>
      </c>
      <c r="AC847" s="44" t="s">
        <v>3163</v>
      </c>
      <c r="AD847" s="29" t="s">
        <v>51</v>
      </c>
      <c r="AE847" s="24" t="s">
        <v>1947</v>
      </c>
      <c r="AF847" s="25"/>
      <c r="AI847" s="58"/>
    </row>
    <row r="848" spans="1:35" ht="16.5" customHeight="1">
      <c r="A848" s="6" t="s">
        <v>1942</v>
      </c>
      <c r="B848" s="5">
        <v>670</v>
      </c>
      <c r="C848" s="7">
        <v>76659.170000000013</v>
      </c>
      <c r="D848" s="7">
        <v>0</v>
      </c>
      <c r="E848" s="7">
        <v>0</v>
      </c>
      <c r="F848" s="5">
        <v>0</v>
      </c>
      <c r="G848" s="7">
        <v>0</v>
      </c>
      <c r="H848" s="5">
        <v>0</v>
      </c>
      <c r="I848" s="7">
        <v>0</v>
      </c>
      <c r="J848" s="7">
        <v>0</v>
      </c>
      <c r="K848" s="5">
        <v>0</v>
      </c>
      <c r="L848" s="5">
        <v>0</v>
      </c>
      <c r="M848" s="5">
        <v>93</v>
      </c>
      <c r="N848" s="7">
        <v>93</v>
      </c>
      <c r="O848" s="7">
        <v>19529.400000000001</v>
      </c>
      <c r="P848" s="7">
        <v>0</v>
      </c>
      <c r="Q848" s="5">
        <v>0</v>
      </c>
      <c r="R848" s="5">
        <v>0</v>
      </c>
      <c r="S848" s="7">
        <v>0</v>
      </c>
      <c r="T848" s="12">
        <v>43258</v>
      </c>
      <c r="U848" s="4">
        <v>8</v>
      </c>
      <c r="V848" s="4">
        <v>9</v>
      </c>
      <c r="W848" s="4">
        <v>9</v>
      </c>
      <c r="X848" s="45">
        <v>96188.57</v>
      </c>
      <c r="Y848" s="14" t="s">
        <v>54</v>
      </c>
      <c r="Z848" s="14" t="s">
        <v>59</v>
      </c>
      <c r="AA848" s="14" t="s">
        <v>3151</v>
      </c>
      <c r="AB848" s="44">
        <v>43261</v>
      </c>
      <c r="AC848" s="44" t="s">
        <v>3130</v>
      </c>
      <c r="AD848" s="29" t="s">
        <v>50</v>
      </c>
      <c r="AE848" s="24" t="s">
        <v>1948</v>
      </c>
      <c r="AF848" s="25"/>
      <c r="AI848" s="58"/>
    </row>
    <row r="849" spans="1:35" ht="16.5" customHeight="1">
      <c r="A849" s="6" t="s">
        <v>1949</v>
      </c>
      <c r="B849" s="5">
        <v>55</v>
      </c>
      <c r="C849" s="7">
        <v>8569.5</v>
      </c>
      <c r="D849" s="7">
        <v>0</v>
      </c>
      <c r="E849" s="7">
        <v>0</v>
      </c>
      <c r="F849" s="5">
        <v>0</v>
      </c>
      <c r="G849" s="7">
        <v>0</v>
      </c>
      <c r="H849" s="5">
        <v>140</v>
      </c>
      <c r="I849" s="7">
        <v>15576.850000000002</v>
      </c>
      <c r="J849" s="7">
        <v>0</v>
      </c>
      <c r="K849" s="5">
        <v>0</v>
      </c>
      <c r="L849" s="5">
        <v>0</v>
      </c>
      <c r="M849" s="5">
        <v>0</v>
      </c>
      <c r="N849" s="7">
        <v>0</v>
      </c>
      <c r="O849" s="7">
        <v>0</v>
      </c>
      <c r="P849" s="7">
        <v>0</v>
      </c>
      <c r="Q849" s="5">
        <v>0</v>
      </c>
      <c r="R849" s="5">
        <v>0</v>
      </c>
      <c r="S849" s="7">
        <v>0</v>
      </c>
      <c r="T849" s="12">
        <v>43259</v>
      </c>
      <c r="U849" s="4">
        <v>2</v>
      </c>
      <c r="V849" s="4">
        <v>9</v>
      </c>
      <c r="W849" s="4">
        <v>9</v>
      </c>
      <c r="X849" s="45">
        <v>24146.350000000002</v>
      </c>
      <c r="Y849" s="14" t="s">
        <v>1633</v>
      </c>
      <c r="Z849" s="14" t="s">
        <v>1492</v>
      </c>
      <c r="AA849" s="14" t="s">
        <v>3148</v>
      </c>
      <c r="AB849" s="44">
        <v>43262</v>
      </c>
      <c r="AC849" s="44" t="s">
        <v>3149</v>
      </c>
      <c r="AD849" s="29" t="s">
        <v>70</v>
      </c>
      <c r="AE849" s="24" t="s">
        <v>1961</v>
      </c>
      <c r="AF849" s="25"/>
      <c r="AI849" s="58"/>
    </row>
    <row r="850" spans="1:35" ht="16.5" customHeight="1">
      <c r="A850" s="6" t="s">
        <v>1950</v>
      </c>
      <c r="B850" s="5">
        <v>251</v>
      </c>
      <c r="C850" s="7">
        <v>8827</v>
      </c>
      <c r="D850" s="7">
        <v>0</v>
      </c>
      <c r="E850" s="7">
        <v>0</v>
      </c>
      <c r="F850" s="5">
        <v>0</v>
      </c>
      <c r="G850" s="7">
        <v>0</v>
      </c>
      <c r="H850" s="5">
        <v>453</v>
      </c>
      <c r="I850" s="56">
        <v>51788.789999999994</v>
      </c>
      <c r="J850" s="7">
        <v>0</v>
      </c>
      <c r="K850" s="5">
        <v>0</v>
      </c>
      <c r="L850" s="5">
        <v>0</v>
      </c>
      <c r="M850" s="5">
        <v>481</v>
      </c>
      <c r="N850" s="7">
        <v>481</v>
      </c>
      <c r="O850" s="7">
        <v>12008.9</v>
      </c>
      <c r="P850" s="7">
        <v>0</v>
      </c>
      <c r="Q850" s="5">
        <v>0</v>
      </c>
      <c r="R850" s="5">
        <v>0</v>
      </c>
      <c r="S850" s="7">
        <v>0</v>
      </c>
      <c r="T850" s="12">
        <v>43259</v>
      </c>
      <c r="U850" s="4">
        <v>5</v>
      </c>
      <c r="V850" s="4">
        <v>9</v>
      </c>
      <c r="W850" s="4">
        <v>9</v>
      </c>
      <c r="X850" s="45">
        <v>72624.689999999988</v>
      </c>
      <c r="Y850" s="14" t="s">
        <v>54</v>
      </c>
      <c r="Z850" s="14" t="s">
        <v>57</v>
      </c>
      <c r="AA850" s="14" t="s">
        <v>3152</v>
      </c>
      <c r="AB850" s="44">
        <v>43261</v>
      </c>
      <c r="AC850" s="44" t="s">
        <v>3130</v>
      </c>
      <c r="AD850" s="29" t="s">
        <v>49</v>
      </c>
      <c r="AE850" s="52" t="s">
        <v>1962</v>
      </c>
      <c r="AF850" s="25"/>
      <c r="AI850" s="58"/>
    </row>
    <row r="851" spans="1:35" ht="16.5" customHeight="1">
      <c r="A851" s="6" t="s">
        <v>1951</v>
      </c>
      <c r="B851" s="5">
        <v>135</v>
      </c>
      <c r="C851" s="7">
        <v>12923.5</v>
      </c>
      <c r="D851" s="7">
        <v>0</v>
      </c>
      <c r="E851" s="7">
        <v>0</v>
      </c>
      <c r="F851" s="5">
        <v>0</v>
      </c>
      <c r="G851" s="7">
        <v>0</v>
      </c>
      <c r="H851" s="5">
        <v>0</v>
      </c>
      <c r="I851" s="7">
        <v>0</v>
      </c>
      <c r="J851" s="7">
        <v>0</v>
      </c>
      <c r="K851" s="5">
        <v>0</v>
      </c>
      <c r="L851" s="5">
        <v>0</v>
      </c>
      <c r="M851" s="5">
        <v>58</v>
      </c>
      <c r="N851" s="7">
        <v>58</v>
      </c>
      <c r="O851" s="7">
        <v>10248.599999999999</v>
      </c>
      <c r="P851" s="7">
        <v>240</v>
      </c>
      <c r="Q851" s="5">
        <v>0</v>
      </c>
      <c r="R851" s="5">
        <v>240</v>
      </c>
      <c r="S851" s="7">
        <v>36281</v>
      </c>
      <c r="T851" s="12">
        <v>43259</v>
      </c>
      <c r="U851" s="4">
        <v>4</v>
      </c>
      <c r="V851" s="4">
        <v>9</v>
      </c>
      <c r="W851" s="4">
        <v>9</v>
      </c>
      <c r="X851" s="45">
        <v>59453.1</v>
      </c>
      <c r="Y851" s="14" t="s">
        <v>56</v>
      </c>
      <c r="Z851" s="14" t="s">
        <v>730</v>
      </c>
      <c r="AA851" s="14" t="s">
        <v>3153</v>
      </c>
      <c r="AB851" s="44">
        <v>43264</v>
      </c>
      <c r="AC851" s="44" t="s">
        <v>3154</v>
      </c>
      <c r="AD851" s="29" t="s">
        <v>49</v>
      </c>
      <c r="AE851" s="24" t="s">
        <v>1963</v>
      </c>
      <c r="AF851" s="25"/>
      <c r="AI851" s="58"/>
    </row>
    <row r="852" spans="1:35" ht="16.5" customHeight="1">
      <c r="A852" s="6" t="s">
        <v>1952</v>
      </c>
      <c r="B852" s="5">
        <v>101</v>
      </c>
      <c r="C852" s="7">
        <v>13782</v>
      </c>
      <c r="D852" s="7">
        <v>0</v>
      </c>
      <c r="E852" s="7">
        <v>0</v>
      </c>
      <c r="F852" s="5">
        <v>0</v>
      </c>
      <c r="G852" s="7">
        <v>0</v>
      </c>
      <c r="H852" s="5">
        <v>0</v>
      </c>
      <c r="I852" s="7">
        <v>0</v>
      </c>
      <c r="J852" s="7">
        <v>0</v>
      </c>
      <c r="K852" s="5">
        <v>0</v>
      </c>
      <c r="L852" s="5">
        <v>0</v>
      </c>
      <c r="M852" s="5">
        <v>76</v>
      </c>
      <c r="N852" s="7">
        <v>76</v>
      </c>
      <c r="O852" s="7">
        <v>8627.5</v>
      </c>
      <c r="P852" s="7">
        <v>0</v>
      </c>
      <c r="Q852" s="5">
        <v>0</v>
      </c>
      <c r="R852" s="5">
        <v>0</v>
      </c>
      <c r="S852" s="7">
        <v>0</v>
      </c>
      <c r="T852" s="12">
        <v>43259</v>
      </c>
      <c r="U852" s="4">
        <v>2</v>
      </c>
      <c r="V852" s="4">
        <v>9</v>
      </c>
      <c r="W852" s="4">
        <v>9</v>
      </c>
      <c r="X852" s="45">
        <v>22409.5</v>
      </c>
      <c r="Y852" s="14" t="s">
        <v>54</v>
      </c>
      <c r="Z852" s="14" t="s">
        <v>1281</v>
      </c>
      <c r="AA852" s="14" t="s">
        <v>3164</v>
      </c>
      <c r="AB852" s="44">
        <v>43261</v>
      </c>
      <c r="AC852" s="44" t="s">
        <v>3163</v>
      </c>
      <c r="AD852" s="29" t="s">
        <v>52</v>
      </c>
      <c r="AE852" s="24" t="s">
        <v>1964</v>
      </c>
      <c r="AF852" s="25"/>
      <c r="AI852" s="58"/>
    </row>
    <row r="853" spans="1:35" ht="16.5" customHeight="1">
      <c r="A853" s="6" t="s">
        <v>1953</v>
      </c>
      <c r="B853" s="5">
        <v>191</v>
      </c>
      <c r="C853" s="7">
        <v>18745.7</v>
      </c>
      <c r="D853" s="7">
        <v>0</v>
      </c>
      <c r="E853" s="7">
        <v>0</v>
      </c>
      <c r="F853" s="5">
        <v>0</v>
      </c>
      <c r="G853" s="7">
        <v>0</v>
      </c>
      <c r="H853" s="5">
        <v>455</v>
      </c>
      <c r="I853" s="7">
        <v>49951.299999999996</v>
      </c>
      <c r="J853" s="7">
        <v>0</v>
      </c>
      <c r="K853" s="5">
        <v>0</v>
      </c>
      <c r="L853" s="5">
        <v>0</v>
      </c>
      <c r="M853" s="5">
        <v>74</v>
      </c>
      <c r="N853" s="7">
        <v>74</v>
      </c>
      <c r="O853" s="7">
        <v>9054.7999999999993</v>
      </c>
      <c r="P853" s="7">
        <v>0</v>
      </c>
      <c r="Q853" s="5">
        <v>0</v>
      </c>
      <c r="R853" s="5">
        <v>0</v>
      </c>
      <c r="S853" s="7">
        <v>0</v>
      </c>
      <c r="T853" s="12">
        <v>43259</v>
      </c>
      <c r="U853" s="4">
        <v>6</v>
      </c>
      <c r="V853" s="4">
        <v>9</v>
      </c>
      <c r="W853" s="4">
        <v>9</v>
      </c>
      <c r="X853" s="45">
        <v>77751.8</v>
      </c>
      <c r="Y853" s="14" t="s">
        <v>54</v>
      </c>
      <c r="Z853" s="14" t="s">
        <v>55</v>
      </c>
      <c r="AA853" s="14" t="s">
        <v>3162</v>
      </c>
      <c r="AB853" s="44">
        <v>43261</v>
      </c>
      <c r="AC853" s="44" t="s">
        <v>3163</v>
      </c>
      <c r="AD853" s="29" t="s">
        <v>51</v>
      </c>
      <c r="AE853" s="24" t="s">
        <v>1965</v>
      </c>
      <c r="AF853" s="25"/>
      <c r="AI853" s="58"/>
    </row>
    <row r="854" spans="1:35" ht="16.5" customHeight="1">
      <c r="A854" s="6" t="s">
        <v>1954</v>
      </c>
      <c r="B854" s="5">
        <v>897</v>
      </c>
      <c r="C854" s="7">
        <v>98738.819999999992</v>
      </c>
      <c r="D854" s="7">
        <v>0</v>
      </c>
      <c r="E854" s="7">
        <v>0</v>
      </c>
      <c r="F854" s="5">
        <v>0</v>
      </c>
      <c r="G854" s="7">
        <v>0</v>
      </c>
      <c r="H854" s="5">
        <v>665</v>
      </c>
      <c r="I854" s="7">
        <v>80842.800000000017</v>
      </c>
      <c r="J854" s="7">
        <v>0</v>
      </c>
      <c r="K854" s="5">
        <v>0</v>
      </c>
      <c r="L854" s="5">
        <v>0</v>
      </c>
      <c r="M854" s="5">
        <v>149</v>
      </c>
      <c r="N854" s="7">
        <v>149</v>
      </c>
      <c r="O854" s="7">
        <v>20619.8</v>
      </c>
      <c r="P854" s="7">
        <v>0</v>
      </c>
      <c r="Q854" s="5">
        <v>0</v>
      </c>
      <c r="R854" s="5">
        <v>0</v>
      </c>
      <c r="S854" s="7">
        <v>0</v>
      </c>
      <c r="T854" s="12">
        <v>43259</v>
      </c>
      <c r="U854" s="4">
        <v>16</v>
      </c>
      <c r="V854" s="4">
        <v>9</v>
      </c>
      <c r="W854" s="4">
        <v>9</v>
      </c>
      <c r="X854" s="45">
        <v>200201.41999999998</v>
      </c>
      <c r="Y854" s="14" t="s">
        <v>56</v>
      </c>
      <c r="Z854" s="14" t="s">
        <v>55</v>
      </c>
      <c r="AA854" s="14" t="s">
        <v>3165</v>
      </c>
      <c r="AB854" s="44">
        <v>43264</v>
      </c>
      <c r="AC854" s="44" t="s">
        <v>3166</v>
      </c>
      <c r="AD854" s="29" t="s">
        <v>51</v>
      </c>
      <c r="AE854" s="24" t="s">
        <v>1966</v>
      </c>
      <c r="AF854" s="25"/>
      <c r="AI854" s="58"/>
    </row>
    <row r="855" spans="1:35" ht="16.5" customHeight="1">
      <c r="A855" s="6" t="s">
        <v>1956</v>
      </c>
      <c r="B855" s="5">
        <v>84</v>
      </c>
      <c r="C855" s="7">
        <v>9291.6500000000015</v>
      </c>
      <c r="D855" s="7">
        <v>0</v>
      </c>
      <c r="E855" s="7">
        <v>0</v>
      </c>
      <c r="F855" s="5">
        <v>0</v>
      </c>
      <c r="G855" s="7">
        <v>0</v>
      </c>
      <c r="H855" s="5">
        <v>0</v>
      </c>
      <c r="I855" s="7">
        <v>0</v>
      </c>
      <c r="J855" s="7">
        <v>0</v>
      </c>
      <c r="K855" s="5">
        <v>0</v>
      </c>
      <c r="L855" s="5">
        <v>0</v>
      </c>
      <c r="M855" s="5">
        <v>0</v>
      </c>
      <c r="N855" s="7">
        <v>0</v>
      </c>
      <c r="O855" s="7">
        <v>0</v>
      </c>
      <c r="P855" s="7">
        <v>12</v>
      </c>
      <c r="Q855" s="5">
        <v>0</v>
      </c>
      <c r="R855" s="5">
        <v>12</v>
      </c>
      <c r="S855" s="7">
        <v>1125.5999999999999</v>
      </c>
      <c r="T855" s="12">
        <v>43259</v>
      </c>
      <c r="U855" s="4">
        <v>1</v>
      </c>
      <c r="V855" s="4">
        <v>9</v>
      </c>
      <c r="W855" s="4">
        <v>9</v>
      </c>
      <c r="X855" s="45">
        <v>10417.250000000002</v>
      </c>
      <c r="Y855" s="14" t="s">
        <v>85</v>
      </c>
      <c r="Z855" s="14" t="s">
        <v>57</v>
      </c>
      <c r="AA855" s="14">
        <v>350810060375</v>
      </c>
      <c r="AB855" s="44">
        <v>43261</v>
      </c>
      <c r="AC855" s="44" t="s">
        <v>3143</v>
      </c>
      <c r="AD855" s="29" t="s">
        <v>600</v>
      </c>
      <c r="AE855" s="24">
        <v>2500000041614</v>
      </c>
      <c r="AF855" s="25"/>
      <c r="AI855" s="58"/>
    </row>
    <row r="856" spans="1:35" ht="16.5" customHeight="1">
      <c r="A856" s="6" t="s">
        <v>1957</v>
      </c>
      <c r="B856" s="5">
        <v>398</v>
      </c>
      <c r="C856" s="7">
        <v>45603.1</v>
      </c>
      <c r="D856" s="7">
        <v>0</v>
      </c>
      <c r="E856" s="7">
        <v>0</v>
      </c>
      <c r="F856" s="5">
        <v>0</v>
      </c>
      <c r="G856" s="7">
        <v>0</v>
      </c>
      <c r="H856" s="5">
        <v>195</v>
      </c>
      <c r="I856" s="7">
        <v>4786.5</v>
      </c>
      <c r="J856" s="7">
        <v>0</v>
      </c>
      <c r="K856" s="5">
        <v>0</v>
      </c>
      <c r="L856" s="5">
        <v>0</v>
      </c>
      <c r="M856" s="5">
        <v>143</v>
      </c>
      <c r="N856" s="7">
        <v>143</v>
      </c>
      <c r="O856" s="7">
        <v>19398.600000000002</v>
      </c>
      <c r="P856" s="7">
        <v>50</v>
      </c>
      <c r="Q856" s="5">
        <v>0</v>
      </c>
      <c r="R856" s="5">
        <v>50</v>
      </c>
      <c r="S856" s="7">
        <v>2495</v>
      </c>
      <c r="T856" s="12">
        <v>43259</v>
      </c>
      <c r="U856" s="4">
        <v>6</v>
      </c>
      <c r="V856" s="4">
        <v>9</v>
      </c>
      <c r="W856" s="4">
        <v>9</v>
      </c>
      <c r="X856" s="45">
        <v>72283.199999999997</v>
      </c>
      <c r="Y856" s="14" t="s">
        <v>54</v>
      </c>
      <c r="Z856" s="14" t="s">
        <v>59</v>
      </c>
      <c r="AA856" s="14" t="s">
        <v>3151</v>
      </c>
      <c r="AB856" s="44">
        <v>43261</v>
      </c>
      <c r="AC856" s="44" t="s">
        <v>3130</v>
      </c>
      <c r="AD856" s="29" t="s">
        <v>50</v>
      </c>
      <c r="AE856" s="24" t="s">
        <v>1967</v>
      </c>
      <c r="AF856" s="25"/>
      <c r="AI856" s="58"/>
    </row>
    <row r="857" spans="1:35" ht="16.5" customHeight="1">
      <c r="A857" s="6" t="s">
        <v>1958</v>
      </c>
      <c r="B857" s="5">
        <v>1105</v>
      </c>
      <c r="C857" s="7">
        <v>144324.29999999999</v>
      </c>
      <c r="D857" s="7">
        <v>0</v>
      </c>
      <c r="E857" s="7">
        <v>0</v>
      </c>
      <c r="F857" s="5">
        <v>0</v>
      </c>
      <c r="G857" s="7">
        <v>0</v>
      </c>
      <c r="H857" s="5">
        <v>0</v>
      </c>
      <c r="I857" s="7">
        <v>0</v>
      </c>
      <c r="J857" s="7">
        <v>0</v>
      </c>
      <c r="K857" s="5">
        <v>0</v>
      </c>
      <c r="L857" s="5">
        <v>0</v>
      </c>
      <c r="M857" s="5">
        <v>146</v>
      </c>
      <c r="N857" s="7">
        <v>146</v>
      </c>
      <c r="O857" s="7">
        <v>21422.7</v>
      </c>
      <c r="P857" s="7">
        <v>0</v>
      </c>
      <c r="Q857" s="5">
        <v>0</v>
      </c>
      <c r="R857" s="5">
        <v>0</v>
      </c>
      <c r="S857" s="7">
        <v>0</v>
      </c>
      <c r="T857" s="12">
        <v>43259</v>
      </c>
      <c r="U857" s="4">
        <v>14</v>
      </c>
      <c r="V857" s="4">
        <v>9</v>
      </c>
      <c r="W857" s="4">
        <v>9</v>
      </c>
      <c r="X857" s="45">
        <v>165747</v>
      </c>
      <c r="Y857" s="14" t="s">
        <v>54</v>
      </c>
      <c r="Z857" s="14" t="s">
        <v>59</v>
      </c>
      <c r="AA857" s="14" t="s">
        <v>3155</v>
      </c>
      <c r="AB857" s="44">
        <v>43266</v>
      </c>
      <c r="AC857" s="44" t="s">
        <v>3156</v>
      </c>
      <c r="AD857" s="29" t="s">
        <v>50</v>
      </c>
      <c r="AE857" s="24" t="s">
        <v>1968</v>
      </c>
      <c r="AF857" s="25"/>
      <c r="AI857" s="58"/>
    </row>
    <row r="858" spans="1:35" ht="16.5" customHeight="1">
      <c r="A858" s="6" t="s">
        <v>1959</v>
      </c>
      <c r="B858" s="5">
        <v>183</v>
      </c>
      <c r="C858" s="7">
        <v>22992.6</v>
      </c>
      <c r="D858" s="7">
        <v>0</v>
      </c>
      <c r="E858" s="7">
        <v>0</v>
      </c>
      <c r="F858" s="5">
        <v>0</v>
      </c>
      <c r="G858" s="7">
        <v>0</v>
      </c>
      <c r="H858" s="5">
        <v>95</v>
      </c>
      <c r="I858" s="7">
        <v>12156.2</v>
      </c>
      <c r="J858" s="7">
        <v>0</v>
      </c>
      <c r="K858" s="5">
        <v>0</v>
      </c>
      <c r="L858" s="5">
        <v>0</v>
      </c>
      <c r="M858" s="5">
        <v>58</v>
      </c>
      <c r="N858" s="7">
        <v>58</v>
      </c>
      <c r="O858" s="7">
        <v>10248.599999999999</v>
      </c>
      <c r="P858" s="7">
        <v>92</v>
      </c>
      <c r="Q858" s="5">
        <v>0</v>
      </c>
      <c r="R858" s="5">
        <v>92</v>
      </c>
      <c r="S858" s="7">
        <v>16975.3</v>
      </c>
      <c r="T858" s="12">
        <v>43259</v>
      </c>
      <c r="U858" s="4">
        <v>5</v>
      </c>
      <c r="V858" s="4">
        <v>9</v>
      </c>
      <c r="W858" s="4">
        <v>9</v>
      </c>
      <c r="X858" s="45">
        <v>62372.7</v>
      </c>
      <c r="Y858" s="14" t="s">
        <v>85</v>
      </c>
      <c r="Z858" s="14" t="s">
        <v>1637</v>
      </c>
      <c r="AA858" s="14">
        <v>350810059294</v>
      </c>
      <c r="AB858" s="44">
        <v>43264</v>
      </c>
      <c r="AC858" s="44" t="s">
        <v>3167</v>
      </c>
      <c r="AD858" s="29" t="s">
        <v>49</v>
      </c>
      <c r="AE858" s="24" t="s">
        <v>1969</v>
      </c>
      <c r="AF858" s="25"/>
      <c r="AI858" s="58"/>
    </row>
    <row r="859" spans="1:35" ht="16.5" customHeight="1">
      <c r="A859" s="6" t="s">
        <v>1971</v>
      </c>
      <c r="B859" s="5">
        <v>49</v>
      </c>
      <c r="C859" s="7">
        <v>4993.8</v>
      </c>
      <c r="D859" s="7">
        <v>0</v>
      </c>
      <c r="E859" s="7">
        <v>0</v>
      </c>
      <c r="F859" s="5">
        <v>0</v>
      </c>
      <c r="G859" s="7">
        <v>0</v>
      </c>
      <c r="H859" s="5">
        <v>0</v>
      </c>
      <c r="I859" s="7">
        <v>0</v>
      </c>
      <c r="J859" s="7">
        <v>0</v>
      </c>
      <c r="K859" s="5">
        <v>0</v>
      </c>
      <c r="L859" s="5">
        <v>0</v>
      </c>
      <c r="M859" s="5">
        <v>26</v>
      </c>
      <c r="N859" s="7">
        <v>26</v>
      </c>
      <c r="O859" s="7">
        <v>4393.6000000000004</v>
      </c>
      <c r="P859" s="7">
        <v>292</v>
      </c>
      <c r="Q859" s="5">
        <v>0</v>
      </c>
      <c r="R859" s="5">
        <v>292</v>
      </c>
      <c r="S859" s="7">
        <v>44422.8</v>
      </c>
      <c r="T859" s="12">
        <v>43260</v>
      </c>
      <c r="U859" s="4">
        <v>4</v>
      </c>
      <c r="V859" s="4">
        <v>9</v>
      </c>
      <c r="W859" s="4">
        <v>9</v>
      </c>
      <c r="X859" s="45">
        <v>53810.200000000004</v>
      </c>
      <c r="Y859" s="14" t="s">
        <v>58</v>
      </c>
      <c r="Z859" s="14" t="s">
        <v>1492</v>
      </c>
      <c r="AA859" s="14" t="s">
        <v>3168</v>
      </c>
      <c r="AB859" s="44">
        <v>43266</v>
      </c>
      <c r="AC859" s="44" t="s">
        <v>3169</v>
      </c>
      <c r="AD859" s="29" t="s">
        <v>49</v>
      </c>
      <c r="AE859" s="52" t="s">
        <v>1977</v>
      </c>
      <c r="AF859" s="25"/>
      <c r="AI859" s="58"/>
    </row>
    <row r="860" spans="1:35" ht="16.5" customHeight="1">
      <c r="A860" s="6" t="s">
        <v>1970</v>
      </c>
      <c r="B860" s="5">
        <v>1022</v>
      </c>
      <c r="C860" s="7">
        <v>108130.53</v>
      </c>
      <c r="D860" s="7">
        <v>0</v>
      </c>
      <c r="E860" s="7">
        <v>0</v>
      </c>
      <c r="F860" s="5">
        <v>0</v>
      </c>
      <c r="G860" s="7">
        <v>0</v>
      </c>
      <c r="H860" s="5">
        <v>95</v>
      </c>
      <c r="I860" s="7">
        <v>13063.9</v>
      </c>
      <c r="J860" s="7">
        <v>0</v>
      </c>
      <c r="K860" s="5">
        <v>0</v>
      </c>
      <c r="L860" s="5">
        <v>0</v>
      </c>
      <c r="M860" s="5">
        <v>135</v>
      </c>
      <c r="N860" s="7">
        <v>135</v>
      </c>
      <c r="O860" s="7">
        <v>30525.200000000001</v>
      </c>
      <c r="P860" s="7">
        <v>0</v>
      </c>
      <c r="Q860" s="5">
        <v>0</v>
      </c>
      <c r="R860" s="5">
        <v>0</v>
      </c>
      <c r="S860" s="7">
        <v>0</v>
      </c>
      <c r="T860" s="12">
        <v>43260</v>
      </c>
      <c r="U860" s="4">
        <v>12</v>
      </c>
      <c r="V860" s="4">
        <v>9</v>
      </c>
      <c r="W860" s="4">
        <v>9</v>
      </c>
      <c r="X860" s="45">
        <v>151719.63</v>
      </c>
      <c r="Y860" s="14" t="s">
        <v>56</v>
      </c>
      <c r="Z860" s="14" t="s">
        <v>55</v>
      </c>
      <c r="AA860" s="14" t="s">
        <v>3165</v>
      </c>
      <c r="AB860" s="44">
        <v>43264</v>
      </c>
      <c r="AC860" s="44" t="s">
        <v>3166</v>
      </c>
      <c r="AD860" s="29" t="s">
        <v>51</v>
      </c>
      <c r="AE860" s="24" t="s">
        <v>1974</v>
      </c>
      <c r="AF860" s="25"/>
      <c r="AI860" s="58"/>
    </row>
    <row r="861" spans="1:35" ht="16.5" customHeight="1">
      <c r="A861" s="6" t="s">
        <v>1972</v>
      </c>
      <c r="B861" s="5">
        <v>286</v>
      </c>
      <c r="C861" s="7">
        <v>28005.48</v>
      </c>
      <c r="D861" s="7">
        <v>0</v>
      </c>
      <c r="E861" s="7">
        <v>0</v>
      </c>
      <c r="F861" s="5">
        <v>0</v>
      </c>
      <c r="G861" s="7">
        <v>0</v>
      </c>
      <c r="H861" s="5">
        <v>110</v>
      </c>
      <c r="I861" s="7">
        <v>13787.700000000003</v>
      </c>
      <c r="J861" s="7">
        <v>0</v>
      </c>
      <c r="K861" s="5">
        <v>0</v>
      </c>
      <c r="L861" s="5">
        <v>0</v>
      </c>
      <c r="M861" s="5">
        <v>122</v>
      </c>
      <c r="N861" s="7">
        <v>122</v>
      </c>
      <c r="O861" s="7">
        <v>21880.699999999997</v>
      </c>
      <c r="P861" s="7">
        <v>130</v>
      </c>
      <c r="Q861" s="5">
        <v>0</v>
      </c>
      <c r="R861" s="5">
        <v>130</v>
      </c>
      <c r="S861" s="7">
        <v>18760</v>
      </c>
      <c r="T861" s="12">
        <v>43260</v>
      </c>
      <c r="U861" s="4">
        <v>6</v>
      </c>
      <c r="V861" s="4">
        <v>9</v>
      </c>
      <c r="W861" s="4">
        <v>9</v>
      </c>
      <c r="X861" s="45">
        <v>82433.88</v>
      </c>
      <c r="Y861" s="14" t="s">
        <v>56</v>
      </c>
      <c r="Z861" s="14" t="s">
        <v>1281</v>
      </c>
      <c r="AA861" s="14" t="s">
        <v>3160</v>
      </c>
      <c r="AB861" s="44">
        <v>43264</v>
      </c>
      <c r="AC861" s="44" t="s">
        <v>3161</v>
      </c>
      <c r="AD861" s="29" t="s">
        <v>52</v>
      </c>
      <c r="AE861" s="24" t="s">
        <v>1975</v>
      </c>
      <c r="AF861" s="25"/>
      <c r="AI861" s="58"/>
    </row>
    <row r="862" spans="1:35" ht="16.5" customHeight="1">
      <c r="A862" s="6" t="s">
        <v>1973</v>
      </c>
      <c r="D862" s="7">
        <v>0</v>
      </c>
      <c r="E862" s="7">
        <v>0</v>
      </c>
      <c r="F862" s="5">
        <v>0</v>
      </c>
      <c r="G862" s="7">
        <v>0</v>
      </c>
      <c r="H862" s="5">
        <v>0</v>
      </c>
      <c r="I862" s="7">
        <v>0</v>
      </c>
      <c r="J862" s="7">
        <v>0</v>
      </c>
      <c r="K862" s="5">
        <v>0</v>
      </c>
      <c r="L862" s="5">
        <v>0</v>
      </c>
      <c r="M862" s="5">
        <v>0</v>
      </c>
      <c r="N862" s="7">
        <v>0</v>
      </c>
      <c r="O862" s="7">
        <v>0</v>
      </c>
      <c r="P862" s="7">
        <v>776</v>
      </c>
      <c r="Q862" s="5">
        <v>0</v>
      </c>
      <c r="R862" s="5">
        <v>776</v>
      </c>
      <c r="S862" s="7">
        <v>134606.39999999999</v>
      </c>
      <c r="T862" s="12">
        <v>43260</v>
      </c>
      <c r="U862" s="4">
        <v>9</v>
      </c>
      <c r="V862" s="4">
        <v>9</v>
      </c>
      <c r="W862" s="4">
        <v>9</v>
      </c>
      <c r="X862" s="45">
        <v>134606.39999999999</v>
      </c>
      <c r="Y862" s="14" t="s">
        <v>54</v>
      </c>
      <c r="Z862" s="14" t="s">
        <v>59</v>
      </c>
      <c r="AA862" s="14" t="s">
        <v>3170</v>
      </c>
      <c r="AB862" s="44">
        <v>43273</v>
      </c>
      <c r="AC862" s="44" t="s">
        <v>3171</v>
      </c>
      <c r="AD862" s="29" t="s">
        <v>50</v>
      </c>
      <c r="AE862" s="24" t="s">
        <v>1976</v>
      </c>
      <c r="AF862" s="25" t="s">
        <v>2151</v>
      </c>
      <c r="AI862" s="58"/>
    </row>
    <row r="863" spans="1:35" ht="16.5" customHeight="1">
      <c r="A863" s="6" t="s">
        <v>1978</v>
      </c>
      <c r="D863" s="7">
        <v>0</v>
      </c>
      <c r="E863" s="7">
        <v>0</v>
      </c>
      <c r="F863" s="5">
        <v>0</v>
      </c>
      <c r="G863" s="7">
        <v>0</v>
      </c>
      <c r="H863" s="5">
        <v>0</v>
      </c>
      <c r="I863" s="7">
        <v>0</v>
      </c>
      <c r="J863" s="7">
        <v>0</v>
      </c>
      <c r="K863" s="5">
        <v>0</v>
      </c>
      <c r="L863" s="5">
        <v>0</v>
      </c>
      <c r="M863" s="5">
        <v>0</v>
      </c>
      <c r="N863" s="7">
        <v>0</v>
      </c>
      <c r="O863" s="7">
        <v>0</v>
      </c>
      <c r="P863" s="7">
        <v>150</v>
      </c>
      <c r="Q863" s="5">
        <v>0</v>
      </c>
      <c r="R863" s="5">
        <v>150</v>
      </c>
      <c r="S863" s="7">
        <v>18830</v>
      </c>
      <c r="T863" s="12">
        <v>43262</v>
      </c>
      <c r="U863" s="4">
        <v>1</v>
      </c>
      <c r="V863" s="4">
        <v>9</v>
      </c>
      <c r="W863" s="4">
        <v>9</v>
      </c>
      <c r="X863" s="45">
        <v>18830</v>
      </c>
      <c r="Y863" s="14" t="s">
        <v>1633</v>
      </c>
      <c r="Z863" s="14" t="s">
        <v>1492</v>
      </c>
      <c r="AA863" s="14" t="s">
        <v>3157</v>
      </c>
      <c r="AB863" s="44">
        <v>43265</v>
      </c>
      <c r="AC863" s="44" t="s">
        <v>3158</v>
      </c>
      <c r="AD863" s="29" t="s">
        <v>70</v>
      </c>
      <c r="AE863" s="24" t="s">
        <v>1984</v>
      </c>
      <c r="AF863" s="25"/>
      <c r="AI863" s="58"/>
    </row>
    <row r="864" spans="1:35" ht="16.5" customHeight="1">
      <c r="A864" s="6" t="s">
        <v>1979</v>
      </c>
      <c r="B864" s="5">
        <v>498</v>
      </c>
      <c r="C864" s="7">
        <v>49165.2</v>
      </c>
      <c r="D864" s="7">
        <v>0</v>
      </c>
      <c r="E864" s="7">
        <v>0</v>
      </c>
      <c r="F864" s="5">
        <v>0</v>
      </c>
      <c r="G864" s="7">
        <v>0</v>
      </c>
      <c r="H864" s="5">
        <v>460</v>
      </c>
      <c r="I864" s="7">
        <v>56253.88</v>
      </c>
      <c r="J864" s="7">
        <v>0</v>
      </c>
      <c r="K864" s="5">
        <v>0</v>
      </c>
      <c r="L864" s="5">
        <v>0</v>
      </c>
      <c r="M864" s="5">
        <v>0</v>
      </c>
      <c r="N864" s="7">
        <v>0</v>
      </c>
      <c r="O864" s="7">
        <v>0</v>
      </c>
      <c r="P864" s="7">
        <v>0</v>
      </c>
      <c r="Q864" s="5">
        <v>0</v>
      </c>
      <c r="R864" s="5">
        <v>0</v>
      </c>
      <c r="S864" s="7">
        <v>0</v>
      </c>
      <c r="T864" s="12">
        <v>43262</v>
      </c>
      <c r="U864" s="4">
        <v>9</v>
      </c>
      <c r="V864" s="4">
        <v>9</v>
      </c>
      <c r="W864" s="4">
        <v>9</v>
      </c>
      <c r="X864" s="45">
        <v>105419.07999999999</v>
      </c>
      <c r="Y864" s="14" t="s">
        <v>54</v>
      </c>
      <c r="Z864" s="14" t="s">
        <v>57</v>
      </c>
      <c r="AA864" s="14" t="s">
        <v>3159</v>
      </c>
      <c r="AB864" s="44">
        <v>43266</v>
      </c>
      <c r="AC864" s="44" t="s">
        <v>3156</v>
      </c>
      <c r="AD864" s="29" t="s">
        <v>49</v>
      </c>
      <c r="AE864" s="24" t="s">
        <v>1985</v>
      </c>
      <c r="AF864" s="25"/>
      <c r="AI864" s="58"/>
    </row>
    <row r="865" spans="1:35" ht="16.5" customHeight="1">
      <c r="A865" s="6" t="s">
        <v>1980</v>
      </c>
      <c r="B865" s="5">
        <v>113</v>
      </c>
      <c r="C865" s="7">
        <v>12703.470000000001</v>
      </c>
      <c r="D865" s="7">
        <v>0</v>
      </c>
      <c r="E865" s="7">
        <v>0</v>
      </c>
      <c r="F865" s="5">
        <v>0</v>
      </c>
      <c r="G865" s="7">
        <v>0</v>
      </c>
      <c r="H865" s="5">
        <v>110</v>
      </c>
      <c r="I865" s="7">
        <v>12636.25</v>
      </c>
      <c r="J865" s="7">
        <v>0</v>
      </c>
      <c r="K865" s="5">
        <v>0</v>
      </c>
      <c r="L865" s="5">
        <v>0</v>
      </c>
      <c r="M865" s="5">
        <v>113</v>
      </c>
      <c r="N865" s="7">
        <v>113</v>
      </c>
      <c r="O865" s="7">
        <v>15328.800000000001</v>
      </c>
      <c r="P865" s="7">
        <v>0</v>
      </c>
      <c r="Q865" s="5">
        <v>0</v>
      </c>
      <c r="R865" s="5">
        <v>0</v>
      </c>
      <c r="S865" s="7">
        <v>0</v>
      </c>
      <c r="T865" s="12">
        <v>43262</v>
      </c>
      <c r="U865" s="4">
        <v>4</v>
      </c>
      <c r="V865" s="4">
        <v>9</v>
      </c>
      <c r="W865" s="4">
        <v>9</v>
      </c>
      <c r="X865" s="45">
        <v>40668.520000000004</v>
      </c>
      <c r="Y865" s="14" t="s">
        <v>56</v>
      </c>
      <c r="Z865" s="14" t="s">
        <v>1281</v>
      </c>
      <c r="AA865" s="14" t="s">
        <v>3172</v>
      </c>
      <c r="AB865" s="44">
        <v>43272</v>
      </c>
      <c r="AC865" s="44" t="s">
        <v>3173</v>
      </c>
      <c r="AD865" s="29" t="s">
        <v>52</v>
      </c>
      <c r="AE865" s="24" t="s">
        <v>1986</v>
      </c>
      <c r="AF865" s="25"/>
      <c r="AI865" s="58"/>
    </row>
    <row r="866" spans="1:35" ht="16.5" customHeight="1">
      <c r="A866" s="6" t="s">
        <v>1981</v>
      </c>
      <c r="B866" s="5">
        <v>105</v>
      </c>
      <c r="C866" s="7">
        <v>12244.3</v>
      </c>
      <c r="D866" s="7">
        <v>0</v>
      </c>
      <c r="E866" s="7">
        <v>0</v>
      </c>
      <c r="F866" s="5">
        <v>0</v>
      </c>
      <c r="G866" s="7">
        <v>0</v>
      </c>
      <c r="H866" s="5">
        <v>330</v>
      </c>
      <c r="I866" s="7">
        <v>40010.600000000006</v>
      </c>
      <c r="J866" s="7">
        <v>0</v>
      </c>
      <c r="K866" s="5">
        <v>0</v>
      </c>
      <c r="L866" s="5">
        <v>0</v>
      </c>
      <c r="M866" s="5">
        <v>0</v>
      </c>
      <c r="N866" s="7">
        <v>0</v>
      </c>
      <c r="O866" s="7">
        <v>0</v>
      </c>
      <c r="P866" s="7">
        <v>0</v>
      </c>
      <c r="Q866" s="5">
        <v>0</v>
      </c>
      <c r="R866" s="5">
        <v>0</v>
      </c>
      <c r="S866" s="7">
        <v>0</v>
      </c>
      <c r="T866" s="12">
        <v>43262</v>
      </c>
      <c r="U866" s="4">
        <v>4</v>
      </c>
      <c r="V866" s="4">
        <v>9</v>
      </c>
      <c r="W866" s="4">
        <v>9</v>
      </c>
      <c r="X866" s="45">
        <v>52254.900000000009</v>
      </c>
      <c r="Y866" s="14" t="s">
        <v>56</v>
      </c>
      <c r="Z866" s="14" t="s">
        <v>55</v>
      </c>
      <c r="AA866" s="14" t="s">
        <v>3165</v>
      </c>
      <c r="AB866" s="44">
        <v>43264</v>
      </c>
      <c r="AC866" s="44" t="s">
        <v>3166</v>
      </c>
      <c r="AD866" s="29" t="s">
        <v>51</v>
      </c>
      <c r="AE866" s="24" t="s">
        <v>1987</v>
      </c>
      <c r="AF866" s="25"/>
      <c r="AI866" s="58"/>
    </row>
    <row r="867" spans="1:35" ht="16.5" customHeight="1">
      <c r="A867" s="6" t="s">
        <v>1955</v>
      </c>
      <c r="B867" s="5">
        <v>298</v>
      </c>
      <c r="C867" s="7">
        <v>28385.7</v>
      </c>
      <c r="H867" s="5">
        <v>220</v>
      </c>
      <c r="I867" s="7">
        <v>29351.8</v>
      </c>
      <c r="J867" s="7">
        <v>0</v>
      </c>
      <c r="M867" s="5">
        <v>203</v>
      </c>
      <c r="N867" s="7">
        <v>203</v>
      </c>
      <c r="O867" s="7">
        <v>39894.5</v>
      </c>
      <c r="P867" s="7">
        <v>0</v>
      </c>
      <c r="Q867" s="5">
        <v>0</v>
      </c>
      <c r="R867" s="5">
        <v>0</v>
      </c>
      <c r="S867" s="7">
        <v>0</v>
      </c>
      <c r="T867" s="12">
        <v>43262</v>
      </c>
      <c r="U867" s="4">
        <v>8</v>
      </c>
      <c r="V867" s="4">
        <v>9</v>
      </c>
      <c r="W867" s="4">
        <v>9</v>
      </c>
      <c r="X867" s="45">
        <v>97632</v>
      </c>
      <c r="Y867" s="14" t="s">
        <v>56</v>
      </c>
      <c r="Z867" s="14" t="s">
        <v>1355</v>
      </c>
      <c r="AA867" s="14" t="s">
        <v>3174</v>
      </c>
      <c r="AB867" s="44">
        <v>43271</v>
      </c>
      <c r="AC867" s="44" t="s">
        <v>3175</v>
      </c>
      <c r="AD867" s="29" t="s">
        <v>51</v>
      </c>
      <c r="AE867" s="24" t="s">
        <v>1988</v>
      </c>
      <c r="AF867" s="25"/>
      <c r="AI867" s="58"/>
    </row>
    <row r="868" spans="1:35" ht="16.5" customHeight="1">
      <c r="A868" s="6" t="s">
        <v>1982</v>
      </c>
      <c r="B868" s="5">
        <v>1200</v>
      </c>
      <c r="C868" s="7">
        <v>111114.04000000001</v>
      </c>
      <c r="D868" s="7">
        <v>0</v>
      </c>
      <c r="E868" s="7">
        <v>0</v>
      </c>
      <c r="F868" s="5">
        <v>0</v>
      </c>
      <c r="G868" s="7">
        <v>0</v>
      </c>
      <c r="H868" s="5">
        <v>0</v>
      </c>
      <c r="I868" s="7">
        <v>0</v>
      </c>
      <c r="J868" s="7">
        <v>0</v>
      </c>
      <c r="K868" s="5">
        <v>0</v>
      </c>
      <c r="L868" s="5">
        <v>0</v>
      </c>
      <c r="M868" s="5">
        <v>168</v>
      </c>
      <c r="N868" s="7">
        <v>168</v>
      </c>
      <c r="O868" s="7">
        <v>40320.200000000004</v>
      </c>
      <c r="P868" s="7">
        <v>0</v>
      </c>
      <c r="Q868" s="5">
        <v>0</v>
      </c>
      <c r="R868" s="5">
        <v>0</v>
      </c>
      <c r="S868" s="7">
        <v>0</v>
      </c>
      <c r="T868" s="12">
        <v>43262</v>
      </c>
      <c r="U868" s="4">
        <v>12</v>
      </c>
      <c r="V868" s="4">
        <v>9</v>
      </c>
      <c r="W868" s="4">
        <v>9</v>
      </c>
      <c r="X868" s="45">
        <v>151434.24000000002</v>
      </c>
      <c r="Y868" s="14" t="s">
        <v>54</v>
      </c>
      <c r="Z868" s="14" t="s">
        <v>59</v>
      </c>
      <c r="AA868" s="14" t="s">
        <v>3155</v>
      </c>
      <c r="AB868" s="44">
        <v>43266</v>
      </c>
      <c r="AC868" s="44" t="s">
        <v>3156</v>
      </c>
      <c r="AD868" s="29" t="s">
        <v>50</v>
      </c>
      <c r="AE868" s="24" t="s">
        <v>1989</v>
      </c>
      <c r="AF868" s="25"/>
      <c r="AI868" s="58"/>
    </row>
    <row r="869" spans="1:35" ht="16.5" customHeight="1">
      <c r="A869" s="6" t="s">
        <v>1983</v>
      </c>
      <c r="D869" s="7">
        <v>0</v>
      </c>
      <c r="E869" s="7">
        <v>0</v>
      </c>
      <c r="F869" s="5">
        <v>0</v>
      </c>
      <c r="G869" s="7">
        <v>0</v>
      </c>
      <c r="H869" s="5">
        <v>0</v>
      </c>
      <c r="I869" s="7">
        <v>0</v>
      </c>
      <c r="J869" s="7">
        <v>0</v>
      </c>
      <c r="K869" s="5">
        <v>0</v>
      </c>
      <c r="L869" s="5">
        <v>0</v>
      </c>
      <c r="M869" s="5">
        <v>0</v>
      </c>
      <c r="N869" s="7">
        <v>0</v>
      </c>
      <c r="O869" s="7">
        <v>0</v>
      </c>
      <c r="P869" s="7">
        <v>406</v>
      </c>
      <c r="Q869" s="5">
        <v>0</v>
      </c>
      <c r="R869" s="5">
        <v>406</v>
      </c>
      <c r="S869" s="7">
        <v>39714.800000000003</v>
      </c>
      <c r="T869" s="12">
        <v>43262</v>
      </c>
      <c r="U869" s="4">
        <v>2</v>
      </c>
      <c r="V869" s="4">
        <v>9</v>
      </c>
      <c r="W869" s="4">
        <v>9</v>
      </c>
      <c r="X869" s="45">
        <v>39714.800000000003</v>
      </c>
      <c r="Y869" s="14" t="s">
        <v>56</v>
      </c>
      <c r="Z869" s="14" t="s">
        <v>1281</v>
      </c>
      <c r="AA869" s="14" t="s">
        <v>3172</v>
      </c>
      <c r="AB869" s="44">
        <v>43272</v>
      </c>
      <c r="AC869" s="44" t="s">
        <v>3173</v>
      </c>
      <c r="AD869" s="29" t="s">
        <v>52</v>
      </c>
      <c r="AE869" s="24" t="s">
        <v>1990</v>
      </c>
      <c r="AF869" s="25" t="s">
        <v>2173</v>
      </c>
      <c r="AI869" s="58"/>
    </row>
    <row r="870" spans="1:35" ht="16.5" customHeight="1">
      <c r="A870" s="6" t="s">
        <v>1991</v>
      </c>
      <c r="B870" s="5">
        <v>196</v>
      </c>
      <c r="C870" s="7">
        <v>21987.200000000001</v>
      </c>
      <c r="D870" s="7">
        <v>0</v>
      </c>
      <c r="E870" s="7">
        <v>0</v>
      </c>
      <c r="F870" s="5">
        <v>0</v>
      </c>
      <c r="G870" s="7">
        <v>0</v>
      </c>
      <c r="H870" s="5">
        <v>0</v>
      </c>
      <c r="I870" s="7">
        <v>0</v>
      </c>
      <c r="J870" s="7">
        <v>0</v>
      </c>
      <c r="K870" s="5">
        <v>0</v>
      </c>
      <c r="L870" s="5">
        <v>0</v>
      </c>
      <c r="M870" s="5">
        <v>0</v>
      </c>
      <c r="N870" s="7">
        <v>0</v>
      </c>
      <c r="O870" s="7">
        <v>0</v>
      </c>
      <c r="P870" s="7">
        <v>0</v>
      </c>
      <c r="Q870" s="5">
        <v>0</v>
      </c>
      <c r="R870" s="5">
        <v>0</v>
      </c>
      <c r="S870" s="7">
        <v>0</v>
      </c>
      <c r="T870" s="12">
        <v>43263</v>
      </c>
      <c r="U870" s="4">
        <v>2</v>
      </c>
      <c r="V870" s="4">
        <v>9</v>
      </c>
      <c r="W870" s="4">
        <v>9</v>
      </c>
      <c r="X870" s="45">
        <v>21987.200000000001</v>
      </c>
      <c r="Y870" s="14" t="s">
        <v>56</v>
      </c>
      <c r="Z870" s="14" t="s">
        <v>1492</v>
      </c>
      <c r="AA870" s="14" t="s">
        <v>3153</v>
      </c>
      <c r="AB870" s="44">
        <v>43264</v>
      </c>
      <c r="AC870" s="44" t="s">
        <v>3154</v>
      </c>
      <c r="AD870" s="29" t="s">
        <v>49</v>
      </c>
      <c r="AE870" s="24" t="s">
        <v>1997</v>
      </c>
      <c r="AF870" s="25"/>
      <c r="AI870" s="58"/>
    </row>
    <row r="871" spans="1:35" ht="16.5" customHeight="1">
      <c r="A871" s="6" t="s">
        <v>1992</v>
      </c>
      <c r="B871" s="5">
        <v>840</v>
      </c>
      <c r="C871" s="7">
        <v>81856.010000000024</v>
      </c>
      <c r="D871" s="7">
        <v>0</v>
      </c>
      <c r="E871" s="7">
        <v>0</v>
      </c>
      <c r="F871" s="5">
        <v>0</v>
      </c>
      <c r="G871" s="7">
        <v>0</v>
      </c>
      <c r="H871" s="5">
        <v>205</v>
      </c>
      <c r="I871" s="7">
        <v>5510</v>
      </c>
      <c r="J871" s="7">
        <v>0</v>
      </c>
      <c r="K871" s="5">
        <v>0</v>
      </c>
      <c r="L871" s="5">
        <v>0</v>
      </c>
      <c r="M871" s="5">
        <v>469</v>
      </c>
      <c r="N871" s="7">
        <v>469</v>
      </c>
      <c r="O871" s="7">
        <v>73627.999999999985</v>
      </c>
      <c r="P871" s="7">
        <v>55</v>
      </c>
      <c r="Q871" s="5">
        <v>0</v>
      </c>
      <c r="R871" s="5">
        <v>55</v>
      </c>
      <c r="S871" s="7">
        <v>2747.8</v>
      </c>
      <c r="T871" s="12">
        <v>43263</v>
      </c>
      <c r="U871" s="4">
        <v>15</v>
      </c>
      <c r="V871" s="4">
        <v>9</v>
      </c>
      <c r="W871" s="4">
        <v>9</v>
      </c>
      <c r="X871" s="45">
        <v>163741.81</v>
      </c>
      <c r="Y871" s="14" t="s">
        <v>54</v>
      </c>
      <c r="Z871" s="14" t="s">
        <v>59</v>
      </c>
      <c r="AA871" s="14" t="s">
        <v>3170</v>
      </c>
      <c r="AB871" s="44">
        <v>43273</v>
      </c>
      <c r="AC871" s="44" t="s">
        <v>3171</v>
      </c>
      <c r="AD871" s="29" t="s">
        <v>50</v>
      </c>
      <c r="AE871" s="24" t="s">
        <v>1998</v>
      </c>
      <c r="AF871" s="25"/>
      <c r="AI871" s="58"/>
    </row>
    <row r="872" spans="1:35" ht="16.5" customHeight="1">
      <c r="A872" s="6" t="s">
        <v>1993</v>
      </c>
      <c r="B872" s="5">
        <v>118</v>
      </c>
      <c r="C872" s="7">
        <v>11704.140000000001</v>
      </c>
      <c r="D872" s="7">
        <v>0</v>
      </c>
      <c r="E872" s="7">
        <v>0</v>
      </c>
      <c r="F872" s="5">
        <v>0</v>
      </c>
      <c r="G872" s="7">
        <v>0</v>
      </c>
      <c r="H872" s="5">
        <v>0</v>
      </c>
      <c r="I872" s="7">
        <v>0</v>
      </c>
      <c r="J872" s="7">
        <v>0</v>
      </c>
      <c r="K872" s="5">
        <v>0</v>
      </c>
      <c r="L872" s="5">
        <v>0</v>
      </c>
      <c r="M872" s="5">
        <v>0</v>
      </c>
      <c r="N872" s="7">
        <v>0</v>
      </c>
      <c r="O872" s="7">
        <v>0</v>
      </c>
      <c r="P872" s="7">
        <v>0</v>
      </c>
      <c r="Q872" s="5">
        <v>0</v>
      </c>
      <c r="R872" s="5">
        <v>0</v>
      </c>
      <c r="S872" s="7">
        <v>0</v>
      </c>
      <c r="T872" s="12">
        <v>43263</v>
      </c>
      <c r="U872" s="4">
        <v>1</v>
      </c>
      <c r="V872" s="4">
        <v>9</v>
      </c>
      <c r="W872" s="4">
        <v>9</v>
      </c>
      <c r="X872" s="45">
        <v>11704.140000000001</v>
      </c>
      <c r="Y872" s="14" t="s">
        <v>85</v>
      </c>
      <c r="Z872" s="14" t="s">
        <v>1492</v>
      </c>
      <c r="AA872" s="14">
        <v>350810059300</v>
      </c>
      <c r="AB872" s="44">
        <v>43268</v>
      </c>
      <c r="AC872" s="44" t="s">
        <v>3176</v>
      </c>
      <c r="AD872" s="29" t="s">
        <v>49</v>
      </c>
      <c r="AE872" s="24" t="s">
        <v>1999</v>
      </c>
      <c r="AF872" s="25"/>
      <c r="AI872" s="58"/>
    </row>
    <row r="873" spans="1:35" ht="16.5" customHeight="1">
      <c r="A873" s="6" t="s">
        <v>1994</v>
      </c>
      <c r="D873" s="7">
        <v>0</v>
      </c>
      <c r="E873" s="7">
        <v>0</v>
      </c>
      <c r="F873" s="5">
        <v>0</v>
      </c>
      <c r="G873" s="7">
        <v>0</v>
      </c>
      <c r="H873" s="5">
        <v>0</v>
      </c>
      <c r="I873" s="7">
        <v>0</v>
      </c>
      <c r="J873" s="7">
        <v>0</v>
      </c>
      <c r="K873" s="5">
        <v>0</v>
      </c>
      <c r="L873" s="5">
        <v>0</v>
      </c>
      <c r="M873" s="5">
        <v>0</v>
      </c>
      <c r="N873" s="7">
        <v>0</v>
      </c>
      <c r="O873" s="7">
        <v>0</v>
      </c>
      <c r="P873" s="7">
        <v>1023</v>
      </c>
      <c r="Q873" s="5">
        <v>0</v>
      </c>
      <c r="R873" s="5">
        <v>1023</v>
      </c>
      <c r="S873" s="7">
        <v>75351.5</v>
      </c>
      <c r="T873" s="12">
        <v>43263</v>
      </c>
      <c r="U873" s="4">
        <v>2</v>
      </c>
      <c r="V873" s="4">
        <v>9</v>
      </c>
      <c r="W873" s="4">
        <v>9</v>
      </c>
      <c r="X873" s="45">
        <v>75351.5</v>
      </c>
      <c r="Y873" s="14" t="s">
        <v>56</v>
      </c>
      <c r="Z873" s="14" t="s">
        <v>730</v>
      </c>
      <c r="AA873" s="14" t="s">
        <v>3177</v>
      </c>
      <c r="AB873" s="44">
        <v>43272</v>
      </c>
      <c r="AC873" s="44" t="s">
        <v>3178</v>
      </c>
      <c r="AD873" s="29" t="s">
        <v>49</v>
      </c>
      <c r="AE873" s="24" t="s">
        <v>2000</v>
      </c>
      <c r="AF873" s="25" t="s">
        <v>2175</v>
      </c>
      <c r="AI873" s="58"/>
    </row>
    <row r="874" spans="1:35" ht="16.5" customHeight="1">
      <c r="A874" s="6" t="s">
        <v>1995</v>
      </c>
      <c r="D874" s="7">
        <v>0</v>
      </c>
      <c r="E874" s="7">
        <v>0</v>
      </c>
      <c r="F874" s="5">
        <v>0</v>
      </c>
      <c r="G874" s="7">
        <v>0</v>
      </c>
      <c r="H874" s="5">
        <v>0</v>
      </c>
      <c r="I874" s="7">
        <v>0</v>
      </c>
      <c r="J874" s="7">
        <v>0</v>
      </c>
      <c r="K874" s="5">
        <v>0</v>
      </c>
      <c r="L874" s="5">
        <v>0</v>
      </c>
      <c r="M874" s="5">
        <v>0</v>
      </c>
      <c r="N874" s="7">
        <v>0</v>
      </c>
      <c r="O874" s="7">
        <v>0</v>
      </c>
      <c r="P874" s="7">
        <v>472</v>
      </c>
      <c r="Q874" s="5">
        <v>0</v>
      </c>
      <c r="R874" s="5">
        <v>472</v>
      </c>
      <c r="S874" s="7">
        <v>73067.199999999997</v>
      </c>
      <c r="T874" s="12">
        <v>43263</v>
      </c>
      <c r="U874" s="4">
        <v>5</v>
      </c>
      <c r="V874" s="4">
        <v>9</v>
      </c>
      <c r="W874" s="4">
        <v>9</v>
      </c>
      <c r="X874" s="45">
        <v>73067.199999999997</v>
      </c>
      <c r="Y874" s="14" t="s">
        <v>56</v>
      </c>
      <c r="Z874" s="14" t="s">
        <v>1355</v>
      </c>
      <c r="AA874" s="14" t="s">
        <v>3174</v>
      </c>
      <c r="AB874" s="44">
        <v>43271</v>
      </c>
      <c r="AC874" s="44" t="s">
        <v>3175</v>
      </c>
      <c r="AD874" s="29" t="s">
        <v>51</v>
      </c>
      <c r="AE874" s="24" t="s">
        <v>2001</v>
      </c>
      <c r="AF874" s="25" t="s">
        <v>2150</v>
      </c>
      <c r="AI874" s="58"/>
    </row>
    <row r="875" spans="1:35" ht="16.5" customHeight="1">
      <c r="A875" s="6" t="s">
        <v>1996</v>
      </c>
      <c r="D875" s="7">
        <v>0</v>
      </c>
      <c r="E875" s="7">
        <v>0</v>
      </c>
      <c r="F875" s="5">
        <v>0</v>
      </c>
      <c r="G875" s="7">
        <v>0</v>
      </c>
      <c r="H875" s="5">
        <v>0</v>
      </c>
      <c r="I875" s="7">
        <v>0</v>
      </c>
      <c r="J875" s="7">
        <v>0</v>
      </c>
      <c r="K875" s="5">
        <v>0</v>
      </c>
      <c r="L875" s="5">
        <v>0</v>
      </c>
      <c r="M875" s="5">
        <v>0</v>
      </c>
      <c r="N875" s="7">
        <v>0</v>
      </c>
      <c r="O875" s="7">
        <v>0</v>
      </c>
      <c r="P875" s="7">
        <v>334</v>
      </c>
      <c r="Q875" s="5">
        <v>0</v>
      </c>
      <c r="R875" s="5">
        <v>334</v>
      </c>
      <c r="S875" s="7">
        <v>71971</v>
      </c>
      <c r="T875" s="12">
        <v>43263</v>
      </c>
      <c r="U875" s="4">
        <v>4</v>
      </c>
      <c r="V875" s="4">
        <v>9</v>
      </c>
      <c r="W875" s="4">
        <v>9</v>
      </c>
      <c r="X875" s="45">
        <v>71971</v>
      </c>
      <c r="Y875" s="14" t="s">
        <v>54</v>
      </c>
      <c r="Z875" s="14" t="s">
        <v>59</v>
      </c>
      <c r="AA875" s="14" t="s">
        <v>3170</v>
      </c>
      <c r="AB875" s="44">
        <v>43273</v>
      </c>
      <c r="AC875" s="44" t="s">
        <v>3171</v>
      </c>
      <c r="AD875" s="29" t="s">
        <v>50</v>
      </c>
      <c r="AE875" s="24" t="s">
        <v>2002</v>
      </c>
      <c r="AF875" s="25" t="s">
        <v>2151</v>
      </c>
      <c r="AI875" s="58"/>
    </row>
    <row r="876" spans="1:35" ht="16.5" customHeight="1">
      <c r="A876" s="6" t="s">
        <v>2003</v>
      </c>
      <c r="B876" s="5">
        <v>114</v>
      </c>
      <c r="C876" s="7">
        <v>11119.42</v>
      </c>
      <c r="D876" s="7">
        <v>0</v>
      </c>
      <c r="E876" s="7">
        <v>0</v>
      </c>
      <c r="F876" s="5">
        <v>0</v>
      </c>
      <c r="G876" s="7">
        <v>0</v>
      </c>
      <c r="H876" s="5">
        <v>112</v>
      </c>
      <c r="I876" s="7">
        <v>11913.5</v>
      </c>
      <c r="J876" s="7">
        <v>0</v>
      </c>
      <c r="K876" s="5">
        <v>0</v>
      </c>
      <c r="L876" s="5">
        <v>0</v>
      </c>
      <c r="M876" s="5">
        <v>51</v>
      </c>
      <c r="N876" s="7">
        <v>51</v>
      </c>
      <c r="O876" s="7">
        <v>9339.9999999999982</v>
      </c>
      <c r="P876" s="7">
        <v>3</v>
      </c>
      <c r="Q876" s="5">
        <v>0</v>
      </c>
      <c r="R876" s="5">
        <v>3</v>
      </c>
      <c r="S876" s="7">
        <v>150.30000000000001</v>
      </c>
      <c r="T876" s="12">
        <v>43264</v>
      </c>
      <c r="U876" s="4">
        <v>3</v>
      </c>
      <c r="V876" s="4">
        <v>9</v>
      </c>
      <c r="W876" s="4">
        <v>9</v>
      </c>
      <c r="X876" s="45">
        <v>32523.219999999998</v>
      </c>
      <c r="Y876" s="14" t="s">
        <v>1633</v>
      </c>
      <c r="Z876" s="14" t="s">
        <v>1492</v>
      </c>
      <c r="AA876" s="14" t="s">
        <v>3179</v>
      </c>
      <c r="AB876" s="44">
        <v>43267</v>
      </c>
      <c r="AC876" s="44" t="s">
        <v>3180</v>
      </c>
      <c r="AD876" s="29" t="s">
        <v>70</v>
      </c>
      <c r="AE876" s="24" t="s">
        <v>2012</v>
      </c>
      <c r="AF876" s="25"/>
      <c r="AI876" s="58"/>
    </row>
    <row r="877" spans="1:35" ht="16.5" customHeight="1">
      <c r="A877" s="6" t="s">
        <v>2004</v>
      </c>
      <c r="B877" s="5">
        <v>57</v>
      </c>
      <c r="C877" s="7">
        <v>8475.9</v>
      </c>
      <c r="D877" s="7">
        <v>0</v>
      </c>
      <c r="E877" s="7">
        <v>0</v>
      </c>
      <c r="F877" s="5">
        <v>0</v>
      </c>
      <c r="G877" s="7">
        <v>0</v>
      </c>
      <c r="H877" s="5">
        <v>345</v>
      </c>
      <c r="I877" s="7">
        <v>39057.300000000003</v>
      </c>
      <c r="J877" s="7">
        <v>0</v>
      </c>
      <c r="K877" s="5">
        <v>0</v>
      </c>
      <c r="L877" s="5">
        <v>0</v>
      </c>
      <c r="M877" s="5">
        <v>57</v>
      </c>
      <c r="N877" s="7">
        <v>57</v>
      </c>
      <c r="O877" s="7">
        <v>13292.4</v>
      </c>
      <c r="P877" s="7">
        <v>0</v>
      </c>
      <c r="Q877" s="5">
        <v>0</v>
      </c>
      <c r="R877" s="5">
        <v>0</v>
      </c>
      <c r="S877" s="7">
        <v>0</v>
      </c>
      <c r="T877" s="12">
        <v>43264</v>
      </c>
      <c r="U877" s="4">
        <v>5</v>
      </c>
      <c r="V877" s="4">
        <v>9</v>
      </c>
      <c r="W877" s="4">
        <v>9</v>
      </c>
      <c r="X877" s="45">
        <v>60825.600000000006</v>
      </c>
      <c r="Y877" s="14" t="s">
        <v>54</v>
      </c>
      <c r="Z877" s="14" t="s">
        <v>57</v>
      </c>
      <c r="AA877" s="14" t="s">
        <v>3181</v>
      </c>
      <c r="AB877" s="44">
        <v>43268</v>
      </c>
      <c r="AC877" s="44" t="s">
        <v>3182</v>
      </c>
      <c r="AD877" s="29" t="s">
        <v>49</v>
      </c>
      <c r="AE877" s="24" t="s">
        <v>2013</v>
      </c>
      <c r="AF877" s="25"/>
      <c r="AI877" s="58"/>
    </row>
    <row r="878" spans="1:35" ht="16.5" customHeight="1">
      <c r="A878" s="6" t="s">
        <v>2005</v>
      </c>
      <c r="D878" s="7">
        <v>0</v>
      </c>
      <c r="E878" s="7">
        <v>0</v>
      </c>
      <c r="F878" s="5">
        <v>0</v>
      </c>
      <c r="G878" s="7">
        <v>0</v>
      </c>
      <c r="H878" s="5">
        <v>588</v>
      </c>
      <c r="I878" s="7">
        <v>68414.98</v>
      </c>
      <c r="J878" s="7">
        <v>0</v>
      </c>
      <c r="K878" s="5">
        <v>0</v>
      </c>
      <c r="L878" s="5">
        <v>0</v>
      </c>
      <c r="M878" s="5">
        <v>0</v>
      </c>
      <c r="N878" s="7">
        <v>0</v>
      </c>
      <c r="O878" s="7">
        <v>0</v>
      </c>
      <c r="P878" s="7">
        <v>0</v>
      </c>
      <c r="Q878" s="5">
        <v>0</v>
      </c>
      <c r="R878" s="5">
        <v>0</v>
      </c>
      <c r="S878" s="7">
        <v>0</v>
      </c>
      <c r="T878" s="12">
        <v>43264</v>
      </c>
      <c r="U878" s="4">
        <v>5</v>
      </c>
      <c r="V878" s="4">
        <v>9</v>
      </c>
      <c r="W878" s="4">
        <v>9</v>
      </c>
      <c r="X878" s="45">
        <v>68414.98</v>
      </c>
      <c r="Y878" s="14" t="s">
        <v>56</v>
      </c>
      <c r="Z878" s="14" t="s">
        <v>730</v>
      </c>
      <c r="AA878" s="14" t="s">
        <v>3177</v>
      </c>
      <c r="AB878" s="44">
        <v>43272</v>
      </c>
      <c r="AC878" s="44" t="s">
        <v>3178</v>
      </c>
      <c r="AD878" s="29" t="s">
        <v>49</v>
      </c>
      <c r="AE878" s="24" t="s">
        <v>2014</v>
      </c>
      <c r="AF878" s="25"/>
      <c r="AI878" s="58"/>
    </row>
    <row r="879" spans="1:35" ht="16.5" customHeight="1">
      <c r="A879" s="6" t="s">
        <v>2006</v>
      </c>
      <c r="B879" s="5">
        <v>46</v>
      </c>
      <c r="C879" s="7">
        <v>4754.8</v>
      </c>
      <c r="D879" s="7">
        <v>0</v>
      </c>
      <c r="E879" s="7">
        <v>0</v>
      </c>
      <c r="F879" s="5">
        <v>0</v>
      </c>
      <c r="G879" s="7">
        <v>0</v>
      </c>
      <c r="H879" s="5">
        <v>0</v>
      </c>
      <c r="I879" s="7">
        <v>0</v>
      </c>
      <c r="J879" s="7">
        <v>0</v>
      </c>
      <c r="K879" s="5">
        <v>0</v>
      </c>
      <c r="L879" s="5">
        <v>0</v>
      </c>
      <c r="M879" s="5">
        <v>30</v>
      </c>
      <c r="N879" s="7">
        <v>30</v>
      </c>
      <c r="O879" s="7">
        <v>4800</v>
      </c>
      <c r="P879" s="7">
        <v>0</v>
      </c>
      <c r="Q879" s="5">
        <v>0</v>
      </c>
      <c r="R879" s="5">
        <v>0</v>
      </c>
      <c r="S879" s="7">
        <v>0</v>
      </c>
      <c r="T879" s="12">
        <v>43264</v>
      </c>
      <c r="U879" s="4">
        <v>1</v>
      </c>
      <c r="V879" s="4">
        <v>9</v>
      </c>
      <c r="W879" s="4">
        <v>9</v>
      </c>
      <c r="X879" s="45">
        <v>9554.7999999999993</v>
      </c>
      <c r="Y879" s="14" t="s">
        <v>54</v>
      </c>
      <c r="Z879" s="14" t="s">
        <v>1492</v>
      </c>
      <c r="AA879" s="14" t="s">
        <v>3181</v>
      </c>
      <c r="AB879" s="44">
        <v>43268</v>
      </c>
      <c r="AC879" s="44" t="s">
        <v>3182</v>
      </c>
      <c r="AD879" s="29" t="s">
        <v>49</v>
      </c>
      <c r="AE879" s="24" t="s">
        <v>2015</v>
      </c>
      <c r="AF879" s="25"/>
      <c r="AI879" s="58"/>
    </row>
    <row r="880" spans="1:35" ht="16.5" customHeight="1">
      <c r="A880" s="6" t="s">
        <v>2007</v>
      </c>
      <c r="B880" s="5">
        <v>170</v>
      </c>
      <c r="C880" s="7">
        <v>23084.06</v>
      </c>
      <c r="D880" s="7">
        <v>0</v>
      </c>
      <c r="E880" s="7">
        <v>0</v>
      </c>
      <c r="F880" s="5">
        <v>0</v>
      </c>
      <c r="G880" s="7">
        <v>0</v>
      </c>
      <c r="H880" s="5">
        <v>0</v>
      </c>
      <c r="I880" s="7">
        <v>0</v>
      </c>
      <c r="J880" s="7">
        <v>0</v>
      </c>
      <c r="K880" s="5">
        <v>0</v>
      </c>
      <c r="L880" s="5">
        <v>0</v>
      </c>
      <c r="M880" s="5">
        <v>0</v>
      </c>
      <c r="N880" s="7">
        <v>0</v>
      </c>
      <c r="O880" s="7">
        <v>0</v>
      </c>
      <c r="P880" s="7">
        <v>0</v>
      </c>
      <c r="Q880" s="5">
        <v>0</v>
      </c>
      <c r="R880" s="5">
        <v>0</v>
      </c>
      <c r="S880" s="7">
        <v>0</v>
      </c>
      <c r="T880" s="12">
        <v>43264</v>
      </c>
      <c r="U880" s="4">
        <v>2</v>
      </c>
      <c r="V880" s="4">
        <v>9</v>
      </c>
      <c r="W880" s="4">
        <v>9</v>
      </c>
      <c r="X880" s="45">
        <v>23084.06</v>
      </c>
      <c r="Y880" s="14" t="s">
        <v>54</v>
      </c>
      <c r="Z880" s="14" t="s">
        <v>1281</v>
      </c>
      <c r="AA880" s="14" t="s">
        <v>3183</v>
      </c>
      <c r="AB880" s="44">
        <v>43268</v>
      </c>
      <c r="AC880" s="44" t="s">
        <v>3184</v>
      </c>
      <c r="AD880" s="29" t="s">
        <v>52</v>
      </c>
      <c r="AE880" s="24" t="s">
        <v>2016</v>
      </c>
      <c r="AF880" s="25"/>
      <c r="AI880" s="58"/>
    </row>
    <row r="881" spans="1:35" ht="16.5" customHeight="1">
      <c r="A881" s="6" t="s">
        <v>2008</v>
      </c>
      <c r="B881" s="5">
        <v>201</v>
      </c>
      <c r="C881" s="7">
        <v>20165.29</v>
      </c>
      <c r="D881" s="7">
        <v>0</v>
      </c>
      <c r="E881" s="7">
        <v>0</v>
      </c>
      <c r="F881" s="5">
        <v>0</v>
      </c>
      <c r="G881" s="7">
        <v>0</v>
      </c>
      <c r="H881" s="5">
        <v>485</v>
      </c>
      <c r="I881" s="7">
        <v>33622.200000000004</v>
      </c>
      <c r="J881" s="7">
        <v>0</v>
      </c>
      <c r="K881" s="5">
        <v>0</v>
      </c>
      <c r="L881" s="5">
        <v>0</v>
      </c>
      <c r="M881" s="5">
        <v>285</v>
      </c>
      <c r="N881" s="7">
        <v>285</v>
      </c>
      <c r="O881" s="7">
        <v>43032.2</v>
      </c>
      <c r="P881" s="7">
        <v>60</v>
      </c>
      <c r="Q881" s="5">
        <v>0</v>
      </c>
      <c r="R881" s="5">
        <v>60</v>
      </c>
      <c r="S881" s="7">
        <v>3003.8999999999996</v>
      </c>
      <c r="T881" s="12">
        <v>43265</v>
      </c>
      <c r="U881" s="4">
        <v>8</v>
      </c>
      <c r="V881" s="4">
        <v>9</v>
      </c>
      <c r="W881" s="4">
        <v>9</v>
      </c>
      <c r="X881" s="45">
        <v>99823.59</v>
      </c>
      <c r="Y881" s="14" t="s">
        <v>54</v>
      </c>
      <c r="Z881" s="14" t="s">
        <v>1355</v>
      </c>
      <c r="AA881" s="14" t="s">
        <v>3185</v>
      </c>
      <c r="AB881" s="44">
        <v>43268</v>
      </c>
      <c r="AC881" s="44" t="s">
        <v>3184</v>
      </c>
      <c r="AD881" s="29" t="s">
        <v>51</v>
      </c>
      <c r="AE881" s="24" t="s">
        <v>2017</v>
      </c>
      <c r="AF881" s="25"/>
      <c r="AI881" s="58"/>
    </row>
    <row r="882" spans="1:35" ht="16.5" customHeight="1">
      <c r="A882" s="6" t="s">
        <v>2009</v>
      </c>
      <c r="B882" s="5">
        <v>546</v>
      </c>
      <c r="C882" s="7">
        <v>51444.000000000007</v>
      </c>
      <c r="D882" s="7">
        <v>0</v>
      </c>
      <c r="E882" s="7">
        <v>0</v>
      </c>
      <c r="F882" s="5">
        <v>0</v>
      </c>
      <c r="G882" s="7">
        <v>0</v>
      </c>
      <c r="H882" s="5">
        <v>631</v>
      </c>
      <c r="I882" s="7">
        <v>62630.200000000012</v>
      </c>
      <c r="J882" s="7">
        <v>0</v>
      </c>
      <c r="K882" s="5">
        <v>0</v>
      </c>
      <c r="L882" s="5">
        <v>0</v>
      </c>
      <c r="M882" s="5">
        <v>236</v>
      </c>
      <c r="N882" s="7">
        <v>236</v>
      </c>
      <c r="O882" s="7">
        <v>30462.6</v>
      </c>
      <c r="P882" s="7">
        <v>50</v>
      </c>
      <c r="Q882" s="5">
        <v>0</v>
      </c>
      <c r="R882" s="5">
        <v>50</v>
      </c>
      <c r="S882" s="7">
        <v>2504.8999999999996</v>
      </c>
      <c r="T882" s="12">
        <v>43264</v>
      </c>
      <c r="U882" s="4">
        <v>12</v>
      </c>
      <c r="V882" s="4">
        <v>9</v>
      </c>
      <c r="W882" s="4">
        <v>9</v>
      </c>
      <c r="X882" s="45">
        <v>147041.70000000001</v>
      </c>
      <c r="Y882" s="14" t="s">
        <v>56</v>
      </c>
      <c r="Z882" s="14" t="s">
        <v>1355</v>
      </c>
      <c r="AA882" s="14" t="s">
        <v>3174</v>
      </c>
      <c r="AB882" s="44">
        <v>43271</v>
      </c>
      <c r="AC882" s="44" t="s">
        <v>3175</v>
      </c>
      <c r="AD882" s="29" t="s">
        <v>51</v>
      </c>
      <c r="AE882" s="24" t="s">
        <v>2018</v>
      </c>
      <c r="AF882" s="25"/>
      <c r="AI882" s="58"/>
    </row>
    <row r="883" spans="1:35" ht="16.5" customHeight="1">
      <c r="A883" s="6" t="s">
        <v>2010</v>
      </c>
      <c r="B883" s="5">
        <v>364</v>
      </c>
      <c r="C883" s="7">
        <v>35856.6</v>
      </c>
      <c r="D883" s="7">
        <v>0</v>
      </c>
      <c r="E883" s="7">
        <v>0</v>
      </c>
      <c r="F883" s="5">
        <v>0</v>
      </c>
      <c r="G883" s="7">
        <v>0</v>
      </c>
      <c r="H883" s="5">
        <v>395</v>
      </c>
      <c r="I883" s="7">
        <v>12596</v>
      </c>
      <c r="J883" s="7">
        <v>0</v>
      </c>
      <c r="K883" s="5">
        <v>0</v>
      </c>
      <c r="L883" s="5">
        <v>0</v>
      </c>
      <c r="M883" s="5">
        <v>455</v>
      </c>
      <c r="N883" s="7">
        <v>455</v>
      </c>
      <c r="O883" s="7">
        <v>64923.700000000004</v>
      </c>
      <c r="P883" s="7">
        <v>115</v>
      </c>
      <c r="Q883" s="5">
        <v>0</v>
      </c>
      <c r="R883" s="5">
        <v>115</v>
      </c>
      <c r="S883" s="7">
        <v>5758.2999999999993</v>
      </c>
      <c r="T883" s="12">
        <v>43264</v>
      </c>
      <c r="U883" s="4">
        <v>10</v>
      </c>
      <c r="V883" s="4">
        <v>9</v>
      </c>
      <c r="W883" s="4">
        <v>9</v>
      </c>
      <c r="X883" s="45">
        <v>119134.6</v>
      </c>
      <c r="Y883" s="14" t="s">
        <v>54</v>
      </c>
      <c r="Z883" s="14" t="s">
        <v>730</v>
      </c>
      <c r="AA883" s="14" t="s">
        <v>3186</v>
      </c>
      <c r="AB883" s="44">
        <v>43268</v>
      </c>
      <c r="AC883" s="44" t="s">
        <v>3182</v>
      </c>
      <c r="AD883" s="29" t="s">
        <v>50</v>
      </c>
      <c r="AE883" s="24" t="s">
        <v>2019</v>
      </c>
      <c r="AF883" s="25"/>
      <c r="AI883" s="58"/>
    </row>
    <row r="884" spans="1:35" ht="16.5" customHeight="1">
      <c r="A884" s="6" t="s">
        <v>1960</v>
      </c>
      <c r="B884" s="5">
        <v>446</v>
      </c>
      <c r="C884" s="7">
        <v>41865.760000000002</v>
      </c>
      <c r="D884" s="7">
        <v>0</v>
      </c>
      <c r="E884" s="7">
        <v>0</v>
      </c>
      <c r="F884" s="5">
        <v>0</v>
      </c>
      <c r="G884" s="7">
        <v>0</v>
      </c>
      <c r="H884" s="5">
        <v>0</v>
      </c>
      <c r="I884" s="7">
        <v>0</v>
      </c>
      <c r="J884" s="7">
        <v>0</v>
      </c>
      <c r="K884" s="5">
        <v>0</v>
      </c>
      <c r="L884" s="5">
        <v>0</v>
      </c>
      <c r="M884" s="5">
        <v>197</v>
      </c>
      <c r="N884" s="7">
        <v>197</v>
      </c>
      <c r="O884" s="7">
        <v>33304.300000000003</v>
      </c>
      <c r="P884" s="7">
        <v>0</v>
      </c>
      <c r="Q884" s="5">
        <v>0</v>
      </c>
      <c r="R884" s="5">
        <v>0</v>
      </c>
      <c r="S884" s="7">
        <v>0</v>
      </c>
      <c r="T884" s="12">
        <v>43264</v>
      </c>
      <c r="U884" s="4">
        <v>6</v>
      </c>
      <c r="V884" s="4">
        <v>9</v>
      </c>
      <c r="W884" s="4">
        <v>9</v>
      </c>
      <c r="X884" s="45">
        <v>75170.06</v>
      </c>
      <c r="Y884" s="14" t="s">
        <v>54</v>
      </c>
      <c r="Z884" s="14" t="s">
        <v>1355</v>
      </c>
      <c r="AA884" s="14" t="s">
        <v>3170</v>
      </c>
      <c r="AB884" s="44">
        <v>43273</v>
      </c>
      <c r="AC884" s="44" t="s">
        <v>3171</v>
      </c>
      <c r="AD884" s="29" t="s">
        <v>50</v>
      </c>
      <c r="AE884" s="24" t="s">
        <v>2020</v>
      </c>
      <c r="AF884" s="25"/>
      <c r="AI884" s="58"/>
    </row>
    <row r="885" spans="1:35" ht="16.5" customHeight="1">
      <c r="A885" s="6" t="s">
        <v>2011</v>
      </c>
      <c r="B885" s="5">
        <v>0</v>
      </c>
      <c r="C885" s="7">
        <v>0</v>
      </c>
      <c r="D885" s="7">
        <v>0</v>
      </c>
      <c r="E885" s="7">
        <v>0</v>
      </c>
      <c r="F885" s="5">
        <v>0</v>
      </c>
      <c r="G885" s="7">
        <v>0</v>
      </c>
      <c r="H885" s="5">
        <v>0</v>
      </c>
      <c r="I885" s="7">
        <v>0</v>
      </c>
      <c r="J885" s="7">
        <v>0</v>
      </c>
      <c r="K885" s="5">
        <v>0</v>
      </c>
      <c r="L885" s="5">
        <v>0</v>
      </c>
      <c r="M885" s="5">
        <v>0</v>
      </c>
      <c r="N885" s="7">
        <v>0</v>
      </c>
      <c r="O885" s="7">
        <v>0</v>
      </c>
      <c r="P885" s="7">
        <v>385</v>
      </c>
      <c r="Q885" s="5">
        <v>0</v>
      </c>
      <c r="R885" s="5">
        <v>385</v>
      </c>
      <c r="S885" s="7">
        <v>56374.200000000004</v>
      </c>
      <c r="T885" s="12">
        <v>43264</v>
      </c>
      <c r="U885" s="4">
        <v>4</v>
      </c>
      <c r="V885" s="4">
        <v>9</v>
      </c>
      <c r="W885" s="4">
        <v>9</v>
      </c>
      <c r="X885" s="45">
        <v>56374.200000000004</v>
      </c>
      <c r="Y885" s="14" t="s">
        <v>56</v>
      </c>
      <c r="Z885" s="14" t="s">
        <v>1281</v>
      </c>
      <c r="AA885" s="14" t="s">
        <v>3177</v>
      </c>
      <c r="AB885" s="44">
        <v>43272</v>
      </c>
      <c r="AC885" s="44" t="s">
        <v>3178</v>
      </c>
      <c r="AD885" s="29" t="s">
        <v>49</v>
      </c>
      <c r="AE885" s="24" t="s">
        <v>2021</v>
      </c>
      <c r="AF885" s="25" t="s">
        <v>2172</v>
      </c>
      <c r="AI885" s="58"/>
    </row>
    <row r="886" spans="1:35" ht="16.5" customHeight="1">
      <c r="A886" s="6" t="s">
        <v>2022</v>
      </c>
      <c r="B886" s="5">
        <v>277</v>
      </c>
      <c r="C886" s="7">
        <v>35043.9</v>
      </c>
      <c r="D886" s="7">
        <v>0</v>
      </c>
      <c r="E886" s="7">
        <v>0</v>
      </c>
      <c r="F886" s="5">
        <v>0</v>
      </c>
      <c r="G886" s="7">
        <v>0</v>
      </c>
      <c r="H886" s="5">
        <v>95</v>
      </c>
      <c r="I886" s="7">
        <v>11676.35</v>
      </c>
      <c r="J886" s="7">
        <v>0</v>
      </c>
      <c r="K886" s="5">
        <v>0</v>
      </c>
      <c r="L886" s="5">
        <v>0</v>
      </c>
      <c r="M886" s="5">
        <v>37</v>
      </c>
      <c r="N886" s="7">
        <v>37</v>
      </c>
      <c r="O886" s="7">
        <v>7164.2000000000007</v>
      </c>
      <c r="P886" s="7">
        <v>0</v>
      </c>
      <c r="Q886" s="5">
        <v>0</v>
      </c>
      <c r="R886" s="5">
        <v>0</v>
      </c>
      <c r="S886" s="7">
        <v>0</v>
      </c>
      <c r="T886" s="12">
        <v>43265</v>
      </c>
      <c r="U886" s="4">
        <v>5</v>
      </c>
      <c r="V886" s="4">
        <v>9</v>
      </c>
      <c r="W886" s="4">
        <v>9</v>
      </c>
      <c r="X886" s="45">
        <v>53884.45</v>
      </c>
      <c r="Y886" s="14" t="s">
        <v>85</v>
      </c>
      <c r="Z886" s="14" t="s">
        <v>1637</v>
      </c>
      <c r="AA886" s="14">
        <v>350810064038</v>
      </c>
      <c r="AB886" s="44">
        <v>43271</v>
      </c>
      <c r="AC886" s="44" t="s">
        <v>3187</v>
      </c>
      <c r="AD886" s="29" t="s">
        <v>49</v>
      </c>
      <c r="AE886" s="24" t="s">
        <v>2028</v>
      </c>
      <c r="AF886" s="25"/>
      <c r="AI886" s="58"/>
    </row>
    <row r="887" spans="1:35" ht="16.5" customHeight="1">
      <c r="A887" s="6" t="s">
        <v>2023</v>
      </c>
      <c r="B887" s="5">
        <v>173</v>
      </c>
      <c r="C887" s="7">
        <v>23374.37</v>
      </c>
      <c r="D887" s="7">
        <v>0</v>
      </c>
      <c r="E887" s="7">
        <v>0</v>
      </c>
      <c r="F887" s="5">
        <v>0</v>
      </c>
      <c r="G887" s="7">
        <v>0</v>
      </c>
      <c r="H887" s="5">
        <v>252</v>
      </c>
      <c r="I887" s="7">
        <v>25217.600000000002</v>
      </c>
      <c r="J887" s="7">
        <v>0</v>
      </c>
      <c r="K887" s="5">
        <v>0</v>
      </c>
      <c r="L887" s="5">
        <v>0</v>
      </c>
      <c r="M887" s="5">
        <v>126</v>
      </c>
      <c r="N887" s="7">
        <v>126</v>
      </c>
      <c r="O887" s="7">
        <v>21327.199999999993</v>
      </c>
      <c r="P887" s="7">
        <v>18</v>
      </c>
      <c r="Q887" s="5">
        <v>0</v>
      </c>
      <c r="R887" s="5">
        <v>18</v>
      </c>
      <c r="S887" s="7">
        <v>906.15000000000009</v>
      </c>
      <c r="T887" s="12">
        <v>43265</v>
      </c>
      <c r="U887" s="4">
        <v>6</v>
      </c>
      <c r="V887" s="4">
        <v>9</v>
      </c>
      <c r="W887" s="4">
        <v>9</v>
      </c>
      <c r="X887" s="45">
        <v>70825.319999999992</v>
      </c>
      <c r="Y887" s="14" t="s">
        <v>56</v>
      </c>
      <c r="Z887" s="14" t="s">
        <v>1281</v>
      </c>
      <c r="AA887" s="14" t="s">
        <v>3172</v>
      </c>
      <c r="AB887" s="44">
        <v>43272</v>
      </c>
      <c r="AC887" s="44" t="s">
        <v>3173</v>
      </c>
      <c r="AD887" s="29" t="s">
        <v>52</v>
      </c>
      <c r="AE887" s="24" t="s">
        <v>2029</v>
      </c>
      <c r="AF887" s="25"/>
      <c r="AI887" s="58"/>
    </row>
    <row r="888" spans="1:35" ht="16.5" customHeight="1">
      <c r="A888" s="6" t="s">
        <v>2024</v>
      </c>
      <c r="B888" s="5">
        <v>862</v>
      </c>
      <c r="C888" s="7">
        <v>93016.4</v>
      </c>
      <c r="D888" s="7">
        <v>0</v>
      </c>
      <c r="E888" s="7">
        <v>0</v>
      </c>
      <c r="F888" s="5">
        <v>0</v>
      </c>
      <c r="G888" s="7">
        <v>0</v>
      </c>
      <c r="H888" s="5">
        <v>340</v>
      </c>
      <c r="I888" s="7">
        <v>38298.800000000003</v>
      </c>
      <c r="J888" s="7">
        <v>0</v>
      </c>
      <c r="K888" s="5">
        <v>0</v>
      </c>
      <c r="L888" s="5">
        <v>0</v>
      </c>
      <c r="M888" s="5">
        <v>0</v>
      </c>
      <c r="N888" s="7">
        <v>0</v>
      </c>
      <c r="O888" s="7">
        <v>0</v>
      </c>
      <c r="P888" s="7">
        <v>0</v>
      </c>
      <c r="Q888" s="5">
        <v>0</v>
      </c>
      <c r="R888" s="5">
        <v>0</v>
      </c>
      <c r="S888" s="7">
        <v>0</v>
      </c>
      <c r="T888" s="12">
        <v>43265</v>
      </c>
      <c r="U888" s="4">
        <v>11</v>
      </c>
      <c r="V888" s="4">
        <v>9</v>
      </c>
      <c r="W888" s="4">
        <v>9</v>
      </c>
      <c r="X888" s="45">
        <v>131315.20000000001</v>
      </c>
      <c r="Y888" s="14" t="s">
        <v>85</v>
      </c>
      <c r="Z888" s="14" t="s">
        <v>55</v>
      </c>
      <c r="AA888" s="14">
        <v>350810064045</v>
      </c>
      <c r="AB888" s="44">
        <v>43271</v>
      </c>
      <c r="AC888" s="44" t="s">
        <v>3187</v>
      </c>
      <c r="AD888" s="29" t="s">
        <v>51</v>
      </c>
      <c r="AE888" s="24" t="s">
        <v>2030</v>
      </c>
      <c r="AF888" s="25"/>
      <c r="AI888" s="58"/>
    </row>
    <row r="889" spans="1:35" ht="16.5" customHeight="1">
      <c r="A889" s="6" t="s">
        <v>2025</v>
      </c>
      <c r="B889" s="5">
        <v>582</v>
      </c>
      <c r="C889" s="7">
        <v>51094.42</v>
      </c>
      <c r="D889" s="7">
        <v>0</v>
      </c>
      <c r="E889" s="7">
        <v>0</v>
      </c>
      <c r="F889" s="5">
        <v>0</v>
      </c>
      <c r="G889" s="7">
        <v>0</v>
      </c>
      <c r="H889" s="5">
        <v>0</v>
      </c>
      <c r="I889" s="7">
        <v>0</v>
      </c>
      <c r="J889" s="7">
        <v>0</v>
      </c>
      <c r="K889" s="5">
        <v>0</v>
      </c>
      <c r="L889" s="5">
        <v>0</v>
      </c>
      <c r="M889" s="5">
        <v>56</v>
      </c>
      <c r="N889" s="7">
        <v>56</v>
      </c>
      <c r="O889" s="7">
        <v>10598.8</v>
      </c>
      <c r="P889" s="7">
        <v>0</v>
      </c>
      <c r="Q889" s="5">
        <v>0</v>
      </c>
      <c r="R889" s="5">
        <v>0</v>
      </c>
      <c r="S889" s="7">
        <v>0</v>
      </c>
      <c r="T889" s="12">
        <v>43265</v>
      </c>
      <c r="U889" s="4">
        <v>5</v>
      </c>
      <c r="V889" s="4">
        <v>9</v>
      </c>
      <c r="W889" s="4">
        <v>9</v>
      </c>
      <c r="X889" s="45">
        <v>61693.22</v>
      </c>
      <c r="Y889" s="14" t="s">
        <v>54</v>
      </c>
      <c r="Z889" s="14" t="s">
        <v>59</v>
      </c>
      <c r="AA889" s="14" t="s">
        <v>3188</v>
      </c>
      <c r="AB889" s="44">
        <v>43273</v>
      </c>
      <c r="AC889" s="44" t="s">
        <v>3171</v>
      </c>
      <c r="AD889" s="29" t="s">
        <v>50</v>
      </c>
      <c r="AE889" s="24" t="s">
        <v>2031</v>
      </c>
      <c r="AF889" s="25"/>
      <c r="AI889" s="58"/>
    </row>
    <row r="890" spans="1:35" ht="16.5" customHeight="1">
      <c r="A890" s="6" t="s">
        <v>2026</v>
      </c>
      <c r="D890" s="7">
        <v>0</v>
      </c>
      <c r="E890" s="7">
        <v>0</v>
      </c>
      <c r="F890" s="5">
        <v>0</v>
      </c>
      <c r="G890" s="7">
        <v>0</v>
      </c>
      <c r="H890" s="5">
        <v>0</v>
      </c>
      <c r="I890" s="7">
        <v>0</v>
      </c>
      <c r="J890" s="7">
        <v>0</v>
      </c>
      <c r="K890" s="5">
        <v>0</v>
      </c>
      <c r="L890" s="5">
        <v>0</v>
      </c>
      <c r="M890" s="5">
        <v>0</v>
      </c>
      <c r="N890" s="7">
        <v>0</v>
      </c>
      <c r="O890" s="7">
        <v>0</v>
      </c>
      <c r="P890" s="7">
        <v>93</v>
      </c>
      <c r="Q890" s="5">
        <v>0</v>
      </c>
      <c r="R890" s="5">
        <v>93</v>
      </c>
      <c r="S890" s="7">
        <v>13913</v>
      </c>
      <c r="T890" s="12">
        <v>43265</v>
      </c>
      <c r="U890" s="4">
        <v>1</v>
      </c>
      <c r="V890" s="4">
        <v>9</v>
      </c>
      <c r="W890" s="4">
        <v>9</v>
      </c>
      <c r="X890" s="45">
        <v>13913</v>
      </c>
      <c r="Y890" s="14" t="s">
        <v>56</v>
      </c>
      <c r="Z890" s="14" t="s">
        <v>57</v>
      </c>
      <c r="AA890" s="14" t="s">
        <v>3172</v>
      </c>
      <c r="AB890" s="44">
        <v>43272</v>
      </c>
      <c r="AC890" s="44" t="s">
        <v>3173</v>
      </c>
      <c r="AD890" s="29" t="s">
        <v>52</v>
      </c>
      <c r="AE890" s="24" t="s">
        <v>2032</v>
      </c>
      <c r="AF890" s="25" t="s">
        <v>2173</v>
      </c>
      <c r="AI890" s="58"/>
    </row>
    <row r="891" spans="1:35" ht="16.5" customHeight="1">
      <c r="A891" s="6" t="s">
        <v>2027</v>
      </c>
      <c r="D891" s="7">
        <v>0</v>
      </c>
      <c r="E891" s="7">
        <v>0</v>
      </c>
      <c r="F891" s="5">
        <v>0</v>
      </c>
      <c r="G891" s="7">
        <v>0</v>
      </c>
      <c r="H891" s="5">
        <v>0</v>
      </c>
      <c r="I891" s="7">
        <v>0</v>
      </c>
      <c r="J891" s="7">
        <v>0</v>
      </c>
      <c r="K891" s="5">
        <v>0</v>
      </c>
      <c r="L891" s="5">
        <v>0</v>
      </c>
      <c r="M891" s="5">
        <v>0</v>
      </c>
      <c r="N891" s="7">
        <v>0</v>
      </c>
      <c r="O891" s="7">
        <v>0</v>
      </c>
      <c r="P891" s="7">
        <v>477</v>
      </c>
      <c r="Q891" s="5">
        <v>0</v>
      </c>
      <c r="R891" s="5">
        <v>477</v>
      </c>
      <c r="S891" s="7">
        <v>71136</v>
      </c>
      <c r="T891" s="12">
        <v>43265</v>
      </c>
      <c r="U891" s="4">
        <v>5</v>
      </c>
      <c r="V891" s="4">
        <v>9</v>
      </c>
      <c r="W891" s="4">
        <v>9</v>
      </c>
      <c r="X891" s="45">
        <v>71136</v>
      </c>
      <c r="Y891" s="14" t="s">
        <v>54</v>
      </c>
      <c r="Z891" s="14" t="s">
        <v>1355</v>
      </c>
      <c r="AA891" s="14" t="s">
        <v>3189</v>
      </c>
      <c r="AB891" s="44">
        <v>43273</v>
      </c>
      <c r="AC891" s="44" t="s">
        <v>3171</v>
      </c>
      <c r="AD891" s="29" t="s">
        <v>49</v>
      </c>
      <c r="AE891" s="24" t="s">
        <v>2033</v>
      </c>
      <c r="AF891" s="25" t="s">
        <v>2174</v>
      </c>
      <c r="AI891" s="58"/>
    </row>
    <row r="892" spans="1:35" ht="16.5" customHeight="1">
      <c r="A892" s="6" t="s">
        <v>2034</v>
      </c>
      <c r="B892" s="5">
        <v>114</v>
      </c>
      <c r="C892" s="7">
        <v>12372.880000000005</v>
      </c>
      <c r="D892" s="7">
        <v>0</v>
      </c>
      <c r="E892" s="7">
        <v>0</v>
      </c>
      <c r="F892" s="5">
        <v>0</v>
      </c>
      <c r="G892" s="7">
        <v>0</v>
      </c>
      <c r="H892" s="5">
        <v>110</v>
      </c>
      <c r="I892" s="7">
        <v>12909.85</v>
      </c>
      <c r="J892" s="7">
        <v>0</v>
      </c>
      <c r="K892" s="5">
        <v>0</v>
      </c>
      <c r="L892" s="5">
        <v>0</v>
      </c>
      <c r="M892" s="5">
        <v>63</v>
      </c>
      <c r="N892" s="7">
        <v>63</v>
      </c>
      <c r="O892" s="7">
        <v>8948.4000000000015</v>
      </c>
      <c r="P892" s="7">
        <v>0</v>
      </c>
      <c r="Q892" s="5">
        <v>0</v>
      </c>
      <c r="R892" s="5">
        <v>0</v>
      </c>
      <c r="S892" s="7">
        <v>0</v>
      </c>
      <c r="T892" s="12">
        <v>43266</v>
      </c>
      <c r="U892" s="4">
        <v>3</v>
      </c>
      <c r="V892" s="4">
        <v>9</v>
      </c>
      <c r="W892" s="4">
        <v>9</v>
      </c>
      <c r="X892" s="45">
        <v>34231.130000000005</v>
      </c>
      <c r="Y892" s="14" t="s">
        <v>1633</v>
      </c>
      <c r="Z892" s="14" t="s">
        <v>1492</v>
      </c>
      <c r="AA892" s="14" t="s">
        <v>3190</v>
      </c>
      <c r="AB892" s="44">
        <v>43274</v>
      </c>
      <c r="AC892" s="44" t="s">
        <v>3191</v>
      </c>
      <c r="AD892" s="29" t="s">
        <v>70</v>
      </c>
      <c r="AE892" s="24" t="s">
        <v>2042</v>
      </c>
      <c r="AF892" s="25"/>
      <c r="AI892" s="58"/>
    </row>
    <row r="893" spans="1:35" ht="16.5" customHeight="1">
      <c r="A893" s="6" t="s">
        <v>2035</v>
      </c>
      <c r="D893" s="7">
        <v>0</v>
      </c>
      <c r="E893" s="7">
        <v>0</v>
      </c>
      <c r="F893" s="5">
        <v>0</v>
      </c>
      <c r="G893" s="7">
        <v>0</v>
      </c>
      <c r="H893" s="5">
        <v>248</v>
      </c>
      <c r="I893" s="7">
        <v>30866.29</v>
      </c>
      <c r="J893" s="7">
        <v>0</v>
      </c>
      <c r="K893" s="5">
        <v>0</v>
      </c>
      <c r="L893" s="5">
        <v>0</v>
      </c>
      <c r="M893" s="5">
        <v>258</v>
      </c>
      <c r="N893" s="7">
        <v>258</v>
      </c>
      <c r="O893" s="7">
        <v>10494.6</v>
      </c>
      <c r="P893" s="7">
        <v>0</v>
      </c>
      <c r="Q893" s="5">
        <v>0</v>
      </c>
      <c r="R893" s="5">
        <v>0</v>
      </c>
      <c r="S893" s="7">
        <v>0</v>
      </c>
      <c r="T893" s="12">
        <v>43266</v>
      </c>
      <c r="U893" s="4">
        <v>3</v>
      </c>
      <c r="V893" s="4">
        <v>9</v>
      </c>
      <c r="W893" s="4">
        <v>9</v>
      </c>
      <c r="X893" s="45">
        <v>41360.89</v>
      </c>
      <c r="Y893" s="14" t="s">
        <v>54</v>
      </c>
      <c r="Z893" s="14" t="s">
        <v>57</v>
      </c>
      <c r="AA893" s="14" t="s">
        <v>3181</v>
      </c>
      <c r="AB893" s="44">
        <v>43268</v>
      </c>
      <c r="AC893" s="44" t="s">
        <v>3182</v>
      </c>
      <c r="AD893" s="29" t="s">
        <v>49</v>
      </c>
      <c r="AE893" s="24" t="s">
        <v>2043</v>
      </c>
      <c r="AF893" s="25"/>
      <c r="AI893" s="58"/>
    </row>
    <row r="894" spans="1:35" ht="16.5" customHeight="1">
      <c r="A894" s="6" t="s">
        <v>2152</v>
      </c>
      <c r="D894" s="7">
        <v>0</v>
      </c>
      <c r="E894" s="7">
        <v>0</v>
      </c>
      <c r="F894" s="5">
        <v>0</v>
      </c>
      <c r="G894" s="7">
        <v>0</v>
      </c>
      <c r="H894" s="5">
        <v>561</v>
      </c>
      <c r="I894" s="7">
        <v>67713.499999999985</v>
      </c>
      <c r="J894" s="7">
        <v>0</v>
      </c>
      <c r="K894" s="5">
        <v>0</v>
      </c>
      <c r="L894" s="5">
        <v>0</v>
      </c>
      <c r="M894" s="5">
        <v>0</v>
      </c>
      <c r="N894" s="7">
        <v>0</v>
      </c>
      <c r="O894" s="7">
        <v>0</v>
      </c>
      <c r="P894" s="7">
        <v>0</v>
      </c>
      <c r="Q894" s="5">
        <v>0</v>
      </c>
      <c r="R894" s="5">
        <v>0</v>
      </c>
      <c r="S894" s="7">
        <v>0</v>
      </c>
      <c r="T894" s="12">
        <v>43266</v>
      </c>
      <c r="U894" s="4">
        <v>5</v>
      </c>
      <c r="V894" s="4">
        <v>9</v>
      </c>
      <c r="W894" s="4">
        <v>9</v>
      </c>
      <c r="X894" s="45">
        <v>67713.499999999985</v>
      </c>
      <c r="Y894" s="14" t="s">
        <v>54</v>
      </c>
      <c r="Z894" s="14" t="s">
        <v>57</v>
      </c>
      <c r="AA894" s="14" t="s">
        <v>3189</v>
      </c>
      <c r="AB894" s="44">
        <v>43273</v>
      </c>
      <c r="AC894" s="44" t="s">
        <v>3171</v>
      </c>
      <c r="AD894" s="29" t="s">
        <v>49</v>
      </c>
      <c r="AE894" s="24" t="s">
        <v>2044</v>
      </c>
      <c r="AF894" s="25"/>
      <c r="AI894" s="58"/>
    </row>
    <row r="895" spans="1:35" ht="16.5" customHeight="1">
      <c r="A895" s="6" t="s">
        <v>2036</v>
      </c>
      <c r="B895" s="5">
        <v>81</v>
      </c>
      <c r="C895" s="7">
        <v>11643.5</v>
      </c>
      <c r="D895" s="7">
        <v>0</v>
      </c>
      <c r="E895" s="7">
        <v>0</v>
      </c>
      <c r="F895" s="5">
        <v>0</v>
      </c>
      <c r="G895" s="7">
        <v>0</v>
      </c>
      <c r="H895" s="5">
        <v>127</v>
      </c>
      <c r="I895" s="7">
        <v>9439.7499999999982</v>
      </c>
      <c r="J895" s="7">
        <v>0</v>
      </c>
      <c r="K895" s="5">
        <v>0</v>
      </c>
      <c r="L895" s="5">
        <v>0</v>
      </c>
      <c r="M895" s="5">
        <v>92</v>
      </c>
      <c r="N895" s="7">
        <v>92</v>
      </c>
      <c r="O895" s="7">
        <v>10256.099999999999</v>
      </c>
      <c r="P895" s="7">
        <v>18</v>
      </c>
      <c r="Q895" s="5">
        <v>0</v>
      </c>
      <c r="R895" s="5">
        <v>18</v>
      </c>
      <c r="S895" s="7">
        <v>906.15000000000009</v>
      </c>
      <c r="T895" s="12">
        <v>43266</v>
      </c>
      <c r="U895" s="4">
        <v>3</v>
      </c>
      <c r="V895" s="4">
        <v>9</v>
      </c>
      <c r="W895" s="4">
        <v>9</v>
      </c>
      <c r="X895" s="45">
        <v>32245.5</v>
      </c>
      <c r="Y895" s="14" t="s">
        <v>54</v>
      </c>
      <c r="Z895" s="14" t="s">
        <v>1281</v>
      </c>
      <c r="AA895" s="14" t="s">
        <v>3183</v>
      </c>
      <c r="AB895" s="44">
        <v>43268</v>
      </c>
      <c r="AC895" s="44" t="s">
        <v>3184</v>
      </c>
      <c r="AD895" s="29" t="s">
        <v>52</v>
      </c>
      <c r="AE895" s="24" t="s">
        <v>2045</v>
      </c>
      <c r="AF895" s="25"/>
      <c r="AI895" s="58"/>
    </row>
    <row r="896" spans="1:35" ht="16.5" customHeight="1">
      <c r="A896" s="6" t="s">
        <v>2037</v>
      </c>
      <c r="B896" s="5">
        <v>216</v>
      </c>
      <c r="C896" s="7">
        <v>32091.410000000003</v>
      </c>
      <c r="D896" s="7">
        <v>0</v>
      </c>
      <c r="E896" s="7">
        <v>0</v>
      </c>
      <c r="F896" s="5">
        <v>0</v>
      </c>
      <c r="G896" s="7">
        <v>0</v>
      </c>
      <c r="H896" s="5">
        <v>130</v>
      </c>
      <c r="I896" s="7">
        <v>14216.95</v>
      </c>
      <c r="J896" s="7">
        <v>0</v>
      </c>
      <c r="K896" s="5">
        <v>0</v>
      </c>
      <c r="L896" s="5">
        <v>0</v>
      </c>
      <c r="M896" s="5">
        <v>58</v>
      </c>
      <c r="N896" s="7">
        <v>58</v>
      </c>
      <c r="O896" s="7">
        <v>10168.200000000001</v>
      </c>
      <c r="P896" s="7">
        <v>0</v>
      </c>
      <c r="Q896" s="5">
        <v>0</v>
      </c>
      <c r="R896" s="5">
        <v>0</v>
      </c>
      <c r="S896" s="7">
        <v>0</v>
      </c>
      <c r="T896" s="12">
        <v>43266</v>
      </c>
      <c r="U896" s="4">
        <v>5</v>
      </c>
      <c r="V896" s="4">
        <v>9</v>
      </c>
      <c r="W896" s="4">
        <v>9</v>
      </c>
      <c r="X896" s="45">
        <v>56476.56</v>
      </c>
      <c r="Y896" s="14" t="s">
        <v>54</v>
      </c>
      <c r="Z896" s="14" t="s">
        <v>1355</v>
      </c>
      <c r="AA896" s="14" t="s">
        <v>3185</v>
      </c>
      <c r="AB896" s="44">
        <v>43268</v>
      </c>
      <c r="AC896" s="44" t="s">
        <v>3184</v>
      </c>
      <c r="AD896" s="29" t="s">
        <v>51</v>
      </c>
      <c r="AE896" s="24" t="s">
        <v>2046</v>
      </c>
      <c r="AF896" s="25"/>
      <c r="AI896" s="58"/>
    </row>
    <row r="897" spans="1:35" ht="16.5" customHeight="1">
      <c r="A897" s="6" t="s">
        <v>2038</v>
      </c>
      <c r="B897" s="5">
        <v>360</v>
      </c>
      <c r="C897" s="7">
        <v>48255.900000000009</v>
      </c>
      <c r="D897" s="7">
        <v>0</v>
      </c>
      <c r="E897" s="7">
        <v>0</v>
      </c>
      <c r="F897" s="5">
        <v>0</v>
      </c>
      <c r="G897" s="7">
        <v>0</v>
      </c>
      <c r="H897" s="5">
        <v>391</v>
      </c>
      <c r="I897" s="7">
        <v>41445.300000000003</v>
      </c>
      <c r="J897" s="7">
        <v>0</v>
      </c>
      <c r="K897" s="5">
        <v>0</v>
      </c>
      <c r="L897" s="5">
        <v>0</v>
      </c>
      <c r="M897" s="5">
        <v>43</v>
      </c>
      <c r="N897" s="7">
        <v>43</v>
      </c>
      <c r="O897" s="7">
        <v>10063.5</v>
      </c>
      <c r="P897" s="7">
        <v>0</v>
      </c>
      <c r="Q897" s="5">
        <v>0</v>
      </c>
      <c r="R897" s="5">
        <v>0</v>
      </c>
      <c r="S897" s="7">
        <v>0</v>
      </c>
      <c r="T897" s="12">
        <v>43266</v>
      </c>
      <c r="U897" s="4">
        <v>8</v>
      </c>
      <c r="V897" s="4">
        <v>9</v>
      </c>
      <c r="W897" s="4">
        <v>9</v>
      </c>
      <c r="X897" s="45">
        <v>99764.700000000012</v>
      </c>
      <c r="Y897" s="14" t="s">
        <v>58</v>
      </c>
      <c r="Z897" s="14" t="s">
        <v>55</v>
      </c>
      <c r="AA897" s="14" t="s">
        <v>3192</v>
      </c>
      <c r="AB897" s="44">
        <v>43275</v>
      </c>
      <c r="AC897" s="44" t="s">
        <v>3193</v>
      </c>
      <c r="AD897" s="29" t="s">
        <v>51</v>
      </c>
      <c r="AE897" s="24" t="s">
        <v>2047</v>
      </c>
      <c r="AF897" s="25"/>
      <c r="AI897" s="58"/>
    </row>
    <row r="898" spans="1:35" ht="16.5" customHeight="1">
      <c r="A898" s="6" t="s">
        <v>2039</v>
      </c>
      <c r="B898" s="5">
        <v>207</v>
      </c>
      <c r="C898" s="7">
        <v>23924.910000000003</v>
      </c>
      <c r="D898" s="7">
        <v>0</v>
      </c>
      <c r="E898" s="7">
        <v>0</v>
      </c>
      <c r="F898" s="5">
        <v>0</v>
      </c>
      <c r="G898" s="7">
        <v>0</v>
      </c>
      <c r="H898" s="5">
        <v>0</v>
      </c>
      <c r="I898" s="7">
        <v>0</v>
      </c>
      <c r="J898" s="7">
        <v>0</v>
      </c>
      <c r="K898" s="5">
        <v>0</v>
      </c>
      <c r="L898" s="5">
        <v>0</v>
      </c>
      <c r="M898" s="5">
        <v>99</v>
      </c>
      <c r="N898" s="7">
        <v>99</v>
      </c>
      <c r="O898" s="7">
        <v>19907.599999999999</v>
      </c>
      <c r="P898" s="7">
        <v>0</v>
      </c>
      <c r="Q898" s="5">
        <v>0</v>
      </c>
      <c r="R898" s="5">
        <v>0</v>
      </c>
      <c r="S898" s="7">
        <v>0</v>
      </c>
      <c r="T898" s="12">
        <v>43266</v>
      </c>
      <c r="U898" s="4">
        <v>4</v>
      </c>
      <c r="V898" s="4">
        <v>9</v>
      </c>
      <c r="W898" s="4">
        <v>9</v>
      </c>
      <c r="X898" s="45">
        <v>43832.51</v>
      </c>
      <c r="Y898" s="14" t="s">
        <v>54</v>
      </c>
      <c r="Z898" s="14" t="s">
        <v>730</v>
      </c>
      <c r="AA898" s="14" t="s">
        <v>3186</v>
      </c>
      <c r="AB898" s="44">
        <v>43268</v>
      </c>
      <c r="AC898" s="44" t="s">
        <v>3182</v>
      </c>
      <c r="AD898" s="29" t="s">
        <v>50</v>
      </c>
      <c r="AE898" s="24" t="s">
        <v>2048</v>
      </c>
      <c r="AF898" s="25"/>
      <c r="AI898" s="58"/>
    </row>
    <row r="899" spans="1:35" ht="16.5" customHeight="1">
      <c r="A899" s="6" t="s">
        <v>2040</v>
      </c>
      <c r="B899" s="5">
        <v>483</v>
      </c>
      <c r="C899" s="7">
        <v>52622.879999999997</v>
      </c>
      <c r="D899" s="7">
        <v>0</v>
      </c>
      <c r="E899" s="7">
        <v>0</v>
      </c>
      <c r="F899" s="5">
        <v>0</v>
      </c>
      <c r="G899" s="7">
        <v>0</v>
      </c>
      <c r="H899" s="5">
        <v>0</v>
      </c>
      <c r="I899" s="7">
        <v>0</v>
      </c>
      <c r="J899" s="7">
        <v>0</v>
      </c>
      <c r="K899" s="5">
        <v>0</v>
      </c>
      <c r="L899" s="5">
        <v>0</v>
      </c>
      <c r="M899" s="5">
        <v>50</v>
      </c>
      <c r="N899" s="7">
        <v>50</v>
      </c>
      <c r="O899" s="7">
        <v>9506.3000000000011</v>
      </c>
      <c r="P899" s="7">
        <v>0</v>
      </c>
      <c r="Q899" s="5">
        <v>0</v>
      </c>
      <c r="R899" s="5">
        <v>0</v>
      </c>
      <c r="S899" s="7">
        <v>0</v>
      </c>
      <c r="T899" s="12">
        <v>43266</v>
      </c>
      <c r="U899" s="4">
        <v>5</v>
      </c>
      <c r="V899" s="4">
        <v>9</v>
      </c>
      <c r="W899" s="4">
        <v>9</v>
      </c>
      <c r="X899" s="45">
        <v>62129.18</v>
      </c>
      <c r="Y899" s="14" t="s">
        <v>54</v>
      </c>
      <c r="Z899" s="14" t="s">
        <v>59</v>
      </c>
      <c r="AA899" s="14" t="s">
        <v>3188</v>
      </c>
      <c r="AB899" s="44">
        <v>43273</v>
      </c>
      <c r="AC899" s="44" t="s">
        <v>3171</v>
      </c>
      <c r="AD899" s="29" t="s">
        <v>50</v>
      </c>
      <c r="AE899" s="24" t="s">
        <v>2049</v>
      </c>
      <c r="AF899" s="25"/>
      <c r="AI899" s="58"/>
    </row>
    <row r="900" spans="1:35" ht="16.5" customHeight="1">
      <c r="A900" s="6" t="s">
        <v>2041</v>
      </c>
      <c r="D900" s="7">
        <v>0</v>
      </c>
      <c r="E900" s="7">
        <v>0</v>
      </c>
      <c r="F900" s="5">
        <v>0</v>
      </c>
      <c r="G900" s="7">
        <v>0</v>
      </c>
      <c r="H900" s="5">
        <v>95</v>
      </c>
      <c r="I900" s="7">
        <v>12156.2</v>
      </c>
      <c r="J900" s="7">
        <v>0</v>
      </c>
      <c r="K900" s="5">
        <v>0</v>
      </c>
      <c r="L900" s="5">
        <v>0</v>
      </c>
      <c r="M900" s="5">
        <v>48</v>
      </c>
      <c r="N900" s="7">
        <v>48</v>
      </c>
      <c r="O900" s="7">
        <v>8445.9</v>
      </c>
      <c r="P900" s="7">
        <v>0</v>
      </c>
      <c r="Q900" s="5">
        <v>0</v>
      </c>
      <c r="R900" s="5">
        <v>0</v>
      </c>
      <c r="S900" s="7">
        <v>0</v>
      </c>
      <c r="T900" s="12">
        <v>43266</v>
      </c>
      <c r="U900" s="4">
        <v>2</v>
      </c>
      <c r="V900" s="4">
        <v>9</v>
      </c>
      <c r="W900" s="4">
        <v>9</v>
      </c>
      <c r="X900" s="45">
        <v>20602.099999999999</v>
      </c>
      <c r="Y900" s="14" t="s">
        <v>58</v>
      </c>
      <c r="Z900" s="14" t="s">
        <v>1492</v>
      </c>
      <c r="AA900" s="14" t="s">
        <v>3194</v>
      </c>
      <c r="AB900" s="44">
        <v>43275</v>
      </c>
      <c r="AC900" s="44" t="s">
        <v>3193</v>
      </c>
      <c r="AD900" s="29" t="s">
        <v>49</v>
      </c>
      <c r="AE900" s="24" t="s">
        <v>2050</v>
      </c>
      <c r="AF900" s="25"/>
      <c r="AI900" s="58"/>
    </row>
    <row r="901" spans="1:35" ht="16.5" customHeight="1">
      <c r="A901" s="6" t="s">
        <v>2055</v>
      </c>
      <c r="D901" s="7">
        <v>0</v>
      </c>
      <c r="E901" s="7">
        <v>0</v>
      </c>
      <c r="F901" s="5">
        <v>0</v>
      </c>
      <c r="G901" s="7">
        <v>0</v>
      </c>
      <c r="H901" s="5">
        <v>0</v>
      </c>
      <c r="I901" s="7">
        <v>0</v>
      </c>
      <c r="J901" s="7">
        <v>0</v>
      </c>
      <c r="K901" s="5">
        <v>0</v>
      </c>
      <c r="L901" s="5">
        <v>0</v>
      </c>
      <c r="M901" s="5">
        <v>0</v>
      </c>
      <c r="N901" s="7">
        <v>0</v>
      </c>
      <c r="O901" s="7">
        <v>0</v>
      </c>
      <c r="P901" s="7">
        <v>108</v>
      </c>
      <c r="Q901" s="5">
        <v>0</v>
      </c>
      <c r="R901" s="5">
        <v>108</v>
      </c>
      <c r="S901" s="7">
        <v>14732.4</v>
      </c>
      <c r="T901" s="12">
        <v>43266</v>
      </c>
      <c r="U901" s="4">
        <v>1</v>
      </c>
      <c r="V901" s="4">
        <v>9</v>
      </c>
      <c r="W901" s="4">
        <v>9</v>
      </c>
      <c r="X901" s="45">
        <v>14732.4</v>
      </c>
      <c r="Y901" s="14" t="s">
        <v>56</v>
      </c>
      <c r="Z901" s="14" t="s">
        <v>1281</v>
      </c>
      <c r="AA901" s="14" t="s">
        <v>3195</v>
      </c>
      <c r="AB901" s="44">
        <v>43272</v>
      </c>
      <c r="AC901" s="44" t="s">
        <v>3196</v>
      </c>
      <c r="AD901" s="29" t="s">
        <v>218</v>
      </c>
      <c r="AE901" s="24" t="s">
        <v>2051</v>
      </c>
      <c r="AF901" s="25" t="s">
        <v>2176</v>
      </c>
      <c r="AI901" s="58"/>
    </row>
    <row r="902" spans="1:35" ht="16.5" customHeight="1">
      <c r="A902" s="6" t="s">
        <v>2056</v>
      </c>
      <c r="D902" s="7">
        <v>0</v>
      </c>
      <c r="E902" s="7">
        <v>0</v>
      </c>
      <c r="F902" s="5">
        <v>0</v>
      </c>
      <c r="G902" s="7">
        <v>0</v>
      </c>
      <c r="H902" s="5">
        <v>0</v>
      </c>
      <c r="I902" s="7">
        <v>0</v>
      </c>
      <c r="J902" s="7">
        <v>0</v>
      </c>
      <c r="K902" s="5">
        <v>0</v>
      </c>
      <c r="L902" s="5">
        <v>0</v>
      </c>
      <c r="M902" s="5">
        <v>0</v>
      </c>
      <c r="N902" s="7">
        <v>0</v>
      </c>
      <c r="O902" s="7">
        <v>0</v>
      </c>
      <c r="P902" s="7">
        <v>205</v>
      </c>
      <c r="Q902" s="5">
        <v>0</v>
      </c>
      <c r="R902" s="5">
        <v>205</v>
      </c>
      <c r="S902" s="7">
        <v>19793.5</v>
      </c>
      <c r="T902" s="12">
        <v>43266</v>
      </c>
      <c r="U902" s="4">
        <v>1</v>
      </c>
      <c r="V902" s="4">
        <v>9</v>
      </c>
      <c r="W902" s="4">
        <v>9</v>
      </c>
      <c r="X902" s="45">
        <v>19793.5</v>
      </c>
      <c r="Y902" s="14" t="s">
        <v>1633</v>
      </c>
      <c r="Z902" s="14" t="s">
        <v>1492</v>
      </c>
      <c r="AA902" s="14" t="s">
        <v>3190</v>
      </c>
      <c r="AB902" s="44">
        <v>43274</v>
      </c>
      <c r="AC902" s="44" t="s">
        <v>3191</v>
      </c>
      <c r="AD902" s="29" t="s">
        <v>70</v>
      </c>
      <c r="AE902" s="24" t="s">
        <v>2052</v>
      </c>
      <c r="AF902" s="25" t="s">
        <v>2177</v>
      </c>
      <c r="AI902" s="58"/>
    </row>
    <row r="903" spans="1:35" ht="16.5" customHeight="1">
      <c r="A903" s="6" t="s">
        <v>2057</v>
      </c>
      <c r="D903" s="7">
        <v>0</v>
      </c>
      <c r="E903" s="7">
        <v>0</v>
      </c>
      <c r="F903" s="5">
        <v>0</v>
      </c>
      <c r="G903" s="7">
        <v>0</v>
      </c>
      <c r="H903" s="5">
        <v>0</v>
      </c>
      <c r="I903" s="7">
        <v>0</v>
      </c>
      <c r="J903" s="7">
        <v>0</v>
      </c>
      <c r="K903" s="5">
        <v>0</v>
      </c>
      <c r="L903" s="5">
        <v>0</v>
      </c>
      <c r="M903" s="5">
        <v>0</v>
      </c>
      <c r="N903" s="7">
        <v>0</v>
      </c>
      <c r="O903" s="7">
        <v>0</v>
      </c>
      <c r="P903" s="7">
        <v>796</v>
      </c>
      <c r="Q903" s="5">
        <v>0</v>
      </c>
      <c r="R903" s="5">
        <v>796</v>
      </c>
      <c r="S903" s="7">
        <v>80151.3</v>
      </c>
      <c r="T903" s="12">
        <v>43266</v>
      </c>
      <c r="U903" s="4">
        <v>4</v>
      </c>
      <c r="V903" s="4">
        <v>9</v>
      </c>
      <c r="W903" s="4">
        <v>9</v>
      </c>
      <c r="X903" s="45">
        <v>80151.3</v>
      </c>
      <c r="Y903" s="14" t="s">
        <v>56</v>
      </c>
      <c r="Z903" s="14" t="s">
        <v>1355</v>
      </c>
      <c r="AA903" s="14" t="s">
        <v>3197</v>
      </c>
      <c r="AB903" s="44">
        <v>43278</v>
      </c>
      <c r="AC903" s="44" t="s">
        <v>3198</v>
      </c>
      <c r="AD903" s="29" t="s">
        <v>51</v>
      </c>
      <c r="AE903" s="24" t="s">
        <v>2053</v>
      </c>
      <c r="AF903" s="25" t="s">
        <v>2150</v>
      </c>
      <c r="AI903" s="58"/>
    </row>
    <row r="904" spans="1:35" ht="16.5" customHeight="1">
      <c r="A904" s="6" t="s">
        <v>2058</v>
      </c>
      <c r="D904" s="7">
        <v>0</v>
      </c>
      <c r="E904" s="7">
        <v>0</v>
      </c>
      <c r="F904" s="5">
        <v>0</v>
      </c>
      <c r="G904" s="7">
        <v>0</v>
      </c>
      <c r="H904" s="5">
        <v>0</v>
      </c>
      <c r="I904" s="7">
        <v>0</v>
      </c>
      <c r="J904" s="7">
        <v>0</v>
      </c>
      <c r="K904" s="5">
        <v>0</v>
      </c>
      <c r="L904" s="5">
        <v>0</v>
      </c>
      <c r="M904" s="5">
        <v>0</v>
      </c>
      <c r="N904" s="7">
        <v>0</v>
      </c>
      <c r="O904" s="7">
        <v>0</v>
      </c>
      <c r="P904" s="7">
        <v>85</v>
      </c>
      <c r="Q904" s="5">
        <v>0</v>
      </c>
      <c r="R904" s="5">
        <v>85</v>
      </c>
      <c r="S904" s="7">
        <v>17062</v>
      </c>
      <c r="T904" s="12">
        <v>43266</v>
      </c>
      <c r="U904" s="4">
        <v>1</v>
      </c>
      <c r="V904" s="4">
        <v>9</v>
      </c>
      <c r="W904" s="4">
        <v>9</v>
      </c>
      <c r="X904" s="45">
        <v>17062</v>
      </c>
      <c r="Y904" s="14" t="s">
        <v>54</v>
      </c>
      <c r="Z904" s="14" t="s">
        <v>59</v>
      </c>
      <c r="AA904" s="14" t="s">
        <v>3188</v>
      </c>
      <c r="AB904" s="44">
        <v>43273</v>
      </c>
      <c r="AC904" s="44" t="s">
        <v>3171</v>
      </c>
      <c r="AD904" s="29" t="s">
        <v>50</v>
      </c>
      <c r="AE904" s="24" t="s">
        <v>2054</v>
      </c>
      <c r="AF904" s="25" t="s">
        <v>2151</v>
      </c>
      <c r="AI904" s="58"/>
    </row>
    <row r="905" spans="1:35" ht="16.5" customHeight="1">
      <c r="A905" s="6" t="s">
        <v>2059</v>
      </c>
      <c r="B905" s="5">
        <v>100</v>
      </c>
      <c r="C905" s="7">
        <v>3525.9999999999995</v>
      </c>
      <c r="D905" s="7">
        <v>0</v>
      </c>
      <c r="E905" s="7">
        <v>0</v>
      </c>
      <c r="F905" s="5">
        <v>0</v>
      </c>
      <c r="G905" s="7">
        <v>0</v>
      </c>
      <c r="H905" s="5">
        <v>446</v>
      </c>
      <c r="I905" s="7">
        <v>51130.350000000006</v>
      </c>
      <c r="J905" s="7">
        <v>0</v>
      </c>
      <c r="K905" s="5">
        <v>0</v>
      </c>
      <c r="L905" s="5">
        <v>0</v>
      </c>
      <c r="M905" s="5">
        <v>0</v>
      </c>
      <c r="N905" s="7">
        <v>0</v>
      </c>
      <c r="O905" s="7">
        <v>0</v>
      </c>
      <c r="P905" s="7">
        <v>0</v>
      </c>
      <c r="Q905" s="5">
        <v>0</v>
      </c>
      <c r="R905" s="5">
        <v>0</v>
      </c>
      <c r="S905" s="7">
        <v>0</v>
      </c>
      <c r="T905" s="12">
        <v>43270</v>
      </c>
      <c r="U905" s="4">
        <v>4</v>
      </c>
      <c r="V905" s="4">
        <v>9</v>
      </c>
      <c r="W905" s="4">
        <v>9</v>
      </c>
      <c r="X905" s="45">
        <v>54656.350000000006</v>
      </c>
      <c r="Y905" s="14" t="s">
        <v>58</v>
      </c>
      <c r="Z905" s="14" t="s">
        <v>730</v>
      </c>
      <c r="AA905" s="14" t="s">
        <v>3194</v>
      </c>
      <c r="AB905" s="44">
        <v>43275</v>
      </c>
      <c r="AC905" s="44" t="s">
        <v>3193</v>
      </c>
      <c r="AD905" s="29" t="s">
        <v>49</v>
      </c>
      <c r="AE905" s="24" t="s">
        <v>2067</v>
      </c>
      <c r="AF905" s="25"/>
      <c r="AI905" s="58"/>
    </row>
    <row r="906" spans="1:35" ht="16.5" customHeight="1">
      <c r="A906" s="6" t="s">
        <v>2060</v>
      </c>
      <c r="B906" s="5">
        <v>81</v>
      </c>
      <c r="C906" s="7">
        <v>11690.9</v>
      </c>
      <c r="D906" s="7">
        <v>0</v>
      </c>
      <c r="E906" s="7">
        <v>0</v>
      </c>
      <c r="F906" s="5">
        <v>0</v>
      </c>
      <c r="G906" s="7">
        <v>0</v>
      </c>
      <c r="H906" s="5">
        <v>149</v>
      </c>
      <c r="I906" s="7">
        <v>14062.889999999998</v>
      </c>
      <c r="J906" s="7">
        <v>0</v>
      </c>
      <c r="K906" s="5">
        <v>0</v>
      </c>
      <c r="L906" s="5">
        <v>0</v>
      </c>
      <c r="M906" s="5">
        <v>52</v>
      </c>
      <c r="N906" s="7">
        <v>52</v>
      </c>
      <c r="O906" s="7">
        <v>10222.9</v>
      </c>
      <c r="P906" s="7">
        <v>5</v>
      </c>
      <c r="Q906" s="5">
        <v>0</v>
      </c>
      <c r="R906" s="5">
        <v>5</v>
      </c>
      <c r="S906" s="7">
        <v>250.5</v>
      </c>
      <c r="T906" s="12">
        <v>43270</v>
      </c>
      <c r="U906" s="4">
        <v>3</v>
      </c>
      <c r="V906" s="4">
        <v>9</v>
      </c>
      <c r="W906" s="4">
        <v>9</v>
      </c>
      <c r="X906" s="45">
        <v>36227.189999999995</v>
      </c>
      <c r="Y906" s="14" t="s">
        <v>56</v>
      </c>
      <c r="Z906" s="14" t="s">
        <v>1281</v>
      </c>
      <c r="AA906" s="14" t="s">
        <v>3199</v>
      </c>
      <c r="AB906" s="44">
        <v>43274</v>
      </c>
      <c r="AC906" s="44" t="s">
        <v>3200</v>
      </c>
      <c r="AD906" s="29" t="s">
        <v>52</v>
      </c>
      <c r="AE906" s="24" t="s">
        <v>2068</v>
      </c>
      <c r="AF906" s="25"/>
      <c r="AI906" s="58"/>
    </row>
    <row r="907" spans="1:35" ht="16.5" customHeight="1">
      <c r="A907" s="6" t="s">
        <v>2061</v>
      </c>
      <c r="B907" s="5">
        <v>153</v>
      </c>
      <c r="C907" s="7">
        <v>13683.399999999998</v>
      </c>
      <c r="D907" s="7">
        <v>0</v>
      </c>
      <c r="E907" s="7">
        <v>0</v>
      </c>
      <c r="F907" s="5">
        <v>0</v>
      </c>
      <c r="G907" s="7">
        <v>0</v>
      </c>
      <c r="H907" s="5">
        <v>155</v>
      </c>
      <c r="I907" s="7">
        <v>15118.85</v>
      </c>
      <c r="J907" s="7">
        <v>0</v>
      </c>
      <c r="K907" s="5">
        <v>0</v>
      </c>
      <c r="L907" s="5">
        <v>0</v>
      </c>
      <c r="M907" s="5">
        <v>195</v>
      </c>
      <c r="N907" s="7">
        <v>195</v>
      </c>
      <c r="O907" s="7">
        <v>42798.5</v>
      </c>
      <c r="P907" s="7">
        <v>10</v>
      </c>
      <c r="Q907" s="5">
        <v>0</v>
      </c>
      <c r="R907" s="5">
        <v>10</v>
      </c>
      <c r="S907" s="7">
        <v>502.29999999999995</v>
      </c>
      <c r="T907" s="12">
        <v>43270</v>
      </c>
      <c r="U907" s="4">
        <v>6</v>
      </c>
      <c r="V907" s="4">
        <v>9</v>
      </c>
      <c r="W907" s="4">
        <v>9</v>
      </c>
      <c r="X907" s="45">
        <v>72103.05</v>
      </c>
      <c r="Y907" s="14" t="s">
        <v>56</v>
      </c>
      <c r="Z907" s="14" t="s">
        <v>55</v>
      </c>
      <c r="AA907" s="14" t="s">
        <v>3201</v>
      </c>
      <c r="AB907" s="44">
        <v>43274</v>
      </c>
      <c r="AC907" s="44" t="s">
        <v>3202</v>
      </c>
      <c r="AD907" s="29" t="s">
        <v>51</v>
      </c>
      <c r="AE907" s="24" t="s">
        <v>2069</v>
      </c>
      <c r="AF907" s="25"/>
      <c r="AI907" s="58"/>
    </row>
    <row r="908" spans="1:35" ht="16.5" customHeight="1">
      <c r="A908" s="6" t="s">
        <v>2062</v>
      </c>
      <c r="B908" s="5">
        <v>223</v>
      </c>
      <c r="C908" s="7">
        <v>24106.5</v>
      </c>
      <c r="D908" s="7">
        <v>0</v>
      </c>
      <c r="E908" s="7">
        <v>0</v>
      </c>
      <c r="F908" s="5">
        <v>0</v>
      </c>
      <c r="G908" s="7">
        <v>0</v>
      </c>
      <c r="H908" s="5">
        <v>0</v>
      </c>
      <c r="I908" s="7">
        <v>0</v>
      </c>
      <c r="J908" s="7">
        <v>0</v>
      </c>
      <c r="K908" s="5">
        <v>0</v>
      </c>
      <c r="L908" s="5">
        <v>0</v>
      </c>
      <c r="M908" s="5">
        <v>231</v>
      </c>
      <c r="N908" s="7">
        <v>231</v>
      </c>
      <c r="O908" s="7">
        <v>28967</v>
      </c>
      <c r="P908" s="7">
        <v>0</v>
      </c>
      <c r="Q908" s="5">
        <v>0</v>
      </c>
      <c r="R908" s="5">
        <v>0</v>
      </c>
      <c r="S908" s="7">
        <v>0</v>
      </c>
      <c r="T908" s="12">
        <v>43270</v>
      </c>
      <c r="U908" s="4">
        <v>5</v>
      </c>
      <c r="V908" s="4">
        <v>9</v>
      </c>
      <c r="W908" s="4">
        <v>9</v>
      </c>
      <c r="X908" s="45">
        <v>53073.5</v>
      </c>
      <c r="Y908" s="14" t="s">
        <v>54</v>
      </c>
      <c r="Z908" s="14" t="s">
        <v>1281</v>
      </c>
      <c r="AA908" s="14" t="s">
        <v>3203</v>
      </c>
      <c r="AB908" s="44">
        <v>43279</v>
      </c>
      <c r="AC908" s="44" t="s">
        <v>3204</v>
      </c>
      <c r="AD908" s="29" t="s">
        <v>50</v>
      </c>
      <c r="AE908" s="24" t="s">
        <v>2070</v>
      </c>
      <c r="AF908" s="25"/>
      <c r="AI908" s="58"/>
    </row>
    <row r="909" spans="1:35" ht="16.5" customHeight="1">
      <c r="A909" s="6" t="s">
        <v>2063</v>
      </c>
      <c r="B909" s="5">
        <v>863</v>
      </c>
      <c r="C909" s="7">
        <v>85803.800000000017</v>
      </c>
      <c r="D909" s="7">
        <v>0</v>
      </c>
      <c r="E909" s="7">
        <v>0</v>
      </c>
      <c r="F909" s="5">
        <v>0</v>
      </c>
      <c r="G909" s="7">
        <v>0</v>
      </c>
      <c r="H909" s="5">
        <v>0</v>
      </c>
      <c r="I909" s="7">
        <v>0</v>
      </c>
      <c r="J909" s="7">
        <v>0</v>
      </c>
      <c r="K909" s="5">
        <v>0</v>
      </c>
      <c r="L909" s="5">
        <v>0</v>
      </c>
      <c r="M909" s="5">
        <v>391</v>
      </c>
      <c r="N909" s="7">
        <v>391</v>
      </c>
      <c r="O909" s="7">
        <v>71224.099999999977</v>
      </c>
      <c r="P909" s="7">
        <v>0</v>
      </c>
      <c r="Q909" s="5">
        <v>0</v>
      </c>
      <c r="R909" s="5">
        <v>0</v>
      </c>
      <c r="S909" s="7">
        <v>0</v>
      </c>
      <c r="T909" s="12">
        <v>43270</v>
      </c>
      <c r="U909" s="4">
        <v>14</v>
      </c>
      <c r="V909" s="4">
        <v>9</v>
      </c>
      <c r="W909" s="4">
        <v>9</v>
      </c>
      <c r="X909" s="45">
        <v>157027.9</v>
      </c>
      <c r="Y909" s="14" t="s">
        <v>54</v>
      </c>
      <c r="Z909" s="14" t="s">
        <v>59</v>
      </c>
      <c r="AA909" s="14" t="s">
        <v>3205</v>
      </c>
      <c r="AB909" s="44">
        <v>43279</v>
      </c>
      <c r="AC909" s="44" t="s">
        <v>3204</v>
      </c>
      <c r="AD909" s="29" t="s">
        <v>50</v>
      </c>
      <c r="AE909" s="24" t="s">
        <v>2071</v>
      </c>
      <c r="AF909" s="25"/>
      <c r="AI909" s="58"/>
    </row>
    <row r="910" spans="1:35" ht="16.5" customHeight="1">
      <c r="A910" s="6" t="s">
        <v>2064</v>
      </c>
      <c r="B910" s="5">
        <v>101</v>
      </c>
      <c r="C910" s="7">
        <v>11993</v>
      </c>
      <c r="D910" s="7">
        <v>0</v>
      </c>
      <c r="E910" s="7">
        <v>0</v>
      </c>
      <c r="F910" s="5">
        <v>0</v>
      </c>
      <c r="G910" s="7">
        <v>0</v>
      </c>
      <c r="H910" s="5">
        <v>0</v>
      </c>
      <c r="I910" s="7">
        <v>0</v>
      </c>
      <c r="J910" s="7">
        <v>0</v>
      </c>
      <c r="K910" s="5">
        <v>0</v>
      </c>
      <c r="L910" s="5">
        <v>0</v>
      </c>
      <c r="N910" s="7">
        <v>0</v>
      </c>
      <c r="O910" s="7">
        <v>0</v>
      </c>
      <c r="P910" s="7">
        <v>0</v>
      </c>
      <c r="Q910" s="5">
        <v>0</v>
      </c>
      <c r="R910" s="5">
        <v>0</v>
      </c>
      <c r="S910" s="7">
        <v>0</v>
      </c>
      <c r="T910" s="12">
        <v>43270</v>
      </c>
      <c r="U910" s="4">
        <v>1</v>
      </c>
      <c r="V910" s="4">
        <v>9</v>
      </c>
      <c r="W910" s="4">
        <v>9</v>
      </c>
      <c r="X910" s="45">
        <v>11993</v>
      </c>
      <c r="Y910" s="14" t="s">
        <v>85</v>
      </c>
      <c r="Z910" s="14" t="s">
        <v>1492</v>
      </c>
      <c r="AA910" s="14">
        <v>350810064021</v>
      </c>
      <c r="AB910" s="44">
        <v>43275</v>
      </c>
      <c r="AC910" s="44" t="s">
        <v>3206</v>
      </c>
      <c r="AD910" s="29" t="s">
        <v>49</v>
      </c>
      <c r="AE910" s="24" t="s">
        <v>2072</v>
      </c>
      <c r="AF910" s="25"/>
      <c r="AI910" s="58"/>
    </row>
    <row r="911" spans="1:35" ht="16.5" customHeight="1">
      <c r="A911" s="6" t="s">
        <v>2065</v>
      </c>
      <c r="D911" s="7">
        <v>0</v>
      </c>
      <c r="E911" s="7">
        <v>0</v>
      </c>
      <c r="F911" s="5">
        <v>0</v>
      </c>
      <c r="G911" s="7">
        <v>0</v>
      </c>
      <c r="H911" s="5">
        <v>0</v>
      </c>
      <c r="I911" s="7">
        <v>0</v>
      </c>
      <c r="J911" s="7">
        <v>0</v>
      </c>
      <c r="K911" s="5">
        <v>0</v>
      </c>
      <c r="L911" s="5">
        <v>0</v>
      </c>
      <c r="M911" s="5">
        <v>0</v>
      </c>
      <c r="N911" s="7">
        <v>0</v>
      </c>
      <c r="O911" s="7">
        <v>0</v>
      </c>
      <c r="P911" s="7">
        <v>700</v>
      </c>
      <c r="Q911" s="5">
        <v>0</v>
      </c>
      <c r="R911" s="5">
        <v>700</v>
      </c>
      <c r="S911" s="7">
        <v>95542.399999999994</v>
      </c>
      <c r="T911" s="12">
        <v>43270</v>
      </c>
      <c r="U911" s="4">
        <v>5</v>
      </c>
      <c r="V911" s="4">
        <v>9</v>
      </c>
      <c r="W911" s="4">
        <v>9</v>
      </c>
      <c r="X911" s="45">
        <v>95542.399999999994</v>
      </c>
      <c r="Y911" s="14" t="s">
        <v>56</v>
      </c>
      <c r="Z911" s="14" t="s">
        <v>1355</v>
      </c>
      <c r="AA911" s="14" t="s">
        <v>3207</v>
      </c>
      <c r="AB911" s="44">
        <v>43278</v>
      </c>
      <c r="AC911" s="44" t="s">
        <v>3208</v>
      </c>
      <c r="AD911" s="29" t="s">
        <v>52</v>
      </c>
      <c r="AE911" s="24" t="s">
        <v>2073</v>
      </c>
      <c r="AF911" s="25" t="s">
        <v>2173</v>
      </c>
      <c r="AI911" s="58"/>
    </row>
    <row r="912" spans="1:35" ht="16.5" customHeight="1">
      <c r="A912" s="6" t="s">
        <v>2066</v>
      </c>
      <c r="D912" s="7">
        <v>0</v>
      </c>
      <c r="E912" s="7">
        <v>0</v>
      </c>
      <c r="F912" s="5">
        <v>0</v>
      </c>
      <c r="G912" s="7">
        <v>0</v>
      </c>
      <c r="H912" s="5">
        <v>0</v>
      </c>
      <c r="I912" s="7">
        <v>0</v>
      </c>
      <c r="J912" s="7">
        <v>0</v>
      </c>
      <c r="K912" s="5">
        <v>0</v>
      </c>
      <c r="L912" s="5">
        <v>0</v>
      </c>
      <c r="M912" s="5">
        <v>0</v>
      </c>
      <c r="N912" s="7">
        <v>0</v>
      </c>
      <c r="O912" s="7">
        <v>0</v>
      </c>
      <c r="P912" s="7">
        <v>504</v>
      </c>
      <c r="Q912" s="5">
        <v>0</v>
      </c>
      <c r="R912" s="5">
        <v>504</v>
      </c>
      <c r="S912" s="7">
        <v>55896.2</v>
      </c>
      <c r="T912" s="12">
        <v>43270</v>
      </c>
      <c r="U912" s="4">
        <v>2</v>
      </c>
      <c r="V912" s="4">
        <v>9</v>
      </c>
      <c r="W912" s="4">
        <v>9</v>
      </c>
      <c r="X912" s="45">
        <v>55896.2</v>
      </c>
      <c r="Y912" s="14" t="s">
        <v>56</v>
      </c>
      <c r="Z912" s="14" t="s">
        <v>1355</v>
      </c>
      <c r="AA912" s="14" t="s">
        <v>3197</v>
      </c>
      <c r="AB912" s="44">
        <v>43278</v>
      </c>
      <c r="AC912" s="44" t="s">
        <v>3198</v>
      </c>
      <c r="AD912" s="29" t="s">
        <v>51</v>
      </c>
      <c r="AE912" s="24" t="s">
        <v>2074</v>
      </c>
      <c r="AF912" s="25" t="s">
        <v>2150</v>
      </c>
      <c r="AI912" s="58"/>
    </row>
    <row r="913" spans="1:35" ht="16.5" customHeight="1">
      <c r="A913" s="6" t="s">
        <v>2075</v>
      </c>
      <c r="D913" s="7">
        <v>0</v>
      </c>
      <c r="E913" s="7">
        <v>0</v>
      </c>
      <c r="F913" s="5">
        <v>0</v>
      </c>
      <c r="G913" s="7">
        <v>0</v>
      </c>
      <c r="H913" s="5">
        <v>0</v>
      </c>
      <c r="I913" s="7">
        <v>0</v>
      </c>
      <c r="J913" s="7">
        <v>0</v>
      </c>
      <c r="K913" s="5">
        <v>0</v>
      </c>
      <c r="L913" s="5">
        <v>0</v>
      </c>
      <c r="M913" s="5">
        <v>0</v>
      </c>
      <c r="N913" s="7">
        <v>0</v>
      </c>
      <c r="O913" s="7">
        <v>0</v>
      </c>
      <c r="P913" s="7">
        <v>662</v>
      </c>
      <c r="Q913" s="5">
        <v>0</v>
      </c>
      <c r="R913" s="5">
        <v>662</v>
      </c>
      <c r="S913" s="7">
        <v>90566.400000000009</v>
      </c>
      <c r="T913" s="12">
        <v>43259</v>
      </c>
      <c r="U913" s="4">
        <v>5</v>
      </c>
      <c r="V913" s="4">
        <v>9</v>
      </c>
      <c r="W913" s="4">
        <v>9</v>
      </c>
      <c r="X913" s="45">
        <v>90566.400000000009</v>
      </c>
      <c r="Y913" s="14" t="s">
        <v>56</v>
      </c>
      <c r="Z913" s="14" t="s">
        <v>1355</v>
      </c>
      <c r="AA913" s="14" t="s">
        <v>3174</v>
      </c>
      <c r="AB913" s="44">
        <v>43271</v>
      </c>
      <c r="AC913" s="44" t="s">
        <v>3175</v>
      </c>
      <c r="AD913" s="29" t="s">
        <v>51</v>
      </c>
      <c r="AE913" s="24" t="s">
        <v>2076</v>
      </c>
      <c r="AF913" s="25" t="s">
        <v>2150</v>
      </c>
      <c r="AI913" s="58"/>
    </row>
    <row r="914" spans="1:35" ht="16.5" customHeight="1">
      <c r="A914" s="6" t="s">
        <v>2078</v>
      </c>
      <c r="B914" s="5">
        <v>222</v>
      </c>
      <c r="C914" s="7">
        <v>23070.179999999997</v>
      </c>
      <c r="D914" s="7">
        <v>0</v>
      </c>
      <c r="E914" s="7">
        <v>0</v>
      </c>
      <c r="F914" s="5">
        <v>0</v>
      </c>
      <c r="G914" s="7">
        <v>0</v>
      </c>
      <c r="H914" s="5">
        <v>0</v>
      </c>
      <c r="I914" s="7">
        <v>0</v>
      </c>
      <c r="J914" s="7">
        <v>0</v>
      </c>
      <c r="K914" s="5">
        <v>0</v>
      </c>
      <c r="L914" s="5">
        <v>0</v>
      </c>
      <c r="M914" s="5">
        <v>57</v>
      </c>
      <c r="N914" s="7">
        <v>57</v>
      </c>
      <c r="O914" s="7">
        <v>9277.2999999999993</v>
      </c>
      <c r="P914" s="7">
        <v>0</v>
      </c>
      <c r="Q914" s="5">
        <v>0</v>
      </c>
      <c r="R914" s="5">
        <v>0</v>
      </c>
      <c r="S914" s="7">
        <v>0</v>
      </c>
      <c r="T914" s="12">
        <v>43271</v>
      </c>
      <c r="U914" s="4">
        <v>3</v>
      </c>
      <c r="V914" s="4">
        <v>9</v>
      </c>
      <c r="W914" s="4">
        <v>9</v>
      </c>
      <c r="X914" s="45">
        <v>32347.479999999996</v>
      </c>
      <c r="Y914" s="14" t="s">
        <v>56</v>
      </c>
      <c r="Z914" s="14" t="s">
        <v>730</v>
      </c>
      <c r="AA914" s="14" t="s">
        <v>3209</v>
      </c>
      <c r="AB914" s="44">
        <v>43274</v>
      </c>
      <c r="AC914" s="44" t="s">
        <v>3202</v>
      </c>
      <c r="AD914" s="29" t="s">
        <v>49</v>
      </c>
      <c r="AE914" s="24" t="s">
        <v>2087</v>
      </c>
      <c r="AF914" s="25"/>
      <c r="AI914" s="58"/>
    </row>
    <row r="915" spans="1:35" ht="16.5" customHeight="1">
      <c r="A915" s="6" t="s">
        <v>2079</v>
      </c>
      <c r="B915" s="5">
        <v>114</v>
      </c>
      <c r="C915" s="7">
        <v>16951.8</v>
      </c>
      <c r="D915" s="7">
        <v>0</v>
      </c>
      <c r="E915" s="7">
        <v>0</v>
      </c>
      <c r="F915" s="5">
        <v>0</v>
      </c>
      <c r="G915" s="7">
        <v>0</v>
      </c>
      <c r="H915" s="5">
        <v>0</v>
      </c>
      <c r="I915" s="7">
        <v>0</v>
      </c>
      <c r="J915" s="7">
        <v>0</v>
      </c>
      <c r="K915" s="5">
        <v>0</v>
      </c>
      <c r="L915" s="5">
        <v>0</v>
      </c>
      <c r="M915" s="5">
        <v>0</v>
      </c>
      <c r="N915" s="7">
        <v>0</v>
      </c>
      <c r="O915" s="7">
        <v>0</v>
      </c>
      <c r="P915" s="7">
        <v>0</v>
      </c>
      <c r="Q915" s="5">
        <v>0</v>
      </c>
      <c r="R915" s="5">
        <v>0</v>
      </c>
      <c r="S915" s="7">
        <v>0</v>
      </c>
      <c r="T915" s="12">
        <v>43271</v>
      </c>
      <c r="U915" s="4">
        <v>2</v>
      </c>
      <c r="V915" s="4">
        <v>9</v>
      </c>
      <c r="W915" s="4">
        <v>9</v>
      </c>
      <c r="X915" s="45">
        <v>16951.8</v>
      </c>
      <c r="Y915" s="14" t="s">
        <v>54</v>
      </c>
      <c r="Z915" s="14" t="s">
        <v>59</v>
      </c>
      <c r="AA915" s="14" t="s">
        <v>3210</v>
      </c>
      <c r="AB915" s="44">
        <v>43274</v>
      </c>
      <c r="AC915" s="44" t="s">
        <v>3211</v>
      </c>
      <c r="AD915" s="29" t="s">
        <v>51</v>
      </c>
      <c r="AE915" s="24" t="s">
        <v>2088</v>
      </c>
      <c r="AF915" s="25"/>
      <c r="AI915" s="58"/>
    </row>
    <row r="916" spans="1:35" ht="16.5" customHeight="1">
      <c r="A916" s="6" t="s">
        <v>2081</v>
      </c>
      <c r="B916" s="5">
        <v>480</v>
      </c>
      <c r="C916" s="7">
        <v>32471.65</v>
      </c>
      <c r="D916" s="7">
        <v>0</v>
      </c>
      <c r="E916" s="7">
        <v>0</v>
      </c>
      <c r="F916" s="5">
        <v>0</v>
      </c>
      <c r="G916" s="7">
        <v>0</v>
      </c>
      <c r="H916" s="5">
        <v>375</v>
      </c>
      <c r="I916" s="7">
        <v>51330.700000000004</v>
      </c>
      <c r="J916" s="7">
        <v>0</v>
      </c>
      <c r="K916" s="5">
        <v>0</v>
      </c>
      <c r="L916" s="5">
        <v>0</v>
      </c>
      <c r="M916" s="5">
        <v>311</v>
      </c>
      <c r="N916" s="7">
        <v>311</v>
      </c>
      <c r="O916" s="7">
        <v>39276.699999999997</v>
      </c>
      <c r="P916" s="7">
        <v>0</v>
      </c>
      <c r="Q916" s="5">
        <v>0</v>
      </c>
      <c r="R916" s="5">
        <v>0</v>
      </c>
      <c r="S916" s="7">
        <v>0</v>
      </c>
      <c r="T916" s="12">
        <v>43271</v>
      </c>
      <c r="U916" s="4">
        <v>10</v>
      </c>
      <c r="V916" s="4">
        <v>9</v>
      </c>
      <c r="W916" s="4">
        <v>9</v>
      </c>
      <c r="X916" s="45">
        <v>123079.05</v>
      </c>
      <c r="Y916" s="14" t="s">
        <v>56</v>
      </c>
      <c r="Z916" s="14" t="s">
        <v>1355</v>
      </c>
      <c r="AA916" s="14" t="s">
        <v>3197</v>
      </c>
      <c r="AB916" s="44">
        <v>43278</v>
      </c>
      <c r="AC916" s="44" t="s">
        <v>3198</v>
      </c>
      <c r="AD916" s="29" t="s">
        <v>51</v>
      </c>
      <c r="AE916" s="24" t="s">
        <v>2089</v>
      </c>
      <c r="AF916" s="25"/>
      <c r="AI916" s="58"/>
    </row>
    <row r="917" spans="1:35" ht="16.5" customHeight="1">
      <c r="A917" s="6" t="s">
        <v>2082</v>
      </c>
      <c r="B917" s="5">
        <v>793</v>
      </c>
      <c r="C917" s="7">
        <v>83506.919999999984</v>
      </c>
      <c r="D917" s="7">
        <v>0</v>
      </c>
      <c r="E917" s="7">
        <v>0</v>
      </c>
      <c r="F917" s="5">
        <v>0</v>
      </c>
      <c r="G917" s="7">
        <v>0</v>
      </c>
      <c r="H917" s="5">
        <v>0</v>
      </c>
      <c r="I917" s="7">
        <v>0</v>
      </c>
      <c r="J917" s="7">
        <v>0</v>
      </c>
      <c r="K917" s="5">
        <v>0</v>
      </c>
      <c r="L917" s="5">
        <v>0</v>
      </c>
      <c r="M917" s="5">
        <v>177</v>
      </c>
      <c r="N917" s="7">
        <v>177</v>
      </c>
      <c r="O917" s="7">
        <v>30907.199999999997</v>
      </c>
      <c r="P917" s="7">
        <v>0</v>
      </c>
      <c r="Q917" s="5">
        <v>0</v>
      </c>
      <c r="R917" s="5">
        <v>0</v>
      </c>
      <c r="S917" s="7">
        <v>0</v>
      </c>
      <c r="T917" s="12">
        <v>43271</v>
      </c>
      <c r="U917" s="4">
        <v>9</v>
      </c>
      <c r="V917" s="4">
        <v>9</v>
      </c>
      <c r="W917" s="4">
        <v>9</v>
      </c>
      <c r="X917" s="45">
        <v>114414.11999999998</v>
      </c>
      <c r="Y917" s="14" t="s">
        <v>54</v>
      </c>
      <c r="Z917" s="14" t="s">
        <v>59</v>
      </c>
      <c r="AA917" s="14" t="s">
        <v>3205</v>
      </c>
      <c r="AB917" s="44">
        <v>43279</v>
      </c>
      <c r="AC917" s="44" t="s">
        <v>3204</v>
      </c>
      <c r="AD917" s="29" t="s">
        <v>50</v>
      </c>
      <c r="AE917" s="24" t="s">
        <v>2090</v>
      </c>
      <c r="AF917" s="25"/>
      <c r="AI917" s="58"/>
    </row>
    <row r="918" spans="1:35" ht="16.5" customHeight="1">
      <c r="A918" s="6" t="s">
        <v>2083</v>
      </c>
      <c r="B918" s="5">
        <v>105</v>
      </c>
      <c r="C918" s="7">
        <v>10732.75</v>
      </c>
      <c r="D918" s="7">
        <v>0</v>
      </c>
      <c r="E918" s="7">
        <v>0</v>
      </c>
      <c r="F918" s="5">
        <v>0</v>
      </c>
      <c r="G918" s="7">
        <v>0</v>
      </c>
      <c r="H918" s="5">
        <v>0</v>
      </c>
      <c r="I918" s="7">
        <v>0</v>
      </c>
      <c r="J918" s="7">
        <v>0</v>
      </c>
      <c r="K918" s="5">
        <v>0</v>
      </c>
      <c r="L918" s="5">
        <v>0</v>
      </c>
      <c r="M918" s="5">
        <v>3</v>
      </c>
      <c r="N918" s="7">
        <v>3</v>
      </c>
      <c r="O918" s="7">
        <v>374.4</v>
      </c>
      <c r="P918" s="7">
        <v>0</v>
      </c>
      <c r="Q918" s="5">
        <v>0</v>
      </c>
      <c r="R918" s="5">
        <v>0</v>
      </c>
      <c r="S918" s="7">
        <v>0</v>
      </c>
      <c r="T918" s="12">
        <v>43271</v>
      </c>
      <c r="U918" s="4">
        <v>1</v>
      </c>
      <c r="V918" s="4">
        <v>9</v>
      </c>
      <c r="W918" s="4">
        <v>9</v>
      </c>
      <c r="X918" s="45">
        <v>11107.15</v>
      </c>
      <c r="Y918" s="14" t="s">
        <v>54</v>
      </c>
      <c r="Z918" s="14" t="s">
        <v>1355</v>
      </c>
      <c r="AA918" s="14" t="s">
        <v>3212</v>
      </c>
      <c r="AB918" s="44">
        <v>43279</v>
      </c>
      <c r="AC918" s="44" t="s">
        <v>3204</v>
      </c>
      <c r="AD918" s="29" t="s">
        <v>49</v>
      </c>
      <c r="AE918" s="24" t="s">
        <v>2093</v>
      </c>
      <c r="AF918" s="25"/>
      <c r="AI918" s="58"/>
    </row>
    <row r="919" spans="1:35" ht="16.5" customHeight="1">
      <c r="A919" s="6" t="s">
        <v>2084</v>
      </c>
      <c r="D919" s="7">
        <v>0</v>
      </c>
      <c r="E919" s="7">
        <v>0</v>
      </c>
      <c r="F919" s="5">
        <v>0</v>
      </c>
      <c r="G919" s="7">
        <v>0</v>
      </c>
      <c r="H919" s="5">
        <v>0</v>
      </c>
      <c r="I919" s="7">
        <v>0</v>
      </c>
      <c r="J919" s="7">
        <v>0</v>
      </c>
      <c r="K919" s="5">
        <v>0</v>
      </c>
      <c r="L919" s="5">
        <v>0</v>
      </c>
      <c r="M919" s="5">
        <v>0</v>
      </c>
      <c r="N919" s="7">
        <v>0</v>
      </c>
      <c r="O919" s="7">
        <v>0</v>
      </c>
      <c r="P919" s="7">
        <v>147</v>
      </c>
      <c r="Q919" s="5">
        <v>0</v>
      </c>
      <c r="R919" s="5">
        <v>147</v>
      </c>
      <c r="S919" s="7">
        <v>23151.1</v>
      </c>
      <c r="T919" s="12">
        <v>43271</v>
      </c>
      <c r="U919" s="4">
        <v>1</v>
      </c>
      <c r="V919" s="4">
        <v>9</v>
      </c>
      <c r="W919" s="4">
        <v>9</v>
      </c>
      <c r="X919" s="45">
        <v>23151.1</v>
      </c>
      <c r="Y919" s="14" t="s">
        <v>1633</v>
      </c>
      <c r="Z919" s="14" t="s">
        <v>1492</v>
      </c>
      <c r="AA919" s="14" t="s">
        <v>3190</v>
      </c>
      <c r="AB919" s="44">
        <v>43274</v>
      </c>
      <c r="AC919" s="44" t="s">
        <v>3191</v>
      </c>
      <c r="AD919" s="29" t="s">
        <v>70</v>
      </c>
      <c r="AE919" s="24" t="s">
        <v>2091</v>
      </c>
      <c r="AF919" s="25" t="s">
        <v>2177</v>
      </c>
      <c r="AI919" s="58"/>
    </row>
    <row r="920" spans="1:35" ht="16.5" customHeight="1">
      <c r="A920" s="6" t="s">
        <v>2085</v>
      </c>
      <c r="D920" s="7">
        <v>0</v>
      </c>
      <c r="E920" s="7">
        <v>0</v>
      </c>
      <c r="F920" s="5">
        <v>0</v>
      </c>
      <c r="G920" s="7">
        <v>0</v>
      </c>
      <c r="H920" s="5">
        <v>0</v>
      </c>
      <c r="I920" s="7">
        <v>0</v>
      </c>
      <c r="J920" s="7">
        <v>0</v>
      </c>
      <c r="K920" s="5">
        <v>0</v>
      </c>
      <c r="L920" s="5">
        <v>0</v>
      </c>
      <c r="M920" s="5">
        <v>0</v>
      </c>
      <c r="N920" s="7">
        <v>0</v>
      </c>
      <c r="O920" s="7">
        <v>0</v>
      </c>
      <c r="P920" s="7">
        <v>304</v>
      </c>
      <c r="Q920" s="5">
        <v>0</v>
      </c>
      <c r="R920" s="5">
        <v>304</v>
      </c>
      <c r="S920" s="7">
        <v>45208.899999999994</v>
      </c>
      <c r="T920" s="12">
        <v>43271</v>
      </c>
      <c r="U920" s="4">
        <v>2</v>
      </c>
      <c r="V920" s="4">
        <v>9</v>
      </c>
      <c r="W920" s="4">
        <v>9</v>
      </c>
      <c r="X920" s="45">
        <v>45208.899999999994</v>
      </c>
      <c r="Y920" s="14" t="s">
        <v>54</v>
      </c>
      <c r="Z920" s="14" t="s">
        <v>57</v>
      </c>
      <c r="AA920" s="14" t="s">
        <v>3212</v>
      </c>
      <c r="AB920" s="44">
        <v>43279</v>
      </c>
      <c r="AC920" s="44" t="s">
        <v>3204</v>
      </c>
      <c r="AD920" s="29" t="s">
        <v>49</v>
      </c>
      <c r="AE920" s="24" t="s">
        <v>2094</v>
      </c>
      <c r="AF920" s="25" t="s">
        <v>2175</v>
      </c>
      <c r="AI920" s="58"/>
    </row>
    <row r="921" spans="1:35" ht="16.5" customHeight="1">
      <c r="A921" s="6" t="s">
        <v>2086</v>
      </c>
      <c r="D921" s="7">
        <v>0</v>
      </c>
      <c r="E921" s="7">
        <v>0</v>
      </c>
      <c r="F921" s="5">
        <v>0</v>
      </c>
      <c r="G921" s="7">
        <v>0</v>
      </c>
      <c r="H921" s="5">
        <v>0</v>
      </c>
      <c r="I921" s="7">
        <v>0</v>
      </c>
      <c r="J921" s="7">
        <v>0</v>
      </c>
      <c r="K921" s="5">
        <v>0</v>
      </c>
      <c r="L921" s="5">
        <v>0</v>
      </c>
      <c r="M921" s="5">
        <v>0</v>
      </c>
      <c r="N921" s="7">
        <v>0</v>
      </c>
      <c r="O921" s="7">
        <v>0</v>
      </c>
      <c r="P921" s="7">
        <v>799</v>
      </c>
      <c r="Q921" s="5">
        <v>0</v>
      </c>
      <c r="R921" s="5">
        <v>799</v>
      </c>
      <c r="S921" s="7">
        <v>165438.5</v>
      </c>
      <c r="T921" s="12">
        <v>43271</v>
      </c>
      <c r="U921" s="4">
        <v>10</v>
      </c>
      <c r="V921" s="4">
        <v>9</v>
      </c>
      <c r="W921" s="4">
        <v>9</v>
      </c>
      <c r="X921" s="45">
        <v>165438.5</v>
      </c>
      <c r="Y921" s="14" t="s">
        <v>54</v>
      </c>
      <c r="Z921" s="14" t="s">
        <v>55</v>
      </c>
      <c r="AA921" s="14" t="s">
        <v>3205</v>
      </c>
      <c r="AB921" s="44">
        <v>43279</v>
      </c>
      <c r="AC921" s="44" t="s">
        <v>3204</v>
      </c>
      <c r="AD921" s="29" t="s">
        <v>50</v>
      </c>
      <c r="AE921" s="24" t="s">
        <v>2092</v>
      </c>
      <c r="AF921" s="25" t="s">
        <v>2151</v>
      </c>
      <c r="AI921" s="58"/>
    </row>
    <row r="922" spans="1:35" ht="16.5" customHeight="1">
      <c r="A922" s="6" t="s">
        <v>2095</v>
      </c>
      <c r="B922" s="5">
        <v>99</v>
      </c>
      <c r="C922" s="7">
        <v>12365.100000000002</v>
      </c>
      <c r="D922" s="7">
        <v>0</v>
      </c>
      <c r="E922" s="7">
        <v>0</v>
      </c>
      <c r="F922" s="5">
        <v>0</v>
      </c>
      <c r="G922" s="7">
        <v>0</v>
      </c>
      <c r="H922" s="5">
        <v>0</v>
      </c>
      <c r="I922" s="7">
        <v>0</v>
      </c>
      <c r="J922" s="7">
        <v>0</v>
      </c>
      <c r="K922" s="5">
        <v>0</v>
      </c>
      <c r="L922" s="5">
        <v>0</v>
      </c>
      <c r="M922" s="5">
        <v>0</v>
      </c>
      <c r="N922" s="7">
        <v>0</v>
      </c>
      <c r="O922" s="7">
        <v>0</v>
      </c>
      <c r="P922" s="7">
        <v>0</v>
      </c>
      <c r="Q922" s="5">
        <v>0</v>
      </c>
      <c r="R922" s="5">
        <v>0</v>
      </c>
      <c r="S922" s="7">
        <v>0</v>
      </c>
      <c r="T922" s="12">
        <v>43272</v>
      </c>
      <c r="U922" s="4">
        <v>1</v>
      </c>
      <c r="V922" s="4">
        <v>9</v>
      </c>
      <c r="W922" s="4">
        <v>9</v>
      </c>
      <c r="X922" s="45">
        <v>12365.100000000002</v>
      </c>
      <c r="Y922" s="14" t="s">
        <v>1633</v>
      </c>
      <c r="Z922" s="14" t="s">
        <v>1492</v>
      </c>
      <c r="AA922" s="14" t="s">
        <v>3213</v>
      </c>
      <c r="AB922" s="44">
        <v>43281</v>
      </c>
      <c r="AC922" s="44" t="s">
        <v>3214</v>
      </c>
      <c r="AD922" s="29" t="s">
        <v>70</v>
      </c>
      <c r="AE922" s="24" t="s">
        <v>2103</v>
      </c>
      <c r="AF922" s="25"/>
      <c r="AI922" s="58"/>
    </row>
    <row r="923" spans="1:35" ht="16.5" customHeight="1">
      <c r="A923" s="6" t="s">
        <v>2077</v>
      </c>
      <c r="B923" s="5">
        <v>2</v>
      </c>
      <c r="C923" s="7">
        <v>201.1</v>
      </c>
      <c r="D923" s="7">
        <v>0</v>
      </c>
      <c r="E923" s="7">
        <v>0</v>
      </c>
      <c r="F923" s="5">
        <v>0</v>
      </c>
      <c r="G923" s="7">
        <v>0</v>
      </c>
      <c r="H923" s="5">
        <v>378</v>
      </c>
      <c r="I923" s="7">
        <v>42535.93</v>
      </c>
      <c r="J923" s="7">
        <v>0</v>
      </c>
      <c r="K923" s="5">
        <v>0</v>
      </c>
      <c r="L923" s="5">
        <v>0</v>
      </c>
      <c r="M923" s="5">
        <v>353</v>
      </c>
      <c r="N923" s="7">
        <v>353</v>
      </c>
      <c r="O923" s="7">
        <v>15065.9</v>
      </c>
      <c r="P923" s="7">
        <v>0</v>
      </c>
      <c r="Q923" s="5">
        <v>0</v>
      </c>
      <c r="R923" s="5">
        <v>0</v>
      </c>
      <c r="S923" s="7">
        <v>0</v>
      </c>
      <c r="T923" s="12">
        <v>43272</v>
      </c>
      <c r="U923" s="4">
        <v>4</v>
      </c>
      <c r="V923" s="4">
        <v>9</v>
      </c>
      <c r="W923" s="4">
        <v>9</v>
      </c>
      <c r="X923" s="45">
        <v>57802.93</v>
      </c>
      <c r="Y923" s="14" t="s">
        <v>54</v>
      </c>
      <c r="Z923" s="14" t="s">
        <v>57</v>
      </c>
      <c r="AA923" s="14" t="s">
        <v>3212</v>
      </c>
      <c r="AB923" s="44">
        <v>43279</v>
      </c>
      <c r="AC923" s="44" t="s">
        <v>3204</v>
      </c>
      <c r="AD923" s="29" t="s">
        <v>49</v>
      </c>
      <c r="AE923" s="24" t="s">
        <v>2104</v>
      </c>
      <c r="AF923" s="25"/>
      <c r="AI923" s="58"/>
    </row>
    <row r="924" spans="1:35" ht="16.5" customHeight="1">
      <c r="A924" s="6" t="s">
        <v>2096</v>
      </c>
      <c r="D924" s="7">
        <v>0</v>
      </c>
      <c r="E924" s="7">
        <v>0</v>
      </c>
      <c r="F924" s="5">
        <v>0</v>
      </c>
      <c r="G924" s="7">
        <v>0</v>
      </c>
      <c r="H924" s="5">
        <v>735</v>
      </c>
      <c r="I924" s="7">
        <v>92408.75</v>
      </c>
      <c r="J924" s="7">
        <v>0</v>
      </c>
      <c r="K924" s="5">
        <v>0</v>
      </c>
      <c r="L924" s="5">
        <v>0</v>
      </c>
      <c r="M924" s="5">
        <v>0</v>
      </c>
      <c r="N924" s="7">
        <v>0</v>
      </c>
      <c r="O924" s="7">
        <v>0</v>
      </c>
      <c r="P924" s="7">
        <v>0</v>
      </c>
      <c r="Q924" s="5">
        <v>0</v>
      </c>
      <c r="R924" s="5">
        <v>0</v>
      </c>
      <c r="S924" s="7">
        <v>0</v>
      </c>
      <c r="T924" s="12">
        <v>43272</v>
      </c>
      <c r="U924" s="4">
        <v>7</v>
      </c>
      <c r="V924" s="4">
        <v>9</v>
      </c>
      <c r="W924" s="4">
        <v>9</v>
      </c>
      <c r="X924" s="45">
        <v>92408.75</v>
      </c>
      <c r="Y924" s="14" t="s">
        <v>54</v>
      </c>
      <c r="Z924" s="14" t="s">
        <v>1355</v>
      </c>
      <c r="AA924" s="14" t="s">
        <v>3215</v>
      </c>
      <c r="AB924" s="44">
        <v>43279</v>
      </c>
      <c r="AC924" s="44" t="s">
        <v>3204</v>
      </c>
      <c r="AD924" s="29" t="s">
        <v>49</v>
      </c>
      <c r="AE924" s="24" t="s">
        <v>2105</v>
      </c>
      <c r="AF924" s="25"/>
      <c r="AI924" s="58"/>
    </row>
    <row r="925" spans="1:35" ht="16.5" customHeight="1">
      <c r="A925" s="6" t="s">
        <v>2080</v>
      </c>
      <c r="B925" s="5">
        <v>125</v>
      </c>
      <c r="C925" s="7">
        <v>9814.2999999999993</v>
      </c>
      <c r="D925" s="7">
        <v>0</v>
      </c>
      <c r="E925" s="7">
        <v>0</v>
      </c>
      <c r="F925" s="5">
        <v>0</v>
      </c>
      <c r="G925" s="7">
        <v>0</v>
      </c>
      <c r="H925" s="5">
        <v>79</v>
      </c>
      <c r="I925" s="7">
        <v>5006.3500000000004</v>
      </c>
      <c r="J925" s="7">
        <v>0</v>
      </c>
      <c r="K925" s="5">
        <v>0</v>
      </c>
      <c r="L925" s="5">
        <v>0</v>
      </c>
      <c r="M925" s="5">
        <v>394</v>
      </c>
      <c r="N925" s="7">
        <v>394</v>
      </c>
      <c r="O925" s="7">
        <v>34194.800000000003</v>
      </c>
      <c r="P925" s="7">
        <v>10</v>
      </c>
      <c r="Q925" s="5">
        <v>0</v>
      </c>
      <c r="R925" s="5">
        <v>10</v>
      </c>
      <c r="S925" s="7">
        <v>499</v>
      </c>
      <c r="T925" s="12">
        <v>43272</v>
      </c>
      <c r="U925" s="4">
        <v>4</v>
      </c>
      <c r="V925" s="4">
        <v>9</v>
      </c>
      <c r="W925" s="4">
        <v>9</v>
      </c>
      <c r="X925" s="45">
        <v>49514.450000000004</v>
      </c>
      <c r="Y925" s="14" t="s">
        <v>54</v>
      </c>
      <c r="Z925" s="14" t="s">
        <v>59</v>
      </c>
      <c r="AA925" s="14" t="s">
        <v>3216</v>
      </c>
      <c r="AB925" s="44">
        <v>43276</v>
      </c>
      <c r="AC925" s="44" t="s">
        <v>3217</v>
      </c>
      <c r="AD925" s="29" t="s">
        <v>51</v>
      </c>
      <c r="AE925" s="24" t="s">
        <v>2106</v>
      </c>
      <c r="AF925" s="25"/>
      <c r="AI925" s="58"/>
    </row>
    <row r="926" spans="1:35" ht="16.5" customHeight="1">
      <c r="A926" s="6" t="s">
        <v>2097</v>
      </c>
      <c r="B926" s="5">
        <v>494</v>
      </c>
      <c r="C926" s="7">
        <v>65518.899999999994</v>
      </c>
      <c r="D926" s="7">
        <v>0</v>
      </c>
      <c r="E926" s="7">
        <v>0</v>
      </c>
      <c r="F926" s="5">
        <v>0</v>
      </c>
      <c r="G926" s="7">
        <v>0</v>
      </c>
      <c r="H926" s="5">
        <v>110</v>
      </c>
      <c r="I926" s="7">
        <v>13660.199999999999</v>
      </c>
      <c r="J926" s="7">
        <v>0</v>
      </c>
      <c r="K926" s="5">
        <v>0</v>
      </c>
      <c r="L926" s="5">
        <v>0</v>
      </c>
      <c r="M926" s="5">
        <v>110</v>
      </c>
      <c r="N926" s="7">
        <v>110</v>
      </c>
      <c r="O926" s="7">
        <v>19635.8</v>
      </c>
      <c r="P926" s="7">
        <v>0</v>
      </c>
      <c r="Q926" s="5">
        <v>0</v>
      </c>
      <c r="R926" s="5">
        <v>0</v>
      </c>
      <c r="S926" s="7">
        <v>0</v>
      </c>
      <c r="T926" s="12">
        <v>43272</v>
      </c>
      <c r="U926" s="4">
        <v>8</v>
      </c>
      <c r="V926" s="4">
        <v>9</v>
      </c>
      <c r="W926" s="4">
        <v>9</v>
      </c>
      <c r="X926" s="45">
        <v>98814.9</v>
      </c>
      <c r="Y926" s="14" t="s">
        <v>56</v>
      </c>
      <c r="Z926" s="14" t="s">
        <v>730</v>
      </c>
      <c r="AA926" s="14" t="s">
        <v>3197</v>
      </c>
      <c r="AB926" s="44">
        <v>43278</v>
      </c>
      <c r="AC926" s="44" t="s">
        <v>3198</v>
      </c>
      <c r="AD926" s="29" t="s">
        <v>51</v>
      </c>
      <c r="AE926" s="24" t="s">
        <v>2107</v>
      </c>
      <c r="AF926" s="25"/>
      <c r="AI926" s="58"/>
    </row>
    <row r="927" spans="1:35" ht="16.5" customHeight="1">
      <c r="A927" s="6" t="s">
        <v>2098</v>
      </c>
      <c r="B927" s="5">
        <v>180</v>
      </c>
      <c r="C927" s="7">
        <v>14426.2</v>
      </c>
      <c r="D927" s="7">
        <v>0</v>
      </c>
      <c r="E927" s="7">
        <v>0</v>
      </c>
      <c r="F927" s="5">
        <v>0</v>
      </c>
      <c r="G927" s="7">
        <v>0</v>
      </c>
      <c r="H927" s="5">
        <v>0</v>
      </c>
      <c r="I927" s="7">
        <v>0</v>
      </c>
      <c r="J927" s="7">
        <v>0</v>
      </c>
      <c r="K927" s="5">
        <v>0</v>
      </c>
      <c r="L927" s="5">
        <v>0</v>
      </c>
      <c r="M927" s="5">
        <v>169</v>
      </c>
      <c r="N927" s="7">
        <v>169</v>
      </c>
      <c r="O927" s="7">
        <v>41204.400000000001</v>
      </c>
      <c r="P927" s="7">
        <v>0</v>
      </c>
      <c r="Q927" s="5">
        <v>0</v>
      </c>
      <c r="R927" s="5">
        <v>0</v>
      </c>
      <c r="S927" s="7">
        <v>0</v>
      </c>
      <c r="T927" s="12">
        <v>43272</v>
      </c>
      <c r="U927" s="4">
        <v>5</v>
      </c>
      <c r="V927" s="4">
        <v>9</v>
      </c>
      <c r="W927" s="4">
        <v>9</v>
      </c>
      <c r="X927" s="45">
        <v>55630.600000000006</v>
      </c>
      <c r="Y927" s="14" t="s">
        <v>54</v>
      </c>
      <c r="Z927" s="14" t="s">
        <v>59</v>
      </c>
      <c r="AA927" s="14" t="s">
        <v>3203</v>
      </c>
      <c r="AB927" s="44">
        <v>43279</v>
      </c>
      <c r="AC927" s="44" t="s">
        <v>3204</v>
      </c>
      <c r="AD927" s="29" t="s">
        <v>50</v>
      </c>
      <c r="AE927" s="24" t="s">
        <v>2108</v>
      </c>
      <c r="AF927" s="25"/>
      <c r="AI927" s="58"/>
    </row>
    <row r="928" spans="1:35" ht="16.5" customHeight="1">
      <c r="A928" s="6" t="s">
        <v>2099</v>
      </c>
      <c r="D928" s="7">
        <v>0</v>
      </c>
      <c r="E928" s="7">
        <v>0</v>
      </c>
      <c r="F928" s="5">
        <v>0</v>
      </c>
      <c r="G928" s="7">
        <v>0</v>
      </c>
      <c r="H928" s="5">
        <v>0</v>
      </c>
      <c r="I928" s="7">
        <v>0</v>
      </c>
      <c r="J928" s="7">
        <v>0</v>
      </c>
      <c r="K928" s="5">
        <v>0</v>
      </c>
      <c r="L928" s="5">
        <v>0</v>
      </c>
      <c r="M928" s="5">
        <v>0</v>
      </c>
      <c r="N928" s="7">
        <v>0</v>
      </c>
      <c r="O928" s="7">
        <v>0</v>
      </c>
      <c r="P928" s="7">
        <v>273</v>
      </c>
      <c r="Q928" s="5">
        <v>0</v>
      </c>
      <c r="R928" s="5">
        <v>273</v>
      </c>
      <c r="S928" s="7">
        <v>25865.4</v>
      </c>
      <c r="T928" s="12">
        <v>43272</v>
      </c>
      <c r="U928" s="4">
        <v>1</v>
      </c>
      <c r="V928" s="4">
        <v>9</v>
      </c>
      <c r="W928" s="4">
        <v>9</v>
      </c>
      <c r="X928" s="45">
        <v>25865.4</v>
      </c>
      <c r="Y928" s="14" t="s">
        <v>85</v>
      </c>
      <c r="Z928" s="14" t="s">
        <v>1637</v>
      </c>
      <c r="AA928" s="14">
        <v>350810071258</v>
      </c>
      <c r="AB928" s="44">
        <v>43278</v>
      </c>
      <c r="AC928" s="44" t="s">
        <v>3218</v>
      </c>
      <c r="AD928" s="29" t="s">
        <v>49</v>
      </c>
      <c r="AE928" s="24" t="s">
        <v>2109</v>
      </c>
      <c r="AF928" s="25" t="s">
        <v>2172</v>
      </c>
      <c r="AI928" s="58"/>
    </row>
    <row r="929" spans="1:35" ht="16.5" customHeight="1">
      <c r="A929" s="6" t="s">
        <v>2100</v>
      </c>
      <c r="D929" s="7">
        <v>0</v>
      </c>
      <c r="E929" s="7">
        <v>0</v>
      </c>
      <c r="F929" s="5">
        <v>0</v>
      </c>
      <c r="G929" s="7">
        <v>0</v>
      </c>
      <c r="H929" s="5">
        <v>0</v>
      </c>
      <c r="I929" s="7">
        <v>0</v>
      </c>
      <c r="J929" s="7">
        <v>0</v>
      </c>
      <c r="K929" s="5">
        <v>0</v>
      </c>
      <c r="L929" s="5">
        <v>0</v>
      </c>
      <c r="M929" s="5">
        <v>0</v>
      </c>
      <c r="N929" s="7">
        <v>0</v>
      </c>
      <c r="O929" s="7">
        <v>0</v>
      </c>
      <c r="P929" s="7">
        <v>727</v>
      </c>
      <c r="Q929" s="5">
        <v>0</v>
      </c>
      <c r="R929" s="5">
        <v>727</v>
      </c>
      <c r="S929" s="7">
        <v>145646.5</v>
      </c>
      <c r="T929" s="12">
        <v>43272</v>
      </c>
      <c r="U929" s="4">
        <v>8</v>
      </c>
      <c r="V929" s="4">
        <v>9</v>
      </c>
      <c r="W929" s="4">
        <v>9</v>
      </c>
      <c r="X929" s="45">
        <v>145646.5</v>
      </c>
      <c r="Y929" s="14" t="s">
        <v>56</v>
      </c>
      <c r="Z929" s="14" t="s">
        <v>55</v>
      </c>
      <c r="AA929" s="14" t="s">
        <v>3219</v>
      </c>
      <c r="AB929" s="44">
        <v>43278</v>
      </c>
      <c r="AC929" s="44" t="s">
        <v>3198</v>
      </c>
      <c r="AD929" s="29" t="s">
        <v>51</v>
      </c>
      <c r="AE929" s="24" t="s">
        <v>2110</v>
      </c>
      <c r="AF929" s="25" t="s">
        <v>2150</v>
      </c>
      <c r="AI929" s="58"/>
    </row>
    <row r="930" spans="1:35" ht="16.5" customHeight="1">
      <c r="A930" s="6" t="s">
        <v>2101</v>
      </c>
      <c r="D930" s="7">
        <v>0</v>
      </c>
      <c r="E930" s="7">
        <v>0</v>
      </c>
      <c r="F930" s="5">
        <v>0</v>
      </c>
      <c r="G930" s="7">
        <v>0</v>
      </c>
      <c r="H930" s="5">
        <v>0</v>
      </c>
      <c r="I930" s="7">
        <v>0</v>
      </c>
      <c r="J930" s="7">
        <v>0</v>
      </c>
      <c r="K930" s="5">
        <v>0</v>
      </c>
      <c r="L930" s="5">
        <v>0</v>
      </c>
      <c r="M930" s="5">
        <v>0</v>
      </c>
      <c r="N930" s="7">
        <v>0</v>
      </c>
      <c r="O930" s="7">
        <v>0</v>
      </c>
      <c r="P930" s="7">
        <v>363</v>
      </c>
      <c r="Q930" s="5">
        <v>0</v>
      </c>
      <c r="R930" s="5">
        <v>363</v>
      </c>
      <c r="S930" s="7">
        <v>58168.2</v>
      </c>
      <c r="T930" s="12">
        <v>43272</v>
      </c>
      <c r="U930" s="4">
        <v>4</v>
      </c>
      <c r="V930" s="4">
        <v>9</v>
      </c>
      <c r="W930" s="4">
        <v>9</v>
      </c>
      <c r="X930" s="45">
        <v>58168.2</v>
      </c>
      <c r="Y930" s="14" t="s">
        <v>54</v>
      </c>
      <c r="Z930" s="14" t="s">
        <v>59</v>
      </c>
      <c r="AA930" s="14" t="s">
        <v>3220</v>
      </c>
      <c r="AB930" s="44">
        <v>43279</v>
      </c>
      <c r="AC930" s="44" t="s">
        <v>3204</v>
      </c>
      <c r="AD930" s="29" t="s">
        <v>50</v>
      </c>
      <c r="AE930" s="24" t="s">
        <v>2111</v>
      </c>
      <c r="AF930" s="25" t="s">
        <v>2151</v>
      </c>
      <c r="AI930" s="58"/>
    </row>
    <row r="931" spans="1:35" ht="16.5" customHeight="1">
      <c r="A931" s="6" t="s">
        <v>2102</v>
      </c>
      <c r="D931" s="7">
        <v>0</v>
      </c>
      <c r="E931" s="7">
        <v>0</v>
      </c>
      <c r="F931" s="5">
        <v>0</v>
      </c>
      <c r="G931" s="7">
        <v>0</v>
      </c>
      <c r="H931" s="5">
        <v>0</v>
      </c>
      <c r="I931" s="7">
        <v>0</v>
      </c>
      <c r="J931" s="7">
        <v>0</v>
      </c>
      <c r="K931" s="5">
        <v>0</v>
      </c>
      <c r="L931" s="5">
        <v>0</v>
      </c>
      <c r="M931" s="5">
        <v>0</v>
      </c>
      <c r="N931" s="7">
        <v>0</v>
      </c>
      <c r="O931" s="7">
        <v>0</v>
      </c>
      <c r="P931" s="7">
        <v>230</v>
      </c>
      <c r="Q931" s="5">
        <v>0</v>
      </c>
      <c r="R931" s="5">
        <v>230</v>
      </c>
      <c r="S931" s="7">
        <v>24946</v>
      </c>
      <c r="T931" s="12">
        <v>43272</v>
      </c>
      <c r="U931" s="4">
        <v>1</v>
      </c>
      <c r="V931" s="4">
        <v>9</v>
      </c>
      <c r="W931" s="4">
        <v>9</v>
      </c>
      <c r="X931" s="45">
        <v>24946</v>
      </c>
      <c r="Y931" s="14" t="s">
        <v>58</v>
      </c>
      <c r="Z931" s="14" t="s">
        <v>1492</v>
      </c>
      <c r="AA931" s="14" t="s">
        <v>3221</v>
      </c>
      <c r="AB931" s="44">
        <v>43278</v>
      </c>
      <c r="AC931" s="44" t="s">
        <v>3222</v>
      </c>
      <c r="AD931" s="29" t="s">
        <v>49</v>
      </c>
      <c r="AE931" s="24" t="s">
        <v>2112</v>
      </c>
      <c r="AF931" s="25" t="s">
        <v>2174</v>
      </c>
      <c r="AI931" s="58"/>
    </row>
    <row r="932" spans="1:35" ht="16.5" customHeight="1">
      <c r="A932" s="6" t="s">
        <v>2113</v>
      </c>
      <c r="B932" s="5">
        <v>84</v>
      </c>
      <c r="C932" s="7">
        <v>8883.1</v>
      </c>
      <c r="D932" s="7">
        <v>0</v>
      </c>
      <c r="E932" s="7">
        <v>0</v>
      </c>
      <c r="F932" s="5">
        <v>0</v>
      </c>
      <c r="G932" s="7">
        <v>0</v>
      </c>
      <c r="H932" s="5">
        <v>745</v>
      </c>
      <c r="I932" s="7">
        <v>76635.700000000012</v>
      </c>
      <c r="J932" s="7">
        <v>0</v>
      </c>
      <c r="K932" s="5">
        <v>0</v>
      </c>
      <c r="L932" s="5">
        <v>0</v>
      </c>
      <c r="M932" s="5">
        <v>0</v>
      </c>
      <c r="N932" s="7">
        <v>0</v>
      </c>
      <c r="O932" s="7">
        <v>0</v>
      </c>
      <c r="P932" s="7">
        <v>0</v>
      </c>
      <c r="Q932" s="5">
        <v>0</v>
      </c>
      <c r="R932" s="5">
        <v>0</v>
      </c>
      <c r="S932" s="7">
        <v>0</v>
      </c>
      <c r="T932" s="12">
        <v>43273</v>
      </c>
      <c r="U932" s="4">
        <v>6</v>
      </c>
      <c r="V932" s="4">
        <v>9</v>
      </c>
      <c r="W932" s="4">
        <v>9</v>
      </c>
      <c r="X932" s="45">
        <v>85518.800000000017</v>
      </c>
      <c r="Y932" s="14" t="s">
        <v>54</v>
      </c>
      <c r="Z932" s="14" t="s">
        <v>57</v>
      </c>
      <c r="AA932" s="14" t="s">
        <v>3212</v>
      </c>
      <c r="AB932" s="44">
        <v>43279</v>
      </c>
      <c r="AC932" s="44" t="s">
        <v>3204</v>
      </c>
      <c r="AD932" s="29" t="s">
        <v>49</v>
      </c>
      <c r="AE932" s="24" t="s">
        <v>2124</v>
      </c>
      <c r="AF932" s="25"/>
      <c r="AI932" s="58"/>
    </row>
    <row r="933" spans="1:35" ht="16.5" customHeight="1">
      <c r="A933" s="6" t="s">
        <v>2114</v>
      </c>
      <c r="B933" s="5">
        <v>147</v>
      </c>
      <c r="C933" s="7">
        <v>18171.7</v>
      </c>
      <c r="D933" s="7">
        <v>0</v>
      </c>
      <c r="E933" s="7">
        <v>0</v>
      </c>
      <c r="F933" s="5">
        <v>0</v>
      </c>
      <c r="G933" s="7">
        <v>0</v>
      </c>
      <c r="H933" s="5">
        <v>135</v>
      </c>
      <c r="I933" s="7">
        <v>17274.600000000002</v>
      </c>
      <c r="J933" s="7">
        <v>0</v>
      </c>
      <c r="K933" s="5">
        <v>0</v>
      </c>
      <c r="L933" s="5">
        <v>0</v>
      </c>
      <c r="M933" s="5">
        <v>58</v>
      </c>
      <c r="N933" s="7">
        <v>58</v>
      </c>
      <c r="O933" s="7">
        <v>10248.599999999999</v>
      </c>
      <c r="P933" s="7">
        <v>0</v>
      </c>
      <c r="Q933" s="5">
        <v>0</v>
      </c>
      <c r="R933" s="5">
        <v>0</v>
      </c>
      <c r="S933" s="7">
        <v>0</v>
      </c>
      <c r="T933" s="12">
        <v>43273</v>
      </c>
      <c r="U933" s="4">
        <v>4</v>
      </c>
      <c r="V933" s="4">
        <v>9</v>
      </c>
      <c r="W933" s="4">
        <v>9</v>
      </c>
      <c r="X933" s="45">
        <v>45694.9</v>
      </c>
      <c r="Y933" s="14" t="s">
        <v>85</v>
      </c>
      <c r="Z933" s="14" t="s">
        <v>1637</v>
      </c>
      <c r="AA933" s="14">
        <v>350810071258</v>
      </c>
      <c r="AB933" s="44">
        <v>43278</v>
      </c>
      <c r="AC933" s="44" t="s">
        <v>3218</v>
      </c>
      <c r="AD933" s="29" t="s">
        <v>49</v>
      </c>
      <c r="AE933" s="24" t="s">
        <v>2125</v>
      </c>
      <c r="AF933" s="25"/>
      <c r="AI933" s="58"/>
    </row>
    <row r="934" spans="1:35" ht="16.5" customHeight="1">
      <c r="A934" s="6" t="s">
        <v>2115</v>
      </c>
      <c r="B934" s="5">
        <v>310</v>
      </c>
      <c r="C934" s="7">
        <v>37594.65</v>
      </c>
      <c r="D934" s="7">
        <v>0</v>
      </c>
      <c r="E934" s="7">
        <v>0</v>
      </c>
      <c r="F934" s="5">
        <v>0</v>
      </c>
      <c r="G934" s="7">
        <v>0</v>
      </c>
      <c r="H934" s="5">
        <v>0</v>
      </c>
      <c r="I934" s="7">
        <v>0</v>
      </c>
      <c r="J934" s="7">
        <v>0</v>
      </c>
      <c r="K934" s="5">
        <v>0</v>
      </c>
      <c r="L934" s="5">
        <v>0</v>
      </c>
      <c r="M934" s="5">
        <v>103</v>
      </c>
      <c r="N934" s="7">
        <v>103</v>
      </c>
      <c r="O934" s="7">
        <v>19262</v>
      </c>
      <c r="P934" s="7">
        <v>0</v>
      </c>
      <c r="Q934" s="5">
        <v>0</v>
      </c>
      <c r="R934" s="5">
        <v>0</v>
      </c>
      <c r="S934" s="7">
        <v>0</v>
      </c>
      <c r="T934" s="12">
        <v>43273</v>
      </c>
      <c r="U934" s="4">
        <v>5</v>
      </c>
      <c r="V934" s="4">
        <v>9</v>
      </c>
      <c r="W934" s="4">
        <v>9</v>
      </c>
      <c r="X934" s="45">
        <v>56856.65</v>
      </c>
      <c r="Y934" s="14" t="s">
        <v>56</v>
      </c>
      <c r="Z934" s="14" t="s">
        <v>1355</v>
      </c>
      <c r="AA934" s="14" t="s">
        <v>3207</v>
      </c>
      <c r="AB934" s="44">
        <v>43278</v>
      </c>
      <c r="AC934" s="44" t="s">
        <v>3208</v>
      </c>
      <c r="AD934" s="29" t="s">
        <v>52</v>
      </c>
      <c r="AE934" s="24" t="s">
        <v>2126</v>
      </c>
      <c r="AF934" s="25"/>
      <c r="AI934" s="58"/>
    </row>
    <row r="935" spans="1:35" ht="16.5" customHeight="1">
      <c r="A935" s="6" t="s">
        <v>2116</v>
      </c>
      <c r="B935" s="5">
        <v>250</v>
      </c>
      <c r="C935" s="7">
        <v>35306.399999999994</v>
      </c>
      <c r="D935" s="7">
        <v>0</v>
      </c>
      <c r="E935" s="7">
        <v>0</v>
      </c>
      <c r="F935" s="5">
        <v>0</v>
      </c>
      <c r="G935" s="7">
        <v>0</v>
      </c>
      <c r="H935" s="5">
        <v>0</v>
      </c>
      <c r="I935" s="7">
        <v>0</v>
      </c>
      <c r="J935" s="7">
        <v>0</v>
      </c>
      <c r="K935" s="5">
        <v>0</v>
      </c>
      <c r="L935" s="5">
        <v>0</v>
      </c>
      <c r="M935" s="5">
        <v>58</v>
      </c>
      <c r="N935" s="7">
        <v>58</v>
      </c>
      <c r="O935" s="7">
        <v>10248.599999999999</v>
      </c>
      <c r="P935" s="7">
        <v>0</v>
      </c>
      <c r="Q935" s="5">
        <v>0</v>
      </c>
      <c r="R935" s="5">
        <v>0</v>
      </c>
      <c r="S935" s="7">
        <v>0</v>
      </c>
      <c r="T935" s="12">
        <v>43273</v>
      </c>
      <c r="U935" s="4">
        <v>4</v>
      </c>
      <c r="V935" s="4">
        <v>9</v>
      </c>
      <c r="W935" s="4">
        <v>9</v>
      </c>
      <c r="X935" s="45">
        <v>45554.999999999993</v>
      </c>
      <c r="Y935" s="14" t="s">
        <v>56</v>
      </c>
      <c r="Z935" s="14" t="s">
        <v>55</v>
      </c>
      <c r="AA935" s="14" t="s">
        <v>3219</v>
      </c>
      <c r="AB935" s="44">
        <v>43278</v>
      </c>
      <c r="AC935" s="44" t="s">
        <v>3198</v>
      </c>
      <c r="AD935" s="29" t="s">
        <v>51</v>
      </c>
      <c r="AE935" s="24" t="s">
        <v>2127</v>
      </c>
      <c r="AF935" s="25"/>
      <c r="AI935" s="58"/>
    </row>
    <row r="936" spans="1:35" ht="16.5" customHeight="1">
      <c r="A936" s="6" t="s">
        <v>2117</v>
      </c>
      <c r="B936" s="5">
        <v>242</v>
      </c>
      <c r="C936" s="7">
        <v>24325.310000000005</v>
      </c>
      <c r="D936" s="7">
        <v>0</v>
      </c>
      <c r="E936" s="7">
        <v>0</v>
      </c>
      <c r="F936" s="5">
        <v>0</v>
      </c>
      <c r="G936" s="7">
        <v>0</v>
      </c>
      <c r="H936" s="5">
        <v>0</v>
      </c>
      <c r="I936" s="7">
        <v>0</v>
      </c>
      <c r="J936" s="7">
        <v>0</v>
      </c>
      <c r="K936" s="5">
        <v>0</v>
      </c>
      <c r="L936" s="5">
        <v>0</v>
      </c>
      <c r="M936" s="5">
        <v>0</v>
      </c>
      <c r="N936" s="7">
        <v>0</v>
      </c>
      <c r="O936" s="7">
        <v>0</v>
      </c>
      <c r="P936" s="7">
        <v>199</v>
      </c>
      <c r="Q936" s="5">
        <v>0</v>
      </c>
      <c r="R936" s="5">
        <v>199</v>
      </c>
      <c r="S936" s="7">
        <v>26491.900000000005</v>
      </c>
      <c r="T936" s="12">
        <v>43273</v>
      </c>
      <c r="U936" s="4">
        <v>4</v>
      </c>
      <c r="V936" s="4">
        <v>9</v>
      </c>
      <c r="W936" s="4">
        <v>9</v>
      </c>
      <c r="X936" s="45">
        <v>50817.210000000006</v>
      </c>
      <c r="Y936" s="14" t="s">
        <v>85</v>
      </c>
      <c r="Z936" s="14" t="s">
        <v>1492</v>
      </c>
      <c r="AA936" s="14">
        <v>350810064069</v>
      </c>
      <c r="AB936" s="44">
        <v>43275</v>
      </c>
      <c r="AC936" s="44" t="s">
        <v>3206</v>
      </c>
      <c r="AD936" s="29" t="s">
        <v>600</v>
      </c>
      <c r="AE936" s="24">
        <v>2500000041638</v>
      </c>
      <c r="AF936" s="25"/>
      <c r="AI936" s="58"/>
    </row>
    <row r="937" spans="1:35" ht="16.5" customHeight="1">
      <c r="A937" s="6" t="s">
        <v>2118</v>
      </c>
      <c r="B937" s="5">
        <v>170</v>
      </c>
      <c r="C937" s="7">
        <v>13909.48</v>
      </c>
      <c r="D937" s="7">
        <v>0</v>
      </c>
      <c r="E937" s="7">
        <v>0</v>
      </c>
      <c r="F937" s="5">
        <v>0</v>
      </c>
      <c r="G937" s="7">
        <v>0</v>
      </c>
      <c r="H937" s="5">
        <v>0</v>
      </c>
      <c r="I937" s="7">
        <v>0</v>
      </c>
      <c r="J937" s="7">
        <v>0</v>
      </c>
      <c r="K937" s="5">
        <v>0</v>
      </c>
      <c r="L937" s="5">
        <v>0</v>
      </c>
      <c r="M937" s="5">
        <v>216</v>
      </c>
      <c r="N937" s="7">
        <v>216</v>
      </c>
      <c r="O937" s="7">
        <v>54448.299999999996</v>
      </c>
      <c r="P937" s="7">
        <v>0</v>
      </c>
      <c r="Q937" s="5">
        <v>0</v>
      </c>
      <c r="R937" s="5">
        <v>0</v>
      </c>
      <c r="S937" s="7">
        <v>0</v>
      </c>
      <c r="T937" s="12">
        <v>43273</v>
      </c>
      <c r="U937" s="4">
        <v>6</v>
      </c>
      <c r="V937" s="4">
        <v>9</v>
      </c>
      <c r="W937" s="4">
        <v>9</v>
      </c>
      <c r="X937" s="45">
        <v>68357.78</v>
      </c>
      <c r="Y937" s="14" t="s">
        <v>54</v>
      </c>
      <c r="Z937" s="14" t="s">
        <v>59</v>
      </c>
      <c r="AA937" s="14" t="s">
        <v>3203</v>
      </c>
      <c r="AB937" s="44">
        <v>43279</v>
      </c>
      <c r="AC937" s="44" t="s">
        <v>3204</v>
      </c>
      <c r="AD937" s="29" t="s">
        <v>50</v>
      </c>
      <c r="AE937" s="24" t="s">
        <v>2128</v>
      </c>
      <c r="AF937" s="25"/>
      <c r="AI937" s="58"/>
    </row>
    <row r="938" spans="1:35" ht="16.5" customHeight="1">
      <c r="A938" s="6" t="s">
        <v>2119</v>
      </c>
      <c r="B938" s="5">
        <v>532</v>
      </c>
      <c r="C938" s="7">
        <v>50904.5</v>
      </c>
      <c r="D938" s="7">
        <v>0</v>
      </c>
      <c r="E938" s="7">
        <v>0</v>
      </c>
      <c r="F938" s="5">
        <v>0</v>
      </c>
      <c r="G938" s="7">
        <v>0</v>
      </c>
      <c r="H938" s="5">
        <v>0</v>
      </c>
      <c r="I938" s="7">
        <v>0</v>
      </c>
      <c r="J938" s="7">
        <v>0</v>
      </c>
      <c r="K938" s="5">
        <v>0</v>
      </c>
      <c r="L938" s="5">
        <v>0</v>
      </c>
      <c r="M938" s="5">
        <v>151</v>
      </c>
      <c r="N938" s="7">
        <v>151</v>
      </c>
      <c r="O938" s="7">
        <v>29839.899999999998</v>
      </c>
      <c r="P938" s="7">
        <v>0</v>
      </c>
      <c r="Q938" s="5">
        <v>0</v>
      </c>
      <c r="R938" s="5">
        <v>0</v>
      </c>
      <c r="S938" s="7">
        <v>0</v>
      </c>
      <c r="T938" s="12">
        <v>43273</v>
      </c>
      <c r="U938" s="4">
        <v>7</v>
      </c>
      <c r="V938" s="4">
        <v>9</v>
      </c>
      <c r="W938" s="4">
        <v>9</v>
      </c>
      <c r="X938" s="45">
        <v>80744.399999999994</v>
      </c>
      <c r="Y938" s="14" t="s">
        <v>54</v>
      </c>
      <c r="Z938" s="14" t="s">
        <v>59</v>
      </c>
      <c r="AA938" s="14" t="s">
        <v>3220</v>
      </c>
      <c r="AB938" s="44">
        <v>43279</v>
      </c>
      <c r="AC938" s="44" t="s">
        <v>3204</v>
      </c>
      <c r="AD938" s="29" t="s">
        <v>50</v>
      </c>
      <c r="AE938" s="24" t="s">
        <v>2129</v>
      </c>
      <c r="AF938" s="25"/>
      <c r="AI938" s="58"/>
    </row>
    <row r="939" spans="1:35" ht="16.5" customHeight="1">
      <c r="A939" s="6" t="s">
        <v>2121</v>
      </c>
      <c r="D939" s="7">
        <v>0</v>
      </c>
      <c r="E939" s="7">
        <v>0</v>
      </c>
      <c r="F939" s="5">
        <v>0</v>
      </c>
      <c r="G939" s="7">
        <v>0</v>
      </c>
      <c r="H939" s="5">
        <v>0</v>
      </c>
      <c r="I939" s="7">
        <v>0</v>
      </c>
      <c r="J939" s="7">
        <v>0</v>
      </c>
      <c r="K939" s="5">
        <v>0</v>
      </c>
      <c r="L939" s="5">
        <v>0</v>
      </c>
      <c r="M939" s="5">
        <v>0</v>
      </c>
      <c r="N939" s="7">
        <v>0</v>
      </c>
      <c r="O939" s="7">
        <v>0</v>
      </c>
      <c r="P939" s="7">
        <v>90</v>
      </c>
      <c r="Q939" s="5">
        <v>0</v>
      </c>
      <c r="R939" s="5">
        <v>90</v>
      </c>
      <c r="S939" s="7">
        <v>14357</v>
      </c>
      <c r="T939" s="12">
        <v>43273</v>
      </c>
      <c r="U939" s="4">
        <v>1</v>
      </c>
      <c r="V939" s="4">
        <v>9</v>
      </c>
      <c r="W939" s="4">
        <v>9</v>
      </c>
      <c r="X939" s="45">
        <v>14357</v>
      </c>
      <c r="Y939" s="14" t="s">
        <v>56</v>
      </c>
      <c r="Z939" s="14" t="s">
        <v>1492</v>
      </c>
      <c r="AA939" s="14" t="s">
        <v>3223</v>
      </c>
      <c r="AB939" s="44">
        <v>43278</v>
      </c>
      <c r="AC939" s="44" t="s">
        <v>3224</v>
      </c>
      <c r="AD939" s="29" t="s">
        <v>218</v>
      </c>
      <c r="AE939" s="24" t="s">
        <v>2130</v>
      </c>
      <c r="AF939" s="25" t="s">
        <v>2176</v>
      </c>
      <c r="AI939" s="58"/>
    </row>
    <row r="940" spans="1:35" ht="16.5" customHeight="1">
      <c r="A940" s="6" t="s">
        <v>2122</v>
      </c>
      <c r="D940" s="7">
        <v>0</v>
      </c>
      <c r="E940" s="7">
        <v>0</v>
      </c>
      <c r="F940" s="5">
        <v>0</v>
      </c>
      <c r="G940" s="7">
        <v>0</v>
      </c>
      <c r="H940" s="5">
        <v>0</v>
      </c>
      <c r="I940" s="7">
        <v>0</v>
      </c>
      <c r="J940" s="7">
        <v>0</v>
      </c>
      <c r="K940" s="5">
        <v>0</v>
      </c>
      <c r="L940" s="5">
        <v>0</v>
      </c>
      <c r="M940" s="5">
        <v>0</v>
      </c>
      <c r="N940" s="7">
        <v>0</v>
      </c>
      <c r="O940" s="7">
        <v>0</v>
      </c>
      <c r="P940" s="7">
        <v>107</v>
      </c>
      <c r="Q940" s="5">
        <v>0</v>
      </c>
      <c r="R940" s="5">
        <v>107</v>
      </c>
      <c r="S940" s="7">
        <v>16301.4</v>
      </c>
      <c r="T940" s="12">
        <v>43273</v>
      </c>
      <c r="U940" s="4">
        <v>1</v>
      </c>
      <c r="V940" s="4">
        <v>9</v>
      </c>
      <c r="W940" s="4">
        <v>9</v>
      </c>
      <c r="X940" s="45">
        <v>16301.4</v>
      </c>
      <c r="Y940" s="14" t="s">
        <v>1633</v>
      </c>
      <c r="Z940" s="14" t="s">
        <v>1492</v>
      </c>
      <c r="AA940" s="14" t="s">
        <v>3213</v>
      </c>
      <c r="AB940" s="44">
        <v>43281</v>
      </c>
      <c r="AC940" s="44" t="s">
        <v>3214</v>
      </c>
      <c r="AD940" s="29" t="s">
        <v>70</v>
      </c>
      <c r="AE940" s="24" t="s">
        <v>2132</v>
      </c>
      <c r="AF940" s="25" t="s">
        <v>2177</v>
      </c>
      <c r="AI940" s="58"/>
    </row>
    <row r="941" spans="1:35" ht="16.5" customHeight="1">
      <c r="A941" s="6" t="s">
        <v>2123</v>
      </c>
      <c r="D941" s="7">
        <v>0</v>
      </c>
      <c r="E941" s="7">
        <v>0</v>
      </c>
      <c r="F941" s="5">
        <v>0</v>
      </c>
      <c r="G941" s="7">
        <v>0</v>
      </c>
      <c r="H941" s="5">
        <v>0</v>
      </c>
      <c r="I941" s="7">
        <v>0</v>
      </c>
      <c r="J941" s="7">
        <v>0</v>
      </c>
      <c r="K941" s="5">
        <v>0</v>
      </c>
      <c r="L941" s="5">
        <v>0</v>
      </c>
      <c r="M941" s="5">
        <v>0</v>
      </c>
      <c r="N941" s="7">
        <v>0</v>
      </c>
      <c r="O941" s="7">
        <v>0</v>
      </c>
      <c r="P941" s="7">
        <v>1189</v>
      </c>
      <c r="Q941" s="5">
        <v>0</v>
      </c>
      <c r="R941" s="5">
        <v>1189</v>
      </c>
      <c r="S941" s="7">
        <v>100478.5</v>
      </c>
      <c r="T941" s="12">
        <v>43273</v>
      </c>
      <c r="U941" s="4">
        <v>3</v>
      </c>
      <c r="V941" s="4">
        <v>9</v>
      </c>
      <c r="W941" s="4">
        <v>9</v>
      </c>
      <c r="X941" s="45">
        <v>100478.5</v>
      </c>
      <c r="Y941" s="14" t="s">
        <v>54</v>
      </c>
      <c r="Z941" s="14" t="s">
        <v>1355</v>
      </c>
      <c r="AA941" s="14" t="s">
        <v>3215</v>
      </c>
      <c r="AB941" s="44">
        <v>43279</v>
      </c>
      <c r="AC941" s="44" t="s">
        <v>3204</v>
      </c>
      <c r="AD941" s="29" t="s">
        <v>49</v>
      </c>
      <c r="AE941" s="24" t="s">
        <v>2133</v>
      </c>
      <c r="AF941" s="25" t="s">
        <v>2175</v>
      </c>
      <c r="AI941" s="58"/>
    </row>
    <row r="942" spans="1:35" ht="16.5" customHeight="1">
      <c r="A942" s="6" t="s">
        <v>2131</v>
      </c>
      <c r="D942" s="7">
        <v>0</v>
      </c>
      <c r="E942" s="7">
        <v>0</v>
      </c>
      <c r="F942" s="5">
        <v>0</v>
      </c>
      <c r="G942" s="7">
        <v>0</v>
      </c>
      <c r="H942" s="5">
        <v>0</v>
      </c>
      <c r="I942" s="7">
        <v>0</v>
      </c>
      <c r="J942" s="7">
        <v>0</v>
      </c>
      <c r="K942" s="5">
        <v>0</v>
      </c>
      <c r="L942" s="5">
        <v>0</v>
      </c>
      <c r="M942" s="5">
        <v>0</v>
      </c>
      <c r="N942" s="7">
        <v>0</v>
      </c>
      <c r="O942" s="7">
        <v>0</v>
      </c>
      <c r="P942" s="7">
        <v>308</v>
      </c>
      <c r="Q942" s="5">
        <v>0</v>
      </c>
      <c r="R942" s="5">
        <v>308</v>
      </c>
      <c r="S942" s="7">
        <v>53117.799999999996</v>
      </c>
      <c r="T942" s="12">
        <v>43273</v>
      </c>
      <c r="U942" s="4">
        <v>3</v>
      </c>
      <c r="V942" s="4">
        <v>9</v>
      </c>
      <c r="W942" s="4">
        <v>9</v>
      </c>
      <c r="X942" s="45">
        <v>53117.799999999996</v>
      </c>
      <c r="Y942" s="14" t="s">
        <v>56</v>
      </c>
      <c r="Z942" s="14" t="s">
        <v>55</v>
      </c>
      <c r="AA942" s="14" t="s">
        <v>3219</v>
      </c>
      <c r="AB942" s="44">
        <v>43278</v>
      </c>
      <c r="AC942" s="44" t="s">
        <v>3198</v>
      </c>
      <c r="AD942" s="29" t="s">
        <v>51</v>
      </c>
      <c r="AE942" s="24" t="s">
        <v>2134</v>
      </c>
      <c r="AF942" s="25" t="s">
        <v>2150</v>
      </c>
      <c r="AI942" s="58"/>
    </row>
    <row r="943" spans="1:35" ht="16.5" customHeight="1">
      <c r="A943" s="6" t="s">
        <v>2135</v>
      </c>
      <c r="B943" s="5">
        <v>108</v>
      </c>
      <c r="C943" s="7">
        <v>6850.0000000000018</v>
      </c>
      <c r="D943" s="7">
        <v>0</v>
      </c>
      <c r="E943" s="7">
        <v>0</v>
      </c>
      <c r="F943" s="5">
        <v>0</v>
      </c>
      <c r="G943" s="7">
        <v>0</v>
      </c>
      <c r="H943" s="5">
        <v>112</v>
      </c>
      <c r="I943" s="7">
        <v>12058.6</v>
      </c>
      <c r="J943" s="7">
        <v>0</v>
      </c>
      <c r="K943" s="5">
        <v>0</v>
      </c>
      <c r="L943" s="5">
        <v>0</v>
      </c>
      <c r="M943" s="5">
        <v>81</v>
      </c>
      <c r="N943" s="7">
        <v>81</v>
      </c>
      <c r="O943" s="7">
        <v>14854.399999999998</v>
      </c>
      <c r="P943" s="7">
        <v>3</v>
      </c>
      <c r="Q943" s="5">
        <v>0</v>
      </c>
      <c r="R943" s="5">
        <v>3</v>
      </c>
      <c r="S943" s="7">
        <v>150.30000000000001</v>
      </c>
      <c r="T943" s="12">
        <v>43274</v>
      </c>
      <c r="U943" s="4">
        <v>3</v>
      </c>
      <c r="V943" s="4">
        <v>9</v>
      </c>
      <c r="W943" s="4">
        <v>9</v>
      </c>
      <c r="X943" s="45">
        <v>33913.300000000003</v>
      </c>
      <c r="Y943" s="14" t="s">
        <v>1633</v>
      </c>
      <c r="Z943" s="14" t="s">
        <v>1492</v>
      </c>
      <c r="AA943" s="14" t="s">
        <v>3225</v>
      </c>
      <c r="AB943" s="44">
        <v>43276</v>
      </c>
      <c r="AC943" s="44" t="s">
        <v>3226</v>
      </c>
      <c r="AD943" s="29" t="s">
        <v>70</v>
      </c>
      <c r="AE943" s="24" t="s">
        <v>2142</v>
      </c>
      <c r="AF943" s="25"/>
      <c r="AI943" s="58"/>
    </row>
    <row r="944" spans="1:35" ht="16.5" customHeight="1">
      <c r="A944" s="6" t="s">
        <v>2136</v>
      </c>
      <c r="D944" s="7">
        <v>0</v>
      </c>
      <c r="E944" s="7">
        <v>0</v>
      </c>
      <c r="F944" s="5">
        <v>0</v>
      </c>
      <c r="G944" s="7">
        <v>0</v>
      </c>
      <c r="H944" s="5">
        <v>324</v>
      </c>
      <c r="I944" s="7">
        <v>36413.450000000004</v>
      </c>
      <c r="J944" s="7">
        <v>0</v>
      </c>
      <c r="K944" s="5">
        <v>0</v>
      </c>
      <c r="L944" s="5">
        <v>0</v>
      </c>
      <c r="M944" s="5">
        <v>281</v>
      </c>
      <c r="N944" s="7">
        <v>281</v>
      </c>
      <c r="O944" s="7">
        <v>8474</v>
      </c>
      <c r="P944" s="7">
        <v>0</v>
      </c>
      <c r="Q944" s="5">
        <v>0</v>
      </c>
      <c r="R944" s="5">
        <v>0</v>
      </c>
      <c r="S944" s="7">
        <v>0</v>
      </c>
      <c r="T944" s="12">
        <v>43274</v>
      </c>
      <c r="U944" s="4">
        <v>3</v>
      </c>
      <c r="V944" s="4">
        <v>9</v>
      </c>
      <c r="W944" s="4">
        <v>9</v>
      </c>
      <c r="X944" s="45">
        <v>44887.450000000004</v>
      </c>
      <c r="Y944" s="14" t="s">
        <v>54</v>
      </c>
      <c r="Z944" s="14" t="s">
        <v>1355</v>
      </c>
      <c r="AA944" s="14" t="s">
        <v>3215</v>
      </c>
      <c r="AB944" s="44">
        <v>43279</v>
      </c>
      <c r="AC944" s="44" t="s">
        <v>3204</v>
      </c>
      <c r="AD944" s="29" t="s">
        <v>49</v>
      </c>
      <c r="AE944" s="24" t="s">
        <v>2143</v>
      </c>
      <c r="AF944" s="25"/>
      <c r="AI944" s="58"/>
    </row>
    <row r="945" spans="1:35" ht="16.5" customHeight="1">
      <c r="A945" s="6" t="s">
        <v>2137</v>
      </c>
      <c r="B945" s="5">
        <v>87</v>
      </c>
      <c r="C945" s="7">
        <v>11242.599999999999</v>
      </c>
      <c r="D945" s="7">
        <v>0</v>
      </c>
      <c r="E945" s="7">
        <v>0</v>
      </c>
      <c r="F945" s="5">
        <v>0</v>
      </c>
      <c r="G945" s="7">
        <v>0</v>
      </c>
      <c r="H945" s="5">
        <v>105</v>
      </c>
      <c r="I945" s="7">
        <v>12619.25</v>
      </c>
      <c r="J945" s="7">
        <v>0</v>
      </c>
      <c r="K945" s="5">
        <v>0</v>
      </c>
      <c r="L945" s="5">
        <v>0</v>
      </c>
      <c r="M945" s="5">
        <v>45</v>
      </c>
      <c r="N945" s="7">
        <v>45</v>
      </c>
      <c r="O945" s="7">
        <v>9887.9999999999982</v>
      </c>
      <c r="P945" s="7">
        <v>0</v>
      </c>
      <c r="Q945" s="5">
        <v>0</v>
      </c>
      <c r="R945" s="5">
        <v>0</v>
      </c>
      <c r="S945" s="7">
        <v>0</v>
      </c>
      <c r="T945" s="12">
        <v>43274</v>
      </c>
      <c r="U945" s="4">
        <v>3</v>
      </c>
      <c r="V945" s="4">
        <v>9</v>
      </c>
      <c r="W945" s="4">
        <v>9</v>
      </c>
      <c r="X945" s="45">
        <v>33749.85</v>
      </c>
      <c r="Y945" s="14" t="s">
        <v>54</v>
      </c>
      <c r="Z945" s="14" t="s">
        <v>1281</v>
      </c>
      <c r="AA945" s="14" t="s">
        <v>3227</v>
      </c>
      <c r="AB945" s="44">
        <v>43276</v>
      </c>
      <c r="AC945" s="44" t="s">
        <v>3217</v>
      </c>
      <c r="AD945" s="29" t="s">
        <v>52</v>
      </c>
      <c r="AE945" s="24" t="s">
        <v>2144</v>
      </c>
      <c r="AF945" s="25"/>
      <c r="AI945" s="58"/>
    </row>
    <row r="946" spans="1:35" ht="16.5" customHeight="1">
      <c r="A946" s="6" t="s">
        <v>2138</v>
      </c>
      <c r="B946" s="5">
        <v>152</v>
      </c>
      <c r="C946" s="7">
        <v>12790.600000000002</v>
      </c>
      <c r="D946" s="7">
        <v>0</v>
      </c>
      <c r="E946" s="7">
        <v>0</v>
      </c>
      <c r="F946" s="5">
        <v>0</v>
      </c>
      <c r="G946" s="7">
        <v>0</v>
      </c>
      <c r="H946" s="5">
        <v>150</v>
      </c>
      <c r="I946" s="7">
        <v>15231.3</v>
      </c>
      <c r="J946" s="7">
        <v>0</v>
      </c>
      <c r="K946" s="5">
        <v>0</v>
      </c>
      <c r="L946" s="5">
        <v>0</v>
      </c>
      <c r="M946" s="5">
        <v>105</v>
      </c>
      <c r="N946" s="7">
        <v>105</v>
      </c>
      <c r="O946" s="7">
        <v>19881.100000000002</v>
      </c>
      <c r="P946" s="7">
        <v>0</v>
      </c>
      <c r="Q946" s="5">
        <v>0</v>
      </c>
      <c r="R946" s="5">
        <v>0</v>
      </c>
      <c r="S946" s="7">
        <v>0</v>
      </c>
      <c r="T946" s="12">
        <v>43274</v>
      </c>
      <c r="U946" s="4">
        <v>4</v>
      </c>
      <c r="V946" s="4">
        <v>9</v>
      </c>
      <c r="W946" s="4">
        <v>9</v>
      </c>
      <c r="X946" s="45">
        <v>47903</v>
      </c>
      <c r="Y946" s="14" t="s">
        <v>54</v>
      </c>
      <c r="Z946" s="14" t="s">
        <v>59</v>
      </c>
      <c r="AA946" s="14" t="s">
        <v>3216</v>
      </c>
      <c r="AB946" s="44">
        <v>43276</v>
      </c>
      <c r="AC946" s="44" t="s">
        <v>3217</v>
      </c>
      <c r="AD946" s="29" t="s">
        <v>51</v>
      </c>
      <c r="AE946" s="24" t="s">
        <v>2145</v>
      </c>
      <c r="AF946" s="25"/>
      <c r="AI946" s="58"/>
    </row>
    <row r="947" spans="1:35" ht="16.5" customHeight="1">
      <c r="A947" s="6" t="s">
        <v>2139</v>
      </c>
      <c r="B947" s="5">
        <v>348</v>
      </c>
      <c r="C947" s="7">
        <v>55631.199999999997</v>
      </c>
      <c r="D947" s="7">
        <v>0</v>
      </c>
      <c r="E947" s="7">
        <v>0</v>
      </c>
      <c r="F947" s="5">
        <v>0</v>
      </c>
      <c r="G947" s="7">
        <v>0</v>
      </c>
      <c r="H947" s="5">
        <v>0</v>
      </c>
      <c r="I947" s="7">
        <v>0</v>
      </c>
      <c r="J947" s="7">
        <v>0</v>
      </c>
      <c r="K947" s="5">
        <v>0</v>
      </c>
      <c r="L947" s="5">
        <v>0</v>
      </c>
      <c r="M947" s="5">
        <v>58</v>
      </c>
      <c r="N947" s="7">
        <v>58</v>
      </c>
      <c r="O947" s="7">
        <v>8758</v>
      </c>
      <c r="P947" s="7">
        <v>0</v>
      </c>
      <c r="Q947" s="5">
        <v>0</v>
      </c>
      <c r="R947" s="5">
        <v>0</v>
      </c>
      <c r="S947" s="7">
        <v>0</v>
      </c>
      <c r="T947" s="12">
        <v>43274</v>
      </c>
      <c r="U947" s="4">
        <v>6</v>
      </c>
      <c r="V947" s="4">
        <v>9</v>
      </c>
      <c r="W947" s="4">
        <v>9</v>
      </c>
      <c r="X947" s="45">
        <v>64389.2</v>
      </c>
      <c r="Y947" s="14" t="s">
        <v>56</v>
      </c>
      <c r="Z947" s="14" t="s">
        <v>55</v>
      </c>
      <c r="AA947" s="14" t="s">
        <v>3219</v>
      </c>
      <c r="AB947" s="44">
        <v>43278</v>
      </c>
      <c r="AC947" s="44" t="s">
        <v>3198</v>
      </c>
      <c r="AD947" s="29" t="s">
        <v>51</v>
      </c>
      <c r="AE947" s="24" t="s">
        <v>2146</v>
      </c>
      <c r="AF947" s="25"/>
      <c r="AI947" s="58"/>
    </row>
    <row r="948" spans="1:35" ht="16.5" customHeight="1">
      <c r="A948" s="6" t="s">
        <v>2120</v>
      </c>
      <c r="B948" s="5">
        <v>206</v>
      </c>
      <c r="C948" s="7">
        <v>23710</v>
      </c>
      <c r="D948" s="7">
        <v>0</v>
      </c>
      <c r="E948" s="7">
        <v>0</v>
      </c>
      <c r="F948" s="5">
        <v>0</v>
      </c>
      <c r="G948" s="7">
        <v>0</v>
      </c>
      <c r="H948" s="5">
        <v>0</v>
      </c>
      <c r="I948" s="7">
        <v>0</v>
      </c>
      <c r="J948" s="7">
        <v>0</v>
      </c>
      <c r="K948" s="5">
        <v>0</v>
      </c>
      <c r="L948" s="5">
        <v>0</v>
      </c>
      <c r="M948" s="5">
        <v>95</v>
      </c>
      <c r="N948" s="7">
        <v>95</v>
      </c>
      <c r="O948" s="7">
        <v>16679.599999999999</v>
      </c>
      <c r="P948" s="7">
        <v>0</v>
      </c>
      <c r="Q948" s="5">
        <v>0</v>
      </c>
      <c r="R948" s="5">
        <v>0</v>
      </c>
      <c r="S948" s="7">
        <v>0</v>
      </c>
      <c r="T948" s="12">
        <v>43274</v>
      </c>
      <c r="U948" s="4">
        <v>4</v>
      </c>
      <c r="V948" s="4">
        <v>9</v>
      </c>
      <c r="W948" s="4">
        <v>9</v>
      </c>
      <c r="X948" s="45">
        <v>40389.599999999999</v>
      </c>
      <c r="Y948" s="14" t="s">
        <v>58</v>
      </c>
      <c r="Z948" s="14" t="s">
        <v>1492</v>
      </c>
      <c r="AA948" s="14" t="s">
        <v>3221</v>
      </c>
      <c r="AB948" s="44">
        <v>43278</v>
      </c>
      <c r="AC948" s="44" t="s">
        <v>3222</v>
      </c>
      <c r="AD948" s="29" t="s">
        <v>49</v>
      </c>
      <c r="AE948" s="24" t="s">
        <v>2147</v>
      </c>
      <c r="AF948" s="25"/>
      <c r="AI948" s="58"/>
    </row>
    <row r="949" spans="1:35" ht="16.5" customHeight="1">
      <c r="A949" s="6" t="s">
        <v>2140</v>
      </c>
      <c r="D949" s="7">
        <v>0</v>
      </c>
      <c r="E949" s="7">
        <v>0</v>
      </c>
      <c r="F949" s="5">
        <v>0</v>
      </c>
      <c r="G949" s="7">
        <v>0</v>
      </c>
      <c r="H949" s="5">
        <v>0</v>
      </c>
      <c r="I949" s="7">
        <v>0</v>
      </c>
      <c r="J949" s="7">
        <v>0</v>
      </c>
      <c r="K949" s="5">
        <v>0</v>
      </c>
      <c r="L949" s="5">
        <v>0</v>
      </c>
      <c r="M949" s="5">
        <v>0</v>
      </c>
      <c r="N949" s="7">
        <v>0</v>
      </c>
      <c r="O949" s="7">
        <v>0</v>
      </c>
      <c r="P949" s="7">
        <v>1187</v>
      </c>
      <c r="Q949" s="5">
        <v>0</v>
      </c>
      <c r="R949" s="5">
        <v>1187</v>
      </c>
      <c r="S949" s="7">
        <v>132431.90000000002</v>
      </c>
      <c r="T949" s="12">
        <v>43274</v>
      </c>
      <c r="U949" s="4">
        <v>7</v>
      </c>
      <c r="V949" s="4">
        <v>9</v>
      </c>
      <c r="W949" s="4">
        <v>9</v>
      </c>
      <c r="X949" s="45">
        <v>132431.90000000002</v>
      </c>
      <c r="Y949" s="14" t="s">
        <v>56</v>
      </c>
      <c r="Z949" s="14" t="s">
        <v>1281</v>
      </c>
      <c r="AA949" s="14" t="s">
        <v>3228</v>
      </c>
      <c r="AB949" s="44">
        <v>43285</v>
      </c>
      <c r="AC949" s="44" t="s">
        <v>3229</v>
      </c>
      <c r="AD949" s="29" t="s">
        <v>51</v>
      </c>
      <c r="AE949" s="24" t="s">
        <v>2148</v>
      </c>
      <c r="AF949" s="25" t="s">
        <v>2150</v>
      </c>
      <c r="AI949" s="58"/>
    </row>
    <row r="950" spans="1:35" ht="16.5" customHeight="1">
      <c r="A950" s="6" t="s">
        <v>2141</v>
      </c>
      <c r="D950" s="7">
        <v>0</v>
      </c>
      <c r="E950" s="7">
        <v>0</v>
      </c>
      <c r="F950" s="5">
        <v>0</v>
      </c>
      <c r="G950" s="7">
        <v>0</v>
      </c>
      <c r="H950" s="5">
        <v>0</v>
      </c>
      <c r="I950" s="7">
        <v>0</v>
      </c>
      <c r="J950" s="7">
        <v>0</v>
      </c>
      <c r="K950" s="5">
        <v>0</v>
      </c>
      <c r="L950" s="5">
        <v>0</v>
      </c>
      <c r="M950" s="5">
        <v>0</v>
      </c>
      <c r="N950" s="7">
        <v>0</v>
      </c>
      <c r="O950" s="7">
        <v>0</v>
      </c>
      <c r="P950" s="7">
        <v>298</v>
      </c>
      <c r="Q950" s="5">
        <v>0</v>
      </c>
      <c r="R950" s="5">
        <v>298</v>
      </c>
      <c r="S950" s="7">
        <v>42640.800000000003</v>
      </c>
      <c r="T950" s="12">
        <v>43274</v>
      </c>
      <c r="U950" s="4">
        <v>3</v>
      </c>
      <c r="V950" s="4">
        <v>9</v>
      </c>
      <c r="W950" s="4">
        <v>9</v>
      </c>
      <c r="X950" s="45">
        <v>42640.800000000003</v>
      </c>
      <c r="Y950" s="14" t="s">
        <v>54</v>
      </c>
      <c r="Z950" s="14" t="s">
        <v>59</v>
      </c>
      <c r="AA950" s="14" t="s">
        <v>3230</v>
      </c>
      <c r="AB950" s="44">
        <v>43287</v>
      </c>
      <c r="AC950" s="44" t="s">
        <v>3231</v>
      </c>
      <c r="AD950" s="29" t="s">
        <v>50</v>
      </c>
      <c r="AE950" s="24" t="s">
        <v>2149</v>
      </c>
      <c r="AF950" s="25" t="s">
        <v>2151</v>
      </c>
      <c r="AI950" s="58"/>
    </row>
    <row r="951" spans="1:35" ht="16.5" customHeight="1">
      <c r="A951" s="6" t="s">
        <v>2154</v>
      </c>
      <c r="D951" s="7">
        <v>0</v>
      </c>
      <c r="E951" s="7">
        <v>0</v>
      </c>
      <c r="F951" s="5">
        <v>0</v>
      </c>
      <c r="G951" s="7">
        <v>0</v>
      </c>
      <c r="H951" s="5">
        <v>530</v>
      </c>
      <c r="I951" s="7">
        <v>55541.249999999993</v>
      </c>
      <c r="J951" s="7">
        <v>0</v>
      </c>
      <c r="K951" s="5">
        <v>0</v>
      </c>
      <c r="L951" s="5">
        <v>0</v>
      </c>
      <c r="M951" s="5">
        <v>0</v>
      </c>
      <c r="N951" s="7">
        <v>0</v>
      </c>
      <c r="O951" s="7">
        <v>0</v>
      </c>
      <c r="P951" s="7">
        <v>0</v>
      </c>
      <c r="Q951" s="5">
        <v>0</v>
      </c>
      <c r="R951" s="5">
        <v>0</v>
      </c>
      <c r="S951" s="7">
        <v>0</v>
      </c>
      <c r="T951" s="12">
        <v>43276</v>
      </c>
      <c r="U951" s="4">
        <v>4</v>
      </c>
      <c r="V951" s="4">
        <v>9</v>
      </c>
      <c r="W951" s="4">
        <v>9</v>
      </c>
      <c r="X951" s="45">
        <v>55541.249999999993</v>
      </c>
      <c r="Y951" s="14" t="s">
        <v>56</v>
      </c>
      <c r="Z951" s="14" t="s">
        <v>57</v>
      </c>
      <c r="AA951" s="14" t="s">
        <v>3232</v>
      </c>
      <c r="AB951" s="44">
        <v>43286</v>
      </c>
      <c r="AC951" s="44" t="s">
        <v>3233</v>
      </c>
      <c r="AD951" s="29" t="s">
        <v>49</v>
      </c>
      <c r="AE951" s="24" t="s">
        <v>2163</v>
      </c>
      <c r="AF951" s="25"/>
      <c r="AI951" s="58"/>
    </row>
    <row r="952" spans="1:35" ht="16.5" customHeight="1">
      <c r="A952" s="6" t="s">
        <v>2155</v>
      </c>
      <c r="B952" s="5">
        <v>88</v>
      </c>
      <c r="C952" s="7">
        <v>11466</v>
      </c>
      <c r="D952" s="7">
        <v>0</v>
      </c>
      <c r="E952" s="7">
        <v>0</v>
      </c>
      <c r="F952" s="5">
        <v>0</v>
      </c>
      <c r="G952" s="7">
        <v>0</v>
      </c>
      <c r="H952" s="5">
        <v>0</v>
      </c>
      <c r="I952" s="7">
        <v>0</v>
      </c>
      <c r="J952" s="7">
        <v>0</v>
      </c>
      <c r="K952" s="5">
        <v>0</v>
      </c>
      <c r="L952" s="5">
        <v>0</v>
      </c>
      <c r="M952" s="5">
        <v>0</v>
      </c>
      <c r="N952" s="7">
        <v>0</v>
      </c>
      <c r="O952" s="7">
        <v>0</v>
      </c>
      <c r="P952" s="7">
        <v>0</v>
      </c>
      <c r="Q952" s="5">
        <v>0</v>
      </c>
      <c r="R952" s="5">
        <v>0</v>
      </c>
      <c r="S952" s="7">
        <v>0</v>
      </c>
      <c r="T952" s="12">
        <v>43276</v>
      </c>
      <c r="U952" s="4">
        <v>1</v>
      </c>
      <c r="V952" s="4">
        <v>9</v>
      </c>
      <c r="W952" s="4">
        <v>9</v>
      </c>
      <c r="X952" s="45">
        <v>11466</v>
      </c>
      <c r="Y952" s="14" t="s">
        <v>85</v>
      </c>
      <c r="Z952" s="14" t="s">
        <v>1492</v>
      </c>
      <c r="AA952" s="14">
        <v>350810071258</v>
      </c>
      <c r="AB952" s="44">
        <v>43278</v>
      </c>
      <c r="AC952" s="44" t="s">
        <v>3218</v>
      </c>
      <c r="AD952" s="29" t="s">
        <v>49</v>
      </c>
      <c r="AE952" s="24" t="s">
        <v>2164</v>
      </c>
      <c r="AF952" s="25"/>
      <c r="AI952" s="58"/>
    </row>
    <row r="953" spans="1:35" ht="16.5" customHeight="1">
      <c r="A953" s="6" t="s">
        <v>2156</v>
      </c>
      <c r="B953" s="5">
        <v>211</v>
      </c>
      <c r="C953" s="7">
        <v>14789.37</v>
      </c>
      <c r="D953" s="7">
        <v>0</v>
      </c>
      <c r="E953" s="7">
        <v>0</v>
      </c>
      <c r="F953" s="5">
        <v>0</v>
      </c>
      <c r="G953" s="7">
        <v>0</v>
      </c>
      <c r="H953" s="5">
        <v>189</v>
      </c>
      <c r="I953" s="7">
        <v>11618.75</v>
      </c>
      <c r="J953" s="7">
        <v>0</v>
      </c>
      <c r="K953" s="5">
        <v>0</v>
      </c>
      <c r="L953" s="5">
        <v>0</v>
      </c>
      <c r="M953" s="5">
        <v>76</v>
      </c>
      <c r="N953" s="7">
        <v>76</v>
      </c>
      <c r="O953" s="7">
        <v>9483.5</v>
      </c>
      <c r="P953" s="7">
        <v>38</v>
      </c>
      <c r="Q953" s="5">
        <v>0</v>
      </c>
      <c r="R953" s="5">
        <v>38</v>
      </c>
      <c r="S953" s="7">
        <v>1909.02</v>
      </c>
      <c r="T953" s="12">
        <v>43276</v>
      </c>
      <c r="U953" s="4">
        <v>3</v>
      </c>
      <c r="V953" s="4">
        <v>9</v>
      </c>
      <c r="W953" s="4">
        <v>9</v>
      </c>
      <c r="X953" s="45">
        <v>37800.639999999999</v>
      </c>
      <c r="Y953" s="14" t="s">
        <v>56</v>
      </c>
      <c r="Z953" s="14" t="s">
        <v>1281</v>
      </c>
      <c r="AA953" s="14" t="s">
        <v>3234</v>
      </c>
      <c r="AB953" s="44">
        <v>43281</v>
      </c>
      <c r="AC953" s="44" t="s">
        <v>3235</v>
      </c>
      <c r="AD953" s="29" t="s">
        <v>52</v>
      </c>
      <c r="AE953" s="24" t="s">
        <v>2165</v>
      </c>
      <c r="AF953" s="25"/>
      <c r="AI953" s="58"/>
    </row>
    <row r="954" spans="1:35" ht="16.5" customHeight="1">
      <c r="A954" s="6" t="s">
        <v>2157</v>
      </c>
      <c r="B954" s="5">
        <v>413</v>
      </c>
      <c r="C954" s="7">
        <v>53375.139999999992</v>
      </c>
      <c r="D954" s="7">
        <v>0</v>
      </c>
      <c r="E954" s="7">
        <v>0</v>
      </c>
      <c r="F954" s="5">
        <v>0</v>
      </c>
      <c r="G954" s="7">
        <v>0</v>
      </c>
      <c r="H954" s="5">
        <v>455</v>
      </c>
      <c r="I954" s="7">
        <v>50677.05</v>
      </c>
      <c r="J954" s="7">
        <v>0</v>
      </c>
      <c r="K954" s="5">
        <v>0</v>
      </c>
      <c r="L954" s="5">
        <v>0</v>
      </c>
      <c r="M954" s="5">
        <v>118</v>
      </c>
      <c r="N954" s="7">
        <v>118</v>
      </c>
      <c r="O954" s="7">
        <v>19796.8</v>
      </c>
      <c r="P954" s="7">
        <v>30</v>
      </c>
      <c r="Q954" s="5">
        <v>0</v>
      </c>
      <c r="R954" s="5">
        <v>30</v>
      </c>
      <c r="S954" s="7">
        <v>1506.8999999999999</v>
      </c>
      <c r="T954" s="12">
        <v>43276</v>
      </c>
      <c r="U954" s="4">
        <v>10</v>
      </c>
      <c r="V954" s="4">
        <v>9</v>
      </c>
      <c r="W954" s="4">
        <v>9</v>
      </c>
      <c r="X954" s="45">
        <v>125355.89</v>
      </c>
      <c r="Y954" s="14" t="s">
        <v>56</v>
      </c>
      <c r="Z954" s="14" t="s">
        <v>55</v>
      </c>
      <c r="AA954" s="14" t="s">
        <v>3219</v>
      </c>
      <c r="AB954" s="44">
        <v>43278</v>
      </c>
      <c r="AC954" s="44" t="s">
        <v>3198</v>
      </c>
      <c r="AD954" s="29" t="s">
        <v>51</v>
      </c>
      <c r="AE954" s="24" t="s">
        <v>2166</v>
      </c>
      <c r="AF954" s="25"/>
      <c r="AI954" s="58"/>
    </row>
    <row r="955" spans="1:35" ht="16.5" customHeight="1">
      <c r="A955" s="6" t="s">
        <v>2158</v>
      </c>
      <c r="B955" s="5">
        <v>786</v>
      </c>
      <c r="C955" s="7">
        <v>100152.06</v>
      </c>
      <c r="D955" s="7">
        <v>0</v>
      </c>
      <c r="E955" s="7">
        <v>0</v>
      </c>
      <c r="F955" s="5">
        <v>0</v>
      </c>
      <c r="G955" s="7">
        <v>0</v>
      </c>
      <c r="H955" s="5">
        <v>225</v>
      </c>
      <c r="I955" s="7">
        <v>7908.5000000000009</v>
      </c>
      <c r="J955" s="7">
        <v>0</v>
      </c>
      <c r="K955" s="5">
        <v>0</v>
      </c>
      <c r="L955" s="5">
        <v>0</v>
      </c>
      <c r="M955" s="5">
        <v>158</v>
      </c>
      <c r="N955" s="7">
        <v>158</v>
      </c>
      <c r="O955" s="7">
        <v>19464.600000000002</v>
      </c>
      <c r="P955" s="7">
        <v>70</v>
      </c>
      <c r="Q955" s="5">
        <v>0</v>
      </c>
      <c r="R955" s="5">
        <v>70</v>
      </c>
      <c r="S955" s="7">
        <v>3509.5</v>
      </c>
      <c r="T955" s="12">
        <v>43276</v>
      </c>
      <c r="U955" s="4">
        <v>11</v>
      </c>
      <c r="V955" s="4">
        <v>9</v>
      </c>
      <c r="W955" s="4">
        <v>9</v>
      </c>
      <c r="X955" s="45">
        <v>131034.66</v>
      </c>
      <c r="Y955" s="14" t="s">
        <v>54</v>
      </c>
      <c r="Z955" s="14" t="s">
        <v>59</v>
      </c>
      <c r="AA955" s="14" t="s">
        <v>3220</v>
      </c>
      <c r="AB955" s="44">
        <v>43279</v>
      </c>
      <c r="AC955" s="44" t="s">
        <v>3204</v>
      </c>
      <c r="AD955" s="29" t="s">
        <v>50</v>
      </c>
      <c r="AE955" s="24" t="s">
        <v>2167</v>
      </c>
      <c r="AF955" s="25"/>
      <c r="AI955" s="58"/>
    </row>
    <row r="956" spans="1:35" ht="16.5" customHeight="1">
      <c r="A956" s="6" t="s">
        <v>2159</v>
      </c>
      <c r="D956" s="7">
        <v>0</v>
      </c>
      <c r="E956" s="7">
        <v>0</v>
      </c>
      <c r="F956" s="5">
        <v>0</v>
      </c>
      <c r="G956" s="7">
        <v>0</v>
      </c>
      <c r="H956" s="5">
        <v>0</v>
      </c>
      <c r="I956" s="7">
        <v>0</v>
      </c>
      <c r="J956" s="7">
        <v>0</v>
      </c>
      <c r="K956" s="5">
        <v>0</v>
      </c>
      <c r="L956" s="5">
        <v>0</v>
      </c>
      <c r="M956" s="5">
        <v>0</v>
      </c>
      <c r="N956" s="7">
        <v>0</v>
      </c>
      <c r="O956" s="7">
        <v>0</v>
      </c>
      <c r="P956" s="7">
        <v>90</v>
      </c>
      <c r="Q956" s="5">
        <v>0</v>
      </c>
      <c r="R956" s="5">
        <v>90</v>
      </c>
      <c r="S956" s="7">
        <v>14406</v>
      </c>
      <c r="T956" s="12">
        <v>43276</v>
      </c>
      <c r="U956" s="4">
        <v>1</v>
      </c>
      <c r="V956" s="4">
        <v>9</v>
      </c>
      <c r="W956" s="4">
        <v>9</v>
      </c>
      <c r="X956" s="45">
        <v>14406</v>
      </c>
      <c r="Y956" s="14" t="s">
        <v>56</v>
      </c>
      <c r="Z956" s="14" t="s">
        <v>57</v>
      </c>
      <c r="AA956" s="14" t="s">
        <v>3232</v>
      </c>
      <c r="AB956" s="44">
        <v>43286</v>
      </c>
      <c r="AC956" s="44" t="s">
        <v>3233</v>
      </c>
      <c r="AD956" s="29" t="s">
        <v>49</v>
      </c>
      <c r="AE956" s="24" t="s">
        <v>2168</v>
      </c>
      <c r="AF956" s="25" t="s">
        <v>2172</v>
      </c>
      <c r="AI956" s="58"/>
    </row>
    <row r="957" spans="1:35" ht="16.5" customHeight="1">
      <c r="A957" s="6" t="s">
        <v>2160</v>
      </c>
      <c r="D957" s="7">
        <v>0</v>
      </c>
      <c r="E957" s="7">
        <v>0</v>
      </c>
      <c r="F957" s="5">
        <v>0</v>
      </c>
      <c r="G957" s="7">
        <v>0</v>
      </c>
      <c r="H957" s="5">
        <v>0</v>
      </c>
      <c r="I957" s="7">
        <v>0</v>
      </c>
      <c r="J957" s="7">
        <v>0</v>
      </c>
      <c r="K957" s="5">
        <v>0</v>
      </c>
      <c r="L957" s="5">
        <v>0</v>
      </c>
      <c r="M957" s="5">
        <v>0</v>
      </c>
      <c r="N957" s="7">
        <v>0</v>
      </c>
      <c r="O957" s="7">
        <v>0</v>
      </c>
      <c r="P957" s="7">
        <v>371</v>
      </c>
      <c r="Q957" s="5">
        <v>0</v>
      </c>
      <c r="R957" s="5">
        <v>371</v>
      </c>
      <c r="S957" s="7">
        <v>38918.800000000003</v>
      </c>
      <c r="T957" s="12">
        <v>43276</v>
      </c>
      <c r="U957" s="4">
        <v>2</v>
      </c>
      <c r="V957" s="4">
        <v>9</v>
      </c>
      <c r="W957" s="4">
        <v>9</v>
      </c>
      <c r="X957" s="45">
        <v>38918.800000000003</v>
      </c>
      <c r="Y957" s="14" t="s">
        <v>56</v>
      </c>
      <c r="Z957" s="14" t="s">
        <v>1281</v>
      </c>
      <c r="AA957" s="14" t="s">
        <v>3236</v>
      </c>
      <c r="AB957" s="44">
        <v>43286</v>
      </c>
      <c r="AC957" s="44" t="s">
        <v>3237</v>
      </c>
      <c r="AD957" s="29" t="s">
        <v>52</v>
      </c>
      <c r="AE957" s="24" t="s">
        <v>2169</v>
      </c>
      <c r="AF957" s="25" t="s">
        <v>2173</v>
      </c>
      <c r="AI957" s="58"/>
    </row>
    <row r="958" spans="1:35" ht="16.5" customHeight="1">
      <c r="A958" s="6" t="s">
        <v>2161</v>
      </c>
      <c r="D958" s="7">
        <v>0</v>
      </c>
      <c r="E958" s="7">
        <v>0</v>
      </c>
      <c r="F958" s="5">
        <v>0</v>
      </c>
      <c r="G958" s="7">
        <v>0</v>
      </c>
      <c r="H958" s="5">
        <v>0</v>
      </c>
      <c r="I958" s="7">
        <v>0</v>
      </c>
      <c r="J958" s="7">
        <v>0</v>
      </c>
      <c r="K958" s="5">
        <v>0</v>
      </c>
      <c r="L958" s="5">
        <v>0</v>
      </c>
      <c r="M958" s="5">
        <v>0</v>
      </c>
      <c r="N958" s="7">
        <v>0</v>
      </c>
      <c r="O958" s="7">
        <v>0</v>
      </c>
      <c r="P958" s="7">
        <v>372</v>
      </c>
      <c r="Q958" s="5">
        <v>0</v>
      </c>
      <c r="R958" s="5">
        <v>372</v>
      </c>
      <c r="S958" s="7">
        <v>64041.9</v>
      </c>
      <c r="T958" s="12">
        <v>43276</v>
      </c>
      <c r="U958" s="4">
        <v>4</v>
      </c>
      <c r="V958" s="4">
        <v>9</v>
      </c>
      <c r="W958" s="4">
        <v>9</v>
      </c>
      <c r="X958" s="45">
        <v>64041.9</v>
      </c>
      <c r="Y958" s="14" t="s">
        <v>54</v>
      </c>
      <c r="Z958" s="14" t="s">
        <v>59</v>
      </c>
      <c r="AA958" s="14" t="s">
        <v>3230</v>
      </c>
      <c r="AB958" s="44">
        <v>43287</v>
      </c>
      <c r="AC958" s="44" t="s">
        <v>3231</v>
      </c>
      <c r="AD958" s="29" t="s">
        <v>50</v>
      </c>
      <c r="AE958" s="24" t="s">
        <v>2170</v>
      </c>
      <c r="AF958" s="25" t="s">
        <v>2151</v>
      </c>
      <c r="AI958" s="58"/>
    </row>
    <row r="959" spans="1:35" ht="16.5" customHeight="1">
      <c r="A959" s="6" t="s">
        <v>2162</v>
      </c>
      <c r="D959" s="7">
        <v>0</v>
      </c>
      <c r="E959" s="7">
        <v>0</v>
      </c>
      <c r="F959" s="5">
        <v>0</v>
      </c>
      <c r="G959" s="7">
        <v>0</v>
      </c>
      <c r="H959" s="5">
        <v>0</v>
      </c>
      <c r="I959" s="7">
        <v>0</v>
      </c>
      <c r="J959" s="7">
        <v>0</v>
      </c>
      <c r="K959" s="5">
        <v>0</v>
      </c>
      <c r="L959" s="5">
        <v>0</v>
      </c>
      <c r="M959" s="5">
        <v>0</v>
      </c>
      <c r="N959" s="7">
        <v>0</v>
      </c>
      <c r="O959" s="7">
        <v>0</v>
      </c>
      <c r="P959" s="7">
        <v>202</v>
      </c>
      <c r="Q959" s="5">
        <v>0</v>
      </c>
      <c r="R959" s="5">
        <v>202</v>
      </c>
      <c r="S959" s="7">
        <v>28528.800000000003</v>
      </c>
      <c r="T959" s="12">
        <v>43276</v>
      </c>
      <c r="U959" s="4">
        <v>2</v>
      </c>
      <c r="V959" s="4">
        <v>9</v>
      </c>
      <c r="W959" s="4">
        <v>9</v>
      </c>
      <c r="X959" s="45">
        <v>28528.800000000003</v>
      </c>
      <c r="Y959" s="14" t="s">
        <v>56</v>
      </c>
      <c r="Z959" s="14" t="s">
        <v>1355</v>
      </c>
      <c r="AA959" s="14" t="s">
        <v>3232</v>
      </c>
      <c r="AB959" s="44">
        <v>43286</v>
      </c>
      <c r="AC959" s="44" t="s">
        <v>3233</v>
      </c>
      <c r="AD959" s="29" t="s">
        <v>49</v>
      </c>
      <c r="AE959" s="24" t="s">
        <v>2171</v>
      </c>
      <c r="AF959" s="25" t="s">
        <v>2174</v>
      </c>
      <c r="AI959" s="58"/>
    </row>
    <row r="960" spans="1:35" ht="16.5" customHeight="1">
      <c r="A960" s="6" t="s">
        <v>2179</v>
      </c>
      <c r="D960" s="7">
        <v>0</v>
      </c>
      <c r="E960" s="7">
        <v>0</v>
      </c>
      <c r="F960" s="5">
        <v>0</v>
      </c>
      <c r="G960" s="7">
        <v>0</v>
      </c>
      <c r="H960" s="5">
        <v>0</v>
      </c>
      <c r="I960" s="7">
        <v>0</v>
      </c>
      <c r="J960" s="7">
        <v>0</v>
      </c>
      <c r="K960" s="5">
        <v>0</v>
      </c>
      <c r="L960" s="5">
        <v>0</v>
      </c>
      <c r="M960" s="5">
        <v>56</v>
      </c>
      <c r="N960" s="7">
        <v>56</v>
      </c>
      <c r="O960" s="7">
        <v>9428.5</v>
      </c>
      <c r="P960" s="7">
        <v>0</v>
      </c>
      <c r="Q960" s="5">
        <v>0</v>
      </c>
      <c r="R960" s="5">
        <v>0</v>
      </c>
      <c r="S960" s="7">
        <v>0</v>
      </c>
      <c r="T960" s="12">
        <v>43277</v>
      </c>
      <c r="U960" s="4">
        <v>1</v>
      </c>
      <c r="V960" s="4">
        <v>9</v>
      </c>
      <c r="W960" s="4">
        <v>9</v>
      </c>
      <c r="X960" s="45">
        <v>9428.5</v>
      </c>
      <c r="Y960" s="14" t="s">
        <v>1633</v>
      </c>
      <c r="Z960" s="14" t="s">
        <v>1492</v>
      </c>
      <c r="AA960" s="14" t="s">
        <v>3213</v>
      </c>
      <c r="AB960" s="44">
        <v>43281</v>
      </c>
      <c r="AC960" s="44" t="s">
        <v>3214</v>
      </c>
      <c r="AD960" s="29" t="s">
        <v>70</v>
      </c>
      <c r="AE960" s="24" t="s">
        <v>2188</v>
      </c>
      <c r="AF960" s="25" t="s">
        <v>1273</v>
      </c>
      <c r="AI960" s="58"/>
    </row>
    <row r="961" spans="1:35" ht="16.5" customHeight="1">
      <c r="A961" s="6" t="s">
        <v>2153</v>
      </c>
      <c r="B961" s="5">
        <v>550</v>
      </c>
      <c r="C961" s="7">
        <v>17499.400000000001</v>
      </c>
      <c r="D961" s="7">
        <v>0</v>
      </c>
      <c r="E961" s="7">
        <v>0</v>
      </c>
      <c r="F961" s="5">
        <v>0</v>
      </c>
      <c r="G961" s="7">
        <v>0</v>
      </c>
      <c r="H961" s="5">
        <v>520</v>
      </c>
      <c r="I961" s="7">
        <v>59002.05</v>
      </c>
      <c r="J961" s="7">
        <v>0</v>
      </c>
      <c r="K961" s="5">
        <v>0</v>
      </c>
      <c r="L961" s="5">
        <v>0</v>
      </c>
      <c r="M961" s="5">
        <v>0</v>
      </c>
      <c r="N961" s="7">
        <v>0</v>
      </c>
      <c r="O961" s="7">
        <v>0</v>
      </c>
      <c r="P961" s="7">
        <v>0</v>
      </c>
      <c r="Q961" s="5">
        <v>0</v>
      </c>
      <c r="R961" s="5">
        <v>0</v>
      </c>
      <c r="S961" s="7">
        <v>0</v>
      </c>
      <c r="T961" s="12">
        <v>43277</v>
      </c>
      <c r="U961" s="4">
        <v>5</v>
      </c>
      <c r="V961" s="4">
        <v>9</v>
      </c>
      <c r="W961" s="4">
        <v>9</v>
      </c>
      <c r="X961" s="45">
        <v>76501.450000000012</v>
      </c>
      <c r="Y961" s="14" t="s">
        <v>58</v>
      </c>
      <c r="Z961" s="14" t="s">
        <v>1355</v>
      </c>
      <c r="AA961" s="14" t="s">
        <v>3238</v>
      </c>
      <c r="AB961" s="44">
        <v>43281</v>
      </c>
      <c r="AC961" s="44" t="s">
        <v>3239</v>
      </c>
      <c r="AD961" s="29" t="s">
        <v>49</v>
      </c>
      <c r="AE961" s="24" t="s">
        <v>2189</v>
      </c>
      <c r="AF961" s="25" t="s">
        <v>1265</v>
      </c>
      <c r="AI961" s="58"/>
    </row>
    <row r="962" spans="1:35" ht="16.5" customHeight="1">
      <c r="A962" s="6" t="s">
        <v>2180</v>
      </c>
      <c r="B962" s="5">
        <v>56</v>
      </c>
      <c r="C962" s="7">
        <v>5754.4500000000007</v>
      </c>
      <c r="D962" s="7">
        <v>0</v>
      </c>
      <c r="E962" s="7">
        <v>0</v>
      </c>
      <c r="F962" s="5">
        <v>0</v>
      </c>
      <c r="G962" s="7">
        <v>0</v>
      </c>
      <c r="H962" s="5">
        <v>0</v>
      </c>
      <c r="I962" s="7">
        <v>0</v>
      </c>
      <c r="J962" s="7">
        <v>0</v>
      </c>
      <c r="K962" s="5">
        <v>0</v>
      </c>
      <c r="L962" s="5">
        <v>0</v>
      </c>
      <c r="M962" s="5">
        <v>23</v>
      </c>
      <c r="N962" s="7">
        <v>23</v>
      </c>
      <c r="O962" s="7">
        <v>3706</v>
      </c>
      <c r="P962" s="7">
        <v>0</v>
      </c>
      <c r="Q962" s="5">
        <v>0</v>
      </c>
      <c r="R962" s="5">
        <v>0</v>
      </c>
      <c r="S962" s="7">
        <v>0</v>
      </c>
      <c r="T962" s="12">
        <v>43277</v>
      </c>
      <c r="U962" s="4">
        <v>1</v>
      </c>
      <c r="V962" s="4">
        <v>9</v>
      </c>
      <c r="W962" s="4">
        <v>9</v>
      </c>
      <c r="X962" s="45">
        <v>9460.4500000000007</v>
      </c>
      <c r="Y962" s="14" t="s">
        <v>54</v>
      </c>
      <c r="Z962" s="14" t="s">
        <v>1492</v>
      </c>
      <c r="AA962" s="14" t="s">
        <v>3240</v>
      </c>
      <c r="AB962" s="44">
        <v>43283</v>
      </c>
      <c r="AC962" s="44" t="s">
        <v>3241</v>
      </c>
      <c r="AD962" s="29" t="s">
        <v>49</v>
      </c>
      <c r="AE962" s="24" t="s">
        <v>2190</v>
      </c>
      <c r="AF962" s="25" t="s">
        <v>1267</v>
      </c>
      <c r="AI962" s="58"/>
    </row>
    <row r="963" spans="1:35" ht="16.5" customHeight="1">
      <c r="A963" s="6" t="s">
        <v>2182</v>
      </c>
      <c r="B963" s="5">
        <v>501</v>
      </c>
      <c r="C963" s="7">
        <v>38978.89</v>
      </c>
      <c r="D963" s="7">
        <v>0</v>
      </c>
      <c r="E963" s="7">
        <v>0</v>
      </c>
      <c r="F963" s="5">
        <v>0</v>
      </c>
      <c r="G963" s="7">
        <v>0</v>
      </c>
      <c r="H963" s="5">
        <v>280</v>
      </c>
      <c r="I963" s="7">
        <v>31395.199999999997</v>
      </c>
      <c r="J963" s="7">
        <v>0</v>
      </c>
      <c r="K963" s="5">
        <v>0</v>
      </c>
      <c r="L963" s="5">
        <v>0</v>
      </c>
      <c r="M963" s="5">
        <v>53</v>
      </c>
      <c r="N963" s="7">
        <v>53</v>
      </c>
      <c r="O963" s="7">
        <v>9782.1999999999989</v>
      </c>
      <c r="P963" s="7">
        <v>0</v>
      </c>
      <c r="Q963" s="5">
        <v>0</v>
      </c>
      <c r="R963" s="5">
        <v>0</v>
      </c>
      <c r="S963" s="7">
        <v>0</v>
      </c>
      <c r="T963" s="12">
        <v>43277</v>
      </c>
      <c r="U963" s="4">
        <v>6</v>
      </c>
      <c r="V963" s="4">
        <v>9</v>
      </c>
      <c r="W963" s="4">
        <v>9</v>
      </c>
      <c r="X963" s="45">
        <v>80156.289999999994</v>
      </c>
      <c r="Y963" s="14" t="s">
        <v>56</v>
      </c>
      <c r="Z963" s="14" t="s">
        <v>55</v>
      </c>
      <c r="AA963" s="14" t="s">
        <v>3242</v>
      </c>
      <c r="AB963" s="44">
        <v>43278</v>
      </c>
      <c r="AC963" s="44" t="s">
        <v>3222</v>
      </c>
      <c r="AD963" s="29" t="s">
        <v>51</v>
      </c>
      <c r="AE963" s="24" t="s">
        <v>2191</v>
      </c>
      <c r="AF963" s="25" t="s">
        <v>1270</v>
      </c>
      <c r="AI963" s="58"/>
    </row>
    <row r="964" spans="1:35" ht="16.5" customHeight="1">
      <c r="A964" s="6" t="s">
        <v>2183</v>
      </c>
      <c r="B964" s="5">
        <v>224</v>
      </c>
      <c r="C964" s="7">
        <v>25111.699999999997</v>
      </c>
      <c r="D964" s="7">
        <v>0</v>
      </c>
      <c r="E964" s="7">
        <v>0</v>
      </c>
      <c r="F964" s="5">
        <v>0</v>
      </c>
      <c r="G964" s="7">
        <v>0</v>
      </c>
      <c r="H964" s="5">
        <v>440</v>
      </c>
      <c r="I964" s="7">
        <v>50276.049999999996</v>
      </c>
      <c r="J964" s="7">
        <v>0</v>
      </c>
      <c r="K964" s="5">
        <v>0</v>
      </c>
      <c r="L964" s="5">
        <v>0</v>
      </c>
      <c r="M964" s="5">
        <v>92</v>
      </c>
      <c r="N964" s="7">
        <v>92</v>
      </c>
      <c r="O964" s="7">
        <v>19979.700000000004</v>
      </c>
      <c r="P964" s="7">
        <v>0</v>
      </c>
      <c r="Q964" s="5">
        <v>0</v>
      </c>
      <c r="R964" s="5">
        <v>0</v>
      </c>
      <c r="S964" s="7">
        <v>0</v>
      </c>
      <c r="T964" s="12">
        <v>43277</v>
      </c>
      <c r="U964" s="4">
        <v>8</v>
      </c>
      <c r="V964" s="4">
        <v>9</v>
      </c>
      <c r="W964" s="4">
        <v>9</v>
      </c>
      <c r="X964" s="45">
        <v>95367.450000000012</v>
      </c>
      <c r="Y964" s="14" t="s">
        <v>54</v>
      </c>
      <c r="Z964" s="14" t="s">
        <v>1355</v>
      </c>
      <c r="AA964" s="14" t="s">
        <v>3243</v>
      </c>
      <c r="AB964" s="44">
        <v>43288</v>
      </c>
      <c r="AC964" s="44" t="s">
        <v>3244</v>
      </c>
      <c r="AD964" s="29" t="s">
        <v>51</v>
      </c>
      <c r="AE964" s="24" t="s">
        <v>2192</v>
      </c>
      <c r="AF964" s="25" t="s">
        <v>1270</v>
      </c>
      <c r="AI964" s="58"/>
    </row>
    <row r="965" spans="1:35" ht="16.5" customHeight="1">
      <c r="A965" s="6" t="s">
        <v>2184</v>
      </c>
      <c r="B965" s="5">
        <v>314</v>
      </c>
      <c r="C965" s="7">
        <v>39847</v>
      </c>
      <c r="D965" s="7">
        <v>0</v>
      </c>
      <c r="E965" s="7">
        <v>0</v>
      </c>
      <c r="F965" s="5">
        <v>0</v>
      </c>
      <c r="G965" s="7">
        <v>0</v>
      </c>
      <c r="H965" s="5">
        <v>0</v>
      </c>
      <c r="I965" s="7">
        <v>0</v>
      </c>
      <c r="J965" s="7">
        <v>0</v>
      </c>
      <c r="K965" s="5">
        <v>0</v>
      </c>
      <c r="L965" s="5">
        <v>0</v>
      </c>
      <c r="M965" s="5">
        <v>104</v>
      </c>
      <c r="N965" s="7">
        <v>104</v>
      </c>
      <c r="O965" s="7">
        <v>20765.100000000002</v>
      </c>
      <c r="P965" s="7">
        <v>0</v>
      </c>
      <c r="Q965" s="5">
        <v>0</v>
      </c>
      <c r="R965" s="5">
        <v>0</v>
      </c>
      <c r="S965" s="7">
        <v>0</v>
      </c>
      <c r="T965" s="12">
        <v>43277</v>
      </c>
      <c r="U965" s="4">
        <v>5</v>
      </c>
      <c r="V965" s="4">
        <v>9</v>
      </c>
      <c r="W965" s="4">
        <v>9</v>
      </c>
      <c r="X965" s="45">
        <v>60612.100000000006</v>
      </c>
      <c r="Y965" s="14" t="s">
        <v>54</v>
      </c>
      <c r="Z965" s="14" t="s">
        <v>730</v>
      </c>
      <c r="AA965" s="14" t="s">
        <v>3245</v>
      </c>
      <c r="AB965" s="44">
        <v>43281</v>
      </c>
      <c r="AC965" s="44" t="s">
        <v>3241</v>
      </c>
      <c r="AD965" s="29" t="s">
        <v>50</v>
      </c>
      <c r="AE965" s="24" t="s">
        <v>2193</v>
      </c>
      <c r="AF965" s="25" t="s">
        <v>1269</v>
      </c>
      <c r="AI965" s="58"/>
    </row>
    <row r="966" spans="1:35" ht="16.5" customHeight="1">
      <c r="A966" s="6" t="s">
        <v>2186</v>
      </c>
      <c r="D966" s="7">
        <v>0</v>
      </c>
      <c r="E966" s="7">
        <v>0</v>
      </c>
      <c r="F966" s="5">
        <v>0</v>
      </c>
      <c r="G966" s="7">
        <v>0</v>
      </c>
      <c r="H966" s="5">
        <v>95</v>
      </c>
      <c r="I966" s="7">
        <v>12156.2</v>
      </c>
      <c r="J966" s="7">
        <v>0</v>
      </c>
      <c r="K966" s="5">
        <v>0</v>
      </c>
      <c r="L966" s="5">
        <v>0</v>
      </c>
      <c r="M966" s="5">
        <v>0</v>
      </c>
      <c r="N966" s="7">
        <v>0</v>
      </c>
      <c r="O966" s="7">
        <v>0</v>
      </c>
      <c r="P966" s="7">
        <v>0</v>
      </c>
      <c r="Q966" s="5">
        <v>0</v>
      </c>
      <c r="R966" s="5">
        <v>0</v>
      </c>
      <c r="S966" s="7">
        <v>0</v>
      </c>
      <c r="T966" s="12">
        <v>43277</v>
      </c>
      <c r="U966" s="4">
        <v>1</v>
      </c>
      <c r="V966" s="4">
        <v>9</v>
      </c>
      <c r="W966" s="4">
        <v>9</v>
      </c>
      <c r="X966" s="45">
        <v>12156.2</v>
      </c>
      <c r="Y966" s="14" t="s">
        <v>58</v>
      </c>
      <c r="Z966" s="14" t="s">
        <v>1492</v>
      </c>
      <c r="AA966" s="14" t="s">
        <v>3238</v>
      </c>
      <c r="AB966" s="44">
        <v>43281</v>
      </c>
      <c r="AC966" s="44" t="s">
        <v>3239</v>
      </c>
      <c r="AD966" s="29" t="s">
        <v>49</v>
      </c>
      <c r="AE966" s="24" t="s">
        <v>2194</v>
      </c>
      <c r="AF966" s="25" t="s">
        <v>1266</v>
      </c>
      <c r="AI966" s="58"/>
    </row>
    <row r="967" spans="1:35" ht="16.5" customHeight="1">
      <c r="A967" s="6" t="s">
        <v>2187</v>
      </c>
      <c r="D967" s="7">
        <v>0</v>
      </c>
      <c r="E967" s="7">
        <v>0</v>
      </c>
      <c r="F967" s="5">
        <v>0</v>
      </c>
      <c r="G967" s="7">
        <v>0</v>
      </c>
      <c r="H967" s="5">
        <v>0</v>
      </c>
      <c r="I967" s="7">
        <v>0</v>
      </c>
      <c r="J967" s="7">
        <v>0</v>
      </c>
      <c r="K967" s="5">
        <v>0</v>
      </c>
      <c r="L967" s="5">
        <v>0</v>
      </c>
      <c r="M967" s="5">
        <v>0</v>
      </c>
      <c r="N967" s="7">
        <v>0</v>
      </c>
      <c r="O967" s="7">
        <v>0</v>
      </c>
      <c r="P967" s="7">
        <v>682</v>
      </c>
      <c r="Q967" s="5">
        <v>0</v>
      </c>
      <c r="R967" s="5">
        <v>682</v>
      </c>
      <c r="S967" s="7">
        <v>73262.399999999994</v>
      </c>
      <c r="T967" s="12">
        <v>43277</v>
      </c>
      <c r="U967" s="4">
        <v>2</v>
      </c>
      <c r="V967" s="4">
        <v>9</v>
      </c>
      <c r="W967" s="4">
        <v>9</v>
      </c>
      <c r="X967" s="45">
        <v>73262.399999999994</v>
      </c>
      <c r="Y967" s="14" t="s">
        <v>54</v>
      </c>
      <c r="Z967" s="14" t="s">
        <v>1355</v>
      </c>
      <c r="AA967" s="14" t="s">
        <v>3246</v>
      </c>
      <c r="AB967" s="44">
        <v>43281</v>
      </c>
      <c r="AC967" s="44" t="s">
        <v>3247</v>
      </c>
      <c r="AD967" s="29" t="s">
        <v>51</v>
      </c>
      <c r="AE967" s="24" t="s">
        <v>2195</v>
      </c>
      <c r="AF967" s="25" t="s">
        <v>2150</v>
      </c>
      <c r="AI967" s="58"/>
    </row>
    <row r="968" spans="1:35" ht="16.5" customHeight="1">
      <c r="A968" s="6" t="s">
        <v>2196</v>
      </c>
      <c r="B968" s="5">
        <v>140</v>
      </c>
      <c r="C968" s="7">
        <v>14252</v>
      </c>
      <c r="D968" s="7">
        <v>0</v>
      </c>
      <c r="E968" s="7">
        <v>0</v>
      </c>
      <c r="F968" s="5">
        <v>0</v>
      </c>
      <c r="G968" s="7">
        <v>0</v>
      </c>
      <c r="H968" s="5">
        <v>0</v>
      </c>
      <c r="I968" s="7">
        <v>0</v>
      </c>
      <c r="J968" s="7">
        <v>0</v>
      </c>
      <c r="K968" s="5">
        <v>0</v>
      </c>
      <c r="L968" s="5">
        <v>0</v>
      </c>
      <c r="M968" s="5">
        <v>0</v>
      </c>
      <c r="N968" s="7">
        <v>0</v>
      </c>
      <c r="O968" s="7">
        <v>0</v>
      </c>
      <c r="P968" s="7">
        <v>0</v>
      </c>
      <c r="Q968" s="5">
        <v>0</v>
      </c>
      <c r="R968" s="5">
        <v>0</v>
      </c>
      <c r="S968" s="7">
        <v>0</v>
      </c>
      <c r="T968" s="12">
        <v>43278</v>
      </c>
      <c r="U968" s="4">
        <v>1</v>
      </c>
      <c r="V968" s="4">
        <v>9</v>
      </c>
      <c r="W968" s="4">
        <v>9</v>
      </c>
      <c r="X968" s="45">
        <v>14252</v>
      </c>
      <c r="Y968" s="14" t="s">
        <v>56</v>
      </c>
      <c r="Z968" s="14" t="s">
        <v>57</v>
      </c>
      <c r="AA968" s="14" t="s">
        <v>3248</v>
      </c>
      <c r="AB968" s="44">
        <v>43281</v>
      </c>
      <c r="AC968" s="44" t="s">
        <v>3249</v>
      </c>
      <c r="AD968" s="29" t="s">
        <v>49</v>
      </c>
      <c r="AE968" s="24" t="s">
        <v>2202</v>
      </c>
      <c r="AF968" s="25" t="s">
        <v>1265</v>
      </c>
      <c r="AI968" s="58"/>
    </row>
    <row r="969" spans="1:35" ht="16.5" customHeight="1">
      <c r="A969" s="6" t="s">
        <v>2197</v>
      </c>
      <c r="D969" s="7">
        <v>0</v>
      </c>
      <c r="E969" s="7">
        <v>0</v>
      </c>
      <c r="F969" s="5">
        <v>0</v>
      </c>
      <c r="G969" s="7">
        <v>0</v>
      </c>
      <c r="H969" s="5">
        <v>292</v>
      </c>
      <c r="I969" s="7">
        <v>33839.97</v>
      </c>
      <c r="J969" s="7">
        <v>0</v>
      </c>
      <c r="K969" s="5">
        <v>0</v>
      </c>
      <c r="L969" s="5">
        <v>0</v>
      </c>
      <c r="M969" s="5">
        <v>0</v>
      </c>
      <c r="N969" s="7">
        <v>0</v>
      </c>
      <c r="O969" s="7">
        <v>0</v>
      </c>
      <c r="P969" s="7">
        <v>0</v>
      </c>
      <c r="Q969" s="5">
        <v>0</v>
      </c>
      <c r="R969" s="5">
        <v>0</v>
      </c>
      <c r="S969" s="7">
        <v>0</v>
      </c>
      <c r="T969" s="12">
        <v>43278</v>
      </c>
      <c r="U969" s="4">
        <v>2</v>
      </c>
      <c r="V969" s="4">
        <v>9</v>
      </c>
      <c r="W969" s="4">
        <v>9</v>
      </c>
      <c r="X969" s="45">
        <v>33839.97</v>
      </c>
      <c r="Y969" s="14" t="s">
        <v>56</v>
      </c>
      <c r="Z969" s="14" t="s">
        <v>57</v>
      </c>
      <c r="AA969" s="14" t="s">
        <v>3232</v>
      </c>
      <c r="AB969" s="44">
        <v>43286</v>
      </c>
      <c r="AC969" s="44" t="s">
        <v>3233</v>
      </c>
      <c r="AD969" s="29" t="s">
        <v>49</v>
      </c>
      <c r="AE969" s="24" t="s">
        <v>2203</v>
      </c>
      <c r="AF969" s="25" t="s">
        <v>1265</v>
      </c>
      <c r="AI969" s="58"/>
    </row>
    <row r="970" spans="1:35" ht="16.5" customHeight="1">
      <c r="A970" s="6" t="s">
        <v>2198</v>
      </c>
      <c r="B970" s="5">
        <v>29</v>
      </c>
      <c r="C970" s="7">
        <v>4066.5</v>
      </c>
      <c r="D970" s="7">
        <v>0</v>
      </c>
      <c r="E970" s="7">
        <v>0</v>
      </c>
      <c r="F970" s="5">
        <v>0</v>
      </c>
      <c r="G970" s="7">
        <v>0</v>
      </c>
      <c r="H970" s="5">
        <v>0</v>
      </c>
      <c r="I970" s="7">
        <v>0</v>
      </c>
      <c r="J970" s="7">
        <v>0</v>
      </c>
      <c r="K970" s="5">
        <v>0</v>
      </c>
      <c r="L970" s="5">
        <v>0</v>
      </c>
      <c r="M970" s="5">
        <v>30</v>
      </c>
      <c r="N970" s="7">
        <v>30</v>
      </c>
      <c r="O970" s="7">
        <v>5747</v>
      </c>
      <c r="P970" s="7">
        <v>0</v>
      </c>
      <c r="Q970" s="5">
        <v>0</v>
      </c>
      <c r="R970" s="5">
        <v>0</v>
      </c>
      <c r="S970" s="7">
        <v>0</v>
      </c>
      <c r="T970" s="12">
        <v>43278</v>
      </c>
      <c r="U970" s="4">
        <v>1</v>
      </c>
      <c r="V970" s="4">
        <v>9</v>
      </c>
      <c r="W970" s="4">
        <v>9</v>
      </c>
      <c r="X970" s="45">
        <v>9813.5</v>
      </c>
      <c r="Y970" s="14" t="s">
        <v>54</v>
      </c>
      <c r="Z970" s="14" t="s">
        <v>1492</v>
      </c>
      <c r="AA970" s="14" t="s">
        <v>3240</v>
      </c>
      <c r="AB970" s="44">
        <v>43283</v>
      </c>
      <c r="AC970" s="44" t="s">
        <v>3241</v>
      </c>
      <c r="AD970" s="29" t="s">
        <v>49</v>
      </c>
      <c r="AE970" s="24" t="s">
        <v>2204</v>
      </c>
      <c r="AF970" s="25" t="s">
        <v>1267</v>
      </c>
      <c r="AI970" s="58"/>
    </row>
    <row r="971" spans="1:35" ht="16.5" customHeight="1">
      <c r="A971" s="6" t="s">
        <v>2181</v>
      </c>
      <c r="B971" s="5">
        <v>248</v>
      </c>
      <c r="C971" s="7">
        <v>22655.699999999997</v>
      </c>
      <c r="D971" s="7">
        <v>0</v>
      </c>
      <c r="E971" s="7">
        <v>0</v>
      </c>
      <c r="F971" s="5">
        <v>0</v>
      </c>
      <c r="G971" s="7">
        <v>0</v>
      </c>
      <c r="H971" s="5">
        <v>55</v>
      </c>
      <c r="I971" s="7">
        <v>5243.45</v>
      </c>
      <c r="J971" s="7">
        <v>0</v>
      </c>
      <c r="K971" s="5">
        <v>0</v>
      </c>
      <c r="L971" s="5">
        <v>0</v>
      </c>
      <c r="M971" s="5">
        <v>93</v>
      </c>
      <c r="N971" s="7">
        <v>93</v>
      </c>
      <c r="O971" s="7">
        <v>11260.600000000002</v>
      </c>
      <c r="P971" s="7">
        <v>0</v>
      </c>
      <c r="Q971" s="5">
        <v>0</v>
      </c>
      <c r="R971" s="5">
        <v>0</v>
      </c>
      <c r="S971" s="7">
        <v>0</v>
      </c>
      <c r="T971" s="12">
        <v>43278</v>
      </c>
      <c r="U971" s="4">
        <v>3</v>
      </c>
      <c r="V971" s="4">
        <v>9</v>
      </c>
      <c r="W971" s="4">
        <v>9</v>
      </c>
      <c r="X971" s="45">
        <v>39159.75</v>
      </c>
      <c r="Y971" s="14" t="s">
        <v>56</v>
      </c>
      <c r="Z971" s="14" t="s">
        <v>1281</v>
      </c>
      <c r="AA971" s="14" t="s">
        <v>3234</v>
      </c>
      <c r="AB971" s="44">
        <v>43281</v>
      </c>
      <c r="AC971" s="44" t="s">
        <v>3235</v>
      </c>
      <c r="AD971" s="29" t="s">
        <v>52</v>
      </c>
      <c r="AE971" s="24" t="s">
        <v>2205</v>
      </c>
      <c r="AF971" s="25" t="s">
        <v>1271</v>
      </c>
      <c r="AI971" s="58"/>
    </row>
    <row r="972" spans="1:35" ht="16.5" customHeight="1">
      <c r="A972" s="6" t="s">
        <v>2199</v>
      </c>
      <c r="B972" s="5">
        <v>268</v>
      </c>
      <c r="C972" s="7">
        <v>33642.100000000006</v>
      </c>
      <c r="D972" s="7">
        <v>0</v>
      </c>
      <c r="E972" s="7">
        <v>0</v>
      </c>
      <c r="F972" s="5">
        <v>0</v>
      </c>
      <c r="G972" s="7">
        <v>0</v>
      </c>
      <c r="H972" s="5">
        <v>239</v>
      </c>
      <c r="I972" s="7">
        <v>26560.800000000003</v>
      </c>
      <c r="J972" s="7">
        <v>0</v>
      </c>
      <c r="K972" s="5">
        <v>0</v>
      </c>
      <c r="L972" s="5">
        <v>0</v>
      </c>
      <c r="M972" s="5">
        <v>61</v>
      </c>
      <c r="N972" s="7">
        <v>61</v>
      </c>
      <c r="O972" s="7">
        <v>9414.4000000000015</v>
      </c>
      <c r="P972" s="7">
        <v>8</v>
      </c>
      <c r="Q972" s="5">
        <v>0</v>
      </c>
      <c r="R972" s="5">
        <v>8</v>
      </c>
      <c r="S972" s="7">
        <v>401.67</v>
      </c>
      <c r="T972" s="12">
        <v>43278</v>
      </c>
      <c r="U972" s="4">
        <v>6</v>
      </c>
      <c r="V972" s="4">
        <v>9</v>
      </c>
      <c r="W972" s="4">
        <v>9</v>
      </c>
      <c r="X972" s="45">
        <v>70018.970000000016</v>
      </c>
      <c r="Y972" s="14" t="s">
        <v>56</v>
      </c>
      <c r="Z972" s="14" t="s">
        <v>1281</v>
      </c>
      <c r="AA972" s="14" t="s">
        <v>3236</v>
      </c>
      <c r="AB972" s="44">
        <v>43286</v>
      </c>
      <c r="AC972" s="44" t="s">
        <v>3237</v>
      </c>
      <c r="AD972" s="29" t="s">
        <v>52</v>
      </c>
      <c r="AE972" s="24" t="s">
        <v>2206</v>
      </c>
      <c r="AF972" s="25" t="s">
        <v>1271</v>
      </c>
      <c r="AI972" s="58"/>
    </row>
    <row r="973" spans="1:35" ht="16.5" customHeight="1">
      <c r="A973" s="6" t="s">
        <v>2200</v>
      </c>
      <c r="B973" s="5">
        <v>835</v>
      </c>
      <c r="C973" s="7">
        <v>90375.98</v>
      </c>
      <c r="D973" s="7">
        <v>0</v>
      </c>
      <c r="E973" s="7">
        <v>0</v>
      </c>
      <c r="F973" s="5">
        <v>0</v>
      </c>
      <c r="G973" s="7">
        <v>0</v>
      </c>
      <c r="H973" s="5">
        <v>310</v>
      </c>
      <c r="I973" s="7">
        <v>31896.999999999996</v>
      </c>
      <c r="J973" s="7">
        <v>0</v>
      </c>
      <c r="K973" s="5">
        <v>0</v>
      </c>
      <c r="L973" s="5">
        <v>0</v>
      </c>
      <c r="M973" s="5">
        <v>305</v>
      </c>
      <c r="N973" s="7">
        <v>305</v>
      </c>
      <c r="O973" s="7">
        <v>51867.399999999987</v>
      </c>
      <c r="P973" s="7">
        <v>0</v>
      </c>
      <c r="Q973" s="5">
        <v>0</v>
      </c>
      <c r="R973" s="5">
        <v>0</v>
      </c>
      <c r="S973" s="7">
        <v>0</v>
      </c>
      <c r="T973" s="12">
        <v>43278</v>
      </c>
      <c r="U973" s="4">
        <v>14</v>
      </c>
      <c r="V973" s="4">
        <v>9</v>
      </c>
      <c r="W973" s="4">
        <v>9</v>
      </c>
      <c r="X973" s="45">
        <v>174140.37999999998</v>
      </c>
      <c r="Y973" s="14" t="s">
        <v>54</v>
      </c>
      <c r="Z973" s="14" t="s">
        <v>1355</v>
      </c>
      <c r="AA973" s="14" t="s">
        <v>3243</v>
      </c>
      <c r="AB973" s="44">
        <v>43288</v>
      </c>
      <c r="AC973" s="44" t="s">
        <v>3244</v>
      </c>
      <c r="AD973" s="29" t="s">
        <v>51</v>
      </c>
      <c r="AE973" s="24" t="s">
        <v>2207</v>
      </c>
      <c r="AF973" s="25" t="s">
        <v>1270</v>
      </c>
      <c r="AI973" s="58"/>
    </row>
    <row r="974" spans="1:35" ht="16.5" customHeight="1">
      <c r="A974" s="6" t="s">
        <v>2185</v>
      </c>
      <c r="B974" s="5">
        <v>1421</v>
      </c>
      <c r="C974" s="7">
        <v>130111.96</v>
      </c>
      <c r="D974" s="7">
        <v>0</v>
      </c>
      <c r="E974" s="7">
        <v>0</v>
      </c>
      <c r="F974" s="5">
        <v>0</v>
      </c>
      <c r="G974" s="7">
        <v>0</v>
      </c>
      <c r="H974" s="5">
        <v>40</v>
      </c>
      <c r="I974" s="7">
        <v>991</v>
      </c>
      <c r="J974" s="7">
        <v>0</v>
      </c>
      <c r="K974" s="5">
        <v>0</v>
      </c>
      <c r="L974" s="5">
        <v>0</v>
      </c>
      <c r="M974" s="5">
        <v>254</v>
      </c>
      <c r="N974" s="7">
        <v>254</v>
      </c>
      <c r="O974" s="7">
        <v>48531.1</v>
      </c>
      <c r="P974" s="7">
        <v>10</v>
      </c>
      <c r="Q974" s="5">
        <v>0</v>
      </c>
      <c r="R974" s="5">
        <v>10</v>
      </c>
      <c r="S974" s="7">
        <v>499</v>
      </c>
      <c r="T974" s="12">
        <v>43278</v>
      </c>
      <c r="U974" s="4">
        <v>15</v>
      </c>
      <c r="V974" s="4">
        <v>9</v>
      </c>
      <c r="W974" s="4">
        <v>9</v>
      </c>
      <c r="X974" s="45">
        <v>180133.06000000003</v>
      </c>
      <c r="Y974" s="14" t="s">
        <v>54</v>
      </c>
      <c r="Z974" s="14" t="s">
        <v>59</v>
      </c>
      <c r="AA974" s="14" t="s">
        <v>3230</v>
      </c>
      <c r="AB974" s="44">
        <v>43287</v>
      </c>
      <c r="AC974" s="44" t="s">
        <v>3231</v>
      </c>
      <c r="AD974" s="29" t="s">
        <v>50</v>
      </c>
      <c r="AE974" s="24" t="s">
        <v>2208</v>
      </c>
      <c r="AF974" s="25" t="s">
        <v>1269</v>
      </c>
      <c r="AI974" s="58"/>
    </row>
    <row r="975" spans="1:35" ht="16.5" customHeight="1">
      <c r="A975" s="6" t="s">
        <v>2201</v>
      </c>
      <c r="D975" s="7">
        <v>0</v>
      </c>
      <c r="E975" s="7">
        <v>0</v>
      </c>
      <c r="F975" s="5">
        <v>0</v>
      </c>
      <c r="G975" s="7">
        <v>0</v>
      </c>
      <c r="H975" s="5">
        <v>0</v>
      </c>
      <c r="I975" s="7">
        <v>0</v>
      </c>
      <c r="J975" s="7">
        <v>0</v>
      </c>
      <c r="K975" s="5">
        <v>0</v>
      </c>
      <c r="L975" s="5">
        <v>0</v>
      </c>
      <c r="M975" s="5">
        <v>0</v>
      </c>
      <c r="N975" s="7">
        <v>0</v>
      </c>
      <c r="O975" s="7">
        <v>0</v>
      </c>
      <c r="P975" s="7">
        <v>600</v>
      </c>
      <c r="Q975" s="5">
        <v>0</v>
      </c>
      <c r="R975" s="5">
        <v>600</v>
      </c>
      <c r="S975" s="7">
        <v>91500</v>
      </c>
      <c r="T975" s="12">
        <v>43278</v>
      </c>
      <c r="U975" s="4">
        <v>3</v>
      </c>
      <c r="V975" s="4">
        <v>9</v>
      </c>
      <c r="W975" s="4">
        <v>9</v>
      </c>
      <c r="X975" s="45">
        <v>91500</v>
      </c>
      <c r="Y975" s="14" t="s">
        <v>56</v>
      </c>
      <c r="Z975" s="14" t="s">
        <v>1281</v>
      </c>
      <c r="AA975" s="14" t="s">
        <v>3234</v>
      </c>
      <c r="AB975" s="44">
        <v>43281</v>
      </c>
      <c r="AC975" s="44" t="s">
        <v>3235</v>
      </c>
      <c r="AD975" s="29" t="s">
        <v>52</v>
      </c>
      <c r="AE975" s="24" t="s">
        <v>2209</v>
      </c>
      <c r="AF975" s="25" t="s">
        <v>2173</v>
      </c>
      <c r="AI975" s="58"/>
    </row>
    <row r="976" spans="1:35" ht="16.5" customHeight="1">
      <c r="A976" s="6" t="s">
        <v>2210</v>
      </c>
      <c r="B976" s="5">
        <v>73</v>
      </c>
      <c r="C976" s="7">
        <v>8066.2999999999993</v>
      </c>
      <c r="D976" s="7">
        <v>0</v>
      </c>
      <c r="E976" s="7">
        <v>0</v>
      </c>
      <c r="F976" s="5">
        <v>0</v>
      </c>
      <c r="G976" s="7">
        <v>0</v>
      </c>
      <c r="H976" s="5">
        <v>35</v>
      </c>
      <c r="I976" s="7">
        <v>3694.45</v>
      </c>
      <c r="J976" s="7">
        <v>0</v>
      </c>
      <c r="K976" s="5">
        <v>0</v>
      </c>
      <c r="L976" s="5">
        <v>0</v>
      </c>
      <c r="M976" s="5">
        <v>56</v>
      </c>
      <c r="N976" s="7">
        <v>56</v>
      </c>
      <c r="O976" s="7">
        <v>9723.8000000000011</v>
      </c>
      <c r="P976" s="7">
        <v>0</v>
      </c>
      <c r="Q976" s="5">
        <v>0</v>
      </c>
      <c r="R976" s="5">
        <v>0</v>
      </c>
      <c r="S976" s="7">
        <v>0</v>
      </c>
      <c r="T976" s="12">
        <v>43279</v>
      </c>
      <c r="U976" s="4">
        <v>2</v>
      </c>
      <c r="V976" s="4">
        <v>9</v>
      </c>
      <c r="W976" s="4">
        <v>9</v>
      </c>
      <c r="X976" s="45">
        <v>21484.550000000003</v>
      </c>
      <c r="Y976" s="14" t="s">
        <v>1633</v>
      </c>
      <c r="Z976" s="14" t="s">
        <v>1492</v>
      </c>
      <c r="AA976" s="14" t="s">
        <v>3250</v>
      </c>
      <c r="AB976" s="44">
        <v>43281</v>
      </c>
      <c r="AC976" s="44" t="s">
        <v>3214</v>
      </c>
      <c r="AD976" s="29" t="s">
        <v>70</v>
      </c>
      <c r="AE976" s="24" t="s">
        <v>2222</v>
      </c>
      <c r="AF976" s="25" t="s">
        <v>1273</v>
      </c>
      <c r="AI976" s="58"/>
    </row>
    <row r="977" spans="1:35" ht="16.5" customHeight="1">
      <c r="A977" s="6" t="s">
        <v>2211</v>
      </c>
      <c r="D977" s="7">
        <v>0</v>
      </c>
      <c r="E977" s="7">
        <v>0</v>
      </c>
      <c r="F977" s="5">
        <v>0</v>
      </c>
      <c r="G977" s="7">
        <v>0</v>
      </c>
      <c r="H977" s="5">
        <v>270</v>
      </c>
      <c r="I977" s="7">
        <v>28613.15</v>
      </c>
      <c r="J977" s="7">
        <v>0</v>
      </c>
      <c r="K977" s="5">
        <v>0</v>
      </c>
      <c r="L977" s="5">
        <v>0</v>
      </c>
      <c r="M977" s="5">
        <v>0</v>
      </c>
      <c r="N977" s="7">
        <v>0</v>
      </c>
      <c r="O977" s="7">
        <v>0</v>
      </c>
      <c r="P977" s="7">
        <v>0</v>
      </c>
      <c r="Q977" s="5">
        <v>0</v>
      </c>
      <c r="R977" s="5">
        <v>0</v>
      </c>
      <c r="S977" s="7">
        <v>0</v>
      </c>
      <c r="T977" s="12">
        <v>43279</v>
      </c>
      <c r="U977" s="4">
        <v>2</v>
      </c>
      <c r="V977" s="4">
        <v>9</v>
      </c>
      <c r="W977" s="4">
        <v>9</v>
      </c>
      <c r="X977" s="45">
        <v>28613.15</v>
      </c>
      <c r="Y977" s="14" t="s">
        <v>54</v>
      </c>
      <c r="Z977" s="14" t="s">
        <v>57</v>
      </c>
      <c r="AA977" s="14" t="s">
        <v>3251</v>
      </c>
      <c r="AB977" s="44">
        <v>43287</v>
      </c>
      <c r="AC977" s="44" t="s">
        <v>3231</v>
      </c>
      <c r="AD977" s="29" t="s">
        <v>49</v>
      </c>
      <c r="AE977" s="24" t="s">
        <v>2223</v>
      </c>
      <c r="AF977" s="25" t="s">
        <v>1265</v>
      </c>
      <c r="AI977" s="58"/>
    </row>
    <row r="978" spans="1:35" ht="16.5" customHeight="1">
      <c r="A978" s="6" t="s">
        <v>2224</v>
      </c>
      <c r="B978" s="5">
        <v>108</v>
      </c>
      <c r="C978" s="7">
        <v>11581.7</v>
      </c>
      <c r="D978" s="7">
        <v>0</v>
      </c>
      <c r="E978" s="7">
        <v>0</v>
      </c>
      <c r="F978" s="5">
        <v>0</v>
      </c>
      <c r="G978" s="7">
        <v>0</v>
      </c>
      <c r="H978" s="5">
        <v>100</v>
      </c>
      <c r="I978" s="7">
        <v>12476.100000000002</v>
      </c>
      <c r="J978" s="7">
        <v>0</v>
      </c>
      <c r="K978" s="5">
        <v>0</v>
      </c>
      <c r="L978" s="5">
        <v>0</v>
      </c>
      <c r="M978" s="5">
        <v>58</v>
      </c>
      <c r="N978" s="7">
        <v>58</v>
      </c>
      <c r="O978" s="7">
        <v>10248.599999999999</v>
      </c>
      <c r="P978" s="7">
        <v>0</v>
      </c>
      <c r="Q978" s="5">
        <v>0</v>
      </c>
      <c r="R978" s="5">
        <v>0</v>
      </c>
      <c r="S978" s="7">
        <v>0</v>
      </c>
      <c r="T978" s="12">
        <v>43279</v>
      </c>
      <c r="U978" s="4">
        <v>3</v>
      </c>
      <c r="V978" s="4">
        <v>9</v>
      </c>
      <c r="W978" s="4">
        <v>9</v>
      </c>
      <c r="X978" s="45">
        <v>34306.400000000001</v>
      </c>
      <c r="Y978" s="14" t="s">
        <v>85</v>
      </c>
      <c r="Z978" s="14" t="s">
        <v>1637</v>
      </c>
      <c r="AA978" s="14">
        <v>350810072453</v>
      </c>
      <c r="AB978" s="44">
        <v>43285</v>
      </c>
      <c r="AC978" s="44" t="s">
        <v>3252</v>
      </c>
      <c r="AD978" s="29" t="s">
        <v>49</v>
      </c>
      <c r="AE978" s="24" t="s">
        <v>2225</v>
      </c>
      <c r="AF978" s="25" t="s">
        <v>1267</v>
      </c>
      <c r="AI978" s="58"/>
    </row>
    <row r="979" spans="1:35" ht="16.5" customHeight="1">
      <c r="A979" s="6" t="s">
        <v>2212</v>
      </c>
      <c r="B979" s="5">
        <v>105</v>
      </c>
      <c r="C979" s="7">
        <v>12506.5</v>
      </c>
      <c r="D979" s="7">
        <v>0</v>
      </c>
      <c r="E979" s="7">
        <v>0</v>
      </c>
      <c r="F979" s="5">
        <v>0</v>
      </c>
      <c r="G979" s="7">
        <v>0</v>
      </c>
      <c r="H979" s="5">
        <v>0</v>
      </c>
      <c r="I979" s="7">
        <v>0</v>
      </c>
      <c r="J979" s="7">
        <v>0</v>
      </c>
      <c r="K979" s="5">
        <v>0</v>
      </c>
      <c r="L979" s="5">
        <v>0</v>
      </c>
      <c r="M979" s="5">
        <v>0</v>
      </c>
      <c r="N979" s="7">
        <v>0</v>
      </c>
      <c r="O979" s="7">
        <v>0</v>
      </c>
      <c r="P979" s="7">
        <v>0</v>
      </c>
      <c r="Q979" s="5">
        <v>0</v>
      </c>
      <c r="R979" s="5">
        <v>0</v>
      </c>
      <c r="S979" s="7">
        <v>0</v>
      </c>
      <c r="T979" s="12">
        <v>43279</v>
      </c>
      <c r="U979" s="4">
        <v>1</v>
      </c>
      <c r="V979" s="4">
        <v>9</v>
      </c>
      <c r="W979" s="4">
        <v>9</v>
      </c>
      <c r="X979" s="45">
        <v>12506.5</v>
      </c>
      <c r="Y979" s="14" t="s">
        <v>54</v>
      </c>
      <c r="Z979" s="14" t="s">
        <v>1281</v>
      </c>
      <c r="AA979" s="14" t="s">
        <v>3253</v>
      </c>
      <c r="AB979" s="44">
        <v>43282</v>
      </c>
      <c r="AC979" s="44" t="s">
        <v>3247</v>
      </c>
      <c r="AD979" s="29" t="s">
        <v>52</v>
      </c>
      <c r="AE979" s="24" t="s">
        <v>2226</v>
      </c>
      <c r="AF979" s="25" t="s">
        <v>1271</v>
      </c>
      <c r="AI979" s="58"/>
    </row>
    <row r="980" spans="1:35" ht="16.5" customHeight="1">
      <c r="A980" s="6" t="s">
        <v>2213</v>
      </c>
      <c r="B980" s="5">
        <v>92</v>
      </c>
      <c r="C980" s="7">
        <v>13351.240000000002</v>
      </c>
      <c r="D980" s="7">
        <v>0</v>
      </c>
      <c r="E980" s="7">
        <v>0</v>
      </c>
      <c r="F980" s="5">
        <v>0</v>
      </c>
      <c r="G980" s="7">
        <v>0</v>
      </c>
      <c r="H980" s="5">
        <v>0</v>
      </c>
      <c r="I980" s="7">
        <v>0</v>
      </c>
      <c r="J980" s="7">
        <v>0</v>
      </c>
      <c r="K980" s="5">
        <v>0</v>
      </c>
      <c r="L980" s="5">
        <v>0</v>
      </c>
      <c r="M980" s="5">
        <v>58</v>
      </c>
      <c r="N980" s="7">
        <v>58</v>
      </c>
      <c r="O980" s="7">
        <v>10358.799999999999</v>
      </c>
      <c r="P980" s="7">
        <v>0</v>
      </c>
      <c r="Q980" s="5">
        <v>0</v>
      </c>
      <c r="R980" s="5">
        <v>0</v>
      </c>
      <c r="S980" s="7">
        <v>0</v>
      </c>
      <c r="T980" s="12">
        <v>43279</v>
      </c>
      <c r="U980" s="4">
        <v>2</v>
      </c>
      <c r="V980" s="4">
        <v>9</v>
      </c>
      <c r="W980" s="4">
        <v>9</v>
      </c>
      <c r="X980" s="45">
        <v>23710.04</v>
      </c>
      <c r="Y980" s="14" t="s">
        <v>56</v>
      </c>
      <c r="Z980" s="14" t="s">
        <v>1281</v>
      </c>
      <c r="AA980" s="14" t="s">
        <v>3236</v>
      </c>
      <c r="AB980" s="44">
        <v>43286</v>
      </c>
      <c r="AC980" s="44" t="s">
        <v>3237</v>
      </c>
      <c r="AD980" s="29" t="s">
        <v>52</v>
      </c>
      <c r="AE980" s="24" t="s">
        <v>2227</v>
      </c>
      <c r="AF980" s="25" t="s">
        <v>1271</v>
      </c>
      <c r="AI980" s="58"/>
    </row>
    <row r="981" spans="1:35" ht="16.5" customHeight="1">
      <c r="A981" s="6" t="s">
        <v>2214</v>
      </c>
      <c r="B981" s="5">
        <v>102</v>
      </c>
      <c r="C981" s="7">
        <v>13474.199999999999</v>
      </c>
      <c r="D981" s="7">
        <v>0</v>
      </c>
      <c r="E981" s="7">
        <v>0</v>
      </c>
      <c r="F981" s="5">
        <v>0</v>
      </c>
      <c r="G981" s="7">
        <v>0</v>
      </c>
      <c r="H981" s="5">
        <v>455</v>
      </c>
      <c r="I981" s="7">
        <v>35433.199999999997</v>
      </c>
      <c r="J981" s="7">
        <v>0</v>
      </c>
      <c r="K981" s="5">
        <v>0</v>
      </c>
      <c r="L981" s="5">
        <v>0</v>
      </c>
      <c r="M981" s="5">
        <v>241</v>
      </c>
      <c r="N981" s="7">
        <v>241</v>
      </c>
      <c r="O981" s="7">
        <v>12822.9</v>
      </c>
      <c r="P981" s="7">
        <v>50</v>
      </c>
      <c r="Q981" s="5">
        <v>0</v>
      </c>
      <c r="R981" s="5">
        <v>50</v>
      </c>
      <c r="S981" s="7">
        <v>2495</v>
      </c>
      <c r="T981" s="12">
        <v>43279</v>
      </c>
      <c r="U981" s="4">
        <v>5</v>
      </c>
      <c r="V981" s="4">
        <v>9</v>
      </c>
      <c r="W981" s="4">
        <v>9</v>
      </c>
      <c r="X981" s="45">
        <v>64225.299999999996</v>
      </c>
      <c r="Y981" s="14" t="s">
        <v>54</v>
      </c>
      <c r="Z981" s="14" t="s">
        <v>55</v>
      </c>
      <c r="AA981" s="14" t="s">
        <v>3246</v>
      </c>
      <c r="AB981" s="44">
        <v>43281</v>
      </c>
      <c r="AC981" s="44" t="s">
        <v>3247</v>
      </c>
      <c r="AD981" s="29" t="s">
        <v>51</v>
      </c>
      <c r="AE981" s="24" t="s">
        <v>2228</v>
      </c>
      <c r="AF981" s="25" t="s">
        <v>1270</v>
      </c>
      <c r="AI981" s="58"/>
    </row>
    <row r="982" spans="1:35" ht="16.5" customHeight="1">
      <c r="A982" s="6" t="s">
        <v>2215</v>
      </c>
      <c r="B982" s="5">
        <v>342</v>
      </c>
      <c r="C982" s="7">
        <v>25208.500000000007</v>
      </c>
      <c r="D982" s="7">
        <v>0</v>
      </c>
      <c r="E982" s="7">
        <v>0</v>
      </c>
      <c r="F982" s="5">
        <v>0</v>
      </c>
      <c r="G982" s="7">
        <v>0</v>
      </c>
      <c r="H982" s="5">
        <v>10</v>
      </c>
      <c r="I982" s="7">
        <v>1162.1000000000001</v>
      </c>
      <c r="J982" s="7">
        <v>0</v>
      </c>
      <c r="K982" s="5">
        <v>0</v>
      </c>
      <c r="L982" s="5">
        <v>0</v>
      </c>
      <c r="M982" s="5">
        <v>76</v>
      </c>
      <c r="N982" s="7">
        <v>76</v>
      </c>
      <c r="O982" s="7">
        <v>10843.8</v>
      </c>
      <c r="P982" s="7">
        <v>0</v>
      </c>
      <c r="Q982" s="5">
        <v>0</v>
      </c>
      <c r="R982" s="5">
        <v>0</v>
      </c>
      <c r="S982" s="7">
        <v>0</v>
      </c>
      <c r="T982" s="12">
        <v>43279</v>
      </c>
      <c r="U982" s="4">
        <v>3</v>
      </c>
      <c r="V982" s="4">
        <v>9</v>
      </c>
      <c r="W982" s="4">
        <v>9</v>
      </c>
      <c r="X982" s="45">
        <v>37214.400000000009</v>
      </c>
      <c r="Y982" s="14" t="s">
        <v>58</v>
      </c>
      <c r="Z982" s="14" t="s">
        <v>1355</v>
      </c>
      <c r="AA982" s="14" t="s">
        <v>3254</v>
      </c>
      <c r="AB982" s="44">
        <v>43286</v>
      </c>
      <c r="AC982" s="44" t="s">
        <v>3255</v>
      </c>
      <c r="AD982" s="29" t="s">
        <v>51</v>
      </c>
      <c r="AE982" s="24" t="s">
        <v>2229</v>
      </c>
      <c r="AF982" s="25" t="s">
        <v>1270</v>
      </c>
      <c r="AI982" s="58"/>
    </row>
    <row r="983" spans="1:35" ht="16.5" customHeight="1">
      <c r="A983" s="6" t="s">
        <v>2216</v>
      </c>
      <c r="B983" s="5">
        <v>115</v>
      </c>
      <c r="C983" s="7">
        <v>12467.6</v>
      </c>
      <c r="D983" s="7">
        <v>0</v>
      </c>
      <c r="E983" s="7">
        <v>0</v>
      </c>
      <c r="F983" s="5">
        <v>0</v>
      </c>
      <c r="G983" s="7">
        <v>0</v>
      </c>
      <c r="H983" s="5">
        <v>0</v>
      </c>
      <c r="I983" s="7">
        <v>0</v>
      </c>
      <c r="J983" s="7">
        <v>0</v>
      </c>
      <c r="K983" s="5">
        <v>0</v>
      </c>
      <c r="L983" s="5">
        <v>0</v>
      </c>
      <c r="M983" s="5">
        <v>335</v>
      </c>
      <c r="N983" s="7">
        <v>335</v>
      </c>
      <c r="O983" s="7">
        <v>53037.3</v>
      </c>
      <c r="P983" s="7">
        <v>0</v>
      </c>
      <c r="Q983" s="5">
        <v>0</v>
      </c>
      <c r="R983" s="5">
        <v>0</v>
      </c>
      <c r="S983" s="7">
        <v>0</v>
      </c>
      <c r="T983" s="12">
        <v>43279</v>
      </c>
      <c r="U983" s="4">
        <v>6</v>
      </c>
      <c r="V983" s="4">
        <v>9</v>
      </c>
      <c r="W983" s="4">
        <v>9</v>
      </c>
      <c r="X983" s="45">
        <v>65504.9</v>
      </c>
      <c r="Y983" s="14" t="s">
        <v>54</v>
      </c>
      <c r="Z983" s="14" t="s">
        <v>59</v>
      </c>
      <c r="AA983" s="14" t="s">
        <v>3245</v>
      </c>
      <c r="AB983" s="44">
        <v>43281</v>
      </c>
      <c r="AC983" s="44" t="s">
        <v>3241</v>
      </c>
      <c r="AD983" s="29" t="s">
        <v>50</v>
      </c>
      <c r="AE983" s="24" t="s">
        <v>2230</v>
      </c>
      <c r="AF983" s="25" t="s">
        <v>1269</v>
      </c>
      <c r="AI983" s="58"/>
    </row>
    <row r="984" spans="1:35" ht="16.5" customHeight="1">
      <c r="A984" s="6" t="s">
        <v>2218</v>
      </c>
      <c r="B984" s="5">
        <v>32</v>
      </c>
      <c r="C984" s="7">
        <v>4309.5</v>
      </c>
      <c r="D984" s="7">
        <v>0</v>
      </c>
      <c r="E984" s="7">
        <v>0</v>
      </c>
      <c r="F984" s="5">
        <v>0</v>
      </c>
      <c r="G984" s="7">
        <v>0</v>
      </c>
      <c r="H984" s="5">
        <v>5</v>
      </c>
      <c r="I984" s="7">
        <v>639.80000000000007</v>
      </c>
      <c r="J984" s="7">
        <v>0</v>
      </c>
      <c r="K984" s="5">
        <v>0</v>
      </c>
      <c r="L984" s="5">
        <v>0</v>
      </c>
      <c r="M984" s="5">
        <v>32</v>
      </c>
      <c r="N984" s="7">
        <v>32</v>
      </c>
      <c r="O984" s="7">
        <v>5130.8</v>
      </c>
      <c r="P984" s="7">
        <v>0</v>
      </c>
      <c r="Q984" s="5">
        <v>0</v>
      </c>
      <c r="R984" s="5">
        <v>0</v>
      </c>
      <c r="S984" s="7">
        <v>0</v>
      </c>
      <c r="T984" s="12">
        <v>43279</v>
      </c>
      <c r="U984" s="4">
        <v>1</v>
      </c>
      <c r="V984" s="4">
        <v>9</v>
      </c>
      <c r="W984" s="4">
        <v>9</v>
      </c>
      <c r="X984" s="45">
        <v>10080.1</v>
      </c>
      <c r="Y984" s="14" t="s">
        <v>54</v>
      </c>
      <c r="Z984" s="14" t="s">
        <v>1492</v>
      </c>
      <c r="AA984" s="14" t="s">
        <v>3240</v>
      </c>
      <c r="AB984" s="44">
        <v>43283</v>
      </c>
      <c r="AC984" s="44" t="s">
        <v>3241</v>
      </c>
      <c r="AD984" s="29" t="s">
        <v>49</v>
      </c>
      <c r="AE984" s="24" t="s">
        <v>2231</v>
      </c>
      <c r="AF984" s="25" t="s">
        <v>1266</v>
      </c>
      <c r="AI984" s="58"/>
    </row>
    <row r="985" spans="1:35" ht="16.5" customHeight="1">
      <c r="A985" s="6" t="s">
        <v>2219</v>
      </c>
      <c r="B985" s="5">
        <v>190</v>
      </c>
      <c r="C985" s="7">
        <v>22680.29</v>
      </c>
      <c r="D985" s="7">
        <v>0</v>
      </c>
      <c r="E985" s="7">
        <v>0</v>
      </c>
      <c r="F985" s="5">
        <v>0</v>
      </c>
      <c r="G985" s="7">
        <v>0</v>
      </c>
      <c r="H985" s="5">
        <v>0</v>
      </c>
      <c r="I985" s="7">
        <v>0</v>
      </c>
      <c r="J985" s="7">
        <v>0</v>
      </c>
      <c r="K985" s="5">
        <v>0</v>
      </c>
      <c r="L985" s="5">
        <v>0</v>
      </c>
      <c r="M985" s="5">
        <v>58</v>
      </c>
      <c r="N985" s="7">
        <v>58</v>
      </c>
      <c r="O985" s="7">
        <v>10248.599999999999</v>
      </c>
      <c r="P985" s="7">
        <v>0</v>
      </c>
      <c r="Q985" s="5">
        <v>0</v>
      </c>
      <c r="R985" s="5">
        <v>0</v>
      </c>
      <c r="S985" s="7">
        <v>0</v>
      </c>
      <c r="T985" s="12">
        <v>43279</v>
      </c>
      <c r="U985" s="4">
        <v>3</v>
      </c>
      <c r="V985" s="4">
        <v>9</v>
      </c>
      <c r="W985" s="4">
        <v>9</v>
      </c>
      <c r="X985" s="45">
        <v>32928.89</v>
      </c>
      <c r="Y985" s="14" t="s">
        <v>56</v>
      </c>
      <c r="Z985" s="14" t="s">
        <v>1492</v>
      </c>
      <c r="AA985" s="14" t="s">
        <v>3232</v>
      </c>
      <c r="AB985" s="44">
        <v>43286</v>
      </c>
      <c r="AC985" s="44" t="s">
        <v>3233</v>
      </c>
      <c r="AD985" s="29" t="s">
        <v>49</v>
      </c>
      <c r="AE985" s="24" t="s">
        <v>2232</v>
      </c>
      <c r="AF985" s="25" t="s">
        <v>1266</v>
      </c>
      <c r="AI985" s="58"/>
    </row>
    <row r="986" spans="1:35" ht="16.5" customHeight="1">
      <c r="A986" s="6" t="s">
        <v>2220</v>
      </c>
      <c r="D986" s="7">
        <v>0</v>
      </c>
      <c r="E986" s="7">
        <v>0</v>
      </c>
      <c r="F986" s="5">
        <v>0</v>
      </c>
      <c r="G986" s="7">
        <v>0</v>
      </c>
      <c r="H986" s="5">
        <v>0</v>
      </c>
      <c r="I986" s="7">
        <v>0</v>
      </c>
      <c r="J986" s="7">
        <v>0</v>
      </c>
      <c r="K986" s="5">
        <v>0</v>
      </c>
      <c r="L986" s="5">
        <v>0</v>
      </c>
      <c r="M986" s="5">
        <v>0</v>
      </c>
      <c r="N986" s="7">
        <v>0</v>
      </c>
      <c r="O986" s="7">
        <v>0</v>
      </c>
      <c r="P986" s="7">
        <v>251</v>
      </c>
      <c r="Q986" s="5">
        <v>0</v>
      </c>
      <c r="R986" s="5">
        <v>251</v>
      </c>
      <c r="S986" s="7">
        <v>45813.399999999994</v>
      </c>
      <c r="T986" s="12">
        <v>43279</v>
      </c>
      <c r="U986" s="4">
        <v>1</v>
      </c>
      <c r="V986" s="4">
        <v>9</v>
      </c>
      <c r="W986" s="4">
        <v>9</v>
      </c>
      <c r="X986" s="45">
        <v>45813.399999999994</v>
      </c>
      <c r="Y986" s="14" t="s">
        <v>54</v>
      </c>
      <c r="Z986" s="14" t="s">
        <v>55</v>
      </c>
      <c r="AA986" s="14" t="s">
        <v>3246</v>
      </c>
      <c r="AB986" s="44">
        <v>43281</v>
      </c>
      <c r="AC986" s="44" t="s">
        <v>3247</v>
      </c>
      <c r="AD986" s="29" t="s">
        <v>51</v>
      </c>
      <c r="AE986" s="24" t="s">
        <v>2233</v>
      </c>
      <c r="AF986" s="25" t="s">
        <v>2150</v>
      </c>
      <c r="AI986" s="58"/>
    </row>
    <row r="987" spans="1:35" ht="16.5" customHeight="1">
      <c r="A987" s="6" t="s">
        <v>2221</v>
      </c>
      <c r="D987" s="7">
        <v>0</v>
      </c>
      <c r="E987" s="7">
        <v>0</v>
      </c>
      <c r="F987" s="5">
        <v>0</v>
      </c>
      <c r="G987" s="7">
        <v>0</v>
      </c>
      <c r="H987" s="5">
        <v>0</v>
      </c>
      <c r="I987" s="7">
        <v>0</v>
      </c>
      <c r="J987" s="7">
        <v>0</v>
      </c>
      <c r="K987" s="5">
        <v>0</v>
      </c>
      <c r="L987" s="5">
        <v>0</v>
      </c>
      <c r="M987" s="5">
        <v>0</v>
      </c>
      <c r="N987" s="7">
        <v>0</v>
      </c>
      <c r="O987" s="7">
        <v>0</v>
      </c>
      <c r="P987" s="7">
        <v>728</v>
      </c>
      <c r="Q987" s="5">
        <v>0</v>
      </c>
      <c r="R987" s="5">
        <v>728</v>
      </c>
      <c r="S987" s="7">
        <v>119877.3</v>
      </c>
      <c r="T987" s="12">
        <v>43279</v>
      </c>
      <c r="U987" s="4">
        <v>8</v>
      </c>
      <c r="V987" s="4">
        <v>9</v>
      </c>
      <c r="W987" s="4">
        <v>9</v>
      </c>
      <c r="X987" s="45">
        <v>119877.3</v>
      </c>
      <c r="Y987" s="14" t="s">
        <v>54</v>
      </c>
      <c r="Z987" s="14" t="s">
        <v>59</v>
      </c>
      <c r="AA987" s="14" t="s">
        <v>3256</v>
      </c>
      <c r="AB987" s="44">
        <v>43296</v>
      </c>
      <c r="AC987" s="44" t="s">
        <v>3257</v>
      </c>
      <c r="AD987" s="29" t="s">
        <v>50</v>
      </c>
      <c r="AE987" s="24" t="s">
        <v>2234</v>
      </c>
      <c r="AF987" s="25" t="s">
        <v>2151</v>
      </c>
      <c r="AI987" s="58"/>
    </row>
    <row r="988" spans="1:35" ht="16.5" customHeight="1">
      <c r="A988" s="6" t="s">
        <v>2235</v>
      </c>
      <c r="D988" s="7">
        <v>0</v>
      </c>
      <c r="E988" s="7">
        <v>0</v>
      </c>
      <c r="F988" s="5">
        <v>0</v>
      </c>
      <c r="G988" s="7">
        <v>0</v>
      </c>
      <c r="H988" s="5">
        <v>160</v>
      </c>
      <c r="I988" s="7">
        <v>11154.9</v>
      </c>
      <c r="J988" s="7">
        <v>0</v>
      </c>
      <c r="K988" s="5">
        <v>0</v>
      </c>
      <c r="L988" s="5">
        <v>0</v>
      </c>
      <c r="M988" s="5">
        <v>25</v>
      </c>
      <c r="N988" s="7">
        <v>25</v>
      </c>
      <c r="O988" s="7">
        <v>538</v>
      </c>
      <c r="P988" s="7">
        <v>25</v>
      </c>
      <c r="Q988" s="5">
        <v>0</v>
      </c>
      <c r="R988" s="5">
        <v>25</v>
      </c>
      <c r="S988" s="7">
        <v>1255.4000000000001</v>
      </c>
      <c r="T988" s="12">
        <v>43280</v>
      </c>
      <c r="U988" s="4">
        <v>1</v>
      </c>
      <c r="V988" s="4">
        <v>9</v>
      </c>
      <c r="W988" s="4">
        <v>9</v>
      </c>
      <c r="X988" s="45">
        <v>12948.3</v>
      </c>
      <c r="Y988" s="14" t="s">
        <v>1633</v>
      </c>
      <c r="Z988" s="14" t="s">
        <v>1492</v>
      </c>
      <c r="AA988" s="14" t="s">
        <v>3258</v>
      </c>
      <c r="AB988" s="44">
        <v>43291</v>
      </c>
      <c r="AC988" s="44" t="s">
        <v>3259</v>
      </c>
      <c r="AD988" s="29" t="s">
        <v>70</v>
      </c>
      <c r="AE988" s="24" t="s">
        <v>2244</v>
      </c>
      <c r="AF988" s="25" t="s">
        <v>1273</v>
      </c>
      <c r="AI988" s="58"/>
    </row>
    <row r="989" spans="1:35" ht="16.5" customHeight="1">
      <c r="A989" s="6" t="s">
        <v>2236</v>
      </c>
      <c r="B989" s="5">
        <v>88</v>
      </c>
      <c r="C989" s="7">
        <v>11474</v>
      </c>
      <c r="D989" s="7">
        <v>0</v>
      </c>
      <c r="E989" s="7">
        <v>0</v>
      </c>
      <c r="F989" s="5">
        <v>0</v>
      </c>
      <c r="G989" s="7">
        <v>0</v>
      </c>
      <c r="H989" s="5">
        <v>1</v>
      </c>
      <c r="I989" s="7">
        <v>166.41</v>
      </c>
      <c r="J989" s="7">
        <v>0</v>
      </c>
      <c r="K989" s="5">
        <v>0</v>
      </c>
      <c r="L989" s="5">
        <v>0</v>
      </c>
      <c r="M989" s="5">
        <v>0</v>
      </c>
      <c r="N989" s="7">
        <v>0</v>
      </c>
      <c r="O989" s="7">
        <v>0</v>
      </c>
      <c r="P989" s="7">
        <v>0</v>
      </c>
      <c r="Q989" s="5">
        <v>0</v>
      </c>
      <c r="R989" s="5">
        <v>0</v>
      </c>
      <c r="S989" s="7">
        <v>0</v>
      </c>
      <c r="T989" s="12">
        <v>43280</v>
      </c>
      <c r="U989" s="4">
        <v>1</v>
      </c>
      <c r="V989" s="4">
        <v>9</v>
      </c>
      <c r="W989" s="4">
        <v>9</v>
      </c>
      <c r="X989" s="45">
        <v>11640.41</v>
      </c>
      <c r="Y989" s="14" t="s">
        <v>1633</v>
      </c>
      <c r="Z989" s="14" t="s">
        <v>1492</v>
      </c>
      <c r="AA989" s="14" t="s">
        <v>3260</v>
      </c>
      <c r="AB989" s="44">
        <v>43284</v>
      </c>
      <c r="AC989" s="44" t="s">
        <v>3261</v>
      </c>
      <c r="AD989" s="29" t="s">
        <v>70</v>
      </c>
      <c r="AE989" s="24" t="s">
        <v>2245</v>
      </c>
      <c r="AF989" s="25" t="s">
        <v>1273</v>
      </c>
      <c r="AI989" s="58"/>
    </row>
    <row r="990" spans="1:35" ht="16.5" customHeight="1">
      <c r="A990" s="6" t="s">
        <v>2237</v>
      </c>
      <c r="B990" s="5">
        <v>330</v>
      </c>
      <c r="C990" s="7">
        <v>39547.5</v>
      </c>
      <c r="D990" s="7">
        <v>0</v>
      </c>
      <c r="E990" s="7">
        <v>0</v>
      </c>
      <c r="F990" s="5">
        <v>0</v>
      </c>
      <c r="G990" s="7">
        <v>0</v>
      </c>
      <c r="H990" s="5">
        <v>194</v>
      </c>
      <c r="I990" s="7">
        <v>23907.55</v>
      </c>
      <c r="J990" s="7">
        <v>0</v>
      </c>
      <c r="K990" s="5">
        <v>0</v>
      </c>
      <c r="L990" s="5">
        <v>0</v>
      </c>
      <c r="M990" s="5">
        <v>0</v>
      </c>
      <c r="N990" s="7">
        <v>0</v>
      </c>
      <c r="O990" s="7">
        <v>0</v>
      </c>
      <c r="P990" s="7">
        <v>0</v>
      </c>
      <c r="Q990" s="5">
        <v>0</v>
      </c>
      <c r="R990" s="5">
        <v>0</v>
      </c>
      <c r="S990" s="7">
        <v>0</v>
      </c>
      <c r="T990" s="12">
        <v>43280</v>
      </c>
      <c r="U990" s="4">
        <v>5</v>
      </c>
      <c r="V990" s="4">
        <v>9</v>
      </c>
      <c r="W990" s="4">
        <v>9</v>
      </c>
      <c r="X990" s="45">
        <v>63455.05</v>
      </c>
      <c r="Y990" s="14" t="s">
        <v>54</v>
      </c>
      <c r="Z990" s="14" t="s">
        <v>1355</v>
      </c>
      <c r="AA990" s="14" t="s">
        <v>3240</v>
      </c>
      <c r="AB990" s="44">
        <v>43283</v>
      </c>
      <c r="AC990" s="44" t="s">
        <v>3241</v>
      </c>
      <c r="AD990" s="29" t="s">
        <v>49</v>
      </c>
      <c r="AE990" s="24" t="s">
        <v>2246</v>
      </c>
      <c r="AF990" s="25" t="s">
        <v>1265</v>
      </c>
      <c r="AI990" s="58"/>
    </row>
    <row r="991" spans="1:35" ht="16.5" customHeight="1">
      <c r="A991" s="6" t="s">
        <v>2239</v>
      </c>
      <c r="D991" s="7">
        <v>0</v>
      </c>
      <c r="E991" s="7">
        <v>0</v>
      </c>
      <c r="F991" s="5">
        <v>0</v>
      </c>
      <c r="G991" s="7">
        <v>0</v>
      </c>
      <c r="H991" s="5">
        <v>100</v>
      </c>
      <c r="I991" s="7">
        <v>12375</v>
      </c>
      <c r="J991" s="7">
        <v>0</v>
      </c>
      <c r="K991" s="5">
        <v>0</v>
      </c>
      <c r="L991" s="5">
        <v>0</v>
      </c>
      <c r="M991" s="5">
        <v>44</v>
      </c>
      <c r="N991" s="7">
        <v>44</v>
      </c>
      <c r="O991" s="7">
        <v>9051.6</v>
      </c>
      <c r="P991" s="7">
        <v>0</v>
      </c>
      <c r="Q991" s="5">
        <v>0</v>
      </c>
      <c r="R991" s="5">
        <v>0</v>
      </c>
      <c r="S991" s="7">
        <v>0</v>
      </c>
      <c r="T991" s="12">
        <v>43280</v>
      </c>
      <c r="U991" s="4">
        <v>2</v>
      </c>
      <c r="V991" s="4">
        <v>9</v>
      </c>
      <c r="W991" s="4">
        <v>9</v>
      </c>
      <c r="X991" s="45">
        <v>21426.6</v>
      </c>
      <c r="Y991" s="14" t="s">
        <v>56</v>
      </c>
      <c r="Z991" s="14" t="s">
        <v>55</v>
      </c>
      <c r="AA991" s="14" t="s">
        <v>3262</v>
      </c>
      <c r="AB991" s="44">
        <v>43281</v>
      </c>
      <c r="AC991" s="44" t="s">
        <v>3249</v>
      </c>
      <c r="AD991" s="29" t="s">
        <v>51</v>
      </c>
      <c r="AE991" s="24" t="s">
        <v>2247</v>
      </c>
      <c r="AF991" s="25" t="s">
        <v>1270</v>
      </c>
      <c r="AI991" s="58"/>
    </row>
    <row r="992" spans="1:35" ht="16.5" customHeight="1">
      <c r="A992" s="6" t="s">
        <v>2241</v>
      </c>
      <c r="B992" s="5">
        <v>90</v>
      </c>
      <c r="C992" s="7">
        <v>12588</v>
      </c>
      <c r="D992" s="7">
        <v>0</v>
      </c>
      <c r="E992" s="7">
        <v>0</v>
      </c>
      <c r="F992" s="5">
        <v>0</v>
      </c>
      <c r="G992" s="7">
        <v>0</v>
      </c>
      <c r="H992" s="5">
        <v>0</v>
      </c>
      <c r="I992" s="7">
        <v>0</v>
      </c>
      <c r="J992" s="7">
        <v>0</v>
      </c>
      <c r="K992" s="5">
        <v>0</v>
      </c>
      <c r="L992" s="5">
        <v>0</v>
      </c>
      <c r="M992" s="5">
        <v>87</v>
      </c>
      <c r="N992" s="7">
        <v>87</v>
      </c>
      <c r="O992" s="7">
        <v>17966</v>
      </c>
      <c r="P992" s="7">
        <v>0</v>
      </c>
      <c r="Q992" s="5">
        <v>0</v>
      </c>
      <c r="R992" s="5">
        <v>0</v>
      </c>
      <c r="S992" s="7">
        <v>0</v>
      </c>
      <c r="T992" s="12">
        <v>43280</v>
      </c>
      <c r="U992" s="4">
        <v>3</v>
      </c>
      <c r="V992" s="4">
        <v>9</v>
      </c>
      <c r="W992" s="4">
        <v>9</v>
      </c>
      <c r="X992" s="45">
        <v>30554</v>
      </c>
      <c r="Y992" s="14" t="s">
        <v>54</v>
      </c>
      <c r="Z992" s="14" t="s">
        <v>59</v>
      </c>
      <c r="AA992" s="14" t="s">
        <v>3245</v>
      </c>
      <c r="AB992" s="44">
        <v>43281</v>
      </c>
      <c r="AC992" s="44" t="s">
        <v>3241</v>
      </c>
      <c r="AD992" s="29" t="s">
        <v>50</v>
      </c>
      <c r="AE992" s="24" t="s">
        <v>2248</v>
      </c>
      <c r="AF992" s="25" t="s">
        <v>1269</v>
      </c>
      <c r="AI992" s="58"/>
    </row>
    <row r="993" spans="1:35" ht="16.5" customHeight="1">
      <c r="A993" s="6" t="s">
        <v>2217</v>
      </c>
      <c r="B993" s="5">
        <v>681</v>
      </c>
      <c r="C993" s="7">
        <v>65571.550000000017</v>
      </c>
      <c r="D993" s="7">
        <v>0</v>
      </c>
      <c r="E993" s="7">
        <v>0</v>
      </c>
      <c r="F993" s="5">
        <v>0</v>
      </c>
      <c r="G993" s="7">
        <v>0</v>
      </c>
      <c r="H993" s="5">
        <v>0</v>
      </c>
      <c r="I993" s="7">
        <v>0</v>
      </c>
      <c r="J993" s="7">
        <v>0</v>
      </c>
      <c r="K993" s="5">
        <v>0</v>
      </c>
      <c r="L993" s="5">
        <v>0</v>
      </c>
      <c r="M993" s="5">
        <v>144</v>
      </c>
      <c r="N993" s="7">
        <v>144</v>
      </c>
      <c r="O993" s="7">
        <v>30701.1</v>
      </c>
      <c r="P993" s="7">
        <v>0</v>
      </c>
      <c r="Q993" s="5">
        <v>0</v>
      </c>
      <c r="R993" s="5">
        <v>0</v>
      </c>
      <c r="S993" s="7">
        <v>0</v>
      </c>
      <c r="T993" s="12">
        <v>43280</v>
      </c>
      <c r="U993" s="4">
        <v>8</v>
      </c>
      <c r="V993" s="4">
        <v>9</v>
      </c>
      <c r="W993" s="4">
        <v>9</v>
      </c>
      <c r="X993" s="45">
        <v>96272.650000000023</v>
      </c>
      <c r="Y993" s="14" t="s">
        <v>54</v>
      </c>
      <c r="Z993" s="14" t="s">
        <v>59</v>
      </c>
      <c r="AA993" s="14" t="s">
        <v>3263</v>
      </c>
      <c r="AB993" s="44">
        <v>43287</v>
      </c>
      <c r="AC993" s="44" t="s">
        <v>3231</v>
      </c>
      <c r="AD993" s="29" t="s">
        <v>50</v>
      </c>
      <c r="AE993" s="24" t="s">
        <v>2249</v>
      </c>
      <c r="AF993" s="25" t="s">
        <v>1269</v>
      </c>
      <c r="AI993" s="58"/>
    </row>
    <row r="994" spans="1:35" ht="16.5" customHeight="1">
      <c r="A994" s="6" t="s">
        <v>2242</v>
      </c>
      <c r="D994" s="7">
        <v>0</v>
      </c>
      <c r="E994" s="7">
        <v>0</v>
      </c>
      <c r="F994" s="5">
        <v>0</v>
      </c>
      <c r="G994" s="7">
        <v>0</v>
      </c>
      <c r="H994" s="5">
        <v>0</v>
      </c>
      <c r="I994" s="7">
        <v>0</v>
      </c>
      <c r="J994" s="7">
        <v>0</v>
      </c>
      <c r="K994" s="5">
        <v>0</v>
      </c>
      <c r="L994" s="5">
        <v>0</v>
      </c>
      <c r="M994" s="5">
        <v>0</v>
      </c>
      <c r="N994" s="7">
        <v>0</v>
      </c>
      <c r="O994" s="7">
        <v>0</v>
      </c>
      <c r="P994" s="7">
        <v>626</v>
      </c>
      <c r="Q994" s="5">
        <v>0</v>
      </c>
      <c r="R994" s="5">
        <v>626</v>
      </c>
      <c r="S994" s="7">
        <v>60613</v>
      </c>
      <c r="T994" s="12">
        <v>43280</v>
      </c>
      <c r="U994" s="4">
        <v>2</v>
      </c>
      <c r="V994" s="4">
        <v>9</v>
      </c>
      <c r="W994" s="4">
        <v>9</v>
      </c>
      <c r="X994" s="45">
        <v>60613</v>
      </c>
      <c r="Y994" s="14" t="s">
        <v>54</v>
      </c>
      <c r="Z994" s="14" t="s">
        <v>57</v>
      </c>
      <c r="AA994" s="14" t="s">
        <v>3251</v>
      </c>
      <c r="AB994" s="44">
        <v>43287</v>
      </c>
      <c r="AC994" s="44" t="s">
        <v>3231</v>
      </c>
      <c r="AD994" s="29" t="s">
        <v>49</v>
      </c>
      <c r="AE994" s="24" t="s">
        <v>2250</v>
      </c>
      <c r="AF994" s="25" t="s">
        <v>2175</v>
      </c>
      <c r="AI994" s="58"/>
    </row>
    <row r="995" spans="1:35" ht="16.5" customHeight="1">
      <c r="A995" s="6" t="s">
        <v>2243</v>
      </c>
      <c r="D995" s="7">
        <v>0</v>
      </c>
      <c r="E995" s="7">
        <v>0</v>
      </c>
      <c r="F995" s="5">
        <v>0</v>
      </c>
      <c r="G995" s="7">
        <v>0</v>
      </c>
      <c r="H995" s="5">
        <v>0</v>
      </c>
      <c r="I995" s="7">
        <v>0</v>
      </c>
      <c r="J995" s="7">
        <v>0</v>
      </c>
      <c r="K995" s="5">
        <v>0</v>
      </c>
      <c r="L995" s="5">
        <v>0</v>
      </c>
      <c r="M995" s="5">
        <v>0</v>
      </c>
      <c r="N995" s="7">
        <v>0</v>
      </c>
      <c r="O995" s="7">
        <v>0</v>
      </c>
      <c r="P995" s="7">
        <v>728</v>
      </c>
      <c r="Q995" s="5">
        <v>0</v>
      </c>
      <c r="R995" s="5">
        <v>728</v>
      </c>
      <c r="S995" s="7">
        <v>117430.5</v>
      </c>
      <c r="T995" s="12">
        <v>43280</v>
      </c>
      <c r="U995" s="4">
        <v>8</v>
      </c>
      <c r="V995" s="4">
        <v>9</v>
      </c>
      <c r="W995" s="4">
        <v>9</v>
      </c>
      <c r="X995" s="45">
        <v>117430.5</v>
      </c>
      <c r="Y995" s="14" t="s">
        <v>56</v>
      </c>
      <c r="Z995" s="14" t="s">
        <v>55</v>
      </c>
      <c r="AA995" s="14" t="s">
        <v>3264</v>
      </c>
      <c r="AB995" s="44">
        <v>43293</v>
      </c>
      <c r="AC995" s="44" t="s">
        <v>3265</v>
      </c>
      <c r="AD995" s="29" t="s">
        <v>51</v>
      </c>
      <c r="AE995" s="24" t="s">
        <v>2251</v>
      </c>
      <c r="AF995" s="25" t="s">
        <v>2150</v>
      </c>
      <c r="AI995" s="58"/>
    </row>
    <row r="996" spans="1:35" ht="16.5" customHeight="1">
      <c r="A996" s="6" t="s">
        <v>2252</v>
      </c>
      <c r="B996" s="5">
        <v>85</v>
      </c>
      <c r="C996" s="7">
        <v>8862.5</v>
      </c>
      <c r="D996" s="7">
        <v>0</v>
      </c>
      <c r="E996" s="7">
        <v>0</v>
      </c>
      <c r="F996" s="5">
        <v>0</v>
      </c>
      <c r="G996" s="7">
        <v>0</v>
      </c>
      <c r="H996" s="5">
        <v>40</v>
      </c>
      <c r="I996" s="7">
        <v>4103.4500000000007</v>
      </c>
      <c r="J996" s="7">
        <v>0</v>
      </c>
      <c r="K996" s="5">
        <v>0</v>
      </c>
      <c r="L996" s="5">
        <v>0</v>
      </c>
      <c r="M996" s="5">
        <v>49</v>
      </c>
      <c r="N996" s="7">
        <v>49</v>
      </c>
      <c r="O996" s="7">
        <v>8138.1</v>
      </c>
      <c r="P996" s="7">
        <v>0</v>
      </c>
      <c r="Q996" s="5">
        <v>0</v>
      </c>
      <c r="R996" s="5">
        <v>0</v>
      </c>
      <c r="S996" s="7">
        <v>0</v>
      </c>
      <c r="T996" s="12">
        <v>43281</v>
      </c>
      <c r="U996" s="4">
        <v>2</v>
      </c>
      <c r="V996" s="4">
        <v>9</v>
      </c>
      <c r="W996" s="4">
        <v>9</v>
      </c>
      <c r="X996" s="45">
        <v>21104.050000000003</v>
      </c>
      <c r="Y996" s="14" t="s">
        <v>54</v>
      </c>
      <c r="Z996" s="14" t="s">
        <v>1281</v>
      </c>
      <c r="AA996" s="14" t="s">
        <v>3253</v>
      </c>
      <c r="AB996" s="44">
        <v>43282</v>
      </c>
      <c r="AC996" s="44" t="s">
        <v>3247</v>
      </c>
      <c r="AD996" s="29" t="s">
        <v>52</v>
      </c>
      <c r="AE996" s="24" t="s">
        <v>2255</v>
      </c>
      <c r="AF996" s="25" t="s">
        <v>1271</v>
      </c>
      <c r="AI996" s="58"/>
    </row>
    <row r="997" spans="1:35" ht="16.5" customHeight="1">
      <c r="A997" s="6" t="s">
        <v>2253</v>
      </c>
      <c r="B997" s="5">
        <v>442</v>
      </c>
      <c r="C997" s="7">
        <v>39821.1</v>
      </c>
      <c r="D997" s="7">
        <v>0</v>
      </c>
      <c r="E997" s="7">
        <v>0</v>
      </c>
      <c r="F997" s="5">
        <v>0</v>
      </c>
      <c r="G997" s="7">
        <v>0</v>
      </c>
      <c r="H997" s="5">
        <v>125</v>
      </c>
      <c r="I997" s="7">
        <v>14482.15</v>
      </c>
      <c r="J997" s="7">
        <v>0</v>
      </c>
      <c r="K997" s="5">
        <v>0</v>
      </c>
      <c r="L997" s="5">
        <v>0</v>
      </c>
      <c r="M997" s="5">
        <v>0</v>
      </c>
      <c r="N997" s="7">
        <v>0</v>
      </c>
      <c r="O997" s="7">
        <v>0</v>
      </c>
      <c r="P997" s="7">
        <v>0</v>
      </c>
      <c r="Q997" s="5">
        <v>0</v>
      </c>
      <c r="R997" s="5">
        <v>0</v>
      </c>
      <c r="S997" s="7">
        <v>0</v>
      </c>
      <c r="T997" s="12">
        <v>43281</v>
      </c>
      <c r="U997" s="4">
        <v>4</v>
      </c>
      <c r="V997" s="4">
        <v>9</v>
      </c>
      <c r="W997" s="4">
        <v>9</v>
      </c>
      <c r="X997" s="45">
        <v>54303.25</v>
      </c>
      <c r="Y997" s="14" t="s">
        <v>54</v>
      </c>
      <c r="Z997" s="14" t="s">
        <v>55</v>
      </c>
      <c r="AA997" s="14" t="s">
        <v>3246</v>
      </c>
      <c r="AB997" s="44">
        <v>43281</v>
      </c>
      <c r="AC997" s="44" t="s">
        <v>3247</v>
      </c>
      <c r="AD997" s="29" t="s">
        <v>51</v>
      </c>
      <c r="AE997" s="24" t="s">
        <v>2256</v>
      </c>
      <c r="AF997" s="25" t="s">
        <v>1270</v>
      </c>
      <c r="AI997" s="58"/>
    </row>
    <row r="998" spans="1:35" ht="16.5" customHeight="1">
      <c r="A998" s="6" t="s">
        <v>2238</v>
      </c>
      <c r="D998" s="7">
        <v>0</v>
      </c>
      <c r="E998" s="7">
        <v>0</v>
      </c>
      <c r="F998" s="5">
        <v>0</v>
      </c>
      <c r="G998" s="7">
        <v>0</v>
      </c>
      <c r="H998" s="5">
        <v>799</v>
      </c>
      <c r="I998" s="7">
        <v>99315.74</v>
      </c>
      <c r="J998" s="7">
        <v>0</v>
      </c>
      <c r="K998" s="5">
        <v>0</v>
      </c>
      <c r="L998" s="5">
        <v>0</v>
      </c>
      <c r="M998" s="5">
        <v>0</v>
      </c>
      <c r="N998" s="7">
        <v>0</v>
      </c>
      <c r="O998" s="7">
        <v>0</v>
      </c>
      <c r="P998" s="7">
        <v>0</v>
      </c>
      <c r="Q998" s="5">
        <v>0</v>
      </c>
      <c r="R998" s="5">
        <v>0</v>
      </c>
      <c r="S998" s="7">
        <v>0</v>
      </c>
      <c r="T998" s="12">
        <v>43281</v>
      </c>
      <c r="U998" s="4">
        <v>7</v>
      </c>
      <c r="V998" s="4">
        <v>9</v>
      </c>
      <c r="W998" s="4">
        <v>9</v>
      </c>
      <c r="X998" s="45">
        <v>99315.74</v>
      </c>
      <c r="Y998" s="14" t="s">
        <v>85</v>
      </c>
      <c r="Z998" s="14" t="s">
        <v>57</v>
      </c>
      <c r="AA998" s="14">
        <v>350810072453</v>
      </c>
      <c r="AB998" s="44">
        <v>43285</v>
      </c>
      <c r="AC998" s="44" t="s">
        <v>3252</v>
      </c>
      <c r="AD998" s="29" t="s">
        <v>49</v>
      </c>
      <c r="AE998" s="24" t="s">
        <v>2267</v>
      </c>
      <c r="AF998" s="25" t="s">
        <v>1265</v>
      </c>
      <c r="AI998" s="58"/>
    </row>
    <row r="999" spans="1:35" ht="16.5" customHeight="1">
      <c r="A999" s="6" t="s">
        <v>2258</v>
      </c>
      <c r="B999" s="5">
        <v>180</v>
      </c>
      <c r="C999" s="7">
        <v>26692.6</v>
      </c>
      <c r="D999" s="7">
        <v>93</v>
      </c>
      <c r="E999" s="7">
        <v>93</v>
      </c>
      <c r="F999" s="5">
        <v>0</v>
      </c>
      <c r="G999" s="7">
        <v>3963.5</v>
      </c>
      <c r="H999" s="5">
        <v>570</v>
      </c>
      <c r="I999" s="7">
        <v>68450.850000000006</v>
      </c>
      <c r="J999" s="7">
        <v>0</v>
      </c>
      <c r="K999" s="5">
        <v>0</v>
      </c>
      <c r="L999" s="5">
        <v>0</v>
      </c>
      <c r="M999" s="5">
        <v>0</v>
      </c>
      <c r="N999" s="7">
        <v>0</v>
      </c>
      <c r="O999" s="7">
        <v>0</v>
      </c>
      <c r="P999" s="7">
        <v>0</v>
      </c>
      <c r="Q999" s="5">
        <v>0</v>
      </c>
      <c r="R999" s="5">
        <v>0</v>
      </c>
      <c r="S999" s="7">
        <v>0</v>
      </c>
      <c r="T999" s="12">
        <v>43281</v>
      </c>
      <c r="U999" s="4">
        <v>8</v>
      </c>
      <c r="V999" s="4">
        <v>9</v>
      </c>
      <c r="W999" s="4">
        <v>9</v>
      </c>
      <c r="X999" s="45">
        <v>99106.950000000012</v>
      </c>
      <c r="Y999" s="14" t="s">
        <v>56</v>
      </c>
      <c r="Z999" s="14" t="s">
        <v>1281</v>
      </c>
      <c r="AA999" s="14" t="s">
        <v>3266</v>
      </c>
      <c r="AB999" s="44">
        <v>43293</v>
      </c>
      <c r="AC999" s="44" t="s">
        <v>3267</v>
      </c>
      <c r="AD999" s="29" t="s">
        <v>49</v>
      </c>
      <c r="AE999" s="24" t="s">
        <v>2268</v>
      </c>
      <c r="AF999" s="25" t="s">
        <v>1265</v>
      </c>
      <c r="AI999" s="58"/>
    </row>
    <row r="1000" spans="1:35" ht="16.5" customHeight="1">
      <c r="A1000" s="6" t="s">
        <v>2259</v>
      </c>
      <c r="D1000" s="7">
        <v>0</v>
      </c>
      <c r="E1000" s="7">
        <v>0</v>
      </c>
      <c r="F1000" s="5">
        <v>0</v>
      </c>
      <c r="G1000" s="7">
        <v>0</v>
      </c>
      <c r="H1000" s="5">
        <v>225</v>
      </c>
      <c r="I1000" s="7">
        <v>27116.460000000003</v>
      </c>
      <c r="J1000" s="7">
        <v>0</v>
      </c>
      <c r="K1000" s="5">
        <v>0</v>
      </c>
      <c r="L1000" s="5">
        <v>0</v>
      </c>
      <c r="M1000" s="5">
        <v>85</v>
      </c>
      <c r="N1000" s="7">
        <v>85</v>
      </c>
      <c r="O1000" s="7">
        <v>9013.2999999999993</v>
      </c>
      <c r="P1000" s="7">
        <v>0</v>
      </c>
      <c r="Q1000" s="5">
        <v>0</v>
      </c>
      <c r="R1000" s="5">
        <v>0</v>
      </c>
      <c r="S1000" s="7">
        <v>0</v>
      </c>
      <c r="T1000" s="12">
        <v>43281</v>
      </c>
      <c r="U1000" s="4">
        <v>3</v>
      </c>
      <c r="V1000" s="4">
        <v>9</v>
      </c>
      <c r="W1000" s="4">
        <v>9</v>
      </c>
      <c r="X1000" s="45">
        <v>36129.760000000002</v>
      </c>
      <c r="Y1000" s="14" t="s">
        <v>56</v>
      </c>
      <c r="Z1000" s="14" t="s">
        <v>1281</v>
      </c>
      <c r="AA1000" s="14" t="s">
        <v>3236</v>
      </c>
      <c r="AB1000" s="44">
        <v>43286</v>
      </c>
      <c r="AC1000" s="44" t="s">
        <v>3237</v>
      </c>
      <c r="AD1000" s="29" t="s">
        <v>52</v>
      </c>
      <c r="AE1000" s="24" t="s">
        <v>2269</v>
      </c>
      <c r="AF1000" s="25" t="s">
        <v>1271</v>
      </c>
      <c r="AI1000" s="58"/>
    </row>
    <row r="1001" spans="1:35" ht="16.5" customHeight="1">
      <c r="A1001" s="6" t="s">
        <v>2240</v>
      </c>
      <c r="B1001" s="5">
        <v>257</v>
      </c>
      <c r="C1001" s="7">
        <v>25806.050000000003</v>
      </c>
      <c r="D1001" s="7">
        <v>0</v>
      </c>
      <c r="E1001" s="7">
        <v>0</v>
      </c>
      <c r="F1001" s="5">
        <v>0</v>
      </c>
      <c r="G1001" s="7">
        <v>0</v>
      </c>
      <c r="H1001" s="5">
        <v>346</v>
      </c>
      <c r="I1001" s="7">
        <v>42613.450000000004</v>
      </c>
      <c r="J1001" s="7">
        <v>0</v>
      </c>
      <c r="K1001" s="5">
        <v>0</v>
      </c>
      <c r="L1001" s="5">
        <v>0</v>
      </c>
      <c r="M1001" s="5">
        <v>7</v>
      </c>
      <c r="N1001" s="7">
        <v>7</v>
      </c>
      <c r="O1001" s="7">
        <v>126.70000000000002</v>
      </c>
      <c r="P1001" s="7">
        <v>7</v>
      </c>
      <c r="Q1001" s="5">
        <v>0</v>
      </c>
      <c r="R1001" s="5">
        <v>7</v>
      </c>
      <c r="S1001" s="7">
        <v>351.60999999999996</v>
      </c>
      <c r="T1001" s="12">
        <v>43281</v>
      </c>
      <c r="U1001" s="4">
        <v>5</v>
      </c>
      <c r="V1001" s="4">
        <v>9</v>
      </c>
      <c r="W1001" s="4">
        <v>9</v>
      </c>
      <c r="X1001" s="45">
        <v>68897.81</v>
      </c>
      <c r="Y1001" s="14" t="s">
        <v>56</v>
      </c>
      <c r="Z1001" s="14" t="s">
        <v>1355</v>
      </c>
      <c r="AA1001" s="14" t="s">
        <v>3228</v>
      </c>
      <c r="AB1001" s="44">
        <v>43285</v>
      </c>
      <c r="AC1001" s="44" t="s">
        <v>3229</v>
      </c>
      <c r="AD1001" s="29" t="s">
        <v>51</v>
      </c>
      <c r="AE1001" s="24" t="s">
        <v>2270</v>
      </c>
      <c r="AF1001" s="25" t="s">
        <v>1270</v>
      </c>
      <c r="AI1001" s="58"/>
    </row>
    <row r="1002" spans="1:35" ht="16.5" customHeight="1">
      <c r="A1002" s="6" t="s">
        <v>2260</v>
      </c>
      <c r="B1002" s="5">
        <v>96</v>
      </c>
      <c r="C1002" s="7">
        <v>12556.800000000001</v>
      </c>
      <c r="D1002" s="7">
        <v>0</v>
      </c>
      <c r="E1002" s="7">
        <v>0</v>
      </c>
      <c r="F1002" s="5">
        <v>0</v>
      </c>
      <c r="G1002" s="7">
        <v>0</v>
      </c>
      <c r="H1002" s="5">
        <v>0</v>
      </c>
      <c r="I1002" s="7">
        <v>0</v>
      </c>
      <c r="J1002" s="7">
        <v>0</v>
      </c>
      <c r="K1002" s="5">
        <v>0</v>
      </c>
      <c r="L1002" s="5">
        <v>0</v>
      </c>
      <c r="M1002" s="5">
        <v>57</v>
      </c>
      <c r="N1002" s="7">
        <v>57</v>
      </c>
      <c r="O1002" s="7">
        <v>9092.7000000000007</v>
      </c>
      <c r="P1002" s="7">
        <v>0</v>
      </c>
      <c r="Q1002" s="5">
        <v>0</v>
      </c>
      <c r="R1002" s="5">
        <v>0</v>
      </c>
      <c r="S1002" s="7">
        <v>0</v>
      </c>
      <c r="T1002" s="12">
        <v>43281</v>
      </c>
      <c r="U1002" s="4">
        <v>2</v>
      </c>
      <c r="V1002" s="4">
        <v>9</v>
      </c>
      <c r="W1002" s="4">
        <v>9</v>
      </c>
      <c r="X1002" s="45">
        <v>21649.5</v>
      </c>
      <c r="Y1002" s="14" t="s">
        <v>56</v>
      </c>
      <c r="Z1002" s="14" t="s">
        <v>55</v>
      </c>
      <c r="AA1002" s="14" t="s">
        <v>3264</v>
      </c>
      <c r="AB1002" s="44">
        <v>43293</v>
      </c>
      <c r="AC1002" s="44" t="s">
        <v>3265</v>
      </c>
      <c r="AD1002" s="29" t="s">
        <v>51</v>
      </c>
      <c r="AE1002" s="24" t="s">
        <v>2271</v>
      </c>
      <c r="AF1002" s="25" t="s">
        <v>1270</v>
      </c>
      <c r="AI1002" s="58"/>
    </row>
    <row r="1003" spans="1:35" ht="16.5" customHeight="1">
      <c r="A1003" s="6" t="s">
        <v>2261</v>
      </c>
      <c r="B1003" s="5">
        <v>224</v>
      </c>
      <c r="C1003" s="7">
        <v>24751.200000000001</v>
      </c>
      <c r="D1003" s="7">
        <v>0</v>
      </c>
      <c r="E1003" s="7">
        <v>0</v>
      </c>
      <c r="F1003" s="5">
        <v>0</v>
      </c>
      <c r="G1003" s="7">
        <v>0</v>
      </c>
      <c r="H1003" s="5">
        <v>60</v>
      </c>
      <c r="I1003" s="7">
        <v>1486.5</v>
      </c>
      <c r="J1003" s="7">
        <v>0</v>
      </c>
      <c r="K1003" s="5">
        <v>0</v>
      </c>
      <c r="L1003" s="5">
        <v>0</v>
      </c>
      <c r="M1003" s="5">
        <v>73</v>
      </c>
      <c r="N1003" s="7">
        <v>73</v>
      </c>
      <c r="O1003" s="7">
        <v>10598.099999999999</v>
      </c>
      <c r="P1003" s="7">
        <v>15</v>
      </c>
      <c r="Q1003" s="5">
        <v>0</v>
      </c>
      <c r="R1003" s="5">
        <v>15</v>
      </c>
      <c r="S1003" s="7">
        <v>748.5</v>
      </c>
      <c r="T1003" s="12">
        <v>43281</v>
      </c>
      <c r="U1003" s="4">
        <v>3</v>
      </c>
      <c r="V1003" s="4">
        <v>9</v>
      </c>
      <c r="W1003" s="4">
        <v>9</v>
      </c>
      <c r="X1003" s="45">
        <v>37584.300000000003</v>
      </c>
      <c r="Y1003" s="14" t="s">
        <v>54</v>
      </c>
      <c r="Z1003" s="14" t="s">
        <v>730</v>
      </c>
      <c r="AA1003" s="14" t="s">
        <v>3263</v>
      </c>
      <c r="AB1003" s="44">
        <v>43287</v>
      </c>
      <c r="AC1003" s="44" t="s">
        <v>3231</v>
      </c>
      <c r="AD1003" s="29" t="s">
        <v>50</v>
      </c>
      <c r="AE1003" s="24" t="s">
        <v>2272</v>
      </c>
      <c r="AF1003" s="25" t="s">
        <v>1269</v>
      </c>
      <c r="AI1003" s="58"/>
    </row>
    <row r="1004" spans="1:35" ht="16.5" customHeight="1">
      <c r="A1004" s="6" t="s">
        <v>2262</v>
      </c>
      <c r="B1004" s="5">
        <v>118</v>
      </c>
      <c r="C1004" s="7">
        <v>11718</v>
      </c>
      <c r="D1004" s="7">
        <v>0</v>
      </c>
      <c r="E1004" s="7">
        <v>0</v>
      </c>
      <c r="F1004" s="5">
        <v>0</v>
      </c>
      <c r="G1004" s="7">
        <v>0</v>
      </c>
      <c r="H1004" s="5">
        <v>0</v>
      </c>
      <c r="I1004" s="7">
        <v>0</v>
      </c>
      <c r="J1004" s="7">
        <v>0</v>
      </c>
      <c r="K1004" s="5">
        <v>0</v>
      </c>
      <c r="L1004" s="5">
        <v>0</v>
      </c>
      <c r="M1004" s="5">
        <v>59</v>
      </c>
      <c r="N1004" s="7">
        <v>59</v>
      </c>
      <c r="O1004" s="7">
        <v>11717.2</v>
      </c>
      <c r="P1004" s="7">
        <v>0</v>
      </c>
      <c r="Q1004" s="5">
        <v>0</v>
      </c>
      <c r="R1004" s="5">
        <v>0</v>
      </c>
      <c r="S1004" s="7">
        <v>0</v>
      </c>
      <c r="T1004" s="12">
        <v>43281</v>
      </c>
      <c r="U1004" s="4">
        <v>2</v>
      </c>
      <c r="V1004" s="4">
        <v>9</v>
      </c>
      <c r="W1004" s="4">
        <v>9</v>
      </c>
      <c r="X1004" s="45">
        <v>23435.200000000001</v>
      </c>
      <c r="Y1004" s="14" t="s">
        <v>54</v>
      </c>
      <c r="Z1004" s="14" t="s">
        <v>59</v>
      </c>
      <c r="AA1004" s="14" t="s">
        <v>3256</v>
      </c>
      <c r="AB1004" s="44">
        <v>43296</v>
      </c>
      <c r="AC1004" s="44" t="s">
        <v>3257</v>
      </c>
      <c r="AD1004" s="29" t="s">
        <v>50</v>
      </c>
      <c r="AE1004" s="24" t="s">
        <v>2273</v>
      </c>
      <c r="AF1004" s="25" t="s">
        <v>1269</v>
      </c>
      <c r="AI1004" s="58"/>
    </row>
    <row r="1005" spans="1:35" ht="16.5" customHeight="1">
      <c r="A1005" s="6" t="s">
        <v>2254</v>
      </c>
      <c r="D1005" s="7">
        <v>0</v>
      </c>
      <c r="E1005" s="7">
        <v>0</v>
      </c>
      <c r="F1005" s="5">
        <v>0</v>
      </c>
      <c r="G1005" s="7">
        <v>0</v>
      </c>
      <c r="H1005" s="5">
        <v>0</v>
      </c>
      <c r="I1005" s="7">
        <v>0</v>
      </c>
      <c r="J1005" s="7">
        <v>0</v>
      </c>
      <c r="K1005" s="5">
        <v>0</v>
      </c>
      <c r="L1005" s="5">
        <v>0</v>
      </c>
      <c r="M1005" s="5">
        <v>0</v>
      </c>
      <c r="N1005" s="7">
        <v>0</v>
      </c>
      <c r="O1005" s="7">
        <v>0</v>
      </c>
      <c r="P1005" s="7">
        <v>1037</v>
      </c>
      <c r="Q1005" s="5">
        <v>0</v>
      </c>
      <c r="R1005" s="5">
        <v>1037</v>
      </c>
      <c r="S1005" s="7">
        <v>153869.5</v>
      </c>
      <c r="T1005" s="12">
        <v>43281</v>
      </c>
      <c r="U1005" s="4">
        <v>4</v>
      </c>
      <c r="V1005" s="4">
        <v>9</v>
      </c>
      <c r="W1005" s="4">
        <v>9</v>
      </c>
      <c r="X1005" s="45">
        <v>153869.5</v>
      </c>
      <c r="Y1005" s="14" t="s">
        <v>54</v>
      </c>
      <c r="Z1005" s="14" t="s">
        <v>730</v>
      </c>
      <c r="AA1005" s="14" t="s">
        <v>3240</v>
      </c>
      <c r="AB1005" s="44">
        <v>43283</v>
      </c>
      <c r="AC1005" s="44" t="s">
        <v>3241</v>
      </c>
      <c r="AD1005" s="29" t="s">
        <v>49</v>
      </c>
      <c r="AE1005" s="24" t="s">
        <v>2257</v>
      </c>
      <c r="AF1005" s="25" t="s">
        <v>2175</v>
      </c>
      <c r="AI1005" s="58"/>
    </row>
    <row r="1006" spans="1:35" ht="16.5" customHeight="1">
      <c r="A1006" s="6" t="s">
        <v>2263</v>
      </c>
      <c r="D1006" s="7">
        <v>0</v>
      </c>
      <c r="E1006" s="7">
        <v>0</v>
      </c>
      <c r="F1006" s="5">
        <v>0</v>
      </c>
      <c r="G1006" s="7">
        <v>0</v>
      </c>
      <c r="H1006" s="5">
        <v>0</v>
      </c>
      <c r="I1006" s="7">
        <v>0</v>
      </c>
      <c r="J1006" s="7">
        <v>0</v>
      </c>
      <c r="K1006" s="5">
        <v>0</v>
      </c>
      <c r="L1006" s="5">
        <v>0</v>
      </c>
      <c r="M1006" s="5">
        <v>0</v>
      </c>
      <c r="N1006" s="7">
        <v>0</v>
      </c>
      <c r="O1006" s="7">
        <v>0</v>
      </c>
      <c r="P1006" s="7">
        <v>553</v>
      </c>
      <c r="Q1006" s="5">
        <v>0</v>
      </c>
      <c r="R1006" s="5">
        <v>553</v>
      </c>
      <c r="S1006" s="7">
        <v>36221.5</v>
      </c>
      <c r="T1006" s="12">
        <v>43281</v>
      </c>
      <c r="U1006" s="4">
        <v>1</v>
      </c>
      <c r="V1006" s="4">
        <v>9</v>
      </c>
      <c r="W1006" s="4">
        <v>9</v>
      </c>
      <c r="X1006" s="45">
        <v>36221.5</v>
      </c>
      <c r="Y1006" s="14" t="s">
        <v>56</v>
      </c>
      <c r="Z1006" s="14" t="s">
        <v>1281</v>
      </c>
      <c r="AA1006" s="14" t="s">
        <v>3266</v>
      </c>
      <c r="AB1006" s="44">
        <v>43293</v>
      </c>
      <c r="AC1006" s="44" t="s">
        <v>3267</v>
      </c>
      <c r="AD1006" s="29" t="s">
        <v>49</v>
      </c>
      <c r="AE1006" s="24" t="s">
        <v>2274</v>
      </c>
      <c r="AF1006" s="25" t="s">
        <v>2175</v>
      </c>
      <c r="AI1006" s="58"/>
    </row>
    <row r="1007" spans="1:35" ht="16.5" customHeight="1">
      <c r="A1007" s="6" t="s">
        <v>2264</v>
      </c>
      <c r="D1007" s="7">
        <v>0</v>
      </c>
      <c r="E1007" s="7">
        <v>0</v>
      </c>
      <c r="F1007" s="5">
        <v>0</v>
      </c>
      <c r="G1007" s="7">
        <v>0</v>
      </c>
      <c r="H1007" s="5">
        <v>0</v>
      </c>
      <c r="I1007" s="7">
        <v>0</v>
      </c>
      <c r="J1007" s="7">
        <v>0</v>
      </c>
      <c r="K1007" s="5">
        <v>0</v>
      </c>
      <c r="L1007" s="5">
        <v>0</v>
      </c>
      <c r="M1007" s="5">
        <v>0</v>
      </c>
      <c r="N1007" s="7">
        <v>0</v>
      </c>
      <c r="O1007" s="7">
        <v>0</v>
      </c>
      <c r="P1007" s="7">
        <v>191</v>
      </c>
      <c r="Q1007" s="5">
        <v>0</v>
      </c>
      <c r="R1007" s="5">
        <v>191</v>
      </c>
      <c r="S1007" s="7">
        <v>27922.2</v>
      </c>
      <c r="T1007" s="12">
        <v>43281</v>
      </c>
      <c r="U1007" s="4">
        <v>2</v>
      </c>
      <c r="V1007" s="4">
        <v>9</v>
      </c>
      <c r="W1007" s="4">
        <v>9</v>
      </c>
      <c r="X1007" s="45">
        <v>27922.2</v>
      </c>
      <c r="Y1007" s="14" t="s">
        <v>54</v>
      </c>
      <c r="Z1007" s="14" t="s">
        <v>1492</v>
      </c>
      <c r="AA1007" s="14" t="s">
        <v>3268</v>
      </c>
      <c r="AB1007" s="44">
        <v>43296</v>
      </c>
      <c r="AC1007" s="44" t="s">
        <v>3257</v>
      </c>
      <c r="AD1007" s="29" t="s">
        <v>49</v>
      </c>
      <c r="AE1007" s="24" t="s">
        <v>2275</v>
      </c>
      <c r="AF1007" s="25" t="s">
        <v>2172</v>
      </c>
      <c r="AI1007" s="58"/>
    </row>
    <row r="1008" spans="1:35" ht="16.5" customHeight="1">
      <c r="A1008" s="6" t="s">
        <v>2265</v>
      </c>
      <c r="D1008" s="7">
        <v>0</v>
      </c>
      <c r="E1008" s="7">
        <v>0</v>
      </c>
      <c r="F1008" s="5">
        <v>0</v>
      </c>
      <c r="G1008" s="7">
        <v>0</v>
      </c>
      <c r="H1008" s="5">
        <v>0</v>
      </c>
      <c r="I1008" s="7">
        <v>0</v>
      </c>
      <c r="J1008" s="7">
        <v>0</v>
      </c>
      <c r="K1008" s="5">
        <v>0</v>
      </c>
      <c r="L1008" s="5">
        <v>0</v>
      </c>
      <c r="M1008" s="5">
        <v>0</v>
      </c>
      <c r="N1008" s="7">
        <v>0</v>
      </c>
      <c r="O1008" s="7">
        <v>0</v>
      </c>
      <c r="P1008" s="7">
        <v>100</v>
      </c>
      <c r="Q1008" s="5">
        <v>0</v>
      </c>
      <c r="R1008" s="5">
        <v>100</v>
      </c>
      <c r="S1008" s="7">
        <v>14214</v>
      </c>
      <c r="T1008" s="12">
        <v>43281</v>
      </c>
      <c r="U1008" s="4">
        <v>1</v>
      </c>
      <c r="V1008" s="4">
        <v>9</v>
      </c>
      <c r="W1008" s="4">
        <v>9</v>
      </c>
      <c r="X1008" s="45">
        <v>14214</v>
      </c>
      <c r="Y1008" s="14" t="s">
        <v>56</v>
      </c>
      <c r="Z1008" s="14" t="s">
        <v>59</v>
      </c>
      <c r="AA1008" s="14" t="s">
        <v>3269</v>
      </c>
      <c r="AB1008" s="44">
        <v>43293</v>
      </c>
      <c r="AC1008" s="44" t="s">
        <v>3270</v>
      </c>
      <c r="AD1008" s="29" t="s">
        <v>52</v>
      </c>
      <c r="AE1008" s="24" t="s">
        <v>2276</v>
      </c>
      <c r="AF1008" s="25" t="s">
        <v>2173</v>
      </c>
      <c r="AI1008" s="58"/>
    </row>
    <row r="1009" spans="1:35" ht="16.5" customHeight="1">
      <c r="A1009" s="6" t="s">
        <v>2266</v>
      </c>
      <c r="D1009" s="7">
        <v>0</v>
      </c>
      <c r="E1009" s="7">
        <v>0</v>
      </c>
      <c r="F1009" s="5">
        <v>0</v>
      </c>
      <c r="G1009" s="7">
        <v>0</v>
      </c>
      <c r="H1009" s="5">
        <v>0</v>
      </c>
      <c r="I1009" s="7">
        <v>0</v>
      </c>
      <c r="J1009" s="7">
        <v>0</v>
      </c>
      <c r="K1009" s="5">
        <v>0</v>
      </c>
      <c r="L1009" s="5">
        <v>0</v>
      </c>
      <c r="M1009" s="5">
        <v>0</v>
      </c>
      <c r="N1009" s="7">
        <v>0</v>
      </c>
      <c r="O1009" s="7">
        <v>0</v>
      </c>
      <c r="P1009" s="7">
        <v>220</v>
      </c>
      <c r="Q1009" s="5">
        <v>0</v>
      </c>
      <c r="R1009" s="5">
        <v>220</v>
      </c>
      <c r="S1009" s="7">
        <v>27348</v>
      </c>
      <c r="T1009" s="12">
        <v>43281</v>
      </c>
      <c r="U1009" s="4">
        <v>2</v>
      </c>
      <c r="V1009" s="4">
        <v>9</v>
      </c>
      <c r="W1009" s="4">
        <v>9</v>
      </c>
      <c r="X1009" s="45">
        <v>27348</v>
      </c>
      <c r="Y1009" s="14" t="s">
        <v>54</v>
      </c>
      <c r="Z1009" s="14" t="s">
        <v>1492</v>
      </c>
      <c r="AA1009" s="14" t="s">
        <v>3268</v>
      </c>
      <c r="AB1009" s="44">
        <v>43296</v>
      </c>
      <c r="AC1009" s="44" t="s">
        <v>3257</v>
      </c>
      <c r="AD1009" s="29" t="s">
        <v>49</v>
      </c>
      <c r="AE1009" s="24" t="s">
        <v>2277</v>
      </c>
      <c r="AF1009" s="25" t="s">
        <v>2174</v>
      </c>
      <c r="AI1009" s="58"/>
    </row>
    <row r="1010" spans="1:35" ht="16.5" customHeight="1">
      <c r="A1010" s="6" t="s">
        <v>2278</v>
      </c>
      <c r="D1010" s="7">
        <f t="shared" ref="D1010:D1011" si="15">E1010+F1010</f>
        <v>0</v>
      </c>
      <c r="E1010" s="7">
        <v>0</v>
      </c>
      <c r="F1010" s="5">
        <v>0</v>
      </c>
      <c r="G1010" s="7">
        <v>0</v>
      </c>
      <c r="H1010" s="5">
        <v>205</v>
      </c>
      <c r="I1010" s="7">
        <v>27115</v>
      </c>
      <c r="J1010" s="7">
        <v>0</v>
      </c>
      <c r="K1010" s="5">
        <v>0</v>
      </c>
      <c r="L1010" s="5">
        <v>0</v>
      </c>
      <c r="M1010" s="5">
        <v>0</v>
      </c>
      <c r="N1010" s="7">
        <f t="shared" ref="N1010:N1011" si="16">M1010-K1010</f>
        <v>0</v>
      </c>
      <c r="O1010" s="7">
        <v>0</v>
      </c>
      <c r="P1010" s="7">
        <f t="shared" ref="P1010:P1011" si="17">+Q1010+R1010</f>
        <v>0</v>
      </c>
      <c r="Q1010" s="5">
        <v>0</v>
      </c>
      <c r="R1010" s="5">
        <v>0</v>
      </c>
      <c r="S1010" s="7">
        <v>0</v>
      </c>
      <c r="T1010" s="12">
        <v>43283</v>
      </c>
      <c r="U1010" s="4">
        <v>2</v>
      </c>
      <c r="V1010" s="4">
        <v>9</v>
      </c>
      <c r="W1010" s="4">
        <v>9</v>
      </c>
      <c r="X1010" s="45">
        <f t="shared" ref="X1010:X1011" si="18">+C1010+G1010+I1010+O1010+S1010</f>
        <v>27115</v>
      </c>
      <c r="Y1010" s="14" t="s">
        <v>58</v>
      </c>
      <c r="Z1010" s="14" t="s">
        <v>1355</v>
      </c>
      <c r="AA1010" s="14" t="str">
        <f>IFERROR(VLOOKUP(A1010,'[2]UPDATE BILL 2018'!$B:$P,15,0),IFERROR(VLOOKUP(A1010,'[2]UPDATE BILL 2018'!$C:$P,14,0),IFERROR(VLOOKUP(A1010,'[2]UPDATE BILL 2018'!$D:$P,13,0),IFERROR(VLOOKUP(A1010,'[2]UPDATE BILL 2018'!$E:$P,12,0),IFERROR(VLOOKUP(A1010,'[2]UPDATE BILL 2018'!$F:$P,11,0),IFERROR(VLOOKUP(A1010,'[2]UPDATE BILL 2018'!$G:$P,10,0),IFERROR(VLOOKUP(A1010,'[2]UPDATE BILL 2018'!$H:$P,9,0),IFERROR(VLOOKUP(A1010,'[2]UPDATE BILL 2018'!$I:$P,8,0),VLOOKUP(A1010,'[2]UPDATE BILL 2018'!$B:$P,15,0)))))))))</f>
        <v>EGLV237800184477</v>
      </c>
      <c r="AB1010" s="44">
        <f>IFERROR(VLOOKUP(A1010,'[2]UPDATE BILL 2018'!$B:$T,19,0),IFERROR(VLOOKUP(A1010,'[2]UPDATE BILL 2018'!$C:$T,18,0),IFERROR(VLOOKUP(A1010,'[2]UPDATE BILL 2018'!$D:$T,17,0),IFERROR(VLOOKUP(A1010,'[2]UPDATE BILL 2018'!$E:$T,16,0),IFERROR(VLOOKUP(A1010,'[2]UPDATE BILL 2018'!$F:$T,15,0),IFERROR(VLOOKUP(A1010,'[2]UPDATE BILL 2018'!$G:$T,14,0),IFERROR(VLOOKUP(A1010,'[2]UPDATE BILL 2018'!$H:$T,13,0),IFERROR(VLOOKUP(A1010,'[2]UPDATE BILL 2018'!$I:$T,12,0),VLOOKUP(A1010,'[2]UPDATE BILL 2018'!$B:$T,19,0)))))))))</f>
        <v>43286</v>
      </c>
      <c r="AC1010" s="44" t="str">
        <f>IFERROR(VLOOKUP(A1010,'[2]UPDATE BILL 2018'!$B:$V,21,0),IFERROR(VLOOKUP(A1010,'[2]UPDATE BILL 2018'!$C:$V,20,0),IFERROR(VLOOKUP(A1010,'[2]UPDATE BILL 2018'!$D:$V,19,0),IFERROR(VLOOKUP(A1010,'[2]UPDATE BILL 2018'!$E:$V,18,0),IFERROR(VLOOKUP(A1010,'[2]UPDATE BILL 2018'!$F:$V,17,0),IFERROR(VLOOKUP(A1010,'[2]UPDATE BILL 2018'!$G:$V,16,0),IFERROR(VLOOKUP(A1010,'[2]UPDATE BILL 2018'!$H:$V,15,0),IFERROR(VLOOKUP(A1010,'[2]UPDATE BILL 2018'!$I:$V,14,0),VLOOKUP(A1010,'[2]UPDATE BILL 2018'!$B:$V,21,0)))))))))</f>
        <v>WAN HAI 267 N268</v>
      </c>
      <c r="AD1010" s="29" t="s">
        <v>49</v>
      </c>
      <c r="AE1010" s="24" t="s">
        <v>2287</v>
      </c>
      <c r="AF1010" s="25" t="s">
        <v>1265</v>
      </c>
      <c r="AI1010" s="58"/>
    </row>
    <row r="1011" spans="1:35" ht="16.5" customHeight="1">
      <c r="A1011" s="6" t="s">
        <v>2279</v>
      </c>
      <c r="B1011" s="5">
        <v>83</v>
      </c>
      <c r="C1011" s="7">
        <v>7916.4</v>
      </c>
      <c r="D1011" s="7">
        <f t="shared" si="15"/>
        <v>0</v>
      </c>
      <c r="E1011" s="7">
        <v>0</v>
      </c>
      <c r="F1011" s="5">
        <v>0</v>
      </c>
      <c r="G1011" s="7">
        <v>0</v>
      </c>
      <c r="H1011" s="5">
        <v>30</v>
      </c>
      <c r="I1011" s="7">
        <v>3838.8</v>
      </c>
      <c r="J1011" s="7">
        <v>0</v>
      </c>
      <c r="K1011" s="5">
        <v>0</v>
      </c>
      <c r="L1011" s="5">
        <v>0</v>
      </c>
      <c r="M1011" s="5">
        <v>88</v>
      </c>
      <c r="N1011" s="7">
        <f t="shared" si="16"/>
        <v>88</v>
      </c>
      <c r="O1011" s="7">
        <v>14399.5</v>
      </c>
      <c r="P1011" s="7">
        <f t="shared" si="17"/>
        <v>0</v>
      </c>
      <c r="Q1011" s="5">
        <v>0</v>
      </c>
      <c r="R1011" s="5">
        <v>0</v>
      </c>
      <c r="S1011" s="7">
        <v>0</v>
      </c>
      <c r="T1011" s="12">
        <v>43284</v>
      </c>
      <c r="U1011" s="4">
        <v>3</v>
      </c>
      <c r="V1011" s="4">
        <v>9</v>
      </c>
      <c r="W1011" s="4">
        <v>9</v>
      </c>
      <c r="X1011" s="45">
        <f t="shared" si="18"/>
        <v>26154.7</v>
      </c>
      <c r="Y1011" s="14" t="s">
        <v>85</v>
      </c>
      <c r="Z1011" s="14" t="s">
        <v>1637</v>
      </c>
      <c r="AA1011" s="14">
        <f>IFERROR(VLOOKUP(A1011,'[2]UPDATE BILL 2018'!$B:$P,15,0),IFERROR(VLOOKUP(A1011,'[2]UPDATE BILL 2018'!$C:$P,14,0),IFERROR(VLOOKUP(A1011,'[2]UPDATE BILL 2018'!$D:$P,13,0),IFERROR(VLOOKUP(A1011,'[2]UPDATE BILL 2018'!$E:$P,12,0),IFERROR(VLOOKUP(A1011,'[2]UPDATE BILL 2018'!$F:$P,11,0),IFERROR(VLOOKUP(A1011,'[2]UPDATE BILL 2018'!$G:$P,10,0),IFERROR(VLOOKUP(A1011,'[2]UPDATE BILL 2018'!$H:$P,9,0),IFERROR(VLOOKUP(A1011,'[2]UPDATE BILL 2018'!$I:$P,8,0),VLOOKUP(A1011,'[2]UPDATE BILL 2018'!$B:$P,15,0)))))))))</f>
        <v>350810075447</v>
      </c>
      <c r="AB1011" s="44">
        <f>IFERROR(VLOOKUP(A1011,'[2]UPDATE BILL 2018'!$B:$T,19,0),IFERROR(VLOOKUP(A1011,'[2]UPDATE BILL 2018'!$C:$T,18,0),IFERROR(VLOOKUP(A1011,'[2]UPDATE BILL 2018'!$D:$T,17,0),IFERROR(VLOOKUP(A1011,'[2]UPDATE BILL 2018'!$E:$T,16,0),IFERROR(VLOOKUP(A1011,'[2]UPDATE BILL 2018'!$F:$T,15,0),IFERROR(VLOOKUP(A1011,'[2]UPDATE BILL 2018'!$G:$T,14,0),IFERROR(VLOOKUP(A1011,'[2]UPDATE BILL 2018'!$H:$T,13,0),IFERROR(VLOOKUP(A1011,'[2]UPDATE BILL 2018'!$I:$T,12,0),VLOOKUP(A1011,'[2]UPDATE BILL 2018'!$B:$T,19,0)))))))))</f>
        <v>43290</v>
      </c>
      <c r="AC1011" s="44" t="str">
        <f>IFERROR(VLOOKUP(A1011,'[2]UPDATE BILL 2018'!$B:$V,21,0),IFERROR(VLOOKUP(A1011,'[2]UPDATE BILL 2018'!$C:$V,20,0),IFERROR(VLOOKUP(A1011,'[2]UPDATE BILL 2018'!$D:$V,19,0),IFERROR(VLOOKUP(A1011,'[2]UPDATE BILL 2018'!$E:$V,18,0),IFERROR(VLOOKUP(A1011,'[2]UPDATE BILL 2018'!$F:$V,17,0),IFERROR(VLOOKUP(A1011,'[2]UPDATE BILL 2018'!$G:$V,16,0),IFERROR(VLOOKUP(A1011,'[2]UPDATE BILL 2018'!$H:$V,15,0),IFERROR(VLOOKUP(A1011,'[2]UPDATE BILL 2018'!$I:$V,14,0),VLOOKUP(A1011,'[2]UPDATE BILL 2018'!$B:$V,21,0)))))))))</f>
        <v>LANTAU BRIDE 18012N</v>
      </c>
      <c r="AD1011" s="29" t="s">
        <v>49</v>
      </c>
      <c r="AE1011" s="24" t="s">
        <v>2312</v>
      </c>
      <c r="AF1011" s="25" t="s">
        <v>1267</v>
      </c>
      <c r="AI1011" s="58"/>
    </row>
    <row r="1012" spans="1:35" ht="16.5" customHeight="1">
      <c r="A1012" s="6" t="s">
        <v>2280</v>
      </c>
      <c r="B1012" s="5">
        <v>292</v>
      </c>
      <c r="C1012" s="7">
        <v>37197.900000000009</v>
      </c>
      <c r="D1012" s="7">
        <f t="shared" ref="D1012:D1020" si="19">E1012+F1012</f>
        <v>0</v>
      </c>
      <c r="E1012" s="7">
        <v>0</v>
      </c>
      <c r="F1012" s="5">
        <v>0</v>
      </c>
      <c r="G1012" s="7">
        <v>0</v>
      </c>
      <c r="H1012" s="5">
        <v>0</v>
      </c>
      <c r="I1012" s="7">
        <v>0</v>
      </c>
      <c r="J1012" s="7">
        <v>0</v>
      </c>
      <c r="K1012" s="5">
        <v>0</v>
      </c>
      <c r="L1012" s="5">
        <v>0</v>
      </c>
      <c r="M1012" s="5">
        <v>160</v>
      </c>
      <c r="N1012" s="7">
        <f t="shared" ref="N1012:N1020" si="20">M1012-K1012</f>
        <v>160</v>
      </c>
      <c r="O1012" s="7">
        <v>28590.799999999999</v>
      </c>
      <c r="P1012" s="7">
        <f t="shared" ref="P1012:P1020" si="21">+Q1012+R1012</f>
        <v>0</v>
      </c>
      <c r="Q1012" s="5">
        <v>0</v>
      </c>
      <c r="R1012" s="5">
        <v>0</v>
      </c>
      <c r="S1012" s="7">
        <v>0</v>
      </c>
      <c r="T1012" s="12">
        <v>43283</v>
      </c>
      <c r="U1012" s="4">
        <v>6</v>
      </c>
      <c r="V1012" s="4">
        <v>9</v>
      </c>
      <c r="W1012" s="4">
        <v>9</v>
      </c>
      <c r="X1012" s="45">
        <f t="shared" ref="X1012:X1020" si="22">+C1012+G1012+I1012+O1012+S1012</f>
        <v>65788.700000000012</v>
      </c>
      <c r="Y1012" s="14" t="s">
        <v>56</v>
      </c>
      <c r="Z1012" s="14" t="s">
        <v>1355</v>
      </c>
      <c r="AA1012" s="14" t="str">
        <f>IFERROR(VLOOKUP(A1012,'[2]UPDATE BILL 2018'!$B:$P,15,0),IFERROR(VLOOKUP(A1012,'[2]UPDATE BILL 2018'!$C:$P,14,0),IFERROR(VLOOKUP(A1012,'[2]UPDATE BILL 2018'!$D:$P,13,0),IFERROR(VLOOKUP(A1012,'[2]UPDATE BILL 2018'!$E:$P,12,0),IFERROR(VLOOKUP(A1012,'[2]UPDATE BILL 2018'!$F:$P,11,0),IFERROR(VLOOKUP(A1012,'[2]UPDATE BILL 2018'!$G:$P,10,0),IFERROR(VLOOKUP(A1012,'[2]UPDATE BILL 2018'!$H:$P,9,0),IFERROR(VLOOKUP(A1012,'[2]UPDATE BILL 2018'!$I:$P,8,0),VLOOKUP(A1012,'[2]UPDATE BILL 2018'!$B:$P,15,0)))))))))</f>
        <v>1008X03340</v>
      </c>
      <c r="AB1012" s="44">
        <f>IFERROR(VLOOKUP(A1012,'[2]UPDATE BILL 2018'!$B:$T,19,0),IFERROR(VLOOKUP(A1012,'[2]UPDATE BILL 2018'!$C:$T,18,0),IFERROR(VLOOKUP(A1012,'[2]UPDATE BILL 2018'!$D:$T,17,0),IFERROR(VLOOKUP(A1012,'[2]UPDATE BILL 2018'!$E:$T,16,0),IFERROR(VLOOKUP(A1012,'[2]UPDATE BILL 2018'!$F:$T,15,0),IFERROR(VLOOKUP(A1012,'[2]UPDATE BILL 2018'!$G:$T,14,0),IFERROR(VLOOKUP(A1012,'[2]UPDATE BILL 2018'!$H:$T,13,0),IFERROR(VLOOKUP(A1012,'[2]UPDATE BILL 2018'!$I:$T,12,0),VLOOKUP(A1012,'[2]UPDATE BILL 2018'!$B:$T,19,0)))))))))</f>
        <v>43285</v>
      </c>
      <c r="AC1012" s="44" t="str">
        <f>IFERROR(VLOOKUP(A1012,'[2]UPDATE BILL 2018'!$B:$V,21,0),IFERROR(VLOOKUP(A1012,'[2]UPDATE BILL 2018'!$C:$V,20,0),IFERROR(VLOOKUP(A1012,'[2]UPDATE BILL 2018'!$D:$V,19,0),IFERROR(VLOOKUP(A1012,'[2]UPDATE BILL 2018'!$E:$V,18,0),IFERROR(VLOOKUP(A1012,'[2]UPDATE BILL 2018'!$F:$V,17,0),IFERROR(VLOOKUP(A1012,'[2]UPDATE BILL 2018'!$G:$V,16,0),IFERROR(VLOOKUP(A1012,'[2]UPDATE BILL 2018'!$H:$V,15,0),IFERROR(VLOOKUP(A1012,'[2]UPDATE BILL 2018'!$I:$V,14,0),VLOOKUP(A1012,'[2]UPDATE BILL 2018'!$B:$V,21,0)))))))))</f>
        <v>AS FIONA N006</v>
      </c>
      <c r="AD1012" s="29" t="s">
        <v>51</v>
      </c>
      <c r="AE1012" s="24" t="s">
        <v>2288</v>
      </c>
      <c r="AF1012" s="25" t="s">
        <v>1270</v>
      </c>
      <c r="AI1012" s="58"/>
    </row>
    <row r="1013" spans="1:35" ht="16.5" customHeight="1">
      <c r="A1013" s="6" t="s">
        <v>2281</v>
      </c>
      <c r="B1013" s="5">
        <v>879</v>
      </c>
      <c r="C1013" s="7">
        <v>97245.550000000017</v>
      </c>
      <c r="D1013" s="7">
        <f t="shared" si="19"/>
        <v>83</v>
      </c>
      <c r="E1013" s="7">
        <v>83</v>
      </c>
      <c r="F1013" s="5">
        <v>0</v>
      </c>
      <c r="G1013" s="7">
        <v>3598.3</v>
      </c>
      <c r="H1013" s="5">
        <v>560</v>
      </c>
      <c r="I1013" s="7">
        <v>58368.44999999999</v>
      </c>
      <c r="J1013" s="7">
        <v>0</v>
      </c>
      <c r="K1013" s="5">
        <v>0</v>
      </c>
      <c r="L1013" s="5">
        <v>0</v>
      </c>
      <c r="M1013" s="5">
        <v>0</v>
      </c>
      <c r="N1013" s="7">
        <f t="shared" si="20"/>
        <v>0</v>
      </c>
      <c r="O1013" s="7">
        <v>0</v>
      </c>
      <c r="P1013" s="7">
        <f t="shared" si="21"/>
        <v>0</v>
      </c>
      <c r="Q1013" s="5">
        <v>0</v>
      </c>
      <c r="R1013" s="5">
        <v>0</v>
      </c>
      <c r="S1013" s="7">
        <v>0</v>
      </c>
      <c r="T1013" s="12">
        <v>43283</v>
      </c>
      <c r="U1013" s="4">
        <v>12</v>
      </c>
      <c r="V1013" s="4">
        <v>9</v>
      </c>
      <c r="W1013" s="4">
        <v>9</v>
      </c>
      <c r="X1013" s="45">
        <f t="shared" si="22"/>
        <v>159212.30000000002</v>
      </c>
      <c r="Y1013" s="14" t="s">
        <v>56</v>
      </c>
      <c r="Z1013" s="14" t="s">
        <v>55</v>
      </c>
      <c r="AA1013" s="14" t="str">
        <f>IFERROR(VLOOKUP(A1013,'[2]UPDATE BILL 2018'!$B:$P,15,0),IFERROR(VLOOKUP(A1013,'[2]UPDATE BILL 2018'!$C:$P,14,0),IFERROR(VLOOKUP(A1013,'[2]UPDATE BILL 2018'!$D:$P,13,0),IFERROR(VLOOKUP(A1013,'[2]UPDATE BILL 2018'!$E:$P,12,0),IFERROR(VLOOKUP(A1013,'[2]UPDATE BILL 2018'!$F:$P,11,0),IFERROR(VLOOKUP(A1013,'[2]UPDATE BILL 2018'!$G:$P,10,0),IFERROR(VLOOKUP(A1013,'[2]UPDATE BILL 2018'!$H:$P,9,0),IFERROR(VLOOKUP(A1013,'[2]UPDATE BILL 2018'!$I:$P,8,0),VLOOKUP(A1013,'[2]UPDATE BILL 2018'!$B:$P,15,0)))))))))</f>
        <v>1008X03361</v>
      </c>
      <c r="AB1013" s="44">
        <f>IFERROR(VLOOKUP(A1013,'[2]UPDATE BILL 2018'!$B:$T,19,0),IFERROR(VLOOKUP(A1013,'[2]UPDATE BILL 2018'!$C:$T,18,0),IFERROR(VLOOKUP(A1013,'[2]UPDATE BILL 2018'!$D:$T,17,0),IFERROR(VLOOKUP(A1013,'[2]UPDATE BILL 2018'!$E:$T,16,0),IFERROR(VLOOKUP(A1013,'[2]UPDATE BILL 2018'!$F:$T,15,0),IFERROR(VLOOKUP(A1013,'[2]UPDATE BILL 2018'!$G:$T,14,0),IFERROR(VLOOKUP(A1013,'[2]UPDATE BILL 2018'!$H:$T,13,0),IFERROR(VLOOKUP(A1013,'[2]UPDATE BILL 2018'!$I:$T,12,0),VLOOKUP(A1013,'[2]UPDATE BILL 2018'!$B:$T,19,0)))))))))</f>
        <v>43293</v>
      </c>
      <c r="AC1013" s="44" t="str">
        <f>IFERROR(VLOOKUP(A1013,'[2]UPDATE BILL 2018'!$B:$V,21,0),IFERROR(VLOOKUP(A1013,'[2]UPDATE BILL 2018'!$C:$V,20,0),IFERROR(VLOOKUP(A1013,'[2]UPDATE BILL 2018'!$D:$V,19,0),IFERROR(VLOOKUP(A1013,'[2]UPDATE BILL 2018'!$E:$V,18,0),IFERROR(VLOOKUP(A1013,'[2]UPDATE BILL 2018'!$F:$V,17,0),IFERROR(VLOOKUP(A1013,'[2]UPDATE BILL 2018'!$G:$V,16,0),IFERROR(VLOOKUP(A1013,'[2]UPDATE BILL 2018'!$H:$V,15,0),IFERROR(VLOOKUP(A1013,'[2]UPDATE BILL 2018'!$I:$V,14,0),VLOOKUP(A1013,'[2]UPDATE BILL 2018'!$B:$V,21,0)))))))))</f>
        <v>AS ROBERTA N005</v>
      </c>
      <c r="AD1013" s="29" t="s">
        <v>51</v>
      </c>
      <c r="AE1013" s="24" t="s">
        <v>2289</v>
      </c>
      <c r="AF1013" s="25" t="s">
        <v>1270</v>
      </c>
      <c r="AI1013" s="58"/>
    </row>
    <row r="1014" spans="1:35" ht="16.5" customHeight="1">
      <c r="A1014" s="6" t="s">
        <v>2282</v>
      </c>
      <c r="B1014" s="5">
        <v>112</v>
      </c>
      <c r="C1014" s="7">
        <v>12324.2</v>
      </c>
      <c r="D1014" s="7">
        <f t="shared" si="19"/>
        <v>0</v>
      </c>
      <c r="E1014" s="7">
        <v>0</v>
      </c>
      <c r="F1014" s="5">
        <v>0</v>
      </c>
      <c r="G1014" s="7">
        <v>0</v>
      </c>
      <c r="H1014" s="5">
        <v>0</v>
      </c>
      <c r="I1014" s="7">
        <v>0</v>
      </c>
      <c r="J1014" s="7">
        <v>0</v>
      </c>
      <c r="K1014" s="5">
        <v>0</v>
      </c>
      <c r="L1014" s="5">
        <v>0</v>
      </c>
      <c r="M1014" s="5">
        <v>267</v>
      </c>
      <c r="N1014" s="7">
        <f t="shared" si="20"/>
        <v>267</v>
      </c>
      <c r="O1014" s="7">
        <v>40673</v>
      </c>
      <c r="P1014" s="7">
        <f t="shared" si="21"/>
        <v>0</v>
      </c>
      <c r="Q1014" s="5">
        <v>0</v>
      </c>
      <c r="R1014" s="5">
        <v>0</v>
      </c>
      <c r="S1014" s="7">
        <v>0</v>
      </c>
      <c r="T1014" s="12">
        <v>43283</v>
      </c>
      <c r="U1014" s="4">
        <v>5</v>
      </c>
      <c r="V1014" s="4">
        <v>9</v>
      </c>
      <c r="W1014" s="4">
        <v>9</v>
      </c>
      <c r="X1014" s="45">
        <f t="shared" si="22"/>
        <v>52997.2</v>
      </c>
      <c r="Y1014" s="14" t="s">
        <v>54</v>
      </c>
      <c r="Z1014" s="14" t="s">
        <v>59</v>
      </c>
      <c r="AA1014" s="14" t="str">
        <f>IFERROR(VLOOKUP(A1014,'[2]UPDATE BILL 2018'!$B:$P,15,0),IFERROR(VLOOKUP(A1014,'[2]UPDATE BILL 2018'!$C:$P,14,0),IFERROR(VLOOKUP(A1014,'[2]UPDATE BILL 2018'!$D:$P,13,0),IFERROR(VLOOKUP(A1014,'[2]UPDATE BILL 2018'!$E:$P,12,0),IFERROR(VLOOKUP(A1014,'[2]UPDATE BILL 2018'!$F:$P,11,0),IFERROR(VLOOKUP(A1014,'[2]UPDATE BILL 2018'!$G:$P,10,0),IFERROR(VLOOKUP(A1014,'[2]UPDATE BILL 2018'!$H:$P,9,0),IFERROR(VLOOKUP(A1014,'[2]UPDATE BILL 2018'!$I:$P,8,0),VLOOKUP(A1014,'[2]UPDATE BILL 2018'!$B:$P,15,0)))))))))</f>
        <v>SITWHPKW170360</v>
      </c>
      <c r="AB1014" s="44">
        <f>IFERROR(VLOOKUP(A1014,'[2]UPDATE BILL 2018'!$B:$T,19,0),IFERROR(VLOOKUP(A1014,'[2]UPDATE BILL 2018'!$C:$T,18,0),IFERROR(VLOOKUP(A1014,'[2]UPDATE BILL 2018'!$D:$T,17,0),IFERROR(VLOOKUP(A1014,'[2]UPDATE BILL 2018'!$E:$T,16,0),IFERROR(VLOOKUP(A1014,'[2]UPDATE BILL 2018'!$F:$T,15,0),IFERROR(VLOOKUP(A1014,'[2]UPDATE BILL 2018'!$G:$T,14,0),IFERROR(VLOOKUP(A1014,'[2]UPDATE BILL 2018'!$H:$T,13,0),IFERROR(VLOOKUP(A1014,'[2]UPDATE BILL 2018'!$I:$T,12,0),VLOOKUP(A1014,'[2]UPDATE BILL 2018'!$B:$T,19,0)))))))))</f>
        <v>43287</v>
      </c>
      <c r="AC1014" s="44" t="str">
        <f>IFERROR(VLOOKUP(A1014,'[2]UPDATE BILL 2018'!$B:$V,21,0),IFERROR(VLOOKUP(A1014,'[2]UPDATE BILL 2018'!$C:$V,20,0),IFERROR(VLOOKUP(A1014,'[2]UPDATE BILL 2018'!$D:$V,19,0),IFERROR(VLOOKUP(A1014,'[2]UPDATE BILL 2018'!$E:$V,18,0),IFERROR(VLOOKUP(A1014,'[2]UPDATE BILL 2018'!$F:$V,17,0),IFERROR(VLOOKUP(A1014,'[2]UPDATE BILL 2018'!$G:$V,16,0),IFERROR(VLOOKUP(A1014,'[2]UPDATE BILL 2018'!$H:$V,15,0),IFERROR(VLOOKUP(A1014,'[2]UPDATE BILL 2018'!$I:$V,14,0),VLOOKUP(A1014,'[2]UPDATE BILL 2018'!$B:$V,21,0)))))))))</f>
        <v>SITC NAGOYA 1819N</v>
      </c>
      <c r="AD1014" s="29" t="s">
        <v>50</v>
      </c>
      <c r="AE1014" s="24" t="s">
        <v>2290</v>
      </c>
      <c r="AF1014" s="25" t="s">
        <v>1269</v>
      </c>
      <c r="AI1014" s="58"/>
    </row>
    <row r="1015" spans="1:35" ht="16.5" customHeight="1">
      <c r="A1015" s="6" t="s">
        <v>2283</v>
      </c>
      <c r="B1015" s="5">
        <v>993</v>
      </c>
      <c r="C1015" s="7">
        <v>96518.989999999991</v>
      </c>
      <c r="D1015" s="7">
        <f t="shared" si="19"/>
        <v>0</v>
      </c>
      <c r="E1015" s="7">
        <v>0</v>
      </c>
      <c r="F1015" s="5">
        <v>0</v>
      </c>
      <c r="G1015" s="7">
        <v>0</v>
      </c>
      <c r="H1015" s="5">
        <v>180</v>
      </c>
      <c r="I1015" s="7">
        <v>7314</v>
      </c>
      <c r="J1015" s="7">
        <v>0</v>
      </c>
      <c r="K1015" s="5">
        <v>0</v>
      </c>
      <c r="L1015" s="5">
        <v>0</v>
      </c>
      <c r="M1015" s="5">
        <v>177</v>
      </c>
      <c r="N1015" s="7">
        <f t="shared" si="20"/>
        <v>177</v>
      </c>
      <c r="O1015" s="7">
        <v>20740.199999999997</v>
      </c>
      <c r="P1015" s="7">
        <f t="shared" si="21"/>
        <v>60</v>
      </c>
      <c r="Q1015" s="5">
        <v>0</v>
      </c>
      <c r="R1015" s="5">
        <v>60</v>
      </c>
      <c r="S1015" s="7">
        <v>3013.7999999999997</v>
      </c>
      <c r="T1015" s="12">
        <v>43283</v>
      </c>
      <c r="U1015" s="4">
        <v>10</v>
      </c>
      <c r="V1015" s="4">
        <v>9</v>
      </c>
      <c r="W1015" s="4">
        <v>9</v>
      </c>
      <c r="X1015" s="45">
        <f t="shared" si="22"/>
        <v>127586.98999999999</v>
      </c>
      <c r="Y1015" s="14" t="s">
        <v>54</v>
      </c>
      <c r="Z1015" s="14" t="s">
        <v>59</v>
      </c>
      <c r="AA1015" s="14" t="str">
        <f>IFERROR(VLOOKUP(A1015,'[2]UPDATE BILL 2018'!$B:$P,15,0),IFERROR(VLOOKUP(A1015,'[2]UPDATE BILL 2018'!$C:$P,14,0),IFERROR(VLOOKUP(A1015,'[2]UPDATE BILL 2018'!$D:$P,13,0),IFERROR(VLOOKUP(A1015,'[2]UPDATE BILL 2018'!$E:$P,12,0),IFERROR(VLOOKUP(A1015,'[2]UPDATE BILL 2018'!$F:$P,11,0),IFERROR(VLOOKUP(A1015,'[2]UPDATE BILL 2018'!$G:$P,10,0),IFERROR(VLOOKUP(A1015,'[2]UPDATE BILL 2018'!$H:$P,9,0),IFERROR(VLOOKUP(A1015,'[2]UPDATE BILL 2018'!$I:$P,8,0),VLOOKUP(A1015,'[2]UPDATE BILL 2018'!$B:$P,15,0)))))))))</f>
        <v>SITWHPKW170365</v>
      </c>
      <c r="AB1015" s="44">
        <f>IFERROR(VLOOKUP(A1015,'[2]UPDATE BILL 2018'!$B:$T,19,0),IFERROR(VLOOKUP(A1015,'[2]UPDATE BILL 2018'!$C:$T,18,0),IFERROR(VLOOKUP(A1015,'[2]UPDATE BILL 2018'!$D:$T,17,0),IFERROR(VLOOKUP(A1015,'[2]UPDATE BILL 2018'!$E:$T,16,0),IFERROR(VLOOKUP(A1015,'[2]UPDATE BILL 2018'!$F:$T,15,0),IFERROR(VLOOKUP(A1015,'[2]UPDATE BILL 2018'!$G:$T,14,0),IFERROR(VLOOKUP(A1015,'[2]UPDATE BILL 2018'!$H:$T,13,0),IFERROR(VLOOKUP(A1015,'[2]UPDATE BILL 2018'!$I:$T,12,0),VLOOKUP(A1015,'[2]UPDATE BILL 2018'!$B:$T,19,0)))))))))</f>
        <v>43296</v>
      </c>
      <c r="AC1015" s="44" t="str">
        <f>IFERROR(VLOOKUP(A1015,'[2]UPDATE BILL 2018'!$B:$V,21,0),IFERROR(VLOOKUP(A1015,'[2]UPDATE BILL 2018'!$C:$V,20,0),IFERROR(VLOOKUP(A1015,'[2]UPDATE BILL 2018'!$D:$V,19,0),IFERROR(VLOOKUP(A1015,'[2]UPDATE BILL 2018'!$E:$V,18,0),IFERROR(VLOOKUP(A1015,'[2]UPDATE BILL 2018'!$F:$V,17,0),IFERROR(VLOOKUP(A1015,'[2]UPDATE BILL 2018'!$G:$V,16,0),IFERROR(VLOOKUP(A1015,'[2]UPDATE BILL 2018'!$H:$V,15,0),IFERROR(VLOOKUP(A1015,'[2]UPDATE BILL 2018'!$I:$V,14,0),VLOOKUP(A1015,'[2]UPDATE BILL 2018'!$B:$V,21,0)))))))))</f>
        <v>HYUNDAI HARMONY 1829N</v>
      </c>
      <c r="AD1015" s="29" t="s">
        <v>50</v>
      </c>
      <c r="AE1015" s="24" t="s">
        <v>2291</v>
      </c>
      <c r="AF1015" s="25" t="s">
        <v>1269</v>
      </c>
      <c r="AI1015" s="58"/>
    </row>
    <row r="1016" spans="1:35" ht="16.5" customHeight="1">
      <c r="A1016" s="6" t="s">
        <v>2284</v>
      </c>
      <c r="D1016" s="7">
        <f t="shared" si="19"/>
        <v>0</v>
      </c>
      <c r="E1016" s="7">
        <v>0</v>
      </c>
      <c r="F1016" s="5">
        <v>0</v>
      </c>
      <c r="G1016" s="7">
        <v>0</v>
      </c>
      <c r="H1016" s="5">
        <v>0</v>
      </c>
      <c r="I1016" s="7">
        <v>0</v>
      </c>
      <c r="J1016" s="7">
        <v>0</v>
      </c>
      <c r="K1016" s="5">
        <v>0</v>
      </c>
      <c r="L1016" s="5">
        <v>0</v>
      </c>
      <c r="M1016" s="5">
        <v>0</v>
      </c>
      <c r="N1016" s="7">
        <f t="shared" si="20"/>
        <v>0</v>
      </c>
      <c r="O1016" s="7">
        <v>0</v>
      </c>
      <c r="P1016" s="7">
        <f t="shared" si="21"/>
        <v>103</v>
      </c>
      <c r="Q1016" s="5">
        <v>0</v>
      </c>
      <c r="R1016" s="5">
        <v>103</v>
      </c>
      <c r="S1016" s="7">
        <v>13853.6</v>
      </c>
      <c r="T1016" s="12">
        <v>43283</v>
      </c>
      <c r="U1016" s="4">
        <v>1</v>
      </c>
      <c r="V1016" s="4">
        <v>9</v>
      </c>
      <c r="W1016" s="4">
        <v>9</v>
      </c>
      <c r="X1016" s="45">
        <f t="shared" si="22"/>
        <v>13853.6</v>
      </c>
      <c r="Y1016" s="14" t="s">
        <v>56</v>
      </c>
      <c r="Z1016" s="14" t="s">
        <v>1355</v>
      </c>
      <c r="AA1016" s="14" t="str">
        <f>IFERROR(VLOOKUP(A1016,'[2]UPDATE BILL 2018'!$B:$P,15,0),IFERROR(VLOOKUP(A1016,'[2]UPDATE BILL 2018'!$C:$P,14,0),IFERROR(VLOOKUP(A1016,'[2]UPDATE BILL 2018'!$D:$P,13,0),IFERROR(VLOOKUP(A1016,'[2]UPDATE BILL 2018'!$E:$P,12,0),IFERROR(VLOOKUP(A1016,'[2]UPDATE BILL 2018'!$F:$P,11,0),IFERROR(VLOOKUP(A1016,'[2]UPDATE BILL 2018'!$G:$P,10,0),IFERROR(VLOOKUP(A1016,'[2]UPDATE BILL 2018'!$H:$P,9,0),IFERROR(VLOOKUP(A1016,'[2]UPDATE BILL 2018'!$I:$P,8,0),VLOOKUP(A1016,'[2]UPDATE BILL 2018'!$B:$P,15,0)))))))))</f>
        <v>1008X03526</v>
      </c>
      <c r="AB1016" s="44">
        <f>IFERROR(VLOOKUP(A1016,'[2]UPDATE BILL 2018'!$B:$T,19,0),IFERROR(VLOOKUP(A1016,'[2]UPDATE BILL 2018'!$C:$T,18,0),IFERROR(VLOOKUP(A1016,'[2]UPDATE BILL 2018'!$D:$T,17,0),IFERROR(VLOOKUP(A1016,'[2]UPDATE BILL 2018'!$E:$T,16,0),IFERROR(VLOOKUP(A1016,'[2]UPDATE BILL 2018'!$F:$T,15,0),IFERROR(VLOOKUP(A1016,'[2]UPDATE BILL 2018'!$G:$T,14,0),IFERROR(VLOOKUP(A1016,'[2]UPDATE BILL 2018'!$H:$T,13,0),IFERROR(VLOOKUP(A1016,'[2]UPDATE BILL 2018'!$I:$T,12,0),VLOOKUP(A1016,'[2]UPDATE BILL 2018'!$B:$T,19,0)))))))))</f>
        <v>43292</v>
      </c>
      <c r="AC1016" s="44" t="str">
        <f>IFERROR(VLOOKUP(A1016,'[2]UPDATE BILL 2018'!$B:$V,21,0),IFERROR(VLOOKUP(A1016,'[2]UPDATE BILL 2018'!$C:$V,20,0),IFERROR(VLOOKUP(A1016,'[2]UPDATE BILL 2018'!$D:$V,19,0),IFERROR(VLOOKUP(A1016,'[2]UPDATE BILL 2018'!$E:$V,18,0),IFERROR(VLOOKUP(A1016,'[2]UPDATE BILL 2018'!$F:$V,17,0),IFERROR(VLOOKUP(A1016,'[2]UPDATE BILL 2018'!$G:$V,16,0),IFERROR(VLOOKUP(A1016,'[2]UPDATE BILL 2018'!$H:$V,15,0),IFERROR(VLOOKUP(A1016,'[2]UPDATE BILL 2018'!$I:$V,14,0),VLOOKUP(A1016,'[2]UPDATE BILL 2018'!$B:$V,21,0)))))))))</f>
        <v xml:space="preserve"> WAN HAI 266  N395</v>
      </c>
      <c r="AD1016" s="29" t="s">
        <v>49</v>
      </c>
      <c r="AE1016" s="24" t="s">
        <v>2292</v>
      </c>
      <c r="AF1016" s="25" t="s">
        <v>2295</v>
      </c>
      <c r="AI1016" s="58"/>
    </row>
    <row r="1017" spans="1:35" ht="16.5" customHeight="1">
      <c r="A1017" s="6" t="s">
        <v>2285</v>
      </c>
      <c r="D1017" s="7">
        <f t="shared" si="19"/>
        <v>0</v>
      </c>
      <c r="E1017" s="7">
        <v>0</v>
      </c>
      <c r="F1017" s="5">
        <v>0</v>
      </c>
      <c r="G1017" s="7">
        <v>0</v>
      </c>
      <c r="H1017" s="5">
        <v>0</v>
      </c>
      <c r="I1017" s="7">
        <v>0</v>
      </c>
      <c r="J1017" s="7">
        <v>0</v>
      </c>
      <c r="K1017" s="5">
        <v>0</v>
      </c>
      <c r="L1017" s="5">
        <v>0</v>
      </c>
      <c r="M1017" s="5">
        <v>0</v>
      </c>
      <c r="N1017" s="7">
        <f t="shared" si="20"/>
        <v>0</v>
      </c>
      <c r="O1017" s="7">
        <v>0</v>
      </c>
      <c r="P1017" s="7">
        <f t="shared" si="21"/>
        <v>100</v>
      </c>
      <c r="Q1017" s="5">
        <v>0</v>
      </c>
      <c r="R1017" s="5">
        <v>100</v>
      </c>
      <c r="S1017" s="7">
        <v>13794</v>
      </c>
      <c r="T1017" s="12">
        <v>43283</v>
      </c>
      <c r="U1017" s="4">
        <v>1</v>
      </c>
      <c r="V1017" s="4">
        <v>9</v>
      </c>
      <c r="W1017" s="4">
        <v>9</v>
      </c>
      <c r="X1017" s="45">
        <f t="shared" si="22"/>
        <v>13794</v>
      </c>
      <c r="Y1017" s="14" t="s">
        <v>56</v>
      </c>
      <c r="Z1017" s="14" t="s">
        <v>57</v>
      </c>
      <c r="AA1017" s="14" t="str">
        <f>IFERROR(VLOOKUP(A1017,'[2]UPDATE BILL 2018'!$B:$P,15,0),IFERROR(VLOOKUP(A1017,'[2]UPDATE BILL 2018'!$C:$P,14,0),IFERROR(VLOOKUP(A1017,'[2]UPDATE BILL 2018'!$D:$P,13,0),IFERROR(VLOOKUP(A1017,'[2]UPDATE BILL 2018'!$E:$P,12,0),IFERROR(VLOOKUP(A1017,'[2]UPDATE BILL 2018'!$F:$P,11,0),IFERROR(VLOOKUP(A1017,'[2]UPDATE BILL 2018'!$G:$P,10,0),IFERROR(VLOOKUP(A1017,'[2]UPDATE BILL 2018'!$H:$P,9,0),IFERROR(VLOOKUP(A1017,'[2]UPDATE BILL 2018'!$I:$P,8,0),VLOOKUP(A1017,'[2]UPDATE BILL 2018'!$B:$P,15,0)))))))))</f>
        <v>1008X03465</v>
      </c>
      <c r="AB1017" s="44">
        <f>IFERROR(VLOOKUP(A1017,'[2]UPDATE BILL 2018'!$B:$T,19,0),IFERROR(VLOOKUP(A1017,'[2]UPDATE BILL 2018'!$C:$T,18,0),IFERROR(VLOOKUP(A1017,'[2]UPDATE BILL 2018'!$D:$T,17,0),IFERROR(VLOOKUP(A1017,'[2]UPDATE BILL 2018'!$E:$T,16,0),IFERROR(VLOOKUP(A1017,'[2]UPDATE BILL 2018'!$F:$T,15,0),IFERROR(VLOOKUP(A1017,'[2]UPDATE BILL 2018'!$G:$T,14,0),IFERROR(VLOOKUP(A1017,'[2]UPDATE BILL 2018'!$H:$T,13,0),IFERROR(VLOOKUP(A1017,'[2]UPDATE BILL 2018'!$I:$T,12,0),VLOOKUP(A1017,'[2]UPDATE BILL 2018'!$B:$T,19,0)))))))))</f>
        <v>43293</v>
      </c>
      <c r="AC1017" s="44" t="str">
        <f>IFERROR(VLOOKUP(A1017,'[2]UPDATE BILL 2018'!$B:$V,21,0),IFERROR(VLOOKUP(A1017,'[2]UPDATE BILL 2018'!$C:$V,20,0),IFERROR(VLOOKUP(A1017,'[2]UPDATE BILL 2018'!$D:$V,19,0),IFERROR(VLOOKUP(A1017,'[2]UPDATE BILL 2018'!$E:$V,18,0),IFERROR(VLOOKUP(A1017,'[2]UPDATE BILL 2018'!$F:$V,17,0),IFERROR(VLOOKUP(A1017,'[2]UPDATE BILL 2018'!$G:$V,16,0),IFERROR(VLOOKUP(A1017,'[2]UPDATE BILL 2018'!$H:$V,15,0),IFERROR(VLOOKUP(A1017,'[2]UPDATE BILL 2018'!$I:$V,14,0),VLOOKUP(A1017,'[2]UPDATE BILL 2018'!$B:$V,21,0)))))))))</f>
        <v>WAN HAI 171 S245</v>
      </c>
      <c r="AD1017" s="29" t="s">
        <v>218</v>
      </c>
      <c r="AE1017" s="24" t="s">
        <v>2293</v>
      </c>
      <c r="AF1017" s="25" t="s">
        <v>2176</v>
      </c>
      <c r="AI1017" s="58"/>
    </row>
    <row r="1018" spans="1:35" ht="16.5" customHeight="1">
      <c r="A1018" s="6" t="s">
        <v>2286</v>
      </c>
      <c r="D1018" s="7">
        <f t="shared" si="19"/>
        <v>0</v>
      </c>
      <c r="E1018" s="7">
        <v>0</v>
      </c>
      <c r="F1018" s="5">
        <v>0</v>
      </c>
      <c r="G1018" s="7">
        <v>0</v>
      </c>
      <c r="H1018" s="5">
        <v>0</v>
      </c>
      <c r="I1018" s="7">
        <v>0</v>
      </c>
      <c r="J1018" s="7">
        <v>0</v>
      </c>
      <c r="K1018" s="5">
        <v>0</v>
      </c>
      <c r="L1018" s="5">
        <v>0</v>
      </c>
      <c r="M1018" s="5">
        <v>0</v>
      </c>
      <c r="N1018" s="7">
        <f t="shared" si="20"/>
        <v>0</v>
      </c>
      <c r="O1018" s="7">
        <v>0</v>
      </c>
      <c r="P1018" s="7">
        <f t="shared" si="21"/>
        <v>254</v>
      </c>
      <c r="Q1018" s="5">
        <v>0</v>
      </c>
      <c r="R1018" s="5">
        <v>254</v>
      </c>
      <c r="S1018" s="7">
        <v>34934.400000000001</v>
      </c>
      <c r="T1018" s="12">
        <v>43283</v>
      </c>
      <c r="U1018" s="4">
        <v>2</v>
      </c>
      <c r="V1018" s="4">
        <v>9</v>
      </c>
      <c r="W1018" s="4">
        <v>9</v>
      </c>
      <c r="X1018" s="45">
        <f t="shared" si="22"/>
        <v>34934.400000000001</v>
      </c>
      <c r="Y1018" s="14" t="s">
        <v>56</v>
      </c>
      <c r="Z1018" s="14" t="s">
        <v>1281</v>
      </c>
      <c r="AA1018" s="14" t="str">
        <f>IFERROR(VLOOKUP(A1018,'[2]UPDATE BILL 2018'!$B:$P,15,0),IFERROR(VLOOKUP(A1018,'[2]UPDATE BILL 2018'!$C:$P,14,0),IFERROR(VLOOKUP(A1018,'[2]UPDATE BILL 2018'!$D:$P,13,0),IFERROR(VLOOKUP(A1018,'[2]UPDATE BILL 2018'!$E:$P,12,0),IFERROR(VLOOKUP(A1018,'[2]UPDATE BILL 2018'!$F:$P,11,0),IFERROR(VLOOKUP(A1018,'[2]UPDATE BILL 2018'!$G:$P,10,0),IFERROR(VLOOKUP(A1018,'[2]UPDATE BILL 2018'!$H:$P,9,0),IFERROR(VLOOKUP(A1018,'[2]UPDATE BILL 2018'!$I:$P,8,0),VLOOKUP(A1018,'[2]UPDATE BILL 2018'!$B:$P,15,0)))))))))</f>
        <v>1008X03336</v>
      </c>
      <c r="AB1018" s="44">
        <f>IFERROR(VLOOKUP(A1018,'[2]UPDATE BILL 2018'!$B:$T,19,0),IFERROR(VLOOKUP(A1018,'[2]UPDATE BILL 2018'!$C:$T,18,0),IFERROR(VLOOKUP(A1018,'[2]UPDATE BILL 2018'!$D:$T,17,0),IFERROR(VLOOKUP(A1018,'[2]UPDATE BILL 2018'!$E:$T,16,0),IFERROR(VLOOKUP(A1018,'[2]UPDATE BILL 2018'!$F:$T,15,0),IFERROR(VLOOKUP(A1018,'[2]UPDATE BILL 2018'!$G:$T,14,0),IFERROR(VLOOKUP(A1018,'[2]UPDATE BILL 2018'!$H:$T,13,0),IFERROR(VLOOKUP(A1018,'[2]UPDATE BILL 2018'!$I:$T,12,0),VLOOKUP(A1018,'[2]UPDATE BILL 2018'!$B:$T,19,0)))))))))</f>
        <v>43293</v>
      </c>
      <c r="AC1018" s="44" t="str">
        <f>IFERROR(VLOOKUP(A1018,'[2]UPDATE BILL 2018'!$B:$V,21,0),IFERROR(VLOOKUP(A1018,'[2]UPDATE BILL 2018'!$C:$V,20,0),IFERROR(VLOOKUP(A1018,'[2]UPDATE BILL 2018'!$D:$V,19,0),IFERROR(VLOOKUP(A1018,'[2]UPDATE BILL 2018'!$E:$V,18,0),IFERROR(VLOOKUP(A1018,'[2]UPDATE BILL 2018'!$F:$V,17,0),IFERROR(VLOOKUP(A1018,'[2]UPDATE BILL 2018'!$G:$V,16,0),IFERROR(VLOOKUP(A1018,'[2]UPDATE BILL 2018'!$H:$V,15,0),IFERROR(VLOOKUP(A1018,'[2]UPDATE BILL 2018'!$I:$V,14,0),VLOOKUP(A1018,'[2]UPDATE BILL 2018'!$B:$V,21,0)))))))))</f>
        <v>WAN HAI 203 N465</v>
      </c>
      <c r="AD1018" s="29" t="s">
        <v>52</v>
      </c>
      <c r="AE1018" s="24" t="s">
        <v>2294</v>
      </c>
      <c r="AF1018" s="25" t="s">
        <v>2173</v>
      </c>
      <c r="AI1018" s="58"/>
    </row>
    <row r="1019" spans="1:35" ht="16.5" customHeight="1">
      <c r="A1019" s="6" t="s">
        <v>2296</v>
      </c>
      <c r="B1019" s="5">
        <v>77</v>
      </c>
      <c r="C1019" s="7">
        <v>9357</v>
      </c>
      <c r="D1019" s="7">
        <f t="shared" si="19"/>
        <v>0</v>
      </c>
      <c r="E1019" s="7">
        <v>0</v>
      </c>
      <c r="F1019" s="5">
        <v>0</v>
      </c>
      <c r="G1019" s="7">
        <v>0</v>
      </c>
      <c r="H1019" s="5">
        <v>19</v>
      </c>
      <c r="I1019" s="7">
        <v>2224.0699999999997</v>
      </c>
      <c r="J1019" s="7">
        <v>0</v>
      </c>
      <c r="K1019" s="5">
        <v>0</v>
      </c>
      <c r="L1019" s="5">
        <v>0</v>
      </c>
      <c r="M1019" s="5">
        <v>0</v>
      </c>
      <c r="N1019" s="7">
        <f t="shared" si="20"/>
        <v>0</v>
      </c>
      <c r="O1019" s="7">
        <v>0</v>
      </c>
      <c r="P1019" s="7">
        <f t="shared" si="21"/>
        <v>0</v>
      </c>
      <c r="Q1019" s="5">
        <v>0</v>
      </c>
      <c r="R1019" s="5">
        <v>0</v>
      </c>
      <c r="S1019" s="7">
        <v>0</v>
      </c>
      <c r="T1019" s="12">
        <v>43284</v>
      </c>
      <c r="U1019" s="4">
        <v>1</v>
      </c>
      <c r="V1019" s="4">
        <v>9</v>
      </c>
      <c r="W1019" s="4">
        <v>9</v>
      </c>
      <c r="X1019" s="45">
        <f t="shared" si="22"/>
        <v>11581.07</v>
      </c>
      <c r="Y1019" s="14" t="s">
        <v>1633</v>
      </c>
      <c r="Z1019" s="14" t="s">
        <v>1492</v>
      </c>
      <c r="AA1019" s="14" t="str">
        <f>IFERROR(VLOOKUP(A1019,'[2]UPDATE BILL 2018'!$B:$P,15,0),IFERROR(VLOOKUP(A1019,'[2]UPDATE BILL 2018'!$C:$P,14,0),IFERROR(VLOOKUP(A1019,'[2]UPDATE BILL 2018'!$D:$P,13,0),IFERROR(VLOOKUP(A1019,'[2]UPDATE BILL 2018'!$E:$P,12,0),IFERROR(VLOOKUP(A1019,'[2]UPDATE BILL 2018'!$F:$P,11,0),IFERROR(VLOOKUP(A1019,'[2]UPDATE BILL 2018'!$G:$P,10,0),IFERROR(VLOOKUP(A1019,'[2]UPDATE BILL 2018'!$H:$P,9,0),IFERROR(VLOOKUP(A1019,'[2]UPDATE BILL 2018'!$I:$P,8,0),VLOOKUP(A1019,'[2]UPDATE BILL 2018'!$B:$P,15,0)))))))))</f>
        <v>KMTCHPH0559747</v>
      </c>
      <c r="AB1019" s="44">
        <f>IFERROR(VLOOKUP(A1019,'[2]UPDATE BILL 2018'!$B:$T,19,0),IFERROR(VLOOKUP(A1019,'[2]UPDATE BILL 2018'!$C:$T,18,0),IFERROR(VLOOKUP(A1019,'[2]UPDATE BILL 2018'!$D:$T,17,0),IFERROR(VLOOKUP(A1019,'[2]UPDATE BILL 2018'!$E:$T,16,0),IFERROR(VLOOKUP(A1019,'[2]UPDATE BILL 2018'!$F:$T,15,0),IFERROR(VLOOKUP(A1019,'[2]UPDATE BILL 2018'!$G:$T,14,0),IFERROR(VLOOKUP(A1019,'[2]UPDATE BILL 2018'!$H:$T,13,0),IFERROR(VLOOKUP(A1019,'[2]UPDATE BILL 2018'!$I:$T,12,0),VLOOKUP(A1019,'[2]UPDATE BILL 2018'!$B:$T,19,0)))))))))</f>
        <v>43291</v>
      </c>
      <c r="AC1019" s="44" t="str">
        <f>IFERROR(VLOOKUP(A1019,'[2]UPDATE BILL 2018'!$B:$V,21,0),IFERROR(VLOOKUP(A1019,'[2]UPDATE BILL 2018'!$C:$V,20,0),IFERROR(VLOOKUP(A1019,'[2]UPDATE BILL 2018'!$D:$V,19,0),IFERROR(VLOOKUP(A1019,'[2]UPDATE BILL 2018'!$E:$V,18,0),IFERROR(VLOOKUP(A1019,'[2]UPDATE BILL 2018'!$F:$V,17,0),IFERROR(VLOOKUP(A1019,'[2]UPDATE BILL 2018'!$G:$V,16,0),IFERROR(VLOOKUP(A1019,'[2]UPDATE BILL 2018'!$H:$V,15,0),IFERROR(VLOOKUP(A1019,'[2]UPDATE BILL 2018'!$I:$V,14,0),VLOOKUP(A1019,'[2]UPDATE BILL 2018'!$B:$V,21,0)))))))))</f>
        <v>STARSHIP AQUILA 1810N</v>
      </c>
      <c r="AD1019" s="29" t="s">
        <v>70</v>
      </c>
      <c r="AE1019" s="24" t="s">
        <v>2310</v>
      </c>
      <c r="AF1019" s="25" t="s">
        <v>1273</v>
      </c>
      <c r="AI1019" s="58"/>
    </row>
    <row r="1020" spans="1:35" ht="16.5" customHeight="1">
      <c r="A1020" s="6" t="s">
        <v>2297</v>
      </c>
      <c r="B1020" s="5">
        <v>170</v>
      </c>
      <c r="C1020" s="7">
        <v>13138.599999999999</v>
      </c>
      <c r="D1020" s="7">
        <f t="shared" si="19"/>
        <v>0</v>
      </c>
      <c r="E1020" s="7">
        <v>0</v>
      </c>
      <c r="F1020" s="5">
        <v>0</v>
      </c>
      <c r="G1020" s="7">
        <v>0</v>
      </c>
      <c r="H1020" s="5">
        <v>100</v>
      </c>
      <c r="I1020" s="7">
        <v>12946.1</v>
      </c>
      <c r="J1020" s="7">
        <v>0</v>
      </c>
      <c r="K1020" s="5">
        <v>0</v>
      </c>
      <c r="L1020" s="5">
        <v>0</v>
      </c>
      <c r="M1020" s="5">
        <v>0</v>
      </c>
      <c r="N1020" s="7">
        <f t="shared" si="20"/>
        <v>0</v>
      </c>
      <c r="O1020" s="7">
        <v>0</v>
      </c>
      <c r="P1020" s="7">
        <f t="shared" si="21"/>
        <v>0</v>
      </c>
      <c r="Q1020" s="5">
        <v>0</v>
      </c>
      <c r="R1020" s="5">
        <v>0</v>
      </c>
      <c r="S1020" s="7">
        <v>0</v>
      </c>
      <c r="T1020" s="12">
        <v>43284</v>
      </c>
      <c r="U1020" s="4">
        <v>2</v>
      </c>
      <c r="V1020" s="4">
        <v>9</v>
      </c>
      <c r="W1020" s="4">
        <v>9</v>
      </c>
      <c r="X1020" s="45">
        <f t="shared" si="22"/>
        <v>26084.699999999997</v>
      </c>
      <c r="Y1020" s="14" t="s">
        <v>54</v>
      </c>
      <c r="Z1020" s="14" t="s">
        <v>57</v>
      </c>
      <c r="AA1020" s="14" t="str">
        <f>IFERROR(VLOOKUP(A1020,'[2]UPDATE BILL 2018'!$B:$P,15,0),IFERROR(VLOOKUP(A1020,'[2]UPDATE BILL 2018'!$C:$P,14,0),IFERROR(VLOOKUP(A1020,'[2]UPDATE BILL 2018'!$D:$P,13,0),IFERROR(VLOOKUP(A1020,'[2]UPDATE BILL 2018'!$E:$P,12,0),IFERROR(VLOOKUP(A1020,'[2]UPDATE BILL 2018'!$F:$P,11,0),IFERROR(VLOOKUP(A1020,'[2]UPDATE BILL 2018'!$G:$P,10,0),IFERROR(VLOOKUP(A1020,'[2]UPDATE BILL 2018'!$H:$P,9,0),IFERROR(VLOOKUP(A1020,'[2]UPDATE BILL 2018'!$I:$P,8,0),VLOOKUP(A1020,'[2]UPDATE BILL 2018'!$B:$P,15,0)))))))))</f>
        <v>SITWHPTK170351</v>
      </c>
      <c r="AB1020" s="44">
        <f>IFERROR(VLOOKUP(A1020,'[2]UPDATE BILL 2018'!$B:$T,19,0),IFERROR(VLOOKUP(A1020,'[2]UPDATE BILL 2018'!$C:$T,18,0),IFERROR(VLOOKUP(A1020,'[2]UPDATE BILL 2018'!$D:$T,17,0),IFERROR(VLOOKUP(A1020,'[2]UPDATE BILL 2018'!$E:$T,16,0),IFERROR(VLOOKUP(A1020,'[2]UPDATE BILL 2018'!$F:$T,15,0),IFERROR(VLOOKUP(A1020,'[2]UPDATE BILL 2018'!$G:$T,14,0),IFERROR(VLOOKUP(A1020,'[2]UPDATE BILL 2018'!$H:$T,13,0),IFERROR(VLOOKUP(A1020,'[2]UPDATE BILL 2018'!$I:$T,12,0),VLOOKUP(A1020,'[2]UPDATE BILL 2018'!$B:$T,19,0)))))))))</f>
        <v>43291</v>
      </c>
      <c r="AC1020" s="44" t="str">
        <f>IFERROR(VLOOKUP(A1020,'[2]UPDATE BILL 2018'!$B:$V,21,0),IFERROR(VLOOKUP(A1020,'[2]UPDATE BILL 2018'!$C:$V,20,0),IFERROR(VLOOKUP(A1020,'[2]UPDATE BILL 2018'!$D:$V,19,0),IFERROR(VLOOKUP(A1020,'[2]UPDATE BILL 2018'!$E:$V,18,0),IFERROR(VLOOKUP(A1020,'[2]UPDATE BILL 2018'!$F:$V,17,0),IFERROR(VLOOKUP(A1020,'[2]UPDATE BILL 2018'!$G:$V,16,0),IFERROR(VLOOKUP(A1020,'[2]UPDATE BILL 2018'!$H:$V,15,0),IFERROR(VLOOKUP(A1020,'[2]UPDATE BILL 2018'!$I:$V,14,0),VLOOKUP(A1020,'[2]UPDATE BILL 2018'!$B:$V,21,0)))))))))</f>
        <v>RESURGENCE 1817N</v>
      </c>
      <c r="AD1020" s="29" t="s">
        <v>49</v>
      </c>
      <c r="AE1020" s="24" t="s">
        <v>2311</v>
      </c>
      <c r="AF1020" s="25" t="s">
        <v>1265</v>
      </c>
      <c r="AI1020" s="58"/>
    </row>
    <row r="1021" spans="1:35" ht="16.5" customHeight="1">
      <c r="A1021" s="6" t="s">
        <v>2299</v>
      </c>
      <c r="B1021" s="5">
        <v>151</v>
      </c>
      <c r="C1021" s="7">
        <v>23330.600000000002</v>
      </c>
      <c r="D1021" s="7">
        <f t="shared" ref="D1021:D1029" si="23">E1021+F1021</f>
        <v>0</v>
      </c>
      <c r="E1021" s="7">
        <v>0</v>
      </c>
      <c r="F1021" s="5">
        <v>0</v>
      </c>
      <c r="G1021" s="7">
        <v>0</v>
      </c>
      <c r="H1021" s="5">
        <v>0</v>
      </c>
      <c r="I1021" s="7">
        <v>0</v>
      </c>
      <c r="J1021" s="7">
        <v>0</v>
      </c>
      <c r="K1021" s="5">
        <v>0</v>
      </c>
      <c r="L1021" s="5">
        <v>0</v>
      </c>
      <c r="M1021" s="5">
        <v>0</v>
      </c>
      <c r="N1021" s="7">
        <f t="shared" ref="N1021:N1029" si="24">M1021-K1021</f>
        <v>0</v>
      </c>
      <c r="O1021" s="7">
        <v>0</v>
      </c>
      <c r="P1021" s="7">
        <f t="shared" ref="P1021:P1029" si="25">+Q1021+R1021</f>
        <v>0</v>
      </c>
      <c r="Q1021" s="5">
        <v>0</v>
      </c>
      <c r="R1021" s="5">
        <v>0</v>
      </c>
      <c r="S1021" s="7">
        <v>0</v>
      </c>
      <c r="T1021" s="12">
        <v>43284</v>
      </c>
      <c r="U1021" s="4">
        <v>2</v>
      </c>
      <c r="V1021" s="4">
        <v>9</v>
      </c>
      <c r="W1021" s="4">
        <v>9</v>
      </c>
      <c r="X1021" s="45">
        <f t="shared" ref="X1021:X1029" si="26">+C1021+G1021+I1021+O1021+S1021</f>
        <v>23330.600000000002</v>
      </c>
      <c r="Y1021" s="14" t="s">
        <v>54</v>
      </c>
      <c r="Z1021" s="14" t="s">
        <v>1492</v>
      </c>
      <c r="AA1021" s="14" t="str">
        <f>IFERROR(VLOOKUP(A1021,'[2]UPDATE BILL 2018'!$B:$P,15,0),IFERROR(VLOOKUP(A1021,'[2]UPDATE BILL 2018'!$C:$P,14,0),IFERROR(VLOOKUP(A1021,'[2]UPDATE BILL 2018'!$D:$P,13,0),IFERROR(VLOOKUP(A1021,'[2]UPDATE BILL 2018'!$E:$P,12,0),IFERROR(VLOOKUP(A1021,'[2]UPDATE BILL 2018'!$F:$P,11,0),IFERROR(VLOOKUP(A1021,'[2]UPDATE BILL 2018'!$G:$P,10,0),IFERROR(VLOOKUP(A1021,'[2]UPDATE BILL 2018'!$H:$P,9,0),IFERROR(VLOOKUP(A1021,'[2]UPDATE BILL 2018'!$I:$P,8,0),VLOOKUP(A1021,'[2]UPDATE BILL 2018'!$B:$P,15,0)))))))))</f>
        <v>SITWHPTK170353</v>
      </c>
      <c r="AB1021" s="44">
        <f>IFERROR(VLOOKUP(A1021,'[2]UPDATE BILL 2018'!$B:$T,19,0),IFERROR(VLOOKUP(A1021,'[2]UPDATE BILL 2018'!$C:$T,18,0),IFERROR(VLOOKUP(A1021,'[2]UPDATE BILL 2018'!$D:$T,17,0),IFERROR(VLOOKUP(A1021,'[2]UPDATE BILL 2018'!$E:$T,16,0),IFERROR(VLOOKUP(A1021,'[2]UPDATE BILL 2018'!$F:$T,15,0),IFERROR(VLOOKUP(A1021,'[2]UPDATE BILL 2018'!$G:$T,14,0),IFERROR(VLOOKUP(A1021,'[2]UPDATE BILL 2018'!$H:$T,13,0),IFERROR(VLOOKUP(A1021,'[2]UPDATE BILL 2018'!$I:$T,12,0),VLOOKUP(A1021,'[2]UPDATE BILL 2018'!$B:$T,19,0)))))))))</f>
        <v>43296</v>
      </c>
      <c r="AC1021" s="44" t="str">
        <f>IFERROR(VLOOKUP(A1021,'[2]UPDATE BILL 2018'!$B:$V,21,0),IFERROR(VLOOKUP(A1021,'[2]UPDATE BILL 2018'!$C:$V,20,0),IFERROR(VLOOKUP(A1021,'[2]UPDATE BILL 2018'!$D:$V,19,0),IFERROR(VLOOKUP(A1021,'[2]UPDATE BILL 2018'!$E:$V,18,0),IFERROR(VLOOKUP(A1021,'[2]UPDATE BILL 2018'!$F:$V,17,0),IFERROR(VLOOKUP(A1021,'[2]UPDATE BILL 2018'!$G:$V,16,0),IFERROR(VLOOKUP(A1021,'[2]UPDATE BILL 2018'!$H:$V,15,0),IFERROR(VLOOKUP(A1021,'[2]UPDATE BILL 2018'!$I:$V,14,0),VLOOKUP(A1021,'[2]UPDATE BILL 2018'!$B:$V,21,0)))))))))</f>
        <v>HYUNDAI HARMONY 1829N</v>
      </c>
      <c r="AD1021" s="29" t="s">
        <v>49</v>
      </c>
      <c r="AE1021" s="24" t="s">
        <v>2313</v>
      </c>
      <c r="AF1021" s="25" t="s">
        <v>1267</v>
      </c>
      <c r="AI1021" s="58"/>
    </row>
    <row r="1022" spans="1:35" ht="16.5" customHeight="1">
      <c r="A1022" s="6" t="s">
        <v>2306</v>
      </c>
      <c r="B1022" s="5">
        <v>102</v>
      </c>
      <c r="C1022" s="7">
        <v>10500.300000000001</v>
      </c>
      <c r="D1022" s="7">
        <f t="shared" si="23"/>
        <v>0</v>
      </c>
      <c r="E1022" s="7">
        <v>0</v>
      </c>
      <c r="F1022" s="5">
        <v>0</v>
      </c>
      <c r="G1022" s="7">
        <v>0</v>
      </c>
      <c r="H1022" s="5">
        <v>115</v>
      </c>
      <c r="I1022" s="7">
        <v>14075.6</v>
      </c>
      <c r="J1022" s="7">
        <v>0</v>
      </c>
      <c r="K1022" s="5">
        <v>0</v>
      </c>
      <c r="L1022" s="5">
        <v>0</v>
      </c>
      <c r="M1022" s="5">
        <v>49</v>
      </c>
      <c r="N1022" s="7">
        <f t="shared" si="24"/>
        <v>49</v>
      </c>
      <c r="O1022" s="7">
        <v>7938.1</v>
      </c>
      <c r="P1022" s="7">
        <f t="shared" si="25"/>
        <v>0</v>
      </c>
      <c r="Q1022" s="5">
        <v>0</v>
      </c>
      <c r="R1022" s="5">
        <v>0</v>
      </c>
      <c r="S1022" s="7">
        <v>0</v>
      </c>
      <c r="T1022" s="12">
        <v>43284</v>
      </c>
      <c r="U1022" s="4">
        <v>3</v>
      </c>
      <c r="V1022" s="4">
        <v>9</v>
      </c>
      <c r="W1022" s="4">
        <v>9</v>
      </c>
      <c r="X1022" s="45">
        <f t="shared" si="26"/>
        <v>32514</v>
      </c>
      <c r="Y1022" s="14" t="s">
        <v>85</v>
      </c>
      <c r="Z1022" s="14" t="s">
        <v>1492</v>
      </c>
      <c r="AA1022" s="14">
        <f>IFERROR(VLOOKUP(A1022,'[2]UPDATE BILL 2018'!$B:$P,15,0),IFERROR(VLOOKUP(A1022,'[2]UPDATE BILL 2018'!$C:$P,14,0),IFERROR(VLOOKUP(A1022,'[2]UPDATE BILL 2018'!$D:$P,13,0),IFERROR(VLOOKUP(A1022,'[2]UPDATE BILL 2018'!$E:$P,12,0),IFERROR(VLOOKUP(A1022,'[2]UPDATE BILL 2018'!$F:$P,11,0),IFERROR(VLOOKUP(A1022,'[2]UPDATE BILL 2018'!$G:$P,10,0),IFERROR(VLOOKUP(A1022,'[2]UPDATE BILL 2018'!$H:$P,9,0),IFERROR(VLOOKUP(A1022,'[2]UPDATE BILL 2018'!$I:$P,8,0),VLOOKUP(A1022,'[2]UPDATE BILL 2018'!$B:$P,15,0)))))))))</f>
        <v>350810075447</v>
      </c>
      <c r="AB1022" s="44">
        <f>IFERROR(VLOOKUP(A1022,'[2]UPDATE BILL 2018'!$B:$T,19,0),IFERROR(VLOOKUP(A1022,'[2]UPDATE BILL 2018'!$C:$T,18,0),IFERROR(VLOOKUP(A1022,'[2]UPDATE BILL 2018'!$D:$T,17,0),IFERROR(VLOOKUP(A1022,'[2]UPDATE BILL 2018'!$E:$T,16,0),IFERROR(VLOOKUP(A1022,'[2]UPDATE BILL 2018'!$F:$T,15,0),IFERROR(VLOOKUP(A1022,'[2]UPDATE BILL 2018'!$G:$T,14,0),IFERROR(VLOOKUP(A1022,'[2]UPDATE BILL 2018'!$H:$T,13,0),IFERROR(VLOOKUP(A1022,'[2]UPDATE BILL 2018'!$I:$T,12,0),VLOOKUP(A1022,'[2]UPDATE BILL 2018'!$B:$T,19,0)))))))))</f>
        <v>43290</v>
      </c>
      <c r="AC1022" s="44" t="str">
        <f>IFERROR(VLOOKUP(A1022,'[2]UPDATE BILL 2018'!$B:$V,21,0),IFERROR(VLOOKUP(A1022,'[2]UPDATE BILL 2018'!$C:$V,20,0),IFERROR(VLOOKUP(A1022,'[2]UPDATE BILL 2018'!$D:$V,19,0),IFERROR(VLOOKUP(A1022,'[2]UPDATE BILL 2018'!$E:$V,18,0),IFERROR(VLOOKUP(A1022,'[2]UPDATE BILL 2018'!$F:$V,17,0),IFERROR(VLOOKUP(A1022,'[2]UPDATE BILL 2018'!$G:$V,16,0),IFERROR(VLOOKUP(A1022,'[2]UPDATE BILL 2018'!$H:$V,15,0),IFERROR(VLOOKUP(A1022,'[2]UPDATE BILL 2018'!$I:$V,14,0),VLOOKUP(A1022,'[2]UPDATE BILL 2018'!$B:$V,21,0)))))))))</f>
        <v>LANTAU BRIDE 18012N</v>
      </c>
      <c r="AD1022" s="29" t="s">
        <v>49</v>
      </c>
      <c r="AE1022" s="24" t="s">
        <v>2314</v>
      </c>
      <c r="AF1022" s="25" t="s">
        <v>1266</v>
      </c>
      <c r="AI1022" s="58"/>
    </row>
    <row r="1023" spans="1:35">
      <c r="A1023" s="6" t="s">
        <v>2307</v>
      </c>
      <c r="B1023" s="5">
        <v>170</v>
      </c>
      <c r="C1023" s="7">
        <v>22789.8</v>
      </c>
      <c r="D1023" s="7">
        <f t="shared" si="23"/>
        <v>0</v>
      </c>
      <c r="E1023" s="7">
        <v>0</v>
      </c>
      <c r="F1023" s="5">
        <v>0</v>
      </c>
      <c r="G1023" s="7">
        <v>0</v>
      </c>
      <c r="H1023" s="5">
        <v>95</v>
      </c>
      <c r="I1023" s="7">
        <v>12156.2</v>
      </c>
      <c r="J1023" s="7">
        <v>0</v>
      </c>
      <c r="K1023" s="5">
        <v>0</v>
      </c>
      <c r="L1023" s="5">
        <v>0</v>
      </c>
      <c r="M1023" s="5">
        <v>0</v>
      </c>
      <c r="N1023" s="7">
        <f t="shared" si="24"/>
        <v>0</v>
      </c>
      <c r="O1023" s="7">
        <v>0</v>
      </c>
      <c r="P1023" s="7">
        <f t="shared" si="25"/>
        <v>0</v>
      </c>
      <c r="Q1023" s="5">
        <v>0</v>
      </c>
      <c r="R1023" s="5">
        <v>0</v>
      </c>
      <c r="S1023" s="7">
        <v>0</v>
      </c>
      <c r="T1023" s="12">
        <v>43284</v>
      </c>
      <c r="U1023" s="4">
        <v>3</v>
      </c>
      <c r="V1023" s="4">
        <v>9</v>
      </c>
      <c r="W1023" s="4">
        <v>9</v>
      </c>
      <c r="X1023" s="45">
        <f t="shared" si="26"/>
        <v>34946</v>
      </c>
      <c r="Y1023" s="14" t="s">
        <v>54</v>
      </c>
      <c r="Z1023" s="14" t="s">
        <v>1492</v>
      </c>
      <c r="AA1023" s="14" t="str">
        <f>IFERROR(VLOOKUP(A1023,'[2]UPDATE BILL 2018'!$B:$P,15,0),IFERROR(VLOOKUP(A1023,'[2]UPDATE BILL 2018'!$C:$P,14,0),IFERROR(VLOOKUP(A1023,'[2]UPDATE BILL 2018'!$D:$P,13,0),IFERROR(VLOOKUP(A1023,'[2]UPDATE BILL 2018'!$E:$P,12,0),IFERROR(VLOOKUP(A1023,'[2]UPDATE BILL 2018'!$F:$P,11,0),IFERROR(VLOOKUP(A1023,'[2]UPDATE BILL 2018'!$G:$P,10,0),IFERROR(VLOOKUP(A1023,'[2]UPDATE BILL 2018'!$H:$P,9,0),IFERROR(VLOOKUP(A1023,'[2]UPDATE BILL 2018'!$I:$P,8,0),VLOOKUP(A1023,'[2]UPDATE BILL 2018'!$B:$P,15,0)))))))))</f>
        <v>SITWHPTK170353</v>
      </c>
      <c r="AB1023" s="44">
        <f>IFERROR(VLOOKUP(A1023,'[2]UPDATE BILL 2018'!$B:$T,19,0),IFERROR(VLOOKUP(A1023,'[2]UPDATE BILL 2018'!$C:$T,18,0),IFERROR(VLOOKUP(A1023,'[2]UPDATE BILL 2018'!$D:$T,17,0),IFERROR(VLOOKUP(A1023,'[2]UPDATE BILL 2018'!$E:$T,16,0),IFERROR(VLOOKUP(A1023,'[2]UPDATE BILL 2018'!$F:$T,15,0),IFERROR(VLOOKUP(A1023,'[2]UPDATE BILL 2018'!$G:$T,14,0),IFERROR(VLOOKUP(A1023,'[2]UPDATE BILL 2018'!$H:$T,13,0),IFERROR(VLOOKUP(A1023,'[2]UPDATE BILL 2018'!$I:$T,12,0),VLOOKUP(A1023,'[2]UPDATE BILL 2018'!$B:$T,19,0)))))))))</f>
        <v>43296</v>
      </c>
      <c r="AC1023" s="44" t="str">
        <f>IFERROR(VLOOKUP(A1023,'[2]UPDATE BILL 2018'!$B:$V,21,0),IFERROR(VLOOKUP(A1023,'[2]UPDATE BILL 2018'!$C:$V,20,0),IFERROR(VLOOKUP(A1023,'[2]UPDATE BILL 2018'!$D:$V,19,0),IFERROR(VLOOKUP(A1023,'[2]UPDATE BILL 2018'!$E:$V,18,0),IFERROR(VLOOKUP(A1023,'[2]UPDATE BILL 2018'!$F:$V,17,0),IFERROR(VLOOKUP(A1023,'[2]UPDATE BILL 2018'!$G:$V,16,0),IFERROR(VLOOKUP(A1023,'[2]UPDATE BILL 2018'!$H:$V,15,0),IFERROR(VLOOKUP(A1023,'[2]UPDATE BILL 2018'!$I:$V,14,0),VLOOKUP(A1023,'[2]UPDATE BILL 2018'!$B:$V,21,0)))))))))</f>
        <v>HYUNDAI HARMONY 1829N</v>
      </c>
      <c r="AD1023" s="29" t="s">
        <v>49</v>
      </c>
      <c r="AE1023" s="24" t="s">
        <v>2315</v>
      </c>
      <c r="AF1023" s="25" t="s">
        <v>1266</v>
      </c>
      <c r="AI1023" s="58"/>
    </row>
    <row r="1024" spans="1:35" ht="17.25" customHeight="1">
      <c r="A1024" s="6" t="s">
        <v>2308</v>
      </c>
      <c r="D1024" s="7">
        <f t="shared" si="23"/>
        <v>0</v>
      </c>
      <c r="E1024" s="7">
        <v>0</v>
      </c>
      <c r="F1024" s="5">
        <v>0</v>
      </c>
      <c r="G1024" s="7">
        <v>0</v>
      </c>
      <c r="H1024" s="5">
        <v>0</v>
      </c>
      <c r="I1024" s="7">
        <v>0</v>
      </c>
      <c r="J1024" s="7">
        <v>0</v>
      </c>
      <c r="K1024" s="5">
        <v>0</v>
      </c>
      <c r="L1024" s="5">
        <v>0</v>
      </c>
      <c r="M1024" s="5">
        <v>0</v>
      </c>
      <c r="N1024" s="7">
        <f t="shared" si="24"/>
        <v>0</v>
      </c>
      <c r="O1024" s="7">
        <v>0</v>
      </c>
      <c r="P1024" s="7">
        <f t="shared" si="25"/>
        <v>250</v>
      </c>
      <c r="Q1024" s="5">
        <v>0</v>
      </c>
      <c r="R1024" s="5">
        <v>250</v>
      </c>
      <c r="S1024" s="7">
        <v>22937</v>
      </c>
      <c r="T1024" s="12">
        <v>43284</v>
      </c>
      <c r="U1024" s="4">
        <v>1</v>
      </c>
      <c r="V1024" s="4">
        <v>9</v>
      </c>
      <c r="W1024" s="4">
        <v>9</v>
      </c>
      <c r="X1024" s="45">
        <f t="shared" si="26"/>
        <v>22937</v>
      </c>
      <c r="Y1024" s="14" t="s">
        <v>1633</v>
      </c>
      <c r="Z1024" s="14" t="s">
        <v>1492</v>
      </c>
      <c r="AA1024" s="14" t="str">
        <f>IFERROR(VLOOKUP(A1024,'[2]UPDATE BILL 2018'!$B:$P,15,0),IFERROR(VLOOKUP(A1024,'[2]UPDATE BILL 2018'!$C:$P,14,0),IFERROR(VLOOKUP(A1024,'[2]UPDATE BILL 2018'!$D:$P,13,0),IFERROR(VLOOKUP(A1024,'[2]UPDATE BILL 2018'!$E:$P,12,0),IFERROR(VLOOKUP(A1024,'[2]UPDATE BILL 2018'!$F:$P,11,0),IFERROR(VLOOKUP(A1024,'[2]UPDATE BILL 2018'!$G:$P,10,0),IFERROR(VLOOKUP(A1024,'[2]UPDATE BILL 2018'!$H:$P,9,0),IFERROR(VLOOKUP(A1024,'[2]UPDATE BILL 2018'!$I:$P,8,0),VLOOKUP(A1024,'[2]UPDATE BILL 2018'!$B:$P,15,0)))))))))</f>
        <v>KMTCHPH0559747</v>
      </c>
      <c r="AB1024" s="44">
        <f>IFERROR(VLOOKUP(A1024,'[2]UPDATE BILL 2018'!$B:$T,19,0),IFERROR(VLOOKUP(A1024,'[2]UPDATE BILL 2018'!$C:$T,18,0),IFERROR(VLOOKUP(A1024,'[2]UPDATE BILL 2018'!$D:$T,17,0),IFERROR(VLOOKUP(A1024,'[2]UPDATE BILL 2018'!$E:$T,16,0),IFERROR(VLOOKUP(A1024,'[2]UPDATE BILL 2018'!$F:$T,15,0),IFERROR(VLOOKUP(A1024,'[2]UPDATE BILL 2018'!$G:$T,14,0),IFERROR(VLOOKUP(A1024,'[2]UPDATE BILL 2018'!$H:$T,13,0),IFERROR(VLOOKUP(A1024,'[2]UPDATE BILL 2018'!$I:$T,12,0),VLOOKUP(A1024,'[2]UPDATE BILL 2018'!$B:$T,19,0)))))))))</f>
        <v>43291</v>
      </c>
      <c r="AC1024" s="44" t="str">
        <f>IFERROR(VLOOKUP(A1024,'[2]UPDATE BILL 2018'!$B:$V,21,0),IFERROR(VLOOKUP(A1024,'[2]UPDATE BILL 2018'!$C:$V,20,0),IFERROR(VLOOKUP(A1024,'[2]UPDATE BILL 2018'!$D:$V,19,0),IFERROR(VLOOKUP(A1024,'[2]UPDATE BILL 2018'!$E:$V,18,0),IFERROR(VLOOKUP(A1024,'[2]UPDATE BILL 2018'!$F:$V,17,0),IFERROR(VLOOKUP(A1024,'[2]UPDATE BILL 2018'!$G:$V,16,0),IFERROR(VLOOKUP(A1024,'[2]UPDATE BILL 2018'!$H:$V,15,0),IFERROR(VLOOKUP(A1024,'[2]UPDATE BILL 2018'!$I:$V,14,0),VLOOKUP(A1024,'[2]UPDATE BILL 2018'!$B:$V,21,0)))))))))</f>
        <v>STARSHIP AQUILA 1810N</v>
      </c>
      <c r="AD1024" s="29" t="s">
        <v>70</v>
      </c>
      <c r="AE1024" s="24" t="s">
        <v>2316</v>
      </c>
      <c r="AF1024" s="25" t="s">
        <v>2177</v>
      </c>
      <c r="AI1024" s="58"/>
    </row>
    <row r="1025" spans="1:35" ht="16.5" customHeight="1">
      <c r="A1025" s="6" t="s">
        <v>2309</v>
      </c>
      <c r="D1025" s="7">
        <f t="shared" si="23"/>
        <v>0</v>
      </c>
      <c r="E1025" s="7">
        <v>0</v>
      </c>
      <c r="F1025" s="5">
        <v>0</v>
      </c>
      <c r="G1025" s="7">
        <v>0</v>
      </c>
      <c r="H1025" s="5">
        <v>0</v>
      </c>
      <c r="I1025" s="7">
        <v>0</v>
      </c>
      <c r="J1025" s="7">
        <v>0</v>
      </c>
      <c r="K1025" s="5">
        <v>0</v>
      </c>
      <c r="L1025" s="5">
        <v>0</v>
      </c>
      <c r="M1025" s="5">
        <v>0</v>
      </c>
      <c r="N1025" s="7">
        <f t="shared" si="24"/>
        <v>0</v>
      </c>
      <c r="O1025" s="7">
        <v>0</v>
      </c>
      <c r="P1025" s="7">
        <f t="shared" si="25"/>
        <v>380</v>
      </c>
      <c r="Q1025" s="5">
        <v>0</v>
      </c>
      <c r="R1025" s="5">
        <v>380</v>
      </c>
      <c r="S1025" s="7">
        <v>34851.600000000006</v>
      </c>
      <c r="T1025" s="12">
        <v>43284</v>
      </c>
      <c r="U1025" s="4">
        <v>1</v>
      </c>
      <c r="V1025" s="4">
        <v>9</v>
      </c>
      <c r="W1025" s="4">
        <v>9</v>
      </c>
      <c r="X1025" s="45">
        <f t="shared" si="26"/>
        <v>34851.600000000006</v>
      </c>
      <c r="Y1025" s="14" t="s">
        <v>54</v>
      </c>
      <c r="Z1025" s="14" t="s">
        <v>57</v>
      </c>
      <c r="AA1025" s="14" t="str">
        <f>IFERROR(VLOOKUP(A1025,'[2]UPDATE BILL 2018'!$B:$P,15,0),IFERROR(VLOOKUP(A1025,'[2]UPDATE BILL 2018'!$C:$P,14,0),IFERROR(VLOOKUP(A1025,'[2]UPDATE BILL 2018'!$D:$P,13,0),IFERROR(VLOOKUP(A1025,'[2]UPDATE BILL 2018'!$E:$P,12,0),IFERROR(VLOOKUP(A1025,'[2]UPDATE BILL 2018'!$F:$P,11,0),IFERROR(VLOOKUP(A1025,'[2]UPDATE BILL 2018'!$G:$P,10,0),IFERROR(VLOOKUP(A1025,'[2]UPDATE BILL 2018'!$H:$P,9,0),IFERROR(VLOOKUP(A1025,'[2]UPDATE BILL 2018'!$I:$P,8,0),VLOOKUP(A1025,'[2]UPDATE BILL 2018'!$B:$P,15,0)))))))))</f>
        <v>SITWHPTK170351</v>
      </c>
      <c r="AB1025" s="44">
        <f>IFERROR(VLOOKUP(A1025,'[2]UPDATE BILL 2018'!$B:$T,19,0),IFERROR(VLOOKUP(A1025,'[2]UPDATE BILL 2018'!$C:$T,18,0),IFERROR(VLOOKUP(A1025,'[2]UPDATE BILL 2018'!$D:$T,17,0),IFERROR(VLOOKUP(A1025,'[2]UPDATE BILL 2018'!$E:$T,16,0),IFERROR(VLOOKUP(A1025,'[2]UPDATE BILL 2018'!$F:$T,15,0),IFERROR(VLOOKUP(A1025,'[2]UPDATE BILL 2018'!$G:$T,14,0),IFERROR(VLOOKUP(A1025,'[2]UPDATE BILL 2018'!$H:$T,13,0),IFERROR(VLOOKUP(A1025,'[2]UPDATE BILL 2018'!$I:$T,12,0),VLOOKUP(A1025,'[2]UPDATE BILL 2018'!$B:$T,19,0)))))))))</f>
        <v>43291</v>
      </c>
      <c r="AC1025" s="44" t="str">
        <f>IFERROR(VLOOKUP(A1025,'[2]UPDATE BILL 2018'!$B:$V,21,0),IFERROR(VLOOKUP(A1025,'[2]UPDATE BILL 2018'!$C:$V,20,0),IFERROR(VLOOKUP(A1025,'[2]UPDATE BILL 2018'!$D:$V,19,0),IFERROR(VLOOKUP(A1025,'[2]UPDATE BILL 2018'!$E:$V,18,0),IFERROR(VLOOKUP(A1025,'[2]UPDATE BILL 2018'!$F:$V,17,0),IFERROR(VLOOKUP(A1025,'[2]UPDATE BILL 2018'!$G:$V,16,0),IFERROR(VLOOKUP(A1025,'[2]UPDATE BILL 2018'!$H:$V,15,0),IFERROR(VLOOKUP(A1025,'[2]UPDATE BILL 2018'!$I:$V,14,0),VLOOKUP(A1025,'[2]UPDATE BILL 2018'!$B:$V,21,0)))))))))</f>
        <v>RESURGENCE 1817N</v>
      </c>
      <c r="AD1025" s="29" t="s">
        <v>49</v>
      </c>
      <c r="AE1025" s="24" t="s">
        <v>2317</v>
      </c>
      <c r="AF1025" s="25" t="s">
        <v>2175</v>
      </c>
      <c r="AI1025" s="58"/>
    </row>
    <row r="1026" spans="1:35" ht="16.5" customHeight="1">
      <c r="A1026" s="6" t="s">
        <v>2298</v>
      </c>
      <c r="D1026" s="7">
        <f t="shared" si="23"/>
        <v>0</v>
      </c>
      <c r="E1026" s="7">
        <v>0</v>
      </c>
      <c r="F1026" s="5">
        <v>0</v>
      </c>
      <c r="G1026" s="7">
        <v>0</v>
      </c>
      <c r="H1026" s="5">
        <v>625</v>
      </c>
      <c r="I1026" s="7">
        <v>68914.75</v>
      </c>
      <c r="J1026" s="7">
        <v>0</v>
      </c>
      <c r="K1026" s="5">
        <v>0</v>
      </c>
      <c r="L1026" s="5">
        <v>0</v>
      </c>
      <c r="N1026" s="7">
        <f t="shared" si="24"/>
        <v>0</v>
      </c>
      <c r="O1026" s="7">
        <v>0</v>
      </c>
      <c r="P1026" s="7">
        <f t="shared" si="25"/>
        <v>0</v>
      </c>
      <c r="Q1026" s="5">
        <v>0</v>
      </c>
      <c r="R1026" s="5">
        <v>0</v>
      </c>
      <c r="S1026" s="7">
        <v>0</v>
      </c>
      <c r="T1026" s="12">
        <v>43285</v>
      </c>
      <c r="U1026" s="4">
        <v>5</v>
      </c>
      <c r="V1026" s="4">
        <v>9</v>
      </c>
      <c r="W1026" s="4">
        <v>9</v>
      </c>
      <c r="X1026" s="45">
        <f t="shared" si="26"/>
        <v>68914.75</v>
      </c>
      <c r="Y1026" s="14" t="s">
        <v>56</v>
      </c>
      <c r="Z1026" s="14" t="s">
        <v>1281</v>
      </c>
      <c r="AA1026" s="14" t="str">
        <f>IFERROR(VLOOKUP(A1026,'[2]UPDATE BILL 2018'!$B:$P,15,0),IFERROR(VLOOKUP(A1026,'[2]UPDATE BILL 2018'!$C:$P,14,0),IFERROR(VLOOKUP(A1026,'[2]UPDATE BILL 2018'!$D:$P,13,0),IFERROR(VLOOKUP(A1026,'[2]UPDATE BILL 2018'!$E:$P,12,0),IFERROR(VLOOKUP(A1026,'[2]UPDATE BILL 2018'!$F:$P,11,0),IFERROR(VLOOKUP(A1026,'[2]UPDATE BILL 2018'!$G:$P,10,0),IFERROR(VLOOKUP(A1026,'[2]UPDATE BILL 2018'!$H:$P,9,0),IFERROR(VLOOKUP(A1026,'[2]UPDATE BILL 2018'!$I:$P,8,0),VLOOKUP(A1026,'[2]UPDATE BILL 2018'!$B:$P,15,0)))))))))</f>
        <v>1008X03342</v>
      </c>
      <c r="AB1026" s="44">
        <f>IFERROR(VLOOKUP(A1026,'[2]UPDATE BILL 2018'!$B:$T,19,0),IFERROR(VLOOKUP(A1026,'[2]UPDATE BILL 2018'!$C:$T,18,0),IFERROR(VLOOKUP(A1026,'[2]UPDATE BILL 2018'!$D:$T,17,0),IFERROR(VLOOKUP(A1026,'[2]UPDATE BILL 2018'!$E:$T,16,0),IFERROR(VLOOKUP(A1026,'[2]UPDATE BILL 2018'!$F:$T,15,0),IFERROR(VLOOKUP(A1026,'[2]UPDATE BILL 2018'!$G:$T,14,0),IFERROR(VLOOKUP(A1026,'[2]UPDATE BILL 2018'!$H:$T,13,0),IFERROR(VLOOKUP(A1026,'[2]UPDATE BILL 2018'!$I:$T,12,0),VLOOKUP(A1026,'[2]UPDATE BILL 2018'!$B:$T,19,0)))))))))</f>
        <v>43293</v>
      </c>
      <c r="AC1026" s="44" t="str">
        <f>IFERROR(VLOOKUP(A1026,'[2]UPDATE BILL 2018'!$B:$V,21,0),IFERROR(VLOOKUP(A1026,'[2]UPDATE BILL 2018'!$C:$V,20,0),IFERROR(VLOOKUP(A1026,'[2]UPDATE BILL 2018'!$D:$V,19,0),IFERROR(VLOOKUP(A1026,'[2]UPDATE BILL 2018'!$E:$V,18,0),IFERROR(VLOOKUP(A1026,'[2]UPDATE BILL 2018'!$F:$V,17,0),IFERROR(VLOOKUP(A1026,'[2]UPDATE BILL 2018'!$G:$V,16,0),IFERROR(VLOOKUP(A1026,'[2]UPDATE BILL 2018'!$H:$V,15,0),IFERROR(VLOOKUP(A1026,'[2]UPDATE BILL 2018'!$I:$V,14,0),VLOOKUP(A1026,'[2]UPDATE BILL 2018'!$B:$V,21,0)))))))))</f>
        <v>WANHAI 171 S245</v>
      </c>
      <c r="AD1026" s="29" t="s">
        <v>49</v>
      </c>
      <c r="AE1026" s="24" t="s">
        <v>2321</v>
      </c>
      <c r="AF1026" s="25" t="s">
        <v>1265</v>
      </c>
      <c r="AI1026" s="58"/>
    </row>
    <row r="1027" spans="1:35" ht="16.5" customHeight="1">
      <c r="A1027" s="6" t="s">
        <v>2300</v>
      </c>
      <c r="B1027" s="5">
        <v>153</v>
      </c>
      <c r="C1027" s="7">
        <v>12475.3</v>
      </c>
      <c r="D1027" s="7">
        <f t="shared" si="23"/>
        <v>0</v>
      </c>
      <c r="E1027" s="7">
        <v>0</v>
      </c>
      <c r="F1027" s="5">
        <v>0</v>
      </c>
      <c r="G1027" s="7">
        <v>0</v>
      </c>
      <c r="H1027" s="5">
        <v>115</v>
      </c>
      <c r="I1027" s="7">
        <v>13189.400000000001</v>
      </c>
      <c r="J1027" s="7">
        <v>0</v>
      </c>
      <c r="K1027" s="5">
        <v>0</v>
      </c>
      <c r="L1027" s="5">
        <v>0</v>
      </c>
      <c r="M1027" s="5">
        <v>47</v>
      </c>
      <c r="N1027" s="7">
        <f t="shared" si="24"/>
        <v>47</v>
      </c>
      <c r="O1027" s="7">
        <v>10357.599999999999</v>
      </c>
      <c r="P1027" s="7">
        <f t="shared" si="25"/>
        <v>0</v>
      </c>
      <c r="Q1027" s="5">
        <v>0</v>
      </c>
      <c r="R1027" s="5">
        <v>0</v>
      </c>
      <c r="S1027" s="7">
        <v>0</v>
      </c>
      <c r="T1027" s="12">
        <v>43285</v>
      </c>
      <c r="U1027" s="4">
        <v>3</v>
      </c>
      <c r="V1027" s="4">
        <v>9</v>
      </c>
      <c r="W1027" s="4">
        <v>9</v>
      </c>
      <c r="X1027" s="45">
        <f>+C1027+G1027+I1027+O1027+S1027</f>
        <v>36022.300000000003</v>
      </c>
      <c r="Y1027" s="14" t="s">
        <v>56</v>
      </c>
      <c r="Z1027" s="14" t="s">
        <v>1281</v>
      </c>
      <c r="AA1027" s="14" t="str">
        <f>IFERROR(VLOOKUP(A1027,'[2]UPDATE BILL 2018'!$B:$P,15,0),IFERROR(VLOOKUP(A1027,'[2]UPDATE BILL 2018'!$C:$P,14,0),IFERROR(VLOOKUP(A1027,'[2]UPDATE BILL 2018'!$D:$P,13,0),IFERROR(VLOOKUP(A1027,'[2]UPDATE BILL 2018'!$E:$P,12,0),IFERROR(VLOOKUP(A1027,'[2]UPDATE BILL 2018'!$F:$P,11,0),IFERROR(VLOOKUP(A1027,'[2]UPDATE BILL 2018'!$G:$P,10,0),IFERROR(VLOOKUP(A1027,'[2]UPDATE BILL 2018'!$H:$P,9,0),IFERROR(VLOOKUP(A1027,'[2]UPDATE BILL 2018'!$I:$P,8,0),VLOOKUP(A1027,'[2]UPDATE BILL 2018'!$B:$P,15,0)))))))))</f>
        <v>1008X03337</v>
      </c>
      <c r="AB1027" s="44">
        <f>IFERROR(VLOOKUP(A1027,'[2]UPDATE BILL 2018'!$B:$T,19,0),IFERROR(VLOOKUP(A1027,'[2]UPDATE BILL 2018'!$C:$T,18,0),IFERROR(VLOOKUP(A1027,'[2]UPDATE BILL 2018'!$D:$T,17,0),IFERROR(VLOOKUP(A1027,'[2]UPDATE BILL 2018'!$E:$T,16,0),IFERROR(VLOOKUP(A1027,'[2]UPDATE BILL 2018'!$F:$T,15,0),IFERROR(VLOOKUP(A1027,'[2]UPDATE BILL 2018'!$G:$T,14,0),IFERROR(VLOOKUP(A1027,'[2]UPDATE BILL 2018'!$H:$T,13,0),IFERROR(VLOOKUP(A1027,'[2]UPDATE BILL 2018'!$I:$T,12,0),VLOOKUP(A1027,'[2]UPDATE BILL 2018'!$B:$T,19,0)))))))))</f>
        <v>43288</v>
      </c>
      <c r="AC1027" s="44" t="str">
        <f>IFERROR(VLOOKUP(A1027,'[2]UPDATE BILL 2018'!$B:$V,21,0),IFERROR(VLOOKUP(A1027,'[2]UPDATE BILL 2018'!$C:$V,20,0),IFERROR(VLOOKUP(A1027,'[2]UPDATE BILL 2018'!$D:$V,19,0),IFERROR(VLOOKUP(A1027,'[2]UPDATE BILL 2018'!$E:$V,18,0),IFERROR(VLOOKUP(A1027,'[2]UPDATE BILL 2018'!$F:$V,17,0),IFERROR(VLOOKUP(A1027,'[2]UPDATE BILL 2018'!$G:$V,16,0),IFERROR(VLOOKUP(A1027,'[2]UPDATE BILL 2018'!$H:$V,15,0),IFERROR(VLOOKUP(A1027,'[2]UPDATE BILL 2018'!$I:$V,14,0),VLOOKUP(A1027,'[2]UPDATE BILL 2018'!$B:$V,21,0)))))))))</f>
        <v>PAOLA N020</v>
      </c>
      <c r="AD1027" s="29" t="s">
        <v>52</v>
      </c>
      <c r="AE1027" s="24" t="s">
        <v>2322</v>
      </c>
      <c r="AF1027" s="25" t="s">
        <v>1271</v>
      </c>
      <c r="AI1027" s="58"/>
    </row>
    <row r="1028" spans="1:35" ht="16.5" customHeight="1">
      <c r="A1028" s="6" t="s">
        <v>2301</v>
      </c>
      <c r="B1028" s="5">
        <v>638</v>
      </c>
      <c r="C1028" s="7">
        <v>64916.909999999996</v>
      </c>
      <c r="D1028" s="7">
        <f t="shared" si="23"/>
        <v>0</v>
      </c>
      <c r="E1028" s="7">
        <v>0</v>
      </c>
      <c r="F1028" s="5">
        <v>0</v>
      </c>
      <c r="G1028" s="7">
        <v>0</v>
      </c>
      <c r="H1028" s="5">
        <v>110</v>
      </c>
      <c r="I1028" s="7">
        <v>12527.2</v>
      </c>
      <c r="J1028" s="7">
        <v>0</v>
      </c>
      <c r="K1028" s="5">
        <v>0</v>
      </c>
      <c r="L1028" s="5">
        <v>0</v>
      </c>
      <c r="M1028" s="5">
        <v>58</v>
      </c>
      <c r="N1028" s="7">
        <f t="shared" si="24"/>
        <v>58</v>
      </c>
      <c r="O1028" s="7">
        <v>10358.799999999999</v>
      </c>
      <c r="P1028" s="7">
        <f t="shared" si="25"/>
        <v>0</v>
      </c>
      <c r="Q1028" s="5">
        <v>0</v>
      </c>
      <c r="R1028" s="5">
        <v>0</v>
      </c>
      <c r="S1028" s="7">
        <v>0</v>
      </c>
      <c r="T1028" s="12">
        <v>43285</v>
      </c>
      <c r="U1028" s="4">
        <v>7</v>
      </c>
      <c r="V1028" s="4">
        <v>9</v>
      </c>
      <c r="W1028" s="4">
        <v>9</v>
      </c>
      <c r="X1028" s="45">
        <f t="shared" si="26"/>
        <v>87802.91</v>
      </c>
      <c r="Y1028" s="14" t="s">
        <v>56</v>
      </c>
      <c r="Z1028" s="14" t="s">
        <v>59</v>
      </c>
      <c r="AA1028" s="14" t="str">
        <f>IFERROR(VLOOKUP(A1028,'[2]UPDATE BILL 2018'!$B:$P,15,0),IFERROR(VLOOKUP(A1028,'[2]UPDATE BILL 2018'!$C:$P,14,0),IFERROR(VLOOKUP(A1028,'[2]UPDATE BILL 2018'!$D:$P,13,0),IFERROR(VLOOKUP(A1028,'[2]UPDATE BILL 2018'!$E:$P,12,0),IFERROR(VLOOKUP(A1028,'[2]UPDATE BILL 2018'!$F:$P,11,0),IFERROR(VLOOKUP(A1028,'[2]UPDATE BILL 2018'!$G:$P,10,0),IFERROR(VLOOKUP(A1028,'[2]UPDATE BILL 2018'!$H:$P,9,0),IFERROR(VLOOKUP(A1028,'[2]UPDATE BILL 2018'!$I:$P,8,0),VLOOKUP(A1028,'[2]UPDATE BILL 2018'!$B:$P,15,0)))))))))</f>
        <v>1008X03336</v>
      </c>
      <c r="AB1028" s="44">
        <f>IFERROR(VLOOKUP(A1028,'[2]UPDATE BILL 2018'!$B:$T,19,0),IFERROR(VLOOKUP(A1028,'[2]UPDATE BILL 2018'!$C:$T,18,0),IFERROR(VLOOKUP(A1028,'[2]UPDATE BILL 2018'!$D:$T,17,0),IFERROR(VLOOKUP(A1028,'[2]UPDATE BILL 2018'!$E:$T,16,0),IFERROR(VLOOKUP(A1028,'[2]UPDATE BILL 2018'!$F:$T,15,0),IFERROR(VLOOKUP(A1028,'[2]UPDATE BILL 2018'!$G:$T,14,0),IFERROR(VLOOKUP(A1028,'[2]UPDATE BILL 2018'!$H:$T,13,0),IFERROR(VLOOKUP(A1028,'[2]UPDATE BILL 2018'!$I:$T,12,0),VLOOKUP(A1028,'[2]UPDATE BILL 2018'!$B:$T,19,0)))))))))</f>
        <v>43293</v>
      </c>
      <c r="AC1028" s="44" t="str">
        <f>IFERROR(VLOOKUP(A1028,'[2]UPDATE BILL 2018'!$B:$V,21,0),IFERROR(VLOOKUP(A1028,'[2]UPDATE BILL 2018'!$C:$V,20,0),IFERROR(VLOOKUP(A1028,'[2]UPDATE BILL 2018'!$D:$V,19,0),IFERROR(VLOOKUP(A1028,'[2]UPDATE BILL 2018'!$E:$V,18,0),IFERROR(VLOOKUP(A1028,'[2]UPDATE BILL 2018'!$F:$V,17,0),IFERROR(VLOOKUP(A1028,'[2]UPDATE BILL 2018'!$G:$V,16,0),IFERROR(VLOOKUP(A1028,'[2]UPDATE BILL 2018'!$H:$V,15,0),IFERROR(VLOOKUP(A1028,'[2]UPDATE BILL 2018'!$I:$V,14,0),VLOOKUP(A1028,'[2]UPDATE BILL 2018'!$B:$V,21,0)))))))))</f>
        <v>WAN HAI 203 N465</v>
      </c>
      <c r="AD1028" s="29" t="s">
        <v>52</v>
      </c>
      <c r="AE1028" s="24" t="s">
        <v>2323</v>
      </c>
      <c r="AF1028" s="25" t="s">
        <v>1271</v>
      </c>
      <c r="AI1028" s="58"/>
    </row>
    <row r="1029" spans="1:35" ht="16.5" customHeight="1">
      <c r="A1029" s="6" t="s">
        <v>2302</v>
      </c>
      <c r="B1029" s="5">
        <v>20</v>
      </c>
      <c r="C1029" s="7">
        <v>3025</v>
      </c>
      <c r="D1029" s="7">
        <f t="shared" si="23"/>
        <v>0</v>
      </c>
      <c r="E1029" s="7">
        <v>0</v>
      </c>
      <c r="F1029" s="5">
        <v>0</v>
      </c>
      <c r="G1029" s="7">
        <v>0</v>
      </c>
      <c r="H1029" s="5">
        <v>160</v>
      </c>
      <c r="I1029" s="7">
        <v>23407.3</v>
      </c>
      <c r="J1029" s="7">
        <v>0</v>
      </c>
      <c r="K1029" s="5">
        <v>0</v>
      </c>
      <c r="L1029" s="5">
        <v>0</v>
      </c>
      <c r="M1029" s="5">
        <v>231</v>
      </c>
      <c r="N1029" s="7">
        <f t="shared" si="24"/>
        <v>231</v>
      </c>
      <c r="O1029" s="7">
        <v>19196.700000000004</v>
      </c>
      <c r="P1029" s="7">
        <f t="shared" si="25"/>
        <v>0</v>
      </c>
      <c r="Q1029" s="5">
        <v>0</v>
      </c>
      <c r="R1029" s="5">
        <v>0</v>
      </c>
      <c r="S1029" s="7">
        <v>0</v>
      </c>
      <c r="T1029" s="12">
        <v>43285</v>
      </c>
      <c r="U1029" s="4">
        <v>4</v>
      </c>
      <c r="V1029" s="4">
        <v>9</v>
      </c>
      <c r="W1029" s="4">
        <v>9</v>
      </c>
      <c r="X1029" s="45">
        <f t="shared" si="26"/>
        <v>45629</v>
      </c>
      <c r="Y1029" s="14" t="s">
        <v>56</v>
      </c>
      <c r="Z1029" s="14" t="s">
        <v>1355</v>
      </c>
      <c r="AA1029" s="14" t="str">
        <f>IFERROR(VLOOKUP(A1029,'[2]UPDATE BILL 2018'!$B:$P,15,0),IFERROR(VLOOKUP(A1029,'[2]UPDATE BILL 2018'!$C:$P,14,0),IFERROR(VLOOKUP(A1029,'[2]UPDATE BILL 2018'!$D:$P,13,0),IFERROR(VLOOKUP(A1029,'[2]UPDATE BILL 2018'!$E:$P,12,0),IFERROR(VLOOKUP(A1029,'[2]UPDATE BILL 2018'!$F:$P,11,0),IFERROR(VLOOKUP(A1029,'[2]UPDATE BILL 2018'!$G:$P,10,0),IFERROR(VLOOKUP(A1029,'[2]UPDATE BILL 2018'!$H:$P,9,0),IFERROR(VLOOKUP(A1029,'[2]UPDATE BILL 2018'!$I:$P,8,0),VLOOKUP(A1029,'[2]UPDATE BILL 2018'!$B:$P,15,0)))))))))</f>
        <v>1008X03339</v>
      </c>
      <c r="AB1029" s="44">
        <f>IFERROR(VLOOKUP(A1029,'[2]UPDATE BILL 2018'!$B:$T,19,0),IFERROR(VLOOKUP(A1029,'[2]UPDATE BILL 2018'!$C:$T,18,0),IFERROR(VLOOKUP(A1029,'[2]UPDATE BILL 2018'!$D:$T,17,0),IFERROR(VLOOKUP(A1029,'[2]UPDATE BILL 2018'!$E:$T,16,0),IFERROR(VLOOKUP(A1029,'[2]UPDATE BILL 2018'!$F:$T,15,0),IFERROR(VLOOKUP(A1029,'[2]UPDATE BILL 2018'!$G:$T,14,0),IFERROR(VLOOKUP(A1029,'[2]UPDATE BILL 2018'!$H:$T,13,0),IFERROR(VLOOKUP(A1029,'[2]UPDATE BILL 2018'!$I:$T,12,0),VLOOKUP(A1029,'[2]UPDATE BILL 2018'!$B:$T,19,0)))))))))</f>
        <v>43288</v>
      </c>
      <c r="AC1029" s="44" t="str">
        <f>IFERROR(VLOOKUP(A1029,'[2]UPDATE BILL 2018'!$B:$V,21,0),IFERROR(VLOOKUP(A1029,'[2]UPDATE BILL 2018'!$C:$V,20,0),IFERROR(VLOOKUP(A1029,'[2]UPDATE BILL 2018'!$D:$V,19,0),IFERROR(VLOOKUP(A1029,'[2]UPDATE BILL 2018'!$E:$V,18,0),IFERROR(VLOOKUP(A1029,'[2]UPDATE BILL 2018'!$F:$V,17,0),IFERROR(VLOOKUP(A1029,'[2]UPDATE BILL 2018'!$G:$V,16,0),IFERROR(VLOOKUP(A1029,'[2]UPDATE BILL 2018'!$H:$V,15,0),IFERROR(VLOOKUP(A1029,'[2]UPDATE BILL 2018'!$I:$V,14,0),VLOOKUP(A1029,'[2]UPDATE BILL 2018'!$B:$V,21,0)))))))))</f>
        <v xml:space="preserve"> PAOLA N020</v>
      </c>
      <c r="AD1029" s="29" t="s">
        <v>51</v>
      </c>
      <c r="AE1029" s="24" t="s">
        <v>2324</v>
      </c>
      <c r="AF1029" s="25" t="s">
        <v>1270</v>
      </c>
      <c r="AI1029" s="58"/>
    </row>
    <row r="1030" spans="1:35" ht="16.5" customHeight="1">
      <c r="A1030" s="6" t="s">
        <v>2303</v>
      </c>
      <c r="B1030" s="5">
        <v>817</v>
      </c>
      <c r="C1030" s="7">
        <v>86808.15</v>
      </c>
      <c r="D1030" s="7">
        <f t="shared" ref="D1030:D1057" si="27">E1030+F1030</f>
        <v>0</v>
      </c>
      <c r="E1030" s="7">
        <v>0</v>
      </c>
      <c r="F1030" s="5">
        <v>0</v>
      </c>
      <c r="G1030" s="7">
        <v>0</v>
      </c>
      <c r="H1030" s="5">
        <v>295</v>
      </c>
      <c r="I1030" s="7">
        <v>38853.099999999991</v>
      </c>
      <c r="J1030" s="7">
        <v>0</v>
      </c>
      <c r="K1030" s="5">
        <v>0</v>
      </c>
      <c r="L1030" s="5">
        <v>0</v>
      </c>
      <c r="M1030" s="5">
        <v>103</v>
      </c>
      <c r="N1030" s="7">
        <f t="shared" ref="N1030:N1057" si="28">M1030-K1030</f>
        <v>103</v>
      </c>
      <c r="O1030" s="7">
        <v>20788.7</v>
      </c>
      <c r="P1030" s="7">
        <f t="shared" ref="P1030:P1057" si="29">+Q1030+R1030</f>
        <v>0</v>
      </c>
      <c r="Q1030" s="5">
        <v>0</v>
      </c>
      <c r="R1030" s="5">
        <v>0</v>
      </c>
      <c r="S1030" s="7">
        <v>0</v>
      </c>
      <c r="T1030" s="12">
        <v>43285</v>
      </c>
      <c r="U1030" s="4">
        <v>12</v>
      </c>
      <c r="V1030" s="4">
        <v>9</v>
      </c>
      <c r="W1030" s="4">
        <v>9</v>
      </c>
      <c r="X1030" s="45">
        <f t="shared" ref="X1030:X1059" si="30">+C1030+G1030+I1030+O1030+S1030</f>
        <v>146449.94999999998</v>
      </c>
      <c r="Y1030" s="14" t="s">
        <v>56</v>
      </c>
      <c r="Z1030" s="14" t="s">
        <v>55</v>
      </c>
      <c r="AA1030" s="14" t="str">
        <f>IFERROR(VLOOKUP(A1030,'[2]UPDATE BILL 2018'!$B:$P,15,0),IFERROR(VLOOKUP(A1030,'[2]UPDATE BILL 2018'!$C:$P,14,0),IFERROR(VLOOKUP(A1030,'[2]UPDATE BILL 2018'!$D:$P,13,0),IFERROR(VLOOKUP(A1030,'[2]UPDATE BILL 2018'!$E:$P,12,0),IFERROR(VLOOKUP(A1030,'[2]UPDATE BILL 2018'!$F:$P,11,0),IFERROR(VLOOKUP(A1030,'[2]UPDATE BILL 2018'!$G:$P,10,0),IFERROR(VLOOKUP(A1030,'[2]UPDATE BILL 2018'!$H:$P,9,0),IFERROR(VLOOKUP(A1030,'[2]UPDATE BILL 2018'!$I:$P,8,0),VLOOKUP(A1030,'[2]UPDATE BILL 2018'!$B:$P,15,0)))))))))</f>
        <v>1008X03361</v>
      </c>
      <c r="AB1030" s="44">
        <f>IFERROR(VLOOKUP(A1030,'[2]UPDATE BILL 2018'!$B:$T,19,0),IFERROR(VLOOKUP(A1030,'[2]UPDATE BILL 2018'!$C:$T,18,0),IFERROR(VLOOKUP(A1030,'[2]UPDATE BILL 2018'!$D:$T,17,0),IFERROR(VLOOKUP(A1030,'[2]UPDATE BILL 2018'!$E:$T,16,0),IFERROR(VLOOKUP(A1030,'[2]UPDATE BILL 2018'!$F:$T,15,0),IFERROR(VLOOKUP(A1030,'[2]UPDATE BILL 2018'!$G:$T,14,0),IFERROR(VLOOKUP(A1030,'[2]UPDATE BILL 2018'!$H:$T,13,0),IFERROR(VLOOKUP(A1030,'[2]UPDATE BILL 2018'!$I:$T,12,0),VLOOKUP(A1030,'[2]UPDATE BILL 2018'!$B:$T,19,0)))))))))</f>
        <v>43293</v>
      </c>
      <c r="AC1030" s="44" t="str">
        <f>IFERROR(VLOOKUP(A1030,'[2]UPDATE BILL 2018'!$B:$V,21,0),IFERROR(VLOOKUP(A1030,'[2]UPDATE BILL 2018'!$C:$V,20,0),IFERROR(VLOOKUP(A1030,'[2]UPDATE BILL 2018'!$D:$V,19,0),IFERROR(VLOOKUP(A1030,'[2]UPDATE BILL 2018'!$E:$V,18,0),IFERROR(VLOOKUP(A1030,'[2]UPDATE BILL 2018'!$F:$V,17,0),IFERROR(VLOOKUP(A1030,'[2]UPDATE BILL 2018'!$G:$V,16,0),IFERROR(VLOOKUP(A1030,'[2]UPDATE BILL 2018'!$H:$V,15,0),IFERROR(VLOOKUP(A1030,'[2]UPDATE BILL 2018'!$I:$V,14,0),VLOOKUP(A1030,'[2]UPDATE BILL 2018'!$B:$V,21,0)))))))))</f>
        <v>AS ROBERTA N005</v>
      </c>
      <c r="AD1030" s="29" t="s">
        <v>51</v>
      </c>
      <c r="AE1030" s="24" t="s">
        <v>2325</v>
      </c>
      <c r="AF1030" s="25" t="s">
        <v>1270</v>
      </c>
      <c r="AI1030" s="58"/>
    </row>
    <row r="1031" spans="1:35" ht="16.5" customHeight="1">
      <c r="A1031" s="6" t="s">
        <v>2304</v>
      </c>
      <c r="D1031" s="7">
        <f t="shared" si="27"/>
        <v>0</v>
      </c>
      <c r="E1031" s="7">
        <v>0</v>
      </c>
      <c r="F1031" s="5">
        <v>0</v>
      </c>
      <c r="G1031" s="7">
        <v>0</v>
      </c>
      <c r="H1031" s="5">
        <v>0</v>
      </c>
      <c r="I1031" s="7">
        <v>0</v>
      </c>
      <c r="J1031" s="7">
        <v>0</v>
      </c>
      <c r="K1031" s="5">
        <v>0</v>
      </c>
      <c r="L1031" s="5">
        <v>0</v>
      </c>
      <c r="M1031" s="5">
        <v>228</v>
      </c>
      <c r="N1031" s="7">
        <f t="shared" si="28"/>
        <v>228</v>
      </c>
      <c r="O1031" s="7">
        <v>45635.6</v>
      </c>
      <c r="P1031" s="7">
        <f t="shared" si="29"/>
        <v>0</v>
      </c>
      <c r="Q1031" s="5">
        <v>0</v>
      </c>
      <c r="R1031" s="5">
        <v>0</v>
      </c>
      <c r="S1031" s="7">
        <v>0</v>
      </c>
      <c r="T1031" s="12">
        <v>43285</v>
      </c>
      <c r="U1031" s="4">
        <v>5</v>
      </c>
      <c r="V1031" s="4">
        <v>9</v>
      </c>
      <c r="W1031" s="4">
        <v>9</v>
      </c>
      <c r="X1031" s="45">
        <f>+C1031+G1031+I1031+O1031+S1031</f>
        <v>45635.6</v>
      </c>
      <c r="Y1031" s="14" t="s">
        <v>54</v>
      </c>
      <c r="Z1031" s="14" t="s">
        <v>730</v>
      </c>
      <c r="AA1031" s="14" t="str">
        <f>IFERROR(VLOOKUP(A1031,'[2]UPDATE BILL 2018'!$B:$P,15,0),IFERROR(VLOOKUP(A1031,'[2]UPDATE BILL 2018'!$C:$P,14,0),IFERROR(VLOOKUP(A1031,'[2]UPDATE BILL 2018'!$D:$P,13,0),IFERROR(VLOOKUP(A1031,'[2]UPDATE BILL 2018'!$E:$P,12,0),IFERROR(VLOOKUP(A1031,'[2]UPDATE BILL 2018'!$F:$P,11,0),IFERROR(VLOOKUP(A1031,'[2]UPDATE BILL 2018'!$G:$P,10,0),IFERROR(VLOOKUP(A1031,'[2]UPDATE BILL 2018'!$H:$P,9,0),IFERROR(VLOOKUP(A1031,'[2]UPDATE BILL 2018'!$I:$P,8,0),VLOOKUP(A1031,'[2]UPDATE BILL 2018'!$B:$P,15,0)))))))))</f>
        <v>SITWHPKW170363</v>
      </c>
      <c r="AB1031" s="44">
        <f>IFERROR(VLOOKUP(A1031,'[2]UPDATE BILL 2018'!$B:$T,19,0),IFERROR(VLOOKUP(A1031,'[2]UPDATE BILL 2018'!$C:$T,18,0),IFERROR(VLOOKUP(A1031,'[2]UPDATE BILL 2018'!$D:$T,17,0),IFERROR(VLOOKUP(A1031,'[2]UPDATE BILL 2018'!$E:$T,16,0),IFERROR(VLOOKUP(A1031,'[2]UPDATE BILL 2018'!$F:$T,15,0),IFERROR(VLOOKUP(A1031,'[2]UPDATE BILL 2018'!$G:$T,14,0),IFERROR(VLOOKUP(A1031,'[2]UPDATE BILL 2018'!$H:$T,13,0),IFERROR(VLOOKUP(A1031,'[2]UPDATE BILL 2018'!$I:$T,12,0),VLOOKUP(A1031,'[2]UPDATE BILL 2018'!$B:$T,19,0)))))))))</f>
        <v>43291</v>
      </c>
      <c r="AC1031" s="44" t="str">
        <f>IFERROR(VLOOKUP(A1031,'[2]UPDATE BILL 2018'!$B:$V,21,0),IFERROR(VLOOKUP(A1031,'[2]UPDATE BILL 2018'!$C:$V,20,0),IFERROR(VLOOKUP(A1031,'[2]UPDATE BILL 2018'!$D:$V,19,0),IFERROR(VLOOKUP(A1031,'[2]UPDATE BILL 2018'!$E:$V,18,0),IFERROR(VLOOKUP(A1031,'[2]UPDATE BILL 2018'!$F:$V,17,0),IFERROR(VLOOKUP(A1031,'[2]UPDATE BILL 2018'!$G:$V,16,0),IFERROR(VLOOKUP(A1031,'[2]UPDATE BILL 2018'!$H:$V,15,0),IFERROR(VLOOKUP(A1031,'[2]UPDATE BILL 2018'!$I:$V,14,0),VLOOKUP(A1031,'[2]UPDATE BILL 2018'!$B:$V,21,0)))))))))</f>
        <v>RESURGENCE 1817N</v>
      </c>
      <c r="AD1031" s="29" t="s">
        <v>50</v>
      </c>
      <c r="AE1031" s="24" t="s">
        <v>2326</v>
      </c>
      <c r="AF1031" s="25" t="s">
        <v>1269</v>
      </c>
      <c r="AI1031" s="58"/>
    </row>
    <row r="1032" spans="1:35" ht="16.5" customHeight="1">
      <c r="A1032" s="6" t="s">
        <v>2305</v>
      </c>
      <c r="B1032" s="5">
        <v>995</v>
      </c>
      <c r="C1032" s="7">
        <v>112527.27</v>
      </c>
      <c r="D1032" s="7">
        <f t="shared" si="27"/>
        <v>0</v>
      </c>
      <c r="E1032" s="7">
        <v>0</v>
      </c>
      <c r="F1032" s="5">
        <v>0</v>
      </c>
      <c r="G1032" s="7">
        <v>0</v>
      </c>
      <c r="H1032" s="5">
        <v>75</v>
      </c>
      <c r="I1032" s="7">
        <v>1813.5000000000002</v>
      </c>
      <c r="J1032" s="7">
        <v>0</v>
      </c>
      <c r="K1032" s="5">
        <v>0</v>
      </c>
      <c r="L1032" s="5">
        <v>0</v>
      </c>
      <c r="M1032" s="5">
        <v>215</v>
      </c>
      <c r="N1032" s="7">
        <f t="shared" si="28"/>
        <v>215</v>
      </c>
      <c r="O1032" s="7">
        <v>21974.700000000004</v>
      </c>
      <c r="P1032" s="7">
        <f t="shared" si="29"/>
        <v>20</v>
      </c>
      <c r="Q1032" s="5">
        <v>0</v>
      </c>
      <c r="R1032" s="5">
        <v>20</v>
      </c>
      <c r="S1032" s="7">
        <v>998</v>
      </c>
      <c r="T1032" s="12">
        <v>43285</v>
      </c>
      <c r="U1032" s="4">
        <v>11</v>
      </c>
      <c r="V1032" s="4">
        <v>9</v>
      </c>
      <c r="W1032" s="4">
        <v>9</v>
      </c>
      <c r="X1032" s="45">
        <f t="shared" si="30"/>
        <v>137313.47</v>
      </c>
      <c r="Y1032" s="14" t="s">
        <v>54</v>
      </c>
      <c r="Z1032" s="14" t="s">
        <v>59</v>
      </c>
      <c r="AA1032" s="14" t="str">
        <f>IFERROR(VLOOKUP(A1032,'[2]UPDATE BILL 2018'!$B:$P,15,0),IFERROR(VLOOKUP(A1032,'[2]UPDATE BILL 2018'!$C:$P,14,0),IFERROR(VLOOKUP(A1032,'[2]UPDATE BILL 2018'!$D:$P,13,0),IFERROR(VLOOKUP(A1032,'[2]UPDATE BILL 2018'!$E:$P,12,0),IFERROR(VLOOKUP(A1032,'[2]UPDATE BILL 2018'!$F:$P,11,0),IFERROR(VLOOKUP(A1032,'[2]UPDATE BILL 2018'!$G:$P,10,0),IFERROR(VLOOKUP(A1032,'[2]UPDATE BILL 2018'!$H:$P,9,0),IFERROR(VLOOKUP(A1032,'[2]UPDATE BILL 2018'!$I:$P,8,0),VLOOKUP(A1032,'[2]UPDATE BILL 2018'!$B:$P,15,0)))))))))</f>
        <v>SITWHPKW170365</v>
      </c>
      <c r="AB1032" s="44">
        <f>IFERROR(VLOOKUP(A1032,'[2]UPDATE BILL 2018'!$B:$T,19,0),IFERROR(VLOOKUP(A1032,'[2]UPDATE BILL 2018'!$C:$T,18,0),IFERROR(VLOOKUP(A1032,'[2]UPDATE BILL 2018'!$D:$T,17,0),IFERROR(VLOOKUP(A1032,'[2]UPDATE BILL 2018'!$E:$T,16,0),IFERROR(VLOOKUP(A1032,'[2]UPDATE BILL 2018'!$F:$T,15,0),IFERROR(VLOOKUP(A1032,'[2]UPDATE BILL 2018'!$G:$T,14,0),IFERROR(VLOOKUP(A1032,'[2]UPDATE BILL 2018'!$H:$T,13,0),IFERROR(VLOOKUP(A1032,'[2]UPDATE BILL 2018'!$I:$T,12,0),VLOOKUP(A1032,'[2]UPDATE BILL 2018'!$B:$T,19,0)))))))))</f>
        <v>43296</v>
      </c>
      <c r="AC1032" s="44" t="str">
        <f>IFERROR(VLOOKUP(A1032,'[2]UPDATE BILL 2018'!$B:$V,21,0),IFERROR(VLOOKUP(A1032,'[2]UPDATE BILL 2018'!$C:$V,20,0),IFERROR(VLOOKUP(A1032,'[2]UPDATE BILL 2018'!$D:$V,19,0),IFERROR(VLOOKUP(A1032,'[2]UPDATE BILL 2018'!$E:$V,18,0),IFERROR(VLOOKUP(A1032,'[2]UPDATE BILL 2018'!$F:$V,17,0),IFERROR(VLOOKUP(A1032,'[2]UPDATE BILL 2018'!$G:$V,16,0),IFERROR(VLOOKUP(A1032,'[2]UPDATE BILL 2018'!$H:$V,15,0),IFERROR(VLOOKUP(A1032,'[2]UPDATE BILL 2018'!$I:$V,14,0),VLOOKUP(A1032,'[2]UPDATE BILL 2018'!$B:$V,21,0)))))))))</f>
        <v>HYUNDAI HARMONY 1829N</v>
      </c>
      <c r="AD1032" s="29" t="s">
        <v>50</v>
      </c>
      <c r="AE1032" s="24" t="s">
        <v>2327</v>
      </c>
      <c r="AF1032" s="25" t="s">
        <v>1269</v>
      </c>
      <c r="AI1032" s="58"/>
    </row>
    <row r="1033" spans="1:35" ht="16.5" customHeight="1">
      <c r="A1033" s="6" t="s">
        <v>2319</v>
      </c>
      <c r="D1033" s="7">
        <f t="shared" si="27"/>
        <v>0</v>
      </c>
      <c r="E1033" s="7">
        <v>0</v>
      </c>
      <c r="F1033" s="5">
        <v>0</v>
      </c>
      <c r="G1033" s="7">
        <v>0</v>
      </c>
      <c r="H1033" s="5">
        <v>0</v>
      </c>
      <c r="I1033" s="7">
        <v>0</v>
      </c>
      <c r="J1033" s="7">
        <v>0</v>
      </c>
      <c r="K1033" s="5">
        <v>0</v>
      </c>
      <c r="L1033" s="5">
        <v>0</v>
      </c>
      <c r="M1033" s="5">
        <v>0</v>
      </c>
      <c r="N1033" s="7">
        <f t="shared" si="28"/>
        <v>0</v>
      </c>
      <c r="O1033" s="7">
        <v>0</v>
      </c>
      <c r="P1033" s="7">
        <f t="shared" si="29"/>
        <v>420</v>
      </c>
      <c r="Q1033" s="5">
        <v>0</v>
      </c>
      <c r="R1033" s="5">
        <v>420</v>
      </c>
      <c r="S1033" s="7">
        <v>33927.75</v>
      </c>
      <c r="T1033" s="12">
        <v>43285</v>
      </c>
      <c r="U1033" s="4">
        <v>1</v>
      </c>
      <c r="V1033" s="4">
        <v>9</v>
      </c>
      <c r="W1033" s="4">
        <v>9</v>
      </c>
      <c r="X1033" s="45">
        <f t="shared" si="30"/>
        <v>33927.75</v>
      </c>
      <c r="Y1033" s="14" t="s">
        <v>56</v>
      </c>
      <c r="Z1033" s="14" t="s">
        <v>1281</v>
      </c>
      <c r="AA1033" s="14" t="str">
        <f>IFERROR(VLOOKUP(A1033,'[2]UPDATE BILL 2018'!$B:$P,15,0),IFERROR(VLOOKUP(A1033,'[2]UPDATE BILL 2018'!$C:$P,14,0),IFERROR(VLOOKUP(A1033,'[2]UPDATE BILL 2018'!$D:$P,13,0),IFERROR(VLOOKUP(A1033,'[2]UPDATE BILL 2018'!$E:$P,12,0),IFERROR(VLOOKUP(A1033,'[2]UPDATE BILL 2018'!$F:$P,11,0),IFERROR(VLOOKUP(A1033,'[2]UPDATE BILL 2018'!$G:$P,10,0),IFERROR(VLOOKUP(A1033,'[2]UPDATE BILL 2018'!$H:$P,9,0),IFERROR(VLOOKUP(A1033,'[2]UPDATE BILL 2018'!$I:$P,8,0),VLOOKUP(A1033,'[2]UPDATE BILL 2018'!$B:$P,15,0)))))))))</f>
        <v>1008X03337</v>
      </c>
      <c r="AB1033" s="44">
        <f>IFERROR(VLOOKUP(A1033,'[2]UPDATE BILL 2018'!$B:$T,19,0),IFERROR(VLOOKUP(A1033,'[2]UPDATE BILL 2018'!$C:$T,18,0),IFERROR(VLOOKUP(A1033,'[2]UPDATE BILL 2018'!$D:$T,17,0),IFERROR(VLOOKUP(A1033,'[2]UPDATE BILL 2018'!$E:$T,16,0),IFERROR(VLOOKUP(A1033,'[2]UPDATE BILL 2018'!$F:$T,15,0),IFERROR(VLOOKUP(A1033,'[2]UPDATE BILL 2018'!$G:$T,14,0),IFERROR(VLOOKUP(A1033,'[2]UPDATE BILL 2018'!$H:$T,13,0),IFERROR(VLOOKUP(A1033,'[2]UPDATE BILL 2018'!$I:$T,12,0),VLOOKUP(A1033,'[2]UPDATE BILL 2018'!$B:$T,19,0)))))))))</f>
        <v>43288</v>
      </c>
      <c r="AC1033" s="44" t="str">
        <f>IFERROR(VLOOKUP(A1033,'[2]UPDATE BILL 2018'!$B:$V,21,0),IFERROR(VLOOKUP(A1033,'[2]UPDATE BILL 2018'!$C:$V,20,0),IFERROR(VLOOKUP(A1033,'[2]UPDATE BILL 2018'!$D:$V,19,0),IFERROR(VLOOKUP(A1033,'[2]UPDATE BILL 2018'!$E:$V,18,0),IFERROR(VLOOKUP(A1033,'[2]UPDATE BILL 2018'!$F:$V,17,0),IFERROR(VLOOKUP(A1033,'[2]UPDATE BILL 2018'!$G:$V,16,0),IFERROR(VLOOKUP(A1033,'[2]UPDATE BILL 2018'!$H:$V,15,0),IFERROR(VLOOKUP(A1033,'[2]UPDATE BILL 2018'!$I:$V,14,0),VLOOKUP(A1033,'[2]UPDATE BILL 2018'!$B:$V,21,0)))))))))</f>
        <v>PAOLA N020</v>
      </c>
      <c r="AD1033" s="29" t="s">
        <v>52</v>
      </c>
      <c r="AE1033" s="24" t="s">
        <v>2328</v>
      </c>
      <c r="AF1033" s="25" t="s">
        <v>2173</v>
      </c>
      <c r="AI1033" s="58"/>
    </row>
    <row r="1034" spans="1:35" ht="16.5" customHeight="1">
      <c r="A1034" s="6" t="s">
        <v>2320</v>
      </c>
      <c r="D1034" s="7">
        <f t="shared" si="27"/>
        <v>0</v>
      </c>
      <c r="E1034" s="7">
        <v>0</v>
      </c>
      <c r="F1034" s="5">
        <v>0</v>
      </c>
      <c r="G1034" s="7">
        <v>0</v>
      </c>
      <c r="H1034" s="5">
        <v>0</v>
      </c>
      <c r="I1034" s="7">
        <v>0</v>
      </c>
      <c r="J1034" s="7">
        <v>0</v>
      </c>
      <c r="K1034" s="5">
        <v>0</v>
      </c>
      <c r="L1034" s="5">
        <v>0</v>
      </c>
      <c r="M1034" s="5">
        <v>0</v>
      </c>
      <c r="N1034" s="7">
        <f t="shared" si="28"/>
        <v>0</v>
      </c>
      <c r="O1034" s="7">
        <v>0</v>
      </c>
      <c r="P1034" s="7">
        <f t="shared" si="29"/>
        <v>1185</v>
      </c>
      <c r="Q1034" s="5">
        <v>0</v>
      </c>
      <c r="R1034" s="5">
        <v>1185</v>
      </c>
      <c r="S1034" s="7">
        <v>131023.9</v>
      </c>
      <c r="T1034" s="12">
        <v>43285</v>
      </c>
      <c r="U1034" s="4">
        <v>6</v>
      </c>
      <c r="V1034" s="4">
        <v>9</v>
      </c>
      <c r="W1034" s="4">
        <v>9</v>
      </c>
      <c r="X1034" s="45">
        <f t="shared" si="30"/>
        <v>131023.9</v>
      </c>
      <c r="Y1034" s="14" t="s">
        <v>56</v>
      </c>
      <c r="Z1034" s="14" t="s">
        <v>1355</v>
      </c>
      <c r="AA1034" s="14" t="str">
        <f>IFERROR(VLOOKUP(A1034,'[2]UPDATE BILL 2018'!$B:$P,15,0),IFERROR(VLOOKUP(A1034,'[2]UPDATE BILL 2018'!$C:$P,14,0),IFERROR(VLOOKUP(A1034,'[2]UPDATE BILL 2018'!$D:$P,13,0),IFERROR(VLOOKUP(A1034,'[2]UPDATE BILL 2018'!$E:$P,12,0),IFERROR(VLOOKUP(A1034,'[2]UPDATE BILL 2018'!$F:$P,11,0),IFERROR(VLOOKUP(A1034,'[2]UPDATE BILL 2018'!$G:$P,10,0),IFERROR(VLOOKUP(A1034,'[2]UPDATE BILL 2018'!$H:$P,9,0),IFERROR(VLOOKUP(A1034,'[2]UPDATE BILL 2018'!$I:$P,8,0),VLOOKUP(A1034,'[2]UPDATE BILL 2018'!$B:$P,15,0)))))))))</f>
        <v>1008X03531</v>
      </c>
      <c r="AB1034" s="44">
        <f>IFERROR(VLOOKUP(A1034,'[2]UPDATE BILL 2018'!$B:$T,19,0),IFERROR(VLOOKUP(A1034,'[2]UPDATE BILL 2018'!$C:$T,18,0),IFERROR(VLOOKUP(A1034,'[2]UPDATE BILL 2018'!$D:$T,17,0),IFERROR(VLOOKUP(A1034,'[2]UPDATE BILL 2018'!$E:$T,16,0),IFERROR(VLOOKUP(A1034,'[2]UPDATE BILL 2018'!$F:$T,15,0),IFERROR(VLOOKUP(A1034,'[2]UPDATE BILL 2018'!$G:$T,14,0),IFERROR(VLOOKUP(A1034,'[2]UPDATE BILL 2018'!$H:$T,13,0),IFERROR(VLOOKUP(A1034,'[2]UPDATE BILL 2018'!$I:$T,12,0),VLOOKUP(A1034,'[2]UPDATE BILL 2018'!$B:$T,19,0)))))))))</f>
        <v>43299</v>
      </c>
      <c r="AC1034" s="44" t="str">
        <f>IFERROR(VLOOKUP(A1034,'[2]UPDATE BILL 2018'!$B:$V,21,0),IFERROR(VLOOKUP(A1034,'[2]UPDATE BILL 2018'!$C:$V,20,0),IFERROR(VLOOKUP(A1034,'[2]UPDATE BILL 2018'!$D:$V,19,0),IFERROR(VLOOKUP(A1034,'[2]UPDATE BILL 2018'!$E:$V,18,0),IFERROR(VLOOKUP(A1034,'[2]UPDATE BILL 2018'!$F:$V,17,0),IFERROR(VLOOKUP(A1034,'[2]UPDATE BILL 2018'!$G:$V,16,0),IFERROR(VLOOKUP(A1034,'[2]UPDATE BILL 2018'!$H:$V,15,0),IFERROR(VLOOKUP(A1034,'[2]UPDATE BILL 2018'!$I:$V,14,0),VLOOKUP(A1034,'[2]UPDATE BILL 2018'!$B:$V,21,0)))))))))</f>
        <v>AS FRIDA N005</v>
      </c>
      <c r="AD1034" s="29" t="s">
        <v>51</v>
      </c>
      <c r="AE1034" s="24" t="s">
        <v>2329</v>
      </c>
      <c r="AF1034" s="25" t="s">
        <v>2150</v>
      </c>
      <c r="AI1034" s="58"/>
    </row>
    <row r="1035" spans="1:35" ht="16.5" customHeight="1">
      <c r="A1035" s="6" t="s">
        <v>2330</v>
      </c>
      <c r="B1035" s="5">
        <v>85</v>
      </c>
      <c r="C1035" s="7">
        <v>9447.5</v>
      </c>
      <c r="D1035" s="7">
        <f t="shared" si="27"/>
        <v>0</v>
      </c>
      <c r="E1035" s="7">
        <v>0</v>
      </c>
      <c r="F1035" s="5">
        <v>0</v>
      </c>
      <c r="G1035" s="7">
        <v>0</v>
      </c>
      <c r="H1035" s="5">
        <v>37</v>
      </c>
      <c r="I1035" s="7">
        <v>3870.4999999999995</v>
      </c>
      <c r="J1035" s="7">
        <v>0</v>
      </c>
      <c r="K1035" s="5">
        <v>0</v>
      </c>
      <c r="L1035" s="5">
        <v>0</v>
      </c>
      <c r="M1035" s="5">
        <v>0</v>
      </c>
      <c r="N1035" s="7">
        <f t="shared" si="28"/>
        <v>0</v>
      </c>
      <c r="O1035" s="7">
        <v>0</v>
      </c>
      <c r="P1035" s="7">
        <f t="shared" si="29"/>
        <v>0</v>
      </c>
      <c r="Q1035" s="5">
        <v>0</v>
      </c>
      <c r="R1035" s="5">
        <v>0</v>
      </c>
      <c r="S1035" s="7">
        <v>0</v>
      </c>
      <c r="T1035" s="12">
        <v>43286</v>
      </c>
      <c r="U1035" s="4">
        <v>1</v>
      </c>
      <c r="V1035" s="4">
        <v>9</v>
      </c>
      <c r="W1035" s="4">
        <v>9</v>
      </c>
      <c r="X1035" s="45">
        <f t="shared" si="30"/>
        <v>13318</v>
      </c>
      <c r="Y1035" s="14" t="s">
        <v>1633</v>
      </c>
      <c r="Z1035" s="14" t="s">
        <v>1492</v>
      </c>
      <c r="AA1035" s="14" t="str">
        <f>IFERROR(VLOOKUP(A1035,'[2]UPDATE BILL 2018'!$B:$P,15,0),IFERROR(VLOOKUP(A1035,'[2]UPDATE BILL 2018'!$C:$P,14,0),IFERROR(VLOOKUP(A1035,'[2]UPDATE BILL 2018'!$D:$P,13,0),IFERROR(VLOOKUP(A1035,'[2]UPDATE BILL 2018'!$E:$P,12,0),IFERROR(VLOOKUP(A1035,'[2]UPDATE BILL 2018'!$F:$P,11,0),IFERROR(VLOOKUP(A1035,'[2]UPDATE BILL 2018'!$G:$P,10,0),IFERROR(VLOOKUP(A1035,'[2]UPDATE BILL 2018'!$H:$P,9,0),IFERROR(VLOOKUP(A1035,'[2]UPDATE BILL 2018'!$I:$P,8,0),VLOOKUP(A1035,'[2]UPDATE BILL 2018'!$B:$P,15,0)))))))))</f>
        <v>KMTCHPH0564043</v>
      </c>
      <c r="AB1035" s="44">
        <f>IFERROR(VLOOKUP(A1035,'[2]UPDATE BILL 2018'!$B:$T,19,0),IFERROR(VLOOKUP(A1035,'[2]UPDATE BILL 2018'!$C:$T,18,0),IFERROR(VLOOKUP(A1035,'[2]UPDATE BILL 2018'!$D:$T,17,0),IFERROR(VLOOKUP(A1035,'[2]UPDATE BILL 2018'!$E:$T,16,0),IFERROR(VLOOKUP(A1035,'[2]UPDATE BILL 2018'!$F:$T,15,0),IFERROR(VLOOKUP(A1035,'[2]UPDATE BILL 2018'!$G:$T,14,0),IFERROR(VLOOKUP(A1035,'[2]UPDATE BILL 2018'!$H:$T,13,0),IFERROR(VLOOKUP(A1035,'[2]UPDATE BILL 2018'!$I:$T,12,0),VLOOKUP(A1035,'[2]UPDATE BILL 2018'!$B:$T,19,0)))))))))</f>
        <v>43299</v>
      </c>
      <c r="AC1035" s="44" t="str">
        <f>IFERROR(VLOOKUP(A1035,'[2]UPDATE BILL 2018'!$B:$V,21,0),IFERROR(VLOOKUP(A1035,'[2]UPDATE BILL 2018'!$C:$V,20,0),IFERROR(VLOOKUP(A1035,'[2]UPDATE BILL 2018'!$D:$V,19,0),IFERROR(VLOOKUP(A1035,'[2]UPDATE BILL 2018'!$E:$V,18,0),IFERROR(VLOOKUP(A1035,'[2]UPDATE BILL 2018'!$F:$V,17,0),IFERROR(VLOOKUP(A1035,'[2]UPDATE BILL 2018'!$G:$V,16,0),IFERROR(VLOOKUP(A1035,'[2]UPDATE BILL 2018'!$H:$V,15,0),IFERROR(VLOOKUP(A1035,'[2]UPDATE BILL 2018'!$I:$V,14,0),VLOOKUP(A1035,'[2]UPDATE BILL 2018'!$B:$V,21,0)))))))))</f>
        <v>KOTA WANGSA 013N</v>
      </c>
      <c r="AD1035" s="29" t="s">
        <v>70</v>
      </c>
      <c r="AE1035" s="24" t="s">
        <v>2340</v>
      </c>
      <c r="AF1035" s="25" t="s">
        <v>1273</v>
      </c>
      <c r="AI1035" s="58"/>
    </row>
    <row r="1036" spans="1:35" ht="16.5" customHeight="1">
      <c r="A1036" s="6" t="s">
        <v>2331</v>
      </c>
      <c r="B1036" s="5">
        <v>205</v>
      </c>
      <c r="C1036" s="7">
        <v>7393.9</v>
      </c>
      <c r="D1036" s="7">
        <f t="shared" si="27"/>
        <v>0</v>
      </c>
      <c r="E1036" s="7">
        <v>0</v>
      </c>
      <c r="F1036" s="5">
        <v>0</v>
      </c>
      <c r="G1036" s="7">
        <v>0</v>
      </c>
      <c r="H1036" s="5">
        <v>160</v>
      </c>
      <c r="I1036" s="7">
        <v>15199</v>
      </c>
      <c r="J1036" s="7">
        <v>0</v>
      </c>
      <c r="K1036" s="5">
        <v>0</v>
      </c>
      <c r="L1036" s="5">
        <v>0</v>
      </c>
      <c r="M1036" s="5">
        <v>439</v>
      </c>
      <c r="N1036" s="7">
        <f t="shared" si="28"/>
        <v>439</v>
      </c>
      <c r="O1036" s="7">
        <v>13390.900000000001</v>
      </c>
      <c r="P1036" s="7">
        <f t="shared" si="29"/>
        <v>0</v>
      </c>
      <c r="Q1036" s="5">
        <v>0</v>
      </c>
      <c r="R1036" s="5">
        <v>0</v>
      </c>
      <c r="S1036" s="7">
        <v>0</v>
      </c>
      <c r="T1036" s="12">
        <v>43286</v>
      </c>
      <c r="U1036" s="4">
        <v>2</v>
      </c>
      <c r="V1036" s="4">
        <v>9</v>
      </c>
      <c r="W1036" s="4">
        <v>9</v>
      </c>
      <c r="X1036" s="45">
        <f t="shared" si="30"/>
        <v>35983.800000000003</v>
      </c>
      <c r="Y1036" s="14" t="s">
        <v>54</v>
      </c>
      <c r="Z1036" s="14" t="s">
        <v>730</v>
      </c>
      <c r="AA1036" s="14" t="str">
        <f>IFERROR(VLOOKUP(A1036,'[2]UPDATE BILL 2018'!$B:$P,15,0),IFERROR(VLOOKUP(A1036,'[2]UPDATE BILL 2018'!$C:$P,14,0),IFERROR(VLOOKUP(A1036,'[2]UPDATE BILL 2018'!$D:$P,13,0),IFERROR(VLOOKUP(A1036,'[2]UPDATE BILL 2018'!$E:$P,12,0),IFERROR(VLOOKUP(A1036,'[2]UPDATE BILL 2018'!$F:$P,11,0),IFERROR(VLOOKUP(A1036,'[2]UPDATE BILL 2018'!$G:$P,10,0),IFERROR(VLOOKUP(A1036,'[2]UPDATE BILL 2018'!$H:$P,9,0),IFERROR(VLOOKUP(A1036,'[2]UPDATE BILL 2018'!$I:$P,8,0),VLOOKUP(A1036,'[2]UPDATE BILL 2018'!$B:$P,15,0)))))))))</f>
        <v>SITWHPTK170351</v>
      </c>
      <c r="AB1036" s="44">
        <f>IFERROR(VLOOKUP(A1036,'[2]UPDATE BILL 2018'!$B:$T,19,0),IFERROR(VLOOKUP(A1036,'[2]UPDATE BILL 2018'!$C:$T,18,0),IFERROR(VLOOKUP(A1036,'[2]UPDATE BILL 2018'!$D:$T,17,0),IFERROR(VLOOKUP(A1036,'[2]UPDATE BILL 2018'!$E:$T,16,0),IFERROR(VLOOKUP(A1036,'[2]UPDATE BILL 2018'!$F:$T,15,0),IFERROR(VLOOKUP(A1036,'[2]UPDATE BILL 2018'!$G:$T,14,0),IFERROR(VLOOKUP(A1036,'[2]UPDATE BILL 2018'!$H:$T,13,0),IFERROR(VLOOKUP(A1036,'[2]UPDATE BILL 2018'!$I:$T,12,0),VLOOKUP(A1036,'[2]UPDATE BILL 2018'!$B:$T,19,0)))))))))</f>
        <v>43291</v>
      </c>
      <c r="AC1036" s="44" t="str">
        <f>IFERROR(VLOOKUP(A1036,'[2]UPDATE BILL 2018'!$B:$V,21,0),IFERROR(VLOOKUP(A1036,'[2]UPDATE BILL 2018'!$C:$V,20,0),IFERROR(VLOOKUP(A1036,'[2]UPDATE BILL 2018'!$D:$V,19,0),IFERROR(VLOOKUP(A1036,'[2]UPDATE BILL 2018'!$E:$V,18,0),IFERROR(VLOOKUP(A1036,'[2]UPDATE BILL 2018'!$F:$V,17,0),IFERROR(VLOOKUP(A1036,'[2]UPDATE BILL 2018'!$G:$V,16,0),IFERROR(VLOOKUP(A1036,'[2]UPDATE BILL 2018'!$H:$V,15,0),IFERROR(VLOOKUP(A1036,'[2]UPDATE BILL 2018'!$I:$V,14,0),VLOOKUP(A1036,'[2]UPDATE BILL 2018'!$B:$V,21,0)))))))))</f>
        <v>RESURGENCE 1817N</v>
      </c>
      <c r="AD1036" s="29" t="s">
        <v>49</v>
      </c>
      <c r="AE1036" s="24" t="s">
        <v>2341</v>
      </c>
      <c r="AF1036" s="25" t="s">
        <v>1265</v>
      </c>
      <c r="AI1036" s="58"/>
    </row>
    <row r="1037" spans="1:35" ht="16.5" customHeight="1">
      <c r="A1037" s="6" t="s">
        <v>2332</v>
      </c>
      <c r="B1037" s="5">
        <v>98</v>
      </c>
      <c r="C1037" s="7">
        <v>10416.670000000002</v>
      </c>
      <c r="D1037" s="7">
        <f t="shared" si="27"/>
        <v>0</v>
      </c>
      <c r="E1037" s="7">
        <v>0</v>
      </c>
      <c r="F1037" s="5">
        <v>0</v>
      </c>
      <c r="G1037" s="7">
        <v>0</v>
      </c>
      <c r="H1037" s="5">
        <v>0</v>
      </c>
      <c r="I1037" s="7">
        <v>0</v>
      </c>
      <c r="J1037" s="7">
        <v>0</v>
      </c>
      <c r="K1037" s="5">
        <v>0</v>
      </c>
      <c r="L1037" s="5">
        <v>0</v>
      </c>
      <c r="M1037" s="5">
        <v>0</v>
      </c>
      <c r="N1037" s="7">
        <f t="shared" si="28"/>
        <v>0</v>
      </c>
      <c r="O1037" s="7">
        <v>0</v>
      </c>
      <c r="P1037" s="7">
        <f t="shared" si="29"/>
        <v>0</v>
      </c>
      <c r="Q1037" s="5">
        <v>0</v>
      </c>
      <c r="R1037" s="5">
        <v>0</v>
      </c>
      <c r="S1037" s="7">
        <v>0</v>
      </c>
      <c r="T1037" s="12">
        <v>43286</v>
      </c>
      <c r="U1037" s="4">
        <v>1</v>
      </c>
      <c r="V1037" s="4">
        <v>9</v>
      </c>
      <c r="W1037" s="4">
        <v>9</v>
      </c>
      <c r="X1037" s="45">
        <f t="shared" si="30"/>
        <v>10416.670000000002</v>
      </c>
      <c r="Y1037" s="14" t="s">
        <v>56</v>
      </c>
      <c r="Z1037" s="14" t="s">
        <v>1281</v>
      </c>
      <c r="AA1037" s="14" t="str">
        <f>IFERROR(VLOOKUP(A1037,'[2]UPDATE BILL 2018'!$B:$P,15,0),IFERROR(VLOOKUP(A1037,'[2]UPDATE BILL 2018'!$C:$P,14,0),IFERROR(VLOOKUP(A1037,'[2]UPDATE BILL 2018'!$D:$P,13,0),IFERROR(VLOOKUP(A1037,'[2]UPDATE BILL 2018'!$E:$P,12,0),IFERROR(VLOOKUP(A1037,'[2]UPDATE BILL 2018'!$F:$P,11,0),IFERROR(VLOOKUP(A1037,'[2]UPDATE BILL 2018'!$G:$P,10,0),IFERROR(VLOOKUP(A1037,'[2]UPDATE BILL 2018'!$H:$P,9,0),IFERROR(VLOOKUP(A1037,'[2]UPDATE BILL 2018'!$I:$P,8,0),VLOOKUP(A1037,'[2]UPDATE BILL 2018'!$B:$P,15,0)))))))))</f>
        <v>1008X03336</v>
      </c>
      <c r="AB1037" s="44">
        <f>IFERROR(VLOOKUP(A1037,'[2]UPDATE BILL 2018'!$B:$T,19,0),IFERROR(VLOOKUP(A1037,'[2]UPDATE BILL 2018'!$C:$T,18,0),IFERROR(VLOOKUP(A1037,'[2]UPDATE BILL 2018'!$D:$T,17,0),IFERROR(VLOOKUP(A1037,'[2]UPDATE BILL 2018'!$E:$T,16,0),IFERROR(VLOOKUP(A1037,'[2]UPDATE BILL 2018'!$F:$T,15,0),IFERROR(VLOOKUP(A1037,'[2]UPDATE BILL 2018'!$G:$T,14,0),IFERROR(VLOOKUP(A1037,'[2]UPDATE BILL 2018'!$H:$T,13,0),IFERROR(VLOOKUP(A1037,'[2]UPDATE BILL 2018'!$I:$T,12,0),VLOOKUP(A1037,'[2]UPDATE BILL 2018'!$B:$T,19,0)))))))))</f>
        <v>43293</v>
      </c>
      <c r="AC1037" s="44" t="str">
        <f>IFERROR(VLOOKUP(A1037,'[2]UPDATE BILL 2018'!$B:$V,21,0),IFERROR(VLOOKUP(A1037,'[2]UPDATE BILL 2018'!$C:$V,20,0),IFERROR(VLOOKUP(A1037,'[2]UPDATE BILL 2018'!$D:$V,19,0),IFERROR(VLOOKUP(A1037,'[2]UPDATE BILL 2018'!$E:$V,18,0),IFERROR(VLOOKUP(A1037,'[2]UPDATE BILL 2018'!$F:$V,17,0),IFERROR(VLOOKUP(A1037,'[2]UPDATE BILL 2018'!$G:$V,16,0),IFERROR(VLOOKUP(A1037,'[2]UPDATE BILL 2018'!$H:$V,15,0),IFERROR(VLOOKUP(A1037,'[2]UPDATE BILL 2018'!$I:$V,14,0),VLOOKUP(A1037,'[2]UPDATE BILL 2018'!$B:$V,21,0)))))))))</f>
        <v>WAN HAI 203 N465</v>
      </c>
      <c r="AD1037" s="29" t="s">
        <v>52</v>
      </c>
      <c r="AE1037" s="24" t="s">
        <v>2342</v>
      </c>
      <c r="AF1037" s="25" t="s">
        <v>1271</v>
      </c>
      <c r="AI1037" s="58"/>
    </row>
    <row r="1038" spans="1:35" ht="16.5" customHeight="1">
      <c r="A1038" s="6" t="s">
        <v>2333</v>
      </c>
      <c r="B1038" s="5">
        <v>235</v>
      </c>
      <c r="C1038" s="7">
        <v>34166.5</v>
      </c>
      <c r="D1038" s="7">
        <f t="shared" si="27"/>
        <v>0</v>
      </c>
      <c r="E1038" s="7">
        <v>0</v>
      </c>
      <c r="F1038" s="5">
        <v>0</v>
      </c>
      <c r="G1038" s="7">
        <v>0</v>
      </c>
      <c r="H1038" s="5">
        <v>296</v>
      </c>
      <c r="I1038" s="7">
        <v>37911.300000000003</v>
      </c>
      <c r="J1038" s="7">
        <v>0</v>
      </c>
      <c r="K1038" s="5">
        <v>0</v>
      </c>
      <c r="L1038" s="5">
        <v>0</v>
      </c>
      <c r="M1038" s="5">
        <v>95</v>
      </c>
      <c r="N1038" s="7">
        <f t="shared" si="28"/>
        <v>95</v>
      </c>
      <c r="O1038" s="7">
        <v>10815</v>
      </c>
      <c r="P1038" s="7">
        <f t="shared" si="29"/>
        <v>0</v>
      </c>
      <c r="Q1038" s="5">
        <v>0</v>
      </c>
      <c r="R1038" s="5">
        <v>0</v>
      </c>
      <c r="S1038" s="7">
        <v>0</v>
      </c>
      <c r="T1038" s="12">
        <v>43286</v>
      </c>
      <c r="U1038" s="4">
        <v>7</v>
      </c>
      <c r="V1038" s="4">
        <v>9</v>
      </c>
      <c r="W1038" s="4">
        <v>9</v>
      </c>
      <c r="X1038" s="45">
        <f t="shared" si="30"/>
        <v>82892.800000000003</v>
      </c>
      <c r="Y1038" s="14" t="s">
        <v>56</v>
      </c>
      <c r="Z1038" s="14" t="s">
        <v>55</v>
      </c>
      <c r="AA1038" s="14" t="str">
        <f>IFERROR(VLOOKUP(A1038,'[2]UPDATE BILL 2018'!$B:$P,15,0),IFERROR(VLOOKUP(A1038,'[2]UPDATE BILL 2018'!$C:$P,14,0),IFERROR(VLOOKUP(A1038,'[2]UPDATE BILL 2018'!$D:$P,13,0),IFERROR(VLOOKUP(A1038,'[2]UPDATE BILL 2018'!$E:$P,12,0),IFERROR(VLOOKUP(A1038,'[2]UPDATE BILL 2018'!$F:$P,11,0),IFERROR(VLOOKUP(A1038,'[2]UPDATE BILL 2018'!$G:$P,10,0),IFERROR(VLOOKUP(A1038,'[2]UPDATE BILL 2018'!$H:$P,9,0),IFERROR(VLOOKUP(A1038,'[2]UPDATE BILL 2018'!$I:$P,8,0),VLOOKUP(A1038,'[2]UPDATE BILL 2018'!$B:$P,15,0)))))))))</f>
        <v>1008X03535</v>
      </c>
      <c r="AB1038" s="44">
        <f>IFERROR(VLOOKUP(A1038,'[2]UPDATE BILL 2018'!$B:$T,19,0),IFERROR(VLOOKUP(A1038,'[2]UPDATE BILL 2018'!$C:$T,18,0),IFERROR(VLOOKUP(A1038,'[2]UPDATE BILL 2018'!$D:$T,17,0),IFERROR(VLOOKUP(A1038,'[2]UPDATE BILL 2018'!$E:$T,16,0),IFERROR(VLOOKUP(A1038,'[2]UPDATE BILL 2018'!$F:$T,15,0),IFERROR(VLOOKUP(A1038,'[2]UPDATE BILL 2018'!$G:$T,14,0),IFERROR(VLOOKUP(A1038,'[2]UPDATE BILL 2018'!$H:$T,13,0),IFERROR(VLOOKUP(A1038,'[2]UPDATE BILL 2018'!$I:$T,12,0),VLOOKUP(A1038,'[2]UPDATE BILL 2018'!$B:$T,19,0)))))))))</f>
        <v>43293</v>
      </c>
      <c r="AC1038" s="44" t="str">
        <f>IFERROR(VLOOKUP(A1038,'[2]UPDATE BILL 2018'!$B:$V,21,0),IFERROR(VLOOKUP(A1038,'[2]UPDATE BILL 2018'!$C:$V,20,0),IFERROR(VLOOKUP(A1038,'[2]UPDATE BILL 2018'!$D:$V,19,0),IFERROR(VLOOKUP(A1038,'[2]UPDATE BILL 2018'!$E:$V,18,0),IFERROR(VLOOKUP(A1038,'[2]UPDATE BILL 2018'!$F:$V,17,0),IFERROR(VLOOKUP(A1038,'[2]UPDATE BILL 2018'!$G:$V,16,0),IFERROR(VLOOKUP(A1038,'[2]UPDATE BILL 2018'!$H:$V,15,0),IFERROR(VLOOKUP(A1038,'[2]UPDATE BILL 2018'!$I:$V,14,0),VLOOKUP(A1038,'[2]UPDATE BILL 2018'!$B:$V,21,0)))))))))</f>
        <v>AS ROBERTA N005</v>
      </c>
      <c r="AD1038" s="29" t="s">
        <v>51</v>
      </c>
      <c r="AE1038" s="24" t="s">
        <v>2343</v>
      </c>
      <c r="AF1038" s="25" t="s">
        <v>1270</v>
      </c>
      <c r="AI1038" s="58"/>
    </row>
    <row r="1039" spans="1:35" ht="16.5" customHeight="1">
      <c r="A1039" s="6" t="s">
        <v>2334</v>
      </c>
      <c r="B1039" s="5">
        <v>348</v>
      </c>
      <c r="C1039" s="7">
        <v>40053.900000000009</v>
      </c>
      <c r="D1039" s="7">
        <f t="shared" si="27"/>
        <v>0</v>
      </c>
      <c r="E1039" s="7">
        <v>0</v>
      </c>
      <c r="F1039" s="5">
        <v>0</v>
      </c>
      <c r="G1039" s="7">
        <v>0</v>
      </c>
      <c r="H1039" s="5">
        <v>845</v>
      </c>
      <c r="I1039" s="7">
        <v>94756.35</v>
      </c>
      <c r="J1039" s="7">
        <v>0</v>
      </c>
      <c r="K1039" s="5">
        <v>0</v>
      </c>
      <c r="L1039" s="5">
        <v>0</v>
      </c>
      <c r="M1039" s="5">
        <v>144</v>
      </c>
      <c r="N1039" s="7">
        <f t="shared" si="28"/>
        <v>144</v>
      </c>
      <c r="O1039" s="7">
        <v>29777.1</v>
      </c>
      <c r="P1039" s="7">
        <f t="shared" si="29"/>
        <v>0</v>
      </c>
      <c r="Q1039" s="5">
        <v>0</v>
      </c>
      <c r="R1039" s="5">
        <v>0</v>
      </c>
      <c r="S1039" s="7">
        <v>0</v>
      </c>
      <c r="T1039" s="12">
        <v>43286</v>
      </c>
      <c r="U1039" s="4">
        <v>13</v>
      </c>
      <c r="V1039" s="4">
        <v>9</v>
      </c>
      <c r="W1039" s="4">
        <v>9</v>
      </c>
      <c r="X1039" s="45">
        <f t="shared" si="30"/>
        <v>164587.35</v>
      </c>
      <c r="Y1039" s="14" t="s">
        <v>56</v>
      </c>
      <c r="Z1039" s="14" t="s">
        <v>1355</v>
      </c>
      <c r="AA1039" s="14" t="str">
        <f>IFERROR(VLOOKUP(A1039,'[2]UPDATE BILL 2018'!$B:$P,15,0),IFERROR(VLOOKUP(A1039,'[2]UPDATE BILL 2018'!$C:$P,14,0),IFERROR(VLOOKUP(A1039,'[2]UPDATE BILL 2018'!$D:$P,13,0),IFERROR(VLOOKUP(A1039,'[2]UPDATE BILL 2018'!$E:$P,12,0),IFERROR(VLOOKUP(A1039,'[2]UPDATE BILL 2018'!$F:$P,11,0),IFERROR(VLOOKUP(A1039,'[2]UPDATE BILL 2018'!$G:$P,10,0),IFERROR(VLOOKUP(A1039,'[2]UPDATE BILL 2018'!$H:$P,9,0),IFERROR(VLOOKUP(A1039,'[2]UPDATE BILL 2018'!$I:$P,8,0),VLOOKUP(A1039,'[2]UPDATE BILL 2018'!$B:$P,15,0)))))))))</f>
        <v>1008X03531</v>
      </c>
      <c r="AB1039" s="44">
        <f>IFERROR(VLOOKUP(A1039,'[2]UPDATE BILL 2018'!$B:$T,19,0),IFERROR(VLOOKUP(A1039,'[2]UPDATE BILL 2018'!$C:$T,18,0),IFERROR(VLOOKUP(A1039,'[2]UPDATE BILL 2018'!$D:$T,17,0),IFERROR(VLOOKUP(A1039,'[2]UPDATE BILL 2018'!$E:$T,16,0),IFERROR(VLOOKUP(A1039,'[2]UPDATE BILL 2018'!$F:$T,15,0),IFERROR(VLOOKUP(A1039,'[2]UPDATE BILL 2018'!$G:$T,14,0),IFERROR(VLOOKUP(A1039,'[2]UPDATE BILL 2018'!$H:$T,13,0),IFERROR(VLOOKUP(A1039,'[2]UPDATE BILL 2018'!$I:$T,12,0),VLOOKUP(A1039,'[2]UPDATE BILL 2018'!$B:$T,19,0)))))))))</f>
        <v>43299</v>
      </c>
      <c r="AC1039" s="44" t="str">
        <f>IFERROR(VLOOKUP(A1039,'[2]UPDATE BILL 2018'!$B:$V,21,0),IFERROR(VLOOKUP(A1039,'[2]UPDATE BILL 2018'!$C:$V,20,0),IFERROR(VLOOKUP(A1039,'[2]UPDATE BILL 2018'!$D:$V,19,0),IFERROR(VLOOKUP(A1039,'[2]UPDATE BILL 2018'!$E:$V,18,0),IFERROR(VLOOKUP(A1039,'[2]UPDATE BILL 2018'!$F:$V,17,0),IFERROR(VLOOKUP(A1039,'[2]UPDATE BILL 2018'!$G:$V,16,0),IFERROR(VLOOKUP(A1039,'[2]UPDATE BILL 2018'!$H:$V,15,0),IFERROR(VLOOKUP(A1039,'[2]UPDATE BILL 2018'!$I:$V,14,0),VLOOKUP(A1039,'[2]UPDATE BILL 2018'!$B:$V,21,0)))))))))</f>
        <v>AS FRIDA N005</v>
      </c>
      <c r="AD1039" s="29" t="s">
        <v>51</v>
      </c>
      <c r="AE1039" s="24" t="s">
        <v>2344</v>
      </c>
      <c r="AF1039" s="25" t="s">
        <v>1270</v>
      </c>
      <c r="AI1039" s="58"/>
    </row>
    <row r="1040" spans="1:35" ht="16.5" customHeight="1">
      <c r="A1040" s="6" t="s">
        <v>2335</v>
      </c>
      <c r="B1040" s="5">
        <v>220</v>
      </c>
      <c r="C1040" s="7">
        <v>27803</v>
      </c>
      <c r="D1040" s="7">
        <f t="shared" si="27"/>
        <v>0</v>
      </c>
      <c r="E1040" s="7">
        <v>0</v>
      </c>
      <c r="F1040" s="5">
        <v>0</v>
      </c>
      <c r="G1040" s="7">
        <v>0</v>
      </c>
      <c r="H1040" s="5">
        <v>0</v>
      </c>
      <c r="I1040" s="7">
        <v>0</v>
      </c>
      <c r="J1040" s="7">
        <v>0</v>
      </c>
      <c r="K1040" s="5">
        <v>0</v>
      </c>
      <c r="L1040" s="5">
        <v>0</v>
      </c>
      <c r="M1040" s="5">
        <v>61</v>
      </c>
      <c r="N1040" s="7">
        <f t="shared" si="28"/>
        <v>61</v>
      </c>
      <c r="O1040" s="7">
        <v>9772.5</v>
      </c>
      <c r="P1040" s="7">
        <f t="shared" si="29"/>
        <v>0</v>
      </c>
      <c r="Q1040" s="5">
        <v>0</v>
      </c>
      <c r="R1040" s="5">
        <v>0</v>
      </c>
      <c r="S1040" s="7">
        <v>0</v>
      </c>
      <c r="T1040" s="12">
        <v>43286</v>
      </c>
      <c r="U1040" s="4">
        <v>3</v>
      </c>
      <c r="V1040" s="4">
        <v>9</v>
      </c>
      <c r="W1040" s="4">
        <v>9</v>
      </c>
      <c r="X1040" s="45">
        <f t="shared" si="30"/>
        <v>37575.5</v>
      </c>
      <c r="Y1040" s="14" t="s">
        <v>54</v>
      </c>
      <c r="Z1040" s="14" t="s">
        <v>59</v>
      </c>
      <c r="AA1040" s="14" t="str">
        <f>IFERROR(VLOOKUP(A1040,'[2]UPDATE BILL 2018'!$B:$P,15,0),IFERROR(VLOOKUP(A1040,'[2]UPDATE BILL 2018'!$C:$P,14,0),IFERROR(VLOOKUP(A1040,'[2]UPDATE BILL 2018'!$D:$P,13,0),IFERROR(VLOOKUP(A1040,'[2]UPDATE BILL 2018'!$E:$P,12,0),IFERROR(VLOOKUP(A1040,'[2]UPDATE BILL 2018'!$F:$P,11,0),IFERROR(VLOOKUP(A1040,'[2]UPDATE BILL 2018'!$G:$P,10,0),IFERROR(VLOOKUP(A1040,'[2]UPDATE BILL 2018'!$H:$P,9,0),IFERROR(VLOOKUP(A1040,'[2]UPDATE BILL 2018'!$I:$P,8,0),VLOOKUP(A1040,'[2]UPDATE BILL 2018'!$B:$P,15,0)))))))))</f>
        <v>SITWHPKW171069</v>
      </c>
      <c r="AB1040" s="44">
        <f>IFERROR(VLOOKUP(A1040,'[2]UPDATE BILL 2018'!$B:$T,19,0),IFERROR(VLOOKUP(A1040,'[2]UPDATE BILL 2018'!$C:$T,18,0),IFERROR(VLOOKUP(A1040,'[2]UPDATE BILL 2018'!$D:$T,17,0),IFERROR(VLOOKUP(A1040,'[2]UPDATE BILL 2018'!$E:$T,16,0),IFERROR(VLOOKUP(A1040,'[2]UPDATE BILL 2018'!$F:$T,15,0),IFERROR(VLOOKUP(A1040,'[2]UPDATE BILL 2018'!$G:$T,14,0),IFERROR(VLOOKUP(A1040,'[2]UPDATE BILL 2018'!$H:$T,13,0),IFERROR(VLOOKUP(A1040,'[2]UPDATE BILL 2018'!$I:$T,12,0),VLOOKUP(A1040,'[2]UPDATE BILL 2018'!$B:$T,19,0)))))))))</f>
        <v>43296</v>
      </c>
      <c r="AC1040" s="44" t="str">
        <f>IFERROR(VLOOKUP(A1040,'[2]UPDATE BILL 2018'!$B:$V,21,0),IFERROR(VLOOKUP(A1040,'[2]UPDATE BILL 2018'!$C:$V,20,0),IFERROR(VLOOKUP(A1040,'[2]UPDATE BILL 2018'!$D:$V,19,0),IFERROR(VLOOKUP(A1040,'[2]UPDATE BILL 2018'!$E:$V,18,0),IFERROR(VLOOKUP(A1040,'[2]UPDATE BILL 2018'!$F:$V,17,0),IFERROR(VLOOKUP(A1040,'[2]UPDATE BILL 2018'!$G:$V,16,0),IFERROR(VLOOKUP(A1040,'[2]UPDATE BILL 2018'!$H:$V,15,0),IFERROR(VLOOKUP(A1040,'[2]UPDATE BILL 2018'!$I:$V,14,0),VLOOKUP(A1040,'[2]UPDATE BILL 2018'!$B:$V,21,0)))))))))</f>
        <v>HYUNDAI HARMONY 1829N</v>
      </c>
      <c r="AD1040" s="29" t="s">
        <v>50</v>
      </c>
      <c r="AE1040" s="24" t="s">
        <v>2345</v>
      </c>
      <c r="AF1040" s="25" t="s">
        <v>1269</v>
      </c>
      <c r="AI1040" s="58"/>
    </row>
    <row r="1041" spans="1:35" ht="16.5" customHeight="1">
      <c r="A1041" s="6" t="s">
        <v>2336</v>
      </c>
      <c r="D1041" s="7">
        <f t="shared" si="27"/>
        <v>0</v>
      </c>
      <c r="E1041" s="7">
        <v>0</v>
      </c>
      <c r="F1041" s="5">
        <v>0</v>
      </c>
      <c r="G1041" s="7">
        <v>0</v>
      </c>
      <c r="H1041" s="5">
        <v>0</v>
      </c>
      <c r="I1041" s="7">
        <v>0</v>
      </c>
      <c r="J1041" s="7">
        <v>0</v>
      </c>
      <c r="K1041" s="5">
        <v>0</v>
      </c>
      <c r="L1041" s="5">
        <v>0</v>
      </c>
      <c r="M1041" s="5">
        <v>58</v>
      </c>
      <c r="N1041" s="7">
        <f t="shared" si="28"/>
        <v>58</v>
      </c>
      <c r="O1041" s="7">
        <v>10248.599999999999</v>
      </c>
      <c r="P1041" s="7">
        <f t="shared" si="29"/>
        <v>0</v>
      </c>
      <c r="Q1041" s="5">
        <v>0</v>
      </c>
      <c r="R1041" s="5">
        <v>0</v>
      </c>
      <c r="S1041" s="7">
        <v>0</v>
      </c>
      <c r="T1041" s="12">
        <v>43286</v>
      </c>
      <c r="U1041" s="4">
        <v>1</v>
      </c>
      <c r="V1041" s="4">
        <v>9</v>
      </c>
      <c r="W1041" s="4">
        <v>9</v>
      </c>
      <c r="X1041" s="45">
        <f t="shared" si="30"/>
        <v>10248.599999999999</v>
      </c>
      <c r="Y1041" s="14" t="s">
        <v>56</v>
      </c>
      <c r="Z1041" s="14" t="s">
        <v>1492</v>
      </c>
      <c r="AA1041" s="14" t="str">
        <f>IFERROR(VLOOKUP(A1041,'[2]UPDATE BILL 2018'!$B:$P,15,0),IFERROR(VLOOKUP(A1041,'[2]UPDATE BILL 2018'!$C:$P,14,0),IFERROR(VLOOKUP(A1041,'[2]UPDATE BILL 2018'!$D:$P,13,0),IFERROR(VLOOKUP(A1041,'[2]UPDATE BILL 2018'!$E:$P,12,0),IFERROR(VLOOKUP(A1041,'[2]UPDATE BILL 2018'!$F:$P,11,0),IFERROR(VLOOKUP(A1041,'[2]UPDATE BILL 2018'!$G:$P,10,0),IFERROR(VLOOKUP(A1041,'[2]UPDATE BILL 2018'!$H:$P,9,0),IFERROR(VLOOKUP(A1041,'[2]UPDATE BILL 2018'!$I:$P,8,0),VLOOKUP(A1041,'[2]UPDATE BILL 2018'!$B:$P,15,0)))))))))</f>
        <v>1008X03526</v>
      </c>
      <c r="AB1041" s="44">
        <f>IFERROR(VLOOKUP(A1041,'[2]UPDATE BILL 2018'!$B:$T,19,0),IFERROR(VLOOKUP(A1041,'[2]UPDATE BILL 2018'!$C:$T,18,0),IFERROR(VLOOKUP(A1041,'[2]UPDATE BILL 2018'!$D:$T,17,0),IFERROR(VLOOKUP(A1041,'[2]UPDATE BILL 2018'!$E:$T,16,0),IFERROR(VLOOKUP(A1041,'[2]UPDATE BILL 2018'!$F:$T,15,0),IFERROR(VLOOKUP(A1041,'[2]UPDATE BILL 2018'!$G:$T,14,0),IFERROR(VLOOKUP(A1041,'[2]UPDATE BILL 2018'!$H:$T,13,0),IFERROR(VLOOKUP(A1041,'[2]UPDATE BILL 2018'!$I:$T,12,0),VLOOKUP(A1041,'[2]UPDATE BILL 2018'!$B:$T,19,0)))))))))</f>
        <v>43292</v>
      </c>
      <c r="AC1041" s="44" t="str">
        <f>IFERROR(VLOOKUP(A1041,'[2]UPDATE BILL 2018'!$B:$V,21,0),IFERROR(VLOOKUP(A1041,'[2]UPDATE BILL 2018'!$C:$V,20,0),IFERROR(VLOOKUP(A1041,'[2]UPDATE BILL 2018'!$D:$V,19,0),IFERROR(VLOOKUP(A1041,'[2]UPDATE BILL 2018'!$E:$V,18,0),IFERROR(VLOOKUP(A1041,'[2]UPDATE BILL 2018'!$F:$V,17,0),IFERROR(VLOOKUP(A1041,'[2]UPDATE BILL 2018'!$G:$V,16,0),IFERROR(VLOOKUP(A1041,'[2]UPDATE BILL 2018'!$H:$V,15,0),IFERROR(VLOOKUP(A1041,'[2]UPDATE BILL 2018'!$I:$V,14,0),VLOOKUP(A1041,'[2]UPDATE BILL 2018'!$B:$V,21,0)))))))))</f>
        <v xml:space="preserve"> WAN HAI 266  N395</v>
      </c>
      <c r="AD1041" s="29" t="s">
        <v>49</v>
      </c>
      <c r="AE1041" s="24" t="s">
        <v>2346</v>
      </c>
      <c r="AF1041" s="25" t="s">
        <v>1266</v>
      </c>
      <c r="AI1041" s="58"/>
    </row>
    <row r="1042" spans="1:35" ht="16.5" customHeight="1">
      <c r="A1042" s="6" t="s">
        <v>2337</v>
      </c>
      <c r="D1042" s="7">
        <f t="shared" si="27"/>
        <v>0</v>
      </c>
      <c r="E1042" s="7">
        <v>0</v>
      </c>
      <c r="F1042" s="5">
        <v>0</v>
      </c>
      <c r="G1042" s="7">
        <v>0</v>
      </c>
      <c r="H1042" s="5">
        <v>0</v>
      </c>
      <c r="I1042" s="7">
        <v>0</v>
      </c>
      <c r="J1042" s="7">
        <v>0</v>
      </c>
      <c r="K1042" s="5">
        <v>0</v>
      </c>
      <c r="L1042" s="5">
        <v>0</v>
      </c>
      <c r="M1042" s="5">
        <v>0</v>
      </c>
      <c r="N1042" s="7">
        <f t="shared" si="28"/>
        <v>0</v>
      </c>
      <c r="O1042" s="7">
        <v>0</v>
      </c>
      <c r="P1042" s="7">
        <f t="shared" si="29"/>
        <v>954</v>
      </c>
      <c r="Q1042" s="5">
        <v>0</v>
      </c>
      <c r="R1042" s="5">
        <v>954</v>
      </c>
      <c r="S1042" s="7">
        <v>74436.799999999988</v>
      </c>
      <c r="T1042" s="12">
        <v>43286</v>
      </c>
      <c r="U1042" s="4">
        <v>2</v>
      </c>
      <c r="V1042" s="4">
        <v>9</v>
      </c>
      <c r="W1042" s="4">
        <v>9</v>
      </c>
      <c r="X1042" s="45">
        <f t="shared" si="30"/>
        <v>74436.799999999988</v>
      </c>
      <c r="Y1042" s="14" t="s">
        <v>56</v>
      </c>
      <c r="Z1042" s="14" t="s">
        <v>57</v>
      </c>
      <c r="AA1042" s="14" t="str">
        <f>IFERROR(VLOOKUP(A1042,'[2]UPDATE BILL 2018'!$B:$P,15,0),IFERROR(VLOOKUP(A1042,'[2]UPDATE BILL 2018'!$C:$P,14,0),IFERROR(VLOOKUP(A1042,'[2]UPDATE BILL 2018'!$D:$P,13,0),IFERROR(VLOOKUP(A1042,'[2]UPDATE BILL 2018'!$E:$P,12,0),IFERROR(VLOOKUP(A1042,'[2]UPDATE BILL 2018'!$F:$P,11,0),IFERROR(VLOOKUP(A1042,'[2]UPDATE BILL 2018'!$G:$P,10,0),IFERROR(VLOOKUP(A1042,'[2]UPDATE BILL 2018'!$H:$P,9,0),IFERROR(VLOOKUP(A1042,'[2]UPDATE BILL 2018'!$I:$P,8,0),VLOOKUP(A1042,'[2]UPDATE BILL 2018'!$B:$P,15,0)))))))))</f>
        <v>1008X03637</v>
      </c>
      <c r="AB1042" s="44">
        <f>IFERROR(VLOOKUP(A1042,'[2]UPDATE BILL 2018'!$B:$T,19,0),IFERROR(VLOOKUP(A1042,'[2]UPDATE BILL 2018'!$C:$T,18,0),IFERROR(VLOOKUP(A1042,'[2]UPDATE BILL 2018'!$D:$T,17,0),IFERROR(VLOOKUP(A1042,'[2]UPDATE BILL 2018'!$E:$T,16,0),IFERROR(VLOOKUP(A1042,'[2]UPDATE BILL 2018'!$F:$T,15,0),IFERROR(VLOOKUP(A1042,'[2]UPDATE BILL 2018'!$G:$T,14,0),IFERROR(VLOOKUP(A1042,'[2]UPDATE BILL 2018'!$H:$T,13,0),IFERROR(VLOOKUP(A1042,'[2]UPDATE BILL 2018'!$I:$T,12,0),VLOOKUP(A1042,'[2]UPDATE BILL 2018'!$B:$T,19,0)))))))))</f>
        <v>43300</v>
      </c>
      <c r="AC1042" s="44" t="str">
        <f>IFERROR(VLOOKUP(A1042,'[2]UPDATE BILL 2018'!$B:$V,21,0),IFERROR(VLOOKUP(A1042,'[2]UPDATE BILL 2018'!$C:$V,20,0),IFERROR(VLOOKUP(A1042,'[2]UPDATE BILL 2018'!$D:$V,19,0),IFERROR(VLOOKUP(A1042,'[2]UPDATE BILL 2018'!$E:$V,18,0),IFERROR(VLOOKUP(A1042,'[2]UPDATE BILL 2018'!$F:$V,17,0),IFERROR(VLOOKUP(A1042,'[2]UPDATE BILL 2018'!$G:$V,16,0),IFERROR(VLOOKUP(A1042,'[2]UPDATE BILL 2018'!$H:$V,15,0),IFERROR(VLOOKUP(A1042,'[2]UPDATE BILL 2018'!$I:$V,14,0),VLOOKUP(A1042,'[2]UPDATE BILL 2018'!$B:$V,21,0)))))))))</f>
        <v>MOONCHILD N030</v>
      </c>
      <c r="AD1042" s="29" t="s">
        <v>49</v>
      </c>
      <c r="AE1042" s="24" t="s">
        <v>2347</v>
      </c>
      <c r="AF1042" s="25" t="s">
        <v>2175</v>
      </c>
      <c r="AI1042" s="58"/>
    </row>
    <row r="1043" spans="1:35" ht="16.5" customHeight="1">
      <c r="A1043" s="6" t="s">
        <v>2338</v>
      </c>
      <c r="D1043" s="7">
        <f t="shared" si="27"/>
        <v>0</v>
      </c>
      <c r="E1043" s="7">
        <v>0</v>
      </c>
      <c r="F1043" s="5">
        <v>0</v>
      </c>
      <c r="G1043" s="7">
        <v>0</v>
      </c>
      <c r="H1043" s="5">
        <v>0</v>
      </c>
      <c r="I1043" s="7">
        <v>0</v>
      </c>
      <c r="J1043" s="7">
        <v>0</v>
      </c>
      <c r="K1043" s="5">
        <v>0</v>
      </c>
      <c r="L1043" s="5">
        <v>0</v>
      </c>
      <c r="M1043" s="5">
        <v>0</v>
      </c>
      <c r="N1043" s="7">
        <f t="shared" si="28"/>
        <v>0</v>
      </c>
      <c r="O1043" s="7">
        <v>0</v>
      </c>
      <c r="P1043" s="7">
        <f t="shared" si="29"/>
        <v>467</v>
      </c>
      <c r="Q1043" s="5">
        <v>0</v>
      </c>
      <c r="R1043" s="5">
        <v>467</v>
      </c>
      <c r="S1043" s="7">
        <v>58830.7</v>
      </c>
      <c r="T1043" s="12">
        <v>43286</v>
      </c>
      <c r="U1043" s="4">
        <v>3</v>
      </c>
      <c r="V1043" s="4">
        <v>9</v>
      </c>
      <c r="W1043" s="4">
        <v>9</v>
      </c>
      <c r="X1043" s="45">
        <f t="shared" si="30"/>
        <v>58830.7</v>
      </c>
      <c r="Y1043" s="14" t="s">
        <v>56</v>
      </c>
      <c r="Z1043" s="14" t="s">
        <v>59</v>
      </c>
      <c r="AA1043" s="14" t="str">
        <f>IFERROR(VLOOKUP(A1043,'[2]UPDATE BILL 2018'!$B:$P,15,0),IFERROR(VLOOKUP(A1043,'[2]UPDATE BILL 2018'!$C:$P,14,0),IFERROR(VLOOKUP(A1043,'[2]UPDATE BILL 2018'!$D:$P,13,0),IFERROR(VLOOKUP(A1043,'[2]UPDATE BILL 2018'!$E:$P,12,0),IFERROR(VLOOKUP(A1043,'[2]UPDATE BILL 2018'!$F:$P,11,0),IFERROR(VLOOKUP(A1043,'[2]UPDATE BILL 2018'!$G:$P,10,0),IFERROR(VLOOKUP(A1043,'[2]UPDATE BILL 2018'!$H:$P,9,0),IFERROR(VLOOKUP(A1043,'[2]UPDATE BILL 2018'!$I:$P,8,0),VLOOKUP(A1043,'[2]UPDATE BILL 2018'!$B:$P,15,0)))))))))</f>
        <v>1008X03548</v>
      </c>
      <c r="AB1043" s="44">
        <f>IFERROR(VLOOKUP(A1043,'[2]UPDATE BILL 2018'!$B:$T,19,0),IFERROR(VLOOKUP(A1043,'[2]UPDATE BILL 2018'!$C:$T,18,0),IFERROR(VLOOKUP(A1043,'[2]UPDATE BILL 2018'!$D:$T,17,0),IFERROR(VLOOKUP(A1043,'[2]UPDATE BILL 2018'!$E:$T,16,0),IFERROR(VLOOKUP(A1043,'[2]UPDATE BILL 2018'!$F:$T,15,0),IFERROR(VLOOKUP(A1043,'[2]UPDATE BILL 2018'!$G:$T,14,0),IFERROR(VLOOKUP(A1043,'[2]UPDATE BILL 2018'!$H:$T,13,0),IFERROR(VLOOKUP(A1043,'[2]UPDATE BILL 2018'!$I:$T,12,0),VLOOKUP(A1043,'[2]UPDATE BILL 2018'!$B:$T,19,0)))))))))</f>
        <v>43300</v>
      </c>
      <c r="AC1043" s="44" t="str">
        <f>IFERROR(VLOOKUP(A1043,'[2]UPDATE BILL 2018'!$B:$V,21,0),IFERROR(VLOOKUP(A1043,'[2]UPDATE BILL 2018'!$C:$V,20,0),IFERROR(VLOOKUP(A1043,'[2]UPDATE BILL 2018'!$D:$V,19,0),IFERROR(VLOOKUP(A1043,'[2]UPDATE BILL 2018'!$E:$V,18,0),IFERROR(VLOOKUP(A1043,'[2]UPDATE BILL 2018'!$F:$V,17,0),IFERROR(VLOOKUP(A1043,'[2]UPDATE BILL 2018'!$G:$V,16,0),IFERROR(VLOOKUP(A1043,'[2]UPDATE BILL 2018'!$H:$V,15,0),IFERROR(VLOOKUP(A1043,'[2]UPDATE BILL 2018'!$I:$V,14,0),VLOOKUP(A1043,'[2]UPDATE BILL 2018'!$B:$V,21,0)))))))))</f>
        <v xml:space="preserve">WAN HAI 213  N331  </v>
      </c>
      <c r="AD1043" s="29" t="s">
        <v>52</v>
      </c>
      <c r="AE1043" s="24" t="s">
        <v>2348</v>
      </c>
      <c r="AF1043" s="25" t="s">
        <v>2173</v>
      </c>
      <c r="AI1043" s="58"/>
    </row>
    <row r="1044" spans="1:35" ht="16.5" customHeight="1">
      <c r="A1044" s="6" t="s">
        <v>2339</v>
      </c>
      <c r="D1044" s="7">
        <f t="shared" si="27"/>
        <v>0</v>
      </c>
      <c r="E1044" s="7">
        <v>0</v>
      </c>
      <c r="F1044" s="5">
        <v>0</v>
      </c>
      <c r="G1044" s="7">
        <v>0</v>
      </c>
      <c r="H1044" s="5">
        <v>0</v>
      </c>
      <c r="I1044" s="7">
        <v>0</v>
      </c>
      <c r="J1044" s="7">
        <v>0</v>
      </c>
      <c r="K1044" s="5">
        <v>0</v>
      </c>
      <c r="L1044" s="5">
        <v>0</v>
      </c>
      <c r="M1044" s="5">
        <v>0</v>
      </c>
      <c r="N1044" s="7">
        <f t="shared" si="28"/>
        <v>0</v>
      </c>
      <c r="O1044" s="7">
        <v>0</v>
      </c>
      <c r="P1044" s="7">
        <f t="shared" si="29"/>
        <v>81</v>
      </c>
      <c r="Q1044" s="5">
        <v>0</v>
      </c>
      <c r="R1044" s="5">
        <v>81</v>
      </c>
      <c r="S1044" s="7">
        <v>15175</v>
      </c>
      <c r="T1044" s="12">
        <v>43286</v>
      </c>
      <c r="U1044" s="4">
        <v>1</v>
      </c>
      <c r="V1044" s="4">
        <v>9</v>
      </c>
      <c r="W1044" s="4">
        <v>9</v>
      </c>
      <c r="X1044" s="45">
        <f t="shared" si="30"/>
        <v>15175</v>
      </c>
      <c r="Y1044" s="14" t="s">
        <v>54</v>
      </c>
      <c r="Z1044" s="14" t="s">
        <v>59</v>
      </c>
      <c r="AA1044" s="14" t="str">
        <f>IFERROR(VLOOKUP(A1044,'[2]UPDATE BILL 2018'!$B:$P,15,0),IFERROR(VLOOKUP(A1044,'[2]UPDATE BILL 2018'!$C:$P,14,0),IFERROR(VLOOKUP(A1044,'[2]UPDATE BILL 2018'!$D:$P,13,0),IFERROR(VLOOKUP(A1044,'[2]UPDATE BILL 2018'!$E:$P,12,0),IFERROR(VLOOKUP(A1044,'[2]UPDATE BILL 2018'!$F:$P,11,0),IFERROR(VLOOKUP(A1044,'[2]UPDATE BILL 2018'!$G:$P,10,0),IFERROR(VLOOKUP(A1044,'[2]UPDATE BILL 2018'!$H:$P,9,0),IFERROR(VLOOKUP(A1044,'[2]UPDATE BILL 2018'!$I:$P,8,0),VLOOKUP(A1044,'[2]UPDATE BILL 2018'!$B:$P,15,0)))))))))</f>
        <v>SITWHPKW171069</v>
      </c>
      <c r="AB1044" s="44">
        <f>IFERROR(VLOOKUP(A1044,'[2]UPDATE BILL 2018'!$B:$T,19,0),IFERROR(VLOOKUP(A1044,'[2]UPDATE BILL 2018'!$C:$T,18,0),IFERROR(VLOOKUP(A1044,'[2]UPDATE BILL 2018'!$D:$T,17,0),IFERROR(VLOOKUP(A1044,'[2]UPDATE BILL 2018'!$E:$T,16,0),IFERROR(VLOOKUP(A1044,'[2]UPDATE BILL 2018'!$F:$T,15,0),IFERROR(VLOOKUP(A1044,'[2]UPDATE BILL 2018'!$G:$T,14,0),IFERROR(VLOOKUP(A1044,'[2]UPDATE BILL 2018'!$H:$T,13,0),IFERROR(VLOOKUP(A1044,'[2]UPDATE BILL 2018'!$I:$T,12,0),VLOOKUP(A1044,'[2]UPDATE BILL 2018'!$B:$T,19,0)))))))))</f>
        <v>43296</v>
      </c>
      <c r="AC1044" s="44" t="str">
        <f>IFERROR(VLOOKUP(A1044,'[2]UPDATE BILL 2018'!$B:$V,21,0),IFERROR(VLOOKUP(A1044,'[2]UPDATE BILL 2018'!$C:$V,20,0),IFERROR(VLOOKUP(A1044,'[2]UPDATE BILL 2018'!$D:$V,19,0),IFERROR(VLOOKUP(A1044,'[2]UPDATE BILL 2018'!$E:$V,18,0),IFERROR(VLOOKUP(A1044,'[2]UPDATE BILL 2018'!$F:$V,17,0),IFERROR(VLOOKUP(A1044,'[2]UPDATE BILL 2018'!$G:$V,16,0),IFERROR(VLOOKUP(A1044,'[2]UPDATE BILL 2018'!$H:$V,15,0),IFERROR(VLOOKUP(A1044,'[2]UPDATE BILL 2018'!$I:$V,14,0),VLOOKUP(A1044,'[2]UPDATE BILL 2018'!$B:$V,21,0)))))))))</f>
        <v>HYUNDAI HARMONY 1829N</v>
      </c>
      <c r="AD1044" s="29" t="s">
        <v>50</v>
      </c>
      <c r="AE1044" s="24" t="s">
        <v>2349</v>
      </c>
      <c r="AF1044" s="25" t="s">
        <v>2151</v>
      </c>
      <c r="AI1044" s="58"/>
    </row>
    <row r="1045" spans="1:35" ht="16.5" customHeight="1">
      <c r="A1045" s="6" t="s">
        <v>2350</v>
      </c>
      <c r="B1045" s="5">
        <v>153</v>
      </c>
      <c r="C1045" s="7">
        <v>13145.02</v>
      </c>
      <c r="D1045" s="7">
        <f t="shared" si="27"/>
        <v>0</v>
      </c>
      <c r="E1045" s="7">
        <v>0</v>
      </c>
      <c r="F1045" s="5">
        <v>0</v>
      </c>
      <c r="G1045" s="7">
        <v>0</v>
      </c>
      <c r="H1045" s="5">
        <v>0</v>
      </c>
      <c r="I1045" s="7">
        <v>0</v>
      </c>
      <c r="J1045" s="7">
        <v>0</v>
      </c>
      <c r="K1045" s="5">
        <v>0</v>
      </c>
      <c r="L1045" s="5">
        <v>0</v>
      </c>
      <c r="M1045" s="5">
        <v>60</v>
      </c>
      <c r="N1045" s="7">
        <f t="shared" si="28"/>
        <v>60</v>
      </c>
      <c r="O1045" s="7">
        <v>7314.5</v>
      </c>
      <c r="P1045" s="7">
        <f t="shared" si="29"/>
        <v>0</v>
      </c>
      <c r="Q1045" s="5">
        <v>0</v>
      </c>
      <c r="R1045" s="5">
        <v>0</v>
      </c>
      <c r="S1045" s="7">
        <v>0</v>
      </c>
      <c r="T1045" s="12">
        <v>43287</v>
      </c>
      <c r="U1045" s="4">
        <v>2</v>
      </c>
      <c r="V1045" s="4">
        <v>9</v>
      </c>
      <c r="W1045" s="4">
        <v>9</v>
      </c>
      <c r="X1045" s="45">
        <f t="shared" si="30"/>
        <v>20459.52</v>
      </c>
      <c r="Y1045" s="14" t="s">
        <v>1633</v>
      </c>
      <c r="Z1045" s="14" t="s">
        <v>1492</v>
      </c>
      <c r="AA1045" s="14" t="str">
        <f>IFERROR(VLOOKUP(A1045,'[2]UPDATE BILL 2018'!$B:$P,15,0),IFERROR(VLOOKUP(A1045,'[2]UPDATE BILL 2018'!$C:$P,14,0),IFERROR(VLOOKUP(A1045,'[2]UPDATE BILL 2018'!$D:$P,13,0),IFERROR(VLOOKUP(A1045,'[2]UPDATE BILL 2018'!$E:$P,12,0),IFERROR(VLOOKUP(A1045,'[2]UPDATE BILL 2018'!$F:$P,11,0),IFERROR(VLOOKUP(A1045,'[2]UPDATE BILL 2018'!$G:$P,10,0),IFERROR(VLOOKUP(A1045,'[2]UPDATE BILL 2018'!$H:$P,9,0),IFERROR(VLOOKUP(A1045,'[2]UPDATE BILL 2018'!$I:$P,8,0),VLOOKUP(A1045,'[2]UPDATE BILL 2018'!$B:$P,15,0)))))))))</f>
        <v>KMTCHPH0559747</v>
      </c>
      <c r="AB1045" s="44">
        <f>IFERROR(VLOOKUP(A1045,'[2]UPDATE BILL 2018'!$B:$T,19,0),IFERROR(VLOOKUP(A1045,'[2]UPDATE BILL 2018'!$C:$T,18,0),IFERROR(VLOOKUP(A1045,'[2]UPDATE BILL 2018'!$D:$T,17,0),IFERROR(VLOOKUP(A1045,'[2]UPDATE BILL 2018'!$E:$T,16,0),IFERROR(VLOOKUP(A1045,'[2]UPDATE BILL 2018'!$F:$T,15,0),IFERROR(VLOOKUP(A1045,'[2]UPDATE BILL 2018'!$G:$T,14,0),IFERROR(VLOOKUP(A1045,'[2]UPDATE BILL 2018'!$H:$T,13,0),IFERROR(VLOOKUP(A1045,'[2]UPDATE BILL 2018'!$I:$T,12,0),VLOOKUP(A1045,'[2]UPDATE BILL 2018'!$B:$T,19,0)))))))))</f>
        <v>43291</v>
      </c>
      <c r="AC1045" s="44" t="str">
        <f>IFERROR(VLOOKUP(A1045,'[2]UPDATE BILL 2018'!$B:$V,21,0),IFERROR(VLOOKUP(A1045,'[2]UPDATE BILL 2018'!$C:$V,20,0),IFERROR(VLOOKUP(A1045,'[2]UPDATE BILL 2018'!$D:$V,19,0),IFERROR(VLOOKUP(A1045,'[2]UPDATE BILL 2018'!$E:$V,18,0),IFERROR(VLOOKUP(A1045,'[2]UPDATE BILL 2018'!$F:$V,17,0),IFERROR(VLOOKUP(A1045,'[2]UPDATE BILL 2018'!$G:$V,16,0),IFERROR(VLOOKUP(A1045,'[2]UPDATE BILL 2018'!$H:$V,15,0),IFERROR(VLOOKUP(A1045,'[2]UPDATE BILL 2018'!$I:$V,14,0),VLOOKUP(A1045,'[2]UPDATE BILL 2018'!$B:$V,21,0)))))))))</f>
        <v>STARSHIP AQUILA 1810N</v>
      </c>
      <c r="AD1045" s="29" t="s">
        <v>70</v>
      </c>
      <c r="AE1045" s="24" t="s">
        <v>2362</v>
      </c>
      <c r="AF1045" s="25" t="s">
        <v>1273</v>
      </c>
      <c r="AI1045" s="58"/>
    </row>
    <row r="1046" spans="1:35" ht="16.5" customHeight="1">
      <c r="A1046" s="6" t="s">
        <v>2351</v>
      </c>
      <c r="B1046" s="5">
        <v>105</v>
      </c>
      <c r="C1046" s="7">
        <v>7894.6</v>
      </c>
      <c r="D1046" s="7">
        <f t="shared" si="27"/>
        <v>0</v>
      </c>
      <c r="E1046" s="7">
        <v>0</v>
      </c>
      <c r="F1046" s="5">
        <v>0</v>
      </c>
      <c r="G1046" s="7">
        <v>0</v>
      </c>
      <c r="H1046" s="5">
        <v>257</v>
      </c>
      <c r="I1046" s="7">
        <v>30350.67</v>
      </c>
      <c r="J1046" s="7">
        <v>0</v>
      </c>
      <c r="K1046" s="5">
        <v>0</v>
      </c>
      <c r="L1046" s="5">
        <v>0</v>
      </c>
      <c r="M1046" s="5">
        <v>0</v>
      </c>
      <c r="N1046" s="7">
        <f t="shared" si="28"/>
        <v>0</v>
      </c>
      <c r="O1046" s="7">
        <v>0</v>
      </c>
      <c r="P1046" s="7">
        <f t="shared" si="29"/>
        <v>0</v>
      </c>
      <c r="Q1046" s="5">
        <v>0</v>
      </c>
      <c r="R1046" s="5">
        <v>0</v>
      </c>
      <c r="S1046" s="7">
        <v>0</v>
      </c>
      <c r="T1046" s="12">
        <v>43287</v>
      </c>
      <c r="U1046" s="4">
        <v>3</v>
      </c>
      <c r="V1046" s="4">
        <v>9</v>
      </c>
      <c r="W1046" s="4">
        <v>9</v>
      </c>
      <c r="X1046" s="45">
        <f t="shared" si="30"/>
        <v>38245.269999999997</v>
      </c>
      <c r="Y1046" s="14" t="s">
        <v>54</v>
      </c>
      <c r="Z1046" s="14" t="s">
        <v>730</v>
      </c>
      <c r="AA1046" s="14" t="str">
        <f>IFERROR(VLOOKUP(A1046,'[2]UPDATE BILL 2018'!$B:$P,15,0),IFERROR(VLOOKUP(A1046,'[2]UPDATE BILL 2018'!$C:$P,14,0),IFERROR(VLOOKUP(A1046,'[2]UPDATE BILL 2018'!$D:$P,13,0),IFERROR(VLOOKUP(A1046,'[2]UPDATE BILL 2018'!$E:$P,12,0),IFERROR(VLOOKUP(A1046,'[2]UPDATE BILL 2018'!$F:$P,11,0),IFERROR(VLOOKUP(A1046,'[2]UPDATE BILL 2018'!$G:$P,10,0),IFERROR(VLOOKUP(A1046,'[2]UPDATE BILL 2018'!$H:$P,9,0),IFERROR(VLOOKUP(A1046,'[2]UPDATE BILL 2018'!$I:$P,8,0),VLOOKUP(A1046,'[2]UPDATE BILL 2018'!$B:$P,15,0)))))))))</f>
        <v>SITWHPTK170351</v>
      </c>
      <c r="AB1046" s="44">
        <f>IFERROR(VLOOKUP(A1046,'[2]UPDATE BILL 2018'!$B:$T,19,0),IFERROR(VLOOKUP(A1046,'[2]UPDATE BILL 2018'!$C:$T,18,0),IFERROR(VLOOKUP(A1046,'[2]UPDATE BILL 2018'!$D:$T,17,0),IFERROR(VLOOKUP(A1046,'[2]UPDATE BILL 2018'!$E:$T,16,0),IFERROR(VLOOKUP(A1046,'[2]UPDATE BILL 2018'!$F:$T,15,0),IFERROR(VLOOKUP(A1046,'[2]UPDATE BILL 2018'!$G:$T,14,0),IFERROR(VLOOKUP(A1046,'[2]UPDATE BILL 2018'!$H:$T,13,0),IFERROR(VLOOKUP(A1046,'[2]UPDATE BILL 2018'!$I:$T,12,0),VLOOKUP(A1046,'[2]UPDATE BILL 2018'!$B:$T,19,0)))))))))</f>
        <v>43291</v>
      </c>
      <c r="AC1046" s="44" t="str">
        <f>IFERROR(VLOOKUP(A1046,'[2]UPDATE BILL 2018'!$B:$V,21,0),IFERROR(VLOOKUP(A1046,'[2]UPDATE BILL 2018'!$C:$V,20,0),IFERROR(VLOOKUP(A1046,'[2]UPDATE BILL 2018'!$D:$V,19,0),IFERROR(VLOOKUP(A1046,'[2]UPDATE BILL 2018'!$E:$V,18,0),IFERROR(VLOOKUP(A1046,'[2]UPDATE BILL 2018'!$F:$V,17,0),IFERROR(VLOOKUP(A1046,'[2]UPDATE BILL 2018'!$G:$V,16,0),IFERROR(VLOOKUP(A1046,'[2]UPDATE BILL 2018'!$H:$V,15,0),IFERROR(VLOOKUP(A1046,'[2]UPDATE BILL 2018'!$I:$V,14,0),VLOOKUP(A1046,'[2]UPDATE BILL 2018'!$B:$V,21,0)))))))))</f>
        <v>RESURGENCE 1817N</v>
      </c>
      <c r="AD1046" s="29" t="s">
        <v>49</v>
      </c>
      <c r="AE1046" s="24" t="s">
        <v>2363</v>
      </c>
      <c r="AF1046" s="25" t="s">
        <v>1265</v>
      </c>
      <c r="AI1046" s="58"/>
    </row>
    <row r="1047" spans="1:35" ht="16.5" customHeight="1">
      <c r="A1047" s="6" t="s">
        <v>2352</v>
      </c>
      <c r="B1047" s="5">
        <v>308</v>
      </c>
      <c r="C1047" s="7">
        <v>25717.4</v>
      </c>
      <c r="D1047" s="7">
        <f t="shared" si="27"/>
        <v>0</v>
      </c>
      <c r="E1047" s="7">
        <v>0</v>
      </c>
      <c r="F1047" s="5">
        <v>0</v>
      </c>
      <c r="G1047" s="7">
        <v>0</v>
      </c>
      <c r="H1047" s="5">
        <v>325</v>
      </c>
      <c r="I1047" s="7">
        <v>39667.449999999997</v>
      </c>
      <c r="J1047" s="7">
        <v>0</v>
      </c>
      <c r="K1047" s="5">
        <v>0</v>
      </c>
      <c r="L1047" s="5">
        <v>0</v>
      </c>
      <c r="M1047" s="5">
        <v>0</v>
      </c>
      <c r="N1047" s="7">
        <f t="shared" si="28"/>
        <v>0</v>
      </c>
      <c r="O1047" s="7">
        <v>0</v>
      </c>
      <c r="P1047" s="7">
        <f t="shared" si="29"/>
        <v>0</v>
      </c>
      <c r="Q1047" s="5">
        <v>0</v>
      </c>
      <c r="R1047" s="5">
        <v>0</v>
      </c>
      <c r="S1047" s="7">
        <v>0</v>
      </c>
      <c r="T1047" s="12">
        <v>43287</v>
      </c>
      <c r="U1047" s="4">
        <v>5</v>
      </c>
      <c r="V1047" s="4">
        <v>9</v>
      </c>
      <c r="W1047" s="4">
        <v>9</v>
      </c>
      <c r="X1047" s="45">
        <f t="shared" si="30"/>
        <v>65384.85</v>
      </c>
      <c r="Y1047" s="14" t="s">
        <v>56</v>
      </c>
      <c r="Z1047" s="14" t="s">
        <v>57</v>
      </c>
      <c r="AA1047" s="14" t="str">
        <f>IFERROR(VLOOKUP(A1047,'[2]UPDATE BILL 2018'!$B:$P,15,0),IFERROR(VLOOKUP(A1047,'[2]UPDATE BILL 2018'!$C:$P,14,0),IFERROR(VLOOKUP(A1047,'[2]UPDATE BILL 2018'!$D:$P,13,0),IFERROR(VLOOKUP(A1047,'[2]UPDATE BILL 2018'!$E:$P,12,0),IFERROR(VLOOKUP(A1047,'[2]UPDATE BILL 2018'!$F:$P,11,0),IFERROR(VLOOKUP(A1047,'[2]UPDATE BILL 2018'!$G:$P,10,0),IFERROR(VLOOKUP(A1047,'[2]UPDATE BILL 2018'!$H:$P,9,0),IFERROR(VLOOKUP(A1047,'[2]UPDATE BILL 2018'!$I:$P,8,0),VLOOKUP(A1047,'[2]UPDATE BILL 2018'!$B:$P,15,0)))))))))</f>
        <v>1008X03526</v>
      </c>
      <c r="AB1047" s="44">
        <f>IFERROR(VLOOKUP(A1047,'[2]UPDATE BILL 2018'!$B:$T,19,0),IFERROR(VLOOKUP(A1047,'[2]UPDATE BILL 2018'!$C:$T,18,0),IFERROR(VLOOKUP(A1047,'[2]UPDATE BILL 2018'!$D:$T,17,0),IFERROR(VLOOKUP(A1047,'[2]UPDATE BILL 2018'!$E:$T,16,0),IFERROR(VLOOKUP(A1047,'[2]UPDATE BILL 2018'!$F:$T,15,0),IFERROR(VLOOKUP(A1047,'[2]UPDATE BILL 2018'!$G:$T,14,0),IFERROR(VLOOKUP(A1047,'[2]UPDATE BILL 2018'!$H:$T,13,0),IFERROR(VLOOKUP(A1047,'[2]UPDATE BILL 2018'!$I:$T,12,0),VLOOKUP(A1047,'[2]UPDATE BILL 2018'!$B:$T,19,0)))))))))</f>
        <v>43292</v>
      </c>
      <c r="AC1047" s="44" t="str">
        <f>IFERROR(VLOOKUP(A1047,'[2]UPDATE BILL 2018'!$B:$V,21,0),IFERROR(VLOOKUP(A1047,'[2]UPDATE BILL 2018'!$C:$V,20,0),IFERROR(VLOOKUP(A1047,'[2]UPDATE BILL 2018'!$D:$V,19,0),IFERROR(VLOOKUP(A1047,'[2]UPDATE BILL 2018'!$E:$V,18,0),IFERROR(VLOOKUP(A1047,'[2]UPDATE BILL 2018'!$F:$V,17,0),IFERROR(VLOOKUP(A1047,'[2]UPDATE BILL 2018'!$G:$V,16,0),IFERROR(VLOOKUP(A1047,'[2]UPDATE BILL 2018'!$H:$V,15,0),IFERROR(VLOOKUP(A1047,'[2]UPDATE BILL 2018'!$I:$V,14,0),VLOOKUP(A1047,'[2]UPDATE BILL 2018'!$B:$V,21,0)))))))))</f>
        <v xml:space="preserve"> WAN HAI 266  N395</v>
      </c>
      <c r="AD1047" s="29" t="s">
        <v>49</v>
      </c>
      <c r="AE1047" s="24" t="s">
        <v>2364</v>
      </c>
      <c r="AF1047" s="25" t="s">
        <v>1265</v>
      </c>
      <c r="AI1047" s="58"/>
    </row>
    <row r="1048" spans="1:35" ht="16.5" customHeight="1">
      <c r="A1048" s="6" t="s">
        <v>2353</v>
      </c>
      <c r="B1048" s="5">
        <v>112</v>
      </c>
      <c r="C1048" s="7">
        <v>11804.400000000001</v>
      </c>
      <c r="D1048" s="7">
        <f t="shared" si="27"/>
        <v>0</v>
      </c>
      <c r="E1048" s="7">
        <v>0</v>
      </c>
      <c r="F1048" s="5">
        <v>0</v>
      </c>
      <c r="G1048" s="7">
        <v>0</v>
      </c>
      <c r="H1048" s="5">
        <v>0</v>
      </c>
      <c r="I1048" s="7">
        <v>0</v>
      </c>
      <c r="J1048" s="7">
        <v>0</v>
      </c>
      <c r="K1048" s="5">
        <v>0</v>
      </c>
      <c r="L1048" s="5">
        <v>0</v>
      </c>
      <c r="M1048" s="5">
        <v>58</v>
      </c>
      <c r="N1048" s="7">
        <f t="shared" si="28"/>
        <v>58</v>
      </c>
      <c r="O1048" s="7">
        <v>10248.599999999999</v>
      </c>
      <c r="P1048" s="7">
        <f t="shared" si="29"/>
        <v>0</v>
      </c>
      <c r="Q1048" s="5">
        <v>0</v>
      </c>
      <c r="R1048" s="5">
        <v>0</v>
      </c>
      <c r="S1048" s="7">
        <v>0</v>
      </c>
      <c r="T1048" s="12">
        <v>43287</v>
      </c>
      <c r="U1048" s="4">
        <v>2</v>
      </c>
      <c r="V1048" s="4">
        <v>9</v>
      </c>
      <c r="W1048" s="4">
        <v>9</v>
      </c>
      <c r="X1048" s="45">
        <f t="shared" si="30"/>
        <v>22053</v>
      </c>
      <c r="Y1048" s="14" t="s">
        <v>85</v>
      </c>
      <c r="Z1048" s="14" t="s">
        <v>1492</v>
      </c>
      <c r="AA1048" s="14">
        <f>IFERROR(VLOOKUP(A1048,'[2]UPDATE BILL 2018'!$B:$P,15,0),IFERROR(VLOOKUP(A1048,'[2]UPDATE BILL 2018'!$C:$P,14,0),IFERROR(VLOOKUP(A1048,'[2]UPDATE BILL 2018'!$D:$P,13,0),IFERROR(VLOOKUP(A1048,'[2]UPDATE BILL 2018'!$E:$P,12,0),IFERROR(VLOOKUP(A1048,'[2]UPDATE BILL 2018'!$F:$P,11,0),IFERROR(VLOOKUP(A1048,'[2]UPDATE BILL 2018'!$G:$P,10,0),IFERROR(VLOOKUP(A1048,'[2]UPDATE BILL 2018'!$H:$P,9,0),IFERROR(VLOOKUP(A1048,'[2]UPDATE BILL 2018'!$I:$P,8,0),VLOOKUP(A1048,'[2]UPDATE BILL 2018'!$B:$P,15,0)))))))))</f>
        <v>350810076048</v>
      </c>
      <c r="AB1048" s="44">
        <f>IFERROR(VLOOKUP(A1048,'[2]UPDATE BILL 2018'!$B:$T,19,0),IFERROR(VLOOKUP(A1048,'[2]UPDATE BILL 2018'!$C:$T,18,0),IFERROR(VLOOKUP(A1048,'[2]UPDATE BILL 2018'!$D:$T,17,0),IFERROR(VLOOKUP(A1048,'[2]UPDATE BILL 2018'!$E:$T,16,0),IFERROR(VLOOKUP(A1048,'[2]UPDATE BILL 2018'!$F:$T,15,0),IFERROR(VLOOKUP(A1048,'[2]UPDATE BILL 2018'!$G:$T,14,0),IFERROR(VLOOKUP(A1048,'[2]UPDATE BILL 2018'!$H:$T,13,0),IFERROR(VLOOKUP(A1048,'[2]UPDATE BILL 2018'!$I:$T,12,0),VLOOKUP(A1048,'[2]UPDATE BILL 2018'!$B:$T,19,0)))))))))</f>
        <v>43292</v>
      </c>
      <c r="AC1048" s="44" t="str">
        <f>IFERROR(VLOOKUP(A1048,'[2]UPDATE BILL 2018'!$B:$V,21,0),IFERROR(VLOOKUP(A1048,'[2]UPDATE BILL 2018'!$C:$V,20,0),IFERROR(VLOOKUP(A1048,'[2]UPDATE BILL 2018'!$D:$V,19,0),IFERROR(VLOOKUP(A1048,'[2]UPDATE BILL 2018'!$E:$V,18,0),IFERROR(VLOOKUP(A1048,'[2]UPDATE BILL 2018'!$F:$V,17,0),IFERROR(VLOOKUP(A1048,'[2]UPDATE BILL 2018'!$G:$V,16,0),IFERROR(VLOOKUP(A1048,'[2]UPDATE BILL 2018'!$H:$V,15,0),IFERROR(VLOOKUP(A1048,'[2]UPDATE BILL 2018'!$I:$V,14,0),VLOOKUP(A1048,'[2]UPDATE BILL 2018'!$B:$V,21,0)))))))))</f>
        <v>MARCLIFF 18012N</v>
      </c>
      <c r="AD1048" s="29" t="s">
        <v>49</v>
      </c>
      <c r="AE1048" s="24" t="s">
        <v>2365</v>
      </c>
      <c r="AF1048" s="25" t="s">
        <v>1267</v>
      </c>
      <c r="AI1048" s="58"/>
    </row>
    <row r="1049" spans="1:35" ht="16.5" customHeight="1">
      <c r="A1049" s="6" t="s">
        <v>2354</v>
      </c>
      <c r="B1049" s="5">
        <v>8</v>
      </c>
      <c r="C1049" s="7">
        <v>1044.2</v>
      </c>
      <c r="D1049" s="7">
        <f t="shared" si="27"/>
        <v>0</v>
      </c>
      <c r="E1049" s="7">
        <v>0</v>
      </c>
      <c r="F1049" s="5">
        <v>0</v>
      </c>
      <c r="G1049" s="7">
        <v>0</v>
      </c>
      <c r="H1049" s="5">
        <v>0</v>
      </c>
      <c r="I1049" s="7">
        <v>0</v>
      </c>
      <c r="J1049" s="7">
        <v>0</v>
      </c>
      <c r="K1049" s="5">
        <v>0</v>
      </c>
      <c r="L1049" s="5">
        <v>0</v>
      </c>
      <c r="M1049" s="5">
        <v>47</v>
      </c>
      <c r="N1049" s="7">
        <f t="shared" si="28"/>
        <v>47</v>
      </c>
      <c r="O1049" s="7">
        <v>7750.5999999999995</v>
      </c>
      <c r="P1049" s="7">
        <f t="shared" si="29"/>
        <v>0</v>
      </c>
      <c r="Q1049" s="5">
        <v>0</v>
      </c>
      <c r="R1049" s="5">
        <v>0</v>
      </c>
      <c r="S1049" s="7">
        <v>0</v>
      </c>
      <c r="T1049" s="12">
        <v>43287</v>
      </c>
      <c r="U1049" s="4">
        <v>1</v>
      </c>
      <c r="V1049" s="4">
        <v>9</v>
      </c>
      <c r="W1049" s="4">
        <v>9</v>
      </c>
      <c r="X1049" s="45">
        <f t="shared" si="30"/>
        <v>8794.7999999999993</v>
      </c>
      <c r="Y1049" s="14" t="s">
        <v>54</v>
      </c>
      <c r="Z1049" s="14" t="s">
        <v>1281</v>
      </c>
      <c r="AA1049" s="14" t="str">
        <f>IFERROR(VLOOKUP(A1049,'[2]UPDATE BILL 2018'!$B:$P,15,0),IFERROR(VLOOKUP(A1049,'[2]UPDATE BILL 2018'!$C:$P,14,0),IFERROR(VLOOKUP(A1049,'[2]UPDATE BILL 2018'!$D:$P,13,0),IFERROR(VLOOKUP(A1049,'[2]UPDATE BILL 2018'!$E:$P,12,0),IFERROR(VLOOKUP(A1049,'[2]UPDATE BILL 2018'!$F:$P,11,0),IFERROR(VLOOKUP(A1049,'[2]UPDATE BILL 2018'!$G:$P,10,0),IFERROR(VLOOKUP(A1049,'[2]UPDATE BILL 2018'!$H:$P,9,0),IFERROR(VLOOKUP(A1049,'[2]UPDATE BILL 2018'!$I:$P,8,0),VLOOKUP(A1049,'[2]UPDATE BILL 2018'!$B:$P,15,0)))))))))</f>
        <v>SITWHPHT171067</v>
      </c>
      <c r="AB1049" s="44">
        <f>IFERROR(VLOOKUP(A1049,'[2]UPDATE BILL 2018'!$B:$T,19,0),IFERROR(VLOOKUP(A1049,'[2]UPDATE BILL 2018'!$C:$T,18,0),IFERROR(VLOOKUP(A1049,'[2]UPDATE BILL 2018'!$D:$T,17,0),IFERROR(VLOOKUP(A1049,'[2]UPDATE BILL 2018'!$E:$T,16,0),IFERROR(VLOOKUP(A1049,'[2]UPDATE BILL 2018'!$F:$T,15,0),IFERROR(VLOOKUP(A1049,'[2]UPDATE BILL 2018'!$G:$T,14,0),IFERROR(VLOOKUP(A1049,'[2]UPDATE BILL 2018'!$H:$T,13,0),IFERROR(VLOOKUP(A1049,'[2]UPDATE BILL 2018'!$I:$T,12,0),VLOOKUP(A1049,'[2]UPDATE BILL 2018'!$B:$T,19,0)))))))))</f>
        <v>43289</v>
      </c>
      <c r="AC1049" s="44" t="str">
        <f>IFERROR(VLOOKUP(A1049,'[2]UPDATE BILL 2018'!$B:$V,21,0),IFERROR(VLOOKUP(A1049,'[2]UPDATE BILL 2018'!$C:$V,20,0),IFERROR(VLOOKUP(A1049,'[2]UPDATE BILL 2018'!$D:$V,19,0),IFERROR(VLOOKUP(A1049,'[2]UPDATE BILL 2018'!$E:$V,18,0),IFERROR(VLOOKUP(A1049,'[2]UPDATE BILL 2018'!$F:$V,17,0),IFERROR(VLOOKUP(A1049,'[2]UPDATE BILL 2018'!$G:$V,16,0),IFERROR(VLOOKUP(A1049,'[2]UPDATE BILL 2018'!$H:$V,15,0),IFERROR(VLOOKUP(A1049,'[2]UPDATE BILL 2018'!$I:$V,14,0),VLOOKUP(A1049,'[2]UPDATE BILL 2018'!$B:$V,21,0)))))))))</f>
        <v>HANSE ENERGY 1819N</v>
      </c>
      <c r="AD1049" s="29" t="s">
        <v>52</v>
      </c>
      <c r="AE1049" s="24" t="s">
        <v>2366</v>
      </c>
      <c r="AF1049" s="25" t="s">
        <v>1271</v>
      </c>
      <c r="AI1049" s="58"/>
    </row>
    <row r="1050" spans="1:35" ht="16.5" customHeight="1">
      <c r="A1050" s="6" t="s">
        <v>2355</v>
      </c>
      <c r="B1050" s="5">
        <v>575</v>
      </c>
      <c r="C1050" s="7">
        <v>38019.5</v>
      </c>
      <c r="D1050" s="7">
        <f t="shared" si="27"/>
        <v>0</v>
      </c>
      <c r="E1050" s="7">
        <v>0</v>
      </c>
      <c r="F1050" s="5">
        <v>0</v>
      </c>
      <c r="G1050" s="7">
        <v>0</v>
      </c>
      <c r="H1050" s="5">
        <v>220</v>
      </c>
      <c r="I1050" s="7">
        <v>17047.5</v>
      </c>
      <c r="J1050" s="7">
        <v>0</v>
      </c>
      <c r="K1050" s="5">
        <v>0</v>
      </c>
      <c r="L1050" s="5">
        <v>0</v>
      </c>
      <c r="M1050" s="5">
        <v>97</v>
      </c>
      <c r="N1050" s="7">
        <f t="shared" si="28"/>
        <v>97</v>
      </c>
      <c r="O1050" s="7">
        <v>11632.299999999997</v>
      </c>
      <c r="P1050" s="7">
        <f t="shared" si="29"/>
        <v>20</v>
      </c>
      <c r="Q1050" s="5">
        <v>0</v>
      </c>
      <c r="R1050" s="5">
        <v>20</v>
      </c>
      <c r="S1050" s="7">
        <v>998</v>
      </c>
      <c r="T1050" s="12">
        <v>43287</v>
      </c>
      <c r="U1050" s="4">
        <v>5</v>
      </c>
      <c r="V1050" s="4">
        <v>9</v>
      </c>
      <c r="W1050" s="4">
        <v>9</v>
      </c>
      <c r="X1050" s="45">
        <f t="shared" si="30"/>
        <v>67697.3</v>
      </c>
      <c r="Y1050" s="14" t="s">
        <v>54</v>
      </c>
      <c r="Z1050" s="14" t="s">
        <v>55</v>
      </c>
      <c r="AA1050" s="14" t="str">
        <f>IFERROR(VLOOKUP(A1050,'[2]UPDATE BILL 2018'!$B:$P,15,0),IFERROR(VLOOKUP(A1050,'[2]UPDATE BILL 2018'!$C:$P,14,0),IFERROR(VLOOKUP(A1050,'[2]UPDATE BILL 2018'!$D:$P,13,0),IFERROR(VLOOKUP(A1050,'[2]UPDATE BILL 2018'!$E:$P,12,0),IFERROR(VLOOKUP(A1050,'[2]UPDATE BILL 2018'!$F:$P,11,0),IFERROR(VLOOKUP(A1050,'[2]UPDATE BILL 2018'!$G:$P,10,0),IFERROR(VLOOKUP(A1050,'[2]UPDATE BILL 2018'!$H:$P,9,0),IFERROR(VLOOKUP(A1050,'[2]UPDATE BILL 2018'!$I:$P,8,0),VLOOKUP(A1050,'[2]UPDATE BILL 2018'!$B:$P,15,0)))))))))</f>
        <v>SITWHPOS171065</v>
      </c>
      <c r="AB1050" s="44">
        <f>IFERROR(VLOOKUP(A1050,'[2]UPDATE BILL 2018'!$B:$T,19,0),IFERROR(VLOOKUP(A1050,'[2]UPDATE BILL 2018'!$C:$T,18,0),IFERROR(VLOOKUP(A1050,'[2]UPDATE BILL 2018'!$D:$T,17,0),IFERROR(VLOOKUP(A1050,'[2]UPDATE BILL 2018'!$E:$T,16,0),IFERROR(VLOOKUP(A1050,'[2]UPDATE BILL 2018'!$F:$T,15,0),IFERROR(VLOOKUP(A1050,'[2]UPDATE BILL 2018'!$G:$T,14,0),IFERROR(VLOOKUP(A1050,'[2]UPDATE BILL 2018'!$H:$T,13,0),IFERROR(VLOOKUP(A1050,'[2]UPDATE BILL 2018'!$I:$T,12,0),VLOOKUP(A1050,'[2]UPDATE BILL 2018'!$B:$T,19,0)))))))))</f>
        <v>43289</v>
      </c>
      <c r="AC1050" s="44" t="str">
        <f>IFERROR(VLOOKUP(A1050,'[2]UPDATE BILL 2018'!$B:$V,21,0),IFERROR(VLOOKUP(A1050,'[2]UPDATE BILL 2018'!$C:$V,20,0),IFERROR(VLOOKUP(A1050,'[2]UPDATE BILL 2018'!$D:$V,19,0),IFERROR(VLOOKUP(A1050,'[2]UPDATE BILL 2018'!$E:$V,18,0),IFERROR(VLOOKUP(A1050,'[2]UPDATE BILL 2018'!$F:$V,17,0),IFERROR(VLOOKUP(A1050,'[2]UPDATE BILL 2018'!$G:$V,16,0),IFERROR(VLOOKUP(A1050,'[2]UPDATE BILL 2018'!$H:$V,15,0),IFERROR(VLOOKUP(A1050,'[2]UPDATE BILL 2018'!$I:$V,14,0),VLOOKUP(A1050,'[2]UPDATE BILL 2018'!$B:$V,21,0)))))))))</f>
        <v>HANSE ENERGY 1819N</v>
      </c>
      <c r="AD1050" s="29" t="s">
        <v>51</v>
      </c>
      <c r="AE1050" s="24" t="s">
        <v>2367</v>
      </c>
      <c r="AF1050" s="25" t="s">
        <v>1270</v>
      </c>
      <c r="AI1050" s="58"/>
    </row>
    <row r="1051" spans="1:35" ht="16.5" customHeight="1">
      <c r="A1051" s="6" t="s">
        <v>2356</v>
      </c>
      <c r="B1051" s="5">
        <v>356</v>
      </c>
      <c r="C1051" s="7">
        <v>37093.360000000001</v>
      </c>
      <c r="D1051" s="7">
        <f t="shared" si="27"/>
        <v>0</v>
      </c>
      <c r="E1051" s="7">
        <v>0</v>
      </c>
      <c r="F1051" s="5">
        <v>0</v>
      </c>
      <c r="G1051" s="7">
        <v>0</v>
      </c>
      <c r="H1051" s="5">
        <v>259</v>
      </c>
      <c r="I1051" s="7">
        <v>28293.93</v>
      </c>
      <c r="J1051" s="7">
        <v>0</v>
      </c>
      <c r="K1051" s="5">
        <v>0</v>
      </c>
      <c r="L1051" s="5">
        <v>0</v>
      </c>
      <c r="M1051" s="5">
        <v>184</v>
      </c>
      <c r="N1051" s="7">
        <f t="shared" si="28"/>
        <v>184</v>
      </c>
      <c r="O1051" s="7">
        <v>8804.7999999999993</v>
      </c>
      <c r="P1051" s="7">
        <f t="shared" si="29"/>
        <v>0</v>
      </c>
      <c r="Q1051" s="5">
        <v>0</v>
      </c>
      <c r="R1051" s="5">
        <v>0</v>
      </c>
      <c r="S1051" s="7">
        <v>0</v>
      </c>
      <c r="T1051" s="12">
        <v>43287</v>
      </c>
      <c r="U1051" s="4">
        <v>6</v>
      </c>
      <c r="V1051" s="4">
        <v>9</v>
      </c>
      <c r="W1051" s="4">
        <v>9</v>
      </c>
      <c r="X1051" s="45">
        <f t="shared" si="30"/>
        <v>74192.09</v>
      </c>
      <c r="Y1051" s="14" t="s">
        <v>56</v>
      </c>
      <c r="Z1051" s="14" t="s">
        <v>55</v>
      </c>
      <c r="AA1051" s="14" t="str">
        <f>IFERROR(VLOOKUP(A1051,'[2]UPDATE BILL 2018'!$B:$P,15,0),IFERROR(VLOOKUP(A1051,'[2]UPDATE BILL 2018'!$C:$P,14,0),IFERROR(VLOOKUP(A1051,'[2]UPDATE BILL 2018'!$D:$P,13,0),IFERROR(VLOOKUP(A1051,'[2]UPDATE BILL 2018'!$E:$P,12,0),IFERROR(VLOOKUP(A1051,'[2]UPDATE BILL 2018'!$F:$P,11,0),IFERROR(VLOOKUP(A1051,'[2]UPDATE BILL 2018'!$G:$P,10,0),IFERROR(VLOOKUP(A1051,'[2]UPDATE BILL 2018'!$H:$P,9,0),IFERROR(VLOOKUP(A1051,'[2]UPDATE BILL 2018'!$I:$P,8,0),VLOOKUP(A1051,'[2]UPDATE BILL 2018'!$B:$P,15,0)))))))))</f>
        <v>1008X03535</v>
      </c>
      <c r="AB1051" s="44">
        <f>IFERROR(VLOOKUP(A1051,'[2]UPDATE BILL 2018'!$B:$T,19,0),IFERROR(VLOOKUP(A1051,'[2]UPDATE BILL 2018'!$C:$T,18,0),IFERROR(VLOOKUP(A1051,'[2]UPDATE BILL 2018'!$D:$T,17,0),IFERROR(VLOOKUP(A1051,'[2]UPDATE BILL 2018'!$E:$T,16,0),IFERROR(VLOOKUP(A1051,'[2]UPDATE BILL 2018'!$F:$T,15,0),IFERROR(VLOOKUP(A1051,'[2]UPDATE BILL 2018'!$G:$T,14,0),IFERROR(VLOOKUP(A1051,'[2]UPDATE BILL 2018'!$H:$T,13,0),IFERROR(VLOOKUP(A1051,'[2]UPDATE BILL 2018'!$I:$T,12,0),VLOOKUP(A1051,'[2]UPDATE BILL 2018'!$B:$T,19,0)))))))))</f>
        <v>43293</v>
      </c>
      <c r="AC1051" s="44" t="str">
        <f>IFERROR(VLOOKUP(A1051,'[2]UPDATE BILL 2018'!$B:$V,21,0),IFERROR(VLOOKUP(A1051,'[2]UPDATE BILL 2018'!$C:$V,20,0),IFERROR(VLOOKUP(A1051,'[2]UPDATE BILL 2018'!$D:$V,19,0),IFERROR(VLOOKUP(A1051,'[2]UPDATE BILL 2018'!$E:$V,18,0),IFERROR(VLOOKUP(A1051,'[2]UPDATE BILL 2018'!$F:$V,17,0),IFERROR(VLOOKUP(A1051,'[2]UPDATE BILL 2018'!$G:$V,16,0),IFERROR(VLOOKUP(A1051,'[2]UPDATE BILL 2018'!$H:$V,15,0),IFERROR(VLOOKUP(A1051,'[2]UPDATE BILL 2018'!$I:$V,14,0),VLOOKUP(A1051,'[2]UPDATE BILL 2018'!$B:$V,21,0)))))))))</f>
        <v>AS ROBERTA N005</v>
      </c>
      <c r="AD1051" s="29" t="s">
        <v>51</v>
      </c>
      <c r="AE1051" s="24" t="s">
        <v>2368</v>
      </c>
      <c r="AF1051" s="25" t="s">
        <v>1270</v>
      </c>
      <c r="AI1051" s="58"/>
    </row>
    <row r="1052" spans="1:35" ht="16.5" customHeight="1">
      <c r="A1052" s="6" t="s">
        <v>2357</v>
      </c>
      <c r="B1052" s="5">
        <v>261</v>
      </c>
      <c r="C1052" s="7">
        <v>31680.79</v>
      </c>
      <c r="D1052" s="7">
        <f t="shared" si="27"/>
        <v>0</v>
      </c>
      <c r="E1052" s="7">
        <v>0</v>
      </c>
      <c r="F1052" s="5">
        <v>0</v>
      </c>
      <c r="G1052" s="7">
        <v>0</v>
      </c>
      <c r="H1052" s="5">
        <v>0</v>
      </c>
      <c r="I1052" s="7">
        <v>0</v>
      </c>
      <c r="J1052" s="7">
        <v>0</v>
      </c>
      <c r="K1052" s="5">
        <v>0</v>
      </c>
      <c r="L1052" s="5">
        <v>0</v>
      </c>
      <c r="M1052" s="5">
        <v>0</v>
      </c>
      <c r="N1052" s="7">
        <f t="shared" si="28"/>
        <v>0</v>
      </c>
      <c r="O1052" s="7">
        <v>0</v>
      </c>
      <c r="P1052" s="7">
        <f t="shared" si="29"/>
        <v>106</v>
      </c>
      <c r="Q1052" s="5">
        <v>0</v>
      </c>
      <c r="R1052" s="5">
        <v>106</v>
      </c>
      <c r="S1052" s="7">
        <v>11694.5</v>
      </c>
      <c r="T1052" s="12">
        <v>43287</v>
      </c>
      <c r="U1052" s="4">
        <v>4</v>
      </c>
      <c r="V1052" s="4">
        <v>9</v>
      </c>
      <c r="W1052" s="4">
        <v>9</v>
      </c>
      <c r="X1052" s="45">
        <f t="shared" si="30"/>
        <v>43375.29</v>
      </c>
      <c r="Y1052" s="14" t="s">
        <v>85</v>
      </c>
      <c r="Z1052" s="14" t="s">
        <v>57</v>
      </c>
      <c r="AA1052" s="14">
        <f>IFERROR(VLOOKUP(A1052,'[2]UPDATE BILL 2018'!$B:$P,15,0),IFERROR(VLOOKUP(A1052,'[2]UPDATE BILL 2018'!$C:$P,14,0),IFERROR(VLOOKUP(A1052,'[2]UPDATE BILL 2018'!$D:$P,13,0),IFERROR(VLOOKUP(A1052,'[2]UPDATE BILL 2018'!$E:$P,12,0),IFERROR(VLOOKUP(A1052,'[2]UPDATE BILL 2018'!$F:$P,11,0),IFERROR(VLOOKUP(A1052,'[2]UPDATE BILL 2018'!$G:$P,10,0),IFERROR(VLOOKUP(A1052,'[2]UPDATE BILL 2018'!$H:$P,9,0),IFERROR(VLOOKUP(A1052,'[2]UPDATE BILL 2018'!$I:$P,8,0),VLOOKUP(A1052,'[2]UPDATE BILL 2018'!$B:$P,15,0)))))))))</f>
        <v>350810076062</v>
      </c>
      <c r="AB1052" s="44">
        <f>IFERROR(VLOOKUP(A1052,'[2]UPDATE BILL 2018'!$B:$T,19,0),IFERROR(VLOOKUP(A1052,'[2]UPDATE BILL 2018'!$C:$T,18,0),IFERROR(VLOOKUP(A1052,'[2]UPDATE BILL 2018'!$D:$T,17,0),IFERROR(VLOOKUP(A1052,'[2]UPDATE BILL 2018'!$E:$T,16,0),IFERROR(VLOOKUP(A1052,'[2]UPDATE BILL 2018'!$F:$T,15,0),IFERROR(VLOOKUP(A1052,'[2]UPDATE BILL 2018'!$G:$T,14,0),IFERROR(VLOOKUP(A1052,'[2]UPDATE BILL 2018'!$H:$T,13,0),IFERROR(VLOOKUP(A1052,'[2]UPDATE BILL 2018'!$I:$T,12,0),VLOOKUP(A1052,'[2]UPDATE BILL 2018'!$B:$T,19,0)))))))))</f>
        <v>43290</v>
      </c>
      <c r="AC1052" s="44" t="str">
        <f>IFERROR(VLOOKUP(A1052,'[2]UPDATE BILL 2018'!$B:$V,21,0),IFERROR(VLOOKUP(A1052,'[2]UPDATE BILL 2018'!$C:$V,20,0),IFERROR(VLOOKUP(A1052,'[2]UPDATE BILL 2018'!$D:$V,19,0),IFERROR(VLOOKUP(A1052,'[2]UPDATE BILL 2018'!$E:$V,18,0),IFERROR(VLOOKUP(A1052,'[2]UPDATE BILL 2018'!$F:$V,17,0),IFERROR(VLOOKUP(A1052,'[2]UPDATE BILL 2018'!$G:$V,16,0),IFERROR(VLOOKUP(A1052,'[2]UPDATE BILL 2018'!$H:$V,15,0),IFERROR(VLOOKUP(A1052,'[2]UPDATE BILL 2018'!$I:$V,14,0),VLOOKUP(A1052,'[2]UPDATE BILL 2018'!$B:$V,21,0)))))))))</f>
        <v>LANTAU BRIDE 18012N</v>
      </c>
      <c r="AD1052" s="29" t="s">
        <v>600</v>
      </c>
      <c r="AE1052" s="24">
        <v>2500000041680</v>
      </c>
      <c r="AF1052" s="25" t="s">
        <v>2373</v>
      </c>
      <c r="AI1052" s="58"/>
    </row>
    <row r="1053" spans="1:35" ht="16.5" customHeight="1">
      <c r="A1053" s="6" t="s">
        <v>2358</v>
      </c>
      <c r="B1053" s="5">
        <v>211</v>
      </c>
      <c r="C1053" s="7">
        <v>22815.4</v>
      </c>
      <c r="D1053" s="7">
        <f t="shared" si="27"/>
        <v>0</v>
      </c>
      <c r="E1053" s="7">
        <v>0</v>
      </c>
      <c r="F1053" s="5">
        <v>0</v>
      </c>
      <c r="G1053" s="7">
        <v>0</v>
      </c>
      <c r="H1053" s="5">
        <v>0</v>
      </c>
      <c r="I1053" s="7">
        <v>0</v>
      </c>
      <c r="J1053" s="7">
        <v>0</v>
      </c>
      <c r="K1053" s="5">
        <v>0</v>
      </c>
      <c r="L1053" s="5">
        <v>0</v>
      </c>
      <c r="M1053" s="5">
        <v>106</v>
      </c>
      <c r="N1053" s="7">
        <f t="shared" si="28"/>
        <v>106</v>
      </c>
      <c r="O1053" s="7">
        <v>18842.2</v>
      </c>
      <c r="P1053" s="7">
        <f t="shared" si="29"/>
        <v>0</v>
      </c>
      <c r="Q1053" s="5">
        <v>0</v>
      </c>
      <c r="R1053" s="5">
        <v>0</v>
      </c>
      <c r="S1053" s="7">
        <v>0</v>
      </c>
      <c r="T1053" s="12">
        <v>43287</v>
      </c>
      <c r="U1053" s="4">
        <v>4</v>
      </c>
      <c r="V1053" s="4">
        <v>9</v>
      </c>
      <c r="W1053" s="4">
        <v>9</v>
      </c>
      <c r="X1053" s="45">
        <f t="shared" si="30"/>
        <v>41657.600000000006</v>
      </c>
      <c r="Y1053" s="14" t="s">
        <v>54</v>
      </c>
      <c r="Z1053" s="14" t="s">
        <v>55</v>
      </c>
      <c r="AA1053" s="14" t="str">
        <f>IFERROR(VLOOKUP(A1053,'[2]UPDATE BILL 2018'!$B:$P,15,0),IFERROR(VLOOKUP(A1053,'[2]UPDATE BILL 2018'!$C:$P,14,0),IFERROR(VLOOKUP(A1053,'[2]UPDATE BILL 2018'!$D:$P,13,0),IFERROR(VLOOKUP(A1053,'[2]UPDATE BILL 2018'!$E:$P,12,0),IFERROR(VLOOKUP(A1053,'[2]UPDATE BILL 2018'!$F:$P,11,0),IFERROR(VLOOKUP(A1053,'[2]UPDATE BILL 2018'!$G:$P,10,0),IFERROR(VLOOKUP(A1053,'[2]UPDATE BILL 2018'!$H:$P,9,0),IFERROR(VLOOKUP(A1053,'[2]UPDATE BILL 2018'!$I:$P,8,0),VLOOKUP(A1053,'[2]UPDATE BILL 2018'!$B:$P,15,0)))))))))</f>
        <v>SITWHPKW170363</v>
      </c>
      <c r="AB1053" s="44">
        <f>IFERROR(VLOOKUP(A1053,'[2]UPDATE BILL 2018'!$B:$T,19,0),IFERROR(VLOOKUP(A1053,'[2]UPDATE BILL 2018'!$C:$T,18,0),IFERROR(VLOOKUP(A1053,'[2]UPDATE BILL 2018'!$D:$T,17,0),IFERROR(VLOOKUP(A1053,'[2]UPDATE BILL 2018'!$E:$T,16,0),IFERROR(VLOOKUP(A1053,'[2]UPDATE BILL 2018'!$F:$T,15,0),IFERROR(VLOOKUP(A1053,'[2]UPDATE BILL 2018'!$G:$T,14,0),IFERROR(VLOOKUP(A1053,'[2]UPDATE BILL 2018'!$H:$T,13,0),IFERROR(VLOOKUP(A1053,'[2]UPDATE BILL 2018'!$I:$T,12,0),VLOOKUP(A1053,'[2]UPDATE BILL 2018'!$B:$T,19,0)))))))))</f>
        <v>43291</v>
      </c>
      <c r="AC1053" s="44" t="str">
        <f>IFERROR(VLOOKUP(A1053,'[2]UPDATE BILL 2018'!$B:$V,21,0),IFERROR(VLOOKUP(A1053,'[2]UPDATE BILL 2018'!$C:$V,20,0),IFERROR(VLOOKUP(A1053,'[2]UPDATE BILL 2018'!$D:$V,19,0),IFERROR(VLOOKUP(A1053,'[2]UPDATE BILL 2018'!$E:$V,18,0),IFERROR(VLOOKUP(A1053,'[2]UPDATE BILL 2018'!$F:$V,17,0),IFERROR(VLOOKUP(A1053,'[2]UPDATE BILL 2018'!$G:$V,16,0),IFERROR(VLOOKUP(A1053,'[2]UPDATE BILL 2018'!$H:$V,15,0),IFERROR(VLOOKUP(A1053,'[2]UPDATE BILL 2018'!$I:$V,14,0),VLOOKUP(A1053,'[2]UPDATE BILL 2018'!$B:$V,21,0)))))))))</f>
        <v>RESURGENCE 1817N</v>
      </c>
      <c r="AD1053" s="29" t="s">
        <v>50</v>
      </c>
      <c r="AE1053" s="24" t="s">
        <v>2369</v>
      </c>
      <c r="AF1053" s="25" t="s">
        <v>1269</v>
      </c>
      <c r="AI1053" s="58"/>
    </row>
    <row r="1054" spans="1:35" ht="16.5" customHeight="1">
      <c r="A1054" s="6" t="s">
        <v>2359</v>
      </c>
      <c r="B1054" s="5">
        <v>302</v>
      </c>
      <c r="C1054" s="7">
        <v>37014.299999999988</v>
      </c>
      <c r="D1054" s="7">
        <f t="shared" si="27"/>
        <v>0</v>
      </c>
      <c r="E1054" s="7">
        <v>0</v>
      </c>
      <c r="F1054" s="5">
        <v>0</v>
      </c>
      <c r="G1054" s="7">
        <v>0</v>
      </c>
      <c r="H1054" s="5">
        <v>0</v>
      </c>
      <c r="I1054" s="7">
        <v>0</v>
      </c>
      <c r="J1054" s="7">
        <v>0</v>
      </c>
      <c r="K1054" s="5">
        <v>0</v>
      </c>
      <c r="L1054" s="5">
        <v>0</v>
      </c>
      <c r="M1054" s="5">
        <v>132</v>
      </c>
      <c r="N1054" s="7">
        <f t="shared" si="28"/>
        <v>132</v>
      </c>
      <c r="O1054" s="7">
        <v>26488.799999999999</v>
      </c>
      <c r="P1054" s="7">
        <f t="shared" si="29"/>
        <v>0</v>
      </c>
      <c r="Q1054" s="5">
        <v>0</v>
      </c>
      <c r="R1054" s="5">
        <v>0</v>
      </c>
      <c r="S1054" s="7">
        <v>0</v>
      </c>
      <c r="T1054" s="12">
        <v>43287</v>
      </c>
      <c r="U1054" s="4">
        <v>6</v>
      </c>
      <c r="V1054" s="4">
        <v>9</v>
      </c>
      <c r="W1054" s="4">
        <v>9</v>
      </c>
      <c r="X1054" s="45">
        <f t="shared" si="30"/>
        <v>63503.099999999991</v>
      </c>
      <c r="Y1054" s="14" t="s">
        <v>54</v>
      </c>
      <c r="Z1054" s="14" t="s">
        <v>730</v>
      </c>
      <c r="AA1054" s="14" t="str">
        <f>IFERROR(VLOOKUP(A1054,'[2]UPDATE BILL 2018'!$B:$P,15,0),IFERROR(VLOOKUP(A1054,'[2]UPDATE BILL 2018'!$C:$P,14,0),IFERROR(VLOOKUP(A1054,'[2]UPDATE BILL 2018'!$D:$P,13,0),IFERROR(VLOOKUP(A1054,'[2]UPDATE BILL 2018'!$E:$P,12,0),IFERROR(VLOOKUP(A1054,'[2]UPDATE BILL 2018'!$F:$P,11,0),IFERROR(VLOOKUP(A1054,'[2]UPDATE BILL 2018'!$G:$P,10,0),IFERROR(VLOOKUP(A1054,'[2]UPDATE BILL 2018'!$H:$P,9,0),IFERROR(VLOOKUP(A1054,'[2]UPDATE BILL 2018'!$I:$P,8,0),VLOOKUP(A1054,'[2]UPDATE BILL 2018'!$B:$P,15,0)))))))))</f>
        <v>SITWHPKW171069</v>
      </c>
      <c r="AB1054" s="44">
        <f>IFERROR(VLOOKUP(A1054,'[2]UPDATE BILL 2018'!$B:$T,19,0),IFERROR(VLOOKUP(A1054,'[2]UPDATE BILL 2018'!$C:$T,18,0),IFERROR(VLOOKUP(A1054,'[2]UPDATE BILL 2018'!$D:$T,17,0),IFERROR(VLOOKUP(A1054,'[2]UPDATE BILL 2018'!$E:$T,16,0),IFERROR(VLOOKUP(A1054,'[2]UPDATE BILL 2018'!$F:$T,15,0),IFERROR(VLOOKUP(A1054,'[2]UPDATE BILL 2018'!$G:$T,14,0),IFERROR(VLOOKUP(A1054,'[2]UPDATE BILL 2018'!$H:$T,13,0),IFERROR(VLOOKUP(A1054,'[2]UPDATE BILL 2018'!$I:$T,12,0),VLOOKUP(A1054,'[2]UPDATE BILL 2018'!$B:$T,19,0)))))))))</f>
        <v>43296</v>
      </c>
      <c r="AC1054" s="44" t="str">
        <f>IFERROR(VLOOKUP(A1054,'[2]UPDATE BILL 2018'!$B:$V,21,0),IFERROR(VLOOKUP(A1054,'[2]UPDATE BILL 2018'!$C:$V,20,0),IFERROR(VLOOKUP(A1054,'[2]UPDATE BILL 2018'!$D:$V,19,0),IFERROR(VLOOKUP(A1054,'[2]UPDATE BILL 2018'!$E:$V,18,0),IFERROR(VLOOKUP(A1054,'[2]UPDATE BILL 2018'!$F:$V,17,0),IFERROR(VLOOKUP(A1054,'[2]UPDATE BILL 2018'!$G:$V,16,0),IFERROR(VLOOKUP(A1054,'[2]UPDATE BILL 2018'!$H:$V,15,0),IFERROR(VLOOKUP(A1054,'[2]UPDATE BILL 2018'!$I:$V,14,0),VLOOKUP(A1054,'[2]UPDATE BILL 2018'!$B:$V,21,0)))))))))</f>
        <v>HYUNDAI HARMONY 1829N</v>
      </c>
      <c r="AD1054" s="29" t="s">
        <v>50</v>
      </c>
      <c r="AE1054" s="24" t="s">
        <v>2370</v>
      </c>
      <c r="AF1054" s="25" t="s">
        <v>1269</v>
      </c>
      <c r="AI1054" s="58"/>
    </row>
    <row r="1055" spans="1:35" ht="16.5" customHeight="1">
      <c r="A1055" s="6" t="s">
        <v>2360</v>
      </c>
      <c r="B1055" s="5">
        <v>382</v>
      </c>
      <c r="C1055" s="7">
        <v>38521.199999999997</v>
      </c>
      <c r="D1055" s="7">
        <f t="shared" si="27"/>
        <v>0</v>
      </c>
      <c r="E1055" s="7">
        <v>0</v>
      </c>
      <c r="F1055" s="5">
        <v>0</v>
      </c>
      <c r="G1055" s="7">
        <v>0</v>
      </c>
      <c r="H1055" s="5">
        <v>0</v>
      </c>
      <c r="I1055" s="7">
        <v>0</v>
      </c>
      <c r="J1055" s="7">
        <v>0</v>
      </c>
      <c r="K1055" s="5">
        <v>0</v>
      </c>
      <c r="L1055" s="5">
        <v>0</v>
      </c>
      <c r="M1055" s="5">
        <v>133</v>
      </c>
      <c r="N1055" s="7">
        <f t="shared" si="28"/>
        <v>133</v>
      </c>
      <c r="O1055" s="7">
        <v>32171.600000000006</v>
      </c>
      <c r="P1055" s="7">
        <f t="shared" si="29"/>
        <v>0</v>
      </c>
      <c r="Q1055" s="5">
        <v>0</v>
      </c>
      <c r="R1055" s="5">
        <v>0</v>
      </c>
      <c r="S1055" s="7">
        <v>0</v>
      </c>
      <c r="T1055" s="12">
        <v>43287</v>
      </c>
      <c r="U1055" s="4">
        <v>6</v>
      </c>
      <c r="V1055" s="4">
        <v>9</v>
      </c>
      <c r="W1055" s="4">
        <v>9</v>
      </c>
      <c r="X1055" s="45">
        <f t="shared" si="30"/>
        <v>70692.800000000003</v>
      </c>
      <c r="Y1055" s="14" t="s">
        <v>54</v>
      </c>
      <c r="Z1055" s="14" t="s">
        <v>59</v>
      </c>
      <c r="AA1055" s="14" t="str">
        <f>IFERROR(VLOOKUP(A1055,'[2]UPDATE BILL 2018'!$B:$P,15,0),IFERROR(VLOOKUP(A1055,'[2]UPDATE BILL 2018'!$C:$P,14,0),IFERROR(VLOOKUP(A1055,'[2]UPDATE BILL 2018'!$D:$P,13,0),IFERROR(VLOOKUP(A1055,'[2]UPDATE BILL 2018'!$E:$P,12,0),IFERROR(VLOOKUP(A1055,'[2]UPDATE BILL 2018'!$F:$P,11,0),IFERROR(VLOOKUP(A1055,'[2]UPDATE BILL 2018'!$G:$P,10,0),IFERROR(VLOOKUP(A1055,'[2]UPDATE BILL 2018'!$H:$P,9,0),IFERROR(VLOOKUP(A1055,'[2]UPDATE BILL 2018'!$I:$P,8,0),VLOOKUP(A1055,'[2]UPDATE BILL 2018'!$B:$P,15,0)))))))))</f>
        <v>SITWHPKW171072</v>
      </c>
      <c r="AB1055" s="44">
        <f>IFERROR(VLOOKUP(A1055,'[2]UPDATE BILL 2018'!$B:$T,19,0),IFERROR(VLOOKUP(A1055,'[2]UPDATE BILL 2018'!$C:$T,18,0),IFERROR(VLOOKUP(A1055,'[2]UPDATE BILL 2018'!$D:$T,17,0),IFERROR(VLOOKUP(A1055,'[2]UPDATE BILL 2018'!$E:$T,16,0),IFERROR(VLOOKUP(A1055,'[2]UPDATE BILL 2018'!$F:$T,15,0),IFERROR(VLOOKUP(A1055,'[2]UPDATE BILL 2018'!$G:$T,14,0),IFERROR(VLOOKUP(A1055,'[2]UPDATE BILL 2018'!$H:$T,13,0),IFERROR(VLOOKUP(A1055,'[2]UPDATE BILL 2018'!$I:$T,12,0),VLOOKUP(A1055,'[2]UPDATE BILL 2018'!$B:$T,19,0)))))))))</f>
        <v>43300</v>
      </c>
      <c r="AC1055" s="44" t="str">
        <f>IFERROR(VLOOKUP(A1055,'[2]UPDATE BILL 2018'!$B:$V,21,0),IFERROR(VLOOKUP(A1055,'[2]UPDATE BILL 2018'!$C:$V,20,0),IFERROR(VLOOKUP(A1055,'[2]UPDATE BILL 2018'!$D:$V,19,0),IFERROR(VLOOKUP(A1055,'[2]UPDATE BILL 2018'!$E:$V,18,0),IFERROR(VLOOKUP(A1055,'[2]UPDATE BILL 2018'!$F:$V,17,0),IFERROR(VLOOKUP(A1055,'[2]UPDATE BILL 2018'!$G:$V,16,0),IFERROR(VLOOKUP(A1055,'[2]UPDATE BILL 2018'!$H:$V,15,0),IFERROR(VLOOKUP(A1055,'[2]UPDATE BILL 2018'!$I:$V,14,0),VLOOKUP(A1055,'[2]UPDATE BILL 2018'!$B:$V,21,0)))))))))</f>
        <v>SITC OSAKA 1821N</v>
      </c>
      <c r="AD1055" s="29" t="s">
        <v>50</v>
      </c>
      <c r="AE1055" s="24" t="s">
        <v>2371</v>
      </c>
      <c r="AF1055" s="25" t="s">
        <v>1269</v>
      </c>
      <c r="AI1055" s="58"/>
    </row>
    <row r="1056" spans="1:35" ht="16.5" customHeight="1">
      <c r="A1056" s="6" t="s">
        <v>2361</v>
      </c>
      <c r="D1056" s="7">
        <f t="shared" si="27"/>
        <v>0</v>
      </c>
      <c r="E1056" s="7">
        <v>0</v>
      </c>
      <c r="F1056" s="5">
        <v>0</v>
      </c>
      <c r="G1056" s="7">
        <v>0</v>
      </c>
      <c r="H1056" s="5">
        <v>0</v>
      </c>
      <c r="I1056" s="7">
        <v>0</v>
      </c>
      <c r="J1056" s="7">
        <v>0</v>
      </c>
      <c r="K1056" s="5">
        <v>0</v>
      </c>
      <c r="L1056" s="5">
        <v>0</v>
      </c>
      <c r="M1056" s="5">
        <v>0</v>
      </c>
      <c r="N1056" s="7">
        <f t="shared" si="28"/>
        <v>0</v>
      </c>
      <c r="O1056" s="7">
        <v>0</v>
      </c>
      <c r="P1056" s="7">
        <f t="shared" si="29"/>
        <v>345</v>
      </c>
      <c r="Q1056" s="5">
        <v>0</v>
      </c>
      <c r="R1056" s="5">
        <v>345</v>
      </c>
      <c r="S1056" s="7">
        <v>32532.9</v>
      </c>
      <c r="T1056" s="12">
        <v>43287</v>
      </c>
      <c r="U1056" s="4">
        <v>1</v>
      </c>
      <c r="V1056" s="4">
        <v>9</v>
      </c>
      <c r="W1056" s="4">
        <v>9</v>
      </c>
      <c r="X1056" s="45">
        <f t="shared" si="30"/>
        <v>32532.9</v>
      </c>
      <c r="Y1056" s="14" t="s">
        <v>54</v>
      </c>
      <c r="Z1056" s="14" t="s">
        <v>1281</v>
      </c>
      <c r="AA1056" s="14" t="str">
        <f>IFERROR(VLOOKUP(A1056,'[2]UPDATE BILL 2018'!$B:$P,15,0),IFERROR(VLOOKUP(A1056,'[2]UPDATE BILL 2018'!$C:$P,14,0),IFERROR(VLOOKUP(A1056,'[2]UPDATE BILL 2018'!$D:$P,13,0),IFERROR(VLOOKUP(A1056,'[2]UPDATE BILL 2018'!$E:$P,12,0),IFERROR(VLOOKUP(A1056,'[2]UPDATE BILL 2018'!$F:$P,11,0),IFERROR(VLOOKUP(A1056,'[2]UPDATE BILL 2018'!$G:$P,10,0),IFERROR(VLOOKUP(A1056,'[2]UPDATE BILL 2018'!$H:$P,9,0),IFERROR(VLOOKUP(A1056,'[2]UPDATE BILL 2018'!$I:$P,8,0),VLOOKUP(A1056,'[2]UPDATE BILL 2018'!$B:$P,15,0)))))))))</f>
        <v>SITWHPOS171065</v>
      </c>
      <c r="AB1056" s="44">
        <f>IFERROR(VLOOKUP(A1056,'[2]UPDATE BILL 2018'!$B:$T,19,0),IFERROR(VLOOKUP(A1056,'[2]UPDATE BILL 2018'!$C:$T,18,0),IFERROR(VLOOKUP(A1056,'[2]UPDATE BILL 2018'!$D:$T,17,0),IFERROR(VLOOKUP(A1056,'[2]UPDATE BILL 2018'!$E:$T,16,0),IFERROR(VLOOKUP(A1056,'[2]UPDATE BILL 2018'!$F:$T,15,0),IFERROR(VLOOKUP(A1056,'[2]UPDATE BILL 2018'!$G:$T,14,0),IFERROR(VLOOKUP(A1056,'[2]UPDATE BILL 2018'!$H:$T,13,0),IFERROR(VLOOKUP(A1056,'[2]UPDATE BILL 2018'!$I:$T,12,0),VLOOKUP(A1056,'[2]UPDATE BILL 2018'!$B:$T,19,0)))))))))</f>
        <v>43289</v>
      </c>
      <c r="AC1056" s="44" t="str">
        <f>IFERROR(VLOOKUP(A1056,'[2]UPDATE BILL 2018'!$B:$V,21,0),IFERROR(VLOOKUP(A1056,'[2]UPDATE BILL 2018'!$C:$V,20,0),IFERROR(VLOOKUP(A1056,'[2]UPDATE BILL 2018'!$D:$V,19,0),IFERROR(VLOOKUP(A1056,'[2]UPDATE BILL 2018'!$E:$V,18,0),IFERROR(VLOOKUP(A1056,'[2]UPDATE BILL 2018'!$F:$V,17,0),IFERROR(VLOOKUP(A1056,'[2]UPDATE BILL 2018'!$G:$V,16,0),IFERROR(VLOOKUP(A1056,'[2]UPDATE BILL 2018'!$H:$V,15,0),IFERROR(VLOOKUP(A1056,'[2]UPDATE BILL 2018'!$I:$V,14,0),VLOOKUP(A1056,'[2]UPDATE BILL 2018'!$B:$V,21,0)))))))))</f>
        <v>HANSE ENERGY 1819N</v>
      </c>
      <c r="AD1056" s="29" t="s">
        <v>51</v>
      </c>
      <c r="AE1056" s="24" t="s">
        <v>2372</v>
      </c>
      <c r="AF1056" s="25" t="s">
        <v>2150</v>
      </c>
      <c r="AI1056" s="58"/>
    </row>
    <row r="1057" spans="1:35" ht="16.5" customHeight="1">
      <c r="A1057" s="6" t="s">
        <v>2318</v>
      </c>
      <c r="B1057" s="5">
        <v>201</v>
      </c>
      <c r="C1057" s="7">
        <v>21710</v>
      </c>
      <c r="D1057" s="7">
        <f t="shared" si="27"/>
        <v>0</v>
      </c>
      <c r="E1057" s="7">
        <v>0</v>
      </c>
      <c r="F1057" s="5">
        <v>0</v>
      </c>
      <c r="G1057" s="7">
        <v>0</v>
      </c>
      <c r="H1057" s="5">
        <v>0</v>
      </c>
      <c r="I1057" s="7">
        <v>0</v>
      </c>
      <c r="J1057" s="7">
        <v>0</v>
      </c>
      <c r="K1057" s="5">
        <v>0</v>
      </c>
      <c r="L1057" s="5">
        <v>0</v>
      </c>
      <c r="M1057" s="5">
        <v>0</v>
      </c>
      <c r="N1057" s="7">
        <f t="shared" si="28"/>
        <v>0</v>
      </c>
      <c r="O1057" s="7">
        <v>0</v>
      </c>
      <c r="P1057" s="7">
        <f t="shared" si="29"/>
        <v>29</v>
      </c>
      <c r="Q1057" s="5">
        <v>0</v>
      </c>
      <c r="R1057" s="5">
        <v>29</v>
      </c>
      <c r="S1057" s="7">
        <v>5411</v>
      </c>
      <c r="T1057" s="12">
        <v>43290</v>
      </c>
      <c r="U1057" s="4">
        <v>2</v>
      </c>
      <c r="V1057" s="4">
        <v>9</v>
      </c>
      <c r="W1057" s="4">
        <v>9</v>
      </c>
      <c r="X1057" s="45">
        <f t="shared" si="30"/>
        <v>27121</v>
      </c>
      <c r="Y1057" s="14" t="s">
        <v>1608</v>
      </c>
      <c r="Z1057" s="14" t="s">
        <v>730</v>
      </c>
      <c r="AA1057" s="14" t="str">
        <f>IFERROR(VLOOKUP(A1057,'[2]UPDATE BILL 2018'!$B:$P,15,0),IFERROR(VLOOKUP(A1057,'[2]UPDATE BILL 2018'!$C:$P,14,0),IFERROR(VLOOKUP(A1057,'[2]UPDATE BILL 2018'!$D:$P,13,0),IFERROR(VLOOKUP(A1057,'[2]UPDATE BILL 2018'!$E:$P,12,0),IFERROR(VLOOKUP(A1057,'[2]UPDATE BILL 2018'!$F:$P,11,0),IFERROR(VLOOKUP(A1057,'[2]UPDATE BILL 2018'!$G:$P,10,0),IFERROR(VLOOKUP(A1057,'[2]UPDATE BILL 2018'!$H:$P,9,0),IFERROR(VLOOKUP(A1057,'[2]UPDATE BILL 2018'!$I:$P,8,0),VLOOKUP(A1057,'[2]UPDATE BILL 2018'!$B:$P,15,0)))))))))</f>
        <v>SNL8HPCL001106</v>
      </c>
      <c r="AB1057" s="44">
        <f>IFERROR(VLOOKUP(A1057,'[2]UPDATE BILL 2018'!$B:$T,19,0),IFERROR(VLOOKUP(A1057,'[2]UPDATE BILL 2018'!$C:$T,18,0),IFERROR(VLOOKUP(A1057,'[2]UPDATE BILL 2018'!$D:$T,17,0),IFERROR(VLOOKUP(A1057,'[2]UPDATE BILL 2018'!$E:$T,16,0),IFERROR(VLOOKUP(A1057,'[2]UPDATE BILL 2018'!$F:$T,15,0),IFERROR(VLOOKUP(A1057,'[2]UPDATE BILL 2018'!$G:$T,14,0),IFERROR(VLOOKUP(A1057,'[2]UPDATE BILL 2018'!$H:$T,13,0),IFERROR(VLOOKUP(A1057,'[2]UPDATE BILL 2018'!$I:$T,12,0),VLOOKUP(A1057,'[2]UPDATE BILL 2018'!$B:$T,19,0)))))))))</f>
        <v>43291</v>
      </c>
      <c r="AC1057" s="44" t="str">
        <f>IFERROR(VLOOKUP(A1057,'[2]UPDATE BILL 2018'!$B:$V,21,0),IFERROR(VLOOKUP(A1057,'[2]UPDATE BILL 2018'!$C:$V,20,0),IFERROR(VLOOKUP(A1057,'[2]UPDATE BILL 2018'!$D:$V,19,0),IFERROR(VLOOKUP(A1057,'[2]UPDATE BILL 2018'!$E:$V,18,0),IFERROR(VLOOKUP(A1057,'[2]UPDATE BILL 2018'!$F:$V,17,0),IFERROR(VLOOKUP(A1057,'[2]UPDATE BILL 2018'!$G:$V,16,0),IFERROR(VLOOKUP(A1057,'[2]UPDATE BILL 2018'!$H:$V,15,0),IFERROR(VLOOKUP(A1057,'[2]UPDATE BILL 2018'!$I:$V,14,0),VLOOKUP(A1057,'[2]UPDATE BILL 2018'!$B:$V,21,0)))))))))</f>
        <v>WISDOM GRACE 1825N</v>
      </c>
      <c r="AD1057" s="29" t="s">
        <v>1010</v>
      </c>
      <c r="AE1057" s="24" t="s">
        <v>2385</v>
      </c>
      <c r="AF1057" s="25" t="s">
        <v>1602</v>
      </c>
      <c r="AI1057" s="58"/>
    </row>
    <row r="1058" spans="1:35" ht="16.5" customHeight="1">
      <c r="A1058" s="6" t="s">
        <v>2374</v>
      </c>
      <c r="B1058" s="5">
        <v>160</v>
      </c>
      <c r="C1058" s="7">
        <v>14084.8</v>
      </c>
      <c r="D1058" s="7">
        <f t="shared" ref="D1058:D1084" si="31">E1058+F1058</f>
        <v>0</v>
      </c>
      <c r="E1058" s="7">
        <v>0</v>
      </c>
      <c r="F1058" s="5">
        <v>0</v>
      </c>
      <c r="G1058" s="7">
        <v>0</v>
      </c>
      <c r="H1058" s="5">
        <v>264</v>
      </c>
      <c r="I1058" s="7">
        <v>30519.759999999995</v>
      </c>
      <c r="J1058" s="7">
        <v>0</v>
      </c>
      <c r="K1058" s="5">
        <v>0</v>
      </c>
      <c r="L1058" s="5">
        <v>0</v>
      </c>
      <c r="M1058" s="5">
        <v>0</v>
      </c>
      <c r="N1058" s="7">
        <f t="shared" ref="N1058:N1084" si="32">M1058-K1058</f>
        <v>0</v>
      </c>
      <c r="O1058" s="7">
        <v>0</v>
      </c>
      <c r="P1058" s="7">
        <f t="shared" ref="P1058:P1084" si="33">+Q1058+R1058</f>
        <v>0</v>
      </c>
      <c r="Q1058" s="5">
        <v>0</v>
      </c>
      <c r="R1058" s="5">
        <v>0</v>
      </c>
      <c r="S1058" s="7">
        <v>0</v>
      </c>
      <c r="T1058" s="12">
        <v>43290</v>
      </c>
      <c r="U1058" s="4">
        <v>3</v>
      </c>
      <c r="V1058" s="4">
        <v>9</v>
      </c>
      <c r="W1058" s="4">
        <v>9</v>
      </c>
      <c r="X1058" s="45">
        <f t="shared" ref="X1058:X1084" si="34">+C1058+G1058+I1058+O1058+S1058</f>
        <v>44604.56</v>
      </c>
      <c r="Y1058" s="14" t="s">
        <v>56</v>
      </c>
      <c r="Z1058" s="14" t="s">
        <v>57</v>
      </c>
      <c r="AA1058" s="14" t="str">
        <f>IFERROR(VLOOKUP(A1058,'[2]UPDATE BILL 2018'!$B:$P,15,0),IFERROR(VLOOKUP(A1058,'[2]UPDATE BILL 2018'!$C:$P,14,0),IFERROR(VLOOKUP(A1058,'[2]UPDATE BILL 2018'!$D:$P,13,0),IFERROR(VLOOKUP(A1058,'[2]UPDATE BILL 2018'!$E:$P,12,0),IFERROR(VLOOKUP(A1058,'[2]UPDATE BILL 2018'!$F:$P,11,0),IFERROR(VLOOKUP(A1058,'[2]UPDATE BILL 2018'!$G:$P,10,0),IFERROR(VLOOKUP(A1058,'[2]UPDATE BILL 2018'!$H:$P,9,0),IFERROR(VLOOKUP(A1058,'[2]UPDATE BILL 2018'!$I:$P,8,0),VLOOKUP(A1058,'[2]UPDATE BILL 2018'!$B:$P,15,0)))))))))</f>
        <v>1008X03526</v>
      </c>
      <c r="AB1058" s="44">
        <f>IFERROR(VLOOKUP(A1058,'[2]UPDATE BILL 2018'!$B:$T,19,0),IFERROR(VLOOKUP(A1058,'[2]UPDATE BILL 2018'!$C:$T,18,0),IFERROR(VLOOKUP(A1058,'[2]UPDATE BILL 2018'!$D:$T,17,0),IFERROR(VLOOKUP(A1058,'[2]UPDATE BILL 2018'!$E:$T,16,0),IFERROR(VLOOKUP(A1058,'[2]UPDATE BILL 2018'!$F:$T,15,0),IFERROR(VLOOKUP(A1058,'[2]UPDATE BILL 2018'!$G:$T,14,0),IFERROR(VLOOKUP(A1058,'[2]UPDATE BILL 2018'!$H:$T,13,0),IFERROR(VLOOKUP(A1058,'[2]UPDATE BILL 2018'!$I:$T,12,0),VLOOKUP(A1058,'[2]UPDATE BILL 2018'!$B:$T,19,0)))))))))</f>
        <v>43292</v>
      </c>
      <c r="AC1058" s="44" t="str">
        <f>IFERROR(VLOOKUP(A1058,'[2]UPDATE BILL 2018'!$B:$V,21,0),IFERROR(VLOOKUP(A1058,'[2]UPDATE BILL 2018'!$C:$V,20,0),IFERROR(VLOOKUP(A1058,'[2]UPDATE BILL 2018'!$D:$V,19,0),IFERROR(VLOOKUP(A1058,'[2]UPDATE BILL 2018'!$E:$V,18,0),IFERROR(VLOOKUP(A1058,'[2]UPDATE BILL 2018'!$F:$V,17,0),IFERROR(VLOOKUP(A1058,'[2]UPDATE BILL 2018'!$G:$V,16,0),IFERROR(VLOOKUP(A1058,'[2]UPDATE BILL 2018'!$H:$V,15,0),IFERROR(VLOOKUP(A1058,'[2]UPDATE BILL 2018'!$I:$V,14,0),VLOOKUP(A1058,'[2]UPDATE BILL 2018'!$B:$V,21,0)))))))))</f>
        <v xml:space="preserve"> WAN HAI 266  N395</v>
      </c>
      <c r="AD1058" s="29" t="s">
        <v>49</v>
      </c>
      <c r="AE1058" s="24" t="s">
        <v>2386</v>
      </c>
      <c r="AF1058" s="25" t="s">
        <v>1265</v>
      </c>
      <c r="AI1058" s="58"/>
    </row>
    <row r="1059" spans="1:35" ht="17.25" customHeight="1">
      <c r="A1059" s="6" t="s">
        <v>2375</v>
      </c>
      <c r="D1059" s="7">
        <f t="shared" ref="D1059:D1063" si="35">E1059+F1059</f>
        <v>0</v>
      </c>
      <c r="E1059" s="7">
        <v>0</v>
      </c>
      <c r="F1059" s="5">
        <v>0</v>
      </c>
      <c r="G1059" s="7">
        <v>0</v>
      </c>
      <c r="H1059" s="5">
        <v>810</v>
      </c>
      <c r="I1059" s="7">
        <v>87506.400000000023</v>
      </c>
      <c r="J1059" s="7">
        <v>0</v>
      </c>
      <c r="K1059" s="5">
        <v>0</v>
      </c>
      <c r="L1059" s="5">
        <v>0</v>
      </c>
      <c r="M1059" s="5">
        <v>0</v>
      </c>
      <c r="N1059" s="7">
        <f t="shared" ref="N1059:N1063" si="36">M1059-K1059</f>
        <v>0</v>
      </c>
      <c r="O1059" s="7">
        <v>0</v>
      </c>
      <c r="P1059" s="7">
        <f t="shared" ref="P1059:P1063" si="37">+Q1059+R1059</f>
        <v>0</v>
      </c>
      <c r="Q1059" s="5">
        <v>0</v>
      </c>
      <c r="R1059" s="5">
        <v>0</v>
      </c>
      <c r="S1059" s="7">
        <v>0</v>
      </c>
      <c r="T1059" s="12">
        <v>43290</v>
      </c>
      <c r="U1059" s="4">
        <v>6</v>
      </c>
      <c r="V1059" s="4">
        <v>9</v>
      </c>
      <c r="W1059" s="4">
        <v>9</v>
      </c>
      <c r="X1059" s="45">
        <f t="shared" si="30"/>
        <v>87506.400000000023</v>
      </c>
      <c r="Y1059" s="14" t="s">
        <v>56</v>
      </c>
      <c r="Z1059" s="14" t="s">
        <v>1637</v>
      </c>
      <c r="AA1059" s="14" t="str">
        <f>IFERROR(VLOOKUP(A1059,'[2]UPDATE BILL 2018'!$B:$P,15,0),IFERROR(VLOOKUP(A1059,'[2]UPDATE BILL 2018'!$C:$P,14,0),IFERROR(VLOOKUP(A1059,'[2]UPDATE BILL 2018'!$D:$P,13,0),IFERROR(VLOOKUP(A1059,'[2]UPDATE BILL 2018'!$E:$P,12,0),IFERROR(VLOOKUP(A1059,'[2]UPDATE BILL 2018'!$F:$P,11,0),IFERROR(VLOOKUP(A1059,'[2]UPDATE BILL 2018'!$G:$P,10,0),IFERROR(VLOOKUP(A1059,'[2]UPDATE BILL 2018'!$H:$P,9,0),IFERROR(VLOOKUP(A1059,'[2]UPDATE BILL 2018'!$I:$P,8,0),VLOOKUP(A1059,'[2]UPDATE BILL 2018'!$B:$P,15,0)))))))))</f>
        <v>1008X03637</v>
      </c>
      <c r="AB1059" s="44">
        <f>IFERROR(VLOOKUP(A1059,'[2]UPDATE BILL 2018'!$B:$T,19,0),IFERROR(VLOOKUP(A1059,'[2]UPDATE BILL 2018'!$C:$T,18,0),IFERROR(VLOOKUP(A1059,'[2]UPDATE BILL 2018'!$D:$T,17,0),IFERROR(VLOOKUP(A1059,'[2]UPDATE BILL 2018'!$E:$T,16,0),IFERROR(VLOOKUP(A1059,'[2]UPDATE BILL 2018'!$F:$T,15,0),IFERROR(VLOOKUP(A1059,'[2]UPDATE BILL 2018'!$G:$T,14,0),IFERROR(VLOOKUP(A1059,'[2]UPDATE BILL 2018'!$H:$T,13,0),IFERROR(VLOOKUP(A1059,'[2]UPDATE BILL 2018'!$I:$T,12,0),VLOOKUP(A1059,'[2]UPDATE BILL 2018'!$B:$T,19,0)))))))))</f>
        <v>43300</v>
      </c>
      <c r="AC1059" s="44" t="str">
        <f>IFERROR(VLOOKUP(A1059,'[2]UPDATE BILL 2018'!$B:$V,21,0),IFERROR(VLOOKUP(A1059,'[2]UPDATE BILL 2018'!$C:$V,20,0),IFERROR(VLOOKUP(A1059,'[2]UPDATE BILL 2018'!$D:$V,19,0),IFERROR(VLOOKUP(A1059,'[2]UPDATE BILL 2018'!$E:$V,18,0),IFERROR(VLOOKUP(A1059,'[2]UPDATE BILL 2018'!$F:$V,17,0),IFERROR(VLOOKUP(A1059,'[2]UPDATE BILL 2018'!$G:$V,16,0),IFERROR(VLOOKUP(A1059,'[2]UPDATE BILL 2018'!$H:$V,15,0),IFERROR(VLOOKUP(A1059,'[2]UPDATE BILL 2018'!$I:$V,14,0),VLOOKUP(A1059,'[2]UPDATE BILL 2018'!$B:$V,21,0)))))))))</f>
        <v>MOONCHILD N030</v>
      </c>
      <c r="AD1059" s="29" t="s">
        <v>49</v>
      </c>
      <c r="AE1059" s="24" t="s">
        <v>2387</v>
      </c>
      <c r="AF1059" s="25" t="s">
        <v>1265</v>
      </c>
      <c r="AI1059" s="58"/>
    </row>
    <row r="1060" spans="1:35" ht="16.5" customHeight="1">
      <c r="A1060" s="6" t="s">
        <v>2376</v>
      </c>
      <c r="B1060" s="5">
        <v>105</v>
      </c>
      <c r="C1060" s="7">
        <v>13397.58</v>
      </c>
      <c r="D1060" s="7">
        <f t="shared" si="35"/>
        <v>0</v>
      </c>
      <c r="E1060" s="7">
        <v>0</v>
      </c>
      <c r="F1060" s="5">
        <v>0</v>
      </c>
      <c r="G1060" s="7">
        <v>0</v>
      </c>
      <c r="H1060" s="5">
        <v>0</v>
      </c>
      <c r="I1060" s="7">
        <v>0</v>
      </c>
      <c r="J1060" s="7">
        <v>0</v>
      </c>
      <c r="K1060" s="5">
        <v>0</v>
      </c>
      <c r="L1060" s="5">
        <v>0</v>
      </c>
      <c r="M1060" s="5">
        <v>0</v>
      </c>
      <c r="N1060" s="7">
        <f t="shared" si="36"/>
        <v>0</v>
      </c>
      <c r="O1060" s="7">
        <v>0</v>
      </c>
      <c r="P1060" s="7">
        <f t="shared" si="37"/>
        <v>0</v>
      </c>
      <c r="Q1060" s="5">
        <v>0</v>
      </c>
      <c r="R1060" s="5">
        <v>0</v>
      </c>
      <c r="S1060" s="7">
        <v>0</v>
      </c>
      <c r="T1060" s="12">
        <v>43290</v>
      </c>
      <c r="U1060" s="4">
        <v>1</v>
      </c>
      <c r="V1060" s="4">
        <v>9</v>
      </c>
      <c r="W1060" s="4">
        <v>9</v>
      </c>
      <c r="X1060" s="45">
        <f t="shared" ref="X1060:X1065" si="38">+C1060+G1060+I1060+O1060+S1060</f>
        <v>13397.58</v>
      </c>
      <c r="Y1060" s="14" t="s">
        <v>56</v>
      </c>
      <c r="Z1060" s="14" t="s">
        <v>1281</v>
      </c>
      <c r="AA1060" s="14" t="str">
        <f>IFERROR(VLOOKUP(A1060,'[2]UPDATE BILL 2018'!$B:$P,15,0),IFERROR(VLOOKUP(A1060,'[2]UPDATE BILL 2018'!$C:$P,14,0),IFERROR(VLOOKUP(A1060,'[2]UPDATE BILL 2018'!$D:$P,13,0),IFERROR(VLOOKUP(A1060,'[2]UPDATE BILL 2018'!$E:$P,12,0),IFERROR(VLOOKUP(A1060,'[2]UPDATE BILL 2018'!$F:$P,11,0),IFERROR(VLOOKUP(A1060,'[2]UPDATE BILL 2018'!$G:$P,10,0),IFERROR(VLOOKUP(A1060,'[2]UPDATE BILL 2018'!$H:$P,9,0),IFERROR(VLOOKUP(A1060,'[2]UPDATE BILL 2018'!$I:$P,8,0),VLOOKUP(A1060,'[2]UPDATE BILL 2018'!$B:$P,15,0)))))))))</f>
        <v>1008X03336</v>
      </c>
      <c r="AB1060" s="44">
        <f>IFERROR(VLOOKUP(A1060,'[2]UPDATE BILL 2018'!$B:$T,19,0),IFERROR(VLOOKUP(A1060,'[2]UPDATE BILL 2018'!$C:$T,18,0),IFERROR(VLOOKUP(A1060,'[2]UPDATE BILL 2018'!$D:$T,17,0),IFERROR(VLOOKUP(A1060,'[2]UPDATE BILL 2018'!$E:$T,16,0),IFERROR(VLOOKUP(A1060,'[2]UPDATE BILL 2018'!$F:$T,15,0),IFERROR(VLOOKUP(A1060,'[2]UPDATE BILL 2018'!$G:$T,14,0),IFERROR(VLOOKUP(A1060,'[2]UPDATE BILL 2018'!$H:$T,13,0),IFERROR(VLOOKUP(A1060,'[2]UPDATE BILL 2018'!$I:$T,12,0),VLOOKUP(A1060,'[2]UPDATE BILL 2018'!$B:$T,19,0)))))))))</f>
        <v>43293</v>
      </c>
      <c r="AC1060" s="44" t="str">
        <f>IFERROR(VLOOKUP(A1060,'[2]UPDATE BILL 2018'!$B:$V,21,0),IFERROR(VLOOKUP(A1060,'[2]UPDATE BILL 2018'!$C:$V,20,0),IFERROR(VLOOKUP(A1060,'[2]UPDATE BILL 2018'!$D:$V,19,0),IFERROR(VLOOKUP(A1060,'[2]UPDATE BILL 2018'!$E:$V,18,0),IFERROR(VLOOKUP(A1060,'[2]UPDATE BILL 2018'!$F:$V,17,0),IFERROR(VLOOKUP(A1060,'[2]UPDATE BILL 2018'!$G:$V,16,0),IFERROR(VLOOKUP(A1060,'[2]UPDATE BILL 2018'!$H:$V,15,0),IFERROR(VLOOKUP(A1060,'[2]UPDATE BILL 2018'!$I:$V,14,0),VLOOKUP(A1060,'[2]UPDATE BILL 2018'!$B:$V,21,0)))))))))</f>
        <v>WAN HAI 203 N465</v>
      </c>
      <c r="AD1060" s="29" t="s">
        <v>52</v>
      </c>
      <c r="AE1060" s="24" t="s">
        <v>2388</v>
      </c>
      <c r="AF1060" s="25" t="s">
        <v>1271</v>
      </c>
      <c r="AI1060" s="58"/>
    </row>
    <row r="1061" spans="1:35" ht="16.5" customHeight="1">
      <c r="A1061" s="6" t="s">
        <v>2377</v>
      </c>
      <c r="B1061" s="5">
        <v>118</v>
      </c>
      <c r="C1061" s="7">
        <v>14714.380000000001</v>
      </c>
      <c r="D1061" s="7">
        <f t="shared" si="35"/>
        <v>0</v>
      </c>
      <c r="E1061" s="7">
        <v>0</v>
      </c>
      <c r="F1061" s="5">
        <v>0</v>
      </c>
      <c r="G1061" s="7">
        <v>0</v>
      </c>
      <c r="H1061" s="5">
        <v>262</v>
      </c>
      <c r="I1061" s="7">
        <v>32635.959999999995</v>
      </c>
      <c r="J1061" s="7">
        <v>0</v>
      </c>
      <c r="K1061" s="5">
        <v>0</v>
      </c>
      <c r="L1061" s="5">
        <v>0</v>
      </c>
      <c r="M1061" s="5">
        <v>0</v>
      </c>
      <c r="N1061" s="7">
        <f t="shared" si="36"/>
        <v>0</v>
      </c>
      <c r="O1061" s="7">
        <v>0</v>
      </c>
      <c r="P1061" s="7">
        <f t="shared" si="37"/>
        <v>0</v>
      </c>
      <c r="Q1061" s="5">
        <v>0</v>
      </c>
      <c r="R1061" s="5">
        <v>0</v>
      </c>
      <c r="S1061" s="7">
        <v>0</v>
      </c>
      <c r="T1061" s="12">
        <v>43290</v>
      </c>
      <c r="U1061" s="4">
        <v>3</v>
      </c>
      <c r="V1061" s="4">
        <v>9</v>
      </c>
      <c r="W1061" s="4">
        <v>9</v>
      </c>
      <c r="X1061" s="45">
        <f t="shared" si="38"/>
        <v>47350.34</v>
      </c>
      <c r="Y1061" s="14" t="s">
        <v>58</v>
      </c>
      <c r="Z1061" s="14" t="s">
        <v>1355</v>
      </c>
      <c r="AA1061" s="14" t="str">
        <f>IFERROR(VLOOKUP(A1061,'[2]UPDATE BILL 2018'!$B:$P,15,0),IFERROR(VLOOKUP(A1061,'[2]UPDATE BILL 2018'!$C:$P,14,0),IFERROR(VLOOKUP(A1061,'[2]UPDATE BILL 2018'!$D:$P,13,0),IFERROR(VLOOKUP(A1061,'[2]UPDATE BILL 2018'!$E:$P,12,0),IFERROR(VLOOKUP(A1061,'[2]UPDATE BILL 2018'!$F:$P,11,0),IFERROR(VLOOKUP(A1061,'[2]UPDATE BILL 2018'!$G:$P,10,0),IFERROR(VLOOKUP(A1061,'[2]UPDATE BILL 2018'!$H:$P,9,0),IFERROR(VLOOKUP(A1061,'[2]UPDATE BILL 2018'!$I:$P,8,0),VLOOKUP(A1061,'[2]UPDATE BILL 2018'!$B:$P,15,0)))))))))</f>
        <v>EGLV237800198117</v>
      </c>
      <c r="AB1061" s="44">
        <f>IFERROR(VLOOKUP(A1061,'[2]UPDATE BILL 2018'!$B:$T,19,0),IFERROR(VLOOKUP(A1061,'[2]UPDATE BILL 2018'!$C:$T,18,0),IFERROR(VLOOKUP(A1061,'[2]UPDATE BILL 2018'!$D:$T,17,0),IFERROR(VLOOKUP(A1061,'[2]UPDATE BILL 2018'!$E:$T,16,0),IFERROR(VLOOKUP(A1061,'[2]UPDATE BILL 2018'!$F:$T,15,0),IFERROR(VLOOKUP(A1061,'[2]UPDATE BILL 2018'!$G:$T,14,0),IFERROR(VLOOKUP(A1061,'[2]UPDATE BILL 2018'!$H:$T,13,0),IFERROR(VLOOKUP(A1061,'[2]UPDATE BILL 2018'!$I:$T,12,0),VLOOKUP(A1061,'[2]UPDATE BILL 2018'!$B:$T,19,0)))))))))</f>
        <v>43295</v>
      </c>
      <c r="AC1061" s="44" t="str">
        <f>IFERROR(VLOOKUP(A1061,'[2]UPDATE BILL 2018'!$B:$V,21,0),IFERROR(VLOOKUP(A1061,'[2]UPDATE BILL 2018'!$C:$V,20,0),IFERROR(VLOOKUP(A1061,'[2]UPDATE BILL 2018'!$D:$V,19,0),IFERROR(VLOOKUP(A1061,'[2]UPDATE BILL 2018'!$E:$V,18,0),IFERROR(VLOOKUP(A1061,'[2]UPDATE BILL 2018'!$F:$V,17,0),IFERROR(VLOOKUP(A1061,'[2]UPDATE BILL 2018'!$G:$V,16,0),IFERROR(VLOOKUP(A1061,'[2]UPDATE BILL 2018'!$H:$V,15,0),IFERROR(VLOOKUP(A1061,'[2]UPDATE BILL 2018'!$I:$V,14,0),VLOOKUP(A1061,'[2]UPDATE BILL 2018'!$B:$V,21,0)))))))))</f>
        <v>UNI-ACCORD 0586-559N</v>
      </c>
      <c r="AD1061" s="29" t="s">
        <v>51</v>
      </c>
      <c r="AE1061" s="24" t="s">
        <v>2389</v>
      </c>
      <c r="AF1061" s="25" t="s">
        <v>1270</v>
      </c>
      <c r="AI1061" s="58"/>
    </row>
    <row r="1062" spans="1:35" ht="16.5" customHeight="1">
      <c r="A1062" s="6" t="s">
        <v>2378</v>
      </c>
      <c r="B1062" s="5">
        <v>68</v>
      </c>
      <c r="C1062" s="7">
        <v>11757.2</v>
      </c>
      <c r="D1062" s="7">
        <f t="shared" si="35"/>
        <v>0</v>
      </c>
      <c r="E1062" s="7">
        <v>0</v>
      </c>
      <c r="F1062" s="5">
        <v>0</v>
      </c>
      <c r="G1062" s="7">
        <v>0</v>
      </c>
      <c r="H1062" s="5">
        <v>130</v>
      </c>
      <c r="I1062" s="7">
        <v>12946.7</v>
      </c>
      <c r="J1062" s="7">
        <v>0</v>
      </c>
      <c r="K1062" s="5">
        <v>0</v>
      </c>
      <c r="L1062" s="5">
        <v>0</v>
      </c>
      <c r="M1062" s="5">
        <v>0</v>
      </c>
      <c r="N1062" s="7">
        <f t="shared" si="36"/>
        <v>0</v>
      </c>
      <c r="O1062" s="7">
        <v>0</v>
      </c>
      <c r="P1062" s="7">
        <f t="shared" si="37"/>
        <v>0</v>
      </c>
      <c r="Q1062" s="5">
        <v>0</v>
      </c>
      <c r="R1062" s="5">
        <v>0</v>
      </c>
      <c r="S1062" s="7">
        <v>0</v>
      </c>
      <c r="T1062" s="12">
        <v>43290</v>
      </c>
      <c r="U1062" s="4">
        <v>2</v>
      </c>
      <c r="V1062" s="4">
        <v>9</v>
      </c>
      <c r="W1062" s="4">
        <v>9</v>
      </c>
      <c r="X1062" s="45">
        <f t="shared" si="38"/>
        <v>24703.9</v>
      </c>
      <c r="Y1062" s="14" t="s">
        <v>56</v>
      </c>
      <c r="Z1062" s="14" t="s">
        <v>1355</v>
      </c>
      <c r="AA1062" s="14" t="str">
        <f>IFERROR(VLOOKUP(A1062,'[2]UPDATE BILL 2018'!$B:$P,15,0),IFERROR(VLOOKUP(A1062,'[2]UPDATE BILL 2018'!$C:$P,14,0),IFERROR(VLOOKUP(A1062,'[2]UPDATE BILL 2018'!$D:$P,13,0),IFERROR(VLOOKUP(A1062,'[2]UPDATE BILL 2018'!$E:$P,12,0),IFERROR(VLOOKUP(A1062,'[2]UPDATE BILL 2018'!$F:$P,11,0),IFERROR(VLOOKUP(A1062,'[2]UPDATE BILL 2018'!$G:$P,10,0),IFERROR(VLOOKUP(A1062,'[2]UPDATE BILL 2018'!$H:$P,9,0),IFERROR(VLOOKUP(A1062,'[2]UPDATE BILL 2018'!$I:$P,8,0),VLOOKUP(A1062,'[2]UPDATE BILL 2018'!$B:$P,15,0)))))))))</f>
        <v>1008X03531</v>
      </c>
      <c r="AB1062" s="44">
        <f>IFERROR(VLOOKUP(A1062,'[2]UPDATE BILL 2018'!$B:$T,19,0),IFERROR(VLOOKUP(A1062,'[2]UPDATE BILL 2018'!$C:$T,18,0),IFERROR(VLOOKUP(A1062,'[2]UPDATE BILL 2018'!$D:$T,17,0),IFERROR(VLOOKUP(A1062,'[2]UPDATE BILL 2018'!$E:$T,16,0),IFERROR(VLOOKUP(A1062,'[2]UPDATE BILL 2018'!$F:$T,15,0),IFERROR(VLOOKUP(A1062,'[2]UPDATE BILL 2018'!$G:$T,14,0),IFERROR(VLOOKUP(A1062,'[2]UPDATE BILL 2018'!$H:$T,13,0),IFERROR(VLOOKUP(A1062,'[2]UPDATE BILL 2018'!$I:$T,12,0),VLOOKUP(A1062,'[2]UPDATE BILL 2018'!$B:$T,19,0)))))))))</f>
        <v>43299</v>
      </c>
      <c r="AC1062" s="44" t="str">
        <f>IFERROR(VLOOKUP(A1062,'[2]UPDATE BILL 2018'!$B:$V,21,0),IFERROR(VLOOKUP(A1062,'[2]UPDATE BILL 2018'!$C:$V,20,0),IFERROR(VLOOKUP(A1062,'[2]UPDATE BILL 2018'!$D:$V,19,0),IFERROR(VLOOKUP(A1062,'[2]UPDATE BILL 2018'!$E:$V,18,0),IFERROR(VLOOKUP(A1062,'[2]UPDATE BILL 2018'!$F:$V,17,0),IFERROR(VLOOKUP(A1062,'[2]UPDATE BILL 2018'!$G:$V,16,0),IFERROR(VLOOKUP(A1062,'[2]UPDATE BILL 2018'!$H:$V,15,0),IFERROR(VLOOKUP(A1062,'[2]UPDATE BILL 2018'!$I:$V,14,0),VLOOKUP(A1062,'[2]UPDATE BILL 2018'!$B:$V,21,0)))))))))</f>
        <v>AS FRIDA N005</v>
      </c>
      <c r="AD1062" s="29" t="s">
        <v>51</v>
      </c>
      <c r="AE1062" s="24" t="s">
        <v>2390</v>
      </c>
      <c r="AF1062" s="25" t="s">
        <v>1270</v>
      </c>
      <c r="AI1062" s="58"/>
    </row>
    <row r="1063" spans="1:35" ht="16.5" customHeight="1">
      <c r="A1063" s="6" t="s">
        <v>2381</v>
      </c>
      <c r="B1063" s="5">
        <v>52</v>
      </c>
      <c r="C1063" s="7">
        <v>6334.8</v>
      </c>
      <c r="D1063" s="7">
        <f t="shared" si="35"/>
        <v>0</v>
      </c>
      <c r="E1063" s="7">
        <v>0</v>
      </c>
      <c r="F1063" s="5">
        <v>0</v>
      </c>
      <c r="G1063" s="7">
        <v>0</v>
      </c>
      <c r="H1063" s="5">
        <v>40</v>
      </c>
      <c r="I1063" s="7">
        <v>5118.4000000000005</v>
      </c>
      <c r="J1063" s="7">
        <v>0</v>
      </c>
      <c r="K1063" s="5">
        <v>0</v>
      </c>
      <c r="L1063" s="5">
        <v>0</v>
      </c>
      <c r="M1063" s="5">
        <v>0</v>
      </c>
      <c r="N1063" s="7">
        <f t="shared" si="36"/>
        <v>0</v>
      </c>
      <c r="O1063" s="7">
        <v>0</v>
      </c>
      <c r="P1063" s="7">
        <f t="shared" si="37"/>
        <v>0</v>
      </c>
      <c r="Q1063" s="5">
        <v>0</v>
      </c>
      <c r="R1063" s="5">
        <v>0</v>
      </c>
      <c r="S1063" s="7">
        <v>0</v>
      </c>
      <c r="T1063" s="12">
        <v>43290</v>
      </c>
      <c r="U1063" s="4">
        <v>1</v>
      </c>
      <c r="V1063" s="4">
        <v>9</v>
      </c>
      <c r="W1063" s="4">
        <v>9</v>
      </c>
      <c r="X1063" s="45">
        <f t="shared" si="38"/>
        <v>11453.2</v>
      </c>
      <c r="Y1063" s="14" t="s">
        <v>56</v>
      </c>
      <c r="Z1063" s="14" t="s">
        <v>1492</v>
      </c>
      <c r="AA1063" s="14" t="str">
        <f>IFERROR(VLOOKUP(A1063,'[2]UPDATE BILL 2018'!$B:$P,15,0),IFERROR(VLOOKUP(A1063,'[2]UPDATE BILL 2018'!$C:$P,14,0),IFERROR(VLOOKUP(A1063,'[2]UPDATE BILL 2018'!$D:$P,13,0),IFERROR(VLOOKUP(A1063,'[2]UPDATE BILL 2018'!$E:$P,12,0),IFERROR(VLOOKUP(A1063,'[2]UPDATE BILL 2018'!$F:$P,11,0),IFERROR(VLOOKUP(A1063,'[2]UPDATE BILL 2018'!$G:$P,10,0),IFERROR(VLOOKUP(A1063,'[2]UPDATE BILL 2018'!$H:$P,9,0),IFERROR(VLOOKUP(A1063,'[2]UPDATE BILL 2018'!$I:$P,8,0),VLOOKUP(A1063,'[2]UPDATE BILL 2018'!$B:$P,15,0)))))))))</f>
        <v>1008X03528</v>
      </c>
      <c r="AB1063" s="44">
        <f>IFERROR(VLOOKUP(A1063,'[2]UPDATE BILL 2018'!$B:$T,19,0),IFERROR(VLOOKUP(A1063,'[2]UPDATE BILL 2018'!$C:$T,18,0),IFERROR(VLOOKUP(A1063,'[2]UPDATE BILL 2018'!$D:$T,17,0),IFERROR(VLOOKUP(A1063,'[2]UPDATE BILL 2018'!$E:$T,16,0),IFERROR(VLOOKUP(A1063,'[2]UPDATE BILL 2018'!$F:$T,15,0),IFERROR(VLOOKUP(A1063,'[2]UPDATE BILL 2018'!$G:$T,14,0),IFERROR(VLOOKUP(A1063,'[2]UPDATE BILL 2018'!$H:$T,13,0),IFERROR(VLOOKUP(A1063,'[2]UPDATE BILL 2018'!$I:$T,12,0),VLOOKUP(A1063,'[2]UPDATE BILL 2018'!$B:$T,19,0)))))))))</f>
        <v>43295</v>
      </c>
      <c r="AC1063" s="44" t="str">
        <f>IFERROR(VLOOKUP(A1063,'[2]UPDATE BILL 2018'!$B:$V,21,0),IFERROR(VLOOKUP(A1063,'[2]UPDATE BILL 2018'!$C:$V,20,0),IFERROR(VLOOKUP(A1063,'[2]UPDATE BILL 2018'!$D:$V,19,0),IFERROR(VLOOKUP(A1063,'[2]UPDATE BILL 2018'!$E:$V,18,0),IFERROR(VLOOKUP(A1063,'[2]UPDATE BILL 2018'!$F:$V,17,0),IFERROR(VLOOKUP(A1063,'[2]UPDATE BILL 2018'!$G:$V,16,0),IFERROR(VLOOKUP(A1063,'[2]UPDATE BILL 2018'!$H:$V,15,0),IFERROR(VLOOKUP(A1063,'[2]UPDATE BILL 2018'!$I:$V,14,0),VLOOKUP(A1063,'[2]UPDATE BILL 2018'!$B:$V,21,0)))))))))</f>
        <v xml:space="preserve"> PAOLA  N021</v>
      </c>
      <c r="AD1063" s="29" t="s">
        <v>49</v>
      </c>
      <c r="AE1063" s="24" t="s">
        <v>2391</v>
      </c>
      <c r="AF1063" s="25" t="s">
        <v>1266</v>
      </c>
      <c r="AI1063" s="58"/>
    </row>
    <row r="1064" spans="1:35" ht="16.5" customHeight="1">
      <c r="A1064" s="6" t="s">
        <v>2384</v>
      </c>
      <c r="D1064" s="7">
        <f t="shared" si="31"/>
        <v>0</v>
      </c>
      <c r="E1064" s="7">
        <v>0</v>
      </c>
      <c r="F1064" s="5">
        <v>0</v>
      </c>
      <c r="G1064" s="7">
        <v>0</v>
      </c>
      <c r="H1064" s="5">
        <v>0</v>
      </c>
      <c r="I1064" s="7">
        <v>0</v>
      </c>
      <c r="J1064" s="7">
        <v>0</v>
      </c>
      <c r="K1064" s="5">
        <v>0</v>
      </c>
      <c r="L1064" s="5">
        <v>0</v>
      </c>
      <c r="M1064" s="5">
        <v>0</v>
      </c>
      <c r="N1064" s="7">
        <f t="shared" si="32"/>
        <v>0</v>
      </c>
      <c r="O1064" s="7">
        <v>0</v>
      </c>
      <c r="P1064" s="7">
        <f t="shared" si="33"/>
        <v>933</v>
      </c>
      <c r="Q1064" s="5">
        <v>0</v>
      </c>
      <c r="R1064" s="5">
        <v>933</v>
      </c>
      <c r="S1064" s="7">
        <v>164090.79999999999</v>
      </c>
      <c r="T1064" s="12">
        <v>43290</v>
      </c>
      <c r="U1064" s="4">
        <v>8</v>
      </c>
      <c r="V1064" s="4">
        <v>9</v>
      </c>
      <c r="W1064" s="4">
        <v>9</v>
      </c>
      <c r="X1064" s="45">
        <f t="shared" si="38"/>
        <v>164090.79999999999</v>
      </c>
      <c r="Y1064" s="14" t="s">
        <v>54</v>
      </c>
      <c r="Z1064" s="14" t="s">
        <v>55</v>
      </c>
      <c r="AA1064" s="14" t="str">
        <f>IFERROR(VLOOKUP(A1064,'[2]UPDATE BILL 2018'!$B:$P,15,0),IFERROR(VLOOKUP(A1064,'[2]UPDATE BILL 2018'!$C:$P,14,0),IFERROR(VLOOKUP(A1064,'[2]UPDATE BILL 2018'!$D:$P,13,0),IFERROR(VLOOKUP(A1064,'[2]UPDATE BILL 2018'!$E:$P,12,0),IFERROR(VLOOKUP(A1064,'[2]UPDATE BILL 2018'!$F:$P,11,0),IFERROR(VLOOKUP(A1064,'[2]UPDATE BILL 2018'!$G:$P,10,0),IFERROR(VLOOKUP(A1064,'[2]UPDATE BILL 2018'!$H:$P,9,0),IFERROR(VLOOKUP(A1064,'[2]UPDATE BILL 2018'!$I:$P,8,0),VLOOKUP(A1064,'[2]UPDATE BILL 2018'!$B:$P,15,0)))))))))</f>
        <v>SITWHPKW171072</v>
      </c>
      <c r="AB1064" s="44">
        <f>IFERROR(VLOOKUP(A1064,'[2]UPDATE BILL 2018'!$B:$T,19,0),IFERROR(VLOOKUP(A1064,'[2]UPDATE BILL 2018'!$C:$T,18,0),IFERROR(VLOOKUP(A1064,'[2]UPDATE BILL 2018'!$D:$T,17,0),IFERROR(VLOOKUP(A1064,'[2]UPDATE BILL 2018'!$E:$T,16,0),IFERROR(VLOOKUP(A1064,'[2]UPDATE BILL 2018'!$F:$T,15,0),IFERROR(VLOOKUP(A1064,'[2]UPDATE BILL 2018'!$G:$T,14,0),IFERROR(VLOOKUP(A1064,'[2]UPDATE BILL 2018'!$H:$T,13,0),IFERROR(VLOOKUP(A1064,'[2]UPDATE BILL 2018'!$I:$T,12,0),VLOOKUP(A1064,'[2]UPDATE BILL 2018'!$B:$T,19,0)))))))))</f>
        <v>43300</v>
      </c>
      <c r="AC1064" s="44" t="str">
        <f>IFERROR(VLOOKUP(A1064,'[2]UPDATE BILL 2018'!$B:$V,21,0),IFERROR(VLOOKUP(A1064,'[2]UPDATE BILL 2018'!$C:$V,20,0),IFERROR(VLOOKUP(A1064,'[2]UPDATE BILL 2018'!$D:$V,19,0),IFERROR(VLOOKUP(A1064,'[2]UPDATE BILL 2018'!$E:$V,18,0),IFERROR(VLOOKUP(A1064,'[2]UPDATE BILL 2018'!$F:$V,17,0),IFERROR(VLOOKUP(A1064,'[2]UPDATE BILL 2018'!$G:$V,16,0),IFERROR(VLOOKUP(A1064,'[2]UPDATE BILL 2018'!$H:$V,15,0),IFERROR(VLOOKUP(A1064,'[2]UPDATE BILL 2018'!$I:$V,14,0),VLOOKUP(A1064,'[2]UPDATE BILL 2018'!$B:$V,21,0)))))))))</f>
        <v>SITC OSAKA 1821N</v>
      </c>
      <c r="AD1064" s="29" t="s">
        <v>50</v>
      </c>
      <c r="AE1064" s="24" t="s">
        <v>2392</v>
      </c>
      <c r="AF1064" s="25" t="s">
        <v>2151</v>
      </c>
      <c r="AI1064" s="58"/>
    </row>
    <row r="1065" spans="1:35" ht="16.5" customHeight="1">
      <c r="A1065" s="6" t="s">
        <v>2394</v>
      </c>
      <c r="D1065" s="7">
        <f t="shared" si="31"/>
        <v>0</v>
      </c>
      <c r="E1065" s="7">
        <v>0</v>
      </c>
      <c r="F1065" s="5">
        <v>0</v>
      </c>
      <c r="G1065" s="7">
        <v>0</v>
      </c>
      <c r="H1065" s="5">
        <v>130</v>
      </c>
      <c r="I1065" s="7">
        <v>14937.3</v>
      </c>
      <c r="J1065" s="7">
        <v>0</v>
      </c>
      <c r="K1065" s="5">
        <v>0</v>
      </c>
      <c r="L1065" s="5">
        <v>0</v>
      </c>
      <c r="M1065" s="5">
        <v>0</v>
      </c>
      <c r="N1065" s="7">
        <f t="shared" si="32"/>
        <v>0</v>
      </c>
      <c r="O1065" s="7">
        <v>0</v>
      </c>
      <c r="P1065" s="7">
        <f t="shared" si="33"/>
        <v>0</v>
      </c>
      <c r="Q1065" s="5">
        <v>0</v>
      </c>
      <c r="R1065" s="5">
        <v>0</v>
      </c>
      <c r="S1065" s="7">
        <v>0</v>
      </c>
      <c r="T1065" s="12">
        <v>43291</v>
      </c>
      <c r="U1065" s="4">
        <v>1</v>
      </c>
      <c r="V1065" s="4">
        <v>9</v>
      </c>
      <c r="W1065" s="4">
        <v>9</v>
      </c>
      <c r="X1065" s="45">
        <f t="shared" si="38"/>
        <v>14937.3</v>
      </c>
      <c r="Y1065" s="14" t="s">
        <v>56</v>
      </c>
      <c r="Z1065" s="14" t="s">
        <v>59</v>
      </c>
      <c r="AA1065" s="14" t="str">
        <f>IFERROR(VLOOKUP(A1065,'[2]UPDATE BILL 2018'!$B:$P,15,0),IFERROR(VLOOKUP(A1065,'[2]UPDATE BILL 2018'!$C:$P,14,0),IFERROR(VLOOKUP(A1065,'[2]UPDATE BILL 2018'!$D:$P,13,0),IFERROR(VLOOKUP(A1065,'[2]UPDATE BILL 2018'!$E:$P,12,0),IFERROR(VLOOKUP(A1065,'[2]UPDATE BILL 2018'!$F:$P,11,0),IFERROR(VLOOKUP(A1065,'[2]UPDATE BILL 2018'!$G:$P,10,0),IFERROR(VLOOKUP(A1065,'[2]UPDATE BILL 2018'!$H:$P,9,0),IFERROR(VLOOKUP(A1065,'[2]UPDATE BILL 2018'!$I:$P,8,0),VLOOKUP(A1065,'[2]UPDATE BILL 2018'!$B:$P,15,0)))))))))</f>
        <v>1008X03548</v>
      </c>
      <c r="AB1065" s="44">
        <f>IFERROR(VLOOKUP(A1065,'[2]UPDATE BILL 2018'!$B:$T,19,0),IFERROR(VLOOKUP(A1065,'[2]UPDATE BILL 2018'!$C:$T,18,0),IFERROR(VLOOKUP(A1065,'[2]UPDATE BILL 2018'!$D:$T,17,0),IFERROR(VLOOKUP(A1065,'[2]UPDATE BILL 2018'!$E:$T,16,0),IFERROR(VLOOKUP(A1065,'[2]UPDATE BILL 2018'!$F:$T,15,0),IFERROR(VLOOKUP(A1065,'[2]UPDATE BILL 2018'!$G:$T,14,0),IFERROR(VLOOKUP(A1065,'[2]UPDATE BILL 2018'!$H:$T,13,0),IFERROR(VLOOKUP(A1065,'[2]UPDATE BILL 2018'!$I:$T,12,0),VLOOKUP(A1065,'[2]UPDATE BILL 2018'!$B:$T,19,0)))))))))</f>
        <v>43300</v>
      </c>
      <c r="AC1065" s="44" t="str">
        <f>IFERROR(VLOOKUP(A1065,'[2]UPDATE BILL 2018'!$B:$V,21,0),IFERROR(VLOOKUP(A1065,'[2]UPDATE BILL 2018'!$C:$V,20,0),IFERROR(VLOOKUP(A1065,'[2]UPDATE BILL 2018'!$D:$V,19,0),IFERROR(VLOOKUP(A1065,'[2]UPDATE BILL 2018'!$E:$V,18,0),IFERROR(VLOOKUP(A1065,'[2]UPDATE BILL 2018'!$F:$V,17,0),IFERROR(VLOOKUP(A1065,'[2]UPDATE BILL 2018'!$G:$V,16,0),IFERROR(VLOOKUP(A1065,'[2]UPDATE BILL 2018'!$H:$V,15,0),IFERROR(VLOOKUP(A1065,'[2]UPDATE BILL 2018'!$I:$V,14,0),VLOOKUP(A1065,'[2]UPDATE BILL 2018'!$B:$V,21,0)))))))))</f>
        <v xml:space="preserve">WAN HAI 213  N331  </v>
      </c>
      <c r="AD1065" s="29" t="s">
        <v>52</v>
      </c>
      <c r="AE1065" s="24" t="s">
        <v>2401</v>
      </c>
      <c r="AF1065" s="25" t="s">
        <v>1271</v>
      </c>
      <c r="AI1065" s="58"/>
    </row>
    <row r="1066" spans="1:35" ht="16.5" customHeight="1">
      <c r="A1066" s="6" t="s">
        <v>2395</v>
      </c>
      <c r="B1066" s="5">
        <v>183</v>
      </c>
      <c r="C1066" s="7">
        <v>14814.3</v>
      </c>
      <c r="D1066" s="7">
        <f t="shared" si="31"/>
        <v>0</v>
      </c>
      <c r="E1066" s="7">
        <v>0</v>
      </c>
      <c r="F1066" s="5">
        <v>0</v>
      </c>
      <c r="G1066" s="7">
        <v>0</v>
      </c>
      <c r="H1066" s="5">
        <v>180</v>
      </c>
      <c r="I1066" s="7">
        <v>6362.5</v>
      </c>
      <c r="J1066" s="7">
        <v>0</v>
      </c>
      <c r="K1066" s="5">
        <v>0</v>
      </c>
      <c r="L1066" s="5">
        <v>0</v>
      </c>
      <c r="M1066" s="5">
        <v>222</v>
      </c>
      <c r="N1066" s="7">
        <f t="shared" si="32"/>
        <v>222</v>
      </c>
      <c r="O1066" s="7">
        <v>32249.1</v>
      </c>
      <c r="P1066" s="7">
        <f t="shared" si="33"/>
        <v>55</v>
      </c>
      <c r="Q1066" s="5">
        <v>0</v>
      </c>
      <c r="R1066" s="5">
        <v>55</v>
      </c>
      <c r="S1066" s="7">
        <v>2757.7</v>
      </c>
      <c r="T1066" s="12">
        <v>43291</v>
      </c>
      <c r="U1066" s="4">
        <v>5</v>
      </c>
      <c r="V1066" s="4">
        <v>9</v>
      </c>
      <c r="W1066" s="4">
        <v>9</v>
      </c>
      <c r="X1066" s="45">
        <f t="shared" si="34"/>
        <v>56183.599999999991</v>
      </c>
      <c r="Y1066" s="14" t="s">
        <v>58</v>
      </c>
      <c r="Z1066" s="14" t="s">
        <v>1355</v>
      </c>
      <c r="AA1066" s="14" t="str">
        <f>IFERROR(VLOOKUP(A1066,'[2]UPDATE BILL 2018'!$B:$P,15,0),IFERROR(VLOOKUP(A1066,'[2]UPDATE BILL 2018'!$C:$P,14,0),IFERROR(VLOOKUP(A1066,'[2]UPDATE BILL 2018'!$D:$P,13,0),IFERROR(VLOOKUP(A1066,'[2]UPDATE BILL 2018'!$E:$P,12,0),IFERROR(VLOOKUP(A1066,'[2]UPDATE BILL 2018'!$F:$P,11,0),IFERROR(VLOOKUP(A1066,'[2]UPDATE BILL 2018'!$G:$P,10,0),IFERROR(VLOOKUP(A1066,'[2]UPDATE BILL 2018'!$H:$P,9,0),IFERROR(VLOOKUP(A1066,'[2]UPDATE BILL 2018'!$I:$P,8,0),VLOOKUP(A1066,'[2]UPDATE BILL 2018'!$B:$P,15,0)))))))))</f>
        <v>EGLV237800198117</v>
      </c>
      <c r="AB1066" s="44">
        <f>IFERROR(VLOOKUP(A1066,'[2]UPDATE BILL 2018'!$B:$T,19,0),IFERROR(VLOOKUP(A1066,'[2]UPDATE BILL 2018'!$C:$T,18,0),IFERROR(VLOOKUP(A1066,'[2]UPDATE BILL 2018'!$D:$T,17,0),IFERROR(VLOOKUP(A1066,'[2]UPDATE BILL 2018'!$E:$T,16,0),IFERROR(VLOOKUP(A1066,'[2]UPDATE BILL 2018'!$F:$T,15,0),IFERROR(VLOOKUP(A1066,'[2]UPDATE BILL 2018'!$G:$T,14,0),IFERROR(VLOOKUP(A1066,'[2]UPDATE BILL 2018'!$H:$T,13,0),IFERROR(VLOOKUP(A1066,'[2]UPDATE BILL 2018'!$I:$T,12,0),VLOOKUP(A1066,'[2]UPDATE BILL 2018'!$B:$T,19,0)))))))))</f>
        <v>43295</v>
      </c>
      <c r="AC1066" s="44" t="str">
        <f>IFERROR(VLOOKUP(A1066,'[2]UPDATE BILL 2018'!$B:$V,21,0),IFERROR(VLOOKUP(A1066,'[2]UPDATE BILL 2018'!$C:$V,20,0),IFERROR(VLOOKUP(A1066,'[2]UPDATE BILL 2018'!$D:$V,19,0),IFERROR(VLOOKUP(A1066,'[2]UPDATE BILL 2018'!$E:$V,18,0),IFERROR(VLOOKUP(A1066,'[2]UPDATE BILL 2018'!$F:$V,17,0),IFERROR(VLOOKUP(A1066,'[2]UPDATE BILL 2018'!$G:$V,16,0),IFERROR(VLOOKUP(A1066,'[2]UPDATE BILL 2018'!$H:$V,15,0),IFERROR(VLOOKUP(A1066,'[2]UPDATE BILL 2018'!$I:$V,14,0),VLOOKUP(A1066,'[2]UPDATE BILL 2018'!$B:$V,21,0)))))))))</f>
        <v>UNI-ACCORD 0586-559N</v>
      </c>
      <c r="AD1066" s="29" t="s">
        <v>51</v>
      </c>
      <c r="AE1066" s="24" t="s">
        <v>2402</v>
      </c>
      <c r="AF1066" s="25" t="s">
        <v>1270</v>
      </c>
      <c r="AI1066" s="58"/>
    </row>
    <row r="1067" spans="1:35" ht="16.5" customHeight="1">
      <c r="A1067" s="6" t="s">
        <v>2396</v>
      </c>
      <c r="B1067" s="5">
        <v>520</v>
      </c>
      <c r="C1067" s="7">
        <v>58285.8</v>
      </c>
      <c r="D1067" s="7">
        <f t="shared" si="31"/>
        <v>0</v>
      </c>
      <c r="E1067" s="7">
        <v>0</v>
      </c>
      <c r="F1067" s="5">
        <v>0</v>
      </c>
      <c r="G1067" s="7">
        <v>0</v>
      </c>
      <c r="H1067" s="5">
        <v>100</v>
      </c>
      <c r="I1067" s="7">
        <v>13506.3</v>
      </c>
      <c r="J1067" s="7">
        <v>0</v>
      </c>
      <c r="K1067" s="5">
        <v>0</v>
      </c>
      <c r="L1067" s="5">
        <v>0</v>
      </c>
      <c r="M1067" s="5">
        <v>0</v>
      </c>
      <c r="N1067" s="7">
        <f t="shared" si="32"/>
        <v>0</v>
      </c>
      <c r="O1067" s="7">
        <v>0</v>
      </c>
      <c r="P1067" s="7">
        <f t="shared" si="33"/>
        <v>0</v>
      </c>
      <c r="Q1067" s="5">
        <v>0</v>
      </c>
      <c r="R1067" s="5">
        <v>0</v>
      </c>
      <c r="S1067" s="7">
        <v>0</v>
      </c>
      <c r="T1067" s="12">
        <v>43291</v>
      </c>
      <c r="U1067" s="4">
        <v>6</v>
      </c>
      <c r="V1067" s="4">
        <v>9</v>
      </c>
      <c r="W1067" s="4">
        <v>9</v>
      </c>
      <c r="X1067" s="45">
        <f t="shared" si="34"/>
        <v>71792.100000000006</v>
      </c>
      <c r="Y1067" s="14" t="s">
        <v>56</v>
      </c>
      <c r="Z1067" s="14" t="s">
        <v>59</v>
      </c>
      <c r="AA1067" s="14" t="str">
        <f>IFERROR(VLOOKUP(A1067,'[2]UPDATE BILL 2018'!$B:$P,15,0),IFERROR(VLOOKUP(A1067,'[2]UPDATE BILL 2018'!$C:$P,14,0),IFERROR(VLOOKUP(A1067,'[2]UPDATE BILL 2018'!$D:$P,13,0),IFERROR(VLOOKUP(A1067,'[2]UPDATE BILL 2018'!$E:$P,12,0),IFERROR(VLOOKUP(A1067,'[2]UPDATE BILL 2018'!$F:$P,11,0),IFERROR(VLOOKUP(A1067,'[2]UPDATE BILL 2018'!$G:$P,10,0),IFERROR(VLOOKUP(A1067,'[2]UPDATE BILL 2018'!$H:$P,9,0),IFERROR(VLOOKUP(A1067,'[2]UPDATE BILL 2018'!$I:$P,8,0),VLOOKUP(A1067,'[2]UPDATE BILL 2018'!$B:$P,15,0)))))))))</f>
        <v>1008X03531</v>
      </c>
      <c r="AB1067" s="44">
        <f>IFERROR(VLOOKUP(A1067,'[2]UPDATE BILL 2018'!$B:$T,19,0),IFERROR(VLOOKUP(A1067,'[2]UPDATE BILL 2018'!$C:$T,18,0),IFERROR(VLOOKUP(A1067,'[2]UPDATE BILL 2018'!$D:$T,17,0),IFERROR(VLOOKUP(A1067,'[2]UPDATE BILL 2018'!$E:$T,16,0),IFERROR(VLOOKUP(A1067,'[2]UPDATE BILL 2018'!$F:$T,15,0),IFERROR(VLOOKUP(A1067,'[2]UPDATE BILL 2018'!$G:$T,14,0),IFERROR(VLOOKUP(A1067,'[2]UPDATE BILL 2018'!$H:$T,13,0),IFERROR(VLOOKUP(A1067,'[2]UPDATE BILL 2018'!$I:$T,12,0),VLOOKUP(A1067,'[2]UPDATE BILL 2018'!$B:$T,19,0)))))))))</f>
        <v>43299</v>
      </c>
      <c r="AC1067" s="44" t="str">
        <f>IFERROR(VLOOKUP(A1067,'[2]UPDATE BILL 2018'!$B:$V,21,0),IFERROR(VLOOKUP(A1067,'[2]UPDATE BILL 2018'!$C:$V,20,0),IFERROR(VLOOKUP(A1067,'[2]UPDATE BILL 2018'!$D:$V,19,0),IFERROR(VLOOKUP(A1067,'[2]UPDATE BILL 2018'!$E:$V,18,0),IFERROR(VLOOKUP(A1067,'[2]UPDATE BILL 2018'!$F:$V,17,0),IFERROR(VLOOKUP(A1067,'[2]UPDATE BILL 2018'!$G:$V,16,0),IFERROR(VLOOKUP(A1067,'[2]UPDATE BILL 2018'!$H:$V,15,0),IFERROR(VLOOKUP(A1067,'[2]UPDATE BILL 2018'!$I:$V,14,0),VLOOKUP(A1067,'[2]UPDATE BILL 2018'!$B:$V,21,0)))))))))</f>
        <v>AS FRIDA N005</v>
      </c>
      <c r="AD1067" s="29" t="s">
        <v>51</v>
      </c>
      <c r="AE1067" s="24" t="s">
        <v>2403</v>
      </c>
      <c r="AF1067" s="25" t="s">
        <v>1270</v>
      </c>
      <c r="AI1067" s="58"/>
    </row>
    <row r="1068" spans="1:35" ht="16.5" customHeight="1">
      <c r="A1068" s="6" t="s">
        <v>2379</v>
      </c>
      <c r="B1068" s="5">
        <v>149</v>
      </c>
      <c r="C1068" s="7">
        <v>13481.079999999998</v>
      </c>
      <c r="D1068" s="7">
        <f t="shared" si="31"/>
        <v>0</v>
      </c>
      <c r="E1068" s="7">
        <v>0</v>
      </c>
      <c r="F1068" s="5">
        <v>0</v>
      </c>
      <c r="G1068" s="7">
        <v>0</v>
      </c>
      <c r="H1068" s="5">
        <v>0</v>
      </c>
      <c r="I1068" s="7">
        <v>0</v>
      </c>
      <c r="J1068" s="7">
        <v>0</v>
      </c>
      <c r="K1068" s="5">
        <v>0</v>
      </c>
      <c r="L1068" s="5">
        <v>0</v>
      </c>
      <c r="M1068" s="5">
        <v>101</v>
      </c>
      <c r="N1068" s="7">
        <f t="shared" si="32"/>
        <v>101</v>
      </c>
      <c r="O1068" s="7">
        <v>20523.7</v>
      </c>
      <c r="P1068" s="7">
        <f t="shared" si="33"/>
        <v>0</v>
      </c>
      <c r="Q1068" s="5">
        <v>0</v>
      </c>
      <c r="R1068" s="5">
        <v>0</v>
      </c>
      <c r="S1068" s="7">
        <v>0</v>
      </c>
      <c r="T1068" s="12">
        <v>43291</v>
      </c>
      <c r="U1068" s="4">
        <v>3</v>
      </c>
      <c r="V1068" s="4">
        <v>9</v>
      </c>
      <c r="W1068" s="4">
        <v>9</v>
      </c>
      <c r="X1068" s="45">
        <f t="shared" si="34"/>
        <v>34004.78</v>
      </c>
      <c r="Y1068" s="14" t="s">
        <v>54</v>
      </c>
      <c r="Z1068" s="14" t="s">
        <v>59</v>
      </c>
      <c r="AA1068" s="14" t="str">
        <f>IFERROR(VLOOKUP(A1068,'[2]UPDATE BILL 2018'!$B:$P,15,0),IFERROR(VLOOKUP(A1068,'[2]UPDATE BILL 2018'!$C:$P,14,0),IFERROR(VLOOKUP(A1068,'[2]UPDATE BILL 2018'!$D:$P,13,0),IFERROR(VLOOKUP(A1068,'[2]UPDATE BILL 2018'!$E:$P,12,0),IFERROR(VLOOKUP(A1068,'[2]UPDATE BILL 2018'!$F:$P,11,0),IFERROR(VLOOKUP(A1068,'[2]UPDATE BILL 2018'!$G:$P,10,0),IFERROR(VLOOKUP(A1068,'[2]UPDATE BILL 2018'!$H:$P,9,0),IFERROR(VLOOKUP(A1068,'[2]UPDATE BILL 2018'!$I:$P,8,0),VLOOKUP(A1068,'[2]UPDATE BILL 2018'!$B:$P,15,0)))))))))</f>
        <v>SITWHPKW171069</v>
      </c>
      <c r="AB1068" s="44">
        <f>IFERROR(VLOOKUP(A1068,'[2]UPDATE BILL 2018'!$B:$T,19,0),IFERROR(VLOOKUP(A1068,'[2]UPDATE BILL 2018'!$C:$T,18,0),IFERROR(VLOOKUP(A1068,'[2]UPDATE BILL 2018'!$D:$T,17,0),IFERROR(VLOOKUP(A1068,'[2]UPDATE BILL 2018'!$E:$T,16,0),IFERROR(VLOOKUP(A1068,'[2]UPDATE BILL 2018'!$F:$T,15,0),IFERROR(VLOOKUP(A1068,'[2]UPDATE BILL 2018'!$G:$T,14,0),IFERROR(VLOOKUP(A1068,'[2]UPDATE BILL 2018'!$H:$T,13,0),IFERROR(VLOOKUP(A1068,'[2]UPDATE BILL 2018'!$I:$T,12,0),VLOOKUP(A1068,'[2]UPDATE BILL 2018'!$B:$T,19,0)))))))))</f>
        <v>43296</v>
      </c>
      <c r="AC1068" s="44" t="str">
        <f>IFERROR(VLOOKUP(A1068,'[2]UPDATE BILL 2018'!$B:$V,21,0),IFERROR(VLOOKUP(A1068,'[2]UPDATE BILL 2018'!$C:$V,20,0),IFERROR(VLOOKUP(A1068,'[2]UPDATE BILL 2018'!$D:$V,19,0),IFERROR(VLOOKUP(A1068,'[2]UPDATE BILL 2018'!$E:$V,18,0),IFERROR(VLOOKUP(A1068,'[2]UPDATE BILL 2018'!$F:$V,17,0),IFERROR(VLOOKUP(A1068,'[2]UPDATE BILL 2018'!$G:$V,16,0),IFERROR(VLOOKUP(A1068,'[2]UPDATE BILL 2018'!$H:$V,15,0),IFERROR(VLOOKUP(A1068,'[2]UPDATE BILL 2018'!$I:$V,14,0),VLOOKUP(A1068,'[2]UPDATE BILL 2018'!$B:$V,21,0)))))))))</f>
        <v>HYUNDAI HARMONY 1829N</v>
      </c>
      <c r="AD1068" s="29" t="s">
        <v>50</v>
      </c>
      <c r="AE1068" s="24" t="s">
        <v>2404</v>
      </c>
      <c r="AF1068" s="25" t="s">
        <v>1269</v>
      </c>
      <c r="AI1068" s="58"/>
    </row>
    <row r="1069" spans="1:35" ht="16.5" customHeight="1">
      <c r="A1069" s="6" t="s">
        <v>2380</v>
      </c>
      <c r="B1069" s="5">
        <v>238</v>
      </c>
      <c r="C1069" s="7">
        <v>27309.650000000005</v>
      </c>
      <c r="D1069" s="7">
        <f t="shared" si="31"/>
        <v>0</v>
      </c>
      <c r="E1069" s="7">
        <v>0</v>
      </c>
      <c r="F1069" s="5">
        <v>0</v>
      </c>
      <c r="G1069" s="7">
        <v>0</v>
      </c>
      <c r="H1069" s="5">
        <v>180</v>
      </c>
      <c r="I1069" s="7">
        <v>5411</v>
      </c>
      <c r="J1069" s="7">
        <v>0</v>
      </c>
      <c r="K1069" s="5">
        <v>0</v>
      </c>
      <c r="L1069" s="5">
        <v>0</v>
      </c>
      <c r="M1069" s="5">
        <v>221</v>
      </c>
      <c r="N1069" s="7">
        <f t="shared" si="32"/>
        <v>221</v>
      </c>
      <c r="O1069" s="7">
        <v>33575.899999999994</v>
      </c>
      <c r="P1069" s="7">
        <f t="shared" si="33"/>
        <v>50</v>
      </c>
      <c r="Q1069" s="5">
        <v>0</v>
      </c>
      <c r="R1069" s="5">
        <v>50</v>
      </c>
      <c r="S1069" s="7">
        <v>2501.6</v>
      </c>
      <c r="T1069" s="12">
        <v>43291</v>
      </c>
      <c r="U1069" s="4">
        <v>6</v>
      </c>
      <c r="V1069" s="4">
        <v>9</v>
      </c>
      <c r="W1069" s="4">
        <v>9</v>
      </c>
      <c r="X1069" s="45">
        <f t="shared" si="34"/>
        <v>68798.150000000009</v>
      </c>
      <c r="Y1069" s="14" t="s">
        <v>54</v>
      </c>
      <c r="Z1069" s="14" t="s">
        <v>1281</v>
      </c>
      <c r="AA1069" s="14" t="str">
        <f>IFERROR(VLOOKUP(A1069,'[2]UPDATE BILL 2018'!$B:$P,15,0),IFERROR(VLOOKUP(A1069,'[2]UPDATE BILL 2018'!$C:$P,14,0),IFERROR(VLOOKUP(A1069,'[2]UPDATE BILL 2018'!$D:$P,13,0),IFERROR(VLOOKUP(A1069,'[2]UPDATE BILL 2018'!$E:$P,12,0),IFERROR(VLOOKUP(A1069,'[2]UPDATE BILL 2018'!$F:$P,11,0),IFERROR(VLOOKUP(A1069,'[2]UPDATE BILL 2018'!$G:$P,10,0),IFERROR(VLOOKUP(A1069,'[2]UPDATE BILL 2018'!$H:$P,9,0),IFERROR(VLOOKUP(A1069,'[2]UPDATE BILL 2018'!$I:$P,8,0),VLOOKUP(A1069,'[2]UPDATE BILL 2018'!$B:$P,15,0)))))))))</f>
        <v>SITWHPKW171072</v>
      </c>
      <c r="AB1069" s="44">
        <f>IFERROR(VLOOKUP(A1069,'[2]UPDATE BILL 2018'!$B:$T,19,0),IFERROR(VLOOKUP(A1069,'[2]UPDATE BILL 2018'!$C:$T,18,0),IFERROR(VLOOKUP(A1069,'[2]UPDATE BILL 2018'!$D:$T,17,0),IFERROR(VLOOKUP(A1069,'[2]UPDATE BILL 2018'!$E:$T,16,0),IFERROR(VLOOKUP(A1069,'[2]UPDATE BILL 2018'!$F:$T,15,0),IFERROR(VLOOKUP(A1069,'[2]UPDATE BILL 2018'!$G:$T,14,0),IFERROR(VLOOKUP(A1069,'[2]UPDATE BILL 2018'!$H:$T,13,0),IFERROR(VLOOKUP(A1069,'[2]UPDATE BILL 2018'!$I:$T,12,0),VLOOKUP(A1069,'[2]UPDATE BILL 2018'!$B:$T,19,0)))))))))</f>
        <v>43300</v>
      </c>
      <c r="AC1069" s="44" t="str">
        <f>IFERROR(VLOOKUP(A1069,'[2]UPDATE BILL 2018'!$B:$V,21,0),IFERROR(VLOOKUP(A1069,'[2]UPDATE BILL 2018'!$C:$V,20,0),IFERROR(VLOOKUP(A1069,'[2]UPDATE BILL 2018'!$D:$V,19,0),IFERROR(VLOOKUP(A1069,'[2]UPDATE BILL 2018'!$E:$V,18,0),IFERROR(VLOOKUP(A1069,'[2]UPDATE BILL 2018'!$F:$V,17,0),IFERROR(VLOOKUP(A1069,'[2]UPDATE BILL 2018'!$G:$V,16,0),IFERROR(VLOOKUP(A1069,'[2]UPDATE BILL 2018'!$H:$V,15,0),IFERROR(VLOOKUP(A1069,'[2]UPDATE BILL 2018'!$I:$V,14,0),VLOOKUP(A1069,'[2]UPDATE BILL 2018'!$B:$V,21,0)))))))))</f>
        <v>SITC OSAKA 1821N</v>
      </c>
      <c r="AD1069" s="29" t="s">
        <v>50</v>
      </c>
      <c r="AE1069" s="24" t="s">
        <v>2405</v>
      </c>
      <c r="AF1069" s="25" t="s">
        <v>1269</v>
      </c>
      <c r="AI1069" s="58"/>
    </row>
    <row r="1070" spans="1:35" ht="16.5" customHeight="1">
      <c r="A1070" s="6" t="s">
        <v>2397</v>
      </c>
      <c r="D1070" s="7">
        <f t="shared" si="31"/>
        <v>0</v>
      </c>
      <c r="E1070" s="7">
        <v>0</v>
      </c>
      <c r="F1070" s="5">
        <v>0</v>
      </c>
      <c r="G1070" s="7">
        <v>0</v>
      </c>
      <c r="H1070" s="5">
        <v>0</v>
      </c>
      <c r="I1070" s="7">
        <v>0</v>
      </c>
      <c r="J1070" s="7">
        <v>0</v>
      </c>
      <c r="K1070" s="5">
        <v>0</v>
      </c>
      <c r="L1070" s="5">
        <v>0</v>
      </c>
      <c r="M1070" s="5">
        <v>0</v>
      </c>
      <c r="N1070" s="7">
        <f t="shared" si="32"/>
        <v>0</v>
      </c>
      <c r="O1070" s="7">
        <v>0</v>
      </c>
      <c r="P1070" s="7">
        <f t="shared" si="33"/>
        <v>210</v>
      </c>
      <c r="Q1070" s="5">
        <v>0</v>
      </c>
      <c r="R1070" s="5">
        <v>210</v>
      </c>
      <c r="S1070" s="7">
        <v>21594</v>
      </c>
      <c r="T1070" s="12">
        <v>43291</v>
      </c>
      <c r="U1070" s="4">
        <v>1</v>
      </c>
      <c r="V1070" s="4">
        <v>9</v>
      </c>
      <c r="W1070" s="4">
        <v>9</v>
      </c>
      <c r="X1070" s="45">
        <f t="shared" si="34"/>
        <v>21594</v>
      </c>
      <c r="Y1070" s="14" t="s">
        <v>1633</v>
      </c>
      <c r="Z1070" s="14" t="s">
        <v>1492</v>
      </c>
      <c r="AA1070" s="14" t="str">
        <f>IFERROR(VLOOKUP(A1070,'[2]UPDATE BILL 2018'!$B:$P,15,0),IFERROR(VLOOKUP(A1070,'[2]UPDATE BILL 2018'!$C:$P,14,0),IFERROR(VLOOKUP(A1070,'[2]UPDATE BILL 2018'!$D:$P,13,0),IFERROR(VLOOKUP(A1070,'[2]UPDATE BILL 2018'!$E:$P,12,0),IFERROR(VLOOKUP(A1070,'[2]UPDATE BILL 2018'!$F:$P,11,0),IFERROR(VLOOKUP(A1070,'[2]UPDATE BILL 2018'!$G:$P,10,0),IFERROR(VLOOKUP(A1070,'[2]UPDATE BILL 2018'!$H:$P,9,0),IFERROR(VLOOKUP(A1070,'[2]UPDATE BILL 2018'!$I:$P,8,0),VLOOKUP(A1070,'[2]UPDATE BILL 2018'!$B:$P,15,0)))))))))</f>
        <v>KMTCHPH0567036</v>
      </c>
      <c r="AB1070" s="44">
        <f>IFERROR(VLOOKUP(A1070,'[2]UPDATE BILL 2018'!$B:$T,19,0),IFERROR(VLOOKUP(A1070,'[2]UPDATE BILL 2018'!$C:$T,18,0),IFERROR(VLOOKUP(A1070,'[2]UPDATE BILL 2018'!$D:$T,17,0),IFERROR(VLOOKUP(A1070,'[2]UPDATE BILL 2018'!$E:$T,16,0),IFERROR(VLOOKUP(A1070,'[2]UPDATE BILL 2018'!$F:$T,15,0),IFERROR(VLOOKUP(A1070,'[2]UPDATE BILL 2018'!$G:$T,14,0),IFERROR(VLOOKUP(A1070,'[2]UPDATE BILL 2018'!$H:$T,13,0),IFERROR(VLOOKUP(A1070,'[2]UPDATE BILL 2018'!$I:$T,12,0),VLOOKUP(A1070,'[2]UPDATE BILL 2018'!$B:$T,19,0)))))))))</f>
        <v>43297</v>
      </c>
      <c r="AC1070" s="44" t="str">
        <f>IFERROR(VLOOKUP(A1070,'[2]UPDATE BILL 2018'!$B:$V,21,0),IFERROR(VLOOKUP(A1070,'[2]UPDATE BILL 2018'!$C:$V,20,0),IFERROR(VLOOKUP(A1070,'[2]UPDATE BILL 2018'!$D:$V,19,0),IFERROR(VLOOKUP(A1070,'[2]UPDATE BILL 2018'!$E:$V,18,0),IFERROR(VLOOKUP(A1070,'[2]UPDATE BILL 2018'!$F:$V,17,0),IFERROR(VLOOKUP(A1070,'[2]UPDATE BILL 2018'!$G:$V,16,0),IFERROR(VLOOKUP(A1070,'[2]UPDATE BILL 2018'!$H:$V,15,0),IFERROR(VLOOKUP(A1070,'[2]UPDATE BILL 2018'!$I:$V,14,0),VLOOKUP(A1070,'[2]UPDATE BILL 2018'!$B:$V,21,0)))))))))</f>
        <v>HONGKONG VOYAGER 0079N</v>
      </c>
      <c r="AD1070" s="29" t="s">
        <v>70</v>
      </c>
      <c r="AE1070" s="24" t="s">
        <v>2406</v>
      </c>
      <c r="AF1070" s="25" t="s">
        <v>2177</v>
      </c>
      <c r="AI1070" s="58"/>
    </row>
    <row r="1071" spans="1:35" ht="16.5" customHeight="1">
      <c r="A1071" s="6" t="s">
        <v>2398</v>
      </c>
      <c r="D1071" s="7">
        <f t="shared" si="31"/>
        <v>0</v>
      </c>
      <c r="E1071" s="7">
        <v>0</v>
      </c>
      <c r="F1071" s="5">
        <v>0</v>
      </c>
      <c r="G1071" s="7">
        <v>0</v>
      </c>
      <c r="H1071" s="5">
        <v>0</v>
      </c>
      <c r="I1071" s="7">
        <v>0</v>
      </c>
      <c r="J1071" s="7">
        <v>0</v>
      </c>
      <c r="K1071" s="5">
        <v>0</v>
      </c>
      <c r="L1071" s="5">
        <v>0</v>
      </c>
      <c r="M1071" s="5">
        <v>0</v>
      </c>
      <c r="N1071" s="7">
        <f t="shared" si="32"/>
        <v>0</v>
      </c>
      <c r="O1071" s="7">
        <v>0</v>
      </c>
      <c r="P1071" s="7">
        <f t="shared" si="33"/>
        <v>105</v>
      </c>
      <c r="Q1071" s="5">
        <v>0</v>
      </c>
      <c r="R1071" s="5">
        <v>105</v>
      </c>
      <c r="S1071" s="7">
        <v>13632</v>
      </c>
      <c r="T1071" s="12">
        <v>43291</v>
      </c>
      <c r="U1071" s="4">
        <v>1</v>
      </c>
      <c r="V1071" s="4">
        <v>9</v>
      </c>
      <c r="W1071" s="4">
        <v>9</v>
      </c>
      <c r="X1071" s="45">
        <f t="shared" si="34"/>
        <v>13632</v>
      </c>
      <c r="Y1071" s="14" t="s">
        <v>54</v>
      </c>
      <c r="Z1071" s="14" t="s">
        <v>57</v>
      </c>
      <c r="AA1071" s="14" t="str">
        <f>IFERROR(VLOOKUP(A1071,'[2]UPDATE BILL 2018'!$B:$P,15,0),IFERROR(VLOOKUP(A1071,'[2]UPDATE BILL 2018'!$C:$P,14,0),IFERROR(VLOOKUP(A1071,'[2]UPDATE BILL 2018'!$D:$P,13,0),IFERROR(VLOOKUP(A1071,'[2]UPDATE BILL 2018'!$E:$P,12,0),IFERROR(VLOOKUP(A1071,'[2]UPDATE BILL 2018'!$F:$P,11,0),IFERROR(VLOOKUP(A1071,'[2]UPDATE BILL 2018'!$G:$P,10,0),IFERROR(VLOOKUP(A1071,'[2]UPDATE BILL 2018'!$H:$P,9,0),IFERROR(VLOOKUP(A1071,'[2]UPDATE BILL 2018'!$I:$P,8,0),VLOOKUP(A1071,'[2]UPDATE BILL 2018'!$B:$P,15,0)))))))))</f>
        <v>SITWHPTK171624</v>
      </c>
      <c r="AB1071" s="44">
        <f>IFERROR(VLOOKUP(A1071,'[2]UPDATE BILL 2018'!$B:$T,19,0),IFERROR(VLOOKUP(A1071,'[2]UPDATE BILL 2018'!$C:$T,18,0),IFERROR(VLOOKUP(A1071,'[2]UPDATE BILL 2018'!$D:$T,17,0),IFERROR(VLOOKUP(A1071,'[2]UPDATE BILL 2018'!$E:$T,16,0),IFERROR(VLOOKUP(A1071,'[2]UPDATE BILL 2018'!$F:$T,15,0),IFERROR(VLOOKUP(A1071,'[2]UPDATE BILL 2018'!$G:$T,14,0),IFERROR(VLOOKUP(A1071,'[2]UPDATE BILL 2018'!$H:$T,13,0),IFERROR(VLOOKUP(A1071,'[2]UPDATE BILL 2018'!$I:$T,12,0),VLOOKUP(A1071,'[2]UPDATE BILL 2018'!$B:$T,19,0)))))))))</f>
        <v>43300</v>
      </c>
      <c r="AC1071" s="44" t="str">
        <f>IFERROR(VLOOKUP(A1071,'[2]UPDATE BILL 2018'!$B:$V,21,0),IFERROR(VLOOKUP(A1071,'[2]UPDATE BILL 2018'!$C:$V,20,0),IFERROR(VLOOKUP(A1071,'[2]UPDATE BILL 2018'!$D:$V,19,0),IFERROR(VLOOKUP(A1071,'[2]UPDATE BILL 2018'!$E:$V,18,0),IFERROR(VLOOKUP(A1071,'[2]UPDATE BILL 2018'!$F:$V,17,0),IFERROR(VLOOKUP(A1071,'[2]UPDATE BILL 2018'!$G:$V,16,0),IFERROR(VLOOKUP(A1071,'[2]UPDATE BILL 2018'!$H:$V,15,0),IFERROR(VLOOKUP(A1071,'[2]UPDATE BILL 2018'!$I:$V,14,0),VLOOKUP(A1071,'[2]UPDATE BILL 2018'!$B:$V,21,0)))))))))</f>
        <v>SITC OSAKA 1821N</v>
      </c>
      <c r="AD1071" s="29" t="s">
        <v>49</v>
      </c>
      <c r="AE1071" s="24" t="s">
        <v>2407</v>
      </c>
      <c r="AF1071" s="25" t="s">
        <v>2172</v>
      </c>
      <c r="AI1071" s="58"/>
    </row>
    <row r="1072" spans="1:35" ht="16.5" customHeight="1">
      <c r="A1072" s="6" t="s">
        <v>2382</v>
      </c>
      <c r="D1072" s="7">
        <f t="shared" si="31"/>
        <v>0</v>
      </c>
      <c r="E1072" s="7">
        <v>0</v>
      </c>
      <c r="F1072" s="5">
        <v>0</v>
      </c>
      <c r="G1072" s="7">
        <v>0</v>
      </c>
      <c r="H1072" s="5">
        <v>0</v>
      </c>
      <c r="I1072" s="7">
        <v>0</v>
      </c>
      <c r="J1072" s="7">
        <v>0</v>
      </c>
      <c r="K1072" s="5">
        <v>0</v>
      </c>
      <c r="L1072" s="5">
        <v>0</v>
      </c>
      <c r="M1072" s="5">
        <v>0</v>
      </c>
      <c r="N1072" s="7">
        <f t="shared" si="32"/>
        <v>0</v>
      </c>
      <c r="O1072" s="7">
        <v>0</v>
      </c>
      <c r="P1072" s="7">
        <f t="shared" si="33"/>
        <v>948</v>
      </c>
      <c r="Q1072" s="5">
        <v>0</v>
      </c>
      <c r="R1072" s="5">
        <v>948</v>
      </c>
      <c r="S1072" s="7">
        <v>143812.6</v>
      </c>
      <c r="T1072" s="12">
        <v>43291</v>
      </c>
      <c r="U1072" s="4">
        <v>6</v>
      </c>
      <c r="V1072" s="4">
        <v>9</v>
      </c>
      <c r="W1072" s="4">
        <v>9</v>
      </c>
      <c r="X1072" s="45">
        <f t="shared" si="34"/>
        <v>143812.6</v>
      </c>
      <c r="Y1072" s="14" t="s">
        <v>54</v>
      </c>
      <c r="Z1072" s="14" t="s">
        <v>55</v>
      </c>
      <c r="AA1072" s="14" t="str">
        <f>IFERROR(VLOOKUP(A1072,'[2]UPDATE BILL 2018'!$B:$P,15,0),IFERROR(VLOOKUP(A1072,'[2]UPDATE BILL 2018'!$C:$P,14,0),IFERROR(VLOOKUP(A1072,'[2]UPDATE BILL 2018'!$D:$P,13,0),IFERROR(VLOOKUP(A1072,'[2]UPDATE BILL 2018'!$E:$P,12,0),IFERROR(VLOOKUP(A1072,'[2]UPDATE BILL 2018'!$F:$P,11,0),IFERROR(VLOOKUP(A1072,'[2]UPDATE BILL 2018'!$G:$P,10,0),IFERROR(VLOOKUP(A1072,'[2]UPDATE BILL 2018'!$H:$P,9,0),IFERROR(VLOOKUP(A1072,'[2]UPDATE BILL 2018'!$I:$P,8,0),VLOOKUP(A1072,'[2]UPDATE BILL 2018'!$B:$P,15,0)))))))))</f>
        <v>SITWHPOS171623</v>
      </c>
      <c r="AB1072" s="44">
        <f>IFERROR(VLOOKUP(A1072,'[2]UPDATE BILL 2018'!$B:$T,19,0),IFERROR(VLOOKUP(A1072,'[2]UPDATE BILL 2018'!$C:$T,18,0),IFERROR(VLOOKUP(A1072,'[2]UPDATE BILL 2018'!$D:$T,17,0),IFERROR(VLOOKUP(A1072,'[2]UPDATE BILL 2018'!$E:$T,16,0),IFERROR(VLOOKUP(A1072,'[2]UPDATE BILL 2018'!$F:$T,15,0),IFERROR(VLOOKUP(A1072,'[2]UPDATE BILL 2018'!$G:$T,14,0),IFERROR(VLOOKUP(A1072,'[2]UPDATE BILL 2018'!$H:$T,13,0),IFERROR(VLOOKUP(A1072,'[2]UPDATE BILL 2018'!$I:$T,12,0),VLOOKUP(A1072,'[2]UPDATE BILL 2018'!$B:$T,19,0)))))))))</f>
        <v>43301</v>
      </c>
      <c r="AC1072" s="44" t="str">
        <f>IFERROR(VLOOKUP(A1072,'[2]UPDATE BILL 2018'!$B:$V,21,0),IFERROR(VLOOKUP(A1072,'[2]UPDATE BILL 2018'!$C:$V,20,0),IFERROR(VLOOKUP(A1072,'[2]UPDATE BILL 2018'!$D:$V,19,0),IFERROR(VLOOKUP(A1072,'[2]UPDATE BILL 2018'!$E:$V,18,0),IFERROR(VLOOKUP(A1072,'[2]UPDATE BILL 2018'!$F:$V,17,0),IFERROR(VLOOKUP(A1072,'[2]UPDATE BILL 2018'!$G:$V,16,0),IFERROR(VLOOKUP(A1072,'[2]UPDATE BILL 2018'!$H:$V,15,0),IFERROR(VLOOKUP(A1072,'[2]UPDATE BILL 2018'!$I:$V,14,0),VLOOKUP(A1072,'[2]UPDATE BILL 2018'!$B:$V,21,0)))))))))</f>
        <v>SITC MOJI 1835N</v>
      </c>
      <c r="AD1072" s="29" t="s">
        <v>51</v>
      </c>
      <c r="AE1072" s="24" t="s">
        <v>2408</v>
      </c>
      <c r="AF1072" s="25" t="s">
        <v>2150</v>
      </c>
      <c r="AI1072" s="58"/>
    </row>
    <row r="1073" spans="1:35" ht="16.5" customHeight="1">
      <c r="A1073" s="6" t="s">
        <v>2399</v>
      </c>
      <c r="D1073" s="7">
        <f t="shared" si="31"/>
        <v>0</v>
      </c>
      <c r="E1073" s="7">
        <v>0</v>
      </c>
      <c r="F1073" s="5">
        <v>0</v>
      </c>
      <c r="G1073" s="7">
        <v>0</v>
      </c>
      <c r="H1073" s="5">
        <v>0</v>
      </c>
      <c r="I1073" s="7">
        <v>0</v>
      </c>
      <c r="J1073" s="7">
        <v>0</v>
      </c>
      <c r="K1073" s="5">
        <v>0</v>
      </c>
      <c r="L1073" s="5">
        <v>0</v>
      </c>
      <c r="M1073" s="5">
        <v>0</v>
      </c>
      <c r="N1073" s="7">
        <f t="shared" si="32"/>
        <v>0</v>
      </c>
      <c r="O1073" s="7">
        <v>0</v>
      </c>
      <c r="P1073" s="7">
        <f t="shared" si="33"/>
        <v>1003</v>
      </c>
      <c r="Q1073" s="5">
        <v>0</v>
      </c>
      <c r="R1073" s="5">
        <v>1003</v>
      </c>
      <c r="S1073" s="7">
        <v>126186.7</v>
      </c>
      <c r="T1073" s="12">
        <v>43291</v>
      </c>
      <c r="U1073" s="4">
        <v>7</v>
      </c>
      <c r="V1073" s="4">
        <v>9</v>
      </c>
      <c r="W1073" s="4">
        <v>9</v>
      </c>
      <c r="X1073" s="45">
        <f t="shared" si="34"/>
        <v>126186.7</v>
      </c>
      <c r="Y1073" s="14" t="s">
        <v>56</v>
      </c>
      <c r="Z1073" s="14" t="s">
        <v>1281</v>
      </c>
      <c r="AA1073" s="14" t="str">
        <f>IFERROR(VLOOKUP(A1073,'[2]UPDATE BILL 2018'!$B:$P,15,0),IFERROR(VLOOKUP(A1073,'[2]UPDATE BILL 2018'!$C:$P,14,0),IFERROR(VLOOKUP(A1073,'[2]UPDATE BILL 2018'!$D:$P,13,0),IFERROR(VLOOKUP(A1073,'[2]UPDATE BILL 2018'!$E:$P,12,0),IFERROR(VLOOKUP(A1073,'[2]UPDATE BILL 2018'!$F:$P,11,0),IFERROR(VLOOKUP(A1073,'[2]UPDATE BILL 2018'!$G:$P,10,0),IFERROR(VLOOKUP(A1073,'[2]UPDATE BILL 2018'!$H:$P,9,0),IFERROR(VLOOKUP(A1073,'[2]UPDATE BILL 2018'!$I:$P,8,0),VLOOKUP(A1073,'[2]UPDATE BILL 2018'!$B:$P,15,0)))))))))</f>
        <v>1008X03736</v>
      </c>
      <c r="AB1073" s="44">
        <f>IFERROR(VLOOKUP(A1073,'[2]UPDATE BILL 2018'!$B:$T,19,0),IFERROR(VLOOKUP(A1073,'[2]UPDATE BILL 2018'!$C:$T,18,0),IFERROR(VLOOKUP(A1073,'[2]UPDATE BILL 2018'!$D:$T,17,0),IFERROR(VLOOKUP(A1073,'[2]UPDATE BILL 2018'!$E:$T,16,0),IFERROR(VLOOKUP(A1073,'[2]UPDATE BILL 2018'!$F:$T,15,0),IFERROR(VLOOKUP(A1073,'[2]UPDATE BILL 2018'!$G:$T,14,0),IFERROR(VLOOKUP(A1073,'[2]UPDATE BILL 2018'!$H:$T,13,0),IFERROR(VLOOKUP(A1073,'[2]UPDATE BILL 2018'!$I:$T,12,0),VLOOKUP(A1073,'[2]UPDATE BILL 2018'!$B:$T,19,0)))))))))</f>
        <v>43306</v>
      </c>
      <c r="AC1073" s="44" t="str">
        <f>IFERROR(VLOOKUP(A1073,'[2]UPDATE BILL 2018'!$B:$V,21,0),IFERROR(VLOOKUP(A1073,'[2]UPDATE BILL 2018'!$C:$V,20,0),IFERROR(VLOOKUP(A1073,'[2]UPDATE BILL 2018'!$D:$V,19,0),IFERROR(VLOOKUP(A1073,'[2]UPDATE BILL 2018'!$E:$V,18,0),IFERROR(VLOOKUP(A1073,'[2]UPDATE BILL 2018'!$F:$V,17,0),IFERROR(VLOOKUP(A1073,'[2]UPDATE BILL 2018'!$G:$V,16,0),IFERROR(VLOOKUP(A1073,'[2]UPDATE BILL 2018'!$H:$V,15,0),IFERROR(VLOOKUP(A1073,'[2]UPDATE BILL 2018'!$I:$V,14,0),VLOOKUP(A1073,'[2]UPDATE BILL 2018'!$B:$V,21,0)))))))))</f>
        <v>AS FIONA N007</v>
      </c>
      <c r="AD1073" s="29" t="s">
        <v>51</v>
      </c>
      <c r="AE1073" s="24" t="s">
        <v>2409</v>
      </c>
      <c r="AF1073" s="25" t="s">
        <v>2150</v>
      </c>
      <c r="AI1073" s="58"/>
    </row>
    <row r="1074" spans="1:35" ht="16.5" customHeight="1">
      <c r="A1074" s="6" t="s">
        <v>2383</v>
      </c>
      <c r="D1074" s="7">
        <f t="shared" si="31"/>
        <v>0</v>
      </c>
      <c r="E1074" s="7">
        <v>0</v>
      </c>
      <c r="F1074" s="5">
        <v>0</v>
      </c>
      <c r="G1074" s="7">
        <v>0</v>
      </c>
      <c r="H1074" s="5">
        <v>0</v>
      </c>
      <c r="I1074" s="7">
        <v>0</v>
      </c>
      <c r="J1074" s="7">
        <v>0</v>
      </c>
      <c r="K1074" s="5">
        <v>0</v>
      </c>
      <c r="L1074" s="5">
        <v>0</v>
      </c>
      <c r="M1074" s="5">
        <v>0</v>
      </c>
      <c r="N1074" s="7">
        <f t="shared" si="32"/>
        <v>0</v>
      </c>
      <c r="O1074" s="7">
        <v>0</v>
      </c>
      <c r="P1074" s="7">
        <f t="shared" si="33"/>
        <v>1484</v>
      </c>
      <c r="Q1074" s="5">
        <v>0</v>
      </c>
      <c r="R1074" s="5">
        <v>1484</v>
      </c>
      <c r="S1074" s="7">
        <v>242436.09999999998</v>
      </c>
      <c r="T1074" s="12">
        <v>43291</v>
      </c>
      <c r="U1074" s="4">
        <v>10</v>
      </c>
      <c r="V1074" s="4">
        <v>9</v>
      </c>
      <c r="W1074" s="4">
        <v>9</v>
      </c>
      <c r="X1074" s="45">
        <f t="shared" si="34"/>
        <v>242436.09999999998</v>
      </c>
      <c r="Y1074" s="14" t="s">
        <v>54</v>
      </c>
      <c r="Z1074" s="14" t="s">
        <v>59</v>
      </c>
      <c r="AA1074" s="14" t="str">
        <f>IFERROR(VLOOKUP(A1074,'[2]UPDATE BILL 2018'!$B:$P,15,0),IFERROR(VLOOKUP(A1074,'[2]UPDATE BILL 2018'!$C:$P,14,0),IFERROR(VLOOKUP(A1074,'[2]UPDATE BILL 2018'!$D:$P,13,0),IFERROR(VLOOKUP(A1074,'[2]UPDATE BILL 2018'!$E:$P,12,0),IFERROR(VLOOKUP(A1074,'[2]UPDATE BILL 2018'!$F:$P,11,0),IFERROR(VLOOKUP(A1074,'[2]UPDATE BILL 2018'!$G:$P,10,0),IFERROR(VLOOKUP(A1074,'[2]UPDATE BILL 2018'!$H:$P,9,0),IFERROR(VLOOKUP(A1074,'[2]UPDATE BILL 2018'!$I:$P,8,0),VLOOKUP(A1074,'[2]UPDATE BILL 2018'!$B:$P,15,0)))))))))</f>
        <v>SITWHPKW171072</v>
      </c>
      <c r="AB1074" s="44">
        <f>IFERROR(VLOOKUP(A1074,'[2]UPDATE BILL 2018'!$B:$T,19,0),IFERROR(VLOOKUP(A1074,'[2]UPDATE BILL 2018'!$C:$T,18,0),IFERROR(VLOOKUP(A1074,'[2]UPDATE BILL 2018'!$D:$T,17,0),IFERROR(VLOOKUP(A1074,'[2]UPDATE BILL 2018'!$E:$T,16,0),IFERROR(VLOOKUP(A1074,'[2]UPDATE BILL 2018'!$F:$T,15,0),IFERROR(VLOOKUP(A1074,'[2]UPDATE BILL 2018'!$G:$T,14,0),IFERROR(VLOOKUP(A1074,'[2]UPDATE BILL 2018'!$H:$T,13,0),IFERROR(VLOOKUP(A1074,'[2]UPDATE BILL 2018'!$I:$T,12,0),VLOOKUP(A1074,'[2]UPDATE BILL 2018'!$B:$T,19,0)))))))))</f>
        <v>43300</v>
      </c>
      <c r="AC1074" s="44" t="str">
        <f>IFERROR(VLOOKUP(A1074,'[2]UPDATE BILL 2018'!$B:$V,21,0),IFERROR(VLOOKUP(A1074,'[2]UPDATE BILL 2018'!$C:$V,20,0),IFERROR(VLOOKUP(A1074,'[2]UPDATE BILL 2018'!$D:$V,19,0),IFERROR(VLOOKUP(A1074,'[2]UPDATE BILL 2018'!$E:$V,18,0),IFERROR(VLOOKUP(A1074,'[2]UPDATE BILL 2018'!$F:$V,17,0),IFERROR(VLOOKUP(A1074,'[2]UPDATE BILL 2018'!$G:$V,16,0),IFERROR(VLOOKUP(A1074,'[2]UPDATE BILL 2018'!$H:$V,15,0),IFERROR(VLOOKUP(A1074,'[2]UPDATE BILL 2018'!$I:$V,14,0),VLOOKUP(A1074,'[2]UPDATE BILL 2018'!$B:$V,21,0)))))))))</f>
        <v>SITC OSAKA 1821N</v>
      </c>
      <c r="AD1074" s="29" t="s">
        <v>50</v>
      </c>
      <c r="AE1074" s="24" t="s">
        <v>2410</v>
      </c>
      <c r="AF1074" s="25" t="s">
        <v>2151</v>
      </c>
      <c r="AI1074" s="58"/>
    </row>
    <row r="1075" spans="1:35" ht="16.5" customHeight="1">
      <c r="A1075" s="6" t="s">
        <v>2400</v>
      </c>
      <c r="D1075" s="7">
        <f t="shared" si="31"/>
        <v>0</v>
      </c>
      <c r="E1075" s="7">
        <v>0</v>
      </c>
      <c r="F1075" s="5">
        <v>0</v>
      </c>
      <c r="G1075" s="7">
        <v>0</v>
      </c>
      <c r="H1075" s="5">
        <v>0</v>
      </c>
      <c r="I1075" s="7">
        <v>0</v>
      </c>
      <c r="J1075" s="7">
        <v>0</v>
      </c>
      <c r="K1075" s="5">
        <v>0</v>
      </c>
      <c r="L1075" s="5">
        <v>0</v>
      </c>
      <c r="M1075" s="5">
        <v>0</v>
      </c>
      <c r="N1075" s="7">
        <f t="shared" si="32"/>
        <v>0</v>
      </c>
      <c r="O1075" s="7">
        <v>0</v>
      </c>
      <c r="P1075" s="7">
        <f t="shared" si="33"/>
        <v>95</v>
      </c>
      <c r="Q1075" s="5">
        <v>0</v>
      </c>
      <c r="R1075" s="5">
        <v>95</v>
      </c>
      <c r="S1075" s="7">
        <v>15565.5</v>
      </c>
      <c r="T1075" s="12">
        <v>43291</v>
      </c>
      <c r="U1075" s="4">
        <v>1</v>
      </c>
      <c r="V1075" s="4">
        <v>9</v>
      </c>
      <c r="W1075" s="4">
        <v>9</v>
      </c>
      <c r="X1075" s="45">
        <f t="shared" si="34"/>
        <v>15565.5</v>
      </c>
      <c r="Y1075" s="14" t="s">
        <v>54</v>
      </c>
      <c r="Z1075" s="14" t="s">
        <v>1492</v>
      </c>
      <c r="AA1075" s="14" t="str">
        <f>IFERROR(VLOOKUP(A1075,'[2]UPDATE BILL 2018'!$B:$P,15,0),IFERROR(VLOOKUP(A1075,'[2]UPDATE BILL 2018'!$C:$P,14,0),IFERROR(VLOOKUP(A1075,'[2]UPDATE BILL 2018'!$D:$P,13,0),IFERROR(VLOOKUP(A1075,'[2]UPDATE BILL 2018'!$E:$P,12,0),IFERROR(VLOOKUP(A1075,'[2]UPDATE BILL 2018'!$F:$P,11,0),IFERROR(VLOOKUP(A1075,'[2]UPDATE BILL 2018'!$G:$P,10,0),IFERROR(VLOOKUP(A1075,'[2]UPDATE BILL 2018'!$H:$P,9,0),IFERROR(VLOOKUP(A1075,'[2]UPDATE BILL 2018'!$I:$P,8,0),VLOOKUP(A1075,'[2]UPDATE BILL 2018'!$B:$P,15,0)))))))))</f>
        <v>SITWHPTK171624</v>
      </c>
      <c r="AB1075" s="44">
        <f>IFERROR(VLOOKUP(A1075,'[2]UPDATE BILL 2018'!$B:$T,19,0),IFERROR(VLOOKUP(A1075,'[2]UPDATE BILL 2018'!$C:$T,18,0),IFERROR(VLOOKUP(A1075,'[2]UPDATE BILL 2018'!$D:$T,17,0),IFERROR(VLOOKUP(A1075,'[2]UPDATE BILL 2018'!$E:$T,16,0),IFERROR(VLOOKUP(A1075,'[2]UPDATE BILL 2018'!$F:$T,15,0),IFERROR(VLOOKUP(A1075,'[2]UPDATE BILL 2018'!$G:$T,14,0),IFERROR(VLOOKUP(A1075,'[2]UPDATE BILL 2018'!$H:$T,13,0),IFERROR(VLOOKUP(A1075,'[2]UPDATE BILL 2018'!$I:$T,12,0),VLOOKUP(A1075,'[2]UPDATE BILL 2018'!$B:$T,19,0)))))))))</f>
        <v>43300</v>
      </c>
      <c r="AC1075" s="44" t="str">
        <f>IFERROR(VLOOKUP(A1075,'[2]UPDATE BILL 2018'!$B:$V,21,0),IFERROR(VLOOKUP(A1075,'[2]UPDATE BILL 2018'!$C:$V,20,0),IFERROR(VLOOKUP(A1075,'[2]UPDATE BILL 2018'!$D:$V,19,0),IFERROR(VLOOKUP(A1075,'[2]UPDATE BILL 2018'!$E:$V,18,0),IFERROR(VLOOKUP(A1075,'[2]UPDATE BILL 2018'!$F:$V,17,0),IFERROR(VLOOKUP(A1075,'[2]UPDATE BILL 2018'!$G:$V,16,0),IFERROR(VLOOKUP(A1075,'[2]UPDATE BILL 2018'!$H:$V,15,0),IFERROR(VLOOKUP(A1075,'[2]UPDATE BILL 2018'!$I:$V,14,0),VLOOKUP(A1075,'[2]UPDATE BILL 2018'!$B:$V,21,0)))))))))</f>
        <v>SITC OSAKA 1821N</v>
      </c>
      <c r="AD1075" s="29" t="s">
        <v>49</v>
      </c>
      <c r="AE1075" s="24" t="s">
        <v>2411</v>
      </c>
      <c r="AF1075" s="25" t="s">
        <v>2174</v>
      </c>
      <c r="AI1075" s="58"/>
    </row>
    <row r="1076" spans="1:35" ht="16.5" customHeight="1">
      <c r="A1076" s="6" t="s">
        <v>2412</v>
      </c>
      <c r="B1076" s="5">
        <v>241</v>
      </c>
      <c r="C1076" s="7">
        <v>38062.75</v>
      </c>
      <c r="D1076" s="7">
        <f t="shared" si="31"/>
        <v>0</v>
      </c>
      <c r="E1076" s="7">
        <v>0</v>
      </c>
      <c r="F1076" s="5">
        <v>0</v>
      </c>
      <c r="G1076" s="7">
        <v>0</v>
      </c>
      <c r="H1076" s="5">
        <v>8</v>
      </c>
      <c r="I1076" s="7">
        <v>733.04</v>
      </c>
      <c r="J1076" s="7">
        <v>0</v>
      </c>
      <c r="K1076" s="5">
        <v>0</v>
      </c>
      <c r="L1076" s="5">
        <v>0</v>
      </c>
      <c r="M1076" s="5">
        <v>0</v>
      </c>
      <c r="N1076" s="7">
        <f t="shared" si="32"/>
        <v>0</v>
      </c>
      <c r="O1076" s="7">
        <v>0</v>
      </c>
      <c r="P1076" s="7">
        <f t="shared" si="33"/>
        <v>0</v>
      </c>
      <c r="Q1076" s="5">
        <v>0</v>
      </c>
      <c r="R1076" s="5">
        <v>0</v>
      </c>
      <c r="S1076" s="7">
        <v>0</v>
      </c>
      <c r="T1076" s="12">
        <v>43292</v>
      </c>
      <c r="U1076" s="4">
        <v>3</v>
      </c>
      <c r="V1076" s="4">
        <v>9</v>
      </c>
      <c r="W1076" s="4">
        <v>9</v>
      </c>
      <c r="X1076" s="45">
        <f t="shared" si="34"/>
        <v>38795.79</v>
      </c>
      <c r="Y1076" s="14" t="s">
        <v>1608</v>
      </c>
      <c r="Z1076" s="14" t="s">
        <v>730</v>
      </c>
      <c r="AA1076" s="14" t="str">
        <f>IFERROR(VLOOKUP(A1076,'[2]UPDATE BILL 2018'!$B:$P,15,0),IFERROR(VLOOKUP(A1076,'[2]UPDATE BILL 2018'!$C:$P,14,0),IFERROR(VLOOKUP(A1076,'[2]UPDATE BILL 2018'!$D:$P,13,0),IFERROR(VLOOKUP(A1076,'[2]UPDATE BILL 2018'!$E:$P,12,0),IFERROR(VLOOKUP(A1076,'[2]UPDATE BILL 2018'!$F:$P,11,0),IFERROR(VLOOKUP(A1076,'[2]UPDATE BILL 2018'!$G:$P,10,0),IFERROR(VLOOKUP(A1076,'[2]UPDATE BILL 2018'!$H:$P,9,0),IFERROR(VLOOKUP(A1076,'[2]UPDATE BILL 2018'!$I:$P,8,0),VLOOKUP(A1076,'[2]UPDATE BILL 2018'!$B:$P,15,0)))))))))</f>
        <v>SNL8HPCL001140</v>
      </c>
      <c r="AB1076" s="44">
        <f>IFERROR(VLOOKUP(A1076,'[2]UPDATE BILL 2018'!$B:$T,19,0),IFERROR(VLOOKUP(A1076,'[2]UPDATE BILL 2018'!$C:$T,18,0),IFERROR(VLOOKUP(A1076,'[2]UPDATE BILL 2018'!$D:$T,17,0),IFERROR(VLOOKUP(A1076,'[2]UPDATE BILL 2018'!$E:$T,16,0),IFERROR(VLOOKUP(A1076,'[2]UPDATE BILL 2018'!$F:$T,15,0),IFERROR(VLOOKUP(A1076,'[2]UPDATE BILL 2018'!$G:$T,14,0),IFERROR(VLOOKUP(A1076,'[2]UPDATE BILL 2018'!$H:$T,13,0),IFERROR(VLOOKUP(A1076,'[2]UPDATE BILL 2018'!$I:$T,12,0),VLOOKUP(A1076,'[2]UPDATE BILL 2018'!$B:$T,19,0)))))))))</f>
        <v>43298</v>
      </c>
      <c r="AC1076" s="44" t="str">
        <f>IFERROR(VLOOKUP(A1076,'[2]UPDATE BILL 2018'!$B:$V,21,0),IFERROR(VLOOKUP(A1076,'[2]UPDATE BILL 2018'!$C:$V,20,0),IFERROR(VLOOKUP(A1076,'[2]UPDATE BILL 2018'!$D:$V,19,0),IFERROR(VLOOKUP(A1076,'[2]UPDATE BILL 2018'!$E:$V,18,0),IFERROR(VLOOKUP(A1076,'[2]UPDATE BILL 2018'!$F:$V,17,0),IFERROR(VLOOKUP(A1076,'[2]UPDATE BILL 2018'!$G:$V,16,0),IFERROR(VLOOKUP(A1076,'[2]UPDATE BILL 2018'!$H:$V,15,0),IFERROR(VLOOKUP(A1076,'[2]UPDATE BILL 2018'!$I:$V,14,0),VLOOKUP(A1076,'[2]UPDATE BILL 2018'!$B:$V,21,0)))))))))</f>
        <v>KUO LUNG 1826N</v>
      </c>
      <c r="AD1076" s="29" t="s">
        <v>1010</v>
      </c>
      <c r="AE1076" s="24" t="s">
        <v>2385</v>
      </c>
      <c r="AF1076" s="29" t="s">
        <v>1010</v>
      </c>
      <c r="AI1076" s="58"/>
    </row>
    <row r="1077" spans="1:35" ht="16.5" customHeight="1">
      <c r="A1077" s="6" t="s">
        <v>2393</v>
      </c>
      <c r="B1077" s="5">
        <v>285</v>
      </c>
      <c r="C1077" s="7">
        <v>26217.9</v>
      </c>
      <c r="D1077" s="7">
        <f t="shared" si="31"/>
        <v>0</v>
      </c>
      <c r="E1077" s="7">
        <v>0</v>
      </c>
      <c r="F1077" s="5">
        <v>0</v>
      </c>
      <c r="G1077" s="7">
        <v>0</v>
      </c>
      <c r="H1077" s="5">
        <v>924</v>
      </c>
      <c r="I1077" s="7">
        <v>106652.99999999999</v>
      </c>
      <c r="J1077" s="7">
        <v>0</v>
      </c>
      <c r="K1077" s="5">
        <v>0</v>
      </c>
      <c r="L1077" s="5">
        <v>0</v>
      </c>
      <c r="M1077" s="5">
        <v>16</v>
      </c>
      <c r="N1077" s="7">
        <f t="shared" si="32"/>
        <v>16</v>
      </c>
      <c r="O1077" s="7">
        <v>372.8</v>
      </c>
      <c r="P1077" s="7">
        <f t="shared" si="33"/>
        <v>16</v>
      </c>
      <c r="Q1077" s="5">
        <v>0</v>
      </c>
      <c r="R1077" s="5">
        <v>16</v>
      </c>
      <c r="S1077" s="7">
        <v>798.4</v>
      </c>
      <c r="T1077" s="12">
        <v>43292</v>
      </c>
      <c r="U1077" s="4">
        <v>10</v>
      </c>
      <c r="V1077" s="4">
        <v>9</v>
      </c>
      <c r="W1077" s="4">
        <v>9</v>
      </c>
      <c r="X1077" s="45">
        <f t="shared" si="34"/>
        <v>134042.09999999998</v>
      </c>
      <c r="Y1077" s="14" t="s">
        <v>54</v>
      </c>
      <c r="Z1077" s="14" t="s">
        <v>57</v>
      </c>
      <c r="AA1077" s="14" t="str">
        <f>IFERROR(VLOOKUP(A1077,'[2]UPDATE BILL 2018'!$B:$P,15,0),IFERROR(VLOOKUP(A1077,'[2]UPDATE BILL 2018'!$C:$P,14,0),IFERROR(VLOOKUP(A1077,'[2]UPDATE BILL 2018'!$D:$P,13,0),IFERROR(VLOOKUP(A1077,'[2]UPDATE BILL 2018'!$E:$P,12,0),IFERROR(VLOOKUP(A1077,'[2]UPDATE BILL 2018'!$F:$P,11,0),IFERROR(VLOOKUP(A1077,'[2]UPDATE BILL 2018'!$G:$P,10,0),IFERROR(VLOOKUP(A1077,'[2]UPDATE BILL 2018'!$H:$P,9,0),IFERROR(VLOOKUP(A1077,'[2]UPDATE BILL 2018'!$I:$P,8,0),VLOOKUP(A1077,'[2]UPDATE BILL 2018'!$B:$P,15,0)))))))))</f>
        <v>SITWHPTK171624</v>
      </c>
      <c r="AB1077" s="44">
        <f>IFERROR(VLOOKUP(A1077,'[2]UPDATE BILL 2018'!$B:$T,19,0),IFERROR(VLOOKUP(A1077,'[2]UPDATE BILL 2018'!$C:$T,18,0),IFERROR(VLOOKUP(A1077,'[2]UPDATE BILL 2018'!$D:$T,17,0),IFERROR(VLOOKUP(A1077,'[2]UPDATE BILL 2018'!$E:$T,16,0),IFERROR(VLOOKUP(A1077,'[2]UPDATE BILL 2018'!$F:$T,15,0),IFERROR(VLOOKUP(A1077,'[2]UPDATE BILL 2018'!$G:$T,14,0),IFERROR(VLOOKUP(A1077,'[2]UPDATE BILL 2018'!$H:$T,13,0),IFERROR(VLOOKUP(A1077,'[2]UPDATE BILL 2018'!$I:$T,12,0),VLOOKUP(A1077,'[2]UPDATE BILL 2018'!$B:$T,19,0)))))))))</f>
        <v>43300</v>
      </c>
      <c r="AC1077" s="44" t="str">
        <f>IFERROR(VLOOKUP(A1077,'[2]UPDATE BILL 2018'!$B:$V,21,0),IFERROR(VLOOKUP(A1077,'[2]UPDATE BILL 2018'!$C:$V,20,0),IFERROR(VLOOKUP(A1077,'[2]UPDATE BILL 2018'!$D:$V,19,0),IFERROR(VLOOKUP(A1077,'[2]UPDATE BILL 2018'!$E:$V,18,0),IFERROR(VLOOKUP(A1077,'[2]UPDATE BILL 2018'!$F:$V,17,0),IFERROR(VLOOKUP(A1077,'[2]UPDATE BILL 2018'!$G:$V,16,0),IFERROR(VLOOKUP(A1077,'[2]UPDATE BILL 2018'!$H:$V,15,0),IFERROR(VLOOKUP(A1077,'[2]UPDATE BILL 2018'!$I:$V,14,0),VLOOKUP(A1077,'[2]UPDATE BILL 2018'!$B:$V,21,0)))))))))</f>
        <v>SITC OSAKA 1821N</v>
      </c>
      <c r="AD1077" s="29" t="s">
        <v>49</v>
      </c>
      <c r="AE1077" s="24" t="s">
        <v>2420</v>
      </c>
      <c r="AF1077" s="25" t="s">
        <v>1265</v>
      </c>
      <c r="AI1077" s="58"/>
    </row>
    <row r="1078" spans="1:35" ht="16.5" customHeight="1">
      <c r="A1078" s="6" t="s">
        <v>2413</v>
      </c>
      <c r="B1078" s="5">
        <v>74</v>
      </c>
      <c r="C1078" s="7">
        <v>9678.119999999999</v>
      </c>
      <c r="D1078" s="7">
        <f t="shared" si="31"/>
        <v>0</v>
      </c>
      <c r="E1078" s="7">
        <v>0</v>
      </c>
      <c r="F1078" s="5">
        <v>0</v>
      </c>
      <c r="G1078" s="7">
        <v>0</v>
      </c>
      <c r="H1078" s="5">
        <v>0</v>
      </c>
      <c r="I1078" s="7">
        <v>0</v>
      </c>
      <c r="J1078" s="7">
        <v>0</v>
      </c>
      <c r="K1078" s="5">
        <v>0</v>
      </c>
      <c r="L1078" s="5">
        <v>0</v>
      </c>
      <c r="M1078" s="5">
        <v>8</v>
      </c>
      <c r="N1078" s="7">
        <f t="shared" si="32"/>
        <v>8</v>
      </c>
      <c r="O1078" s="7">
        <v>1627</v>
      </c>
      <c r="P1078" s="7">
        <f t="shared" si="33"/>
        <v>0</v>
      </c>
      <c r="Q1078" s="5">
        <v>0</v>
      </c>
      <c r="R1078" s="5">
        <v>0</v>
      </c>
      <c r="S1078" s="7">
        <v>0</v>
      </c>
      <c r="T1078" s="12">
        <v>43292</v>
      </c>
      <c r="U1078" s="4">
        <v>1</v>
      </c>
      <c r="V1078" s="4">
        <v>9</v>
      </c>
      <c r="W1078" s="4">
        <v>9</v>
      </c>
      <c r="X1078" s="45">
        <f t="shared" si="34"/>
        <v>11305.119999999999</v>
      </c>
      <c r="Y1078" s="14" t="s">
        <v>85</v>
      </c>
      <c r="Z1078" s="14" t="s">
        <v>1492</v>
      </c>
      <c r="AA1078" s="14">
        <f>IFERROR(VLOOKUP(A1078,'[2]UPDATE BILL 2018'!$B:$P,15,0),IFERROR(VLOOKUP(A1078,'[2]UPDATE BILL 2018'!$C:$P,14,0),IFERROR(VLOOKUP(A1078,'[2]UPDATE BILL 2018'!$D:$P,13,0),IFERROR(VLOOKUP(A1078,'[2]UPDATE BILL 2018'!$E:$P,12,0),IFERROR(VLOOKUP(A1078,'[2]UPDATE BILL 2018'!$F:$P,11,0),IFERROR(VLOOKUP(A1078,'[2]UPDATE BILL 2018'!$G:$P,10,0),IFERROR(VLOOKUP(A1078,'[2]UPDATE BILL 2018'!$H:$P,9,0),IFERROR(VLOOKUP(A1078,'[2]UPDATE BILL 2018'!$I:$P,8,0),VLOOKUP(A1078,'[2]UPDATE BILL 2018'!$B:$P,15,0)))))))))</f>
        <v>350810076055</v>
      </c>
      <c r="AB1078" s="44">
        <f>IFERROR(VLOOKUP(A1078,'[2]UPDATE BILL 2018'!$B:$T,19,0),IFERROR(VLOOKUP(A1078,'[2]UPDATE BILL 2018'!$C:$T,18,0),IFERROR(VLOOKUP(A1078,'[2]UPDATE BILL 2018'!$D:$T,17,0),IFERROR(VLOOKUP(A1078,'[2]UPDATE BILL 2018'!$E:$T,16,0),IFERROR(VLOOKUP(A1078,'[2]UPDATE BILL 2018'!$F:$T,15,0),IFERROR(VLOOKUP(A1078,'[2]UPDATE BILL 2018'!$G:$T,14,0),IFERROR(VLOOKUP(A1078,'[2]UPDATE BILL 2018'!$H:$T,13,0),IFERROR(VLOOKUP(A1078,'[2]UPDATE BILL 2018'!$I:$T,12,0),VLOOKUP(A1078,'[2]UPDATE BILL 2018'!$B:$T,19,0)))))))))</f>
        <v>43298</v>
      </c>
      <c r="AC1078" s="44" t="str">
        <f>IFERROR(VLOOKUP(A1078,'[2]UPDATE BILL 2018'!$B:$V,21,0),IFERROR(VLOOKUP(A1078,'[2]UPDATE BILL 2018'!$C:$V,20,0),IFERROR(VLOOKUP(A1078,'[2]UPDATE BILL 2018'!$D:$V,19,0),IFERROR(VLOOKUP(A1078,'[2]UPDATE BILL 2018'!$E:$V,18,0),IFERROR(VLOOKUP(A1078,'[2]UPDATE BILL 2018'!$F:$V,17,0),IFERROR(VLOOKUP(A1078,'[2]UPDATE BILL 2018'!$G:$V,16,0),IFERROR(VLOOKUP(A1078,'[2]UPDATE BILL 2018'!$H:$V,15,0),IFERROR(VLOOKUP(A1078,'[2]UPDATE BILL 2018'!$I:$V,14,0),VLOOKUP(A1078,'[2]UPDATE BILL 2018'!$B:$V,21,0)))))))))</f>
        <v>HANSE ENDURANCE 18011N</v>
      </c>
      <c r="AD1078" s="29" t="s">
        <v>49</v>
      </c>
      <c r="AE1078" s="24" t="s">
        <v>2421</v>
      </c>
      <c r="AF1078" s="25" t="s">
        <v>1267</v>
      </c>
      <c r="AI1078" s="58"/>
    </row>
    <row r="1079" spans="1:35" ht="16.5" customHeight="1">
      <c r="A1079" s="6" t="s">
        <v>2414</v>
      </c>
      <c r="B1079" s="5">
        <v>186</v>
      </c>
      <c r="C1079" s="7">
        <v>24125.399999999998</v>
      </c>
      <c r="D1079" s="7">
        <f t="shared" si="31"/>
        <v>0</v>
      </c>
      <c r="E1079" s="7">
        <v>0</v>
      </c>
      <c r="F1079" s="5">
        <v>0</v>
      </c>
      <c r="G1079" s="7">
        <v>0</v>
      </c>
      <c r="H1079" s="5">
        <v>0</v>
      </c>
      <c r="I1079" s="7">
        <v>0</v>
      </c>
      <c r="J1079" s="7">
        <v>0</v>
      </c>
      <c r="K1079" s="5">
        <v>0</v>
      </c>
      <c r="L1079" s="5">
        <v>0</v>
      </c>
      <c r="M1079" s="5">
        <v>80</v>
      </c>
      <c r="N1079" s="7">
        <f t="shared" si="32"/>
        <v>80</v>
      </c>
      <c r="O1079" s="7">
        <v>10438.700000000001</v>
      </c>
      <c r="P1079" s="7">
        <f t="shared" si="33"/>
        <v>0</v>
      </c>
      <c r="Q1079" s="5">
        <v>0</v>
      </c>
      <c r="R1079" s="5">
        <v>0</v>
      </c>
      <c r="S1079" s="7">
        <v>0</v>
      </c>
      <c r="T1079" s="12">
        <v>43292</v>
      </c>
      <c r="U1079" s="4">
        <v>3</v>
      </c>
      <c r="V1079" s="4">
        <v>9</v>
      </c>
      <c r="W1079" s="4">
        <v>9</v>
      </c>
      <c r="X1079" s="45">
        <f t="shared" si="34"/>
        <v>34564.1</v>
      </c>
      <c r="Y1079" s="14" t="s">
        <v>58</v>
      </c>
      <c r="Z1079" s="14" t="s">
        <v>1355</v>
      </c>
      <c r="AA1079" s="14" t="str">
        <f>IFERROR(VLOOKUP(A1079,'[2]UPDATE BILL 2018'!$B:$P,15,0),IFERROR(VLOOKUP(A1079,'[2]UPDATE BILL 2018'!$C:$P,14,0),IFERROR(VLOOKUP(A1079,'[2]UPDATE BILL 2018'!$D:$P,13,0),IFERROR(VLOOKUP(A1079,'[2]UPDATE BILL 2018'!$E:$P,12,0),IFERROR(VLOOKUP(A1079,'[2]UPDATE BILL 2018'!$F:$P,11,0),IFERROR(VLOOKUP(A1079,'[2]UPDATE BILL 2018'!$G:$P,10,0),IFERROR(VLOOKUP(A1079,'[2]UPDATE BILL 2018'!$H:$P,9,0),IFERROR(VLOOKUP(A1079,'[2]UPDATE BILL 2018'!$I:$P,8,0),VLOOKUP(A1079,'[2]UPDATE BILL 2018'!$B:$P,15,0)))))))))</f>
        <v>EGLV237800198117</v>
      </c>
      <c r="AB1079" s="44">
        <f>IFERROR(VLOOKUP(A1079,'[2]UPDATE BILL 2018'!$B:$T,19,0),IFERROR(VLOOKUP(A1079,'[2]UPDATE BILL 2018'!$C:$T,18,0),IFERROR(VLOOKUP(A1079,'[2]UPDATE BILL 2018'!$D:$T,17,0),IFERROR(VLOOKUP(A1079,'[2]UPDATE BILL 2018'!$E:$T,16,0),IFERROR(VLOOKUP(A1079,'[2]UPDATE BILL 2018'!$F:$T,15,0),IFERROR(VLOOKUP(A1079,'[2]UPDATE BILL 2018'!$G:$T,14,0),IFERROR(VLOOKUP(A1079,'[2]UPDATE BILL 2018'!$H:$T,13,0),IFERROR(VLOOKUP(A1079,'[2]UPDATE BILL 2018'!$I:$T,12,0),VLOOKUP(A1079,'[2]UPDATE BILL 2018'!$B:$T,19,0)))))))))</f>
        <v>43295</v>
      </c>
      <c r="AC1079" s="44" t="str">
        <f>IFERROR(VLOOKUP(A1079,'[2]UPDATE BILL 2018'!$B:$V,21,0),IFERROR(VLOOKUP(A1079,'[2]UPDATE BILL 2018'!$C:$V,20,0),IFERROR(VLOOKUP(A1079,'[2]UPDATE BILL 2018'!$D:$V,19,0),IFERROR(VLOOKUP(A1079,'[2]UPDATE BILL 2018'!$E:$V,18,0),IFERROR(VLOOKUP(A1079,'[2]UPDATE BILL 2018'!$F:$V,17,0),IFERROR(VLOOKUP(A1079,'[2]UPDATE BILL 2018'!$G:$V,16,0),IFERROR(VLOOKUP(A1079,'[2]UPDATE BILL 2018'!$H:$V,15,0),IFERROR(VLOOKUP(A1079,'[2]UPDATE BILL 2018'!$I:$V,14,0),VLOOKUP(A1079,'[2]UPDATE BILL 2018'!$B:$V,21,0)))))))))</f>
        <v>UNI-ACCORD 0586-559N</v>
      </c>
      <c r="AD1079" s="29" t="s">
        <v>51</v>
      </c>
      <c r="AE1079" s="24" t="s">
        <v>2422</v>
      </c>
      <c r="AF1079" s="25" t="s">
        <v>1270</v>
      </c>
      <c r="AI1079" s="58"/>
    </row>
    <row r="1080" spans="1:35" ht="16.5" customHeight="1">
      <c r="A1080" s="6" t="s">
        <v>2415</v>
      </c>
      <c r="B1080" s="5">
        <v>84</v>
      </c>
      <c r="C1080" s="7">
        <v>11424</v>
      </c>
      <c r="D1080" s="7">
        <f t="shared" si="31"/>
        <v>0</v>
      </c>
      <c r="E1080" s="7">
        <v>0</v>
      </c>
      <c r="F1080" s="5">
        <v>0</v>
      </c>
      <c r="G1080" s="7">
        <v>0</v>
      </c>
      <c r="H1080" s="5">
        <v>95</v>
      </c>
      <c r="I1080" s="7">
        <v>12156.2</v>
      </c>
      <c r="J1080" s="7">
        <v>0</v>
      </c>
      <c r="K1080" s="5">
        <v>0</v>
      </c>
      <c r="L1080" s="5">
        <v>0</v>
      </c>
      <c r="M1080" s="5">
        <v>61</v>
      </c>
      <c r="N1080" s="7">
        <f t="shared" si="32"/>
        <v>61</v>
      </c>
      <c r="O1080" s="7">
        <v>10987.2</v>
      </c>
      <c r="P1080" s="7">
        <f t="shared" si="33"/>
        <v>0</v>
      </c>
      <c r="Q1080" s="5">
        <v>0</v>
      </c>
      <c r="R1080" s="5">
        <v>0</v>
      </c>
      <c r="S1080" s="7">
        <v>0</v>
      </c>
      <c r="T1080" s="12">
        <v>43292</v>
      </c>
      <c r="U1080" s="4">
        <v>3</v>
      </c>
      <c r="V1080" s="4">
        <v>9</v>
      </c>
      <c r="W1080" s="4">
        <v>9</v>
      </c>
      <c r="X1080" s="45">
        <f t="shared" si="34"/>
        <v>34567.4</v>
      </c>
      <c r="Y1080" s="14" t="s">
        <v>56</v>
      </c>
      <c r="Z1080" s="14" t="s">
        <v>1355</v>
      </c>
      <c r="AA1080" s="14" t="str">
        <f>IFERROR(VLOOKUP(A1080,'[2]UPDATE BILL 2018'!$B:$P,15,0),IFERROR(VLOOKUP(A1080,'[2]UPDATE BILL 2018'!$C:$P,14,0),IFERROR(VLOOKUP(A1080,'[2]UPDATE BILL 2018'!$D:$P,13,0),IFERROR(VLOOKUP(A1080,'[2]UPDATE BILL 2018'!$E:$P,12,0),IFERROR(VLOOKUP(A1080,'[2]UPDATE BILL 2018'!$F:$P,11,0),IFERROR(VLOOKUP(A1080,'[2]UPDATE BILL 2018'!$G:$P,10,0),IFERROR(VLOOKUP(A1080,'[2]UPDATE BILL 2018'!$H:$P,9,0),IFERROR(VLOOKUP(A1080,'[2]UPDATE BILL 2018'!$I:$P,8,0),VLOOKUP(A1080,'[2]UPDATE BILL 2018'!$B:$P,15,0)))))))))</f>
        <v>1008X03531</v>
      </c>
      <c r="AB1080" s="44">
        <f>IFERROR(VLOOKUP(A1080,'[2]UPDATE BILL 2018'!$B:$T,19,0),IFERROR(VLOOKUP(A1080,'[2]UPDATE BILL 2018'!$C:$T,18,0),IFERROR(VLOOKUP(A1080,'[2]UPDATE BILL 2018'!$D:$T,17,0),IFERROR(VLOOKUP(A1080,'[2]UPDATE BILL 2018'!$E:$T,16,0),IFERROR(VLOOKUP(A1080,'[2]UPDATE BILL 2018'!$F:$T,15,0),IFERROR(VLOOKUP(A1080,'[2]UPDATE BILL 2018'!$G:$T,14,0),IFERROR(VLOOKUP(A1080,'[2]UPDATE BILL 2018'!$H:$T,13,0),IFERROR(VLOOKUP(A1080,'[2]UPDATE BILL 2018'!$I:$T,12,0),VLOOKUP(A1080,'[2]UPDATE BILL 2018'!$B:$T,19,0)))))))))</f>
        <v>43299</v>
      </c>
      <c r="AC1080" s="44" t="str">
        <f>IFERROR(VLOOKUP(A1080,'[2]UPDATE BILL 2018'!$B:$V,21,0),IFERROR(VLOOKUP(A1080,'[2]UPDATE BILL 2018'!$C:$V,20,0),IFERROR(VLOOKUP(A1080,'[2]UPDATE BILL 2018'!$D:$V,19,0),IFERROR(VLOOKUP(A1080,'[2]UPDATE BILL 2018'!$E:$V,18,0),IFERROR(VLOOKUP(A1080,'[2]UPDATE BILL 2018'!$F:$V,17,0),IFERROR(VLOOKUP(A1080,'[2]UPDATE BILL 2018'!$G:$V,16,0),IFERROR(VLOOKUP(A1080,'[2]UPDATE BILL 2018'!$H:$V,15,0),IFERROR(VLOOKUP(A1080,'[2]UPDATE BILL 2018'!$I:$V,14,0),VLOOKUP(A1080,'[2]UPDATE BILL 2018'!$B:$V,21,0)))))))))</f>
        <v>AS FRIDA N005</v>
      </c>
      <c r="AD1080" s="29" t="s">
        <v>51</v>
      </c>
      <c r="AE1080" s="24" t="s">
        <v>2423</v>
      </c>
      <c r="AF1080" s="25" t="s">
        <v>1270</v>
      </c>
      <c r="AI1080" s="58"/>
    </row>
    <row r="1081" spans="1:35" ht="16.5" customHeight="1">
      <c r="A1081" s="6" t="s">
        <v>2416</v>
      </c>
      <c r="B1081" s="5">
        <v>389</v>
      </c>
      <c r="C1081" s="7">
        <v>44417.760000000002</v>
      </c>
      <c r="D1081" s="7">
        <f t="shared" si="31"/>
        <v>0</v>
      </c>
      <c r="E1081" s="7">
        <v>0</v>
      </c>
      <c r="F1081" s="5">
        <v>0</v>
      </c>
      <c r="G1081" s="7">
        <v>0</v>
      </c>
      <c r="H1081" s="5">
        <v>0</v>
      </c>
      <c r="I1081" s="7">
        <v>0</v>
      </c>
      <c r="J1081" s="7">
        <v>0</v>
      </c>
      <c r="K1081" s="5">
        <v>0</v>
      </c>
      <c r="L1081" s="5">
        <v>0</v>
      </c>
      <c r="M1081" s="5">
        <v>320</v>
      </c>
      <c r="N1081" s="7">
        <f t="shared" si="32"/>
        <v>320</v>
      </c>
      <c r="O1081" s="7">
        <v>60079.75</v>
      </c>
      <c r="P1081" s="7">
        <f t="shared" si="33"/>
        <v>0</v>
      </c>
      <c r="Q1081" s="5">
        <v>0</v>
      </c>
      <c r="R1081" s="5">
        <v>0</v>
      </c>
      <c r="S1081" s="7">
        <v>0</v>
      </c>
      <c r="T1081" s="12">
        <v>43292</v>
      </c>
      <c r="U1081" s="4">
        <v>10</v>
      </c>
      <c r="V1081" s="4">
        <v>9</v>
      </c>
      <c r="W1081" s="4">
        <v>9</v>
      </c>
      <c r="X1081" s="45">
        <f t="shared" si="34"/>
        <v>104497.51000000001</v>
      </c>
      <c r="Y1081" s="14" t="s">
        <v>54</v>
      </c>
      <c r="Z1081" s="14" t="s">
        <v>1281</v>
      </c>
      <c r="AA1081" s="14" t="str">
        <f>IFERROR(VLOOKUP(A1081,'[2]UPDATE BILL 2018'!$B:$P,15,0),IFERROR(VLOOKUP(A1081,'[2]UPDATE BILL 2018'!$C:$P,14,0),IFERROR(VLOOKUP(A1081,'[2]UPDATE BILL 2018'!$D:$P,13,0),IFERROR(VLOOKUP(A1081,'[2]UPDATE BILL 2018'!$E:$P,12,0),IFERROR(VLOOKUP(A1081,'[2]UPDATE BILL 2018'!$F:$P,11,0),IFERROR(VLOOKUP(A1081,'[2]UPDATE BILL 2018'!$G:$P,10,0),IFERROR(VLOOKUP(A1081,'[2]UPDATE BILL 2018'!$H:$P,9,0),IFERROR(VLOOKUP(A1081,'[2]UPDATE BILL 2018'!$I:$P,8,0),VLOOKUP(A1081,'[2]UPDATE BILL 2018'!$B:$P,15,0)))))))))</f>
        <v>SITWHPKW171072</v>
      </c>
      <c r="AB1081" s="44">
        <f>IFERROR(VLOOKUP(A1081,'[2]UPDATE BILL 2018'!$B:$T,19,0),IFERROR(VLOOKUP(A1081,'[2]UPDATE BILL 2018'!$C:$T,18,0),IFERROR(VLOOKUP(A1081,'[2]UPDATE BILL 2018'!$D:$T,17,0),IFERROR(VLOOKUP(A1081,'[2]UPDATE BILL 2018'!$E:$T,16,0),IFERROR(VLOOKUP(A1081,'[2]UPDATE BILL 2018'!$F:$T,15,0),IFERROR(VLOOKUP(A1081,'[2]UPDATE BILL 2018'!$G:$T,14,0),IFERROR(VLOOKUP(A1081,'[2]UPDATE BILL 2018'!$H:$T,13,0),IFERROR(VLOOKUP(A1081,'[2]UPDATE BILL 2018'!$I:$T,12,0),VLOOKUP(A1081,'[2]UPDATE BILL 2018'!$B:$T,19,0)))))))))</f>
        <v>43300</v>
      </c>
      <c r="AC1081" s="44" t="str">
        <f>IFERROR(VLOOKUP(A1081,'[2]UPDATE BILL 2018'!$B:$V,21,0),IFERROR(VLOOKUP(A1081,'[2]UPDATE BILL 2018'!$C:$V,20,0),IFERROR(VLOOKUP(A1081,'[2]UPDATE BILL 2018'!$D:$V,19,0),IFERROR(VLOOKUP(A1081,'[2]UPDATE BILL 2018'!$E:$V,18,0),IFERROR(VLOOKUP(A1081,'[2]UPDATE BILL 2018'!$F:$V,17,0),IFERROR(VLOOKUP(A1081,'[2]UPDATE BILL 2018'!$G:$V,16,0),IFERROR(VLOOKUP(A1081,'[2]UPDATE BILL 2018'!$H:$V,15,0),IFERROR(VLOOKUP(A1081,'[2]UPDATE BILL 2018'!$I:$V,14,0),VLOOKUP(A1081,'[2]UPDATE BILL 2018'!$B:$V,21,0)))))))))</f>
        <v>SITC OSAKA 1821N</v>
      </c>
      <c r="AD1081" s="29" t="s">
        <v>50</v>
      </c>
      <c r="AE1081" s="24" t="s">
        <v>2424</v>
      </c>
      <c r="AF1081" s="25" t="s">
        <v>1269</v>
      </c>
      <c r="AI1081" s="58"/>
    </row>
    <row r="1082" spans="1:35" ht="16.5" customHeight="1">
      <c r="A1082" s="6" t="s">
        <v>2417</v>
      </c>
      <c r="D1082" s="7">
        <f t="shared" si="31"/>
        <v>0</v>
      </c>
      <c r="E1082" s="7">
        <v>0</v>
      </c>
      <c r="F1082" s="5">
        <v>0</v>
      </c>
      <c r="G1082" s="7">
        <v>0</v>
      </c>
      <c r="H1082" s="5">
        <v>0</v>
      </c>
      <c r="I1082" s="7">
        <v>0</v>
      </c>
      <c r="J1082" s="7">
        <v>0</v>
      </c>
      <c r="K1082" s="5">
        <v>0</v>
      </c>
      <c r="L1082" s="5">
        <v>0</v>
      </c>
      <c r="M1082" s="5">
        <v>0</v>
      </c>
      <c r="N1082" s="7">
        <f t="shared" si="32"/>
        <v>0</v>
      </c>
      <c r="O1082" s="7">
        <v>0</v>
      </c>
      <c r="P1082" s="7">
        <f t="shared" si="33"/>
        <v>258</v>
      </c>
      <c r="Q1082" s="5">
        <v>0</v>
      </c>
      <c r="R1082" s="5">
        <v>258</v>
      </c>
      <c r="S1082" s="7">
        <v>47957.8</v>
      </c>
      <c r="T1082" s="12">
        <v>43292</v>
      </c>
      <c r="U1082" s="4">
        <v>2</v>
      </c>
      <c r="V1082" s="4">
        <v>9</v>
      </c>
      <c r="W1082" s="4">
        <v>9</v>
      </c>
      <c r="X1082" s="45">
        <f t="shared" si="34"/>
        <v>47957.8</v>
      </c>
      <c r="Y1082" s="14" t="s">
        <v>54</v>
      </c>
      <c r="Z1082" s="14" t="s">
        <v>55</v>
      </c>
      <c r="AA1082" s="14" t="str">
        <f>IFERROR(VLOOKUP(A1082,'[2]UPDATE BILL 2018'!$B:$P,15,0),IFERROR(VLOOKUP(A1082,'[2]UPDATE BILL 2018'!$C:$P,14,0),IFERROR(VLOOKUP(A1082,'[2]UPDATE BILL 2018'!$D:$P,13,0),IFERROR(VLOOKUP(A1082,'[2]UPDATE BILL 2018'!$E:$P,12,0),IFERROR(VLOOKUP(A1082,'[2]UPDATE BILL 2018'!$F:$P,11,0),IFERROR(VLOOKUP(A1082,'[2]UPDATE BILL 2018'!$G:$P,10,0),IFERROR(VLOOKUP(A1082,'[2]UPDATE BILL 2018'!$H:$P,9,0),IFERROR(VLOOKUP(A1082,'[2]UPDATE BILL 2018'!$I:$P,8,0),VLOOKUP(A1082,'[2]UPDATE BILL 2018'!$B:$P,15,0)))))))))</f>
        <v>SITWHPOS171623</v>
      </c>
      <c r="AB1082" s="44">
        <f>IFERROR(VLOOKUP(A1082,'[2]UPDATE BILL 2018'!$B:$T,19,0),IFERROR(VLOOKUP(A1082,'[2]UPDATE BILL 2018'!$C:$T,18,0),IFERROR(VLOOKUP(A1082,'[2]UPDATE BILL 2018'!$D:$T,17,0),IFERROR(VLOOKUP(A1082,'[2]UPDATE BILL 2018'!$E:$T,16,0),IFERROR(VLOOKUP(A1082,'[2]UPDATE BILL 2018'!$F:$T,15,0),IFERROR(VLOOKUP(A1082,'[2]UPDATE BILL 2018'!$G:$T,14,0),IFERROR(VLOOKUP(A1082,'[2]UPDATE BILL 2018'!$H:$T,13,0),IFERROR(VLOOKUP(A1082,'[2]UPDATE BILL 2018'!$I:$T,12,0),VLOOKUP(A1082,'[2]UPDATE BILL 2018'!$B:$T,19,0)))))))))</f>
        <v>43301</v>
      </c>
      <c r="AC1082" s="44" t="str">
        <f>IFERROR(VLOOKUP(A1082,'[2]UPDATE BILL 2018'!$B:$V,21,0),IFERROR(VLOOKUP(A1082,'[2]UPDATE BILL 2018'!$C:$V,20,0),IFERROR(VLOOKUP(A1082,'[2]UPDATE BILL 2018'!$D:$V,19,0),IFERROR(VLOOKUP(A1082,'[2]UPDATE BILL 2018'!$E:$V,18,0),IFERROR(VLOOKUP(A1082,'[2]UPDATE BILL 2018'!$F:$V,17,0),IFERROR(VLOOKUP(A1082,'[2]UPDATE BILL 2018'!$G:$V,16,0),IFERROR(VLOOKUP(A1082,'[2]UPDATE BILL 2018'!$H:$V,15,0),IFERROR(VLOOKUP(A1082,'[2]UPDATE BILL 2018'!$I:$V,14,0),VLOOKUP(A1082,'[2]UPDATE BILL 2018'!$B:$V,21,0)))))))))</f>
        <v>SITC MOJI 1835N</v>
      </c>
      <c r="AD1082" s="29" t="s">
        <v>51</v>
      </c>
      <c r="AE1082" s="24" t="s">
        <v>2425</v>
      </c>
      <c r="AF1082" s="25" t="s">
        <v>2150</v>
      </c>
      <c r="AI1082" s="58"/>
    </row>
    <row r="1083" spans="1:35" ht="16.5" customHeight="1">
      <c r="A1083" s="6" t="s">
        <v>2418</v>
      </c>
      <c r="D1083" s="7">
        <f t="shared" si="31"/>
        <v>0</v>
      </c>
      <c r="E1083" s="7">
        <v>0</v>
      </c>
      <c r="F1083" s="5">
        <v>0</v>
      </c>
      <c r="G1083" s="7">
        <v>0</v>
      </c>
      <c r="H1083" s="5">
        <v>0</v>
      </c>
      <c r="I1083" s="7">
        <v>0</v>
      </c>
      <c r="J1083" s="7">
        <v>0</v>
      </c>
      <c r="K1083" s="5">
        <v>0</v>
      </c>
      <c r="L1083" s="5">
        <v>0</v>
      </c>
      <c r="M1083" s="5">
        <v>0</v>
      </c>
      <c r="N1083" s="7">
        <f t="shared" si="32"/>
        <v>0</v>
      </c>
      <c r="O1083" s="7">
        <v>0</v>
      </c>
      <c r="P1083" s="7">
        <f t="shared" si="33"/>
        <v>189</v>
      </c>
      <c r="Q1083" s="5">
        <v>0</v>
      </c>
      <c r="R1083" s="5">
        <v>189</v>
      </c>
      <c r="S1083" s="7">
        <v>39177</v>
      </c>
      <c r="T1083" s="12">
        <v>43292</v>
      </c>
      <c r="U1083" s="4">
        <v>1</v>
      </c>
      <c r="V1083" s="4">
        <v>9</v>
      </c>
      <c r="W1083" s="4">
        <v>9</v>
      </c>
      <c r="X1083" s="45">
        <f t="shared" si="34"/>
        <v>39177</v>
      </c>
      <c r="Y1083" s="14" t="s">
        <v>58</v>
      </c>
      <c r="Z1083" s="14" t="s">
        <v>1355</v>
      </c>
      <c r="AA1083" s="14" t="str">
        <f>IFERROR(VLOOKUP(A1083,'[2]UPDATE BILL 2018'!$B:$P,15,0),IFERROR(VLOOKUP(A1083,'[2]UPDATE BILL 2018'!$C:$P,14,0),IFERROR(VLOOKUP(A1083,'[2]UPDATE BILL 2018'!$D:$P,13,0),IFERROR(VLOOKUP(A1083,'[2]UPDATE BILL 2018'!$E:$P,12,0),IFERROR(VLOOKUP(A1083,'[2]UPDATE BILL 2018'!$F:$P,11,0),IFERROR(VLOOKUP(A1083,'[2]UPDATE BILL 2018'!$G:$P,10,0),IFERROR(VLOOKUP(A1083,'[2]UPDATE BILL 2018'!$H:$P,9,0),IFERROR(VLOOKUP(A1083,'[2]UPDATE BILL 2018'!$I:$P,8,0),VLOOKUP(A1083,'[2]UPDATE BILL 2018'!$B:$P,15,0)))))))))</f>
        <v>EGLV237800198117</v>
      </c>
      <c r="AB1083" s="44">
        <f>IFERROR(VLOOKUP(A1083,'[2]UPDATE BILL 2018'!$B:$T,19,0),IFERROR(VLOOKUP(A1083,'[2]UPDATE BILL 2018'!$C:$T,18,0),IFERROR(VLOOKUP(A1083,'[2]UPDATE BILL 2018'!$D:$T,17,0),IFERROR(VLOOKUP(A1083,'[2]UPDATE BILL 2018'!$E:$T,16,0),IFERROR(VLOOKUP(A1083,'[2]UPDATE BILL 2018'!$F:$T,15,0),IFERROR(VLOOKUP(A1083,'[2]UPDATE BILL 2018'!$G:$T,14,0),IFERROR(VLOOKUP(A1083,'[2]UPDATE BILL 2018'!$H:$T,13,0),IFERROR(VLOOKUP(A1083,'[2]UPDATE BILL 2018'!$I:$T,12,0),VLOOKUP(A1083,'[2]UPDATE BILL 2018'!$B:$T,19,0)))))))))</f>
        <v>43295</v>
      </c>
      <c r="AC1083" s="44" t="str">
        <f>IFERROR(VLOOKUP(A1083,'[2]UPDATE BILL 2018'!$B:$V,21,0),IFERROR(VLOOKUP(A1083,'[2]UPDATE BILL 2018'!$C:$V,20,0),IFERROR(VLOOKUP(A1083,'[2]UPDATE BILL 2018'!$D:$V,19,0),IFERROR(VLOOKUP(A1083,'[2]UPDATE BILL 2018'!$E:$V,18,0),IFERROR(VLOOKUP(A1083,'[2]UPDATE BILL 2018'!$F:$V,17,0),IFERROR(VLOOKUP(A1083,'[2]UPDATE BILL 2018'!$G:$V,16,0),IFERROR(VLOOKUP(A1083,'[2]UPDATE BILL 2018'!$H:$V,15,0),IFERROR(VLOOKUP(A1083,'[2]UPDATE BILL 2018'!$I:$V,14,0),VLOOKUP(A1083,'[2]UPDATE BILL 2018'!$B:$V,21,0)))))))))</f>
        <v>UNI-ACCORD 0586-559N</v>
      </c>
      <c r="AD1083" s="29" t="s">
        <v>51</v>
      </c>
      <c r="AE1083" s="24" t="s">
        <v>2426</v>
      </c>
      <c r="AF1083" s="25" t="s">
        <v>2150</v>
      </c>
      <c r="AI1083" s="58"/>
    </row>
    <row r="1084" spans="1:35" ht="16.5" customHeight="1">
      <c r="A1084" s="6" t="s">
        <v>2419</v>
      </c>
      <c r="D1084" s="7">
        <f t="shared" si="31"/>
        <v>0</v>
      </c>
      <c r="E1084" s="7">
        <v>0</v>
      </c>
      <c r="F1084" s="5">
        <v>0</v>
      </c>
      <c r="G1084" s="7">
        <v>0</v>
      </c>
      <c r="H1084" s="5">
        <v>0</v>
      </c>
      <c r="I1084" s="7">
        <v>0</v>
      </c>
      <c r="J1084" s="7">
        <v>0</v>
      </c>
      <c r="K1084" s="5">
        <v>0</v>
      </c>
      <c r="L1084" s="5">
        <v>0</v>
      </c>
      <c r="M1084" s="5">
        <v>0</v>
      </c>
      <c r="N1084" s="7">
        <f t="shared" si="32"/>
        <v>0</v>
      </c>
      <c r="O1084" s="7">
        <v>0</v>
      </c>
      <c r="P1084" s="7">
        <f t="shared" si="33"/>
        <v>907</v>
      </c>
      <c r="Q1084" s="5">
        <v>0</v>
      </c>
      <c r="R1084" s="5">
        <v>907</v>
      </c>
      <c r="S1084" s="7">
        <v>138222.39999999999</v>
      </c>
      <c r="T1084" s="12">
        <v>43292</v>
      </c>
      <c r="U1084" s="4">
        <v>8</v>
      </c>
      <c r="V1084" s="4">
        <v>9</v>
      </c>
      <c r="W1084" s="4">
        <v>9</v>
      </c>
      <c r="X1084" s="45">
        <f t="shared" si="34"/>
        <v>138222.39999999999</v>
      </c>
      <c r="Y1084" s="14" t="s">
        <v>54</v>
      </c>
      <c r="Z1084" s="14" t="s">
        <v>59</v>
      </c>
      <c r="AA1084" s="14" t="str">
        <f>IFERROR(VLOOKUP(A1084,'[2]UPDATE BILL 2018'!$B:$P,15,0),IFERROR(VLOOKUP(A1084,'[2]UPDATE BILL 2018'!$C:$P,14,0),IFERROR(VLOOKUP(A1084,'[2]UPDATE BILL 2018'!$D:$P,13,0),IFERROR(VLOOKUP(A1084,'[2]UPDATE BILL 2018'!$E:$P,12,0),IFERROR(VLOOKUP(A1084,'[2]UPDATE BILL 2018'!$F:$P,11,0),IFERROR(VLOOKUP(A1084,'[2]UPDATE BILL 2018'!$G:$P,10,0),IFERROR(VLOOKUP(A1084,'[2]UPDATE BILL 2018'!$H:$P,9,0),IFERROR(VLOOKUP(A1084,'[2]UPDATE BILL 2018'!$I:$P,8,0),VLOOKUP(A1084,'[2]UPDATE BILL 2018'!$B:$P,15,0)))))))))</f>
        <v>SITWHPKW171813</v>
      </c>
      <c r="AB1084" s="44">
        <f>IFERROR(VLOOKUP(A1084,'[2]UPDATE BILL 2018'!$B:$T,19,0),IFERROR(VLOOKUP(A1084,'[2]UPDATE BILL 2018'!$C:$T,18,0),IFERROR(VLOOKUP(A1084,'[2]UPDATE BILL 2018'!$D:$T,17,0),IFERROR(VLOOKUP(A1084,'[2]UPDATE BILL 2018'!$E:$T,16,0),IFERROR(VLOOKUP(A1084,'[2]UPDATE BILL 2018'!$F:$T,15,0),IFERROR(VLOOKUP(A1084,'[2]UPDATE BILL 2018'!$G:$T,14,0),IFERROR(VLOOKUP(A1084,'[2]UPDATE BILL 2018'!$H:$T,13,0),IFERROR(VLOOKUP(A1084,'[2]UPDATE BILL 2018'!$I:$T,12,0),VLOOKUP(A1084,'[2]UPDATE BILL 2018'!$B:$T,19,0)))))))))</f>
        <v>43307</v>
      </c>
      <c r="AC1084" s="44" t="str">
        <f>IFERROR(VLOOKUP(A1084,'[2]UPDATE BILL 2018'!$B:$V,21,0),IFERROR(VLOOKUP(A1084,'[2]UPDATE BILL 2018'!$C:$V,20,0),IFERROR(VLOOKUP(A1084,'[2]UPDATE BILL 2018'!$D:$V,19,0),IFERROR(VLOOKUP(A1084,'[2]UPDATE BILL 2018'!$E:$V,18,0),IFERROR(VLOOKUP(A1084,'[2]UPDATE BILL 2018'!$F:$V,17,0),IFERROR(VLOOKUP(A1084,'[2]UPDATE BILL 2018'!$G:$V,16,0),IFERROR(VLOOKUP(A1084,'[2]UPDATE BILL 2018'!$H:$V,15,0),IFERROR(VLOOKUP(A1084,'[2]UPDATE BILL 2018'!$I:$V,14,0),VLOOKUP(A1084,'[2]UPDATE BILL 2018'!$B:$V,21,0)))))))))</f>
        <v>SITC NAGOYA 1821N</v>
      </c>
      <c r="AD1084" s="29" t="s">
        <v>50</v>
      </c>
      <c r="AE1084" s="24" t="s">
        <v>2427</v>
      </c>
      <c r="AF1084" s="25" t="s">
        <v>2151</v>
      </c>
      <c r="AI1084" s="58"/>
    </row>
    <row r="1085" spans="1:35" ht="16.5" customHeight="1">
      <c r="A1085" s="6" t="s">
        <v>2428</v>
      </c>
      <c r="D1085" s="7">
        <f t="shared" ref="D1085:D1091" si="39">E1085+F1085</f>
        <v>0</v>
      </c>
      <c r="E1085" s="7">
        <v>0</v>
      </c>
      <c r="F1085" s="5">
        <v>0</v>
      </c>
      <c r="G1085" s="7">
        <v>0</v>
      </c>
      <c r="H1085" s="5">
        <v>0</v>
      </c>
      <c r="I1085" s="7">
        <v>0</v>
      </c>
      <c r="J1085" s="7">
        <v>0</v>
      </c>
      <c r="K1085" s="5">
        <v>0</v>
      </c>
      <c r="L1085" s="5">
        <v>0</v>
      </c>
      <c r="M1085" s="5">
        <v>150</v>
      </c>
      <c r="N1085" s="7">
        <f t="shared" ref="N1085:N1091" si="40">M1085-K1085</f>
        <v>150</v>
      </c>
      <c r="O1085" s="7">
        <v>16471.300000000003</v>
      </c>
      <c r="P1085" s="7">
        <f t="shared" ref="P1085:P1091" si="41">+Q1085+R1085</f>
        <v>0</v>
      </c>
      <c r="Q1085" s="5">
        <v>0</v>
      </c>
      <c r="R1085" s="5">
        <v>0</v>
      </c>
      <c r="S1085" s="7">
        <v>0</v>
      </c>
      <c r="T1085" s="12">
        <v>43293</v>
      </c>
      <c r="U1085" s="4">
        <v>2</v>
      </c>
      <c r="V1085" s="4">
        <v>9</v>
      </c>
      <c r="W1085" s="4">
        <v>9</v>
      </c>
      <c r="X1085" s="45">
        <f t="shared" ref="X1085:X1091" si="42">+C1085+G1085+I1085+O1085+S1085</f>
        <v>16471.300000000003</v>
      </c>
      <c r="Y1085" s="14" t="s">
        <v>1633</v>
      </c>
      <c r="Z1085" s="14" t="s">
        <v>1492</v>
      </c>
      <c r="AA1085" s="14" t="str">
        <f>IFERROR(VLOOKUP(A1085,'[2]UPDATE BILL 2018'!$B:$P,15,0),IFERROR(VLOOKUP(A1085,'[2]UPDATE BILL 2018'!$C:$P,14,0),IFERROR(VLOOKUP(A1085,'[2]UPDATE BILL 2018'!$D:$P,13,0),IFERROR(VLOOKUP(A1085,'[2]UPDATE BILL 2018'!$E:$P,12,0),IFERROR(VLOOKUP(A1085,'[2]UPDATE BILL 2018'!$F:$P,11,0),IFERROR(VLOOKUP(A1085,'[2]UPDATE BILL 2018'!$G:$P,10,0),IFERROR(VLOOKUP(A1085,'[2]UPDATE BILL 2018'!$H:$P,9,0),IFERROR(VLOOKUP(A1085,'[2]UPDATE BILL 2018'!$I:$P,8,0),VLOOKUP(A1085,'[2]UPDATE BILL 2018'!$B:$P,15,0)))))))))</f>
        <v>KMTCHPH0564043</v>
      </c>
      <c r="AB1085" s="44">
        <f>IFERROR(VLOOKUP(A1085,'[2]UPDATE BILL 2018'!$B:$T,19,0),IFERROR(VLOOKUP(A1085,'[2]UPDATE BILL 2018'!$C:$T,18,0),IFERROR(VLOOKUP(A1085,'[2]UPDATE BILL 2018'!$D:$T,17,0),IFERROR(VLOOKUP(A1085,'[2]UPDATE BILL 2018'!$E:$T,16,0),IFERROR(VLOOKUP(A1085,'[2]UPDATE BILL 2018'!$F:$T,15,0),IFERROR(VLOOKUP(A1085,'[2]UPDATE BILL 2018'!$G:$T,14,0),IFERROR(VLOOKUP(A1085,'[2]UPDATE BILL 2018'!$H:$T,13,0),IFERROR(VLOOKUP(A1085,'[2]UPDATE BILL 2018'!$I:$T,12,0),VLOOKUP(A1085,'[2]UPDATE BILL 2018'!$B:$T,19,0)))))))))</f>
        <v>43299</v>
      </c>
      <c r="AC1085" s="44" t="str">
        <f>IFERROR(VLOOKUP(A1085,'[2]UPDATE BILL 2018'!$B:$V,21,0),IFERROR(VLOOKUP(A1085,'[2]UPDATE BILL 2018'!$C:$V,20,0),IFERROR(VLOOKUP(A1085,'[2]UPDATE BILL 2018'!$D:$V,19,0),IFERROR(VLOOKUP(A1085,'[2]UPDATE BILL 2018'!$E:$V,18,0),IFERROR(VLOOKUP(A1085,'[2]UPDATE BILL 2018'!$F:$V,17,0),IFERROR(VLOOKUP(A1085,'[2]UPDATE BILL 2018'!$G:$V,16,0),IFERROR(VLOOKUP(A1085,'[2]UPDATE BILL 2018'!$H:$V,15,0),IFERROR(VLOOKUP(A1085,'[2]UPDATE BILL 2018'!$I:$V,14,0),VLOOKUP(A1085,'[2]UPDATE BILL 2018'!$B:$V,21,0)))))))))</f>
        <v>KOTA WANGSA 013N</v>
      </c>
      <c r="AD1085" s="29" t="s">
        <v>70</v>
      </c>
      <c r="AE1085" s="24" t="s">
        <v>2442</v>
      </c>
      <c r="AF1085" s="25" t="s">
        <v>1273</v>
      </c>
      <c r="AI1085" s="58"/>
    </row>
    <row r="1086" spans="1:35" ht="16.5" customHeight="1">
      <c r="A1086" s="6" t="s">
        <v>2429</v>
      </c>
      <c r="B1086" s="5">
        <v>94</v>
      </c>
      <c r="C1086" s="7">
        <v>12044.400000000001</v>
      </c>
      <c r="D1086" s="7">
        <f t="shared" si="39"/>
        <v>0</v>
      </c>
      <c r="E1086" s="7">
        <v>0</v>
      </c>
      <c r="F1086" s="5">
        <v>0</v>
      </c>
      <c r="G1086" s="7">
        <v>0</v>
      </c>
      <c r="H1086" s="5">
        <v>0</v>
      </c>
      <c r="I1086" s="7">
        <v>0</v>
      </c>
      <c r="J1086" s="7">
        <v>0</v>
      </c>
      <c r="K1086" s="5">
        <v>0</v>
      </c>
      <c r="L1086" s="5">
        <v>0</v>
      </c>
      <c r="M1086" s="5">
        <v>0</v>
      </c>
      <c r="N1086" s="7">
        <f t="shared" si="40"/>
        <v>0</v>
      </c>
      <c r="O1086" s="7">
        <v>0</v>
      </c>
      <c r="P1086" s="7">
        <f t="shared" si="41"/>
        <v>0</v>
      </c>
      <c r="Q1086" s="5">
        <v>0</v>
      </c>
      <c r="R1086" s="5">
        <v>0</v>
      </c>
      <c r="S1086" s="7">
        <v>0</v>
      </c>
      <c r="T1086" s="12">
        <v>43293</v>
      </c>
      <c r="U1086" s="4">
        <v>1</v>
      </c>
      <c r="V1086" s="4">
        <v>9</v>
      </c>
      <c r="W1086" s="4">
        <v>9</v>
      </c>
      <c r="X1086" s="45">
        <f t="shared" si="42"/>
        <v>12044.400000000001</v>
      </c>
      <c r="Y1086" s="14" t="s">
        <v>1633</v>
      </c>
      <c r="Z1086" s="14" t="s">
        <v>1492</v>
      </c>
      <c r="AA1086" s="14" t="str">
        <f>IFERROR(VLOOKUP(A1086,'[2]UPDATE BILL 2018'!$B:$P,15,0),IFERROR(VLOOKUP(A1086,'[2]UPDATE BILL 2018'!$C:$P,14,0),IFERROR(VLOOKUP(A1086,'[2]UPDATE BILL 2018'!$D:$P,13,0),IFERROR(VLOOKUP(A1086,'[2]UPDATE BILL 2018'!$E:$P,12,0),IFERROR(VLOOKUP(A1086,'[2]UPDATE BILL 2018'!$F:$P,11,0),IFERROR(VLOOKUP(A1086,'[2]UPDATE BILL 2018'!$G:$P,10,0),IFERROR(VLOOKUP(A1086,'[2]UPDATE BILL 2018'!$H:$P,9,0),IFERROR(VLOOKUP(A1086,'[2]UPDATE BILL 2018'!$I:$P,8,0),VLOOKUP(A1086,'[2]UPDATE BILL 2018'!$B:$P,15,0)))))))))</f>
        <v>KMTCHPH0569271</v>
      </c>
      <c r="AB1086" s="44">
        <f>IFERROR(VLOOKUP(A1086,'[2]UPDATE BILL 2018'!$B:$T,19,0),IFERROR(VLOOKUP(A1086,'[2]UPDATE BILL 2018'!$C:$T,18,0),IFERROR(VLOOKUP(A1086,'[2]UPDATE BILL 2018'!$D:$T,17,0),IFERROR(VLOOKUP(A1086,'[2]UPDATE BILL 2018'!$E:$T,16,0),IFERROR(VLOOKUP(A1086,'[2]UPDATE BILL 2018'!$F:$T,15,0),IFERROR(VLOOKUP(A1086,'[2]UPDATE BILL 2018'!$G:$T,14,0),IFERROR(VLOOKUP(A1086,'[2]UPDATE BILL 2018'!$H:$T,13,0),IFERROR(VLOOKUP(A1086,'[2]UPDATE BILL 2018'!$I:$T,12,0),VLOOKUP(A1086,'[2]UPDATE BILL 2018'!$B:$T,19,0)))))))))</f>
        <v>43303</v>
      </c>
      <c r="AC1086" s="44" t="str">
        <f>IFERROR(VLOOKUP(A1086,'[2]UPDATE BILL 2018'!$B:$V,21,0),IFERROR(VLOOKUP(A1086,'[2]UPDATE BILL 2018'!$C:$V,20,0),IFERROR(VLOOKUP(A1086,'[2]UPDATE BILL 2018'!$D:$V,19,0),IFERROR(VLOOKUP(A1086,'[2]UPDATE BILL 2018'!$E:$V,18,0),IFERROR(VLOOKUP(A1086,'[2]UPDATE BILL 2018'!$F:$V,17,0),IFERROR(VLOOKUP(A1086,'[2]UPDATE BILL 2018'!$G:$V,16,0),IFERROR(VLOOKUP(A1086,'[2]UPDATE BILL 2018'!$H:$V,15,0),IFERROR(VLOOKUP(A1086,'[2]UPDATE BILL 2018'!$I:$V,14,0),VLOOKUP(A1086,'[2]UPDATE BILL 2018'!$B:$V,21,0)))))))))</f>
        <v>SUNNY IRIS 1821N</v>
      </c>
      <c r="AD1086" s="29" t="s">
        <v>70</v>
      </c>
      <c r="AE1086" s="24" t="s">
        <v>2443</v>
      </c>
      <c r="AF1086" s="25" t="s">
        <v>1273</v>
      </c>
      <c r="AI1086" s="58"/>
    </row>
    <row r="1087" spans="1:35" ht="16.5" customHeight="1">
      <c r="A1087" s="6" t="s">
        <v>2430</v>
      </c>
      <c r="D1087" s="7">
        <f t="shared" si="39"/>
        <v>0</v>
      </c>
      <c r="E1087" s="7">
        <v>0</v>
      </c>
      <c r="F1087" s="5">
        <v>0</v>
      </c>
      <c r="G1087" s="7">
        <v>0</v>
      </c>
      <c r="H1087" s="5">
        <v>225</v>
      </c>
      <c r="I1087" s="7">
        <v>24616.1</v>
      </c>
      <c r="J1087" s="7">
        <v>0</v>
      </c>
      <c r="K1087" s="5">
        <v>0</v>
      </c>
      <c r="L1087" s="5">
        <v>0</v>
      </c>
      <c r="M1087" s="5">
        <v>160</v>
      </c>
      <c r="N1087" s="7">
        <f t="shared" si="40"/>
        <v>160</v>
      </c>
      <c r="O1087" s="7">
        <v>4635.5</v>
      </c>
      <c r="P1087" s="7">
        <f t="shared" si="41"/>
        <v>0</v>
      </c>
      <c r="Q1087" s="5">
        <v>0</v>
      </c>
      <c r="R1087" s="5">
        <v>0</v>
      </c>
      <c r="S1087" s="7">
        <v>0</v>
      </c>
      <c r="T1087" s="12">
        <v>43293</v>
      </c>
      <c r="U1087" s="4">
        <v>2</v>
      </c>
      <c r="V1087" s="4">
        <v>9</v>
      </c>
      <c r="W1087" s="4">
        <v>9</v>
      </c>
      <c r="X1087" s="45">
        <f>+C1087+G1087+I1087+O1087+S1087</f>
        <v>29251.599999999999</v>
      </c>
      <c r="Y1087" s="14" t="s">
        <v>54</v>
      </c>
      <c r="Z1087" s="14" t="s">
        <v>57</v>
      </c>
      <c r="AA1087" s="14" t="str">
        <f>IFERROR(VLOOKUP(A1087,'[2]UPDATE BILL 2018'!$B:$P,15,0),IFERROR(VLOOKUP(A1087,'[2]UPDATE BILL 2018'!$C:$P,14,0),IFERROR(VLOOKUP(A1087,'[2]UPDATE BILL 2018'!$D:$P,13,0),IFERROR(VLOOKUP(A1087,'[2]UPDATE BILL 2018'!$E:$P,12,0),IFERROR(VLOOKUP(A1087,'[2]UPDATE BILL 2018'!$F:$P,11,0),IFERROR(VLOOKUP(A1087,'[2]UPDATE BILL 2018'!$G:$P,10,0),IFERROR(VLOOKUP(A1087,'[2]UPDATE BILL 2018'!$H:$P,9,0),IFERROR(VLOOKUP(A1087,'[2]UPDATE BILL 2018'!$I:$P,8,0),VLOOKUP(A1087,'[2]UPDATE BILL 2018'!$B:$P,15,0)))))))))</f>
        <v>SITWHPTK171063</v>
      </c>
      <c r="AB1087" s="44">
        <f>IFERROR(VLOOKUP(A1087,'[2]UPDATE BILL 2018'!$B:$T,19,0),IFERROR(VLOOKUP(A1087,'[2]UPDATE BILL 2018'!$C:$T,18,0),IFERROR(VLOOKUP(A1087,'[2]UPDATE BILL 2018'!$D:$T,17,0),IFERROR(VLOOKUP(A1087,'[2]UPDATE BILL 2018'!$E:$T,16,0),IFERROR(VLOOKUP(A1087,'[2]UPDATE BILL 2018'!$F:$T,15,0),IFERROR(VLOOKUP(A1087,'[2]UPDATE BILL 2018'!$G:$T,14,0),IFERROR(VLOOKUP(A1087,'[2]UPDATE BILL 2018'!$H:$T,13,0),IFERROR(VLOOKUP(A1087,'[2]UPDATE BILL 2018'!$I:$T,12,0),VLOOKUP(A1087,'[2]UPDATE BILL 2018'!$B:$T,19,0)))))))))</f>
        <v>43296</v>
      </c>
      <c r="AC1087" s="44" t="str">
        <f>IFERROR(VLOOKUP(A1087,'[2]UPDATE BILL 2018'!$B:$V,21,0),IFERROR(VLOOKUP(A1087,'[2]UPDATE BILL 2018'!$C:$V,20,0),IFERROR(VLOOKUP(A1087,'[2]UPDATE BILL 2018'!$D:$V,19,0),IFERROR(VLOOKUP(A1087,'[2]UPDATE BILL 2018'!$E:$V,18,0),IFERROR(VLOOKUP(A1087,'[2]UPDATE BILL 2018'!$F:$V,17,0),IFERROR(VLOOKUP(A1087,'[2]UPDATE BILL 2018'!$G:$V,16,0),IFERROR(VLOOKUP(A1087,'[2]UPDATE BILL 2018'!$H:$V,15,0),IFERROR(VLOOKUP(A1087,'[2]UPDATE BILL 2018'!$I:$V,14,0),VLOOKUP(A1087,'[2]UPDATE BILL 2018'!$B:$V,21,0)))))))))</f>
        <v>HYUNDAI HARMONY 1829N</v>
      </c>
      <c r="AD1087" s="29" t="s">
        <v>49</v>
      </c>
      <c r="AE1087" s="24" t="s">
        <v>2444</v>
      </c>
      <c r="AF1087" s="25" t="s">
        <v>1265</v>
      </c>
      <c r="AI1087" s="58"/>
    </row>
    <row r="1088" spans="1:35" ht="16.5" customHeight="1">
      <c r="A1088" s="6" t="s">
        <v>2431</v>
      </c>
      <c r="D1088" s="7">
        <f t="shared" si="39"/>
        <v>0</v>
      </c>
      <c r="E1088" s="7">
        <v>0</v>
      </c>
      <c r="F1088" s="5">
        <v>0</v>
      </c>
      <c r="G1088" s="7">
        <v>0</v>
      </c>
      <c r="H1088" s="5">
        <v>150</v>
      </c>
      <c r="I1088" s="7">
        <v>15514.199999999999</v>
      </c>
      <c r="J1088" s="7">
        <v>0</v>
      </c>
      <c r="K1088" s="5">
        <v>0</v>
      </c>
      <c r="L1088" s="5">
        <v>0</v>
      </c>
      <c r="M1088" s="5">
        <v>28</v>
      </c>
      <c r="N1088" s="7">
        <f t="shared" si="40"/>
        <v>28</v>
      </c>
      <c r="O1088" s="7">
        <v>6711.5999999999995</v>
      </c>
      <c r="P1088" s="7">
        <f t="shared" si="41"/>
        <v>0</v>
      </c>
      <c r="Q1088" s="5">
        <v>0</v>
      </c>
      <c r="R1088" s="5">
        <v>0</v>
      </c>
      <c r="S1088" s="7">
        <v>0</v>
      </c>
      <c r="T1088" s="12">
        <v>43293</v>
      </c>
      <c r="U1088" s="4">
        <v>2</v>
      </c>
      <c r="V1088" s="4">
        <v>9</v>
      </c>
      <c r="W1088" s="4">
        <v>9</v>
      </c>
      <c r="X1088" s="45">
        <f t="shared" ref="X1088:X1089" si="43">+C1088+G1088+I1088+O1088+S1088</f>
        <v>22225.8</v>
      </c>
      <c r="Y1088" s="14" t="s">
        <v>58</v>
      </c>
      <c r="Z1088" s="14" t="s">
        <v>1492</v>
      </c>
      <c r="AA1088" s="14" t="str">
        <f>IFERROR(VLOOKUP(A1088,'[2]UPDATE BILL 2018'!$B:$P,15,0),IFERROR(VLOOKUP(A1088,'[2]UPDATE BILL 2018'!$C:$P,14,0),IFERROR(VLOOKUP(A1088,'[2]UPDATE BILL 2018'!$D:$P,13,0),IFERROR(VLOOKUP(A1088,'[2]UPDATE BILL 2018'!$E:$P,12,0),IFERROR(VLOOKUP(A1088,'[2]UPDATE BILL 2018'!$F:$P,11,0),IFERROR(VLOOKUP(A1088,'[2]UPDATE BILL 2018'!$G:$P,10,0),IFERROR(VLOOKUP(A1088,'[2]UPDATE BILL 2018'!$H:$P,9,0),IFERROR(VLOOKUP(A1088,'[2]UPDATE BILL 2018'!$I:$P,8,0),VLOOKUP(A1088,'[2]UPDATE BILL 2018'!$B:$P,15,0)))))))))</f>
        <v>EGLV237800206438</v>
      </c>
      <c r="AB1088" s="44">
        <f>IFERROR(VLOOKUP(A1088,'[2]UPDATE BILL 2018'!$B:$T,19,0),IFERROR(VLOOKUP(A1088,'[2]UPDATE BILL 2018'!$C:$T,18,0),IFERROR(VLOOKUP(A1088,'[2]UPDATE BILL 2018'!$D:$T,17,0),IFERROR(VLOOKUP(A1088,'[2]UPDATE BILL 2018'!$E:$T,16,0),IFERROR(VLOOKUP(A1088,'[2]UPDATE BILL 2018'!$F:$T,15,0),IFERROR(VLOOKUP(A1088,'[2]UPDATE BILL 2018'!$G:$T,14,0),IFERROR(VLOOKUP(A1088,'[2]UPDATE BILL 2018'!$H:$T,13,0),IFERROR(VLOOKUP(A1088,'[2]UPDATE BILL 2018'!$I:$T,12,0),VLOOKUP(A1088,'[2]UPDATE BILL 2018'!$B:$T,19,0)))))))))</f>
        <v>43300</v>
      </c>
      <c r="AC1088" s="44" t="str">
        <f>IFERROR(VLOOKUP(A1088,'[2]UPDATE BILL 2018'!$B:$V,21,0),IFERROR(VLOOKUP(A1088,'[2]UPDATE BILL 2018'!$C:$V,20,0),IFERROR(VLOOKUP(A1088,'[2]UPDATE BILL 2018'!$D:$V,19,0),IFERROR(VLOOKUP(A1088,'[2]UPDATE BILL 2018'!$E:$V,18,0),IFERROR(VLOOKUP(A1088,'[2]UPDATE BILL 2018'!$F:$V,17,0),IFERROR(VLOOKUP(A1088,'[2]UPDATE BILL 2018'!$G:$V,16,0),IFERROR(VLOOKUP(A1088,'[2]UPDATE BILL 2018'!$H:$V,15,0),IFERROR(VLOOKUP(A1088,'[2]UPDATE BILL 2018'!$I:$V,14,0),VLOOKUP(A1088,'[2]UPDATE BILL 2018'!$B:$V,21,0)))))))))</f>
        <v>MOONCHILD N030</v>
      </c>
      <c r="AD1088" s="29" t="s">
        <v>49</v>
      </c>
      <c r="AE1088" s="24" t="s">
        <v>2445</v>
      </c>
      <c r="AF1088" s="25" t="s">
        <v>1265</v>
      </c>
      <c r="AI1088" s="58"/>
    </row>
    <row r="1089" spans="1:35" ht="16.5" customHeight="1">
      <c r="A1089" s="6" t="s">
        <v>2432</v>
      </c>
      <c r="D1089" s="7">
        <f t="shared" si="39"/>
        <v>0</v>
      </c>
      <c r="E1089" s="7">
        <v>0</v>
      </c>
      <c r="F1089" s="5">
        <v>0</v>
      </c>
      <c r="G1089" s="7">
        <v>0</v>
      </c>
      <c r="H1089" s="5">
        <v>95</v>
      </c>
      <c r="I1089" s="7">
        <v>12156.2</v>
      </c>
      <c r="J1089" s="7">
        <v>0</v>
      </c>
      <c r="K1089" s="5">
        <v>0</v>
      </c>
      <c r="L1089" s="5">
        <v>0</v>
      </c>
      <c r="M1089" s="5">
        <v>0</v>
      </c>
      <c r="N1089" s="7">
        <f t="shared" si="40"/>
        <v>0</v>
      </c>
      <c r="O1089" s="7">
        <v>0</v>
      </c>
      <c r="P1089" s="7">
        <f t="shared" si="41"/>
        <v>0</v>
      </c>
      <c r="Q1089" s="5">
        <v>0</v>
      </c>
      <c r="R1089" s="5">
        <v>0</v>
      </c>
      <c r="S1089" s="7">
        <v>0</v>
      </c>
      <c r="T1089" s="12">
        <v>43293</v>
      </c>
      <c r="U1089" s="4">
        <v>1</v>
      </c>
      <c r="V1089" s="4">
        <v>9</v>
      </c>
      <c r="W1089" s="4">
        <v>9</v>
      </c>
      <c r="X1089" s="45">
        <f t="shared" si="43"/>
        <v>12156.2</v>
      </c>
      <c r="Y1089" s="14" t="s">
        <v>85</v>
      </c>
      <c r="Z1089" s="14" t="s">
        <v>1637</v>
      </c>
      <c r="AA1089" s="14">
        <f>IFERROR(VLOOKUP(A1089,'[2]UPDATE BILL 2018'!$B:$P,15,0),IFERROR(VLOOKUP(A1089,'[2]UPDATE BILL 2018'!$C:$P,14,0),IFERROR(VLOOKUP(A1089,'[2]UPDATE BILL 2018'!$D:$P,13,0),IFERROR(VLOOKUP(A1089,'[2]UPDATE BILL 2018'!$E:$P,12,0),IFERROR(VLOOKUP(A1089,'[2]UPDATE BILL 2018'!$F:$P,11,0),IFERROR(VLOOKUP(A1089,'[2]UPDATE BILL 2018'!$G:$P,10,0),IFERROR(VLOOKUP(A1089,'[2]UPDATE BILL 2018'!$H:$P,9,0),IFERROR(VLOOKUP(A1089,'[2]UPDATE BILL 2018'!$I:$P,8,0),VLOOKUP(A1089,'[2]UPDATE BILL 2018'!$B:$P,15,0)))))))))</f>
        <v>350810079919</v>
      </c>
      <c r="AB1089" s="44">
        <f>IFERROR(VLOOKUP(A1089,'[2]UPDATE BILL 2018'!$B:$T,19,0),IFERROR(VLOOKUP(A1089,'[2]UPDATE BILL 2018'!$C:$T,18,0),IFERROR(VLOOKUP(A1089,'[2]UPDATE BILL 2018'!$D:$T,17,0),IFERROR(VLOOKUP(A1089,'[2]UPDATE BILL 2018'!$E:$T,16,0),IFERROR(VLOOKUP(A1089,'[2]UPDATE BILL 2018'!$F:$T,15,0),IFERROR(VLOOKUP(A1089,'[2]UPDATE BILL 2018'!$G:$T,14,0),IFERROR(VLOOKUP(A1089,'[2]UPDATE BILL 2018'!$H:$T,13,0),IFERROR(VLOOKUP(A1089,'[2]UPDATE BILL 2018'!$I:$T,12,0),VLOOKUP(A1089,'[2]UPDATE BILL 2018'!$B:$T,19,0)))))))))</f>
        <v>43299</v>
      </c>
      <c r="AC1089" s="44" t="str">
        <f>IFERROR(VLOOKUP(A1089,'[2]UPDATE BILL 2018'!$B:$V,21,0),IFERROR(VLOOKUP(A1089,'[2]UPDATE BILL 2018'!$C:$V,20,0),IFERROR(VLOOKUP(A1089,'[2]UPDATE BILL 2018'!$D:$V,19,0),IFERROR(VLOOKUP(A1089,'[2]UPDATE BILL 2018'!$E:$V,18,0),IFERROR(VLOOKUP(A1089,'[2]UPDATE BILL 2018'!$F:$V,17,0),IFERROR(VLOOKUP(A1089,'[2]UPDATE BILL 2018'!$G:$V,16,0),IFERROR(VLOOKUP(A1089,'[2]UPDATE BILL 2018'!$H:$V,15,0),IFERROR(VLOOKUP(A1089,'[2]UPDATE BILL 2018'!$I:$V,14,0),VLOOKUP(A1089,'[2]UPDATE BILL 2018'!$B:$V,21,0)))))))))</f>
        <v>LANTAU BRIDGE 18003N</v>
      </c>
      <c r="AD1089" s="29" t="s">
        <v>49</v>
      </c>
      <c r="AE1089" s="24" t="s">
        <v>2446</v>
      </c>
      <c r="AF1089" s="25" t="s">
        <v>1267</v>
      </c>
      <c r="AI1089" s="58"/>
    </row>
    <row r="1090" spans="1:35" ht="16.5" customHeight="1">
      <c r="A1090" s="6" t="s">
        <v>2433</v>
      </c>
      <c r="B1090" s="5">
        <v>95</v>
      </c>
      <c r="C1090" s="7">
        <v>4921.5</v>
      </c>
      <c r="D1090" s="7">
        <f t="shared" si="39"/>
        <v>0</v>
      </c>
      <c r="E1090" s="7">
        <v>0</v>
      </c>
      <c r="F1090" s="5">
        <v>0</v>
      </c>
      <c r="G1090" s="7">
        <v>0</v>
      </c>
      <c r="H1090" s="5">
        <v>137</v>
      </c>
      <c r="I1090" s="7">
        <v>7645.33</v>
      </c>
      <c r="J1090" s="7">
        <v>0</v>
      </c>
      <c r="K1090" s="5">
        <v>0</v>
      </c>
      <c r="L1090" s="5">
        <v>0</v>
      </c>
      <c r="M1090" s="5">
        <v>108</v>
      </c>
      <c r="N1090" s="7">
        <f t="shared" si="40"/>
        <v>108</v>
      </c>
      <c r="O1090" s="7">
        <v>9479.1999999999989</v>
      </c>
      <c r="P1090" s="7">
        <f t="shared" si="41"/>
        <v>25</v>
      </c>
      <c r="Q1090" s="5">
        <v>0</v>
      </c>
      <c r="R1090" s="5">
        <v>25</v>
      </c>
      <c r="S1090" s="7">
        <v>1256.8499999999999</v>
      </c>
      <c r="T1090" s="12">
        <v>43293</v>
      </c>
      <c r="U1090" s="4">
        <v>2</v>
      </c>
      <c r="V1090" s="4">
        <v>9</v>
      </c>
      <c r="W1090" s="4">
        <v>9</v>
      </c>
      <c r="X1090" s="45">
        <f t="shared" si="42"/>
        <v>23302.879999999997</v>
      </c>
      <c r="Y1090" s="14" t="s">
        <v>54</v>
      </c>
      <c r="Z1090" s="14" t="s">
        <v>1281</v>
      </c>
      <c r="AA1090" s="14" t="str">
        <f>IFERROR(VLOOKUP(A1090,'[2]UPDATE BILL 2018'!$B:$P,15,0),IFERROR(VLOOKUP(A1090,'[2]UPDATE BILL 2018'!$C:$P,14,0),IFERROR(VLOOKUP(A1090,'[2]UPDATE BILL 2018'!$D:$P,13,0),IFERROR(VLOOKUP(A1090,'[2]UPDATE BILL 2018'!$E:$P,12,0),IFERROR(VLOOKUP(A1090,'[2]UPDATE BILL 2018'!$F:$P,11,0),IFERROR(VLOOKUP(A1090,'[2]UPDATE BILL 2018'!$G:$P,10,0),IFERROR(VLOOKUP(A1090,'[2]UPDATE BILL 2018'!$H:$P,9,0),IFERROR(VLOOKUP(A1090,'[2]UPDATE BILL 2018'!$I:$P,8,0),VLOOKUP(A1090,'[2]UPDATE BILL 2018'!$B:$P,15,0)))))))))</f>
        <v>SITWHPHT171867</v>
      </c>
      <c r="AB1090" s="44">
        <f>IFERROR(VLOOKUP(A1090,'[2]UPDATE BILL 2018'!$B:$T,19,0),IFERROR(VLOOKUP(A1090,'[2]UPDATE BILL 2018'!$C:$T,18,0),IFERROR(VLOOKUP(A1090,'[2]UPDATE BILL 2018'!$D:$T,17,0),IFERROR(VLOOKUP(A1090,'[2]UPDATE BILL 2018'!$E:$T,16,0),IFERROR(VLOOKUP(A1090,'[2]UPDATE BILL 2018'!$F:$T,15,0),IFERROR(VLOOKUP(A1090,'[2]UPDATE BILL 2018'!$G:$T,14,0),IFERROR(VLOOKUP(A1090,'[2]UPDATE BILL 2018'!$H:$T,13,0),IFERROR(VLOOKUP(A1090,'[2]UPDATE BILL 2018'!$I:$T,12,0),VLOOKUP(A1090,'[2]UPDATE BILL 2018'!$B:$T,19,0)))))))))</f>
        <v>43296</v>
      </c>
      <c r="AC1090" s="44" t="str">
        <f>IFERROR(VLOOKUP(A1090,'[2]UPDATE BILL 2018'!$B:$V,21,0),IFERROR(VLOOKUP(A1090,'[2]UPDATE BILL 2018'!$C:$V,20,0),IFERROR(VLOOKUP(A1090,'[2]UPDATE BILL 2018'!$D:$V,19,0),IFERROR(VLOOKUP(A1090,'[2]UPDATE BILL 2018'!$E:$V,18,0),IFERROR(VLOOKUP(A1090,'[2]UPDATE BILL 2018'!$F:$V,17,0),IFERROR(VLOOKUP(A1090,'[2]UPDATE BILL 2018'!$G:$V,16,0),IFERROR(VLOOKUP(A1090,'[2]UPDATE BILL 2018'!$H:$V,15,0),IFERROR(VLOOKUP(A1090,'[2]UPDATE BILL 2018'!$I:$V,14,0),VLOOKUP(A1090,'[2]UPDATE BILL 2018'!$B:$V,21,0)))))))))</f>
        <v>EPONYMA 1819N</v>
      </c>
      <c r="AD1090" s="29" t="s">
        <v>52</v>
      </c>
      <c r="AE1090" s="24" t="s">
        <v>2447</v>
      </c>
      <c r="AF1090" s="25" t="s">
        <v>1271</v>
      </c>
      <c r="AI1090" s="58"/>
    </row>
    <row r="1091" spans="1:35" ht="16.5" customHeight="1">
      <c r="A1091" s="6" t="s">
        <v>2434</v>
      </c>
      <c r="B1091" s="5">
        <v>258</v>
      </c>
      <c r="C1091" s="7">
        <v>24437.4</v>
      </c>
      <c r="D1091" s="7">
        <f t="shared" si="39"/>
        <v>0</v>
      </c>
      <c r="E1091" s="7">
        <v>0</v>
      </c>
      <c r="F1091" s="5">
        <v>0</v>
      </c>
      <c r="G1091" s="7">
        <v>0</v>
      </c>
      <c r="H1091" s="5">
        <v>190</v>
      </c>
      <c r="I1091" s="7">
        <v>25093</v>
      </c>
      <c r="J1091" s="7">
        <v>0</v>
      </c>
      <c r="K1091" s="5">
        <v>0</v>
      </c>
      <c r="L1091" s="5">
        <v>0</v>
      </c>
      <c r="M1091" s="5">
        <v>165</v>
      </c>
      <c r="N1091" s="7">
        <f t="shared" si="40"/>
        <v>165</v>
      </c>
      <c r="O1091" s="7">
        <v>18270.400000000001</v>
      </c>
      <c r="P1091" s="7">
        <f t="shared" si="41"/>
        <v>0</v>
      </c>
      <c r="Q1091" s="5">
        <v>0</v>
      </c>
      <c r="R1091" s="5">
        <v>0</v>
      </c>
      <c r="S1091" s="7">
        <v>0</v>
      </c>
      <c r="T1091" s="12">
        <v>43293</v>
      </c>
      <c r="U1091" s="4">
        <v>6</v>
      </c>
      <c r="V1091" s="4">
        <v>9</v>
      </c>
      <c r="W1091" s="4">
        <v>9</v>
      </c>
      <c r="X1091" s="45">
        <f t="shared" si="42"/>
        <v>67800.800000000003</v>
      </c>
      <c r="Y1091" s="14" t="s">
        <v>85</v>
      </c>
      <c r="Z1091" s="14" t="s">
        <v>1355</v>
      </c>
      <c r="AA1091" s="14">
        <f>IFERROR(VLOOKUP(A1091,'[2]UPDATE BILL 2018'!$B:$P,15,0),IFERROR(VLOOKUP(A1091,'[2]UPDATE BILL 2018'!$C:$P,14,0),IFERROR(VLOOKUP(A1091,'[2]UPDATE BILL 2018'!$D:$P,13,0),IFERROR(VLOOKUP(A1091,'[2]UPDATE BILL 2018'!$E:$P,12,0),IFERROR(VLOOKUP(A1091,'[2]UPDATE BILL 2018'!$F:$P,11,0),IFERROR(VLOOKUP(A1091,'[2]UPDATE BILL 2018'!$G:$P,10,0),IFERROR(VLOOKUP(A1091,'[2]UPDATE BILL 2018'!$H:$P,9,0),IFERROR(VLOOKUP(A1091,'[2]UPDATE BILL 2018'!$I:$P,8,0),VLOOKUP(A1091,'[2]UPDATE BILL 2018'!$B:$P,15,0)))))))))</f>
        <v>350810079926</v>
      </c>
      <c r="AB1091" s="44">
        <f>IFERROR(VLOOKUP(A1091,'[2]UPDATE BILL 2018'!$B:$T,19,0),IFERROR(VLOOKUP(A1091,'[2]UPDATE BILL 2018'!$C:$T,18,0),IFERROR(VLOOKUP(A1091,'[2]UPDATE BILL 2018'!$D:$T,17,0),IFERROR(VLOOKUP(A1091,'[2]UPDATE BILL 2018'!$E:$T,16,0),IFERROR(VLOOKUP(A1091,'[2]UPDATE BILL 2018'!$F:$T,15,0),IFERROR(VLOOKUP(A1091,'[2]UPDATE BILL 2018'!$G:$T,14,0),IFERROR(VLOOKUP(A1091,'[2]UPDATE BILL 2018'!$H:$T,13,0),IFERROR(VLOOKUP(A1091,'[2]UPDATE BILL 2018'!$I:$T,12,0),VLOOKUP(A1091,'[2]UPDATE BILL 2018'!$B:$T,19,0)))))))))</f>
        <v>43299</v>
      </c>
      <c r="AC1091" s="44" t="str">
        <f>IFERROR(VLOOKUP(A1091,'[2]UPDATE BILL 2018'!$B:$V,21,0),IFERROR(VLOOKUP(A1091,'[2]UPDATE BILL 2018'!$C:$V,20,0),IFERROR(VLOOKUP(A1091,'[2]UPDATE BILL 2018'!$D:$V,19,0),IFERROR(VLOOKUP(A1091,'[2]UPDATE BILL 2018'!$E:$V,18,0),IFERROR(VLOOKUP(A1091,'[2]UPDATE BILL 2018'!$F:$V,17,0),IFERROR(VLOOKUP(A1091,'[2]UPDATE BILL 2018'!$G:$V,16,0),IFERROR(VLOOKUP(A1091,'[2]UPDATE BILL 2018'!$H:$V,15,0),IFERROR(VLOOKUP(A1091,'[2]UPDATE BILL 2018'!$I:$V,14,0),VLOOKUP(A1091,'[2]UPDATE BILL 2018'!$B:$V,21,0)))))))))</f>
        <v>LANTAU BRIDGE 18003N</v>
      </c>
      <c r="AD1091" s="29" t="s">
        <v>52</v>
      </c>
      <c r="AE1091" s="24" t="s">
        <v>2448</v>
      </c>
      <c r="AF1091" s="25" t="s">
        <v>1271</v>
      </c>
      <c r="AI1091" s="58"/>
    </row>
    <row r="1092" spans="1:35" ht="16.5" customHeight="1">
      <c r="A1092" s="6" t="s">
        <v>2435</v>
      </c>
      <c r="B1092" s="5">
        <v>220</v>
      </c>
      <c r="C1092" s="7">
        <v>22664.6</v>
      </c>
      <c r="D1092" s="7">
        <f t="shared" ref="D1092:D1127" si="44">E1092+F1092</f>
        <v>0</v>
      </c>
      <c r="E1092" s="7">
        <v>0</v>
      </c>
      <c r="F1092" s="5">
        <v>0</v>
      </c>
      <c r="G1092" s="7">
        <v>0</v>
      </c>
      <c r="H1092" s="5">
        <v>75</v>
      </c>
      <c r="I1092" s="7">
        <v>6252.5000000000009</v>
      </c>
      <c r="J1092" s="7">
        <v>0</v>
      </c>
      <c r="K1092" s="5">
        <v>0</v>
      </c>
      <c r="L1092" s="5">
        <v>0</v>
      </c>
      <c r="M1092" s="5">
        <v>5</v>
      </c>
      <c r="N1092" s="7">
        <f t="shared" ref="N1092:N1127" si="45">M1092-K1092</f>
        <v>5</v>
      </c>
      <c r="O1092" s="7">
        <v>116.5</v>
      </c>
      <c r="P1092" s="7">
        <f t="shared" ref="P1092:P1127" si="46">+Q1092+R1092</f>
        <v>5</v>
      </c>
      <c r="Q1092" s="5">
        <v>0</v>
      </c>
      <c r="R1092" s="5">
        <v>5</v>
      </c>
      <c r="S1092" s="7">
        <v>249.5</v>
      </c>
      <c r="T1092" s="12">
        <v>43293</v>
      </c>
      <c r="U1092" s="4">
        <v>2</v>
      </c>
      <c r="V1092" s="4">
        <v>9</v>
      </c>
      <c r="W1092" s="4">
        <v>9</v>
      </c>
      <c r="X1092" s="45">
        <f t="shared" ref="X1092:X1130" si="47">+C1092+G1092+I1092+O1092+S1092</f>
        <v>29283.1</v>
      </c>
      <c r="Y1092" s="14" t="s">
        <v>54</v>
      </c>
      <c r="Z1092" s="14" t="s">
        <v>55</v>
      </c>
      <c r="AA1092" s="14" t="str">
        <f>IFERROR(VLOOKUP(A1092,'[2]UPDATE BILL 2018'!$B:$P,15,0),IFERROR(VLOOKUP(A1092,'[2]UPDATE BILL 2018'!$C:$P,14,0),IFERROR(VLOOKUP(A1092,'[2]UPDATE BILL 2018'!$D:$P,13,0),IFERROR(VLOOKUP(A1092,'[2]UPDATE BILL 2018'!$E:$P,12,0),IFERROR(VLOOKUP(A1092,'[2]UPDATE BILL 2018'!$F:$P,11,0),IFERROR(VLOOKUP(A1092,'[2]UPDATE BILL 2018'!$G:$P,10,0),IFERROR(VLOOKUP(A1092,'[2]UPDATE BILL 2018'!$H:$P,9,0),IFERROR(VLOOKUP(A1092,'[2]UPDATE BILL 2018'!$I:$P,8,0),VLOOKUP(A1092,'[2]UPDATE BILL 2018'!$B:$P,15,0)))))))))</f>
        <v>SITWHPOS171866</v>
      </c>
      <c r="AB1092" s="44">
        <f>IFERROR(VLOOKUP(A1092,'[2]UPDATE BILL 2018'!$B:$T,19,0),IFERROR(VLOOKUP(A1092,'[2]UPDATE BILL 2018'!$C:$T,18,0),IFERROR(VLOOKUP(A1092,'[2]UPDATE BILL 2018'!$D:$T,17,0),IFERROR(VLOOKUP(A1092,'[2]UPDATE BILL 2018'!$E:$T,16,0),IFERROR(VLOOKUP(A1092,'[2]UPDATE BILL 2018'!$F:$T,15,0),IFERROR(VLOOKUP(A1092,'[2]UPDATE BILL 2018'!$G:$T,14,0),IFERROR(VLOOKUP(A1092,'[2]UPDATE BILL 2018'!$H:$T,13,0),IFERROR(VLOOKUP(A1092,'[2]UPDATE BILL 2018'!$I:$T,12,0),VLOOKUP(A1092,'[2]UPDATE BILL 2018'!$B:$T,19,0)))))))))</f>
        <v>43296</v>
      </c>
      <c r="AC1092" s="44" t="str">
        <f>IFERROR(VLOOKUP(A1092,'[2]UPDATE BILL 2018'!$B:$V,21,0),IFERROR(VLOOKUP(A1092,'[2]UPDATE BILL 2018'!$C:$V,20,0),IFERROR(VLOOKUP(A1092,'[2]UPDATE BILL 2018'!$D:$V,19,0),IFERROR(VLOOKUP(A1092,'[2]UPDATE BILL 2018'!$E:$V,18,0),IFERROR(VLOOKUP(A1092,'[2]UPDATE BILL 2018'!$F:$V,17,0),IFERROR(VLOOKUP(A1092,'[2]UPDATE BILL 2018'!$G:$V,16,0),IFERROR(VLOOKUP(A1092,'[2]UPDATE BILL 2018'!$H:$V,15,0),IFERROR(VLOOKUP(A1092,'[2]UPDATE BILL 2018'!$I:$V,14,0),VLOOKUP(A1092,'[2]UPDATE BILL 2018'!$B:$V,21,0)))))))))</f>
        <v>EPONYMA 1819N</v>
      </c>
      <c r="AD1092" s="29" t="s">
        <v>51</v>
      </c>
      <c r="AE1092" s="24" t="s">
        <v>2449</v>
      </c>
      <c r="AF1092" s="25" t="s">
        <v>1270</v>
      </c>
      <c r="AI1092" s="58"/>
    </row>
    <row r="1093" spans="1:35" ht="16.5" customHeight="1">
      <c r="A1093" s="6" t="s">
        <v>2436</v>
      </c>
      <c r="B1093" s="5">
        <v>168</v>
      </c>
      <c r="C1093" s="7">
        <v>13108.99</v>
      </c>
      <c r="D1093" s="7">
        <f t="shared" si="44"/>
        <v>0</v>
      </c>
      <c r="E1093" s="7">
        <v>0</v>
      </c>
      <c r="F1093" s="5">
        <v>0</v>
      </c>
      <c r="G1093" s="7">
        <v>0</v>
      </c>
      <c r="H1093" s="5">
        <v>0</v>
      </c>
      <c r="I1093" s="7">
        <v>0</v>
      </c>
      <c r="J1093" s="7">
        <v>0</v>
      </c>
      <c r="K1093" s="5">
        <v>0</v>
      </c>
      <c r="L1093" s="5">
        <v>0</v>
      </c>
      <c r="M1093" s="5">
        <v>611</v>
      </c>
      <c r="N1093" s="7">
        <f t="shared" si="45"/>
        <v>611</v>
      </c>
      <c r="O1093" s="7">
        <v>52139.6</v>
      </c>
      <c r="P1093" s="7">
        <f t="shared" si="46"/>
        <v>0</v>
      </c>
      <c r="Q1093" s="5">
        <v>0</v>
      </c>
      <c r="R1093" s="5">
        <v>0</v>
      </c>
      <c r="S1093" s="7">
        <v>0</v>
      </c>
      <c r="T1093" s="12">
        <v>43293</v>
      </c>
      <c r="U1093" s="4">
        <v>8</v>
      </c>
      <c r="V1093" s="4">
        <v>9</v>
      </c>
      <c r="W1093" s="4">
        <v>9</v>
      </c>
      <c r="X1093" s="45">
        <f t="shared" si="47"/>
        <v>65248.59</v>
      </c>
      <c r="Y1093" s="14" t="s">
        <v>56</v>
      </c>
      <c r="Z1093" s="14" t="s">
        <v>59</v>
      </c>
      <c r="AA1093" s="14" t="str">
        <f>IFERROR(VLOOKUP(A1093,'[2]UPDATE BILL 2018'!$B:$P,15,0),IFERROR(VLOOKUP(A1093,'[2]UPDATE BILL 2018'!$C:$P,14,0),IFERROR(VLOOKUP(A1093,'[2]UPDATE BILL 2018'!$D:$P,13,0),IFERROR(VLOOKUP(A1093,'[2]UPDATE BILL 2018'!$E:$P,12,0),IFERROR(VLOOKUP(A1093,'[2]UPDATE BILL 2018'!$F:$P,11,0),IFERROR(VLOOKUP(A1093,'[2]UPDATE BILL 2018'!$G:$P,10,0),IFERROR(VLOOKUP(A1093,'[2]UPDATE BILL 2018'!$H:$P,9,0),IFERROR(VLOOKUP(A1093,'[2]UPDATE BILL 2018'!$I:$P,8,0),VLOOKUP(A1093,'[2]UPDATE BILL 2018'!$B:$P,15,0)))))))))</f>
        <v>1008X03531</v>
      </c>
      <c r="AB1093" s="44">
        <f>IFERROR(VLOOKUP(A1093,'[2]UPDATE BILL 2018'!$B:$T,19,0),IFERROR(VLOOKUP(A1093,'[2]UPDATE BILL 2018'!$C:$T,18,0),IFERROR(VLOOKUP(A1093,'[2]UPDATE BILL 2018'!$D:$T,17,0),IFERROR(VLOOKUP(A1093,'[2]UPDATE BILL 2018'!$E:$T,16,0),IFERROR(VLOOKUP(A1093,'[2]UPDATE BILL 2018'!$F:$T,15,0),IFERROR(VLOOKUP(A1093,'[2]UPDATE BILL 2018'!$G:$T,14,0),IFERROR(VLOOKUP(A1093,'[2]UPDATE BILL 2018'!$H:$T,13,0),IFERROR(VLOOKUP(A1093,'[2]UPDATE BILL 2018'!$I:$T,12,0),VLOOKUP(A1093,'[2]UPDATE BILL 2018'!$B:$T,19,0)))))))))</f>
        <v>43299</v>
      </c>
      <c r="AC1093" s="44" t="str">
        <f>IFERROR(VLOOKUP(A1093,'[2]UPDATE BILL 2018'!$B:$V,21,0),IFERROR(VLOOKUP(A1093,'[2]UPDATE BILL 2018'!$C:$V,20,0),IFERROR(VLOOKUP(A1093,'[2]UPDATE BILL 2018'!$D:$V,19,0),IFERROR(VLOOKUP(A1093,'[2]UPDATE BILL 2018'!$E:$V,18,0),IFERROR(VLOOKUP(A1093,'[2]UPDATE BILL 2018'!$F:$V,17,0),IFERROR(VLOOKUP(A1093,'[2]UPDATE BILL 2018'!$G:$V,16,0),IFERROR(VLOOKUP(A1093,'[2]UPDATE BILL 2018'!$H:$V,15,0),IFERROR(VLOOKUP(A1093,'[2]UPDATE BILL 2018'!$I:$V,14,0),VLOOKUP(A1093,'[2]UPDATE BILL 2018'!$B:$V,21,0)))))))))</f>
        <v>AS FRIDA N005</v>
      </c>
      <c r="AD1093" s="29" t="s">
        <v>51</v>
      </c>
      <c r="AE1093" s="24" t="s">
        <v>2450</v>
      </c>
      <c r="AF1093" s="25" t="s">
        <v>1270</v>
      </c>
      <c r="AI1093" s="58"/>
    </row>
    <row r="1094" spans="1:35" ht="16.5" customHeight="1">
      <c r="A1094" s="6" t="s">
        <v>2437</v>
      </c>
      <c r="B1094" s="5">
        <v>194</v>
      </c>
      <c r="C1094" s="7">
        <v>18465.5</v>
      </c>
      <c r="D1094" s="7">
        <f t="shared" si="44"/>
        <v>0</v>
      </c>
      <c r="E1094" s="7">
        <v>0</v>
      </c>
      <c r="F1094" s="5">
        <v>0</v>
      </c>
      <c r="G1094" s="7">
        <v>0</v>
      </c>
      <c r="H1094" s="5">
        <v>0</v>
      </c>
      <c r="I1094" s="7">
        <v>0</v>
      </c>
      <c r="J1094" s="7">
        <v>0</v>
      </c>
      <c r="K1094" s="5">
        <v>0</v>
      </c>
      <c r="L1094" s="5">
        <v>0</v>
      </c>
      <c r="M1094" s="5">
        <v>0</v>
      </c>
      <c r="N1094" s="7">
        <f t="shared" si="45"/>
        <v>0</v>
      </c>
      <c r="O1094" s="7">
        <v>0</v>
      </c>
      <c r="P1094" s="7">
        <f t="shared" si="46"/>
        <v>25</v>
      </c>
      <c r="Q1094" s="5">
        <v>0</v>
      </c>
      <c r="R1094" s="5">
        <v>25</v>
      </c>
      <c r="S1094" s="7">
        <v>5757.5</v>
      </c>
      <c r="T1094" s="12">
        <v>43293</v>
      </c>
      <c r="U1094" s="4">
        <v>2</v>
      </c>
      <c r="V1094" s="4">
        <v>9</v>
      </c>
      <c r="W1094" s="4">
        <v>9</v>
      </c>
      <c r="X1094" s="45">
        <f t="shared" si="47"/>
        <v>24223</v>
      </c>
      <c r="Y1094" s="14" t="s">
        <v>85</v>
      </c>
      <c r="Z1094" s="14" t="s">
        <v>57</v>
      </c>
      <c r="AA1094" s="14">
        <f>IFERROR(VLOOKUP(A1094,'[2]UPDATE BILL 2018'!$B:$P,15,0),IFERROR(VLOOKUP(A1094,'[2]UPDATE BILL 2018'!$C:$P,14,0),IFERROR(VLOOKUP(A1094,'[2]UPDATE BILL 2018'!$D:$P,13,0),IFERROR(VLOOKUP(A1094,'[2]UPDATE BILL 2018'!$E:$P,12,0),IFERROR(VLOOKUP(A1094,'[2]UPDATE BILL 2018'!$F:$P,11,0),IFERROR(VLOOKUP(A1094,'[2]UPDATE BILL 2018'!$G:$P,10,0),IFERROR(VLOOKUP(A1094,'[2]UPDATE BILL 2018'!$H:$P,9,0),IFERROR(VLOOKUP(A1094,'[2]UPDATE BILL 2018'!$I:$P,8,0),VLOOKUP(A1094,'[2]UPDATE BILL 2018'!$B:$P,15,0)))))))))</f>
        <v>350810080311</v>
      </c>
      <c r="AB1094" s="44">
        <f>IFERROR(VLOOKUP(A1094,'[2]UPDATE BILL 2018'!$B:$T,19,0),IFERROR(VLOOKUP(A1094,'[2]UPDATE BILL 2018'!$C:$T,18,0),IFERROR(VLOOKUP(A1094,'[2]UPDATE BILL 2018'!$D:$T,17,0),IFERROR(VLOOKUP(A1094,'[2]UPDATE BILL 2018'!$E:$T,16,0),IFERROR(VLOOKUP(A1094,'[2]UPDATE BILL 2018'!$F:$T,15,0),IFERROR(VLOOKUP(A1094,'[2]UPDATE BILL 2018'!$G:$T,14,0),IFERROR(VLOOKUP(A1094,'[2]UPDATE BILL 2018'!$H:$T,13,0),IFERROR(VLOOKUP(A1094,'[2]UPDATE BILL 2018'!$I:$T,12,0),VLOOKUP(A1094,'[2]UPDATE BILL 2018'!$B:$T,19,0)))))))))</f>
        <v>43298</v>
      </c>
      <c r="AC1094" s="44" t="str">
        <f>IFERROR(VLOOKUP(A1094,'[2]UPDATE BILL 2018'!$B:$V,21,0),IFERROR(VLOOKUP(A1094,'[2]UPDATE BILL 2018'!$C:$V,20,0),IFERROR(VLOOKUP(A1094,'[2]UPDATE BILL 2018'!$D:$V,19,0),IFERROR(VLOOKUP(A1094,'[2]UPDATE BILL 2018'!$E:$V,18,0),IFERROR(VLOOKUP(A1094,'[2]UPDATE BILL 2018'!$F:$V,17,0),IFERROR(VLOOKUP(A1094,'[2]UPDATE BILL 2018'!$G:$V,16,0),IFERROR(VLOOKUP(A1094,'[2]UPDATE BILL 2018'!$H:$V,15,0),IFERROR(VLOOKUP(A1094,'[2]UPDATE BILL 2018'!$I:$V,14,0),VLOOKUP(A1094,'[2]UPDATE BILL 2018'!$B:$V,21,0)))))))))</f>
        <v>HANSE ENDURANCE 18011N</v>
      </c>
      <c r="AD1094" s="29" t="s">
        <v>600</v>
      </c>
      <c r="AE1094" s="24" t="s">
        <v>2451</v>
      </c>
      <c r="AF1094" s="25" t="s">
        <v>2373</v>
      </c>
      <c r="AI1094" s="58"/>
    </row>
    <row r="1095" spans="1:35" ht="16.5" customHeight="1">
      <c r="A1095" s="6" t="s">
        <v>2438</v>
      </c>
      <c r="B1095" s="5">
        <v>179</v>
      </c>
      <c r="C1095" s="7">
        <v>14549.880000000001</v>
      </c>
      <c r="D1095" s="7">
        <f t="shared" si="44"/>
        <v>0</v>
      </c>
      <c r="E1095" s="7">
        <v>0</v>
      </c>
      <c r="F1095" s="5">
        <v>0</v>
      </c>
      <c r="G1095" s="7">
        <v>0</v>
      </c>
      <c r="H1095" s="5">
        <v>0</v>
      </c>
      <c r="I1095" s="7">
        <v>0</v>
      </c>
      <c r="J1095" s="7">
        <v>0</v>
      </c>
      <c r="K1095" s="5">
        <v>0</v>
      </c>
      <c r="L1095" s="5">
        <v>0</v>
      </c>
      <c r="M1095" s="5">
        <v>0</v>
      </c>
      <c r="N1095" s="7">
        <f t="shared" si="45"/>
        <v>0</v>
      </c>
      <c r="O1095" s="7">
        <v>0</v>
      </c>
      <c r="P1095" s="7">
        <f t="shared" si="46"/>
        <v>0</v>
      </c>
      <c r="Q1095" s="5">
        <v>0</v>
      </c>
      <c r="R1095" s="5">
        <v>0</v>
      </c>
      <c r="S1095" s="7">
        <v>0</v>
      </c>
      <c r="T1095" s="12">
        <v>43293</v>
      </c>
      <c r="U1095" s="4">
        <v>1</v>
      </c>
      <c r="V1095" s="4">
        <v>9</v>
      </c>
      <c r="W1095" s="4">
        <v>9</v>
      </c>
      <c r="X1095" s="45">
        <f t="shared" si="47"/>
        <v>14549.880000000001</v>
      </c>
      <c r="Y1095" s="14" t="s">
        <v>54</v>
      </c>
      <c r="Z1095" s="14" t="s">
        <v>59</v>
      </c>
      <c r="AA1095" s="14" t="str">
        <f>IFERROR(VLOOKUP(A1095,'[2]UPDATE BILL 2018'!$B:$P,15,0),IFERROR(VLOOKUP(A1095,'[2]UPDATE BILL 2018'!$C:$P,14,0),IFERROR(VLOOKUP(A1095,'[2]UPDATE BILL 2018'!$D:$P,13,0),IFERROR(VLOOKUP(A1095,'[2]UPDATE BILL 2018'!$E:$P,12,0),IFERROR(VLOOKUP(A1095,'[2]UPDATE BILL 2018'!$F:$P,11,0),IFERROR(VLOOKUP(A1095,'[2]UPDATE BILL 2018'!$G:$P,10,0),IFERROR(VLOOKUP(A1095,'[2]UPDATE BILL 2018'!$H:$P,9,0),IFERROR(VLOOKUP(A1095,'[2]UPDATE BILL 2018'!$I:$P,8,0),VLOOKUP(A1095,'[2]UPDATE BILL 2018'!$B:$P,15,0)))))))))</f>
        <v>SITWHPKW171071</v>
      </c>
      <c r="AB1095" s="44">
        <f>IFERROR(VLOOKUP(A1095,'[2]UPDATE BILL 2018'!$B:$T,19,0),IFERROR(VLOOKUP(A1095,'[2]UPDATE BILL 2018'!$C:$T,18,0),IFERROR(VLOOKUP(A1095,'[2]UPDATE BILL 2018'!$D:$T,17,0),IFERROR(VLOOKUP(A1095,'[2]UPDATE BILL 2018'!$E:$T,16,0),IFERROR(VLOOKUP(A1095,'[2]UPDATE BILL 2018'!$F:$T,15,0),IFERROR(VLOOKUP(A1095,'[2]UPDATE BILL 2018'!$G:$T,14,0),IFERROR(VLOOKUP(A1095,'[2]UPDATE BILL 2018'!$H:$T,13,0),IFERROR(VLOOKUP(A1095,'[2]UPDATE BILL 2018'!$I:$T,12,0),VLOOKUP(A1095,'[2]UPDATE BILL 2018'!$B:$T,19,0)))))))))</f>
        <v>43296</v>
      </c>
      <c r="AC1095" s="44" t="str">
        <f>IFERROR(VLOOKUP(A1095,'[2]UPDATE BILL 2018'!$B:$V,21,0),IFERROR(VLOOKUP(A1095,'[2]UPDATE BILL 2018'!$C:$V,20,0),IFERROR(VLOOKUP(A1095,'[2]UPDATE BILL 2018'!$D:$V,19,0),IFERROR(VLOOKUP(A1095,'[2]UPDATE BILL 2018'!$E:$V,18,0),IFERROR(VLOOKUP(A1095,'[2]UPDATE BILL 2018'!$F:$V,17,0),IFERROR(VLOOKUP(A1095,'[2]UPDATE BILL 2018'!$G:$V,16,0),IFERROR(VLOOKUP(A1095,'[2]UPDATE BILL 2018'!$H:$V,15,0),IFERROR(VLOOKUP(A1095,'[2]UPDATE BILL 2018'!$I:$V,14,0),VLOOKUP(A1095,'[2]UPDATE BILL 2018'!$B:$V,21,0)))))))))</f>
        <v>HYUNDAI HARMONY 1829N</v>
      </c>
      <c r="AD1095" s="29" t="s">
        <v>50</v>
      </c>
      <c r="AE1095" s="24" t="s">
        <v>2452</v>
      </c>
      <c r="AF1095" s="25" t="s">
        <v>1269</v>
      </c>
      <c r="AI1095" s="58"/>
    </row>
    <row r="1096" spans="1:35" ht="16.5" customHeight="1">
      <c r="A1096" s="6" t="s">
        <v>2439</v>
      </c>
      <c r="B1096" s="5">
        <v>150</v>
      </c>
      <c r="C1096" s="7">
        <v>22561.8</v>
      </c>
      <c r="D1096" s="7">
        <f t="shared" si="44"/>
        <v>0</v>
      </c>
      <c r="E1096" s="7">
        <v>0</v>
      </c>
      <c r="F1096" s="5">
        <v>0</v>
      </c>
      <c r="G1096" s="7">
        <v>0</v>
      </c>
      <c r="H1096" s="5">
        <v>0</v>
      </c>
      <c r="I1096" s="7">
        <v>0</v>
      </c>
      <c r="J1096" s="7">
        <v>0</v>
      </c>
      <c r="K1096" s="5">
        <v>0</v>
      </c>
      <c r="L1096" s="5">
        <v>0</v>
      </c>
      <c r="M1096" s="5">
        <v>0</v>
      </c>
      <c r="N1096" s="7">
        <f t="shared" si="45"/>
        <v>0</v>
      </c>
      <c r="O1096" s="7">
        <v>0</v>
      </c>
      <c r="P1096" s="7">
        <f t="shared" si="46"/>
        <v>0</v>
      </c>
      <c r="Q1096" s="5">
        <v>0</v>
      </c>
      <c r="R1096" s="5">
        <v>0</v>
      </c>
      <c r="S1096" s="7">
        <v>0</v>
      </c>
      <c r="T1096" s="12">
        <v>43293</v>
      </c>
      <c r="U1096" s="4">
        <v>2</v>
      </c>
      <c r="V1096" s="4">
        <v>9</v>
      </c>
      <c r="W1096" s="4">
        <v>9</v>
      </c>
      <c r="X1096" s="45">
        <f t="shared" si="47"/>
        <v>22561.8</v>
      </c>
      <c r="Y1096" s="14" t="s">
        <v>54</v>
      </c>
      <c r="Z1096" s="14" t="s">
        <v>730</v>
      </c>
      <c r="AA1096" s="14" t="str">
        <f>IFERROR(VLOOKUP(A1096,'[2]UPDATE BILL 2018'!$B:$P,15,0),IFERROR(VLOOKUP(A1096,'[2]UPDATE BILL 2018'!$C:$P,14,0),IFERROR(VLOOKUP(A1096,'[2]UPDATE BILL 2018'!$D:$P,13,0),IFERROR(VLOOKUP(A1096,'[2]UPDATE BILL 2018'!$E:$P,12,0),IFERROR(VLOOKUP(A1096,'[2]UPDATE BILL 2018'!$F:$P,11,0),IFERROR(VLOOKUP(A1096,'[2]UPDATE BILL 2018'!$G:$P,10,0),IFERROR(VLOOKUP(A1096,'[2]UPDATE BILL 2018'!$H:$P,9,0),IFERROR(VLOOKUP(A1096,'[2]UPDATE BILL 2018'!$I:$P,8,0),VLOOKUP(A1096,'[2]UPDATE BILL 2018'!$B:$P,15,0)))))))))</f>
        <v>SITWHPKW171854</v>
      </c>
      <c r="AB1096" s="44">
        <f>IFERROR(VLOOKUP(A1096,'[2]UPDATE BILL 2018'!$B:$T,19,0),IFERROR(VLOOKUP(A1096,'[2]UPDATE BILL 2018'!$C:$T,18,0),IFERROR(VLOOKUP(A1096,'[2]UPDATE BILL 2018'!$D:$T,17,0),IFERROR(VLOOKUP(A1096,'[2]UPDATE BILL 2018'!$E:$T,16,0),IFERROR(VLOOKUP(A1096,'[2]UPDATE BILL 2018'!$F:$T,15,0),IFERROR(VLOOKUP(A1096,'[2]UPDATE BILL 2018'!$G:$T,14,0),IFERROR(VLOOKUP(A1096,'[2]UPDATE BILL 2018'!$H:$T,13,0),IFERROR(VLOOKUP(A1096,'[2]UPDATE BILL 2018'!$I:$T,12,0),VLOOKUP(A1096,'[2]UPDATE BILL 2018'!$B:$T,19,0)))))))))</f>
        <v>43300</v>
      </c>
      <c r="AC1096" s="44" t="str">
        <f>IFERROR(VLOOKUP(A1096,'[2]UPDATE BILL 2018'!$B:$V,21,0),IFERROR(VLOOKUP(A1096,'[2]UPDATE BILL 2018'!$C:$V,20,0),IFERROR(VLOOKUP(A1096,'[2]UPDATE BILL 2018'!$D:$V,19,0),IFERROR(VLOOKUP(A1096,'[2]UPDATE BILL 2018'!$E:$V,18,0),IFERROR(VLOOKUP(A1096,'[2]UPDATE BILL 2018'!$F:$V,17,0),IFERROR(VLOOKUP(A1096,'[2]UPDATE BILL 2018'!$G:$V,16,0),IFERROR(VLOOKUP(A1096,'[2]UPDATE BILL 2018'!$H:$V,15,0),IFERROR(VLOOKUP(A1096,'[2]UPDATE BILL 2018'!$I:$V,14,0),VLOOKUP(A1096,'[2]UPDATE BILL 2018'!$B:$V,21,0)))))))))</f>
        <v>SITC OSAKA 1821N</v>
      </c>
      <c r="AD1096" s="29" t="s">
        <v>50</v>
      </c>
      <c r="AE1096" s="24" t="s">
        <v>2453</v>
      </c>
      <c r="AF1096" s="25" t="s">
        <v>1269</v>
      </c>
      <c r="AI1096" s="58"/>
    </row>
    <row r="1097" spans="1:35" ht="16.5" customHeight="1">
      <c r="A1097" s="6" t="s">
        <v>2440</v>
      </c>
      <c r="B1097" s="5">
        <v>80</v>
      </c>
      <c r="C1097" s="7">
        <v>8298.14</v>
      </c>
      <c r="D1097" s="7">
        <f t="shared" si="44"/>
        <v>0</v>
      </c>
      <c r="E1097" s="7">
        <v>0</v>
      </c>
      <c r="F1097" s="5">
        <v>0</v>
      </c>
      <c r="G1097" s="7">
        <v>0</v>
      </c>
      <c r="H1097" s="5">
        <v>30</v>
      </c>
      <c r="I1097" s="7">
        <v>3838.8</v>
      </c>
      <c r="J1097" s="7">
        <v>0</v>
      </c>
      <c r="K1097" s="5">
        <v>0</v>
      </c>
      <c r="L1097" s="5">
        <v>0</v>
      </c>
      <c r="M1097" s="5">
        <v>46</v>
      </c>
      <c r="N1097" s="7">
        <f t="shared" si="45"/>
        <v>46</v>
      </c>
      <c r="O1097" s="7">
        <v>8214.5</v>
      </c>
      <c r="P1097" s="7">
        <f t="shared" si="46"/>
        <v>0</v>
      </c>
      <c r="Q1097" s="5">
        <v>0</v>
      </c>
      <c r="R1097" s="5">
        <v>0</v>
      </c>
      <c r="S1097" s="7">
        <v>0</v>
      </c>
      <c r="T1097" s="12">
        <v>43293</v>
      </c>
      <c r="U1097" s="4">
        <v>2</v>
      </c>
      <c r="V1097" s="4">
        <v>9</v>
      </c>
      <c r="W1097" s="4">
        <v>9</v>
      </c>
      <c r="X1097" s="45">
        <f t="shared" si="47"/>
        <v>20351.439999999999</v>
      </c>
      <c r="Y1097" s="14" t="s">
        <v>54</v>
      </c>
      <c r="Z1097" s="14" t="s">
        <v>1492</v>
      </c>
      <c r="AA1097" s="14" t="str">
        <f>IFERROR(VLOOKUP(A1097,'[2]UPDATE BILL 2018'!$B:$P,15,0),IFERROR(VLOOKUP(A1097,'[2]UPDATE BILL 2018'!$C:$P,14,0),IFERROR(VLOOKUP(A1097,'[2]UPDATE BILL 2018'!$D:$P,13,0),IFERROR(VLOOKUP(A1097,'[2]UPDATE BILL 2018'!$E:$P,12,0),IFERROR(VLOOKUP(A1097,'[2]UPDATE BILL 2018'!$F:$P,11,0),IFERROR(VLOOKUP(A1097,'[2]UPDATE BILL 2018'!$G:$P,10,0),IFERROR(VLOOKUP(A1097,'[2]UPDATE BILL 2018'!$H:$P,9,0),IFERROR(VLOOKUP(A1097,'[2]UPDATE BILL 2018'!$I:$P,8,0),VLOOKUP(A1097,'[2]UPDATE BILL 2018'!$B:$P,15,0)))))))))</f>
        <v>SITWHPTK171063</v>
      </c>
      <c r="AB1097" s="44">
        <f>IFERROR(VLOOKUP(A1097,'[2]UPDATE BILL 2018'!$B:$T,19,0),IFERROR(VLOOKUP(A1097,'[2]UPDATE BILL 2018'!$C:$T,18,0),IFERROR(VLOOKUP(A1097,'[2]UPDATE BILL 2018'!$D:$T,17,0),IFERROR(VLOOKUP(A1097,'[2]UPDATE BILL 2018'!$E:$T,16,0),IFERROR(VLOOKUP(A1097,'[2]UPDATE BILL 2018'!$F:$T,15,0),IFERROR(VLOOKUP(A1097,'[2]UPDATE BILL 2018'!$G:$T,14,0),IFERROR(VLOOKUP(A1097,'[2]UPDATE BILL 2018'!$H:$T,13,0),IFERROR(VLOOKUP(A1097,'[2]UPDATE BILL 2018'!$I:$T,12,0),VLOOKUP(A1097,'[2]UPDATE BILL 2018'!$B:$T,19,0)))))))))</f>
        <v>43296</v>
      </c>
      <c r="AC1097" s="44" t="str">
        <f>IFERROR(VLOOKUP(A1097,'[2]UPDATE BILL 2018'!$B:$V,21,0),IFERROR(VLOOKUP(A1097,'[2]UPDATE BILL 2018'!$C:$V,20,0),IFERROR(VLOOKUP(A1097,'[2]UPDATE BILL 2018'!$D:$V,19,0),IFERROR(VLOOKUP(A1097,'[2]UPDATE BILL 2018'!$E:$V,18,0),IFERROR(VLOOKUP(A1097,'[2]UPDATE BILL 2018'!$F:$V,17,0),IFERROR(VLOOKUP(A1097,'[2]UPDATE BILL 2018'!$G:$V,16,0),IFERROR(VLOOKUP(A1097,'[2]UPDATE BILL 2018'!$H:$V,15,0),IFERROR(VLOOKUP(A1097,'[2]UPDATE BILL 2018'!$I:$V,14,0),VLOOKUP(A1097,'[2]UPDATE BILL 2018'!$B:$V,21,0)))))))))</f>
        <v>HYUNDAI HARMONY 1829N</v>
      </c>
      <c r="AD1097" s="29" t="s">
        <v>49</v>
      </c>
      <c r="AE1097" s="24" t="s">
        <v>2454</v>
      </c>
      <c r="AF1097" s="25" t="s">
        <v>1266</v>
      </c>
      <c r="AI1097" s="58"/>
    </row>
    <row r="1098" spans="1:35" ht="16.5" customHeight="1">
      <c r="A1098" s="6" t="s">
        <v>2441</v>
      </c>
      <c r="D1098" s="7">
        <f t="shared" si="44"/>
        <v>0</v>
      </c>
      <c r="E1098" s="7">
        <v>0</v>
      </c>
      <c r="F1098" s="5">
        <v>0</v>
      </c>
      <c r="G1098" s="7">
        <v>0</v>
      </c>
      <c r="H1098" s="5">
        <v>0</v>
      </c>
      <c r="I1098" s="7">
        <v>0</v>
      </c>
      <c r="J1098" s="7">
        <v>0</v>
      </c>
      <c r="K1098" s="5">
        <v>0</v>
      </c>
      <c r="L1098" s="5">
        <v>0</v>
      </c>
      <c r="M1098" s="5">
        <v>0</v>
      </c>
      <c r="N1098" s="7">
        <f t="shared" si="45"/>
        <v>0</v>
      </c>
      <c r="O1098" s="7">
        <v>0</v>
      </c>
      <c r="P1098" s="7">
        <f t="shared" si="46"/>
        <v>110</v>
      </c>
      <c r="Q1098" s="5">
        <v>0</v>
      </c>
      <c r="R1098" s="5">
        <v>110</v>
      </c>
      <c r="S1098" s="7">
        <v>21452</v>
      </c>
      <c r="T1098" s="12">
        <v>43293</v>
      </c>
      <c r="U1098" s="4">
        <v>1</v>
      </c>
      <c r="V1098" s="4">
        <v>9</v>
      </c>
      <c r="W1098" s="4">
        <v>9</v>
      </c>
      <c r="X1098" s="45">
        <f t="shared" si="47"/>
        <v>21452</v>
      </c>
      <c r="Y1098" s="14" t="s">
        <v>56</v>
      </c>
      <c r="Z1098" s="14" t="s">
        <v>1281</v>
      </c>
      <c r="AA1098" s="14" t="str">
        <f>IFERROR(VLOOKUP(A1098,'[2]UPDATE BILL 2018'!$B:$P,15,0),IFERROR(VLOOKUP(A1098,'[2]UPDATE BILL 2018'!$C:$P,14,0),IFERROR(VLOOKUP(A1098,'[2]UPDATE BILL 2018'!$D:$P,13,0),IFERROR(VLOOKUP(A1098,'[2]UPDATE BILL 2018'!$E:$P,12,0),IFERROR(VLOOKUP(A1098,'[2]UPDATE BILL 2018'!$F:$P,11,0),IFERROR(VLOOKUP(A1098,'[2]UPDATE BILL 2018'!$G:$P,10,0),IFERROR(VLOOKUP(A1098,'[2]UPDATE BILL 2018'!$H:$P,9,0),IFERROR(VLOOKUP(A1098,'[2]UPDATE BILL 2018'!$I:$P,8,0),VLOOKUP(A1098,'[2]UPDATE BILL 2018'!$B:$P,15,0)))))))))</f>
        <v>1008X03548</v>
      </c>
      <c r="AB1098" s="44">
        <f>IFERROR(VLOOKUP(A1098,'[2]UPDATE BILL 2018'!$B:$T,19,0),IFERROR(VLOOKUP(A1098,'[2]UPDATE BILL 2018'!$C:$T,18,0),IFERROR(VLOOKUP(A1098,'[2]UPDATE BILL 2018'!$D:$T,17,0),IFERROR(VLOOKUP(A1098,'[2]UPDATE BILL 2018'!$E:$T,16,0),IFERROR(VLOOKUP(A1098,'[2]UPDATE BILL 2018'!$F:$T,15,0),IFERROR(VLOOKUP(A1098,'[2]UPDATE BILL 2018'!$G:$T,14,0),IFERROR(VLOOKUP(A1098,'[2]UPDATE BILL 2018'!$H:$T,13,0),IFERROR(VLOOKUP(A1098,'[2]UPDATE BILL 2018'!$I:$T,12,0),VLOOKUP(A1098,'[2]UPDATE BILL 2018'!$B:$T,19,0)))))))))</f>
        <v>43300</v>
      </c>
      <c r="AC1098" s="44" t="str">
        <f>IFERROR(VLOOKUP(A1098,'[2]UPDATE BILL 2018'!$B:$V,21,0),IFERROR(VLOOKUP(A1098,'[2]UPDATE BILL 2018'!$C:$V,20,0),IFERROR(VLOOKUP(A1098,'[2]UPDATE BILL 2018'!$D:$V,19,0),IFERROR(VLOOKUP(A1098,'[2]UPDATE BILL 2018'!$E:$V,18,0),IFERROR(VLOOKUP(A1098,'[2]UPDATE BILL 2018'!$F:$V,17,0),IFERROR(VLOOKUP(A1098,'[2]UPDATE BILL 2018'!$G:$V,16,0),IFERROR(VLOOKUP(A1098,'[2]UPDATE BILL 2018'!$H:$V,15,0),IFERROR(VLOOKUP(A1098,'[2]UPDATE BILL 2018'!$I:$V,14,0),VLOOKUP(A1098,'[2]UPDATE BILL 2018'!$B:$V,21,0)))))))))</f>
        <v xml:space="preserve">WAN HAI 213  N331  </v>
      </c>
      <c r="AD1098" s="29" t="s">
        <v>52</v>
      </c>
      <c r="AE1098" s="24" t="s">
        <v>2455</v>
      </c>
      <c r="AF1098" s="25" t="s">
        <v>2173</v>
      </c>
      <c r="AI1098" s="58"/>
    </row>
    <row r="1099" spans="1:35" ht="16.5" customHeight="1">
      <c r="A1099" s="6" t="s">
        <v>2456</v>
      </c>
      <c r="D1099" s="7">
        <f t="shared" si="44"/>
        <v>0</v>
      </c>
      <c r="E1099" s="7">
        <v>0</v>
      </c>
      <c r="F1099" s="5">
        <v>0</v>
      </c>
      <c r="G1099" s="7">
        <v>0</v>
      </c>
      <c r="H1099" s="5">
        <v>132</v>
      </c>
      <c r="I1099" s="7">
        <v>11899.53</v>
      </c>
      <c r="J1099" s="7">
        <v>0</v>
      </c>
      <c r="K1099" s="5">
        <v>0</v>
      </c>
      <c r="L1099" s="5">
        <v>0</v>
      </c>
      <c r="M1099" s="5">
        <v>15</v>
      </c>
      <c r="N1099" s="7">
        <f t="shared" si="45"/>
        <v>15</v>
      </c>
      <c r="O1099" s="7">
        <v>276</v>
      </c>
      <c r="P1099" s="7">
        <f t="shared" si="46"/>
        <v>15</v>
      </c>
      <c r="Q1099" s="5">
        <v>0</v>
      </c>
      <c r="R1099" s="5">
        <v>15</v>
      </c>
      <c r="S1099" s="7">
        <v>755.85</v>
      </c>
      <c r="T1099" s="12">
        <v>43294</v>
      </c>
      <c r="U1099" s="4">
        <v>1</v>
      </c>
      <c r="V1099" s="4">
        <v>9</v>
      </c>
      <c r="W1099" s="4">
        <v>9</v>
      </c>
      <c r="X1099" s="45">
        <f t="shared" si="47"/>
        <v>12931.380000000001</v>
      </c>
      <c r="Y1099" s="14" t="s">
        <v>1633</v>
      </c>
      <c r="Z1099" s="14" t="s">
        <v>1492</v>
      </c>
      <c r="AA1099" s="14" t="str">
        <f>IFERROR(VLOOKUP(A1099,'[2]UPDATE BILL 2018'!$B:$P,15,0),IFERROR(VLOOKUP(A1099,'[2]UPDATE BILL 2018'!$C:$P,14,0),IFERROR(VLOOKUP(A1099,'[2]UPDATE BILL 2018'!$D:$P,13,0),IFERROR(VLOOKUP(A1099,'[2]UPDATE BILL 2018'!$E:$P,12,0),IFERROR(VLOOKUP(A1099,'[2]UPDATE BILL 2018'!$F:$P,11,0),IFERROR(VLOOKUP(A1099,'[2]UPDATE BILL 2018'!$G:$P,10,0),IFERROR(VLOOKUP(A1099,'[2]UPDATE BILL 2018'!$H:$P,9,0),IFERROR(VLOOKUP(A1099,'[2]UPDATE BILL 2018'!$I:$P,8,0),VLOOKUP(A1099,'[2]UPDATE BILL 2018'!$B:$P,15,0)))))))))</f>
        <v>KMTCHPH0569271</v>
      </c>
      <c r="AB1099" s="44">
        <f>IFERROR(VLOOKUP(A1099,'[2]UPDATE BILL 2018'!$B:$T,19,0),IFERROR(VLOOKUP(A1099,'[2]UPDATE BILL 2018'!$C:$T,18,0),IFERROR(VLOOKUP(A1099,'[2]UPDATE BILL 2018'!$D:$T,17,0),IFERROR(VLOOKUP(A1099,'[2]UPDATE BILL 2018'!$E:$T,16,0),IFERROR(VLOOKUP(A1099,'[2]UPDATE BILL 2018'!$F:$T,15,0),IFERROR(VLOOKUP(A1099,'[2]UPDATE BILL 2018'!$G:$T,14,0),IFERROR(VLOOKUP(A1099,'[2]UPDATE BILL 2018'!$H:$T,13,0),IFERROR(VLOOKUP(A1099,'[2]UPDATE BILL 2018'!$I:$T,12,0),VLOOKUP(A1099,'[2]UPDATE BILL 2018'!$B:$T,19,0)))))))))</f>
        <v>43303</v>
      </c>
      <c r="AC1099" s="44" t="str">
        <f>IFERROR(VLOOKUP(A1099,'[2]UPDATE BILL 2018'!$B:$V,21,0),IFERROR(VLOOKUP(A1099,'[2]UPDATE BILL 2018'!$C:$V,20,0),IFERROR(VLOOKUP(A1099,'[2]UPDATE BILL 2018'!$D:$V,19,0),IFERROR(VLOOKUP(A1099,'[2]UPDATE BILL 2018'!$E:$V,18,0),IFERROR(VLOOKUP(A1099,'[2]UPDATE BILL 2018'!$F:$V,17,0),IFERROR(VLOOKUP(A1099,'[2]UPDATE BILL 2018'!$G:$V,16,0),IFERROR(VLOOKUP(A1099,'[2]UPDATE BILL 2018'!$H:$V,15,0),IFERROR(VLOOKUP(A1099,'[2]UPDATE BILL 2018'!$I:$V,14,0),VLOOKUP(A1099,'[2]UPDATE BILL 2018'!$B:$V,21,0)))))))))</f>
        <v>SUNNY IRIS 1821N</v>
      </c>
      <c r="AD1099" s="29" t="s">
        <v>70</v>
      </c>
      <c r="AE1099" s="24" t="s">
        <v>2469</v>
      </c>
      <c r="AF1099" s="25" t="s">
        <v>1273</v>
      </c>
      <c r="AI1099" s="58"/>
    </row>
    <row r="1100" spans="1:35" ht="16.5" customHeight="1">
      <c r="A1100" s="6" t="s">
        <v>2457</v>
      </c>
      <c r="B1100" s="5">
        <v>105</v>
      </c>
      <c r="C1100" s="7">
        <v>10880.400000000001</v>
      </c>
      <c r="D1100" s="7">
        <f t="shared" si="44"/>
        <v>0</v>
      </c>
      <c r="E1100" s="7">
        <v>0</v>
      </c>
      <c r="F1100" s="5">
        <v>0</v>
      </c>
      <c r="G1100" s="7">
        <v>0</v>
      </c>
      <c r="H1100" s="5">
        <v>0</v>
      </c>
      <c r="I1100" s="7">
        <v>0</v>
      </c>
      <c r="J1100" s="7">
        <v>0</v>
      </c>
      <c r="K1100" s="5">
        <v>0</v>
      </c>
      <c r="L1100" s="5">
        <v>0</v>
      </c>
      <c r="M1100" s="5">
        <v>52</v>
      </c>
      <c r="N1100" s="7">
        <f t="shared" si="45"/>
        <v>52</v>
      </c>
      <c r="O1100" s="7">
        <v>8640.2000000000007</v>
      </c>
      <c r="P1100" s="7">
        <f t="shared" si="46"/>
        <v>0</v>
      </c>
      <c r="Q1100" s="5">
        <v>0</v>
      </c>
      <c r="R1100" s="5">
        <v>0</v>
      </c>
      <c r="S1100" s="7">
        <v>0</v>
      </c>
      <c r="T1100" s="12">
        <v>43294</v>
      </c>
      <c r="U1100" s="4">
        <v>2</v>
      </c>
      <c r="V1100" s="4">
        <v>9</v>
      </c>
      <c r="W1100" s="4">
        <v>9</v>
      </c>
      <c r="X1100" s="45">
        <f t="shared" si="47"/>
        <v>19520.600000000002</v>
      </c>
      <c r="Y1100" s="14" t="s">
        <v>1633</v>
      </c>
      <c r="Z1100" s="14" t="s">
        <v>1492</v>
      </c>
      <c r="AA1100" s="14" t="str">
        <f>IFERROR(VLOOKUP(A1100,'[2]UPDATE BILL 2018'!$B:$P,15,0),IFERROR(VLOOKUP(A1100,'[2]UPDATE BILL 2018'!$C:$P,14,0),IFERROR(VLOOKUP(A1100,'[2]UPDATE BILL 2018'!$D:$P,13,0),IFERROR(VLOOKUP(A1100,'[2]UPDATE BILL 2018'!$E:$P,12,0),IFERROR(VLOOKUP(A1100,'[2]UPDATE BILL 2018'!$F:$P,11,0),IFERROR(VLOOKUP(A1100,'[2]UPDATE BILL 2018'!$G:$P,10,0),IFERROR(VLOOKUP(A1100,'[2]UPDATE BILL 2018'!$H:$P,9,0),IFERROR(VLOOKUP(A1100,'[2]UPDATE BILL 2018'!$I:$P,8,0),VLOOKUP(A1100,'[2]UPDATE BILL 2018'!$B:$P,15,0)))))))))</f>
        <v>KMTCHPH0564043</v>
      </c>
      <c r="AB1100" s="44">
        <f>IFERROR(VLOOKUP(A1100,'[2]UPDATE BILL 2018'!$B:$T,19,0),IFERROR(VLOOKUP(A1100,'[2]UPDATE BILL 2018'!$C:$T,18,0),IFERROR(VLOOKUP(A1100,'[2]UPDATE BILL 2018'!$D:$T,17,0),IFERROR(VLOOKUP(A1100,'[2]UPDATE BILL 2018'!$E:$T,16,0),IFERROR(VLOOKUP(A1100,'[2]UPDATE BILL 2018'!$F:$T,15,0),IFERROR(VLOOKUP(A1100,'[2]UPDATE BILL 2018'!$G:$T,14,0),IFERROR(VLOOKUP(A1100,'[2]UPDATE BILL 2018'!$H:$T,13,0),IFERROR(VLOOKUP(A1100,'[2]UPDATE BILL 2018'!$I:$T,12,0),VLOOKUP(A1100,'[2]UPDATE BILL 2018'!$B:$T,19,0)))))))))</f>
        <v>43299</v>
      </c>
      <c r="AC1100" s="44" t="str">
        <f>IFERROR(VLOOKUP(A1100,'[2]UPDATE BILL 2018'!$B:$V,21,0),IFERROR(VLOOKUP(A1100,'[2]UPDATE BILL 2018'!$C:$V,20,0),IFERROR(VLOOKUP(A1100,'[2]UPDATE BILL 2018'!$D:$V,19,0),IFERROR(VLOOKUP(A1100,'[2]UPDATE BILL 2018'!$E:$V,18,0),IFERROR(VLOOKUP(A1100,'[2]UPDATE BILL 2018'!$F:$V,17,0),IFERROR(VLOOKUP(A1100,'[2]UPDATE BILL 2018'!$G:$V,16,0),IFERROR(VLOOKUP(A1100,'[2]UPDATE BILL 2018'!$H:$V,15,0),IFERROR(VLOOKUP(A1100,'[2]UPDATE BILL 2018'!$I:$V,14,0),VLOOKUP(A1100,'[2]UPDATE BILL 2018'!$B:$V,21,0)))))))))</f>
        <v>KOTA WANGSA 013N</v>
      </c>
      <c r="AD1100" s="29" t="s">
        <v>70</v>
      </c>
      <c r="AE1100" s="24" t="s">
        <v>2470</v>
      </c>
      <c r="AF1100" s="25" t="s">
        <v>1273</v>
      </c>
      <c r="AI1100" s="58"/>
    </row>
    <row r="1101" spans="1:35" ht="16.5" customHeight="1">
      <c r="A1101" s="6" t="s">
        <v>2458</v>
      </c>
      <c r="D1101" s="7">
        <f t="shared" si="44"/>
        <v>0</v>
      </c>
      <c r="E1101" s="7">
        <v>0</v>
      </c>
      <c r="F1101" s="5">
        <v>0</v>
      </c>
      <c r="G1101" s="7">
        <v>0</v>
      </c>
      <c r="H1101" s="5">
        <v>0</v>
      </c>
      <c r="I1101" s="7">
        <v>0</v>
      </c>
      <c r="J1101" s="7">
        <v>0</v>
      </c>
      <c r="K1101" s="5">
        <v>0</v>
      </c>
      <c r="L1101" s="5">
        <v>0</v>
      </c>
      <c r="M1101" s="5">
        <v>84</v>
      </c>
      <c r="N1101" s="7">
        <f t="shared" si="45"/>
        <v>84</v>
      </c>
      <c r="O1101" s="7">
        <v>20134.8</v>
      </c>
      <c r="P1101" s="7">
        <f t="shared" si="46"/>
        <v>0</v>
      </c>
      <c r="Q1101" s="5">
        <v>0</v>
      </c>
      <c r="R1101" s="5">
        <v>0</v>
      </c>
      <c r="S1101" s="7">
        <v>0</v>
      </c>
      <c r="T1101" s="12">
        <v>43294</v>
      </c>
      <c r="U1101" s="4">
        <v>3</v>
      </c>
      <c r="V1101" s="4">
        <v>9</v>
      </c>
      <c r="W1101" s="4">
        <v>9</v>
      </c>
      <c r="X1101" s="45">
        <f t="shared" si="47"/>
        <v>20134.8</v>
      </c>
      <c r="Y1101" s="14" t="s">
        <v>56</v>
      </c>
      <c r="Z1101" s="14" t="s">
        <v>1355</v>
      </c>
      <c r="AA1101" s="14" t="str">
        <f>IFERROR(VLOOKUP(A1101,'[2]UPDATE BILL 2018'!$B:$P,15,0),IFERROR(VLOOKUP(A1101,'[2]UPDATE BILL 2018'!$C:$P,14,0),IFERROR(VLOOKUP(A1101,'[2]UPDATE BILL 2018'!$D:$P,13,0),IFERROR(VLOOKUP(A1101,'[2]UPDATE BILL 2018'!$E:$P,12,0),IFERROR(VLOOKUP(A1101,'[2]UPDATE BILL 2018'!$F:$P,11,0),IFERROR(VLOOKUP(A1101,'[2]UPDATE BILL 2018'!$G:$P,10,0),IFERROR(VLOOKUP(A1101,'[2]UPDATE BILL 2018'!$H:$P,9,0),IFERROR(VLOOKUP(A1101,'[2]UPDATE BILL 2018'!$I:$P,8,0),VLOOKUP(A1101,'[2]UPDATE BILL 2018'!$B:$P,15,0)))))))))</f>
        <v>1008X03637</v>
      </c>
      <c r="AB1101" s="44">
        <f>IFERROR(VLOOKUP(A1101,'[2]UPDATE BILL 2018'!$B:$T,19,0),IFERROR(VLOOKUP(A1101,'[2]UPDATE BILL 2018'!$C:$T,18,0),IFERROR(VLOOKUP(A1101,'[2]UPDATE BILL 2018'!$D:$T,17,0),IFERROR(VLOOKUP(A1101,'[2]UPDATE BILL 2018'!$E:$T,16,0),IFERROR(VLOOKUP(A1101,'[2]UPDATE BILL 2018'!$F:$T,15,0),IFERROR(VLOOKUP(A1101,'[2]UPDATE BILL 2018'!$G:$T,14,0),IFERROR(VLOOKUP(A1101,'[2]UPDATE BILL 2018'!$H:$T,13,0),IFERROR(VLOOKUP(A1101,'[2]UPDATE BILL 2018'!$I:$T,12,0),VLOOKUP(A1101,'[2]UPDATE BILL 2018'!$B:$T,19,0)))))))))</f>
        <v>43300</v>
      </c>
      <c r="AC1101" s="44" t="str">
        <f>IFERROR(VLOOKUP(A1101,'[2]UPDATE BILL 2018'!$B:$V,21,0),IFERROR(VLOOKUP(A1101,'[2]UPDATE BILL 2018'!$C:$V,20,0),IFERROR(VLOOKUP(A1101,'[2]UPDATE BILL 2018'!$D:$V,19,0),IFERROR(VLOOKUP(A1101,'[2]UPDATE BILL 2018'!$E:$V,18,0),IFERROR(VLOOKUP(A1101,'[2]UPDATE BILL 2018'!$F:$V,17,0),IFERROR(VLOOKUP(A1101,'[2]UPDATE BILL 2018'!$G:$V,16,0),IFERROR(VLOOKUP(A1101,'[2]UPDATE BILL 2018'!$H:$V,15,0),IFERROR(VLOOKUP(A1101,'[2]UPDATE BILL 2018'!$I:$V,14,0),VLOOKUP(A1101,'[2]UPDATE BILL 2018'!$B:$V,21,0)))))))))</f>
        <v>MOONCHILD N030</v>
      </c>
      <c r="AD1101" s="29" t="s">
        <v>49</v>
      </c>
      <c r="AE1101" s="24" t="s">
        <v>2471</v>
      </c>
      <c r="AF1101" s="25" t="s">
        <v>1265</v>
      </c>
      <c r="AI1101" s="58"/>
    </row>
    <row r="1102" spans="1:35" ht="16.5" customHeight="1">
      <c r="A1102" s="6" t="s">
        <v>2459</v>
      </c>
      <c r="D1102" s="7">
        <f t="shared" si="44"/>
        <v>0</v>
      </c>
      <c r="E1102" s="7">
        <v>0</v>
      </c>
      <c r="F1102" s="5">
        <v>0</v>
      </c>
      <c r="G1102" s="7">
        <v>0</v>
      </c>
      <c r="H1102" s="5">
        <v>0</v>
      </c>
      <c r="I1102" s="7">
        <v>0</v>
      </c>
      <c r="J1102" s="7">
        <v>0</v>
      </c>
      <c r="K1102" s="5">
        <v>0</v>
      </c>
      <c r="L1102" s="5">
        <v>0</v>
      </c>
      <c r="M1102" s="5">
        <v>58</v>
      </c>
      <c r="N1102" s="7">
        <f t="shared" si="45"/>
        <v>58</v>
      </c>
      <c r="O1102" s="7">
        <v>10248.599999999999</v>
      </c>
      <c r="P1102" s="7">
        <f t="shared" si="46"/>
        <v>0</v>
      </c>
      <c r="Q1102" s="5">
        <v>0</v>
      </c>
      <c r="R1102" s="5">
        <v>0</v>
      </c>
      <c r="S1102" s="7">
        <v>0</v>
      </c>
      <c r="T1102" s="12">
        <v>43294</v>
      </c>
      <c r="U1102" s="4">
        <v>1</v>
      </c>
      <c r="V1102" s="4">
        <v>9</v>
      </c>
      <c r="W1102" s="4">
        <v>9</v>
      </c>
      <c r="X1102" s="45">
        <f t="shared" si="47"/>
        <v>10248.599999999999</v>
      </c>
      <c r="Y1102" s="14" t="s">
        <v>85</v>
      </c>
      <c r="Z1102" s="14" t="s">
        <v>1637</v>
      </c>
      <c r="AA1102" s="14">
        <f>IFERROR(VLOOKUP(A1102,'[2]UPDATE BILL 2018'!$B:$P,15,0),IFERROR(VLOOKUP(A1102,'[2]UPDATE BILL 2018'!$C:$P,14,0),IFERROR(VLOOKUP(A1102,'[2]UPDATE BILL 2018'!$D:$P,13,0),IFERROR(VLOOKUP(A1102,'[2]UPDATE BILL 2018'!$E:$P,12,0),IFERROR(VLOOKUP(A1102,'[2]UPDATE BILL 2018'!$F:$P,11,0),IFERROR(VLOOKUP(A1102,'[2]UPDATE BILL 2018'!$G:$P,10,0),IFERROR(VLOOKUP(A1102,'[2]UPDATE BILL 2018'!$H:$P,9,0),IFERROR(VLOOKUP(A1102,'[2]UPDATE BILL 2018'!$I:$P,8,0),VLOOKUP(A1102,'[2]UPDATE BILL 2018'!$B:$P,15,0)))))))))</f>
        <v>350810079919</v>
      </c>
      <c r="AB1102" s="44">
        <f>IFERROR(VLOOKUP(A1102,'[2]UPDATE BILL 2018'!$B:$T,19,0),IFERROR(VLOOKUP(A1102,'[2]UPDATE BILL 2018'!$C:$T,18,0),IFERROR(VLOOKUP(A1102,'[2]UPDATE BILL 2018'!$D:$T,17,0),IFERROR(VLOOKUP(A1102,'[2]UPDATE BILL 2018'!$E:$T,16,0),IFERROR(VLOOKUP(A1102,'[2]UPDATE BILL 2018'!$F:$T,15,0),IFERROR(VLOOKUP(A1102,'[2]UPDATE BILL 2018'!$G:$T,14,0),IFERROR(VLOOKUP(A1102,'[2]UPDATE BILL 2018'!$H:$T,13,0),IFERROR(VLOOKUP(A1102,'[2]UPDATE BILL 2018'!$I:$T,12,0),VLOOKUP(A1102,'[2]UPDATE BILL 2018'!$B:$T,19,0)))))))))</f>
        <v>43299</v>
      </c>
      <c r="AC1102" s="44" t="str">
        <f>IFERROR(VLOOKUP(A1102,'[2]UPDATE BILL 2018'!$B:$V,21,0),IFERROR(VLOOKUP(A1102,'[2]UPDATE BILL 2018'!$C:$V,20,0),IFERROR(VLOOKUP(A1102,'[2]UPDATE BILL 2018'!$D:$V,19,0),IFERROR(VLOOKUP(A1102,'[2]UPDATE BILL 2018'!$E:$V,18,0),IFERROR(VLOOKUP(A1102,'[2]UPDATE BILL 2018'!$F:$V,17,0),IFERROR(VLOOKUP(A1102,'[2]UPDATE BILL 2018'!$G:$V,16,0),IFERROR(VLOOKUP(A1102,'[2]UPDATE BILL 2018'!$H:$V,15,0),IFERROR(VLOOKUP(A1102,'[2]UPDATE BILL 2018'!$I:$V,14,0),VLOOKUP(A1102,'[2]UPDATE BILL 2018'!$B:$V,21,0)))))))))</f>
        <v>LANTAU BRIDGE 18003N</v>
      </c>
      <c r="AD1102" s="29" t="s">
        <v>49</v>
      </c>
      <c r="AE1102" s="24" t="s">
        <v>2472</v>
      </c>
      <c r="AF1102" s="25" t="s">
        <v>1267</v>
      </c>
      <c r="AI1102" s="58"/>
    </row>
    <row r="1103" spans="1:35" ht="16.5" customHeight="1">
      <c r="A1103" s="6" t="s">
        <v>2460</v>
      </c>
      <c r="D1103" s="7">
        <f t="shared" si="44"/>
        <v>0</v>
      </c>
      <c r="E1103" s="7">
        <v>0</v>
      </c>
      <c r="F1103" s="5">
        <v>0</v>
      </c>
      <c r="G1103" s="7">
        <v>0</v>
      </c>
      <c r="H1103" s="5">
        <v>0</v>
      </c>
      <c r="I1103" s="7">
        <v>0</v>
      </c>
      <c r="J1103" s="7">
        <v>0</v>
      </c>
      <c r="K1103" s="5">
        <v>0</v>
      </c>
      <c r="L1103" s="5">
        <v>0</v>
      </c>
      <c r="M1103" s="5">
        <v>48</v>
      </c>
      <c r="N1103" s="7">
        <f t="shared" si="45"/>
        <v>48</v>
      </c>
      <c r="O1103" s="7">
        <v>8416.9</v>
      </c>
      <c r="P1103" s="7">
        <f t="shared" si="46"/>
        <v>0</v>
      </c>
      <c r="Q1103" s="5">
        <v>0</v>
      </c>
      <c r="R1103" s="5">
        <v>0</v>
      </c>
      <c r="S1103" s="7">
        <v>0</v>
      </c>
      <c r="T1103" s="12">
        <v>43294</v>
      </c>
      <c r="U1103" s="4">
        <v>1</v>
      </c>
      <c r="V1103" s="4">
        <v>9</v>
      </c>
      <c r="W1103" s="4">
        <v>9</v>
      </c>
      <c r="X1103" s="45">
        <f t="shared" si="47"/>
        <v>8416.9</v>
      </c>
      <c r="Y1103" s="14" t="s">
        <v>85</v>
      </c>
      <c r="Z1103" s="14" t="s">
        <v>1492</v>
      </c>
      <c r="AA1103" s="14">
        <f>IFERROR(VLOOKUP(A1103,'[2]UPDATE BILL 2018'!$B:$P,15,0),IFERROR(VLOOKUP(A1103,'[2]UPDATE BILL 2018'!$C:$P,14,0),IFERROR(VLOOKUP(A1103,'[2]UPDATE BILL 2018'!$D:$P,13,0),IFERROR(VLOOKUP(A1103,'[2]UPDATE BILL 2018'!$E:$P,12,0),IFERROR(VLOOKUP(A1103,'[2]UPDATE BILL 2018'!$F:$P,11,0),IFERROR(VLOOKUP(A1103,'[2]UPDATE BILL 2018'!$G:$P,10,0),IFERROR(VLOOKUP(A1103,'[2]UPDATE BILL 2018'!$H:$P,9,0),IFERROR(VLOOKUP(A1103,'[2]UPDATE BILL 2018'!$I:$P,8,0),VLOOKUP(A1103,'[2]UPDATE BILL 2018'!$B:$P,15,0)))))))))</f>
        <v>350810076055</v>
      </c>
      <c r="AB1103" s="44">
        <f>IFERROR(VLOOKUP(A1103,'[2]UPDATE BILL 2018'!$B:$T,19,0),IFERROR(VLOOKUP(A1103,'[2]UPDATE BILL 2018'!$C:$T,18,0),IFERROR(VLOOKUP(A1103,'[2]UPDATE BILL 2018'!$D:$T,17,0),IFERROR(VLOOKUP(A1103,'[2]UPDATE BILL 2018'!$E:$T,16,0),IFERROR(VLOOKUP(A1103,'[2]UPDATE BILL 2018'!$F:$T,15,0),IFERROR(VLOOKUP(A1103,'[2]UPDATE BILL 2018'!$G:$T,14,0),IFERROR(VLOOKUP(A1103,'[2]UPDATE BILL 2018'!$H:$T,13,0),IFERROR(VLOOKUP(A1103,'[2]UPDATE BILL 2018'!$I:$T,12,0),VLOOKUP(A1103,'[2]UPDATE BILL 2018'!$B:$T,19,0)))))))))</f>
        <v>43298</v>
      </c>
      <c r="AC1103" s="44" t="str">
        <f>IFERROR(VLOOKUP(A1103,'[2]UPDATE BILL 2018'!$B:$V,21,0),IFERROR(VLOOKUP(A1103,'[2]UPDATE BILL 2018'!$C:$V,20,0),IFERROR(VLOOKUP(A1103,'[2]UPDATE BILL 2018'!$D:$V,19,0),IFERROR(VLOOKUP(A1103,'[2]UPDATE BILL 2018'!$E:$V,18,0),IFERROR(VLOOKUP(A1103,'[2]UPDATE BILL 2018'!$F:$V,17,0),IFERROR(VLOOKUP(A1103,'[2]UPDATE BILL 2018'!$G:$V,16,0),IFERROR(VLOOKUP(A1103,'[2]UPDATE BILL 2018'!$H:$V,15,0),IFERROR(VLOOKUP(A1103,'[2]UPDATE BILL 2018'!$I:$V,14,0),VLOOKUP(A1103,'[2]UPDATE BILL 2018'!$B:$V,21,0)))))))))</f>
        <v>HANSE ENDURANCE 18011N</v>
      </c>
      <c r="AD1103" s="29" t="s">
        <v>49</v>
      </c>
      <c r="AE1103" s="52" t="s">
        <v>2473</v>
      </c>
      <c r="AF1103" s="25" t="s">
        <v>1267</v>
      </c>
      <c r="AI1103" s="58"/>
    </row>
    <row r="1104" spans="1:35" ht="16.5" customHeight="1">
      <c r="A1104" s="6" t="s">
        <v>2461</v>
      </c>
      <c r="D1104" s="7">
        <f t="shared" si="44"/>
        <v>0</v>
      </c>
      <c r="E1104" s="7">
        <v>0</v>
      </c>
      <c r="F1104" s="5">
        <v>0</v>
      </c>
      <c r="G1104" s="7">
        <v>0</v>
      </c>
      <c r="H1104" s="5">
        <v>0</v>
      </c>
      <c r="I1104" s="7">
        <v>0</v>
      </c>
      <c r="J1104" s="7">
        <v>0</v>
      </c>
      <c r="K1104" s="5">
        <v>0</v>
      </c>
      <c r="L1104" s="5">
        <v>0</v>
      </c>
      <c r="M1104" s="5">
        <v>190</v>
      </c>
      <c r="N1104" s="7">
        <f t="shared" si="45"/>
        <v>190</v>
      </c>
      <c r="O1104" s="7">
        <v>19679.8</v>
      </c>
      <c r="P1104" s="7">
        <f t="shared" si="46"/>
        <v>0</v>
      </c>
      <c r="Q1104" s="5">
        <v>0</v>
      </c>
      <c r="R1104" s="5">
        <v>0</v>
      </c>
      <c r="S1104" s="7">
        <v>0</v>
      </c>
      <c r="T1104" s="12">
        <v>43294</v>
      </c>
      <c r="U1104" s="4">
        <v>3</v>
      </c>
      <c r="V1104" s="4">
        <v>9</v>
      </c>
      <c r="W1104" s="4">
        <v>9</v>
      </c>
      <c r="X1104" s="45">
        <f t="shared" si="47"/>
        <v>19679.8</v>
      </c>
      <c r="Y1104" s="14" t="s">
        <v>56</v>
      </c>
      <c r="Z1104" s="14" t="s">
        <v>1281</v>
      </c>
      <c r="AA1104" s="14" t="str">
        <f>IFERROR(VLOOKUP(A1104,'[2]UPDATE BILL 2018'!$B:$P,15,0),IFERROR(VLOOKUP(A1104,'[2]UPDATE BILL 2018'!$C:$P,14,0),IFERROR(VLOOKUP(A1104,'[2]UPDATE BILL 2018'!$D:$P,13,0),IFERROR(VLOOKUP(A1104,'[2]UPDATE BILL 2018'!$E:$P,12,0),IFERROR(VLOOKUP(A1104,'[2]UPDATE BILL 2018'!$F:$P,11,0),IFERROR(VLOOKUP(A1104,'[2]UPDATE BILL 2018'!$G:$P,10,0),IFERROR(VLOOKUP(A1104,'[2]UPDATE BILL 2018'!$H:$P,9,0),IFERROR(VLOOKUP(A1104,'[2]UPDATE BILL 2018'!$I:$P,8,0),VLOOKUP(A1104,'[2]UPDATE BILL 2018'!$B:$P,15,0)))))))))</f>
        <v>1008X03548</v>
      </c>
      <c r="AB1104" s="44">
        <f>IFERROR(VLOOKUP(A1104,'[2]UPDATE BILL 2018'!$B:$T,19,0),IFERROR(VLOOKUP(A1104,'[2]UPDATE BILL 2018'!$C:$T,18,0),IFERROR(VLOOKUP(A1104,'[2]UPDATE BILL 2018'!$D:$T,17,0),IFERROR(VLOOKUP(A1104,'[2]UPDATE BILL 2018'!$E:$T,16,0),IFERROR(VLOOKUP(A1104,'[2]UPDATE BILL 2018'!$F:$T,15,0),IFERROR(VLOOKUP(A1104,'[2]UPDATE BILL 2018'!$G:$T,14,0),IFERROR(VLOOKUP(A1104,'[2]UPDATE BILL 2018'!$H:$T,13,0),IFERROR(VLOOKUP(A1104,'[2]UPDATE BILL 2018'!$I:$T,12,0),VLOOKUP(A1104,'[2]UPDATE BILL 2018'!$B:$T,19,0)))))))))</f>
        <v>43300</v>
      </c>
      <c r="AC1104" s="44" t="str">
        <f>IFERROR(VLOOKUP(A1104,'[2]UPDATE BILL 2018'!$B:$V,21,0),IFERROR(VLOOKUP(A1104,'[2]UPDATE BILL 2018'!$C:$V,20,0),IFERROR(VLOOKUP(A1104,'[2]UPDATE BILL 2018'!$D:$V,19,0),IFERROR(VLOOKUP(A1104,'[2]UPDATE BILL 2018'!$E:$V,18,0),IFERROR(VLOOKUP(A1104,'[2]UPDATE BILL 2018'!$F:$V,17,0),IFERROR(VLOOKUP(A1104,'[2]UPDATE BILL 2018'!$G:$V,16,0),IFERROR(VLOOKUP(A1104,'[2]UPDATE BILL 2018'!$H:$V,15,0),IFERROR(VLOOKUP(A1104,'[2]UPDATE BILL 2018'!$I:$V,14,0),VLOOKUP(A1104,'[2]UPDATE BILL 2018'!$B:$V,21,0)))))))))</f>
        <v xml:space="preserve">WAN HAI 213  N331  </v>
      </c>
      <c r="AD1104" s="29" t="s">
        <v>52</v>
      </c>
      <c r="AE1104" s="24" t="s">
        <v>2474</v>
      </c>
      <c r="AF1104" s="25" t="s">
        <v>1271</v>
      </c>
      <c r="AI1104" s="58"/>
    </row>
    <row r="1105" spans="1:35" ht="16.5" customHeight="1">
      <c r="A1105" s="6" t="s">
        <v>2462</v>
      </c>
      <c r="D1105" s="7">
        <f t="shared" si="44"/>
        <v>0</v>
      </c>
      <c r="E1105" s="7">
        <v>0</v>
      </c>
      <c r="F1105" s="5">
        <v>0</v>
      </c>
      <c r="G1105" s="7">
        <v>0</v>
      </c>
      <c r="H1105" s="5">
        <v>0</v>
      </c>
      <c r="I1105" s="7">
        <v>0</v>
      </c>
      <c r="J1105" s="7">
        <v>0</v>
      </c>
      <c r="K1105" s="5">
        <v>0</v>
      </c>
      <c r="L1105" s="5">
        <v>0</v>
      </c>
      <c r="M1105" s="5">
        <v>80</v>
      </c>
      <c r="N1105" s="7">
        <f t="shared" si="45"/>
        <v>80</v>
      </c>
      <c r="O1105" s="7">
        <v>10346.6</v>
      </c>
      <c r="P1105" s="7">
        <f t="shared" si="46"/>
        <v>0</v>
      </c>
      <c r="Q1105" s="5">
        <v>0</v>
      </c>
      <c r="R1105" s="5">
        <v>0</v>
      </c>
      <c r="S1105" s="7">
        <v>0</v>
      </c>
      <c r="T1105" s="12">
        <v>43294</v>
      </c>
      <c r="U1105" s="4">
        <v>1</v>
      </c>
      <c r="V1105" s="4">
        <v>9</v>
      </c>
      <c r="W1105" s="4">
        <v>9</v>
      </c>
      <c r="X1105" s="45">
        <f t="shared" si="47"/>
        <v>10346.6</v>
      </c>
      <c r="Y1105" s="14" t="s">
        <v>54</v>
      </c>
      <c r="Z1105" s="14" t="s">
        <v>1281</v>
      </c>
      <c r="AA1105" s="14" t="str">
        <f>IFERROR(VLOOKUP(A1105,'[2]UPDATE BILL 2018'!$B:$P,15,0),IFERROR(VLOOKUP(A1105,'[2]UPDATE BILL 2018'!$C:$P,14,0),IFERROR(VLOOKUP(A1105,'[2]UPDATE BILL 2018'!$D:$P,13,0),IFERROR(VLOOKUP(A1105,'[2]UPDATE BILL 2018'!$E:$P,12,0),IFERROR(VLOOKUP(A1105,'[2]UPDATE BILL 2018'!$F:$P,11,0),IFERROR(VLOOKUP(A1105,'[2]UPDATE BILL 2018'!$G:$P,10,0),IFERROR(VLOOKUP(A1105,'[2]UPDATE BILL 2018'!$H:$P,9,0),IFERROR(VLOOKUP(A1105,'[2]UPDATE BILL 2018'!$I:$P,8,0),VLOOKUP(A1105,'[2]UPDATE BILL 2018'!$B:$P,15,0)))))))))</f>
        <v>SITWHPHT171867</v>
      </c>
      <c r="AB1105" s="44">
        <f>IFERROR(VLOOKUP(A1105,'[2]UPDATE BILL 2018'!$B:$T,19,0),IFERROR(VLOOKUP(A1105,'[2]UPDATE BILL 2018'!$C:$T,18,0),IFERROR(VLOOKUP(A1105,'[2]UPDATE BILL 2018'!$D:$T,17,0),IFERROR(VLOOKUP(A1105,'[2]UPDATE BILL 2018'!$E:$T,16,0),IFERROR(VLOOKUP(A1105,'[2]UPDATE BILL 2018'!$F:$T,15,0),IFERROR(VLOOKUP(A1105,'[2]UPDATE BILL 2018'!$G:$T,14,0),IFERROR(VLOOKUP(A1105,'[2]UPDATE BILL 2018'!$H:$T,13,0),IFERROR(VLOOKUP(A1105,'[2]UPDATE BILL 2018'!$I:$T,12,0),VLOOKUP(A1105,'[2]UPDATE BILL 2018'!$B:$T,19,0)))))))))</f>
        <v>43296</v>
      </c>
      <c r="AC1105" s="44" t="str">
        <f>IFERROR(VLOOKUP(A1105,'[2]UPDATE BILL 2018'!$B:$V,21,0),IFERROR(VLOOKUP(A1105,'[2]UPDATE BILL 2018'!$C:$V,20,0),IFERROR(VLOOKUP(A1105,'[2]UPDATE BILL 2018'!$D:$V,19,0),IFERROR(VLOOKUP(A1105,'[2]UPDATE BILL 2018'!$E:$V,18,0),IFERROR(VLOOKUP(A1105,'[2]UPDATE BILL 2018'!$F:$V,17,0),IFERROR(VLOOKUP(A1105,'[2]UPDATE BILL 2018'!$G:$V,16,0),IFERROR(VLOOKUP(A1105,'[2]UPDATE BILL 2018'!$H:$V,15,0),IFERROR(VLOOKUP(A1105,'[2]UPDATE BILL 2018'!$I:$V,14,0),VLOOKUP(A1105,'[2]UPDATE BILL 2018'!$B:$V,21,0)))))))))</f>
        <v>EPONYMA 1819N</v>
      </c>
      <c r="AD1105" s="29" t="s">
        <v>52</v>
      </c>
      <c r="AE1105" s="24" t="s">
        <v>2475</v>
      </c>
      <c r="AF1105" s="25" t="s">
        <v>1271</v>
      </c>
      <c r="AI1105" s="58"/>
    </row>
    <row r="1106" spans="1:35" ht="16.5" customHeight="1">
      <c r="A1106" s="6" t="s">
        <v>2463</v>
      </c>
      <c r="B1106" s="5">
        <v>94</v>
      </c>
      <c r="C1106" s="7">
        <v>20725.400000000001</v>
      </c>
      <c r="D1106" s="7">
        <f t="shared" si="44"/>
        <v>0</v>
      </c>
      <c r="E1106" s="7">
        <v>0</v>
      </c>
      <c r="F1106" s="5">
        <v>0</v>
      </c>
      <c r="G1106" s="7">
        <v>0</v>
      </c>
      <c r="H1106" s="5">
        <v>115</v>
      </c>
      <c r="I1106" s="7">
        <v>12992.7</v>
      </c>
      <c r="J1106" s="7">
        <v>0</v>
      </c>
      <c r="K1106" s="5">
        <v>0</v>
      </c>
      <c r="L1106" s="5">
        <v>0</v>
      </c>
      <c r="M1106" s="5">
        <v>56</v>
      </c>
      <c r="N1106" s="7">
        <f t="shared" si="45"/>
        <v>56</v>
      </c>
      <c r="O1106" s="7">
        <v>13423.199999999999</v>
      </c>
      <c r="P1106" s="7">
        <f t="shared" si="46"/>
        <v>0</v>
      </c>
      <c r="Q1106" s="5">
        <v>0</v>
      </c>
      <c r="R1106" s="5">
        <v>0</v>
      </c>
      <c r="S1106" s="7">
        <v>0</v>
      </c>
      <c r="T1106" s="12">
        <v>43294</v>
      </c>
      <c r="U1106" s="4">
        <v>5</v>
      </c>
      <c r="V1106" s="4">
        <v>9</v>
      </c>
      <c r="W1106" s="4">
        <v>9</v>
      </c>
      <c r="X1106" s="45">
        <f t="shared" si="47"/>
        <v>47141.3</v>
      </c>
      <c r="Y1106" s="14" t="s">
        <v>56</v>
      </c>
      <c r="Z1106" s="14" t="s">
        <v>55</v>
      </c>
      <c r="AA1106" s="14" t="str">
        <f>IFERROR(VLOOKUP(A1106,'[2]UPDATE BILL 2018'!$B:$P,15,0),IFERROR(VLOOKUP(A1106,'[2]UPDATE BILL 2018'!$C:$P,14,0),IFERROR(VLOOKUP(A1106,'[2]UPDATE BILL 2018'!$D:$P,13,0),IFERROR(VLOOKUP(A1106,'[2]UPDATE BILL 2018'!$E:$P,12,0),IFERROR(VLOOKUP(A1106,'[2]UPDATE BILL 2018'!$F:$P,11,0),IFERROR(VLOOKUP(A1106,'[2]UPDATE BILL 2018'!$G:$P,10,0),IFERROR(VLOOKUP(A1106,'[2]UPDATE BILL 2018'!$H:$P,9,0),IFERROR(VLOOKUP(A1106,'[2]UPDATE BILL 2018'!$I:$P,8,0),VLOOKUP(A1106,'[2]UPDATE BILL 2018'!$B:$P,15,0)))))))))</f>
        <v>1008X03531</v>
      </c>
      <c r="AB1106" s="44">
        <f>IFERROR(VLOOKUP(A1106,'[2]UPDATE BILL 2018'!$B:$T,19,0),IFERROR(VLOOKUP(A1106,'[2]UPDATE BILL 2018'!$C:$T,18,0),IFERROR(VLOOKUP(A1106,'[2]UPDATE BILL 2018'!$D:$T,17,0),IFERROR(VLOOKUP(A1106,'[2]UPDATE BILL 2018'!$E:$T,16,0),IFERROR(VLOOKUP(A1106,'[2]UPDATE BILL 2018'!$F:$T,15,0),IFERROR(VLOOKUP(A1106,'[2]UPDATE BILL 2018'!$G:$T,14,0),IFERROR(VLOOKUP(A1106,'[2]UPDATE BILL 2018'!$H:$T,13,0),IFERROR(VLOOKUP(A1106,'[2]UPDATE BILL 2018'!$I:$T,12,0),VLOOKUP(A1106,'[2]UPDATE BILL 2018'!$B:$T,19,0)))))))))</f>
        <v>43299</v>
      </c>
      <c r="AC1106" s="44" t="str">
        <f>IFERROR(VLOOKUP(A1106,'[2]UPDATE BILL 2018'!$B:$V,21,0),IFERROR(VLOOKUP(A1106,'[2]UPDATE BILL 2018'!$C:$V,20,0),IFERROR(VLOOKUP(A1106,'[2]UPDATE BILL 2018'!$D:$V,19,0),IFERROR(VLOOKUP(A1106,'[2]UPDATE BILL 2018'!$E:$V,18,0),IFERROR(VLOOKUP(A1106,'[2]UPDATE BILL 2018'!$F:$V,17,0),IFERROR(VLOOKUP(A1106,'[2]UPDATE BILL 2018'!$G:$V,16,0),IFERROR(VLOOKUP(A1106,'[2]UPDATE BILL 2018'!$H:$V,15,0),IFERROR(VLOOKUP(A1106,'[2]UPDATE BILL 2018'!$I:$V,14,0),VLOOKUP(A1106,'[2]UPDATE BILL 2018'!$B:$V,21,0)))))))))</f>
        <v>AS FRIDA N005</v>
      </c>
      <c r="AD1106" s="29" t="s">
        <v>51</v>
      </c>
      <c r="AE1106" s="24" t="s">
        <v>2476</v>
      </c>
      <c r="AF1106" s="25" t="s">
        <v>1270</v>
      </c>
      <c r="AI1106" s="58"/>
    </row>
    <row r="1107" spans="1:35" ht="16.5" customHeight="1">
      <c r="A1107" s="6" t="s">
        <v>2464</v>
      </c>
      <c r="B1107" s="5">
        <v>795</v>
      </c>
      <c r="C1107" s="7">
        <v>99824.700000000012</v>
      </c>
      <c r="D1107" s="7">
        <f t="shared" si="44"/>
        <v>0</v>
      </c>
      <c r="E1107" s="7">
        <v>0</v>
      </c>
      <c r="F1107" s="5">
        <v>0</v>
      </c>
      <c r="G1107" s="7">
        <v>0</v>
      </c>
      <c r="H1107" s="5">
        <v>165</v>
      </c>
      <c r="I1107" s="7">
        <v>16221</v>
      </c>
      <c r="J1107" s="7">
        <v>0</v>
      </c>
      <c r="K1107" s="5">
        <v>0</v>
      </c>
      <c r="L1107" s="5">
        <v>0</v>
      </c>
      <c r="M1107" s="5">
        <v>35</v>
      </c>
      <c r="N1107" s="7">
        <f t="shared" si="45"/>
        <v>35</v>
      </c>
      <c r="O1107" s="7">
        <v>9413.5</v>
      </c>
      <c r="P1107" s="7">
        <f t="shared" si="46"/>
        <v>0</v>
      </c>
      <c r="Q1107" s="5">
        <v>0</v>
      </c>
      <c r="R1107" s="5">
        <v>0</v>
      </c>
      <c r="S1107" s="7">
        <v>0</v>
      </c>
      <c r="T1107" s="12">
        <v>43294</v>
      </c>
      <c r="U1107" s="4">
        <v>10</v>
      </c>
      <c r="V1107" s="4">
        <v>9</v>
      </c>
      <c r="W1107" s="4">
        <v>9</v>
      </c>
      <c r="X1107" s="45">
        <f t="shared" si="47"/>
        <v>125459.20000000001</v>
      </c>
      <c r="Y1107" s="14" t="s">
        <v>56</v>
      </c>
      <c r="Z1107" s="14" t="s">
        <v>59</v>
      </c>
      <c r="AA1107" s="14" t="str">
        <f>IFERROR(VLOOKUP(A1107,'[2]UPDATE BILL 2018'!$B:$P,15,0),IFERROR(VLOOKUP(A1107,'[2]UPDATE BILL 2018'!$C:$P,14,0),IFERROR(VLOOKUP(A1107,'[2]UPDATE BILL 2018'!$D:$P,13,0),IFERROR(VLOOKUP(A1107,'[2]UPDATE BILL 2018'!$E:$P,12,0),IFERROR(VLOOKUP(A1107,'[2]UPDATE BILL 2018'!$F:$P,11,0),IFERROR(VLOOKUP(A1107,'[2]UPDATE BILL 2018'!$G:$P,10,0),IFERROR(VLOOKUP(A1107,'[2]UPDATE BILL 2018'!$H:$P,9,0),IFERROR(VLOOKUP(A1107,'[2]UPDATE BILL 2018'!$I:$P,8,0),VLOOKUP(A1107,'[2]UPDATE BILL 2018'!$B:$P,15,0)))))))))</f>
        <v>1008X03736</v>
      </c>
      <c r="AB1107" s="44">
        <f>IFERROR(VLOOKUP(A1107,'[2]UPDATE BILL 2018'!$B:$T,19,0),IFERROR(VLOOKUP(A1107,'[2]UPDATE BILL 2018'!$C:$T,18,0),IFERROR(VLOOKUP(A1107,'[2]UPDATE BILL 2018'!$D:$T,17,0),IFERROR(VLOOKUP(A1107,'[2]UPDATE BILL 2018'!$E:$T,16,0),IFERROR(VLOOKUP(A1107,'[2]UPDATE BILL 2018'!$F:$T,15,0),IFERROR(VLOOKUP(A1107,'[2]UPDATE BILL 2018'!$G:$T,14,0),IFERROR(VLOOKUP(A1107,'[2]UPDATE BILL 2018'!$H:$T,13,0),IFERROR(VLOOKUP(A1107,'[2]UPDATE BILL 2018'!$I:$T,12,0),VLOOKUP(A1107,'[2]UPDATE BILL 2018'!$B:$T,19,0)))))))))</f>
        <v>43306</v>
      </c>
      <c r="AC1107" s="44" t="str">
        <f>IFERROR(VLOOKUP(A1107,'[2]UPDATE BILL 2018'!$B:$V,21,0),IFERROR(VLOOKUP(A1107,'[2]UPDATE BILL 2018'!$C:$V,20,0),IFERROR(VLOOKUP(A1107,'[2]UPDATE BILL 2018'!$D:$V,19,0),IFERROR(VLOOKUP(A1107,'[2]UPDATE BILL 2018'!$E:$V,18,0),IFERROR(VLOOKUP(A1107,'[2]UPDATE BILL 2018'!$F:$V,17,0),IFERROR(VLOOKUP(A1107,'[2]UPDATE BILL 2018'!$G:$V,16,0),IFERROR(VLOOKUP(A1107,'[2]UPDATE BILL 2018'!$H:$V,15,0),IFERROR(VLOOKUP(A1107,'[2]UPDATE BILL 2018'!$I:$V,14,0),VLOOKUP(A1107,'[2]UPDATE BILL 2018'!$B:$V,21,0)))))))))</f>
        <v>AS FIONA N007</v>
      </c>
      <c r="AD1107" s="29" t="s">
        <v>51</v>
      </c>
      <c r="AE1107" s="24" t="s">
        <v>2477</v>
      </c>
      <c r="AF1107" s="25" t="s">
        <v>1270</v>
      </c>
      <c r="AI1107" s="58"/>
    </row>
    <row r="1108" spans="1:35" ht="16.5" customHeight="1">
      <c r="A1108" s="6" t="s">
        <v>2465</v>
      </c>
      <c r="D1108" s="7">
        <f t="shared" si="44"/>
        <v>0</v>
      </c>
      <c r="E1108" s="7">
        <v>0</v>
      </c>
      <c r="F1108" s="5">
        <v>0</v>
      </c>
      <c r="G1108" s="7">
        <v>0</v>
      </c>
      <c r="H1108" s="5">
        <v>0</v>
      </c>
      <c r="I1108" s="7">
        <v>0</v>
      </c>
      <c r="J1108" s="7">
        <v>0</v>
      </c>
      <c r="K1108" s="5">
        <v>0</v>
      </c>
      <c r="L1108" s="5">
        <v>0</v>
      </c>
      <c r="M1108" s="5">
        <v>35</v>
      </c>
      <c r="N1108" s="7">
        <f t="shared" si="45"/>
        <v>35</v>
      </c>
      <c r="O1108" s="7">
        <v>8490.2000000000007</v>
      </c>
      <c r="P1108" s="7">
        <f t="shared" si="46"/>
        <v>0</v>
      </c>
      <c r="Q1108" s="5">
        <v>0</v>
      </c>
      <c r="R1108" s="5">
        <v>0</v>
      </c>
      <c r="S1108" s="7">
        <v>0</v>
      </c>
      <c r="T1108" s="12">
        <v>43294</v>
      </c>
      <c r="U1108" s="4">
        <v>1</v>
      </c>
      <c r="V1108" s="4">
        <v>9</v>
      </c>
      <c r="W1108" s="4">
        <v>9</v>
      </c>
      <c r="X1108" s="45">
        <f t="shared" si="47"/>
        <v>8490.2000000000007</v>
      </c>
      <c r="Y1108" s="14" t="s">
        <v>54</v>
      </c>
      <c r="Z1108" s="14" t="s">
        <v>59</v>
      </c>
      <c r="AA1108" s="14" t="str">
        <f>IFERROR(VLOOKUP(A1108,'[2]UPDATE BILL 2018'!$B:$P,15,0),IFERROR(VLOOKUP(A1108,'[2]UPDATE BILL 2018'!$C:$P,14,0),IFERROR(VLOOKUP(A1108,'[2]UPDATE BILL 2018'!$D:$P,13,0),IFERROR(VLOOKUP(A1108,'[2]UPDATE BILL 2018'!$E:$P,12,0),IFERROR(VLOOKUP(A1108,'[2]UPDATE BILL 2018'!$F:$P,11,0),IFERROR(VLOOKUP(A1108,'[2]UPDATE BILL 2018'!$G:$P,10,0),IFERROR(VLOOKUP(A1108,'[2]UPDATE BILL 2018'!$H:$P,9,0),IFERROR(VLOOKUP(A1108,'[2]UPDATE BILL 2018'!$I:$P,8,0),VLOOKUP(A1108,'[2]UPDATE BILL 2018'!$B:$P,15,0)))))))))</f>
        <v>SITWHPKW171071</v>
      </c>
      <c r="AB1108" s="44">
        <f>IFERROR(VLOOKUP(A1108,'[2]UPDATE BILL 2018'!$B:$T,19,0),IFERROR(VLOOKUP(A1108,'[2]UPDATE BILL 2018'!$C:$T,18,0),IFERROR(VLOOKUP(A1108,'[2]UPDATE BILL 2018'!$D:$T,17,0),IFERROR(VLOOKUP(A1108,'[2]UPDATE BILL 2018'!$E:$T,16,0),IFERROR(VLOOKUP(A1108,'[2]UPDATE BILL 2018'!$F:$T,15,0),IFERROR(VLOOKUP(A1108,'[2]UPDATE BILL 2018'!$G:$T,14,0),IFERROR(VLOOKUP(A1108,'[2]UPDATE BILL 2018'!$H:$T,13,0),IFERROR(VLOOKUP(A1108,'[2]UPDATE BILL 2018'!$I:$T,12,0),VLOOKUP(A1108,'[2]UPDATE BILL 2018'!$B:$T,19,0)))))))))</f>
        <v>43296</v>
      </c>
      <c r="AC1108" s="44" t="str">
        <f>IFERROR(VLOOKUP(A1108,'[2]UPDATE BILL 2018'!$B:$V,21,0),IFERROR(VLOOKUP(A1108,'[2]UPDATE BILL 2018'!$C:$V,20,0),IFERROR(VLOOKUP(A1108,'[2]UPDATE BILL 2018'!$D:$V,19,0),IFERROR(VLOOKUP(A1108,'[2]UPDATE BILL 2018'!$E:$V,18,0),IFERROR(VLOOKUP(A1108,'[2]UPDATE BILL 2018'!$F:$V,17,0),IFERROR(VLOOKUP(A1108,'[2]UPDATE BILL 2018'!$G:$V,16,0),IFERROR(VLOOKUP(A1108,'[2]UPDATE BILL 2018'!$H:$V,15,0),IFERROR(VLOOKUP(A1108,'[2]UPDATE BILL 2018'!$I:$V,14,0),VLOOKUP(A1108,'[2]UPDATE BILL 2018'!$B:$V,21,0)))))))))</f>
        <v>HYUNDAI HARMONY 1829N</v>
      </c>
      <c r="AD1108" s="29" t="s">
        <v>50</v>
      </c>
      <c r="AE1108" s="24" t="s">
        <v>2478</v>
      </c>
      <c r="AF1108" s="25" t="s">
        <v>1269</v>
      </c>
      <c r="AI1108" s="58"/>
    </row>
    <row r="1109" spans="1:35" ht="16.5" customHeight="1">
      <c r="A1109" s="6" t="s">
        <v>2466</v>
      </c>
      <c r="B1109" s="5">
        <v>57</v>
      </c>
      <c r="C1109" s="7">
        <v>8475.9</v>
      </c>
      <c r="D1109" s="7">
        <f t="shared" si="44"/>
        <v>0</v>
      </c>
      <c r="E1109" s="7">
        <v>0</v>
      </c>
      <c r="F1109" s="5">
        <v>0</v>
      </c>
      <c r="G1109" s="7">
        <v>0</v>
      </c>
      <c r="H1109" s="5">
        <v>0</v>
      </c>
      <c r="I1109" s="7">
        <v>0</v>
      </c>
      <c r="J1109" s="7">
        <v>0</v>
      </c>
      <c r="K1109" s="5">
        <v>0</v>
      </c>
      <c r="L1109" s="5">
        <v>0</v>
      </c>
      <c r="M1109" s="5">
        <v>0</v>
      </c>
      <c r="N1109" s="7">
        <f t="shared" si="45"/>
        <v>0</v>
      </c>
      <c r="O1109" s="7">
        <v>0</v>
      </c>
      <c r="P1109" s="7">
        <f t="shared" si="46"/>
        <v>0</v>
      </c>
      <c r="Q1109" s="5">
        <v>0</v>
      </c>
      <c r="R1109" s="5">
        <v>0</v>
      </c>
      <c r="S1109" s="7">
        <v>0</v>
      </c>
      <c r="T1109" s="12">
        <v>43294</v>
      </c>
      <c r="U1109" s="4">
        <v>1</v>
      </c>
      <c r="V1109" s="4">
        <v>9</v>
      </c>
      <c r="W1109" s="4">
        <v>9</v>
      </c>
      <c r="X1109" s="45">
        <f t="shared" si="47"/>
        <v>8475.9</v>
      </c>
      <c r="Y1109" s="14" t="s">
        <v>54</v>
      </c>
      <c r="Z1109" s="14" t="s">
        <v>730</v>
      </c>
      <c r="AA1109" s="14" t="str">
        <f>IFERROR(VLOOKUP(A1109,'[2]UPDATE BILL 2018'!$B:$P,15,0),IFERROR(VLOOKUP(A1109,'[2]UPDATE BILL 2018'!$C:$P,14,0),IFERROR(VLOOKUP(A1109,'[2]UPDATE BILL 2018'!$D:$P,13,0),IFERROR(VLOOKUP(A1109,'[2]UPDATE BILL 2018'!$E:$P,12,0),IFERROR(VLOOKUP(A1109,'[2]UPDATE BILL 2018'!$F:$P,11,0),IFERROR(VLOOKUP(A1109,'[2]UPDATE BILL 2018'!$G:$P,10,0),IFERROR(VLOOKUP(A1109,'[2]UPDATE BILL 2018'!$H:$P,9,0),IFERROR(VLOOKUP(A1109,'[2]UPDATE BILL 2018'!$I:$P,8,0),VLOOKUP(A1109,'[2]UPDATE BILL 2018'!$B:$P,15,0)))))))))</f>
        <v>SITWHPKW171854</v>
      </c>
      <c r="AB1109" s="44">
        <f>IFERROR(VLOOKUP(A1109,'[2]UPDATE BILL 2018'!$B:$T,19,0),IFERROR(VLOOKUP(A1109,'[2]UPDATE BILL 2018'!$C:$T,18,0),IFERROR(VLOOKUP(A1109,'[2]UPDATE BILL 2018'!$D:$T,17,0),IFERROR(VLOOKUP(A1109,'[2]UPDATE BILL 2018'!$E:$T,16,0),IFERROR(VLOOKUP(A1109,'[2]UPDATE BILL 2018'!$F:$T,15,0),IFERROR(VLOOKUP(A1109,'[2]UPDATE BILL 2018'!$G:$T,14,0),IFERROR(VLOOKUP(A1109,'[2]UPDATE BILL 2018'!$H:$T,13,0),IFERROR(VLOOKUP(A1109,'[2]UPDATE BILL 2018'!$I:$T,12,0),VLOOKUP(A1109,'[2]UPDATE BILL 2018'!$B:$T,19,0)))))))))</f>
        <v>43300</v>
      </c>
      <c r="AC1109" s="44" t="str">
        <f>IFERROR(VLOOKUP(A1109,'[2]UPDATE BILL 2018'!$B:$V,21,0),IFERROR(VLOOKUP(A1109,'[2]UPDATE BILL 2018'!$C:$V,20,0),IFERROR(VLOOKUP(A1109,'[2]UPDATE BILL 2018'!$D:$V,19,0),IFERROR(VLOOKUP(A1109,'[2]UPDATE BILL 2018'!$E:$V,18,0),IFERROR(VLOOKUP(A1109,'[2]UPDATE BILL 2018'!$F:$V,17,0),IFERROR(VLOOKUP(A1109,'[2]UPDATE BILL 2018'!$G:$V,16,0),IFERROR(VLOOKUP(A1109,'[2]UPDATE BILL 2018'!$H:$V,15,0),IFERROR(VLOOKUP(A1109,'[2]UPDATE BILL 2018'!$I:$V,14,0),VLOOKUP(A1109,'[2]UPDATE BILL 2018'!$B:$V,21,0)))))))))</f>
        <v>SITC OSAKA 1821N</v>
      </c>
      <c r="AD1109" s="29" t="s">
        <v>50</v>
      </c>
      <c r="AE1109" s="24" t="s">
        <v>2479</v>
      </c>
      <c r="AF1109" s="25" t="s">
        <v>1269</v>
      </c>
      <c r="AI1109" s="58"/>
    </row>
    <row r="1110" spans="1:35" ht="16.5" customHeight="1">
      <c r="A1110" s="6" t="s">
        <v>2467</v>
      </c>
      <c r="D1110" s="7">
        <f t="shared" si="44"/>
        <v>0</v>
      </c>
      <c r="E1110" s="7">
        <v>0</v>
      </c>
      <c r="F1110" s="5">
        <v>0</v>
      </c>
      <c r="G1110" s="7">
        <v>0</v>
      </c>
      <c r="H1110" s="5">
        <v>0</v>
      </c>
      <c r="I1110" s="7">
        <v>0</v>
      </c>
      <c r="J1110" s="7">
        <v>0</v>
      </c>
      <c r="K1110" s="5">
        <v>0</v>
      </c>
      <c r="L1110" s="5">
        <v>0</v>
      </c>
      <c r="M1110" s="5">
        <v>58</v>
      </c>
      <c r="N1110" s="7">
        <f t="shared" si="45"/>
        <v>58</v>
      </c>
      <c r="O1110" s="7">
        <v>10248.599999999999</v>
      </c>
      <c r="P1110" s="7">
        <f t="shared" si="46"/>
        <v>0</v>
      </c>
      <c r="Q1110" s="5">
        <v>0</v>
      </c>
      <c r="R1110" s="5">
        <v>0</v>
      </c>
      <c r="S1110" s="7">
        <v>0</v>
      </c>
      <c r="T1110" s="12">
        <v>43294</v>
      </c>
      <c r="U1110" s="4">
        <v>1</v>
      </c>
      <c r="V1110" s="4">
        <v>9</v>
      </c>
      <c r="W1110" s="4">
        <v>9</v>
      </c>
      <c r="X1110" s="45">
        <f t="shared" si="47"/>
        <v>10248.599999999999</v>
      </c>
      <c r="Y1110" s="14" t="s">
        <v>56</v>
      </c>
      <c r="Z1110" s="14" t="s">
        <v>1492</v>
      </c>
      <c r="AA1110" s="14" t="str">
        <f>IFERROR(VLOOKUP(A1110,'[2]UPDATE BILL 2018'!$B:$P,15,0),IFERROR(VLOOKUP(A1110,'[2]UPDATE BILL 2018'!$C:$P,14,0),IFERROR(VLOOKUP(A1110,'[2]UPDATE BILL 2018'!$D:$P,13,0),IFERROR(VLOOKUP(A1110,'[2]UPDATE BILL 2018'!$E:$P,12,0),IFERROR(VLOOKUP(A1110,'[2]UPDATE BILL 2018'!$F:$P,11,0),IFERROR(VLOOKUP(A1110,'[2]UPDATE BILL 2018'!$G:$P,10,0),IFERROR(VLOOKUP(A1110,'[2]UPDATE BILL 2018'!$H:$P,9,0),IFERROR(VLOOKUP(A1110,'[2]UPDATE BILL 2018'!$I:$P,8,0),VLOOKUP(A1110,'[2]UPDATE BILL 2018'!$B:$P,15,0)))))))))</f>
        <v>1008X03637</v>
      </c>
      <c r="AB1110" s="44">
        <f>IFERROR(VLOOKUP(A1110,'[2]UPDATE BILL 2018'!$B:$T,19,0),IFERROR(VLOOKUP(A1110,'[2]UPDATE BILL 2018'!$C:$T,18,0),IFERROR(VLOOKUP(A1110,'[2]UPDATE BILL 2018'!$D:$T,17,0),IFERROR(VLOOKUP(A1110,'[2]UPDATE BILL 2018'!$E:$T,16,0),IFERROR(VLOOKUP(A1110,'[2]UPDATE BILL 2018'!$F:$T,15,0),IFERROR(VLOOKUP(A1110,'[2]UPDATE BILL 2018'!$G:$T,14,0),IFERROR(VLOOKUP(A1110,'[2]UPDATE BILL 2018'!$H:$T,13,0),IFERROR(VLOOKUP(A1110,'[2]UPDATE BILL 2018'!$I:$T,12,0),VLOOKUP(A1110,'[2]UPDATE BILL 2018'!$B:$T,19,0)))))))))</f>
        <v>43300</v>
      </c>
      <c r="AC1110" s="44" t="str">
        <f>IFERROR(VLOOKUP(A1110,'[2]UPDATE BILL 2018'!$B:$V,21,0),IFERROR(VLOOKUP(A1110,'[2]UPDATE BILL 2018'!$C:$V,20,0),IFERROR(VLOOKUP(A1110,'[2]UPDATE BILL 2018'!$D:$V,19,0),IFERROR(VLOOKUP(A1110,'[2]UPDATE BILL 2018'!$E:$V,18,0),IFERROR(VLOOKUP(A1110,'[2]UPDATE BILL 2018'!$F:$V,17,0),IFERROR(VLOOKUP(A1110,'[2]UPDATE BILL 2018'!$G:$V,16,0),IFERROR(VLOOKUP(A1110,'[2]UPDATE BILL 2018'!$H:$V,15,0),IFERROR(VLOOKUP(A1110,'[2]UPDATE BILL 2018'!$I:$V,14,0),VLOOKUP(A1110,'[2]UPDATE BILL 2018'!$B:$V,21,0)))))))))</f>
        <v>MOONCHILD N030</v>
      </c>
      <c r="AD1110" s="29" t="s">
        <v>49</v>
      </c>
      <c r="AE1110" s="24" t="s">
        <v>2480</v>
      </c>
      <c r="AF1110" s="25" t="s">
        <v>1266</v>
      </c>
      <c r="AI1110" s="58"/>
    </row>
    <row r="1111" spans="1:35" ht="16.5" customHeight="1">
      <c r="A1111" s="6" t="s">
        <v>2468</v>
      </c>
      <c r="D1111" s="7">
        <f t="shared" si="44"/>
        <v>0</v>
      </c>
      <c r="E1111" s="7">
        <v>0</v>
      </c>
      <c r="F1111" s="5">
        <v>0</v>
      </c>
      <c r="G1111" s="7">
        <v>0</v>
      </c>
      <c r="H1111" s="5">
        <v>0</v>
      </c>
      <c r="I1111" s="7">
        <v>0</v>
      </c>
      <c r="J1111" s="7">
        <v>0</v>
      </c>
      <c r="K1111" s="5">
        <v>0</v>
      </c>
      <c r="L1111" s="5">
        <v>0</v>
      </c>
      <c r="M1111" s="5">
        <v>0</v>
      </c>
      <c r="N1111" s="7">
        <f t="shared" si="45"/>
        <v>0</v>
      </c>
      <c r="O1111" s="7">
        <v>0</v>
      </c>
      <c r="P1111" s="7">
        <f t="shared" si="46"/>
        <v>260</v>
      </c>
      <c r="Q1111" s="5">
        <v>0</v>
      </c>
      <c r="R1111" s="5">
        <v>260</v>
      </c>
      <c r="S1111" s="7">
        <v>36393</v>
      </c>
      <c r="T1111" s="12">
        <v>43294</v>
      </c>
      <c r="U1111" s="4">
        <v>1</v>
      </c>
      <c r="V1111" s="4">
        <v>9</v>
      </c>
      <c r="W1111" s="4">
        <v>9</v>
      </c>
      <c r="X1111" s="45">
        <f t="shared" si="47"/>
        <v>36393</v>
      </c>
      <c r="Y1111" s="14" t="s">
        <v>58</v>
      </c>
      <c r="Z1111" s="14" t="s">
        <v>1355</v>
      </c>
      <c r="AA1111" s="14" t="str">
        <f>IFERROR(VLOOKUP(A1111,'[2]UPDATE BILL 2018'!$B:$P,15,0),IFERROR(VLOOKUP(A1111,'[2]UPDATE BILL 2018'!$C:$P,14,0),IFERROR(VLOOKUP(A1111,'[2]UPDATE BILL 2018'!$D:$P,13,0),IFERROR(VLOOKUP(A1111,'[2]UPDATE BILL 2018'!$E:$P,12,0),IFERROR(VLOOKUP(A1111,'[2]UPDATE BILL 2018'!$F:$P,11,0),IFERROR(VLOOKUP(A1111,'[2]UPDATE BILL 2018'!$G:$P,10,0),IFERROR(VLOOKUP(A1111,'[2]UPDATE BILL 2018'!$H:$P,9,0),IFERROR(VLOOKUP(A1111,'[2]UPDATE BILL 2018'!$I:$P,8,0),VLOOKUP(A1111,'[2]UPDATE BILL 2018'!$B:$P,15,0)))))))))</f>
        <v>EGLV237800206446</v>
      </c>
      <c r="AB1111" s="44">
        <f>IFERROR(VLOOKUP(A1111,'[2]UPDATE BILL 2018'!$B:$T,19,0),IFERROR(VLOOKUP(A1111,'[2]UPDATE BILL 2018'!$C:$T,18,0),IFERROR(VLOOKUP(A1111,'[2]UPDATE BILL 2018'!$D:$T,17,0),IFERROR(VLOOKUP(A1111,'[2]UPDATE BILL 2018'!$E:$T,16,0),IFERROR(VLOOKUP(A1111,'[2]UPDATE BILL 2018'!$F:$T,15,0),IFERROR(VLOOKUP(A1111,'[2]UPDATE BILL 2018'!$G:$T,14,0),IFERROR(VLOOKUP(A1111,'[2]UPDATE BILL 2018'!$H:$T,13,0),IFERROR(VLOOKUP(A1111,'[2]UPDATE BILL 2018'!$I:$T,12,0),VLOOKUP(A1111,'[2]UPDATE BILL 2018'!$B:$T,19,0)))))))))</f>
        <v>43300</v>
      </c>
      <c r="AC1111" s="44" t="str">
        <f>IFERROR(VLOOKUP(A1111,'[2]UPDATE BILL 2018'!$B:$V,21,0),IFERROR(VLOOKUP(A1111,'[2]UPDATE BILL 2018'!$C:$V,20,0),IFERROR(VLOOKUP(A1111,'[2]UPDATE BILL 2018'!$D:$V,19,0),IFERROR(VLOOKUP(A1111,'[2]UPDATE BILL 2018'!$E:$V,18,0),IFERROR(VLOOKUP(A1111,'[2]UPDATE BILL 2018'!$F:$V,17,0),IFERROR(VLOOKUP(A1111,'[2]UPDATE BILL 2018'!$G:$V,16,0),IFERROR(VLOOKUP(A1111,'[2]UPDATE BILL 2018'!$H:$V,15,0),IFERROR(VLOOKUP(A1111,'[2]UPDATE BILL 2018'!$I:$V,14,0),VLOOKUP(A1111,'[2]UPDATE BILL 2018'!$B:$V,21,0)))))))))</f>
        <v>MOONCHILD N030</v>
      </c>
      <c r="AD1111" s="29" t="s">
        <v>51</v>
      </c>
      <c r="AE1111" s="24" t="s">
        <v>2481</v>
      </c>
      <c r="AF1111" s="25" t="s">
        <v>2150</v>
      </c>
      <c r="AI1111" s="58"/>
    </row>
    <row r="1112" spans="1:35" ht="16.5" customHeight="1">
      <c r="A1112" s="6" t="s">
        <v>2482</v>
      </c>
      <c r="B1112" s="5">
        <v>580</v>
      </c>
      <c r="C1112" s="7">
        <v>47563.5</v>
      </c>
      <c r="D1112" s="7">
        <f t="shared" si="44"/>
        <v>0</v>
      </c>
      <c r="E1112" s="7">
        <v>0</v>
      </c>
      <c r="F1112" s="5">
        <v>0</v>
      </c>
      <c r="G1112" s="7">
        <v>0</v>
      </c>
      <c r="H1112" s="5">
        <v>65</v>
      </c>
      <c r="I1112" s="7">
        <v>7159.45</v>
      </c>
      <c r="J1112" s="7">
        <v>0</v>
      </c>
      <c r="K1112" s="5">
        <v>0</v>
      </c>
      <c r="L1112" s="5">
        <v>0</v>
      </c>
      <c r="M1112" s="5">
        <v>0</v>
      </c>
      <c r="N1112" s="7">
        <f t="shared" si="45"/>
        <v>0</v>
      </c>
      <c r="O1112" s="7">
        <v>0</v>
      </c>
      <c r="P1112" s="7">
        <f t="shared" si="46"/>
        <v>0</v>
      </c>
      <c r="Q1112" s="5">
        <v>0</v>
      </c>
      <c r="R1112" s="5">
        <v>0</v>
      </c>
      <c r="S1112" s="7">
        <v>0</v>
      </c>
      <c r="T1112" s="12">
        <v>43295</v>
      </c>
      <c r="U1112" s="4">
        <v>4</v>
      </c>
      <c r="V1112" s="4">
        <v>9</v>
      </c>
      <c r="W1112" s="4">
        <v>9</v>
      </c>
      <c r="X1112" s="45">
        <f t="shared" si="47"/>
        <v>54722.95</v>
      </c>
      <c r="Y1112" s="14" t="s">
        <v>54</v>
      </c>
      <c r="Z1112" s="14" t="s">
        <v>57</v>
      </c>
      <c r="AA1112" s="14" t="str">
        <f>IFERROR(VLOOKUP(A1112,'[2]UPDATE BILL 2018'!$B:$P,15,0),IFERROR(VLOOKUP(A1112,'[2]UPDATE BILL 2018'!$C:$P,14,0),IFERROR(VLOOKUP(A1112,'[2]UPDATE BILL 2018'!$D:$P,13,0),IFERROR(VLOOKUP(A1112,'[2]UPDATE BILL 2018'!$E:$P,12,0),IFERROR(VLOOKUP(A1112,'[2]UPDATE BILL 2018'!$F:$P,11,0),IFERROR(VLOOKUP(A1112,'[2]UPDATE BILL 2018'!$G:$P,10,0),IFERROR(VLOOKUP(A1112,'[2]UPDATE BILL 2018'!$H:$P,9,0),IFERROR(VLOOKUP(A1112,'[2]UPDATE BILL 2018'!$I:$P,8,0),VLOOKUP(A1112,'[2]UPDATE BILL 2018'!$B:$P,15,0)))))))))</f>
        <v>SITWHPTK171063</v>
      </c>
      <c r="AB1112" s="44">
        <f>IFERROR(VLOOKUP(A1112,'[2]UPDATE BILL 2018'!$B:$T,19,0),IFERROR(VLOOKUP(A1112,'[2]UPDATE BILL 2018'!$C:$T,18,0),IFERROR(VLOOKUP(A1112,'[2]UPDATE BILL 2018'!$D:$T,17,0),IFERROR(VLOOKUP(A1112,'[2]UPDATE BILL 2018'!$E:$T,16,0),IFERROR(VLOOKUP(A1112,'[2]UPDATE BILL 2018'!$F:$T,15,0),IFERROR(VLOOKUP(A1112,'[2]UPDATE BILL 2018'!$G:$T,14,0),IFERROR(VLOOKUP(A1112,'[2]UPDATE BILL 2018'!$H:$T,13,0),IFERROR(VLOOKUP(A1112,'[2]UPDATE BILL 2018'!$I:$T,12,0),VLOOKUP(A1112,'[2]UPDATE BILL 2018'!$B:$T,19,0)))))))))</f>
        <v>43296</v>
      </c>
      <c r="AC1112" s="44" t="str">
        <f>IFERROR(VLOOKUP(A1112,'[2]UPDATE BILL 2018'!$B:$V,21,0),IFERROR(VLOOKUP(A1112,'[2]UPDATE BILL 2018'!$C:$V,20,0),IFERROR(VLOOKUP(A1112,'[2]UPDATE BILL 2018'!$D:$V,19,0),IFERROR(VLOOKUP(A1112,'[2]UPDATE BILL 2018'!$E:$V,18,0),IFERROR(VLOOKUP(A1112,'[2]UPDATE BILL 2018'!$F:$V,17,0),IFERROR(VLOOKUP(A1112,'[2]UPDATE BILL 2018'!$G:$V,16,0),IFERROR(VLOOKUP(A1112,'[2]UPDATE BILL 2018'!$H:$V,15,0),IFERROR(VLOOKUP(A1112,'[2]UPDATE BILL 2018'!$I:$V,14,0),VLOOKUP(A1112,'[2]UPDATE BILL 2018'!$B:$V,21,0)))))))))</f>
        <v>HYUNDAI HARMONY 1829N</v>
      </c>
      <c r="AD1112" s="29" t="s">
        <v>49</v>
      </c>
      <c r="AE1112" s="24" t="s">
        <v>2486</v>
      </c>
      <c r="AF1112" s="25" t="s">
        <v>1265</v>
      </c>
      <c r="AI1112" s="58"/>
    </row>
    <row r="1113" spans="1:35" ht="16.5" customHeight="1">
      <c r="A1113" s="6" t="s">
        <v>2483</v>
      </c>
      <c r="B1113" s="5">
        <v>305</v>
      </c>
      <c r="C1113" s="7">
        <v>15387.500000000002</v>
      </c>
      <c r="D1113" s="7">
        <f t="shared" si="44"/>
        <v>0</v>
      </c>
      <c r="E1113" s="7">
        <v>0</v>
      </c>
      <c r="F1113" s="5">
        <v>0</v>
      </c>
      <c r="G1113" s="7">
        <v>0</v>
      </c>
      <c r="H1113" s="5">
        <v>130</v>
      </c>
      <c r="I1113" s="7">
        <v>15703.550000000003</v>
      </c>
      <c r="J1113" s="7">
        <v>0</v>
      </c>
      <c r="K1113" s="5">
        <v>0</v>
      </c>
      <c r="L1113" s="5">
        <v>0</v>
      </c>
      <c r="M1113" s="5">
        <v>102</v>
      </c>
      <c r="N1113" s="7">
        <f t="shared" si="45"/>
        <v>102</v>
      </c>
      <c r="O1113" s="7">
        <v>15627.5</v>
      </c>
      <c r="P1113" s="7">
        <f t="shared" si="46"/>
        <v>0</v>
      </c>
      <c r="Q1113" s="5">
        <v>0</v>
      </c>
      <c r="R1113" s="5">
        <v>0</v>
      </c>
      <c r="S1113" s="7">
        <v>0</v>
      </c>
      <c r="T1113" s="12">
        <v>43295</v>
      </c>
      <c r="U1113" s="4">
        <v>4</v>
      </c>
      <c r="V1113" s="4">
        <v>9</v>
      </c>
      <c r="W1113" s="4">
        <v>9</v>
      </c>
      <c r="X1113" s="45">
        <f t="shared" si="47"/>
        <v>46718.55</v>
      </c>
      <c r="Y1113" s="14" t="s">
        <v>54</v>
      </c>
      <c r="Z1113" s="14" t="s">
        <v>55</v>
      </c>
      <c r="AA1113" s="14" t="str">
        <f>IFERROR(VLOOKUP(A1113,'[2]UPDATE BILL 2018'!$B:$P,15,0),IFERROR(VLOOKUP(A1113,'[2]UPDATE BILL 2018'!$C:$P,14,0),IFERROR(VLOOKUP(A1113,'[2]UPDATE BILL 2018'!$D:$P,13,0),IFERROR(VLOOKUP(A1113,'[2]UPDATE BILL 2018'!$E:$P,12,0),IFERROR(VLOOKUP(A1113,'[2]UPDATE BILL 2018'!$F:$P,11,0),IFERROR(VLOOKUP(A1113,'[2]UPDATE BILL 2018'!$G:$P,10,0),IFERROR(VLOOKUP(A1113,'[2]UPDATE BILL 2018'!$H:$P,9,0),IFERROR(VLOOKUP(A1113,'[2]UPDATE BILL 2018'!$I:$P,8,0),VLOOKUP(A1113,'[2]UPDATE BILL 2018'!$B:$P,15,0)))))))))</f>
        <v>SITWHPOS171866</v>
      </c>
      <c r="AB1113" s="44">
        <f>IFERROR(VLOOKUP(A1113,'[2]UPDATE BILL 2018'!$B:$T,19,0),IFERROR(VLOOKUP(A1113,'[2]UPDATE BILL 2018'!$C:$T,18,0),IFERROR(VLOOKUP(A1113,'[2]UPDATE BILL 2018'!$D:$T,17,0),IFERROR(VLOOKUP(A1113,'[2]UPDATE BILL 2018'!$E:$T,16,0),IFERROR(VLOOKUP(A1113,'[2]UPDATE BILL 2018'!$F:$T,15,0),IFERROR(VLOOKUP(A1113,'[2]UPDATE BILL 2018'!$G:$T,14,0),IFERROR(VLOOKUP(A1113,'[2]UPDATE BILL 2018'!$H:$T,13,0),IFERROR(VLOOKUP(A1113,'[2]UPDATE BILL 2018'!$I:$T,12,0),VLOOKUP(A1113,'[2]UPDATE BILL 2018'!$B:$T,19,0)))))))))</f>
        <v>43296</v>
      </c>
      <c r="AC1113" s="44" t="str">
        <f>IFERROR(VLOOKUP(A1113,'[2]UPDATE BILL 2018'!$B:$V,21,0),IFERROR(VLOOKUP(A1113,'[2]UPDATE BILL 2018'!$C:$V,20,0),IFERROR(VLOOKUP(A1113,'[2]UPDATE BILL 2018'!$D:$V,19,0),IFERROR(VLOOKUP(A1113,'[2]UPDATE BILL 2018'!$E:$V,18,0),IFERROR(VLOOKUP(A1113,'[2]UPDATE BILL 2018'!$F:$V,17,0),IFERROR(VLOOKUP(A1113,'[2]UPDATE BILL 2018'!$G:$V,16,0),IFERROR(VLOOKUP(A1113,'[2]UPDATE BILL 2018'!$H:$V,15,0),IFERROR(VLOOKUP(A1113,'[2]UPDATE BILL 2018'!$I:$V,14,0),VLOOKUP(A1113,'[2]UPDATE BILL 2018'!$B:$V,21,0)))))))))</f>
        <v>EPONYMA 1819N</v>
      </c>
      <c r="AD1113" s="29" t="s">
        <v>51</v>
      </c>
      <c r="AE1113" s="24" t="s">
        <v>2487</v>
      </c>
      <c r="AF1113" s="25" t="s">
        <v>1270</v>
      </c>
      <c r="AI1113" s="58"/>
    </row>
    <row r="1114" spans="1:35" ht="16.5" customHeight="1">
      <c r="A1114" s="6" t="s">
        <v>2484</v>
      </c>
      <c r="B1114" s="5">
        <v>160</v>
      </c>
      <c r="C1114" s="7">
        <v>14192.9</v>
      </c>
      <c r="D1114" s="7">
        <f t="shared" si="44"/>
        <v>0</v>
      </c>
      <c r="E1114" s="7">
        <v>0</v>
      </c>
      <c r="F1114" s="5">
        <v>0</v>
      </c>
      <c r="G1114" s="7">
        <v>0</v>
      </c>
      <c r="H1114" s="5">
        <v>0</v>
      </c>
      <c r="I1114" s="7">
        <v>0</v>
      </c>
      <c r="J1114" s="7">
        <v>0</v>
      </c>
      <c r="K1114" s="5">
        <v>0</v>
      </c>
      <c r="L1114" s="5">
        <v>0</v>
      </c>
      <c r="M1114" s="5">
        <v>99</v>
      </c>
      <c r="N1114" s="7">
        <f t="shared" si="45"/>
        <v>99</v>
      </c>
      <c r="O1114" s="7">
        <v>16333.7</v>
      </c>
      <c r="P1114" s="7">
        <f t="shared" si="46"/>
        <v>0</v>
      </c>
      <c r="Q1114" s="5">
        <v>0</v>
      </c>
      <c r="R1114" s="5">
        <v>0</v>
      </c>
      <c r="S1114" s="7">
        <v>0</v>
      </c>
      <c r="T1114" s="12">
        <v>43295</v>
      </c>
      <c r="U1114" s="4">
        <v>3</v>
      </c>
      <c r="V1114" s="4">
        <v>9</v>
      </c>
      <c r="W1114" s="4">
        <v>9</v>
      </c>
      <c r="X1114" s="45">
        <f t="shared" si="47"/>
        <v>30526.6</v>
      </c>
      <c r="Y1114" s="14" t="s">
        <v>54</v>
      </c>
      <c r="Z1114" s="14" t="s">
        <v>59</v>
      </c>
      <c r="AA1114" s="14" t="str">
        <f>IFERROR(VLOOKUP(A1114,'[2]UPDATE BILL 2018'!$B:$P,15,0),IFERROR(VLOOKUP(A1114,'[2]UPDATE BILL 2018'!$C:$P,14,0),IFERROR(VLOOKUP(A1114,'[2]UPDATE BILL 2018'!$D:$P,13,0),IFERROR(VLOOKUP(A1114,'[2]UPDATE BILL 2018'!$E:$P,12,0),IFERROR(VLOOKUP(A1114,'[2]UPDATE BILL 2018'!$F:$P,11,0),IFERROR(VLOOKUP(A1114,'[2]UPDATE BILL 2018'!$G:$P,10,0),IFERROR(VLOOKUP(A1114,'[2]UPDATE BILL 2018'!$H:$P,9,0),IFERROR(VLOOKUP(A1114,'[2]UPDATE BILL 2018'!$I:$P,8,0),VLOOKUP(A1114,'[2]UPDATE BILL 2018'!$B:$P,15,0)))))))))</f>
        <v>SITWHPKW171071</v>
      </c>
      <c r="AB1114" s="44">
        <f>IFERROR(VLOOKUP(A1114,'[2]UPDATE BILL 2018'!$B:$T,19,0),IFERROR(VLOOKUP(A1114,'[2]UPDATE BILL 2018'!$C:$T,18,0),IFERROR(VLOOKUP(A1114,'[2]UPDATE BILL 2018'!$D:$T,17,0),IFERROR(VLOOKUP(A1114,'[2]UPDATE BILL 2018'!$E:$T,16,0),IFERROR(VLOOKUP(A1114,'[2]UPDATE BILL 2018'!$F:$T,15,0),IFERROR(VLOOKUP(A1114,'[2]UPDATE BILL 2018'!$G:$T,14,0),IFERROR(VLOOKUP(A1114,'[2]UPDATE BILL 2018'!$H:$T,13,0),IFERROR(VLOOKUP(A1114,'[2]UPDATE BILL 2018'!$I:$T,12,0),VLOOKUP(A1114,'[2]UPDATE BILL 2018'!$B:$T,19,0)))))))))</f>
        <v>43296</v>
      </c>
      <c r="AC1114" s="44" t="str">
        <f>IFERROR(VLOOKUP(A1114,'[2]UPDATE BILL 2018'!$B:$V,21,0),IFERROR(VLOOKUP(A1114,'[2]UPDATE BILL 2018'!$C:$V,20,0),IFERROR(VLOOKUP(A1114,'[2]UPDATE BILL 2018'!$D:$V,19,0),IFERROR(VLOOKUP(A1114,'[2]UPDATE BILL 2018'!$E:$V,18,0),IFERROR(VLOOKUP(A1114,'[2]UPDATE BILL 2018'!$F:$V,17,0),IFERROR(VLOOKUP(A1114,'[2]UPDATE BILL 2018'!$G:$V,16,0),IFERROR(VLOOKUP(A1114,'[2]UPDATE BILL 2018'!$H:$V,15,0),IFERROR(VLOOKUP(A1114,'[2]UPDATE BILL 2018'!$I:$V,14,0),VLOOKUP(A1114,'[2]UPDATE BILL 2018'!$B:$V,21,0)))))))))</f>
        <v>HYUNDAI HARMONY 1829N</v>
      </c>
      <c r="AD1114" s="29" t="s">
        <v>50</v>
      </c>
      <c r="AE1114" s="24" t="s">
        <v>2488</v>
      </c>
      <c r="AF1114" s="25" t="s">
        <v>1269</v>
      </c>
      <c r="AI1114" s="58"/>
    </row>
    <row r="1115" spans="1:35" ht="16.5" customHeight="1">
      <c r="A1115" s="6" t="s">
        <v>2485</v>
      </c>
      <c r="D1115" s="7">
        <f t="shared" si="44"/>
        <v>0</v>
      </c>
      <c r="E1115" s="7">
        <v>0</v>
      </c>
      <c r="F1115" s="5">
        <v>0</v>
      </c>
      <c r="G1115" s="7">
        <v>0</v>
      </c>
      <c r="H1115" s="5">
        <v>0</v>
      </c>
      <c r="I1115" s="7">
        <v>0</v>
      </c>
      <c r="J1115" s="7">
        <v>0</v>
      </c>
      <c r="K1115" s="5">
        <v>0</v>
      </c>
      <c r="L1115" s="5">
        <v>0</v>
      </c>
      <c r="M1115" s="5">
        <v>0</v>
      </c>
      <c r="N1115" s="7">
        <f t="shared" si="45"/>
        <v>0</v>
      </c>
      <c r="O1115" s="7">
        <v>0</v>
      </c>
      <c r="P1115" s="7">
        <f t="shared" si="46"/>
        <v>189</v>
      </c>
      <c r="Q1115" s="5">
        <v>0</v>
      </c>
      <c r="R1115" s="5">
        <v>189</v>
      </c>
      <c r="S1115" s="7">
        <v>39177</v>
      </c>
      <c r="T1115" s="12">
        <v>43295</v>
      </c>
      <c r="U1115" s="4">
        <v>1</v>
      </c>
      <c r="V1115" s="4">
        <v>9</v>
      </c>
      <c r="W1115" s="4">
        <v>9</v>
      </c>
      <c r="X1115" s="45">
        <f t="shared" si="47"/>
        <v>39177</v>
      </c>
      <c r="Y1115" s="14" t="s">
        <v>54</v>
      </c>
      <c r="Z1115" s="14" t="s">
        <v>59</v>
      </c>
      <c r="AA1115" s="14" t="str">
        <f>IFERROR(VLOOKUP(A1115,'[2]UPDATE BILL 2018'!$B:$P,15,0),IFERROR(VLOOKUP(A1115,'[2]UPDATE BILL 2018'!$C:$P,14,0),IFERROR(VLOOKUP(A1115,'[2]UPDATE BILL 2018'!$D:$P,13,0),IFERROR(VLOOKUP(A1115,'[2]UPDATE BILL 2018'!$E:$P,12,0),IFERROR(VLOOKUP(A1115,'[2]UPDATE BILL 2018'!$F:$P,11,0),IFERROR(VLOOKUP(A1115,'[2]UPDATE BILL 2018'!$G:$P,10,0),IFERROR(VLOOKUP(A1115,'[2]UPDATE BILL 2018'!$H:$P,9,0),IFERROR(VLOOKUP(A1115,'[2]UPDATE BILL 2018'!$I:$P,8,0),VLOOKUP(A1115,'[2]UPDATE BILL 2018'!$B:$P,15,0)))))))))</f>
        <v>SITWHPKW171071</v>
      </c>
      <c r="AB1115" s="44">
        <f>IFERROR(VLOOKUP(A1115,'[2]UPDATE BILL 2018'!$B:$T,19,0),IFERROR(VLOOKUP(A1115,'[2]UPDATE BILL 2018'!$C:$T,18,0),IFERROR(VLOOKUP(A1115,'[2]UPDATE BILL 2018'!$D:$T,17,0),IFERROR(VLOOKUP(A1115,'[2]UPDATE BILL 2018'!$E:$T,16,0),IFERROR(VLOOKUP(A1115,'[2]UPDATE BILL 2018'!$F:$T,15,0),IFERROR(VLOOKUP(A1115,'[2]UPDATE BILL 2018'!$G:$T,14,0),IFERROR(VLOOKUP(A1115,'[2]UPDATE BILL 2018'!$H:$T,13,0),IFERROR(VLOOKUP(A1115,'[2]UPDATE BILL 2018'!$I:$T,12,0),VLOOKUP(A1115,'[2]UPDATE BILL 2018'!$B:$T,19,0)))))))))</f>
        <v>43296</v>
      </c>
      <c r="AC1115" s="44" t="str">
        <f>IFERROR(VLOOKUP(A1115,'[2]UPDATE BILL 2018'!$B:$V,21,0),IFERROR(VLOOKUP(A1115,'[2]UPDATE BILL 2018'!$C:$V,20,0),IFERROR(VLOOKUP(A1115,'[2]UPDATE BILL 2018'!$D:$V,19,0),IFERROR(VLOOKUP(A1115,'[2]UPDATE BILL 2018'!$E:$V,18,0),IFERROR(VLOOKUP(A1115,'[2]UPDATE BILL 2018'!$F:$V,17,0),IFERROR(VLOOKUP(A1115,'[2]UPDATE BILL 2018'!$G:$V,16,0),IFERROR(VLOOKUP(A1115,'[2]UPDATE BILL 2018'!$H:$V,15,0),IFERROR(VLOOKUP(A1115,'[2]UPDATE BILL 2018'!$I:$V,14,0),VLOOKUP(A1115,'[2]UPDATE BILL 2018'!$B:$V,21,0)))))))))</f>
        <v>HYUNDAI HARMONY 1829N</v>
      </c>
      <c r="AD1115" s="29" t="s">
        <v>50</v>
      </c>
      <c r="AE1115" s="24" t="s">
        <v>2489</v>
      </c>
      <c r="AF1115" s="25" t="s">
        <v>2151</v>
      </c>
      <c r="AI1115" s="58"/>
    </row>
    <row r="1116" spans="1:35" ht="16.5" customHeight="1">
      <c r="A1116" s="6" t="s">
        <v>2490</v>
      </c>
      <c r="B1116" s="5">
        <v>529</v>
      </c>
      <c r="C1116" s="7">
        <v>71476.290000000008</v>
      </c>
      <c r="D1116" s="7">
        <f t="shared" si="44"/>
        <v>0</v>
      </c>
      <c r="E1116" s="7">
        <v>0</v>
      </c>
      <c r="F1116" s="5">
        <v>0</v>
      </c>
      <c r="G1116" s="7">
        <v>0</v>
      </c>
      <c r="H1116" s="5">
        <v>0</v>
      </c>
      <c r="I1116" s="7">
        <v>0</v>
      </c>
      <c r="J1116" s="7">
        <v>0</v>
      </c>
      <c r="K1116" s="5">
        <v>0</v>
      </c>
      <c r="L1116" s="5">
        <v>0</v>
      </c>
      <c r="M1116" s="5">
        <v>0</v>
      </c>
      <c r="N1116" s="7">
        <f t="shared" si="45"/>
        <v>0</v>
      </c>
      <c r="O1116" s="7">
        <v>0</v>
      </c>
      <c r="P1116" s="7">
        <f t="shared" si="46"/>
        <v>0</v>
      </c>
      <c r="Q1116" s="5">
        <v>0</v>
      </c>
      <c r="R1116" s="5">
        <v>0</v>
      </c>
      <c r="S1116" s="7">
        <v>0</v>
      </c>
      <c r="T1116" s="12">
        <v>43295</v>
      </c>
      <c r="U1116" s="4">
        <v>6</v>
      </c>
      <c r="V1116" s="4">
        <v>9</v>
      </c>
      <c r="W1116" s="4">
        <v>9</v>
      </c>
      <c r="X1116" s="45">
        <f t="shared" si="47"/>
        <v>71476.290000000008</v>
      </c>
      <c r="Y1116" s="14" t="s">
        <v>56</v>
      </c>
      <c r="Z1116" s="14" t="s">
        <v>59</v>
      </c>
      <c r="AA1116" s="14" t="str">
        <f>IFERROR(VLOOKUP(A1116,'[2]UPDATE BILL 2018'!$B:$P,15,0),IFERROR(VLOOKUP(A1116,'[2]UPDATE BILL 2018'!$C:$P,14,0),IFERROR(VLOOKUP(A1116,'[2]UPDATE BILL 2018'!$D:$P,13,0),IFERROR(VLOOKUP(A1116,'[2]UPDATE BILL 2018'!$E:$P,12,0),IFERROR(VLOOKUP(A1116,'[2]UPDATE BILL 2018'!$F:$P,11,0),IFERROR(VLOOKUP(A1116,'[2]UPDATE BILL 2018'!$G:$P,10,0),IFERROR(VLOOKUP(A1116,'[2]UPDATE BILL 2018'!$H:$P,9,0),IFERROR(VLOOKUP(A1116,'[2]UPDATE BILL 2018'!$I:$P,8,0),VLOOKUP(A1116,'[2]UPDATE BILL 2018'!$B:$P,15,0)))))))))</f>
        <v>1008X03734</v>
      </c>
      <c r="AB1116" s="44">
        <f>IFERROR(VLOOKUP(A1116,'[2]UPDATE BILL 2018'!$B:$T,19,0),IFERROR(VLOOKUP(A1116,'[2]UPDATE BILL 2018'!$C:$T,18,0),IFERROR(VLOOKUP(A1116,'[2]UPDATE BILL 2018'!$D:$T,17,0),IFERROR(VLOOKUP(A1116,'[2]UPDATE BILL 2018'!$E:$T,16,0),IFERROR(VLOOKUP(A1116,'[2]UPDATE BILL 2018'!$F:$T,15,0),IFERROR(VLOOKUP(A1116,'[2]UPDATE BILL 2018'!$G:$T,14,0),IFERROR(VLOOKUP(A1116,'[2]UPDATE BILL 2018'!$H:$T,13,0),IFERROR(VLOOKUP(A1116,'[2]UPDATE BILL 2018'!$I:$T,12,0),VLOOKUP(A1116,'[2]UPDATE BILL 2018'!$B:$T,19,0)))))))))</f>
        <v>43309</v>
      </c>
      <c r="AC1116" s="44" t="str">
        <f>IFERROR(VLOOKUP(A1116,'[2]UPDATE BILL 2018'!$B:$V,21,0),IFERROR(VLOOKUP(A1116,'[2]UPDATE BILL 2018'!$C:$V,20,0),IFERROR(VLOOKUP(A1116,'[2]UPDATE BILL 2018'!$D:$V,19,0),IFERROR(VLOOKUP(A1116,'[2]UPDATE BILL 2018'!$E:$V,18,0),IFERROR(VLOOKUP(A1116,'[2]UPDATE BILL 2018'!$F:$V,17,0),IFERROR(VLOOKUP(A1116,'[2]UPDATE BILL 2018'!$G:$V,16,0),IFERROR(VLOOKUP(A1116,'[2]UPDATE BILL 2018'!$H:$V,15,0),IFERROR(VLOOKUP(A1116,'[2]UPDATE BILL 2018'!$I:$V,14,0),VLOOKUP(A1116,'[2]UPDATE BILL 2018'!$B:$V,21,0)))))))))</f>
        <v>PAOLA N023</v>
      </c>
      <c r="AD1116" s="29" t="s">
        <v>52</v>
      </c>
      <c r="AE1116" s="24" t="s">
        <v>2494</v>
      </c>
      <c r="AF1116" s="25" t="s">
        <v>1271</v>
      </c>
      <c r="AI1116" s="58"/>
    </row>
    <row r="1117" spans="1:35" ht="16.5" customHeight="1">
      <c r="A1117" s="6" t="s">
        <v>2491</v>
      </c>
      <c r="B1117" s="5">
        <v>320</v>
      </c>
      <c r="C1117" s="7">
        <v>37449.800000000003</v>
      </c>
      <c r="D1117" s="7">
        <f t="shared" si="44"/>
        <v>0</v>
      </c>
      <c r="E1117" s="7">
        <v>0</v>
      </c>
      <c r="F1117" s="5">
        <v>0</v>
      </c>
      <c r="G1117" s="7">
        <v>0</v>
      </c>
      <c r="H1117" s="5">
        <v>290</v>
      </c>
      <c r="I1117" s="7">
        <v>38770.5</v>
      </c>
      <c r="J1117" s="7">
        <v>0</v>
      </c>
      <c r="K1117" s="5">
        <v>0</v>
      </c>
      <c r="L1117" s="5">
        <v>0</v>
      </c>
      <c r="M1117" s="5">
        <v>0</v>
      </c>
      <c r="N1117" s="7">
        <f t="shared" si="45"/>
        <v>0</v>
      </c>
      <c r="O1117" s="7">
        <v>0</v>
      </c>
      <c r="P1117" s="7">
        <f t="shared" si="46"/>
        <v>0</v>
      </c>
      <c r="Q1117" s="5">
        <v>0</v>
      </c>
      <c r="R1117" s="5">
        <v>0</v>
      </c>
      <c r="S1117" s="7">
        <v>0</v>
      </c>
      <c r="T1117" s="12">
        <v>43295</v>
      </c>
      <c r="U1117" s="4">
        <v>6</v>
      </c>
      <c r="V1117" s="4">
        <v>9</v>
      </c>
      <c r="W1117" s="4">
        <v>9</v>
      </c>
      <c r="X1117" s="45">
        <f t="shared" si="47"/>
        <v>76220.3</v>
      </c>
      <c r="Y1117" s="14" t="s">
        <v>58</v>
      </c>
      <c r="Z1117" s="14" t="s">
        <v>1355</v>
      </c>
      <c r="AA1117" s="14" t="str">
        <f>IFERROR(VLOOKUP(A1117,'[2]UPDATE BILL 2018'!$B:$P,15,0),IFERROR(VLOOKUP(A1117,'[2]UPDATE BILL 2018'!$C:$P,14,0),IFERROR(VLOOKUP(A1117,'[2]UPDATE BILL 2018'!$D:$P,13,0),IFERROR(VLOOKUP(A1117,'[2]UPDATE BILL 2018'!$E:$P,12,0),IFERROR(VLOOKUP(A1117,'[2]UPDATE BILL 2018'!$F:$P,11,0),IFERROR(VLOOKUP(A1117,'[2]UPDATE BILL 2018'!$G:$P,10,0),IFERROR(VLOOKUP(A1117,'[2]UPDATE BILL 2018'!$H:$P,9,0),IFERROR(VLOOKUP(A1117,'[2]UPDATE BILL 2018'!$I:$P,8,0),VLOOKUP(A1117,'[2]UPDATE BILL 2018'!$B:$P,15,0)))))))))</f>
        <v>EGLV237800206446</v>
      </c>
      <c r="AB1117" s="44">
        <f>IFERROR(VLOOKUP(A1117,'[2]UPDATE BILL 2018'!$B:$T,19,0),IFERROR(VLOOKUP(A1117,'[2]UPDATE BILL 2018'!$C:$T,18,0),IFERROR(VLOOKUP(A1117,'[2]UPDATE BILL 2018'!$D:$T,17,0),IFERROR(VLOOKUP(A1117,'[2]UPDATE BILL 2018'!$E:$T,16,0),IFERROR(VLOOKUP(A1117,'[2]UPDATE BILL 2018'!$F:$T,15,0),IFERROR(VLOOKUP(A1117,'[2]UPDATE BILL 2018'!$G:$T,14,0),IFERROR(VLOOKUP(A1117,'[2]UPDATE BILL 2018'!$H:$T,13,0),IFERROR(VLOOKUP(A1117,'[2]UPDATE BILL 2018'!$I:$T,12,0),VLOOKUP(A1117,'[2]UPDATE BILL 2018'!$B:$T,19,0)))))))))</f>
        <v>43300</v>
      </c>
      <c r="AC1117" s="44" t="str">
        <f>IFERROR(VLOOKUP(A1117,'[2]UPDATE BILL 2018'!$B:$V,21,0),IFERROR(VLOOKUP(A1117,'[2]UPDATE BILL 2018'!$C:$V,20,0),IFERROR(VLOOKUP(A1117,'[2]UPDATE BILL 2018'!$D:$V,19,0),IFERROR(VLOOKUP(A1117,'[2]UPDATE BILL 2018'!$E:$V,18,0),IFERROR(VLOOKUP(A1117,'[2]UPDATE BILL 2018'!$F:$V,17,0),IFERROR(VLOOKUP(A1117,'[2]UPDATE BILL 2018'!$G:$V,16,0),IFERROR(VLOOKUP(A1117,'[2]UPDATE BILL 2018'!$H:$V,15,0),IFERROR(VLOOKUP(A1117,'[2]UPDATE BILL 2018'!$I:$V,14,0),VLOOKUP(A1117,'[2]UPDATE BILL 2018'!$B:$V,21,0)))))))))</f>
        <v>MOONCHILD N030</v>
      </c>
      <c r="AD1117" s="29" t="s">
        <v>51</v>
      </c>
      <c r="AE1117" s="24" t="s">
        <v>2495</v>
      </c>
      <c r="AF1117" s="25" t="s">
        <v>1270</v>
      </c>
      <c r="AI1117" s="58"/>
    </row>
    <row r="1118" spans="1:35" ht="16.5" customHeight="1">
      <c r="A1118" s="6" t="s">
        <v>2492</v>
      </c>
      <c r="B1118" s="5">
        <v>295</v>
      </c>
      <c r="C1118" s="7">
        <v>36594.9</v>
      </c>
      <c r="D1118" s="7">
        <f t="shared" si="44"/>
        <v>0</v>
      </c>
      <c r="E1118" s="7">
        <v>0</v>
      </c>
      <c r="F1118" s="5">
        <v>0</v>
      </c>
      <c r="G1118" s="7">
        <v>0</v>
      </c>
      <c r="H1118" s="5">
        <v>0</v>
      </c>
      <c r="I1118" s="7">
        <v>0</v>
      </c>
      <c r="J1118" s="7">
        <v>0</v>
      </c>
      <c r="K1118" s="5">
        <v>0</v>
      </c>
      <c r="L1118" s="5">
        <v>0</v>
      </c>
      <c r="M1118" s="5">
        <v>57</v>
      </c>
      <c r="N1118" s="7">
        <f t="shared" si="45"/>
        <v>57</v>
      </c>
      <c r="O1118" s="7">
        <v>8686</v>
      </c>
      <c r="P1118" s="7">
        <f t="shared" si="46"/>
        <v>0</v>
      </c>
      <c r="Q1118" s="5">
        <v>0</v>
      </c>
      <c r="R1118" s="5">
        <v>0</v>
      </c>
      <c r="S1118" s="7">
        <v>0</v>
      </c>
      <c r="T1118" s="12">
        <v>43295</v>
      </c>
      <c r="U1118" s="4">
        <v>4</v>
      </c>
      <c r="V1118" s="4">
        <v>9</v>
      </c>
      <c r="W1118" s="4">
        <v>9</v>
      </c>
      <c r="X1118" s="45">
        <f t="shared" si="47"/>
        <v>45280.9</v>
      </c>
      <c r="Y1118" s="14" t="s">
        <v>54</v>
      </c>
      <c r="Z1118" s="14" t="s">
        <v>730</v>
      </c>
      <c r="AA1118" s="14" t="str">
        <f>IFERROR(VLOOKUP(A1118,'[2]UPDATE BILL 2018'!$B:$P,15,0),IFERROR(VLOOKUP(A1118,'[2]UPDATE BILL 2018'!$C:$P,14,0),IFERROR(VLOOKUP(A1118,'[2]UPDATE BILL 2018'!$D:$P,13,0),IFERROR(VLOOKUP(A1118,'[2]UPDATE BILL 2018'!$E:$P,12,0),IFERROR(VLOOKUP(A1118,'[2]UPDATE BILL 2018'!$F:$P,11,0),IFERROR(VLOOKUP(A1118,'[2]UPDATE BILL 2018'!$G:$P,10,0),IFERROR(VLOOKUP(A1118,'[2]UPDATE BILL 2018'!$H:$P,9,0),IFERROR(VLOOKUP(A1118,'[2]UPDATE BILL 2018'!$I:$P,8,0),VLOOKUP(A1118,'[2]UPDATE BILL 2018'!$B:$P,15,0)))))))))</f>
        <v>SITWHPKW171854</v>
      </c>
      <c r="AB1118" s="44">
        <f>IFERROR(VLOOKUP(A1118,'[2]UPDATE BILL 2018'!$B:$T,19,0),IFERROR(VLOOKUP(A1118,'[2]UPDATE BILL 2018'!$C:$T,18,0),IFERROR(VLOOKUP(A1118,'[2]UPDATE BILL 2018'!$D:$T,17,0),IFERROR(VLOOKUP(A1118,'[2]UPDATE BILL 2018'!$E:$T,16,0),IFERROR(VLOOKUP(A1118,'[2]UPDATE BILL 2018'!$F:$T,15,0),IFERROR(VLOOKUP(A1118,'[2]UPDATE BILL 2018'!$G:$T,14,0),IFERROR(VLOOKUP(A1118,'[2]UPDATE BILL 2018'!$H:$T,13,0),IFERROR(VLOOKUP(A1118,'[2]UPDATE BILL 2018'!$I:$T,12,0),VLOOKUP(A1118,'[2]UPDATE BILL 2018'!$B:$T,19,0)))))))))</f>
        <v>43300</v>
      </c>
      <c r="AC1118" s="44" t="str">
        <f>IFERROR(VLOOKUP(A1118,'[2]UPDATE BILL 2018'!$B:$V,21,0),IFERROR(VLOOKUP(A1118,'[2]UPDATE BILL 2018'!$C:$V,20,0),IFERROR(VLOOKUP(A1118,'[2]UPDATE BILL 2018'!$D:$V,19,0),IFERROR(VLOOKUP(A1118,'[2]UPDATE BILL 2018'!$E:$V,18,0),IFERROR(VLOOKUP(A1118,'[2]UPDATE BILL 2018'!$F:$V,17,0),IFERROR(VLOOKUP(A1118,'[2]UPDATE BILL 2018'!$G:$V,16,0),IFERROR(VLOOKUP(A1118,'[2]UPDATE BILL 2018'!$H:$V,15,0),IFERROR(VLOOKUP(A1118,'[2]UPDATE BILL 2018'!$I:$V,14,0),VLOOKUP(A1118,'[2]UPDATE BILL 2018'!$B:$V,21,0)))))))))</f>
        <v>SITC OSAKA 1821N</v>
      </c>
      <c r="AD1118" s="29" t="s">
        <v>50</v>
      </c>
      <c r="AE1118" s="24" t="s">
        <v>2496</v>
      </c>
      <c r="AF1118" s="25" t="s">
        <v>1269</v>
      </c>
      <c r="AI1118" s="58"/>
    </row>
    <row r="1119" spans="1:35" ht="16.5" customHeight="1">
      <c r="A1119" s="6" t="s">
        <v>2493</v>
      </c>
      <c r="B1119" s="5">
        <v>919</v>
      </c>
      <c r="C1119" s="7">
        <v>112167.9</v>
      </c>
      <c r="D1119" s="7">
        <f t="shared" si="44"/>
        <v>0</v>
      </c>
      <c r="E1119" s="7">
        <v>0</v>
      </c>
      <c r="F1119" s="5">
        <v>0</v>
      </c>
      <c r="G1119" s="7">
        <v>0</v>
      </c>
      <c r="H1119" s="5">
        <v>0</v>
      </c>
      <c r="I1119" s="7">
        <v>0</v>
      </c>
      <c r="J1119" s="7">
        <v>0</v>
      </c>
      <c r="K1119" s="5">
        <v>0</v>
      </c>
      <c r="L1119" s="5">
        <v>0</v>
      </c>
      <c r="M1119" s="5">
        <v>38</v>
      </c>
      <c r="N1119" s="7">
        <f t="shared" si="45"/>
        <v>38</v>
      </c>
      <c r="O1119" s="7">
        <v>10224.4</v>
      </c>
      <c r="P1119" s="7">
        <f t="shared" si="46"/>
        <v>0</v>
      </c>
      <c r="Q1119" s="5">
        <v>0</v>
      </c>
      <c r="R1119" s="5">
        <v>0</v>
      </c>
      <c r="S1119" s="7">
        <v>0</v>
      </c>
      <c r="T1119" s="12">
        <v>43295</v>
      </c>
      <c r="U1119" s="4">
        <v>10</v>
      </c>
      <c r="V1119" s="4">
        <v>9</v>
      </c>
      <c r="W1119" s="4">
        <v>9</v>
      </c>
      <c r="X1119" s="45">
        <f t="shared" si="47"/>
        <v>122392.29999999999</v>
      </c>
      <c r="Y1119" s="14" t="s">
        <v>54</v>
      </c>
      <c r="Z1119" s="14" t="s">
        <v>1281</v>
      </c>
      <c r="AA1119" s="14" t="str">
        <f>IFERROR(VLOOKUP(A1119,'[2]UPDATE BILL 2018'!$B:$P,15,0),IFERROR(VLOOKUP(A1119,'[2]UPDATE BILL 2018'!$C:$P,14,0),IFERROR(VLOOKUP(A1119,'[2]UPDATE BILL 2018'!$D:$P,13,0),IFERROR(VLOOKUP(A1119,'[2]UPDATE BILL 2018'!$E:$P,12,0),IFERROR(VLOOKUP(A1119,'[2]UPDATE BILL 2018'!$F:$P,11,0),IFERROR(VLOOKUP(A1119,'[2]UPDATE BILL 2018'!$G:$P,10,0),IFERROR(VLOOKUP(A1119,'[2]UPDATE BILL 2018'!$H:$P,9,0),IFERROR(VLOOKUP(A1119,'[2]UPDATE BILL 2018'!$I:$P,8,0),VLOOKUP(A1119,'[2]UPDATE BILL 2018'!$B:$P,15,0)))))))))</f>
        <v>SITWHPKW171813</v>
      </c>
      <c r="AB1119" s="44">
        <f>IFERROR(VLOOKUP(A1119,'[2]UPDATE BILL 2018'!$B:$T,19,0),IFERROR(VLOOKUP(A1119,'[2]UPDATE BILL 2018'!$C:$T,18,0),IFERROR(VLOOKUP(A1119,'[2]UPDATE BILL 2018'!$D:$T,17,0),IFERROR(VLOOKUP(A1119,'[2]UPDATE BILL 2018'!$E:$T,16,0),IFERROR(VLOOKUP(A1119,'[2]UPDATE BILL 2018'!$F:$T,15,0),IFERROR(VLOOKUP(A1119,'[2]UPDATE BILL 2018'!$G:$T,14,0),IFERROR(VLOOKUP(A1119,'[2]UPDATE BILL 2018'!$H:$T,13,0),IFERROR(VLOOKUP(A1119,'[2]UPDATE BILL 2018'!$I:$T,12,0),VLOOKUP(A1119,'[2]UPDATE BILL 2018'!$B:$T,19,0)))))))))</f>
        <v>43307</v>
      </c>
      <c r="AC1119" s="44" t="str">
        <f>IFERROR(VLOOKUP(A1119,'[2]UPDATE BILL 2018'!$B:$V,21,0),IFERROR(VLOOKUP(A1119,'[2]UPDATE BILL 2018'!$C:$V,20,0),IFERROR(VLOOKUP(A1119,'[2]UPDATE BILL 2018'!$D:$V,19,0),IFERROR(VLOOKUP(A1119,'[2]UPDATE BILL 2018'!$E:$V,18,0),IFERROR(VLOOKUP(A1119,'[2]UPDATE BILL 2018'!$F:$V,17,0),IFERROR(VLOOKUP(A1119,'[2]UPDATE BILL 2018'!$G:$V,16,0),IFERROR(VLOOKUP(A1119,'[2]UPDATE BILL 2018'!$H:$V,15,0),IFERROR(VLOOKUP(A1119,'[2]UPDATE BILL 2018'!$I:$V,14,0),VLOOKUP(A1119,'[2]UPDATE BILL 2018'!$B:$V,21,0)))))))))</f>
        <v>SITC NAGOYA 1821N</v>
      </c>
      <c r="AD1119" s="29" t="s">
        <v>50</v>
      </c>
      <c r="AE1119" s="24" t="s">
        <v>2497</v>
      </c>
      <c r="AF1119" s="25" t="s">
        <v>1269</v>
      </c>
      <c r="AI1119" s="58"/>
    </row>
    <row r="1120" spans="1:35" ht="16.5" customHeight="1">
      <c r="A1120" s="6" t="s">
        <v>2498</v>
      </c>
      <c r="D1120" s="7">
        <f t="shared" si="44"/>
        <v>0</v>
      </c>
      <c r="E1120" s="7">
        <v>0</v>
      </c>
      <c r="F1120" s="5">
        <v>0</v>
      </c>
      <c r="G1120" s="7">
        <v>0</v>
      </c>
      <c r="H1120" s="5">
        <v>646</v>
      </c>
      <c r="I1120" s="7">
        <v>82603.759999999995</v>
      </c>
      <c r="J1120" s="7">
        <v>0</v>
      </c>
      <c r="K1120" s="5">
        <v>0</v>
      </c>
      <c r="L1120" s="5">
        <v>0</v>
      </c>
      <c r="M1120" s="5">
        <v>508</v>
      </c>
      <c r="N1120" s="7">
        <f t="shared" si="45"/>
        <v>508</v>
      </c>
      <c r="O1120" s="7">
        <v>20390.900000000001</v>
      </c>
      <c r="P1120" s="7">
        <f t="shared" si="46"/>
        <v>0</v>
      </c>
      <c r="Q1120" s="5">
        <v>0</v>
      </c>
      <c r="R1120" s="5">
        <v>0</v>
      </c>
      <c r="S1120" s="7">
        <v>0</v>
      </c>
      <c r="T1120" s="12">
        <v>43297</v>
      </c>
      <c r="U1120" s="4">
        <v>8</v>
      </c>
      <c r="V1120" s="4">
        <v>9</v>
      </c>
      <c r="W1120" s="4">
        <v>9</v>
      </c>
      <c r="X1120" s="45">
        <f t="shared" si="47"/>
        <v>102994.66</v>
      </c>
      <c r="Y1120" s="14" t="s">
        <v>85</v>
      </c>
      <c r="Z1120" s="14" t="s">
        <v>730</v>
      </c>
      <c r="AA1120" s="14">
        <f>IFERROR(VLOOKUP(A1120,'[2]UPDATE BILL 2018'!$B:$P,15,0),IFERROR(VLOOKUP(A1120,'[2]UPDATE BILL 2018'!$C:$P,14,0),IFERROR(VLOOKUP(A1120,'[2]UPDATE BILL 2018'!$D:$P,13,0),IFERROR(VLOOKUP(A1120,'[2]UPDATE BILL 2018'!$E:$P,12,0),IFERROR(VLOOKUP(A1120,'[2]UPDATE BILL 2018'!$F:$P,11,0),IFERROR(VLOOKUP(A1120,'[2]UPDATE BILL 2018'!$G:$P,10,0),IFERROR(VLOOKUP(A1120,'[2]UPDATE BILL 2018'!$H:$P,9,0),IFERROR(VLOOKUP(A1120,'[2]UPDATE BILL 2018'!$I:$P,8,0),VLOOKUP(A1120,'[2]UPDATE BILL 2018'!$B:$P,15,0)))))))))</f>
        <v>350810079919</v>
      </c>
      <c r="AB1120" s="44">
        <f>IFERROR(VLOOKUP(A1120,'[2]UPDATE BILL 2018'!$B:$T,19,0),IFERROR(VLOOKUP(A1120,'[2]UPDATE BILL 2018'!$C:$T,18,0),IFERROR(VLOOKUP(A1120,'[2]UPDATE BILL 2018'!$D:$T,17,0),IFERROR(VLOOKUP(A1120,'[2]UPDATE BILL 2018'!$E:$T,16,0),IFERROR(VLOOKUP(A1120,'[2]UPDATE BILL 2018'!$F:$T,15,0),IFERROR(VLOOKUP(A1120,'[2]UPDATE BILL 2018'!$G:$T,14,0),IFERROR(VLOOKUP(A1120,'[2]UPDATE BILL 2018'!$H:$T,13,0),IFERROR(VLOOKUP(A1120,'[2]UPDATE BILL 2018'!$I:$T,12,0),VLOOKUP(A1120,'[2]UPDATE BILL 2018'!$B:$T,19,0)))))))))</f>
        <v>43299</v>
      </c>
      <c r="AC1120" s="44" t="str">
        <f>IFERROR(VLOOKUP(A1120,'[2]UPDATE BILL 2018'!$B:$V,21,0),IFERROR(VLOOKUP(A1120,'[2]UPDATE BILL 2018'!$C:$V,20,0),IFERROR(VLOOKUP(A1120,'[2]UPDATE BILL 2018'!$D:$V,19,0),IFERROR(VLOOKUP(A1120,'[2]UPDATE BILL 2018'!$E:$V,18,0),IFERROR(VLOOKUP(A1120,'[2]UPDATE BILL 2018'!$F:$V,17,0),IFERROR(VLOOKUP(A1120,'[2]UPDATE BILL 2018'!$G:$V,16,0),IFERROR(VLOOKUP(A1120,'[2]UPDATE BILL 2018'!$H:$V,15,0),IFERROR(VLOOKUP(A1120,'[2]UPDATE BILL 2018'!$I:$V,14,0),VLOOKUP(A1120,'[2]UPDATE BILL 2018'!$B:$V,21,0)))))))))</f>
        <v>LANTAU BRIDGE 18003N</v>
      </c>
      <c r="AD1120" s="29" t="s">
        <v>49</v>
      </c>
      <c r="AE1120" s="24" t="s">
        <v>2506</v>
      </c>
      <c r="AF1120" s="25" t="str">
        <f>LEFT(AE1120,2)</f>
        <v>VK</v>
      </c>
      <c r="AI1120" s="58"/>
    </row>
    <row r="1121" spans="1:35" ht="16.5" customHeight="1">
      <c r="A1121" s="6" t="s">
        <v>2499</v>
      </c>
      <c r="D1121" s="7">
        <f t="shared" si="44"/>
        <v>0</v>
      </c>
      <c r="E1121" s="7">
        <v>0</v>
      </c>
      <c r="F1121" s="5">
        <v>0</v>
      </c>
      <c r="G1121" s="7">
        <v>0</v>
      </c>
      <c r="H1121" s="5">
        <v>924</v>
      </c>
      <c r="I1121" s="7">
        <v>108347.93000000002</v>
      </c>
      <c r="J1121" s="7">
        <v>0</v>
      </c>
      <c r="K1121" s="5">
        <v>0</v>
      </c>
      <c r="L1121" s="5">
        <v>0</v>
      </c>
      <c r="M1121" s="5">
        <v>0</v>
      </c>
      <c r="N1121" s="7">
        <f t="shared" si="45"/>
        <v>0</v>
      </c>
      <c r="O1121" s="7">
        <v>0</v>
      </c>
      <c r="P1121" s="7">
        <f t="shared" si="46"/>
        <v>0</v>
      </c>
      <c r="Q1121" s="5">
        <v>0</v>
      </c>
      <c r="R1121" s="5">
        <v>0</v>
      </c>
      <c r="S1121" s="7">
        <v>0</v>
      </c>
      <c r="T1121" s="12">
        <v>43297</v>
      </c>
      <c r="U1121" s="4">
        <v>8</v>
      </c>
      <c r="V1121" s="4">
        <v>9</v>
      </c>
      <c r="W1121" s="4">
        <v>9</v>
      </c>
      <c r="X1121" s="45">
        <f t="shared" si="47"/>
        <v>108347.93000000002</v>
      </c>
      <c r="Y1121" s="14" t="s">
        <v>56</v>
      </c>
      <c r="Z1121" s="14" t="s">
        <v>57</v>
      </c>
      <c r="AA1121" s="14" t="str">
        <f>IFERROR(VLOOKUP(A1121,'[2]UPDATE BILL 2018'!$B:$P,15,0),IFERROR(VLOOKUP(A1121,'[2]UPDATE BILL 2018'!$C:$P,14,0),IFERROR(VLOOKUP(A1121,'[2]UPDATE BILL 2018'!$D:$P,13,0),IFERROR(VLOOKUP(A1121,'[2]UPDATE BILL 2018'!$E:$P,12,0),IFERROR(VLOOKUP(A1121,'[2]UPDATE BILL 2018'!$F:$P,11,0),IFERROR(VLOOKUP(A1121,'[2]UPDATE BILL 2018'!$G:$P,10,0),IFERROR(VLOOKUP(A1121,'[2]UPDATE BILL 2018'!$H:$P,9,0),IFERROR(VLOOKUP(A1121,'[2]UPDATE BILL 2018'!$I:$P,8,0),VLOOKUP(A1121,'[2]UPDATE BILL 2018'!$B:$P,15,0)))))))))</f>
        <v>1008X03746</v>
      </c>
      <c r="AB1121" s="44">
        <f>IFERROR(VLOOKUP(A1121,'[2]UPDATE BILL 2018'!$B:$T,19,0),IFERROR(VLOOKUP(A1121,'[2]UPDATE BILL 2018'!$C:$T,18,0),IFERROR(VLOOKUP(A1121,'[2]UPDATE BILL 2018'!$D:$T,17,0),IFERROR(VLOOKUP(A1121,'[2]UPDATE BILL 2018'!$E:$T,16,0),IFERROR(VLOOKUP(A1121,'[2]UPDATE BILL 2018'!$F:$T,15,0),IFERROR(VLOOKUP(A1121,'[2]UPDATE BILL 2018'!$G:$T,14,0),IFERROR(VLOOKUP(A1121,'[2]UPDATE BILL 2018'!$H:$T,13,0),IFERROR(VLOOKUP(A1121,'[2]UPDATE BILL 2018'!$I:$T,12,0),VLOOKUP(A1121,'[2]UPDATE BILL 2018'!$B:$T,19,0)))))))))</f>
        <v>43306</v>
      </c>
      <c r="AC1121" s="44" t="str">
        <f>IFERROR(VLOOKUP(A1121,'[2]UPDATE BILL 2018'!$B:$V,21,0),IFERROR(VLOOKUP(A1121,'[2]UPDATE BILL 2018'!$C:$V,20,0),IFERROR(VLOOKUP(A1121,'[2]UPDATE BILL 2018'!$D:$V,19,0),IFERROR(VLOOKUP(A1121,'[2]UPDATE BILL 2018'!$E:$V,18,0),IFERROR(VLOOKUP(A1121,'[2]UPDATE BILL 2018'!$F:$V,17,0),IFERROR(VLOOKUP(A1121,'[2]UPDATE BILL 2018'!$G:$V,16,0),IFERROR(VLOOKUP(A1121,'[2]UPDATE BILL 2018'!$H:$V,15,0),IFERROR(VLOOKUP(A1121,'[2]UPDATE BILL 2018'!$I:$V,14,0),VLOOKUP(A1121,'[2]UPDATE BILL 2018'!$B:$V,21,0)))))))))</f>
        <v>WAN HAI 267 N269</v>
      </c>
      <c r="AD1121" s="29" t="s">
        <v>49</v>
      </c>
      <c r="AE1121" s="24" t="s">
        <v>2507</v>
      </c>
      <c r="AF1121" s="25" t="str">
        <f t="shared" ref="AF1121:AF1125" si="48">LEFT(AE1121,2)</f>
        <v>VK</v>
      </c>
      <c r="AI1121" s="58"/>
    </row>
    <row r="1122" spans="1:35" ht="16.5" customHeight="1">
      <c r="A1122" s="6" t="s">
        <v>2500</v>
      </c>
      <c r="B1122" s="5">
        <v>157</v>
      </c>
      <c r="C1122" s="7">
        <v>23679.200000000001</v>
      </c>
      <c r="D1122" s="7">
        <f t="shared" si="44"/>
        <v>0</v>
      </c>
      <c r="E1122" s="7">
        <v>0</v>
      </c>
      <c r="F1122" s="5">
        <v>0</v>
      </c>
      <c r="G1122" s="7">
        <v>0</v>
      </c>
      <c r="H1122" s="5">
        <v>95</v>
      </c>
      <c r="I1122" s="7">
        <v>12156.2</v>
      </c>
      <c r="J1122" s="7">
        <v>0</v>
      </c>
      <c r="K1122" s="5">
        <v>0</v>
      </c>
      <c r="L1122" s="5">
        <v>0</v>
      </c>
      <c r="M1122" s="5">
        <v>0</v>
      </c>
      <c r="N1122" s="7">
        <f t="shared" si="45"/>
        <v>0</v>
      </c>
      <c r="O1122" s="7">
        <v>0</v>
      </c>
      <c r="P1122" s="7">
        <f t="shared" si="46"/>
        <v>0</v>
      </c>
      <c r="Q1122" s="5">
        <v>0</v>
      </c>
      <c r="R1122" s="5">
        <v>0</v>
      </c>
      <c r="S1122" s="7">
        <v>0</v>
      </c>
      <c r="T1122" s="12">
        <v>43297</v>
      </c>
      <c r="U1122" s="4">
        <v>3</v>
      </c>
      <c r="V1122" s="4">
        <v>9</v>
      </c>
      <c r="W1122" s="4">
        <v>9</v>
      </c>
      <c r="X1122" s="45">
        <f t="shared" si="47"/>
        <v>35835.4</v>
      </c>
      <c r="Y1122" s="14" t="s">
        <v>54</v>
      </c>
      <c r="Z1122" s="14" t="s">
        <v>59</v>
      </c>
      <c r="AA1122" s="14" t="str">
        <f>IFERROR(VLOOKUP(A1122,'[2]UPDATE BILL 2018'!$B:$P,15,0),IFERROR(VLOOKUP(A1122,'[2]UPDATE BILL 2018'!$C:$P,14,0),IFERROR(VLOOKUP(A1122,'[2]UPDATE BILL 2018'!$D:$P,13,0),IFERROR(VLOOKUP(A1122,'[2]UPDATE BILL 2018'!$E:$P,12,0),IFERROR(VLOOKUP(A1122,'[2]UPDATE BILL 2018'!$F:$P,11,0),IFERROR(VLOOKUP(A1122,'[2]UPDATE BILL 2018'!$G:$P,10,0),IFERROR(VLOOKUP(A1122,'[2]UPDATE BILL 2018'!$H:$P,9,0),IFERROR(VLOOKUP(A1122,'[2]UPDATE BILL 2018'!$I:$P,8,0),VLOOKUP(A1122,'[2]UPDATE BILL 2018'!$B:$P,15,0)))))))))</f>
        <v>SITWHPTK171861</v>
      </c>
      <c r="AB1122" s="44">
        <f>IFERROR(VLOOKUP(A1122,'[2]UPDATE BILL 2018'!$B:$T,19,0),IFERROR(VLOOKUP(A1122,'[2]UPDATE BILL 2018'!$C:$T,18,0),IFERROR(VLOOKUP(A1122,'[2]UPDATE BILL 2018'!$D:$T,17,0),IFERROR(VLOOKUP(A1122,'[2]UPDATE BILL 2018'!$E:$T,16,0),IFERROR(VLOOKUP(A1122,'[2]UPDATE BILL 2018'!$F:$T,15,0),IFERROR(VLOOKUP(A1122,'[2]UPDATE BILL 2018'!$G:$T,14,0),IFERROR(VLOOKUP(A1122,'[2]UPDATE BILL 2018'!$H:$T,13,0),IFERROR(VLOOKUP(A1122,'[2]UPDATE BILL 2018'!$I:$T,12,0),VLOOKUP(A1122,'[2]UPDATE BILL 2018'!$B:$T,19,0)))))))))</f>
        <v>43307</v>
      </c>
      <c r="AC1122" s="44" t="str">
        <f>IFERROR(VLOOKUP(A1122,'[2]UPDATE BILL 2018'!$B:$V,21,0),IFERROR(VLOOKUP(A1122,'[2]UPDATE BILL 2018'!$C:$V,20,0),IFERROR(VLOOKUP(A1122,'[2]UPDATE BILL 2018'!$D:$V,19,0),IFERROR(VLOOKUP(A1122,'[2]UPDATE BILL 2018'!$E:$V,18,0),IFERROR(VLOOKUP(A1122,'[2]UPDATE BILL 2018'!$F:$V,17,0),IFERROR(VLOOKUP(A1122,'[2]UPDATE BILL 2018'!$G:$V,16,0),IFERROR(VLOOKUP(A1122,'[2]UPDATE BILL 2018'!$H:$V,15,0),IFERROR(VLOOKUP(A1122,'[2]UPDATE BILL 2018'!$I:$V,14,0),VLOOKUP(A1122,'[2]UPDATE BILL 2018'!$B:$V,21,0)))))))))</f>
        <v>SITC NAGOYA 1821N</v>
      </c>
      <c r="AD1122" s="29" t="s">
        <v>49</v>
      </c>
      <c r="AE1122" s="24" t="s">
        <v>2508</v>
      </c>
      <c r="AF1122" s="25" t="str">
        <f t="shared" si="48"/>
        <v>VN</v>
      </c>
      <c r="AI1122" s="58"/>
    </row>
    <row r="1123" spans="1:35" ht="16.5" customHeight="1">
      <c r="A1123" s="6" t="s">
        <v>2502</v>
      </c>
      <c r="B1123" s="5">
        <v>145</v>
      </c>
      <c r="C1123" s="7">
        <v>11561.4</v>
      </c>
      <c r="D1123" s="7">
        <f t="shared" si="44"/>
        <v>0</v>
      </c>
      <c r="E1123" s="7">
        <v>0</v>
      </c>
      <c r="F1123" s="5">
        <v>0</v>
      </c>
      <c r="G1123" s="7">
        <v>0</v>
      </c>
      <c r="H1123" s="5">
        <v>226</v>
      </c>
      <c r="I1123" s="7">
        <v>11325.179999999998</v>
      </c>
      <c r="J1123" s="7">
        <v>0</v>
      </c>
      <c r="K1123" s="5">
        <v>0</v>
      </c>
      <c r="L1123" s="5">
        <v>0</v>
      </c>
      <c r="M1123" s="5">
        <v>106</v>
      </c>
      <c r="N1123" s="7">
        <f t="shared" si="45"/>
        <v>106</v>
      </c>
      <c r="O1123" s="7">
        <v>11398</v>
      </c>
      <c r="P1123" s="7">
        <f t="shared" si="46"/>
        <v>48</v>
      </c>
      <c r="Q1123" s="5">
        <v>0</v>
      </c>
      <c r="R1123" s="5">
        <v>48</v>
      </c>
      <c r="S1123" s="7">
        <v>2410.02</v>
      </c>
      <c r="T1123" s="12">
        <v>43297</v>
      </c>
      <c r="U1123" s="4">
        <v>3</v>
      </c>
      <c r="V1123" s="4">
        <v>9</v>
      </c>
      <c r="W1123" s="4">
        <v>9</v>
      </c>
      <c r="X1123" s="45">
        <f t="shared" si="47"/>
        <v>36694.6</v>
      </c>
      <c r="Y1123" s="14" t="s">
        <v>54</v>
      </c>
      <c r="Z1123" s="14" t="s">
        <v>1281</v>
      </c>
      <c r="AA1123" s="14" t="str">
        <f>IFERROR(VLOOKUP(A1123,'[2]UPDATE BILL 2018'!$B:$P,15,0),IFERROR(VLOOKUP(A1123,'[2]UPDATE BILL 2018'!$C:$P,14,0),IFERROR(VLOOKUP(A1123,'[2]UPDATE BILL 2018'!$D:$P,13,0),IFERROR(VLOOKUP(A1123,'[2]UPDATE BILL 2018'!$E:$P,12,0),IFERROR(VLOOKUP(A1123,'[2]UPDATE BILL 2018'!$F:$P,11,0),IFERROR(VLOOKUP(A1123,'[2]UPDATE BILL 2018'!$G:$P,10,0),IFERROR(VLOOKUP(A1123,'[2]UPDATE BILL 2018'!$H:$P,9,0),IFERROR(VLOOKUP(A1123,'[2]UPDATE BILL 2018'!$I:$P,8,0),VLOOKUP(A1123,'[2]UPDATE BILL 2018'!$B:$P,15,0)))))))))</f>
        <v>SITWHPHT171868</v>
      </c>
      <c r="AB1123" s="44">
        <f>IFERROR(VLOOKUP(A1123,'[2]UPDATE BILL 2018'!$B:$T,19,0),IFERROR(VLOOKUP(A1123,'[2]UPDATE BILL 2018'!$C:$T,18,0),IFERROR(VLOOKUP(A1123,'[2]UPDATE BILL 2018'!$D:$T,17,0),IFERROR(VLOOKUP(A1123,'[2]UPDATE BILL 2018'!$E:$T,16,0),IFERROR(VLOOKUP(A1123,'[2]UPDATE BILL 2018'!$F:$T,15,0),IFERROR(VLOOKUP(A1123,'[2]UPDATE BILL 2018'!$G:$T,14,0),IFERROR(VLOOKUP(A1123,'[2]UPDATE BILL 2018'!$H:$T,13,0),IFERROR(VLOOKUP(A1123,'[2]UPDATE BILL 2018'!$I:$T,12,0),VLOOKUP(A1123,'[2]UPDATE BILL 2018'!$B:$T,19,0)))))))))</f>
        <v>43303</v>
      </c>
      <c r="AC1123" s="44" t="str">
        <f>IFERROR(VLOOKUP(A1123,'[2]UPDATE BILL 2018'!$B:$V,21,0),IFERROR(VLOOKUP(A1123,'[2]UPDATE BILL 2018'!$C:$V,20,0),IFERROR(VLOOKUP(A1123,'[2]UPDATE BILL 2018'!$D:$V,19,0),IFERROR(VLOOKUP(A1123,'[2]UPDATE BILL 2018'!$E:$V,18,0),IFERROR(VLOOKUP(A1123,'[2]UPDATE BILL 2018'!$F:$V,17,0),IFERROR(VLOOKUP(A1123,'[2]UPDATE BILL 2018'!$G:$V,16,0),IFERROR(VLOOKUP(A1123,'[2]UPDATE BILL 2018'!$H:$V,15,0),IFERROR(VLOOKUP(A1123,'[2]UPDATE BILL 2018'!$I:$V,14,0),VLOOKUP(A1123,'[2]UPDATE BILL 2018'!$B:$V,21,0)))))))))</f>
        <v>SITC WEIHAI 1817N</v>
      </c>
      <c r="AD1123" s="29" t="s">
        <v>52</v>
      </c>
      <c r="AE1123" s="24" t="s">
        <v>2509</v>
      </c>
      <c r="AF1123" s="25" t="str">
        <f t="shared" si="48"/>
        <v>VQ</v>
      </c>
      <c r="AI1123" s="58"/>
    </row>
    <row r="1124" spans="1:35" ht="16.5" customHeight="1">
      <c r="A1124" s="6" t="s">
        <v>2501</v>
      </c>
      <c r="B1124" s="5">
        <v>423</v>
      </c>
      <c r="C1124" s="7">
        <v>35559.1</v>
      </c>
      <c r="D1124" s="7">
        <f t="shared" si="44"/>
        <v>0</v>
      </c>
      <c r="E1124" s="7">
        <v>0</v>
      </c>
      <c r="F1124" s="5">
        <v>0</v>
      </c>
      <c r="G1124" s="7">
        <v>0</v>
      </c>
      <c r="H1124" s="5">
        <v>465</v>
      </c>
      <c r="I1124" s="7">
        <v>54447.299999999996</v>
      </c>
      <c r="J1124" s="7">
        <v>0</v>
      </c>
      <c r="K1124" s="5">
        <v>0</v>
      </c>
      <c r="L1124" s="5">
        <v>0</v>
      </c>
      <c r="M1124" s="5">
        <v>153</v>
      </c>
      <c r="N1124" s="7">
        <f t="shared" si="45"/>
        <v>153</v>
      </c>
      <c r="O1124" s="7">
        <v>21744</v>
      </c>
      <c r="P1124" s="7">
        <f t="shared" si="46"/>
        <v>0</v>
      </c>
      <c r="Q1124" s="5">
        <v>0</v>
      </c>
      <c r="R1124" s="5">
        <v>0</v>
      </c>
      <c r="S1124" s="7">
        <v>0</v>
      </c>
      <c r="T1124" s="12">
        <v>43297</v>
      </c>
      <c r="U1124" s="4">
        <v>9</v>
      </c>
      <c r="V1124" s="4">
        <v>9</v>
      </c>
      <c r="W1124" s="4">
        <v>9</v>
      </c>
      <c r="X1124" s="45">
        <f t="shared" si="47"/>
        <v>111750.39999999999</v>
      </c>
      <c r="Y1124" s="14" t="s">
        <v>58</v>
      </c>
      <c r="Z1124" s="14" t="s">
        <v>1355</v>
      </c>
      <c r="AA1124" s="14" t="str">
        <f>IFERROR(VLOOKUP(A1124,'[2]UPDATE BILL 2018'!$B:$P,15,0),IFERROR(VLOOKUP(A1124,'[2]UPDATE BILL 2018'!$C:$P,14,0),IFERROR(VLOOKUP(A1124,'[2]UPDATE BILL 2018'!$D:$P,13,0),IFERROR(VLOOKUP(A1124,'[2]UPDATE BILL 2018'!$E:$P,12,0),IFERROR(VLOOKUP(A1124,'[2]UPDATE BILL 2018'!$F:$P,11,0),IFERROR(VLOOKUP(A1124,'[2]UPDATE BILL 2018'!$G:$P,10,0),IFERROR(VLOOKUP(A1124,'[2]UPDATE BILL 2018'!$H:$P,9,0),IFERROR(VLOOKUP(A1124,'[2]UPDATE BILL 2018'!$I:$P,8,0),VLOOKUP(A1124,'[2]UPDATE BILL 2018'!$B:$P,15,0)))))))))</f>
        <v>EGLV237800206446</v>
      </c>
      <c r="AB1124" s="44">
        <f>IFERROR(VLOOKUP(A1124,'[2]UPDATE BILL 2018'!$B:$T,19,0),IFERROR(VLOOKUP(A1124,'[2]UPDATE BILL 2018'!$C:$T,18,0),IFERROR(VLOOKUP(A1124,'[2]UPDATE BILL 2018'!$D:$T,17,0),IFERROR(VLOOKUP(A1124,'[2]UPDATE BILL 2018'!$E:$T,16,0),IFERROR(VLOOKUP(A1124,'[2]UPDATE BILL 2018'!$F:$T,15,0),IFERROR(VLOOKUP(A1124,'[2]UPDATE BILL 2018'!$G:$T,14,0),IFERROR(VLOOKUP(A1124,'[2]UPDATE BILL 2018'!$H:$T,13,0),IFERROR(VLOOKUP(A1124,'[2]UPDATE BILL 2018'!$I:$T,12,0),VLOOKUP(A1124,'[2]UPDATE BILL 2018'!$B:$T,19,0)))))))))</f>
        <v>43300</v>
      </c>
      <c r="AC1124" s="44" t="str">
        <f>IFERROR(VLOOKUP(A1124,'[2]UPDATE BILL 2018'!$B:$V,21,0),IFERROR(VLOOKUP(A1124,'[2]UPDATE BILL 2018'!$C:$V,20,0),IFERROR(VLOOKUP(A1124,'[2]UPDATE BILL 2018'!$D:$V,19,0),IFERROR(VLOOKUP(A1124,'[2]UPDATE BILL 2018'!$E:$V,18,0),IFERROR(VLOOKUP(A1124,'[2]UPDATE BILL 2018'!$F:$V,17,0),IFERROR(VLOOKUP(A1124,'[2]UPDATE BILL 2018'!$G:$V,16,0),IFERROR(VLOOKUP(A1124,'[2]UPDATE BILL 2018'!$H:$V,15,0),IFERROR(VLOOKUP(A1124,'[2]UPDATE BILL 2018'!$I:$V,14,0),VLOOKUP(A1124,'[2]UPDATE BILL 2018'!$B:$V,21,0)))))))))</f>
        <v>MOONCHILD N030</v>
      </c>
      <c r="AD1124" s="29" t="s">
        <v>51</v>
      </c>
      <c r="AE1124" s="24" t="s">
        <v>2590</v>
      </c>
      <c r="AF1124" s="25" t="str">
        <f t="shared" si="48"/>
        <v>VS</v>
      </c>
      <c r="AI1124" s="58"/>
    </row>
    <row r="1125" spans="1:35" ht="16.5" customHeight="1">
      <c r="A1125" s="6" t="s">
        <v>2503</v>
      </c>
      <c r="D1125" s="7">
        <f t="shared" si="44"/>
        <v>0</v>
      </c>
      <c r="E1125" s="7">
        <v>0</v>
      </c>
      <c r="F1125" s="5">
        <v>0</v>
      </c>
      <c r="G1125" s="7">
        <v>0</v>
      </c>
      <c r="H1125" s="5">
        <v>0</v>
      </c>
      <c r="I1125" s="7">
        <v>0</v>
      </c>
      <c r="J1125" s="7">
        <v>0</v>
      </c>
      <c r="K1125" s="5">
        <v>0</v>
      </c>
      <c r="L1125" s="5">
        <v>0</v>
      </c>
      <c r="M1125" s="5">
        <v>174</v>
      </c>
      <c r="N1125" s="7">
        <f t="shared" si="45"/>
        <v>174</v>
      </c>
      <c r="O1125" s="7">
        <v>30745.799999999996</v>
      </c>
      <c r="P1125" s="7">
        <f t="shared" si="46"/>
        <v>0</v>
      </c>
      <c r="Q1125" s="5">
        <v>0</v>
      </c>
      <c r="R1125" s="5">
        <v>0</v>
      </c>
      <c r="S1125" s="7">
        <v>0</v>
      </c>
      <c r="T1125" s="12">
        <v>43297</v>
      </c>
      <c r="U1125" s="4">
        <v>3</v>
      </c>
      <c r="V1125" s="4">
        <v>9</v>
      </c>
      <c r="W1125" s="4">
        <v>9</v>
      </c>
      <c r="X1125" s="45">
        <f t="shared" si="47"/>
        <v>30745.799999999996</v>
      </c>
      <c r="Y1125" s="14" t="s">
        <v>54</v>
      </c>
      <c r="Z1125" s="14" t="s">
        <v>59</v>
      </c>
      <c r="AA1125" s="14" t="str">
        <f>IFERROR(VLOOKUP(A1125,'[2]UPDATE BILL 2018'!$B:$P,15,0),IFERROR(VLOOKUP(A1125,'[2]UPDATE BILL 2018'!$C:$P,14,0),IFERROR(VLOOKUP(A1125,'[2]UPDATE BILL 2018'!$D:$P,13,0),IFERROR(VLOOKUP(A1125,'[2]UPDATE BILL 2018'!$E:$P,12,0),IFERROR(VLOOKUP(A1125,'[2]UPDATE BILL 2018'!$F:$P,11,0),IFERROR(VLOOKUP(A1125,'[2]UPDATE BILL 2018'!$G:$P,10,0),IFERROR(VLOOKUP(A1125,'[2]UPDATE BILL 2018'!$H:$P,9,0),IFERROR(VLOOKUP(A1125,'[2]UPDATE BILL 2018'!$I:$P,8,0),VLOOKUP(A1125,'[2]UPDATE BILL 2018'!$B:$P,15,0)))))))))</f>
        <v>SITWHPKW171072</v>
      </c>
      <c r="AB1125" s="44">
        <f>IFERROR(VLOOKUP(A1125,'[2]UPDATE BILL 2018'!$B:$T,19,0),IFERROR(VLOOKUP(A1125,'[2]UPDATE BILL 2018'!$C:$T,18,0),IFERROR(VLOOKUP(A1125,'[2]UPDATE BILL 2018'!$D:$T,17,0),IFERROR(VLOOKUP(A1125,'[2]UPDATE BILL 2018'!$E:$T,16,0),IFERROR(VLOOKUP(A1125,'[2]UPDATE BILL 2018'!$F:$T,15,0),IFERROR(VLOOKUP(A1125,'[2]UPDATE BILL 2018'!$G:$T,14,0),IFERROR(VLOOKUP(A1125,'[2]UPDATE BILL 2018'!$H:$T,13,0),IFERROR(VLOOKUP(A1125,'[2]UPDATE BILL 2018'!$I:$T,12,0),VLOOKUP(A1125,'[2]UPDATE BILL 2018'!$B:$T,19,0)))))))))</f>
        <v>43300</v>
      </c>
      <c r="AC1125" s="44" t="str">
        <f>IFERROR(VLOOKUP(A1125,'[2]UPDATE BILL 2018'!$B:$V,21,0),IFERROR(VLOOKUP(A1125,'[2]UPDATE BILL 2018'!$C:$V,20,0),IFERROR(VLOOKUP(A1125,'[2]UPDATE BILL 2018'!$D:$V,19,0),IFERROR(VLOOKUP(A1125,'[2]UPDATE BILL 2018'!$E:$V,18,0),IFERROR(VLOOKUP(A1125,'[2]UPDATE BILL 2018'!$F:$V,17,0),IFERROR(VLOOKUP(A1125,'[2]UPDATE BILL 2018'!$G:$V,16,0),IFERROR(VLOOKUP(A1125,'[2]UPDATE BILL 2018'!$H:$V,15,0),IFERROR(VLOOKUP(A1125,'[2]UPDATE BILL 2018'!$I:$V,14,0),VLOOKUP(A1125,'[2]UPDATE BILL 2018'!$B:$V,21,0)))))))))</f>
        <v>SITC OSAKA 1821N</v>
      </c>
      <c r="AD1125" s="29" t="s">
        <v>50</v>
      </c>
      <c r="AE1125" s="24" t="s">
        <v>2510</v>
      </c>
      <c r="AF1125" s="25" t="str">
        <f t="shared" si="48"/>
        <v>VW</v>
      </c>
      <c r="AI1125" s="58"/>
    </row>
    <row r="1126" spans="1:35" ht="16.5" customHeight="1">
      <c r="A1126" s="6" t="s">
        <v>2504</v>
      </c>
      <c r="D1126" s="7">
        <f t="shared" si="44"/>
        <v>0</v>
      </c>
      <c r="E1126" s="7">
        <v>0</v>
      </c>
      <c r="F1126" s="5">
        <v>0</v>
      </c>
      <c r="G1126" s="7">
        <v>0</v>
      </c>
      <c r="H1126" s="5">
        <v>0</v>
      </c>
      <c r="I1126" s="7">
        <v>0</v>
      </c>
      <c r="J1126" s="7">
        <v>0</v>
      </c>
      <c r="K1126" s="5">
        <v>0</v>
      </c>
      <c r="L1126" s="5">
        <v>0</v>
      </c>
      <c r="M1126" s="5">
        <v>0</v>
      </c>
      <c r="N1126" s="7">
        <f t="shared" si="45"/>
        <v>0</v>
      </c>
      <c r="O1126" s="7">
        <v>0</v>
      </c>
      <c r="P1126" s="7">
        <f t="shared" si="46"/>
        <v>553</v>
      </c>
      <c r="Q1126" s="5">
        <v>0</v>
      </c>
      <c r="R1126" s="5">
        <v>553</v>
      </c>
      <c r="S1126" s="7">
        <v>36221.5</v>
      </c>
      <c r="T1126" s="12">
        <v>43297</v>
      </c>
      <c r="U1126" s="4">
        <v>1</v>
      </c>
      <c r="V1126" s="4">
        <v>9</v>
      </c>
      <c r="W1126" s="4">
        <v>9</v>
      </c>
      <c r="X1126" s="45">
        <f t="shared" si="47"/>
        <v>36221.5</v>
      </c>
      <c r="Y1126" s="14" t="s">
        <v>56</v>
      </c>
      <c r="Z1126" s="14" t="s">
        <v>57</v>
      </c>
      <c r="AA1126" s="14" t="str">
        <f>IFERROR(VLOOKUP(A1126,'[2]UPDATE BILL 2018'!$B:$P,15,0),IFERROR(VLOOKUP(A1126,'[2]UPDATE BILL 2018'!$C:$P,14,0),IFERROR(VLOOKUP(A1126,'[2]UPDATE BILL 2018'!$D:$P,13,0),IFERROR(VLOOKUP(A1126,'[2]UPDATE BILL 2018'!$E:$P,12,0),IFERROR(VLOOKUP(A1126,'[2]UPDATE BILL 2018'!$F:$P,11,0),IFERROR(VLOOKUP(A1126,'[2]UPDATE BILL 2018'!$G:$P,10,0),IFERROR(VLOOKUP(A1126,'[2]UPDATE BILL 2018'!$H:$P,9,0),IFERROR(VLOOKUP(A1126,'[2]UPDATE BILL 2018'!$I:$P,8,0),VLOOKUP(A1126,'[2]UPDATE BILL 2018'!$B:$P,15,0)))))))))</f>
        <v>1008X03746</v>
      </c>
      <c r="AB1126" s="44">
        <f>IFERROR(VLOOKUP(A1126,'[2]UPDATE BILL 2018'!$B:$T,19,0),IFERROR(VLOOKUP(A1126,'[2]UPDATE BILL 2018'!$C:$T,18,0),IFERROR(VLOOKUP(A1126,'[2]UPDATE BILL 2018'!$D:$T,17,0),IFERROR(VLOOKUP(A1126,'[2]UPDATE BILL 2018'!$E:$T,16,0),IFERROR(VLOOKUP(A1126,'[2]UPDATE BILL 2018'!$F:$T,15,0),IFERROR(VLOOKUP(A1126,'[2]UPDATE BILL 2018'!$G:$T,14,0),IFERROR(VLOOKUP(A1126,'[2]UPDATE BILL 2018'!$H:$T,13,0),IFERROR(VLOOKUP(A1126,'[2]UPDATE BILL 2018'!$I:$T,12,0),VLOOKUP(A1126,'[2]UPDATE BILL 2018'!$B:$T,19,0)))))))))</f>
        <v>43306</v>
      </c>
      <c r="AC1126" s="44" t="str">
        <f>IFERROR(VLOOKUP(A1126,'[2]UPDATE BILL 2018'!$B:$V,21,0),IFERROR(VLOOKUP(A1126,'[2]UPDATE BILL 2018'!$C:$V,20,0),IFERROR(VLOOKUP(A1126,'[2]UPDATE BILL 2018'!$D:$V,19,0),IFERROR(VLOOKUP(A1126,'[2]UPDATE BILL 2018'!$E:$V,18,0),IFERROR(VLOOKUP(A1126,'[2]UPDATE BILL 2018'!$F:$V,17,0),IFERROR(VLOOKUP(A1126,'[2]UPDATE BILL 2018'!$G:$V,16,0),IFERROR(VLOOKUP(A1126,'[2]UPDATE BILL 2018'!$H:$V,15,0),IFERROR(VLOOKUP(A1126,'[2]UPDATE BILL 2018'!$I:$V,14,0),VLOOKUP(A1126,'[2]UPDATE BILL 2018'!$B:$V,21,0)))))))))</f>
        <v>WAN HAI 267 N269</v>
      </c>
      <c r="AD1126" s="29" t="s">
        <v>49</v>
      </c>
      <c r="AE1126" s="24" t="s">
        <v>2511</v>
      </c>
      <c r="AF1126" s="25" t="s">
        <v>2175</v>
      </c>
      <c r="AI1126" s="58"/>
    </row>
    <row r="1127" spans="1:35" ht="16.5" customHeight="1">
      <c r="A1127" s="6" t="s">
        <v>2505</v>
      </c>
      <c r="D1127" s="7">
        <f t="shared" si="44"/>
        <v>0</v>
      </c>
      <c r="E1127" s="7">
        <v>0</v>
      </c>
      <c r="F1127" s="5">
        <v>0</v>
      </c>
      <c r="G1127" s="7">
        <v>0</v>
      </c>
      <c r="H1127" s="5">
        <v>0</v>
      </c>
      <c r="I1127" s="7">
        <v>0</v>
      </c>
      <c r="J1127" s="7">
        <v>0</v>
      </c>
      <c r="K1127" s="5">
        <v>0</v>
      </c>
      <c r="L1127" s="5">
        <v>0</v>
      </c>
      <c r="M1127" s="5">
        <v>0</v>
      </c>
      <c r="N1127" s="7">
        <f t="shared" si="45"/>
        <v>0</v>
      </c>
      <c r="O1127" s="7">
        <v>0</v>
      </c>
      <c r="P1127" s="7">
        <f t="shared" si="46"/>
        <v>258</v>
      </c>
      <c r="Q1127" s="5">
        <v>0</v>
      </c>
      <c r="R1127" s="5">
        <v>258</v>
      </c>
      <c r="S1127" s="7">
        <v>42173.2</v>
      </c>
      <c r="T1127" s="12">
        <v>43297</v>
      </c>
      <c r="U1127" s="4">
        <v>1</v>
      </c>
      <c r="V1127" s="4">
        <v>9</v>
      </c>
      <c r="W1127" s="4">
        <v>9</v>
      </c>
      <c r="X1127" s="45">
        <f t="shared" si="47"/>
        <v>42173.2</v>
      </c>
      <c r="Y1127" s="14" t="s">
        <v>54</v>
      </c>
      <c r="Z1127" s="14" t="s">
        <v>1281</v>
      </c>
      <c r="AA1127" s="14" t="str">
        <f>IFERROR(VLOOKUP(A1127,'[2]UPDATE BILL 2018'!$B:$P,15,0),IFERROR(VLOOKUP(A1127,'[2]UPDATE BILL 2018'!$C:$P,14,0),IFERROR(VLOOKUP(A1127,'[2]UPDATE BILL 2018'!$D:$P,13,0),IFERROR(VLOOKUP(A1127,'[2]UPDATE BILL 2018'!$E:$P,12,0),IFERROR(VLOOKUP(A1127,'[2]UPDATE BILL 2018'!$F:$P,11,0),IFERROR(VLOOKUP(A1127,'[2]UPDATE BILL 2018'!$G:$P,10,0),IFERROR(VLOOKUP(A1127,'[2]UPDATE BILL 2018'!$H:$P,9,0),IFERROR(VLOOKUP(A1127,'[2]UPDATE BILL 2018'!$I:$P,8,0),VLOOKUP(A1127,'[2]UPDATE BILL 2018'!$B:$P,15,0)))))))))</f>
        <v>SITWHPHT171868</v>
      </c>
      <c r="AB1127" s="44">
        <f>IFERROR(VLOOKUP(A1127,'[2]UPDATE BILL 2018'!$B:$T,19,0),IFERROR(VLOOKUP(A1127,'[2]UPDATE BILL 2018'!$C:$T,18,0),IFERROR(VLOOKUP(A1127,'[2]UPDATE BILL 2018'!$D:$T,17,0),IFERROR(VLOOKUP(A1127,'[2]UPDATE BILL 2018'!$E:$T,16,0),IFERROR(VLOOKUP(A1127,'[2]UPDATE BILL 2018'!$F:$T,15,0),IFERROR(VLOOKUP(A1127,'[2]UPDATE BILL 2018'!$G:$T,14,0),IFERROR(VLOOKUP(A1127,'[2]UPDATE BILL 2018'!$H:$T,13,0),IFERROR(VLOOKUP(A1127,'[2]UPDATE BILL 2018'!$I:$T,12,0),VLOOKUP(A1127,'[2]UPDATE BILL 2018'!$B:$T,19,0)))))))))</f>
        <v>43303</v>
      </c>
      <c r="AC1127" s="44" t="str">
        <f>IFERROR(VLOOKUP(A1127,'[2]UPDATE BILL 2018'!$B:$V,21,0),IFERROR(VLOOKUP(A1127,'[2]UPDATE BILL 2018'!$C:$V,20,0),IFERROR(VLOOKUP(A1127,'[2]UPDATE BILL 2018'!$D:$V,19,0),IFERROR(VLOOKUP(A1127,'[2]UPDATE BILL 2018'!$E:$V,18,0),IFERROR(VLOOKUP(A1127,'[2]UPDATE BILL 2018'!$F:$V,17,0),IFERROR(VLOOKUP(A1127,'[2]UPDATE BILL 2018'!$G:$V,16,0),IFERROR(VLOOKUP(A1127,'[2]UPDATE BILL 2018'!$H:$V,15,0),IFERROR(VLOOKUP(A1127,'[2]UPDATE BILL 2018'!$I:$V,14,0),VLOOKUP(A1127,'[2]UPDATE BILL 2018'!$B:$V,21,0)))))))))</f>
        <v>SITC WEIHAI 1817N</v>
      </c>
      <c r="AD1127" s="29" t="s">
        <v>52</v>
      </c>
      <c r="AE1127" s="24" t="s">
        <v>2512</v>
      </c>
      <c r="AF1127" s="25" t="s">
        <v>2173</v>
      </c>
      <c r="AI1127" s="58"/>
    </row>
    <row r="1128" spans="1:35" ht="15.75" customHeight="1">
      <c r="A1128" s="13" t="s">
        <v>2513</v>
      </c>
      <c r="B1128" s="5">
        <v>620</v>
      </c>
      <c r="C1128" s="7">
        <v>46417.2</v>
      </c>
      <c r="D1128" s="7">
        <f t="shared" ref="D1128" si="49">E1128+F1128</f>
        <v>0</v>
      </c>
      <c r="E1128" s="7">
        <v>0</v>
      </c>
      <c r="F1128" s="5">
        <v>0</v>
      </c>
      <c r="G1128" s="7">
        <v>0</v>
      </c>
      <c r="H1128" s="5">
        <v>324</v>
      </c>
      <c r="I1128" s="7">
        <v>34934.79</v>
      </c>
      <c r="J1128" s="7">
        <v>0</v>
      </c>
      <c r="K1128" s="5">
        <v>0</v>
      </c>
      <c r="L1128" s="5">
        <v>0</v>
      </c>
      <c r="M1128" s="5">
        <v>428</v>
      </c>
      <c r="N1128" s="7">
        <f t="shared" ref="N1128" si="50">M1128-K1128</f>
        <v>428</v>
      </c>
      <c r="O1128" s="7">
        <v>31884</v>
      </c>
      <c r="P1128" s="7">
        <v>0</v>
      </c>
      <c r="Q1128" s="5">
        <v>0</v>
      </c>
      <c r="R1128" s="5">
        <v>0</v>
      </c>
      <c r="S1128" s="7">
        <v>0</v>
      </c>
      <c r="T1128" s="12">
        <v>43298</v>
      </c>
      <c r="U1128" s="4">
        <v>9</v>
      </c>
      <c r="V1128" s="4">
        <v>9</v>
      </c>
      <c r="W1128" s="4">
        <v>9</v>
      </c>
      <c r="X1128" s="45">
        <f t="shared" si="47"/>
        <v>113235.98999999999</v>
      </c>
      <c r="Y1128" s="14" t="s">
        <v>54</v>
      </c>
      <c r="Z1128" s="14" t="s">
        <v>57</v>
      </c>
      <c r="AA1128" s="14" t="str">
        <f>IFERROR(VLOOKUP(A1128,'[2]UPDATE BILL 2018'!$B:$P,15,0),IFERROR(VLOOKUP(A1128,'[2]UPDATE BILL 2018'!$C:$P,14,0),IFERROR(VLOOKUP(A1128,'[2]UPDATE BILL 2018'!$D:$P,13,0),IFERROR(VLOOKUP(A1128,'[2]UPDATE BILL 2018'!$E:$P,12,0),IFERROR(VLOOKUP(A1128,'[2]UPDATE BILL 2018'!$F:$P,11,0),IFERROR(VLOOKUP(A1128,'[2]UPDATE BILL 2018'!$G:$P,10,0),IFERROR(VLOOKUP(A1128,'[2]UPDATE BILL 2018'!$H:$P,9,0),IFERROR(VLOOKUP(A1128,'[2]UPDATE BILL 2018'!$I:$P,8,0),VLOOKUP(A1128,'[2]UPDATE BILL 2018'!$B:$P,15,0)))))))))</f>
        <v>SITWHPTK171860</v>
      </c>
      <c r="AB1128" s="44">
        <f>IFERROR(VLOOKUP(A1128,'[2]UPDATE BILL 2018'!$B:$T,19,0),IFERROR(VLOOKUP(A1128,'[2]UPDATE BILL 2018'!$C:$T,18,0),IFERROR(VLOOKUP(A1128,'[2]UPDATE BILL 2018'!$D:$T,17,0),IFERROR(VLOOKUP(A1128,'[2]UPDATE BILL 2018'!$E:$T,16,0),IFERROR(VLOOKUP(A1128,'[2]UPDATE BILL 2018'!$F:$T,15,0),IFERROR(VLOOKUP(A1128,'[2]UPDATE BILL 2018'!$G:$T,14,0),IFERROR(VLOOKUP(A1128,'[2]UPDATE BILL 2018'!$H:$T,13,0),IFERROR(VLOOKUP(A1128,'[2]UPDATE BILL 2018'!$I:$T,12,0),VLOOKUP(A1128,'[2]UPDATE BILL 2018'!$B:$T,19,0)))))))))</f>
        <v>43303</v>
      </c>
      <c r="AC1128" s="44" t="str">
        <f>IFERROR(VLOOKUP(A1128,'[2]UPDATE BILL 2018'!$B:$V,21,0),IFERROR(VLOOKUP(A1128,'[2]UPDATE BILL 2018'!$C:$V,20,0),IFERROR(VLOOKUP(A1128,'[2]UPDATE BILL 2018'!$D:$V,19,0),IFERROR(VLOOKUP(A1128,'[2]UPDATE BILL 2018'!$E:$V,18,0),IFERROR(VLOOKUP(A1128,'[2]UPDATE BILL 2018'!$F:$V,17,0),IFERROR(VLOOKUP(A1128,'[2]UPDATE BILL 2018'!$G:$V,16,0),IFERROR(VLOOKUP(A1128,'[2]UPDATE BILL 2018'!$H:$V,15,0),IFERROR(VLOOKUP(A1128,'[2]UPDATE BILL 2018'!$I:$V,14,0),VLOOKUP(A1128,'[2]UPDATE BILL 2018'!$B:$V,21,0)))))))))</f>
        <v>AVRA C 1821N</v>
      </c>
      <c r="AD1128" s="29" t="s">
        <v>49</v>
      </c>
      <c r="AE1128" s="24" t="s">
        <v>2519</v>
      </c>
      <c r="AF1128" s="25" t="s">
        <v>1265</v>
      </c>
      <c r="AG1128" t="e">
        <f t="shared" ref="AG1128:AG1191" si="51">+VLOOKUP(AF1128,AH:AH,2,0)</f>
        <v>#REF!</v>
      </c>
      <c r="AI1128" s="58"/>
    </row>
    <row r="1129" spans="1:35" ht="15.75" customHeight="1">
      <c r="A1129" s="6" t="s">
        <v>2514</v>
      </c>
      <c r="B1129" s="5">
        <v>170</v>
      </c>
      <c r="C1129" s="7">
        <v>11901.5</v>
      </c>
      <c r="D1129" s="7">
        <f t="shared" ref="D1129:D1133" si="52">E1129+F1129</f>
        <v>0</v>
      </c>
      <c r="E1129" s="7">
        <v>0</v>
      </c>
      <c r="F1129" s="5">
        <v>0</v>
      </c>
      <c r="G1129" s="7">
        <v>0</v>
      </c>
      <c r="H1129" s="5">
        <v>0</v>
      </c>
      <c r="I1129" s="7">
        <v>0</v>
      </c>
      <c r="J1129" s="7">
        <v>0</v>
      </c>
      <c r="K1129" s="5">
        <v>0</v>
      </c>
      <c r="L1129" s="5">
        <v>0</v>
      </c>
      <c r="M1129" s="5">
        <v>76</v>
      </c>
      <c r="N1129" s="7">
        <f t="shared" ref="N1129:N1133" si="53">M1129-K1129</f>
        <v>76</v>
      </c>
      <c r="O1129" s="7">
        <v>6900.7</v>
      </c>
      <c r="P1129" s="7">
        <v>0</v>
      </c>
      <c r="Q1129" s="5">
        <v>0</v>
      </c>
      <c r="R1129" s="5">
        <v>0</v>
      </c>
      <c r="S1129" s="7">
        <v>0</v>
      </c>
      <c r="T1129" s="12">
        <v>43298</v>
      </c>
      <c r="U1129" s="4">
        <v>2</v>
      </c>
      <c r="V1129" s="4">
        <v>9</v>
      </c>
      <c r="W1129" s="4">
        <v>9</v>
      </c>
      <c r="X1129" s="45">
        <f t="shared" si="47"/>
        <v>18802.2</v>
      </c>
      <c r="Y1129" s="14" t="s">
        <v>54</v>
      </c>
      <c r="Z1129" s="14" t="s">
        <v>1281</v>
      </c>
      <c r="AA1129" s="14" t="str">
        <f>IFERROR(VLOOKUP(A1129,'[2]UPDATE BILL 2018'!$B:$P,15,0),IFERROR(VLOOKUP(A1129,'[2]UPDATE BILL 2018'!$C:$P,14,0),IFERROR(VLOOKUP(A1129,'[2]UPDATE BILL 2018'!$D:$P,13,0),IFERROR(VLOOKUP(A1129,'[2]UPDATE BILL 2018'!$E:$P,12,0),IFERROR(VLOOKUP(A1129,'[2]UPDATE BILL 2018'!$F:$P,11,0),IFERROR(VLOOKUP(A1129,'[2]UPDATE BILL 2018'!$G:$P,10,0),IFERROR(VLOOKUP(A1129,'[2]UPDATE BILL 2018'!$H:$P,9,0),IFERROR(VLOOKUP(A1129,'[2]UPDATE BILL 2018'!$I:$P,8,0),VLOOKUP(A1129,'[2]UPDATE BILL 2018'!$B:$P,15,0)))))))))</f>
        <v>SITWHPHT171868</v>
      </c>
      <c r="AB1129" s="44">
        <f>IFERROR(VLOOKUP(A1129,'[2]UPDATE BILL 2018'!$B:$T,19,0),IFERROR(VLOOKUP(A1129,'[2]UPDATE BILL 2018'!$C:$T,18,0),IFERROR(VLOOKUP(A1129,'[2]UPDATE BILL 2018'!$D:$T,17,0),IFERROR(VLOOKUP(A1129,'[2]UPDATE BILL 2018'!$E:$T,16,0),IFERROR(VLOOKUP(A1129,'[2]UPDATE BILL 2018'!$F:$T,15,0),IFERROR(VLOOKUP(A1129,'[2]UPDATE BILL 2018'!$G:$T,14,0),IFERROR(VLOOKUP(A1129,'[2]UPDATE BILL 2018'!$H:$T,13,0),IFERROR(VLOOKUP(A1129,'[2]UPDATE BILL 2018'!$I:$T,12,0),VLOOKUP(A1129,'[2]UPDATE BILL 2018'!$B:$T,19,0)))))))))</f>
        <v>43303</v>
      </c>
      <c r="AC1129" s="44" t="str">
        <f>IFERROR(VLOOKUP(A1129,'[2]UPDATE BILL 2018'!$B:$V,21,0),IFERROR(VLOOKUP(A1129,'[2]UPDATE BILL 2018'!$C:$V,20,0),IFERROR(VLOOKUP(A1129,'[2]UPDATE BILL 2018'!$D:$V,19,0),IFERROR(VLOOKUP(A1129,'[2]UPDATE BILL 2018'!$E:$V,18,0),IFERROR(VLOOKUP(A1129,'[2]UPDATE BILL 2018'!$F:$V,17,0),IFERROR(VLOOKUP(A1129,'[2]UPDATE BILL 2018'!$G:$V,16,0),IFERROR(VLOOKUP(A1129,'[2]UPDATE BILL 2018'!$H:$V,15,0),IFERROR(VLOOKUP(A1129,'[2]UPDATE BILL 2018'!$I:$V,14,0),VLOOKUP(A1129,'[2]UPDATE BILL 2018'!$B:$V,21,0)))))))))</f>
        <v>SITC WEIHAI 1817N</v>
      </c>
      <c r="AD1129" s="14" t="s">
        <v>52</v>
      </c>
      <c r="AE1129" s="24" t="s">
        <v>2520</v>
      </c>
      <c r="AF1129" s="25" t="s">
        <v>1271</v>
      </c>
      <c r="AG1129" t="e">
        <f t="shared" si="51"/>
        <v>#REF!</v>
      </c>
      <c r="AI1129" s="58"/>
    </row>
    <row r="1130" spans="1:35" ht="15.75" customHeight="1">
      <c r="A1130" s="13" t="s">
        <v>2515</v>
      </c>
      <c r="B1130" s="5">
        <v>343</v>
      </c>
      <c r="C1130" s="7">
        <v>27779</v>
      </c>
      <c r="D1130" s="7">
        <f t="shared" si="52"/>
        <v>0</v>
      </c>
      <c r="E1130" s="7">
        <v>0</v>
      </c>
      <c r="F1130" s="5">
        <v>0</v>
      </c>
      <c r="G1130" s="7">
        <v>0</v>
      </c>
      <c r="H1130" s="5">
        <v>288</v>
      </c>
      <c r="I1130" s="7">
        <v>31902.390000000003</v>
      </c>
      <c r="J1130" s="7">
        <v>0</v>
      </c>
      <c r="K1130" s="5">
        <v>0</v>
      </c>
      <c r="L1130" s="5">
        <v>0</v>
      </c>
      <c r="M1130" s="5">
        <v>170</v>
      </c>
      <c r="N1130" s="7">
        <f t="shared" si="53"/>
        <v>170</v>
      </c>
      <c r="O1130" s="7">
        <v>24928.1</v>
      </c>
      <c r="P1130" s="7">
        <v>0</v>
      </c>
      <c r="Q1130" s="5">
        <v>0</v>
      </c>
      <c r="R1130" s="5">
        <v>0</v>
      </c>
      <c r="S1130" s="7">
        <v>0</v>
      </c>
      <c r="T1130" s="12">
        <v>43298</v>
      </c>
      <c r="U1130" s="4">
        <v>7</v>
      </c>
      <c r="V1130" s="4">
        <v>9</v>
      </c>
      <c r="W1130" s="4">
        <v>9</v>
      </c>
      <c r="X1130" s="45">
        <f t="shared" si="47"/>
        <v>84609.489999999991</v>
      </c>
      <c r="Y1130" s="14" t="s">
        <v>54</v>
      </c>
      <c r="Z1130" s="14" t="s">
        <v>55</v>
      </c>
      <c r="AA1130" s="14" t="str">
        <f>IFERROR(VLOOKUP(A1130,'[2]UPDATE BILL 2018'!$B:$P,15,0),IFERROR(VLOOKUP(A1130,'[2]UPDATE BILL 2018'!$C:$P,14,0),IFERROR(VLOOKUP(A1130,'[2]UPDATE BILL 2018'!$D:$P,13,0),IFERROR(VLOOKUP(A1130,'[2]UPDATE BILL 2018'!$E:$P,12,0),IFERROR(VLOOKUP(A1130,'[2]UPDATE BILL 2018'!$F:$P,11,0),IFERROR(VLOOKUP(A1130,'[2]UPDATE BILL 2018'!$G:$P,10,0),IFERROR(VLOOKUP(A1130,'[2]UPDATE BILL 2018'!$H:$P,9,0),IFERROR(VLOOKUP(A1130,'[2]UPDATE BILL 2018'!$I:$P,8,0),VLOOKUP(A1130,'[2]UPDATE BILL 2018'!$B:$P,15,0)))))))))</f>
        <v>SITWHPOS171863</v>
      </c>
      <c r="AB1130" s="44">
        <f>IFERROR(VLOOKUP(A1130,'[2]UPDATE BILL 2018'!$B:$T,19,0),IFERROR(VLOOKUP(A1130,'[2]UPDATE BILL 2018'!$C:$T,18,0),IFERROR(VLOOKUP(A1130,'[2]UPDATE BILL 2018'!$D:$T,17,0),IFERROR(VLOOKUP(A1130,'[2]UPDATE BILL 2018'!$E:$T,16,0),IFERROR(VLOOKUP(A1130,'[2]UPDATE BILL 2018'!$F:$T,15,0),IFERROR(VLOOKUP(A1130,'[2]UPDATE BILL 2018'!$G:$T,14,0),IFERROR(VLOOKUP(A1130,'[2]UPDATE BILL 2018'!$H:$T,13,0),IFERROR(VLOOKUP(A1130,'[2]UPDATE BILL 2018'!$I:$T,12,0),VLOOKUP(A1130,'[2]UPDATE BILL 2018'!$B:$T,19,0)))))))))</f>
        <v>43303</v>
      </c>
      <c r="AC1130" s="44" t="str">
        <f>IFERROR(VLOOKUP(A1130,'[2]UPDATE BILL 2018'!$B:$V,21,0),IFERROR(VLOOKUP(A1130,'[2]UPDATE BILL 2018'!$C:$V,20,0),IFERROR(VLOOKUP(A1130,'[2]UPDATE BILL 2018'!$D:$V,19,0),IFERROR(VLOOKUP(A1130,'[2]UPDATE BILL 2018'!$E:$V,18,0),IFERROR(VLOOKUP(A1130,'[2]UPDATE BILL 2018'!$F:$V,17,0),IFERROR(VLOOKUP(A1130,'[2]UPDATE BILL 2018'!$G:$V,16,0),IFERROR(VLOOKUP(A1130,'[2]UPDATE BILL 2018'!$H:$V,15,0),IFERROR(VLOOKUP(A1130,'[2]UPDATE BILL 2018'!$I:$V,14,0),VLOOKUP(A1130,'[2]UPDATE BILL 2018'!$B:$V,21,0)))))))))</f>
        <v>SITC WEIHAI 1817N</v>
      </c>
      <c r="AD1130" s="14" t="s">
        <v>51</v>
      </c>
      <c r="AE1130" s="24" t="s">
        <v>2521</v>
      </c>
      <c r="AF1130" s="25" t="str">
        <f t="shared" ref="AF1130:AF1148" si="54">+LEFT(AE1130,2)</f>
        <v>VS</v>
      </c>
      <c r="AG1130" t="e">
        <f t="shared" si="51"/>
        <v>#REF!</v>
      </c>
      <c r="AI1130" s="58"/>
    </row>
    <row r="1131" spans="1:35" ht="15.75" customHeight="1">
      <c r="A1131" s="6" t="s">
        <v>2516</v>
      </c>
      <c r="B1131" s="5">
        <v>963</v>
      </c>
      <c r="C1131" s="7">
        <v>103158.08000000002</v>
      </c>
      <c r="D1131" s="7">
        <f t="shared" si="52"/>
        <v>0</v>
      </c>
      <c r="E1131" s="7">
        <v>0</v>
      </c>
      <c r="F1131" s="5">
        <v>0</v>
      </c>
      <c r="G1131" s="7">
        <v>0</v>
      </c>
      <c r="H1131" s="5">
        <v>219</v>
      </c>
      <c r="I1131" s="7">
        <v>25460.76</v>
      </c>
      <c r="J1131" s="7">
        <v>0</v>
      </c>
      <c r="K1131" s="5">
        <v>0</v>
      </c>
      <c r="L1131" s="5">
        <v>0</v>
      </c>
      <c r="M1131" s="5">
        <v>45</v>
      </c>
      <c r="N1131" s="7">
        <f t="shared" si="53"/>
        <v>45</v>
      </c>
      <c r="O1131" s="7">
        <v>8437.0999999999985</v>
      </c>
      <c r="P1131" s="7">
        <v>0</v>
      </c>
      <c r="Q1131" s="5">
        <v>0</v>
      </c>
      <c r="R1131" s="5">
        <v>0</v>
      </c>
      <c r="S1131" s="7">
        <v>0</v>
      </c>
      <c r="T1131" s="12">
        <v>43298</v>
      </c>
      <c r="U1131" s="4">
        <v>11</v>
      </c>
      <c r="V1131" s="4">
        <v>9</v>
      </c>
      <c r="W1131" s="4">
        <v>9</v>
      </c>
      <c r="X1131" s="45">
        <f t="shared" ref="X1131:X1133" si="55">+C1131+G1131+I1131+O1131+S1131</f>
        <v>137055.94</v>
      </c>
      <c r="Y1131" s="14" t="s">
        <v>54</v>
      </c>
      <c r="Z1131" s="14" t="s">
        <v>59</v>
      </c>
      <c r="AA1131" s="14" t="str">
        <f>IFERROR(VLOOKUP(A1131,'[2]UPDATE BILL 2018'!$B:$P,15,0),IFERROR(VLOOKUP(A1131,'[2]UPDATE BILL 2018'!$C:$P,14,0),IFERROR(VLOOKUP(A1131,'[2]UPDATE BILL 2018'!$D:$P,13,0),IFERROR(VLOOKUP(A1131,'[2]UPDATE BILL 2018'!$E:$P,12,0),IFERROR(VLOOKUP(A1131,'[2]UPDATE BILL 2018'!$F:$P,11,0),IFERROR(VLOOKUP(A1131,'[2]UPDATE BILL 2018'!$G:$P,10,0),IFERROR(VLOOKUP(A1131,'[2]UPDATE BILL 2018'!$H:$P,9,0),IFERROR(VLOOKUP(A1131,'[2]UPDATE BILL 2018'!$I:$P,8,0),VLOOKUP(A1131,'[2]UPDATE BILL 2018'!$B:$P,15,0)))))))))</f>
        <v>SITWHPOS171864</v>
      </c>
      <c r="AB1131" s="44">
        <f>IFERROR(VLOOKUP(A1131,'[2]UPDATE BILL 2018'!$B:$T,19,0),IFERROR(VLOOKUP(A1131,'[2]UPDATE BILL 2018'!$C:$T,18,0),IFERROR(VLOOKUP(A1131,'[2]UPDATE BILL 2018'!$D:$T,17,0),IFERROR(VLOOKUP(A1131,'[2]UPDATE BILL 2018'!$E:$T,16,0),IFERROR(VLOOKUP(A1131,'[2]UPDATE BILL 2018'!$F:$T,15,0),IFERROR(VLOOKUP(A1131,'[2]UPDATE BILL 2018'!$G:$T,14,0),IFERROR(VLOOKUP(A1131,'[2]UPDATE BILL 2018'!$H:$T,13,0),IFERROR(VLOOKUP(A1131,'[2]UPDATE BILL 2018'!$I:$T,12,0),VLOOKUP(A1131,'[2]UPDATE BILL 2018'!$B:$T,19,0)))))))))</f>
        <v>43308</v>
      </c>
      <c r="AC1131" s="44" t="str">
        <f>IFERROR(VLOOKUP(A1131,'[2]UPDATE BILL 2018'!$B:$V,21,0),IFERROR(VLOOKUP(A1131,'[2]UPDATE BILL 2018'!$C:$V,20,0),IFERROR(VLOOKUP(A1131,'[2]UPDATE BILL 2018'!$D:$V,19,0),IFERROR(VLOOKUP(A1131,'[2]UPDATE BILL 2018'!$E:$V,18,0),IFERROR(VLOOKUP(A1131,'[2]UPDATE BILL 2018'!$F:$V,17,0),IFERROR(VLOOKUP(A1131,'[2]UPDATE BILL 2018'!$G:$V,16,0),IFERROR(VLOOKUP(A1131,'[2]UPDATE BILL 2018'!$H:$V,15,0),IFERROR(VLOOKUP(A1131,'[2]UPDATE BILL 2018'!$I:$V,14,0),VLOOKUP(A1131,'[2]UPDATE BILL 2018'!$B:$V,21,0)))))))))</f>
        <v>REFLECTION 1821N</v>
      </c>
      <c r="AD1131" s="14" t="s">
        <v>51</v>
      </c>
      <c r="AE1131" s="24" t="s">
        <v>2522</v>
      </c>
      <c r="AF1131" s="25" t="str">
        <f t="shared" si="54"/>
        <v>VS</v>
      </c>
      <c r="AG1131" t="e">
        <f t="shared" si="51"/>
        <v>#REF!</v>
      </c>
      <c r="AI1131" s="58"/>
    </row>
    <row r="1132" spans="1:35" ht="15.75" customHeight="1">
      <c r="A1132" s="6" t="s">
        <v>2517</v>
      </c>
      <c r="B1132" s="5">
        <v>797</v>
      </c>
      <c r="C1132" s="7">
        <v>91398.2</v>
      </c>
      <c r="D1132" s="7">
        <f t="shared" si="52"/>
        <v>0</v>
      </c>
      <c r="E1132" s="7">
        <v>0</v>
      </c>
      <c r="F1132" s="5">
        <v>0</v>
      </c>
      <c r="G1132" s="7">
        <v>0</v>
      </c>
      <c r="H1132" s="5">
        <v>0</v>
      </c>
      <c r="I1132" s="7">
        <v>0</v>
      </c>
      <c r="J1132" s="7">
        <v>0</v>
      </c>
      <c r="K1132" s="5">
        <v>0</v>
      </c>
      <c r="L1132" s="5">
        <v>0</v>
      </c>
      <c r="M1132" s="5">
        <v>57</v>
      </c>
      <c r="N1132" s="7">
        <f t="shared" si="53"/>
        <v>57</v>
      </c>
      <c r="O1132" s="7">
        <v>10494.4</v>
      </c>
      <c r="P1132" s="7">
        <v>0</v>
      </c>
      <c r="Q1132" s="5">
        <v>0</v>
      </c>
      <c r="R1132" s="5">
        <v>0</v>
      </c>
      <c r="S1132" s="7">
        <v>0</v>
      </c>
      <c r="T1132" s="12">
        <v>43298</v>
      </c>
      <c r="U1132" s="4">
        <v>8</v>
      </c>
      <c r="V1132" s="4">
        <v>9</v>
      </c>
      <c r="W1132" s="4">
        <v>9</v>
      </c>
      <c r="X1132" s="45">
        <f t="shared" si="55"/>
        <v>101892.59999999999</v>
      </c>
      <c r="Y1132" s="14" t="s">
        <v>54</v>
      </c>
      <c r="Z1132" s="14" t="s">
        <v>2525</v>
      </c>
      <c r="AA1132" s="14" t="str">
        <f>IFERROR(VLOOKUP(A1132,'[2]UPDATE BILL 2018'!$B:$P,15,0),IFERROR(VLOOKUP(A1132,'[2]UPDATE BILL 2018'!$C:$P,14,0),IFERROR(VLOOKUP(A1132,'[2]UPDATE BILL 2018'!$D:$P,13,0),IFERROR(VLOOKUP(A1132,'[2]UPDATE BILL 2018'!$E:$P,12,0),IFERROR(VLOOKUP(A1132,'[2]UPDATE BILL 2018'!$F:$P,11,0),IFERROR(VLOOKUP(A1132,'[2]UPDATE BILL 2018'!$G:$P,10,0),IFERROR(VLOOKUP(A1132,'[2]UPDATE BILL 2018'!$H:$P,9,0),IFERROR(VLOOKUP(A1132,'[2]UPDATE BILL 2018'!$I:$P,8,0),VLOOKUP(A1132,'[2]UPDATE BILL 2018'!$B:$P,15,0)))))))))</f>
        <v>SITWHPKW171813</v>
      </c>
      <c r="AB1132" s="44">
        <f>IFERROR(VLOOKUP(A1132,'[2]UPDATE BILL 2018'!$B:$T,19,0),IFERROR(VLOOKUP(A1132,'[2]UPDATE BILL 2018'!$C:$T,18,0),IFERROR(VLOOKUP(A1132,'[2]UPDATE BILL 2018'!$D:$T,17,0),IFERROR(VLOOKUP(A1132,'[2]UPDATE BILL 2018'!$E:$T,16,0),IFERROR(VLOOKUP(A1132,'[2]UPDATE BILL 2018'!$F:$T,15,0),IFERROR(VLOOKUP(A1132,'[2]UPDATE BILL 2018'!$G:$T,14,0),IFERROR(VLOOKUP(A1132,'[2]UPDATE BILL 2018'!$H:$T,13,0),IFERROR(VLOOKUP(A1132,'[2]UPDATE BILL 2018'!$I:$T,12,0),VLOOKUP(A1132,'[2]UPDATE BILL 2018'!$B:$T,19,0)))))))))</f>
        <v>43307</v>
      </c>
      <c r="AC1132" s="44" t="str">
        <f>IFERROR(VLOOKUP(A1132,'[2]UPDATE BILL 2018'!$B:$V,21,0),IFERROR(VLOOKUP(A1132,'[2]UPDATE BILL 2018'!$C:$V,20,0),IFERROR(VLOOKUP(A1132,'[2]UPDATE BILL 2018'!$D:$V,19,0),IFERROR(VLOOKUP(A1132,'[2]UPDATE BILL 2018'!$E:$V,18,0),IFERROR(VLOOKUP(A1132,'[2]UPDATE BILL 2018'!$F:$V,17,0),IFERROR(VLOOKUP(A1132,'[2]UPDATE BILL 2018'!$G:$V,16,0),IFERROR(VLOOKUP(A1132,'[2]UPDATE BILL 2018'!$H:$V,15,0),IFERROR(VLOOKUP(A1132,'[2]UPDATE BILL 2018'!$I:$V,14,0),VLOOKUP(A1132,'[2]UPDATE BILL 2018'!$B:$V,21,0)))))))))</f>
        <v>SITC NAGOYA 1821N</v>
      </c>
      <c r="AD1132" s="14" t="s">
        <v>50</v>
      </c>
      <c r="AE1132" s="24" t="s">
        <v>2523</v>
      </c>
      <c r="AF1132" s="25" t="str">
        <f t="shared" si="54"/>
        <v>VW</v>
      </c>
      <c r="AG1132" t="e">
        <f t="shared" si="51"/>
        <v>#REF!</v>
      </c>
      <c r="AI1132" s="58"/>
    </row>
    <row r="1133" spans="1:35" ht="15.75" customHeight="1">
      <c r="A1133" s="6" t="s">
        <v>2518</v>
      </c>
      <c r="B1133" s="5">
        <v>179</v>
      </c>
      <c r="C1133" s="7">
        <v>23285.599999999999</v>
      </c>
      <c r="D1133" s="7">
        <f t="shared" si="52"/>
        <v>0</v>
      </c>
      <c r="E1133" s="7">
        <v>0</v>
      </c>
      <c r="F1133" s="5">
        <v>0</v>
      </c>
      <c r="G1133" s="7">
        <v>0</v>
      </c>
      <c r="H1133" s="5">
        <v>0</v>
      </c>
      <c r="I1133" s="7">
        <v>0</v>
      </c>
      <c r="J1133" s="7">
        <v>0</v>
      </c>
      <c r="K1133" s="5">
        <v>0</v>
      </c>
      <c r="L1133" s="5">
        <v>0</v>
      </c>
      <c r="M1133" s="5">
        <v>0</v>
      </c>
      <c r="N1133" s="7">
        <f t="shared" si="53"/>
        <v>0</v>
      </c>
      <c r="O1133" s="7">
        <v>0</v>
      </c>
      <c r="P1133" s="7">
        <v>0</v>
      </c>
      <c r="Q1133" s="5">
        <v>0</v>
      </c>
      <c r="R1133" s="5">
        <v>0</v>
      </c>
      <c r="S1133" s="7">
        <v>0</v>
      </c>
      <c r="T1133" s="12">
        <v>43298</v>
      </c>
      <c r="U1133" s="4">
        <v>2</v>
      </c>
      <c r="V1133" s="4">
        <v>9</v>
      </c>
      <c r="W1133" s="4">
        <v>9</v>
      </c>
      <c r="X1133" s="45">
        <f t="shared" si="55"/>
        <v>23285.599999999999</v>
      </c>
      <c r="Y1133" s="14" t="s">
        <v>85</v>
      </c>
      <c r="Z1133" s="14" t="s">
        <v>1492</v>
      </c>
      <c r="AA1133" s="14">
        <f>IFERROR(VLOOKUP(A1133,'[2]UPDATE BILL 2018'!$B:$P,15,0),IFERROR(VLOOKUP(A1133,'[2]UPDATE BILL 2018'!$C:$P,14,0),IFERROR(VLOOKUP(A1133,'[2]UPDATE BILL 2018'!$D:$P,13,0),IFERROR(VLOOKUP(A1133,'[2]UPDATE BILL 2018'!$E:$P,12,0),IFERROR(VLOOKUP(A1133,'[2]UPDATE BILL 2018'!$F:$P,11,0),IFERROR(VLOOKUP(A1133,'[2]UPDATE BILL 2018'!$G:$P,10,0),IFERROR(VLOOKUP(A1133,'[2]UPDATE BILL 2018'!$H:$P,9,0),IFERROR(VLOOKUP(A1133,'[2]UPDATE BILL 2018'!$I:$P,8,0),VLOOKUP(A1133,'[2]UPDATE BILL 2018'!$B:$P,15,0)))))))))</f>
        <v>350810079933</v>
      </c>
      <c r="AB1133" s="44">
        <f>IFERROR(VLOOKUP(A1133,'[2]UPDATE BILL 2018'!$B:$T,19,0),IFERROR(VLOOKUP(A1133,'[2]UPDATE BILL 2018'!$C:$T,18,0),IFERROR(VLOOKUP(A1133,'[2]UPDATE BILL 2018'!$D:$T,17,0),IFERROR(VLOOKUP(A1133,'[2]UPDATE BILL 2018'!$E:$T,16,0),IFERROR(VLOOKUP(A1133,'[2]UPDATE BILL 2018'!$F:$T,15,0),IFERROR(VLOOKUP(A1133,'[2]UPDATE BILL 2018'!$G:$T,14,0),IFERROR(VLOOKUP(A1133,'[2]UPDATE BILL 2018'!$H:$T,13,0),IFERROR(VLOOKUP(A1133,'[2]UPDATE BILL 2018'!$I:$T,12,0),VLOOKUP(A1133,'[2]UPDATE BILL 2018'!$B:$T,19,0)))))))))</f>
        <v>43306</v>
      </c>
      <c r="AC1133" s="44" t="str">
        <f>IFERROR(VLOOKUP(A1133,'[2]UPDATE BILL 2018'!$B:$V,21,0),IFERROR(VLOOKUP(A1133,'[2]UPDATE BILL 2018'!$C:$V,20,0),IFERROR(VLOOKUP(A1133,'[2]UPDATE BILL 2018'!$D:$V,19,0),IFERROR(VLOOKUP(A1133,'[2]UPDATE BILL 2018'!$E:$V,18,0),IFERROR(VLOOKUP(A1133,'[2]UPDATE BILL 2018'!$F:$V,17,0),IFERROR(VLOOKUP(A1133,'[2]UPDATE BILL 2018'!$G:$V,16,0),IFERROR(VLOOKUP(A1133,'[2]UPDATE BILL 2018'!$H:$V,15,0),IFERROR(VLOOKUP(A1133,'[2]UPDATE BILL 2018'!$I:$V,14,0),VLOOKUP(A1133,'[2]UPDATE BILL 2018'!$B:$V,21,0)))))))))</f>
        <v>MARCARRIER 18013N</v>
      </c>
      <c r="AD1133" s="14" t="s">
        <v>49</v>
      </c>
      <c r="AE1133" s="24" t="s">
        <v>2524</v>
      </c>
      <c r="AF1133" s="25" t="str">
        <f t="shared" si="54"/>
        <v>VZ</v>
      </c>
      <c r="AG1133" t="e">
        <f t="shared" si="51"/>
        <v>#REF!</v>
      </c>
      <c r="AI1133" s="58"/>
    </row>
    <row r="1134" spans="1:35" ht="15.75" customHeight="1">
      <c r="A1134" s="13" t="s">
        <v>2526</v>
      </c>
      <c r="D1134" s="7">
        <f t="shared" ref="D1134" si="56">E1134+F1134</f>
        <v>0</v>
      </c>
      <c r="E1134" s="7">
        <v>0</v>
      </c>
      <c r="F1134" s="5">
        <v>0</v>
      </c>
      <c r="G1134" s="7">
        <v>0</v>
      </c>
      <c r="H1134" s="5">
        <v>360</v>
      </c>
      <c r="I1134" s="7">
        <v>43496.950000000004</v>
      </c>
      <c r="J1134" s="7">
        <v>0</v>
      </c>
      <c r="K1134" s="5">
        <v>0</v>
      </c>
      <c r="L1134" s="5">
        <v>0</v>
      </c>
      <c r="M1134" s="5">
        <v>58</v>
      </c>
      <c r="N1134" s="7">
        <f t="shared" ref="N1134" si="57">M1134-K1134</f>
        <v>58</v>
      </c>
      <c r="O1134" s="7">
        <v>8758</v>
      </c>
      <c r="P1134" s="7">
        <v>0</v>
      </c>
      <c r="Q1134" s="5">
        <v>0</v>
      </c>
      <c r="R1134" s="5">
        <v>0</v>
      </c>
      <c r="S1134" s="7">
        <v>0</v>
      </c>
      <c r="T1134" s="12">
        <v>43299</v>
      </c>
      <c r="U1134" s="4">
        <v>4</v>
      </c>
      <c r="V1134" s="4">
        <v>9</v>
      </c>
      <c r="W1134" s="4">
        <v>9</v>
      </c>
      <c r="X1134" s="45">
        <f t="shared" ref="X1134:X1138" si="58">+C1134+G1134+I1134+O1134+S1134</f>
        <v>52254.950000000004</v>
      </c>
      <c r="Y1134" s="14" t="s">
        <v>56</v>
      </c>
      <c r="Z1134" s="14" t="s">
        <v>1281</v>
      </c>
      <c r="AA1134" s="14" t="str">
        <f>IFERROR(VLOOKUP(A1134,'[2]UPDATE BILL 2018'!$B:$P,15,0),IFERROR(VLOOKUP(A1134,'[2]UPDATE BILL 2018'!$C:$P,14,0),IFERROR(VLOOKUP(A1134,'[2]UPDATE BILL 2018'!$D:$P,13,0),IFERROR(VLOOKUP(A1134,'[2]UPDATE BILL 2018'!$E:$P,12,0),IFERROR(VLOOKUP(A1134,'[2]UPDATE BILL 2018'!$F:$P,11,0),IFERROR(VLOOKUP(A1134,'[2]UPDATE BILL 2018'!$G:$P,10,0),IFERROR(VLOOKUP(A1134,'[2]UPDATE BILL 2018'!$H:$P,9,0),IFERROR(VLOOKUP(A1134,'[2]UPDATE BILL 2018'!$I:$P,8,0),VLOOKUP(A1134,'[2]UPDATE BILL 2018'!$B:$P,15,0)))))))))</f>
        <v>1008X03746</v>
      </c>
      <c r="AB1134" s="44">
        <f>IFERROR(VLOOKUP(A1134,'[2]UPDATE BILL 2018'!$B:$T,19,0),IFERROR(VLOOKUP(A1134,'[2]UPDATE BILL 2018'!$C:$T,18,0),IFERROR(VLOOKUP(A1134,'[2]UPDATE BILL 2018'!$D:$T,17,0),IFERROR(VLOOKUP(A1134,'[2]UPDATE BILL 2018'!$E:$T,16,0),IFERROR(VLOOKUP(A1134,'[2]UPDATE BILL 2018'!$F:$T,15,0),IFERROR(VLOOKUP(A1134,'[2]UPDATE BILL 2018'!$G:$T,14,0),IFERROR(VLOOKUP(A1134,'[2]UPDATE BILL 2018'!$H:$T,13,0),IFERROR(VLOOKUP(A1134,'[2]UPDATE BILL 2018'!$I:$T,12,0),VLOOKUP(A1134,'[2]UPDATE BILL 2018'!$B:$T,19,0)))))))))</f>
        <v>43306</v>
      </c>
      <c r="AC1134" s="44" t="str">
        <f>IFERROR(VLOOKUP(A1134,'[2]UPDATE BILL 2018'!$B:$V,21,0),IFERROR(VLOOKUP(A1134,'[2]UPDATE BILL 2018'!$C:$V,20,0),IFERROR(VLOOKUP(A1134,'[2]UPDATE BILL 2018'!$D:$V,19,0),IFERROR(VLOOKUP(A1134,'[2]UPDATE BILL 2018'!$E:$V,18,0),IFERROR(VLOOKUP(A1134,'[2]UPDATE BILL 2018'!$F:$V,17,0),IFERROR(VLOOKUP(A1134,'[2]UPDATE BILL 2018'!$G:$V,16,0),IFERROR(VLOOKUP(A1134,'[2]UPDATE BILL 2018'!$H:$V,15,0),IFERROR(VLOOKUP(A1134,'[2]UPDATE BILL 2018'!$I:$V,14,0),VLOOKUP(A1134,'[2]UPDATE BILL 2018'!$B:$V,21,0)))))))))</f>
        <v>WAN HAI 267 N269</v>
      </c>
      <c r="AD1134" s="14" t="s">
        <v>49</v>
      </c>
      <c r="AE1134" s="24" t="s">
        <v>2536</v>
      </c>
      <c r="AF1134" s="25" t="str">
        <f t="shared" si="54"/>
        <v>VK</v>
      </c>
      <c r="AG1134" t="e">
        <f t="shared" si="51"/>
        <v>#REF!</v>
      </c>
      <c r="AI1134" s="58"/>
    </row>
    <row r="1135" spans="1:35" ht="15.75" customHeight="1">
      <c r="A1135" s="13" t="s">
        <v>2527</v>
      </c>
      <c r="B1135" s="5">
        <v>290</v>
      </c>
      <c r="C1135" s="7">
        <v>18719</v>
      </c>
      <c r="D1135" s="7">
        <f t="shared" ref="D1135:D1148" si="59">E1135+F1135</f>
        <v>0</v>
      </c>
      <c r="E1135" s="7">
        <v>0</v>
      </c>
      <c r="F1135" s="5">
        <v>0</v>
      </c>
      <c r="G1135" s="7">
        <v>0</v>
      </c>
      <c r="H1135" s="5">
        <v>60</v>
      </c>
      <c r="I1135" s="7">
        <v>5284.2000000000007</v>
      </c>
      <c r="J1135" s="7">
        <v>0</v>
      </c>
      <c r="K1135" s="5">
        <v>0</v>
      </c>
      <c r="L1135" s="5">
        <v>0</v>
      </c>
      <c r="M1135" s="5">
        <v>168</v>
      </c>
      <c r="N1135" s="7">
        <f t="shared" ref="N1135:N1148" si="60">M1135-K1135</f>
        <v>168</v>
      </c>
      <c r="O1135" s="7">
        <v>23508.799999999999</v>
      </c>
      <c r="P1135" s="7">
        <v>0</v>
      </c>
      <c r="Q1135" s="5">
        <v>0</v>
      </c>
      <c r="R1135" s="5">
        <v>0</v>
      </c>
      <c r="S1135" s="7">
        <v>0</v>
      </c>
      <c r="T1135" s="12">
        <v>43299</v>
      </c>
      <c r="U1135" s="4">
        <v>5</v>
      </c>
      <c r="V1135" s="4">
        <v>9</v>
      </c>
      <c r="W1135" s="4">
        <v>9</v>
      </c>
      <c r="X1135" s="45">
        <f t="shared" si="58"/>
        <v>47512</v>
      </c>
      <c r="Y1135" s="14" t="s">
        <v>54</v>
      </c>
      <c r="Z1135" s="14" t="s">
        <v>57</v>
      </c>
      <c r="AA1135" s="14" t="str">
        <f>IFERROR(VLOOKUP(A1135,'[2]UPDATE BILL 2018'!$B:$P,15,0),IFERROR(VLOOKUP(A1135,'[2]UPDATE BILL 2018'!$C:$P,14,0),IFERROR(VLOOKUP(A1135,'[2]UPDATE BILL 2018'!$D:$P,13,0),IFERROR(VLOOKUP(A1135,'[2]UPDATE BILL 2018'!$E:$P,12,0),IFERROR(VLOOKUP(A1135,'[2]UPDATE BILL 2018'!$F:$P,11,0),IFERROR(VLOOKUP(A1135,'[2]UPDATE BILL 2018'!$G:$P,10,0),IFERROR(VLOOKUP(A1135,'[2]UPDATE BILL 2018'!$H:$P,9,0),IFERROR(VLOOKUP(A1135,'[2]UPDATE BILL 2018'!$I:$P,8,0),VLOOKUP(A1135,'[2]UPDATE BILL 2018'!$B:$P,15,0)))))))))</f>
        <v>SITWHPTK171860</v>
      </c>
      <c r="AB1135" s="44">
        <f>IFERROR(VLOOKUP(A1135,'[2]UPDATE BILL 2018'!$B:$T,19,0),IFERROR(VLOOKUP(A1135,'[2]UPDATE BILL 2018'!$C:$T,18,0),IFERROR(VLOOKUP(A1135,'[2]UPDATE BILL 2018'!$D:$T,17,0),IFERROR(VLOOKUP(A1135,'[2]UPDATE BILL 2018'!$E:$T,16,0),IFERROR(VLOOKUP(A1135,'[2]UPDATE BILL 2018'!$F:$T,15,0),IFERROR(VLOOKUP(A1135,'[2]UPDATE BILL 2018'!$G:$T,14,0),IFERROR(VLOOKUP(A1135,'[2]UPDATE BILL 2018'!$H:$T,13,0),IFERROR(VLOOKUP(A1135,'[2]UPDATE BILL 2018'!$I:$T,12,0),VLOOKUP(A1135,'[2]UPDATE BILL 2018'!$B:$T,19,0)))))))))</f>
        <v>43303</v>
      </c>
      <c r="AC1135" s="44" t="str">
        <f>IFERROR(VLOOKUP(A1135,'[2]UPDATE BILL 2018'!$B:$V,21,0),IFERROR(VLOOKUP(A1135,'[2]UPDATE BILL 2018'!$C:$V,20,0),IFERROR(VLOOKUP(A1135,'[2]UPDATE BILL 2018'!$D:$V,19,0),IFERROR(VLOOKUP(A1135,'[2]UPDATE BILL 2018'!$E:$V,18,0),IFERROR(VLOOKUP(A1135,'[2]UPDATE BILL 2018'!$F:$V,17,0),IFERROR(VLOOKUP(A1135,'[2]UPDATE BILL 2018'!$G:$V,16,0),IFERROR(VLOOKUP(A1135,'[2]UPDATE BILL 2018'!$H:$V,15,0),IFERROR(VLOOKUP(A1135,'[2]UPDATE BILL 2018'!$I:$V,14,0),VLOOKUP(A1135,'[2]UPDATE BILL 2018'!$B:$V,21,0)))))))))</f>
        <v>AVRA C 1821N</v>
      </c>
      <c r="AD1135" s="14" t="s">
        <v>49</v>
      </c>
      <c r="AE1135" s="24" t="s">
        <v>2537</v>
      </c>
      <c r="AF1135" s="25" t="str">
        <f t="shared" si="54"/>
        <v>VK</v>
      </c>
      <c r="AG1135" t="e">
        <f t="shared" si="51"/>
        <v>#REF!</v>
      </c>
      <c r="AI1135" s="58"/>
    </row>
    <row r="1136" spans="1:35" ht="15.75" customHeight="1">
      <c r="A1136" s="6" t="s">
        <v>2528</v>
      </c>
      <c r="D1136" s="7">
        <f t="shared" si="59"/>
        <v>0</v>
      </c>
      <c r="E1136" s="7">
        <v>0</v>
      </c>
      <c r="F1136" s="5">
        <v>0</v>
      </c>
      <c r="G1136" s="7">
        <v>0</v>
      </c>
      <c r="H1136" s="5">
        <v>0</v>
      </c>
      <c r="I1136" s="7">
        <v>0</v>
      </c>
      <c r="J1136" s="7">
        <v>0</v>
      </c>
      <c r="K1136" s="5">
        <v>0</v>
      </c>
      <c r="L1136" s="5">
        <v>0</v>
      </c>
      <c r="M1136" s="5">
        <v>44</v>
      </c>
      <c r="N1136" s="7">
        <f t="shared" si="60"/>
        <v>44</v>
      </c>
      <c r="O1136" s="7">
        <v>9728.9</v>
      </c>
      <c r="P1136" s="7">
        <v>0</v>
      </c>
      <c r="Q1136" s="5">
        <v>0</v>
      </c>
      <c r="R1136" s="5">
        <v>0</v>
      </c>
      <c r="S1136" s="7">
        <v>0</v>
      </c>
      <c r="T1136" s="12">
        <v>43299</v>
      </c>
      <c r="U1136" s="4">
        <v>1</v>
      </c>
      <c r="V1136" s="4">
        <v>9</v>
      </c>
      <c r="W1136" s="4">
        <v>9</v>
      </c>
      <c r="X1136" s="45">
        <f t="shared" si="58"/>
        <v>9728.9</v>
      </c>
      <c r="Y1136" s="14" t="s">
        <v>54</v>
      </c>
      <c r="Z1136" s="14" t="s">
        <v>1281</v>
      </c>
      <c r="AA1136" s="14" t="str">
        <f>IFERROR(VLOOKUP(A1136,'[2]UPDATE BILL 2018'!$B:$P,15,0),IFERROR(VLOOKUP(A1136,'[2]UPDATE BILL 2018'!$C:$P,14,0),IFERROR(VLOOKUP(A1136,'[2]UPDATE BILL 2018'!$D:$P,13,0),IFERROR(VLOOKUP(A1136,'[2]UPDATE BILL 2018'!$E:$P,12,0),IFERROR(VLOOKUP(A1136,'[2]UPDATE BILL 2018'!$F:$P,11,0),IFERROR(VLOOKUP(A1136,'[2]UPDATE BILL 2018'!$G:$P,10,0),IFERROR(VLOOKUP(A1136,'[2]UPDATE BILL 2018'!$H:$P,9,0),IFERROR(VLOOKUP(A1136,'[2]UPDATE BILL 2018'!$I:$P,8,0),VLOOKUP(A1136,'[2]UPDATE BILL 2018'!$B:$P,15,0)))))))))</f>
        <v>SITWHPHT171868</v>
      </c>
      <c r="AB1136" s="44">
        <f>IFERROR(VLOOKUP(A1136,'[2]UPDATE BILL 2018'!$B:$T,19,0),IFERROR(VLOOKUP(A1136,'[2]UPDATE BILL 2018'!$C:$T,18,0),IFERROR(VLOOKUP(A1136,'[2]UPDATE BILL 2018'!$D:$T,17,0),IFERROR(VLOOKUP(A1136,'[2]UPDATE BILL 2018'!$E:$T,16,0),IFERROR(VLOOKUP(A1136,'[2]UPDATE BILL 2018'!$F:$T,15,0),IFERROR(VLOOKUP(A1136,'[2]UPDATE BILL 2018'!$G:$T,14,0),IFERROR(VLOOKUP(A1136,'[2]UPDATE BILL 2018'!$H:$T,13,0),IFERROR(VLOOKUP(A1136,'[2]UPDATE BILL 2018'!$I:$T,12,0),VLOOKUP(A1136,'[2]UPDATE BILL 2018'!$B:$T,19,0)))))))))</f>
        <v>43303</v>
      </c>
      <c r="AC1136" s="44" t="str">
        <f>IFERROR(VLOOKUP(A1136,'[2]UPDATE BILL 2018'!$B:$V,21,0),IFERROR(VLOOKUP(A1136,'[2]UPDATE BILL 2018'!$C:$V,20,0),IFERROR(VLOOKUP(A1136,'[2]UPDATE BILL 2018'!$D:$V,19,0),IFERROR(VLOOKUP(A1136,'[2]UPDATE BILL 2018'!$E:$V,18,0),IFERROR(VLOOKUP(A1136,'[2]UPDATE BILL 2018'!$F:$V,17,0),IFERROR(VLOOKUP(A1136,'[2]UPDATE BILL 2018'!$G:$V,16,0),IFERROR(VLOOKUP(A1136,'[2]UPDATE BILL 2018'!$H:$V,15,0),IFERROR(VLOOKUP(A1136,'[2]UPDATE BILL 2018'!$I:$V,14,0),VLOOKUP(A1136,'[2]UPDATE BILL 2018'!$B:$V,21,0)))))))))</f>
        <v>SITC WEIHAI 1817N</v>
      </c>
      <c r="AD1136" s="14" t="s">
        <v>52</v>
      </c>
      <c r="AE1136" s="24" t="s">
        <v>2538</v>
      </c>
      <c r="AF1136" s="25" t="str">
        <f t="shared" si="54"/>
        <v>VQ</v>
      </c>
      <c r="AG1136" t="e">
        <f t="shared" si="51"/>
        <v>#REF!</v>
      </c>
      <c r="AI1136" s="58"/>
    </row>
    <row r="1137" spans="1:35" ht="15.75" customHeight="1">
      <c r="A1137" s="13" t="s">
        <v>2529</v>
      </c>
      <c r="B1137" s="5">
        <v>160</v>
      </c>
      <c r="C1137" s="7">
        <v>11960.5</v>
      </c>
      <c r="D1137" s="7">
        <f t="shared" si="59"/>
        <v>0</v>
      </c>
      <c r="E1137" s="7">
        <v>0</v>
      </c>
      <c r="F1137" s="5">
        <v>0</v>
      </c>
      <c r="G1137" s="7">
        <v>0</v>
      </c>
      <c r="H1137" s="5">
        <v>0</v>
      </c>
      <c r="I1137" s="7">
        <v>0</v>
      </c>
      <c r="J1137" s="7">
        <v>0</v>
      </c>
      <c r="K1137" s="5">
        <v>0</v>
      </c>
      <c r="L1137" s="5">
        <v>0</v>
      </c>
      <c r="M1137" s="5">
        <v>322</v>
      </c>
      <c r="N1137" s="7">
        <f t="shared" si="60"/>
        <v>322</v>
      </c>
      <c r="O1137" s="7">
        <v>51076.599999999991</v>
      </c>
      <c r="P1137" s="7">
        <v>0</v>
      </c>
      <c r="Q1137" s="5">
        <v>0</v>
      </c>
      <c r="R1137" s="5">
        <v>0</v>
      </c>
      <c r="S1137" s="7">
        <v>0</v>
      </c>
      <c r="T1137" s="12">
        <v>43299</v>
      </c>
      <c r="U1137" s="4">
        <v>6</v>
      </c>
      <c r="V1137" s="4">
        <v>9</v>
      </c>
      <c r="W1137" s="4">
        <v>9</v>
      </c>
      <c r="X1137" s="45">
        <f t="shared" si="58"/>
        <v>63037.099999999991</v>
      </c>
      <c r="Y1137" s="14" t="s">
        <v>54</v>
      </c>
      <c r="Z1137" s="14" t="s">
        <v>55</v>
      </c>
      <c r="AA1137" s="14" t="str">
        <f>IFERROR(VLOOKUP(A1137,'[2]UPDATE BILL 2018'!$B:$P,15,0),IFERROR(VLOOKUP(A1137,'[2]UPDATE BILL 2018'!$C:$P,14,0),IFERROR(VLOOKUP(A1137,'[2]UPDATE BILL 2018'!$D:$P,13,0),IFERROR(VLOOKUP(A1137,'[2]UPDATE BILL 2018'!$E:$P,12,0),IFERROR(VLOOKUP(A1137,'[2]UPDATE BILL 2018'!$F:$P,11,0),IFERROR(VLOOKUP(A1137,'[2]UPDATE BILL 2018'!$G:$P,10,0),IFERROR(VLOOKUP(A1137,'[2]UPDATE BILL 2018'!$H:$P,9,0),IFERROR(VLOOKUP(A1137,'[2]UPDATE BILL 2018'!$I:$P,8,0),VLOOKUP(A1137,'[2]UPDATE BILL 2018'!$B:$P,15,0)))))))))</f>
        <v>SITWHPOS171863</v>
      </c>
      <c r="AB1137" s="44">
        <f>IFERROR(VLOOKUP(A1137,'[2]UPDATE BILL 2018'!$B:$T,19,0),IFERROR(VLOOKUP(A1137,'[2]UPDATE BILL 2018'!$C:$T,18,0),IFERROR(VLOOKUP(A1137,'[2]UPDATE BILL 2018'!$D:$T,17,0),IFERROR(VLOOKUP(A1137,'[2]UPDATE BILL 2018'!$E:$T,16,0),IFERROR(VLOOKUP(A1137,'[2]UPDATE BILL 2018'!$F:$T,15,0),IFERROR(VLOOKUP(A1137,'[2]UPDATE BILL 2018'!$G:$T,14,0),IFERROR(VLOOKUP(A1137,'[2]UPDATE BILL 2018'!$H:$T,13,0),IFERROR(VLOOKUP(A1137,'[2]UPDATE BILL 2018'!$I:$T,12,0),VLOOKUP(A1137,'[2]UPDATE BILL 2018'!$B:$T,19,0)))))))))</f>
        <v>43303</v>
      </c>
      <c r="AC1137" s="44" t="str">
        <f>IFERROR(VLOOKUP(A1137,'[2]UPDATE BILL 2018'!$B:$V,21,0),IFERROR(VLOOKUP(A1137,'[2]UPDATE BILL 2018'!$C:$V,20,0),IFERROR(VLOOKUP(A1137,'[2]UPDATE BILL 2018'!$D:$V,19,0),IFERROR(VLOOKUP(A1137,'[2]UPDATE BILL 2018'!$E:$V,18,0),IFERROR(VLOOKUP(A1137,'[2]UPDATE BILL 2018'!$F:$V,17,0),IFERROR(VLOOKUP(A1137,'[2]UPDATE BILL 2018'!$G:$V,16,0),IFERROR(VLOOKUP(A1137,'[2]UPDATE BILL 2018'!$H:$V,15,0),IFERROR(VLOOKUP(A1137,'[2]UPDATE BILL 2018'!$I:$V,14,0),VLOOKUP(A1137,'[2]UPDATE BILL 2018'!$B:$V,21,0)))))))))</f>
        <v>SITC WEIHAI 1817N</v>
      </c>
      <c r="AD1137" s="14" t="s">
        <v>51</v>
      </c>
      <c r="AE1137" s="24" t="s">
        <v>2539</v>
      </c>
      <c r="AF1137" s="25" t="str">
        <f t="shared" si="54"/>
        <v>VS</v>
      </c>
      <c r="AG1137" t="e">
        <f t="shared" si="51"/>
        <v>#REF!</v>
      </c>
      <c r="AI1137" s="58"/>
    </row>
    <row r="1138" spans="1:35" ht="15.75" customHeight="1">
      <c r="A1138" s="6" t="s">
        <v>2530</v>
      </c>
      <c r="B1138" s="5">
        <v>48</v>
      </c>
      <c r="C1138" s="7">
        <v>4504.2400000000007</v>
      </c>
      <c r="D1138" s="7">
        <f t="shared" si="59"/>
        <v>0</v>
      </c>
      <c r="E1138" s="7">
        <v>0</v>
      </c>
      <c r="F1138" s="5">
        <v>0</v>
      </c>
      <c r="G1138" s="7">
        <v>0</v>
      </c>
      <c r="H1138" s="5">
        <v>15</v>
      </c>
      <c r="I1138" s="7">
        <v>534.59999999999991</v>
      </c>
      <c r="J1138" s="7">
        <v>0</v>
      </c>
      <c r="K1138" s="5">
        <v>0</v>
      </c>
      <c r="L1138" s="5">
        <v>0</v>
      </c>
      <c r="M1138" s="5">
        <v>0</v>
      </c>
      <c r="N1138" s="7">
        <f t="shared" si="60"/>
        <v>0</v>
      </c>
      <c r="O1138" s="7">
        <v>0</v>
      </c>
      <c r="P1138" s="7">
        <v>0</v>
      </c>
      <c r="Q1138" s="5">
        <v>0</v>
      </c>
      <c r="R1138" s="5">
        <v>142</v>
      </c>
      <c r="S1138" s="7">
        <v>19067.900000000001</v>
      </c>
      <c r="T1138" s="12">
        <v>43299</v>
      </c>
      <c r="U1138" s="4">
        <v>2</v>
      </c>
      <c r="V1138" s="4">
        <v>9</v>
      </c>
      <c r="W1138" s="4">
        <v>9</v>
      </c>
      <c r="X1138" s="45">
        <f t="shared" si="58"/>
        <v>24106.74</v>
      </c>
      <c r="Y1138" s="14" t="s">
        <v>85</v>
      </c>
      <c r="Z1138" s="14" t="s">
        <v>57</v>
      </c>
      <c r="AA1138" s="14">
        <f>IFERROR(VLOOKUP(A1138,'[2]UPDATE BILL 2018'!$B:$P,15,0),IFERROR(VLOOKUP(A1138,'[2]UPDATE BILL 2018'!$C:$P,14,0),IFERROR(VLOOKUP(A1138,'[2]UPDATE BILL 2018'!$D:$P,13,0),IFERROR(VLOOKUP(A1138,'[2]UPDATE BILL 2018'!$E:$P,12,0),IFERROR(VLOOKUP(A1138,'[2]UPDATE BILL 2018'!$F:$P,11,0),IFERROR(VLOOKUP(A1138,'[2]UPDATE BILL 2018'!$G:$P,10,0),IFERROR(VLOOKUP(A1138,'[2]UPDATE BILL 2018'!$H:$P,9,0),IFERROR(VLOOKUP(A1138,'[2]UPDATE BILL 2018'!$I:$P,8,0),VLOOKUP(A1138,'[2]UPDATE BILL 2018'!$B:$P,15,0)))))))))</f>
        <v>350810082766</v>
      </c>
      <c r="AB1138" s="44">
        <f>IFERROR(VLOOKUP(A1138,'[2]UPDATE BILL 2018'!$B:$T,19,0),IFERROR(VLOOKUP(A1138,'[2]UPDATE BILL 2018'!$C:$T,18,0),IFERROR(VLOOKUP(A1138,'[2]UPDATE BILL 2018'!$D:$T,17,0),IFERROR(VLOOKUP(A1138,'[2]UPDATE BILL 2018'!$E:$T,16,0),IFERROR(VLOOKUP(A1138,'[2]UPDATE BILL 2018'!$F:$T,15,0),IFERROR(VLOOKUP(A1138,'[2]UPDATE BILL 2018'!$G:$T,14,0),IFERROR(VLOOKUP(A1138,'[2]UPDATE BILL 2018'!$H:$T,13,0),IFERROR(VLOOKUP(A1138,'[2]UPDATE BILL 2018'!$I:$T,12,0),VLOOKUP(A1138,'[2]UPDATE BILL 2018'!$B:$T,19,0)))))))))</f>
        <v>43304</v>
      </c>
      <c r="AC1138" s="44" t="str">
        <f>IFERROR(VLOOKUP(A1138,'[2]UPDATE BILL 2018'!$B:$V,21,0),IFERROR(VLOOKUP(A1138,'[2]UPDATE BILL 2018'!$C:$V,20,0),IFERROR(VLOOKUP(A1138,'[2]UPDATE BILL 2018'!$D:$V,19,0),IFERROR(VLOOKUP(A1138,'[2]UPDATE BILL 2018'!$E:$V,18,0),IFERROR(VLOOKUP(A1138,'[2]UPDATE BILL 2018'!$F:$V,17,0),IFERROR(VLOOKUP(A1138,'[2]UPDATE BILL 2018'!$G:$V,16,0),IFERROR(VLOOKUP(A1138,'[2]UPDATE BILL 2018'!$H:$V,15,0),IFERROR(VLOOKUP(A1138,'[2]UPDATE BILL 2018'!$I:$V,14,0),VLOOKUP(A1138,'[2]UPDATE BILL 2018'!$B:$V,21,0)))))))))</f>
        <v>LANTAU BEE 18010N</v>
      </c>
      <c r="AD1138" s="14" t="s">
        <v>600</v>
      </c>
      <c r="AE1138" s="24" t="s">
        <v>2540</v>
      </c>
      <c r="AF1138" s="14" t="s">
        <v>2373</v>
      </c>
      <c r="AG1138" t="e">
        <f t="shared" si="51"/>
        <v>#N/A</v>
      </c>
      <c r="AI1138" s="58"/>
    </row>
    <row r="1139" spans="1:35" ht="15.75" customHeight="1">
      <c r="A1139" s="6" t="s">
        <v>2531</v>
      </c>
      <c r="B1139" s="5">
        <v>1199</v>
      </c>
      <c r="C1139" s="7">
        <v>114286.49999999999</v>
      </c>
      <c r="D1139" s="7">
        <f t="shared" si="59"/>
        <v>0</v>
      </c>
      <c r="E1139" s="7">
        <v>0</v>
      </c>
      <c r="F1139" s="5">
        <v>0</v>
      </c>
      <c r="G1139" s="7">
        <v>0</v>
      </c>
      <c r="H1139" s="5">
        <v>0</v>
      </c>
      <c r="I1139" s="7">
        <v>0</v>
      </c>
      <c r="J1139" s="7">
        <v>0</v>
      </c>
      <c r="K1139" s="5">
        <v>0</v>
      </c>
      <c r="L1139" s="5">
        <v>0</v>
      </c>
      <c r="M1139" s="5">
        <v>106</v>
      </c>
      <c r="N1139" s="7">
        <f t="shared" si="60"/>
        <v>106</v>
      </c>
      <c r="O1139" s="7">
        <v>19064.3</v>
      </c>
      <c r="P1139" s="7">
        <v>0</v>
      </c>
      <c r="Q1139" s="5">
        <v>0</v>
      </c>
      <c r="R1139" s="5">
        <v>0</v>
      </c>
      <c r="S1139" s="7">
        <v>0</v>
      </c>
      <c r="T1139" s="12">
        <v>43299</v>
      </c>
      <c r="U1139" s="4">
        <v>11</v>
      </c>
      <c r="V1139" s="4">
        <v>9</v>
      </c>
      <c r="W1139" s="4">
        <v>9</v>
      </c>
      <c r="X1139" s="45">
        <f t="shared" ref="X1139:X1149" si="61">+C1139+G1139+I1139+O1139+S1139</f>
        <v>133350.79999999999</v>
      </c>
      <c r="Y1139" s="14" t="s">
        <v>54</v>
      </c>
      <c r="Z1139" s="14" t="s">
        <v>59</v>
      </c>
      <c r="AA1139" s="14" t="str">
        <f>IFERROR(VLOOKUP(A1139,'[2]UPDATE BILL 2018'!$B:$P,15,0),IFERROR(VLOOKUP(A1139,'[2]UPDATE BILL 2018'!$C:$P,14,0),IFERROR(VLOOKUP(A1139,'[2]UPDATE BILL 2018'!$D:$P,13,0),IFERROR(VLOOKUP(A1139,'[2]UPDATE BILL 2018'!$E:$P,12,0),IFERROR(VLOOKUP(A1139,'[2]UPDATE BILL 2018'!$F:$P,11,0),IFERROR(VLOOKUP(A1139,'[2]UPDATE BILL 2018'!$G:$P,10,0),IFERROR(VLOOKUP(A1139,'[2]UPDATE BILL 2018'!$H:$P,9,0),IFERROR(VLOOKUP(A1139,'[2]UPDATE BILL 2018'!$I:$P,8,0),VLOOKUP(A1139,'[2]UPDATE BILL 2018'!$B:$P,15,0)))))))))</f>
        <v>SITWHPKW171813</v>
      </c>
      <c r="AB1139" s="44">
        <f>IFERROR(VLOOKUP(A1139,'[2]UPDATE BILL 2018'!$B:$T,19,0),IFERROR(VLOOKUP(A1139,'[2]UPDATE BILL 2018'!$C:$T,18,0),IFERROR(VLOOKUP(A1139,'[2]UPDATE BILL 2018'!$D:$T,17,0),IFERROR(VLOOKUP(A1139,'[2]UPDATE BILL 2018'!$E:$T,16,0),IFERROR(VLOOKUP(A1139,'[2]UPDATE BILL 2018'!$F:$T,15,0),IFERROR(VLOOKUP(A1139,'[2]UPDATE BILL 2018'!$G:$T,14,0),IFERROR(VLOOKUP(A1139,'[2]UPDATE BILL 2018'!$H:$T,13,0),IFERROR(VLOOKUP(A1139,'[2]UPDATE BILL 2018'!$I:$T,12,0),VLOOKUP(A1139,'[2]UPDATE BILL 2018'!$B:$T,19,0)))))))))</f>
        <v>43307</v>
      </c>
      <c r="AC1139" s="44" t="str">
        <f>IFERROR(VLOOKUP(A1139,'[2]UPDATE BILL 2018'!$B:$V,21,0),IFERROR(VLOOKUP(A1139,'[2]UPDATE BILL 2018'!$C:$V,20,0),IFERROR(VLOOKUP(A1139,'[2]UPDATE BILL 2018'!$D:$V,19,0),IFERROR(VLOOKUP(A1139,'[2]UPDATE BILL 2018'!$E:$V,18,0),IFERROR(VLOOKUP(A1139,'[2]UPDATE BILL 2018'!$F:$V,17,0),IFERROR(VLOOKUP(A1139,'[2]UPDATE BILL 2018'!$G:$V,16,0),IFERROR(VLOOKUP(A1139,'[2]UPDATE BILL 2018'!$H:$V,15,0),IFERROR(VLOOKUP(A1139,'[2]UPDATE BILL 2018'!$I:$V,14,0),VLOOKUP(A1139,'[2]UPDATE BILL 2018'!$B:$V,21,0)))))))))</f>
        <v>SITC NAGOYA 1821N</v>
      </c>
      <c r="AD1139" s="14" t="s">
        <v>50</v>
      </c>
      <c r="AE1139" s="24" t="s">
        <v>2541</v>
      </c>
      <c r="AF1139" s="25" t="str">
        <f t="shared" si="54"/>
        <v>VW</v>
      </c>
      <c r="AG1139" t="e">
        <f t="shared" si="51"/>
        <v>#REF!</v>
      </c>
      <c r="AI1139" s="58"/>
    </row>
    <row r="1140" spans="1:35" ht="15.75" customHeight="1">
      <c r="A1140" s="6" t="s">
        <v>2532</v>
      </c>
      <c r="B1140" s="5">
        <v>72</v>
      </c>
      <c r="C1140" s="7">
        <v>12391.199999999999</v>
      </c>
      <c r="D1140" s="7">
        <f t="shared" si="59"/>
        <v>0</v>
      </c>
      <c r="E1140" s="7">
        <v>0</v>
      </c>
      <c r="F1140" s="5">
        <v>0</v>
      </c>
      <c r="G1140" s="7">
        <v>0</v>
      </c>
      <c r="H1140" s="5">
        <v>0</v>
      </c>
      <c r="I1140" s="7">
        <v>0</v>
      </c>
      <c r="J1140" s="7">
        <v>0</v>
      </c>
      <c r="K1140" s="5">
        <v>0</v>
      </c>
      <c r="L1140" s="5">
        <v>0</v>
      </c>
      <c r="M1140" s="5">
        <v>165</v>
      </c>
      <c r="N1140" s="7">
        <f t="shared" si="60"/>
        <v>165</v>
      </c>
      <c r="O1140" s="7">
        <v>9211.5</v>
      </c>
      <c r="P1140" s="7">
        <v>0</v>
      </c>
      <c r="Q1140" s="5">
        <v>0</v>
      </c>
      <c r="R1140" s="5">
        <v>0</v>
      </c>
      <c r="S1140" s="7">
        <v>0</v>
      </c>
      <c r="T1140" s="12">
        <v>43299</v>
      </c>
      <c r="U1140" s="4">
        <v>2</v>
      </c>
      <c r="V1140" s="4">
        <v>9</v>
      </c>
      <c r="W1140" s="4">
        <v>9</v>
      </c>
      <c r="X1140" s="45">
        <f t="shared" si="61"/>
        <v>21602.699999999997</v>
      </c>
      <c r="Y1140" s="14" t="s">
        <v>54</v>
      </c>
      <c r="Z1140" s="14" t="s">
        <v>730</v>
      </c>
      <c r="AA1140" s="14" t="str">
        <f>IFERROR(VLOOKUP(A1140,'[2]UPDATE BILL 2018'!$B:$P,15,0),IFERROR(VLOOKUP(A1140,'[2]UPDATE BILL 2018'!$C:$P,14,0),IFERROR(VLOOKUP(A1140,'[2]UPDATE BILL 2018'!$D:$P,13,0),IFERROR(VLOOKUP(A1140,'[2]UPDATE BILL 2018'!$E:$P,12,0),IFERROR(VLOOKUP(A1140,'[2]UPDATE BILL 2018'!$F:$P,11,0),IFERROR(VLOOKUP(A1140,'[2]UPDATE BILL 2018'!$G:$P,10,0),IFERROR(VLOOKUP(A1140,'[2]UPDATE BILL 2018'!$H:$P,9,0),IFERROR(VLOOKUP(A1140,'[2]UPDATE BILL 2018'!$I:$P,8,0),VLOOKUP(A1140,'[2]UPDATE BILL 2018'!$B:$P,15,0)))))))))</f>
        <v>SITWHPKW172471</v>
      </c>
      <c r="AB1140" s="44">
        <f>IFERROR(VLOOKUP(A1140,'[2]UPDATE BILL 2018'!$B:$T,19,0),IFERROR(VLOOKUP(A1140,'[2]UPDATE BILL 2018'!$C:$T,18,0),IFERROR(VLOOKUP(A1140,'[2]UPDATE BILL 2018'!$D:$T,17,0),IFERROR(VLOOKUP(A1140,'[2]UPDATE BILL 2018'!$E:$T,16,0),IFERROR(VLOOKUP(A1140,'[2]UPDATE BILL 2018'!$F:$T,15,0),IFERROR(VLOOKUP(A1140,'[2]UPDATE BILL 2018'!$G:$T,14,0),IFERROR(VLOOKUP(A1140,'[2]UPDATE BILL 2018'!$H:$T,13,0),IFERROR(VLOOKUP(A1140,'[2]UPDATE BILL 2018'!$I:$T,12,0),VLOOKUP(A1140,'[2]UPDATE BILL 2018'!$B:$T,19,0)))))))))</f>
        <v>43303</v>
      </c>
      <c r="AC1140" s="44" t="str">
        <f>IFERROR(VLOOKUP(A1140,'[2]UPDATE BILL 2018'!$B:$V,21,0),IFERROR(VLOOKUP(A1140,'[2]UPDATE BILL 2018'!$C:$V,20,0),IFERROR(VLOOKUP(A1140,'[2]UPDATE BILL 2018'!$D:$V,19,0),IFERROR(VLOOKUP(A1140,'[2]UPDATE BILL 2018'!$E:$V,18,0),IFERROR(VLOOKUP(A1140,'[2]UPDATE BILL 2018'!$F:$V,17,0),IFERROR(VLOOKUP(A1140,'[2]UPDATE BILL 2018'!$G:$V,16,0),IFERROR(VLOOKUP(A1140,'[2]UPDATE BILL 2018'!$H:$V,15,0),IFERROR(VLOOKUP(A1140,'[2]UPDATE BILL 2018'!$I:$V,14,0),VLOOKUP(A1140,'[2]UPDATE BILL 2018'!$B:$V,21,0)))))))))</f>
        <v>AVRA C 1821N</v>
      </c>
      <c r="AD1140" s="14" t="s">
        <v>50</v>
      </c>
      <c r="AE1140" s="24" t="s">
        <v>2542</v>
      </c>
      <c r="AF1140" s="25" t="str">
        <f t="shared" si="54"/>
        <v>VW</v>
      </c>
      <c r="AG1140" t="e">
        <f t="shared" si="51"/>
        <v>#REF!</v>
      </c>
      <c r="AI1140" s="58"/>
    </row>
    <row r="1141" spans="1:35" ht="15.75" customHeight="1">
      <c r="A1141" s="13" t="s">
        <v>2533</v>
      </c>
      <c r="D1141" s="7">
        <f t="shared" si="59"/>
        <v>0</v>
      </c>
      <c r="E1141" s="7">
        <v>0</v>
      </c>
      <c r="F1141" s="5">
        <v>0</v>
      </c>
      <c r="G1141" s="7">
        <v>0</v>
      </c>
      <c r="H1141" s="5">
        <v>0</v>
      </c>
      <c r="I1141" s="7">
        <v>0</v>
      </c>
      <c r="J1141" s="7">
        <v>0</v>
      </c>
      <c r="K1141" s="5">
        <v>0</v>
      </c>
      <c r="L1141" s="5">
        <v>0</v>
      </c>
      <c r="M1141" s="5">
        <v>38</v>
      </c>
      <c r="N1141" s="7">
        <f t="shared" si="60"/>
        <v>38</v>
      </c>
      <c r="O1141" s="7">
        <v>6201.1</v>
      </c>
      <c r="P1141" s="7">
        <v>0</v>
      </c>
      <c r="Q1141" s="5">
        <v>0</v>
      </c>
      <c r="R1141" s="5">
        <v>0</v>
      </c>
      <c r="S1141" s="7">
        <v>0</v>
      </c>
      <c r="T1141" s="12">
        <v>43299</v>
      </c>
      <c r="U1141" s="4">
        <v>1</v>
      </c>
      <c r="V1141" s="4">
        <v>9</v>
      </c>
      <c r="W1141" s="4">
        <v>9</v>
      </c>
      <c r="X1141" s="45">
        <f t="shared" si="61"/>
        <v>6201.1</v>
      </c>
      <c r="Y1141" s="14" t="s">
        <v>54</v>
      </c>
      <c r="Z1141" s="14" t="s">
        <v>1492</v>
      </c>
      <c r="AA1141" s="14" t="str">
        <f>IFERROR(VLOOKUP(A1141,'[2]UPDATE BILL 2018'!$B:$P,15,0),IFERROR(VLOOKUP(A1141,'[2]UPDATE BILL 2018'!$C:$P,14,0),IFERROR(VLOOKUP(A1141,'[2]UPDATE BILL 2018'!$D:$P,13,0),IFERROR(VLOOKUP(A1141,'[2]UPDATE BILL 2018'!$E:$P,12,0),IFERROR(VLOOKUP(A1141,'[2]UPDATE BILL 2018'!$F:$P,11,0),IFERROR(VLOOKUP(A1141,'[2]UPDATE BILL 2018'!$G:$P,10,0),IFERROR(VLOOKUP(A1141,'[2]UPDATE BILL 2018'!$H:$P,9,0),IFERROR(VLOOKUP(A1141,'[2]UPDATE BILL 2018'!$I:$P,8,0),VLOOKUP(A1141,'[2]UPDATE BILL 2018'!$B:$P,15,0)))))))))</f>
        <v>SITWHPTK171860</v>
      </c>
      <c r="AB1141" s="44">
        <f>IFERROR(VLOOKUP(A1141,'[2]UPDATE BILL 2018'!$B:$T,19,0),IFERROR(VLOOKUP(A1141,'[2]UPDATE BILL 2018'!$C:$T,18,0),IFERROR(VLOOKUP(A1141,'[2]UPDATE BILL 2018'!$D:$T,17,0),IFERROR(VLOOKUP(A1141,'[2]UPDATE BILL 2018'!$E:$T,16,0),IFERROR(VLOOKUP(A1141,'[2]UPDATE BILL 2018'!$F:$T,15,0),IFERROR(VLOOKUP(A1141,'[2]UPDATE BILL 2018'!$G:$T,14,0),IFERROR(VLOOKUP(A1141,'[2]UPDATE BILL 2018'!$H:$T,13,0),IFERROR(VLOOKUP(A1141,'[2]UPDATE BILL 2018'!$I:$T,12,0),VLOOKUP(A1141,'[2]UPDATE BILL 2018'!$B:$T,19,0)))))))))</f>
        <v>43303</v>
      </c>
      <c r="AC1141" s="44" t="str">
        <f>IFERROR(VLOOKUP(A1141,'[2]UPDATE BILL 2018'!$B:$V,21,0),IFERROR(VLOOKUP(A1141,'[2]UPDATE BILL 2018'!$C:$V,20,0),IFERROR(VLOOKUP(A1141,'[2]UPDATE BILL 2018'!$D:$V,19,0),IFERROR(VLOOKUP(A1141,'[2]UPDATE BILL 2018'!$E:$V,18,0),IFERROR(VLOOKUP(A1141,'[2]UPDATE BILL 2018'!$F:$V,17,0),IFERROR(VLOOKUP(A1141,'[2]UPDATE BILL 2018'!$G:$V,16,0),IFERROR(VLOOKUP(A1141,'[2]UPDATE BILL 2018'!$H:$V,15,0),IFERROR(VLOOKUP(A1141,'[2]UPDATE BILL 2018'!$I:$V,14,0),VLOOKUP(A1141,'[2]UPDATE BILL 2018'!$B:$V,21,0)))))))))</f>
        <v>AVRA C 1821N</v>
      </c>
      <c r="AD1141" s="14" t="s">
        <v>49</v>
      </c>
      <c r="AE1141" s="24" t="s">
        <v>2543</v>
      </c>
      <c r="AF1141" s="25" t="str">
        <f t="shared" si="54"/>
        <v>VZ</v>
      </c>
      <c r="AG1141" t="e">
        <f t="shared" si="51"/>
        <v>#REF!</v>
      </c>
      <c r="AI1141" s="58"/>
    </row>
    <row r="1142" spans="1:35" ht="15.75" customHeight="1">
      <c r="A1142" s="6" t="s">
        <v>2534</v>
      </c>
      <c r="D1142" s="7">
        <f t="shared" si="59"/>
        <v>0</v>
      </c>
      <c r="E1142" s="7">
        <v>0</v>
      </c>
      <c r="F1142" s="5">
        <v>0</v>
      </c>
      <c r="G1142" s="7">
        <v>0</v>
      </c>
      <c r="H1142" s="5">
        <v>0</v>
      </c>
      <c r="I1142" s="7">
        <v>0</v>
      </c>
      <c r="J1142" s="7">
        <v>0</v>
      </c>
      <c r="K1142" s="5">
        <v>0</v>
      </c>
      <c r="L1142" s="5">
        <v>0</v>
      </c>
      <c r="M1142" s="5">
        <v>0</v>
      </c>
      <c r="N1142" s="7">
        <f t="shared" si="60"/>
        <v>0</v>
      </c>
      <c r="O1142" s="7">
        <v>0</v>
      </c>
      <c r="P1142" s="7">
        <v>0</v>
      </c>
      <c r="Q1142" s="5">
        <v>0</v>
      </c>
      <c r="R1142" s="5">
        <v>265</v>
      </c>
      <c r="S1142" s="7">
        <v>47100</v>
      </c>
      <c r="T1142" s="12">
        <v>43299</v>
      </c>
      <c r="U1142" s="4">
        <v>1</v>
      </c>
      <c r="V1142" s="4">
        <v>9</v>
      </c>
      <c r="W1142" s="4">
        <v>9</v>
      </c>
      <c r="X1142" s="45">
        <f t="shared" si="61"/>
        <v>47100</v>
      </c>
      <c r="Y1142" s="14" t="s">
        <v>54</v>
      </c>
      <c r="Z1142" s="14" t="s">
        <v>55</v>
      </c>
      <c r="AA1142" s="14" t="str">
        <f>IFERROR(VLOOKUP(A1142,'[2]UPDATE BILL 2018'!$B:$P,15,0),IFERROR(VLOOKUP(A1142,'[2]UPDATE BILL 2018'!$C:$P,14,0),IFERROR(VLOOKUP(A1142,'[2]UPDATE BILL 2018'!$D:$P,13,0),IFERROR(VLOOKUP(A1142,'[2]UPDATE BILL 2018'!$E:$P,12,0),IFERROR(VLOOKUP(A1142,'[2]UPDATE BILL 2018'!$F:$P,11,0),IFERROR(VLOOKUP(A1142,'[2]UPDATE BILL 2018'!$G:$P,10,0),IFERROR(VLOOKUP(A1142,'[2]UPDATE BILL 2018'!$H:$P,9,0),IFERROR(VLOOKUP(A1142,'[2]UPDATE BILL 2018'!$I:$P,8,0),VLOOKUP(A1142,'[2]UPDATE BILL 2018'!$B:$P,15,0)))))))))</f>
        <v>SITWHPOS171863</v>
      </c>
      <c r="AB1142" s="44">
        <f>IFERROR(VLOOKUP(A1142,'[2]UPDATE BILL 2018'!$B:$T,19,0),IFERROR(VLOOKUP(A1142,'[2]UPDATE BILL 2018'!$C:$T,18,0),IFERROR(VLOOKUP(A1142,'[2]UPDATE BILL 2018'!$D:$T,17,0),IFERROR(VLOOKUP(A1142,'[2]UPDATE BILL 2018'!$E:$T,16,0),IFERROR(VLOOKUP(A1142,'[2]UPDATE BILL 2018'!$F:$T,15,0),IFERROR(VLOOKUP(A1142,'[2]UPDATE BILL 2018'!$G:$T,14,0),IFERROR(VLOOKUP(A1142,'[2]UPDATE BILL 2018'!$H:$T,13,0),IFERROR(VLOOKUP(A1142,'[2]UPDATE BILL 2018'!$I:$T,12,0),VLOOKUP(A1142,'[2]UPDATE BILL 2018'!$B:$T,19,0)))))))))</f>
        <v>43303</v>
      </c>
      <c r="AC1142" s="44" t="str">
        <f>IFERROR(VLOOKUP(A1142,'[2]UPDATE BILL 2018'!$B:$V,21,0),IFERROR(VLOOKUP(A1142,'[2]UPDATE BILL 2018'!$C:$V,20,0),IFERROR(VLOOKUP(A1142,'[2]UPDATE BILL 2018'!$D:$V,19,0),IFERROR(VLOOKUP(A1142,'[2]UPDATE BILL 2018'!$E:$V,18,0),IFERROR(VLOOKUP(A1142,'[2]UPDATE BILL 2018'!$F:$V,17,0),IFERROR(VLOOKUP(A1142,'[2]UPDATE BILL 2018'!$G:$V,16,0),IFERROR(VLOOKUP(A1142,'[2]UPDATE BILL 2018'!$H:$V,15,0),IFERROR(VLOOKUP(A1142,'[2]UPDATE BILL 2018'!$I:$V,14,0),VLOOKUP(A1142,'[2]UPDATE BILL 2018'!$B:$V,21,0)))))))))</f>
        <v>SITC WEIHAI 1817N</v>
      </c>
      <c r="AD1142" s="14" t="s">
        <v>51</v>
      </c>
      <c r="AE1142" s="24" t="s">
        <v>2544</v>
      </c>
      <c r="AF1142" s="25" t="s">
        <v>2150</v>
      </c>
      <c r="AG1142" t="e">
        <f t="shared" si="51"/>
        <v>#N/A</v>
      </c>
      <c r="AI1142" s="58"/>
    </row>
    <row r="1143" spans="1:35" ht="15.75" customHeight="1">
      <c r="A1143" s="6" t="s">
        <v>2535</v>
      </c>
      <c r="D1143" s="7">
        <f t="shared" si="59"/>
        <v>0</v>
      </c>
      <c r="E1143" s="7">
        <v>0</v>
      </c>
      <c r="F1143" s="5">
        <v>0</v>
      </c>
      <c r="G1143" s="7">
        <v>0</v>
      </c>
      <c r="H1143" s="5">
        <v>0</v>
      </c>
      <c r="I1143" s="7">
        <v>0</v>
      </c>
      <c r="J1143" s="7">
        <v>0</v>
      </c>
      <c r="K1143" s="5">
        <v>0</v>
      </c>
      <c r="L1143" s="5">
        <v>0</v>
      </c>
      <c r="M1143" s="5">
        <v>0</v>
      </c>
      <c r="N1143" s="7">
        <f t="shared" si="60"/>
        <v>0</v>
      </c>
      <c r="O1143" s="7">
        <v>0</v>
      </c>
      <c r="P1143" s="7">
        <v>0</v>
      </c>
      <c r="Q1143" s="5">
        <v>0</v>
      </c>
      <c r="R1143" s="5">
        <v>410</v>
      </c>
      <c r="S1143" s="7">
        <v>79029.299999999988</v>
      </c>
      <c r="T1143" s="12">
        <v>43299</v>
      </c>
      <c r="U1143" s="4">
        <v>4</v>
      </c>
      <c r="V1143" s="4">
        <v>9</v>
      </c>
      <c r="W1143" s="4">
        <v>9</v>
      </c>
      <c r="X1143" s="45">
        <f t="shared" si="61"/>
        <v>79029.299999999988</v>
      </c>
      <c r="Y1143" s="14" t="s">
        <v>54</v>
      </c>
      <c r="Z1143" s="14" t="s">
        <v>1355</v>
      </c>
      <c r="AA1143" s="14" t="str">
        <f>IFERROR(VLOOKUP(A1143,'[2]UPDATE BILL 2018'!$B:$P,15,0),IFERROR(VLOOKUP(A1143,'[2]UPDATE BILL 2018'!$C:$P,14,0),IFERROR(VLOOKUP(A1143,'[2]UPDATE BILL 2018'!$D:$P,13,0),IFERROR(VLOOKUP(A1143,'[2]UPDATE BILL 2018'!$E:$P,12,0),IFERROR(VLOOKUP(A1143,'[2]UPDATE BILL 2018'!$F:$P,11,0),IFERROR(VLOOKUP(A1143,'[2]UPDATE BILL 2018'!$G:$P,10,0),IFERROR(VLOOKUP(A1143,'[2]UPDATE BILL 2018'!$H:$P,9,0),IFERROR(VLOOKUP(A1143,'[2]UPDATE BILL 2018'!$I:$P,8,0),VLOOKUP(A1143,'[2]UPDATE BILL 2018'!$B:$P,15,0)))))))))</f>
        <v>SITWHPKW172470</v>
      </c>
      <c r="AB1143" s="44">
        <f>IFERROR(VLOOKUP(A1143,'[2]UPDATE BILL 2018'!$B:$T,19,0),IFERROR(VLOOKUP(A1143,'[2]UPDATE BILL 2018'!$C:$T,18,0),IFERROR(VLOOKUP(A1143,'[2]UPDATE BILL 2018'!$D:$T,17,0),IFERROR(VLOOKUP(A1143,'[2]UPDATE BILL 2018'!$E:$T,16,0),IFERROR(VLOOKUP(A1143,'[2]UPDATE BILL 2018'!$F:$T,15,0),IFERROR(VLOOKUP(A1143,'[2]UPDATE BILL 2018'!$G:$T,14,0),IFERROR(VLOOKUP(A1143,'[2]UPDATE BILL 2018'!$H:$T,13,0),IFERROR(VLOOKUP(A1143,'[2]UPDATE BILL 2018'!$I:$T,12,0),VLOOKUP(A1143,'[2]UPDATE BILL 2018'!$B:$T,19,0)))))))))</f>
        <v>43307</v>
      </c>
      <c r="AC1143" s="44" t="str">
        <f>IFERROR(VLOOKUP(A1143,'[2]UPDATE BILL 2018'!$B:$V,21,0),IFERROR(VLOOKUP(A1143,'[2]UPDATE BILL 2018'!$C:$V,20,0),IFERROR(VLOOKUP(A1143,'[2]UPDATE BILL 2018'!$D:$V,19,0),IFERROR(VLOOKUP(A1143,'[2]UPDATE BILL 2018'!$E:$V,18,0),IFERROR(VLOOKUP(A1143,'[2]UPDATE BILL 2018'!$F:$V,17,0),IFERROR(VLOOKUP(A1143,'[2]UPDATE BILL 2018'!$G:$V,16,0),IFERROR(VLOOKUP(A1143,'[2]UPDATE BILL 2018'!$H:$V,15,0),IFERROR(VLOOKUP(A1143,'[2]UPDATE BILL 2018'!$I:$V,14,0),VLOOKUP(A1143,'[2]UPDATE BILL 2018'!$B:$V,21,0)))))))))</f>
        <v>SITC NAGOYA 1821N</v>
      </c>
      <c r="AD1143" s="14" t="s">
        <v>50</v>
      </c>
      <c r="AE1143" s="24" t="s">
        <v>2545</v>
      </c>
      <c r="AF1143" s="25" t="s">
        <v>2151</v>
      </c>
      <c r="AG1143" t="e">
        <f t="shared" si="51"/>
        <v>#N/A</v>
      </c>
      <c r="AI1143" s="58"/>
    </row>
    <row r="1144" spans="1:35" ht="15.75" customHeight="1">
      <c r="A1144" s="6" t="s">
        <v>2546</v>
      </c>
      <c r="B1144" s="5">
        <v>190</v>
      </c>
      <c r="C1144" s="7">
        <v>10744.5</v>
      </c>
      <c r="D1144" s="7">
        <f t="shared" si="59"/>
        <v>0</v>
      </c>
      <c r="E1144" s="7">
        <v>0</v>
      </c>
      <c r="F1144" s="5">
        <v>0</v>
      </c>
      <c r="G1144" s="7">
        <v>0</v>
      </c>
      <c r="H1144" s="5">
        <v>0</v>
      </c>
      <c r="I1144" s="7">
        <v>0</v>
      </c>
      <c r="J1144" s="7">
        <v>0</v>
      </c>
      <c r="K1144" s="5">
        <v>0</v>
      </c>
      <c r="L1144" s="5">
        <v>0</v>
      </c>
      <c r="M1144" s="5">
        <v>56</v>
      </c>
      <c r="N1144" s="7">
        <f t="shared" si="60"/>
        <v>56</v>
      </c>
      <c r="O1144" s="7">
        <v>5980.8</v>
      </c>
      <c r="P1144" s="7">
        <v>0</v>
      </c>
      <c r="Q1144" s="5">
        <v>0</v>
      </c>
      <c r="R1144" s="5">
        <v>0</v>
      </c>
      <c r="S1144" s="7">
        <v>0</v>
      </c>
      <c r="T1144" s="12">
        <v>43300</v>
      </c>
      <c r="U1144" s="4">
        <v>2</v>
      </c>
      <c r="V1144" s="4">
        <v>9</v>
      </c>
      <c r="W1144" s="4">
        <v>9</v>
      </c>
      <c r="X1144" s="45">
        <f t="shared" si="61"/>
        <v>16725.3</v>
      </c>
      <c r="Y1144" s="14" t="s">
        <v>54</v>
      </c>
      <c r="Z1144" s="14" t="s">
        <v>57</v>
      </c>
      <c r="AA1144" s="14" t="str">
        <f>IFERROR(VLOOKUP(A1144,'[2]UPDATE BILL 2018'!$B:$P,15,0),IFERROR(VLOOKUP(A1144,'[2]UPDATE BILL 2018'!$C:$P,14,0),IFERROR(VLOOKUP(A1144,'[2]UPDATE BILL 2018'!$D:$P,13,0),IFERROR(VLOOKUP(A1144,'[2]UPDATE BILL 2018'!$E:$P,12,0),IFERROR(VLOOKUP(A1144,'[2]UPDATE BILL 2018'!$F:$P,11,0),IFERROR(VLOOKUP(A1144,'[2]UPDATE BILL 2018'!$G:$P,10,0),IFERROR(VLOOKUP(A1144,'[2]UPDATE BILL 2018'!$H:$P,9,0),IFERROR(VLOOKUP(A1144,'[2]UPDATE BILL 2018'!$I:$P,8,0),VLOOKUP(A1144,'[2]UPDATE BILL 2018'!$B:$P,15,0)))))))))</f>
        <v>SITWHPTK171860</v>
      </c>
      <c r="AB1144" s="44">
        <f>IFERROR(VLOOKUP(A1144,'[2]UPDATE BILL 2018'!$B:$T,19,0),IFERROR(VLOOKUP(A1144,'[2]UPDATE BILL 2018'!$C:$T,18,0),IFERROR(VLOOKUP(A1144,'[2]UPDATE BILL 2018'!$D:$T,17,0),IFERROR(VLOOKUP(A1144,'[2]UPDATE BILL 2018'!$E:$T,16,0),IFERROR(VLOOKUP(A1144,'[2]UPDATE BILL 2018'!$F:$T,15,0),IFERROR(VLOOKUP(A1144,'[2]UPDATE BILL 2018'!$G:$T,14,0),IFERROR(VLOOKUP(A1144,'[2]UPDATE BILL 2018'!$H:$T,13,0),IFERROR(VLOOKUP(A1144,'[2]UPDATE BILL 2018'!$I:$T,12,0),VLOOKUP(A1144,'[2]UPDATE BILL 2018'!$B:$T,19,0)))))))))</f>
        <v>43303</v>
      </c>
      <c r="AC1144" s="44" t="str">
        <f>IFERROR(VLOOKUP(A1144,'[2]UPDATE BILL 2018'!$B:$V,21,0),IFERROR(VLOOKUP(A1144,'[2]UPDATE BILL 2018'!$C:$V,20,0),IFERROR(VLOOKUP(A1144,'[2]UPDATE BILL 2018'!$D:$V,19,0),IFERROR(VLOOKUP(A1144,'[2]UPDATE BILL 2018'!$E:$V,18,0),IFERROR(VLOOKUP(A1144,'[2]UPDATE BILL 2018'!$F:$V,17,0),IFERROR(VLOOKUP(A1144,'[2]UPDATE BILL 2018'!$G:$V,16,0),IFERROR(VLOOKUP(A1144,'[2]UPDATE BILL 2018'!$H:$V,15,0),IFERROR(VLOOKUP(A1144,'[2]UPDATE BILL 2018'!$I:$V,14,0),VLOOKUP(A1144,'[2]UPDATE BILL 2018'!$B:$V,21,0)))))))))</f>
        <v>AVRA C 1821N</v>
      </c>
      <c r="AD1144" s="14" t="s">
        <v>49</v>
      </c>
      <c r="AE1144" s="24" t="s">
        <v>2557</v>
      </c>
      <c r="AF1144" s="25" t="str">
        <f t="shared" si="54"/>
        <v>VK</v>
      </c>
      <c r="AG1144" t="e">
        <f t="shared" si="51"/>
        <v>#REF!</v>
      </c>
      <c r="AI1144" s="58"/>
    </row>
    <row r="1145" spans="1:35" ht="15.75" customHeight="1">
      <c r="A1145" s="13" t="s">
        <v>2547</v>
      </c>
      <c r="B1145" s="5">
        <v>45</v>
      </c>
      <c r="C1145" s="7">
        <v>4437.5</v>
      </c>
      <c r="D1145" s="7">
        <f t="shared" si="59"/>
        <v>0</v>
      </c>
      <c r="E1145" s="7">
        <v>0</v>
      </c>
      <c r="F1145" s="5">
        <v>0</v>
      </c>
      <c r="G1145" s="7">
        <v>0</v>
      </c>
      <c r="H1145" s="5">
        <v>0</v>
      </c>
      <c r="I1145" s="7">
        <v>0</v>
      </c>
      <c r="J1145" s="7">
        <v>0</v>
      </c>
      <c r="K1145" s="5">
        <v>0</v>
      </c>
      <c r="L1145" s="5">
        <v>0</v>
      </c>
      <c r="M1145" s="5">
        <v>66</v>
      </c>
      <c r="N1145" s="7">
        <f t="shared" si="60"/>
        <v>66</v>
      </c>
      <c r="O1145" s="7">
        <v>10819</v>
      </c>
      <c r="P1145" s="7">
        <v>0</v>
      </c>
      <c r="Q1145" s="5">
        <v>0</v>
      </c>
      <c r="R1145" s="5">
        <v>0</v>
      </c>
      <c r="S1145" s="7">
        <v>0</v>
      </c>
      <c r="T1145" s="12">
        <v>43300</v>
      </c>
      <c r="U1145" s="4">
        <v>2</v>
      </c>
      <c r="V1145" s="4">
        <v>9</v>
      </c>
      <c r="W1145" s="4">
        <v>9</v>
      </c>
      <c r="X1145" s="45">
        <f t="shared" si="61"/>
        <v>15256.5</v>
      </c>
      <c r="Y1145" s="14" t="s">
        <v>54</v>
      </c>
      <c r="Z1145" s="14" t="s">
        <v>1637</v>
      </c>
      <c r="AA1145" s="14" t="str">
        <f>IFERROR(VLOOKUP(A1145,'[2]UPDATE BILL 2018'!$B:$P,15,0),IFERROR(VLOOKUP(A1145,'[2]UPDATE BILL 2018'!$C:$P,14,0),IFERROR(VLOOKUP(A1145,'[2]UPDATE BILL 2018'!$D:$P,13,0),IFERROR(VLOOKUP(A1145,'[2]UPDATE BILL 2018'!$E:$P,12,0),IFERROR(VLOOKUP(A1145,'[2]UPDATE BILL 2018'!$F:$P,11,0),IFERROR(VLOOKUP(A1145,'[2]UPDATE BILL 2018'!$G:$P,10,0),IFERROR(VLOOKUP(A1145,'[2]UPDATE BILL 2018'!$H:$P,9,0),IFERROR(VLOOKUP(A1145,'[2]UPDATE BILL 2018'!$I:$P,8,0),VLOOKUP(A1145,'[2]UPDATE BILL 2018'!$B:$P,15,0)))))))))</f>
        <v>SITWHPTK171860</v>
      </c>
      <c r="AB1145" s="44">
        <f>IFERROR(VLOOKUP(A1145,'[2]UPDATE BILL 2018'!$B:$T,19,0),IFERROR(VLOOKUP(A1145,'[2]UPDATE BILL 2018'!$C:$T,18,0),IFERROR(VLOOKUP(A1145,'[2]UPDATE BILL 2018'!$D:$T,17,0),IFERROR(VLOOKUP(A1145,'[2]UPDATE BILL 2018'!$E:$T,16,0),IFERROR(VLOOKUP(A1145,'[2]UPDATE BILL 2018'!$F:$T,15,0),IFERROR(VLOOKUP(A1145,'[2]UPDATE BILL 2018'!$G:$T,14,0),IFERROR(VLOOKUP(A1145,'[2]UPDATE BILL 2018'!$H:$T,13,0),IFERROR(VLOOKUP(A1145,'[2]UPDATE BILL 2018'!$I:$T,12,0),VLOOKUP(A1145,'[2]UPDATE BILL 2018'!$B:$T,19,0)))))))))</f>
        <v>43303</v>
      </c>
      <c r="AC1145" s="44" t="str">
        <f>IFERROR(VLOOKUP(A1145,'[2]UPDATE BILL 2018'!$B:$V,21,0),IFERROR(VLOOKUP(A1145,'[2]UPDATE BILL 2018'!$C:$V,20,0),IFERROR(VLOOKUP(A1145,'[2]UPDATE BILL 2018'!$D:$V,19,0),IFERROR(VLOOKUP(A1145,'[2]UPDATE BILL 2018'!$E:$V,18,0),IFERROR(VLOOKUP(A1145,'[2]UPDATE BILL 2018'!$F:$V,17,0),IFERROR(VLOOKUP(A1145,'[2]UPDATE BILL 2018'!$G:$V,16,0),IFERROR(VLOOKUP(A1145,'[2]UPDATE BILL 2018'!$H:$V,15,0),IFERROR(VLOOKUP(A1145,'[2]UPDATE BILL 2018'!$I:$V,14,0),VLOOKUP(A1145,'[2]UPDATE BILL 2018'!$B:$V,21,0)))))))))</f>
        <v>AVRA C 1821N</v>
      </c>
      <c r="AD1145" s="14" t="s">
        <v>49</v>
      </c>
      <c r="AE1145" s="24" t="s">
        <v>2558</v>
      </c>
      <c r="AF1145" s="25" t="str">
        <f t="shared" si="54"/>
        <v>VN</v>
      </c>
      <c r="AG1145" t="e">
        <f t="shared" si="51"/>
        <v>#REF!</v>
      </c>
      <c r="AI1145" s="58"/>
    </row>
    <row r="1146" spans="1:35" ht="15.75" customHeight="1">
      <c r="A1146" s="6" t="s">
        <v>2548</v>
      </c>
      <c r="B1146" s="5">
        <v>971</v>
      </c>
      <c r="C1146" s="7">
        <v>108758.3</v>
      </c>
      <c r="D1146" s="7">
        <f t="shared" si="59"/>
        <v>0</v>
      </c>
      <c r="E1146" s="7">
        <v>0</v>
      </c>
      <c r="F1146" s="5">
        <v>0</v>
      </c>
      <c r="G1146" s="7">
        <v>0</v>
      </c>
      <c r="H1146" s="5">
        <v>460</v>
      </c>
      <c r="I1146" s="7">
        <v>47669.299999999996</v>
      </c>
      <c r="J1146" s="7">
        <v>0</v>
      </c>
      <c r="K1146" s="5">
        <v>0</v>
      </c>
      <c r="L1146" s="5">
        <v>0</v>
      </c>
      <c r="M1146" s="5">
        <v>58</v>
      </c>
      <c r="N1146" s="7">
        <f t="shared" si="60"/>
        <v>58</v>
      </c>
      <c r="O1146" s="7">
        <v>8758</v>
      </c>
      <c r="P1146" s="7">
        <v>0</v>
      </c>
      <c r="Q1146" s="5">
        <v>0</v>
      </c>
      <c r="R1146" s="5">
        <v>0</v>
      </c>
      <c r="S1146" s="7">
        <v>0</v>
      </c>
      <c r="T1146" s="12">
        <v>43300</v>
      </c>
      <c r="U1146" s="4">
        <v>13</v>
      </c>
      <c r="V1146" s="4">
        <v>9</v>
      </c>
      <c r="W1146" s="4">
        <v>9</v>
      </c>
      <c r="X1146" s="45">
        <f t="shared" si="61"/>
        <v>165185.60000000001</v>
      </c>
      <c r="Y1146" s="14" t="s">
        <v>56</v>
      </c>
      <c r="Z1146" s="14" t="s">
        <v>1281</v>
      </c>
      <c r="AA1146" s="14" t="str">
        <f>IFERROR(VLOOKUP(A1146,'[2]UPDATE BILL 2018'!$B:$P,15,0),IFERROR(VLOOKUP(A1146,'[2]UPDATE BILL 2018'!$C:$P,14,0),IFERROR(VLOOKUP(A1146,'[2]UPDATE BILL 2018'!$D:$P,13,0),IFERROR(VLOOKUP(A1146,'[2]UPDATE BILL 2018'!$E:$P,12,0),IFERROR(VLOOKUP(A1146,'[2]UPDATE BILL 2018'!$F:$P,11,0),IFERROR(VLOOKUP(A1146,'[2]UPDATE BILL 2018'!$G:$P,10,0),IFERROR(VLOOKUP(A1146,'[2]UPDATE BILL 2018'!$H:$P,9,0),IFERROR(VLOOKUP(A1146,'[2]UPDATE BILL 2018'!$I:$P,8,0),VLOOKUP(A1146,'[2]UPDATE BILL 2018'!$B:$P,15,0)))))))))</f>
        <v>1008X03736</v>
      </c>
      <c r="AB1146" s="44">
        <f>IFERROR(VLOOKUP(A1146,'[2]UPDATE BILL 2018'!$B:$T,19,0),IFERROR(VLOOKUP(A1146,'[2]UPDATE BILL 2018'!$C:$T,18,0),IFERROR(VLOOKUP(A1146,'[2]UPDATE BILL 2018'!$D:$T,17,0),IFERROR(VLOOKUP(A1146,'[2]UPDATE BILL 2018'!$E:$T,16,0),IFERROR(VLOOKUP(A1146,'[2]UPDATE BILL 2018'!$F:$T,15,0),IFERROR(VLOOKUP(A1146,'[2]UPDATE BILL 2018'!$G:$T,14,0),IFERROR(VLOOKUP(A1146,'[2]UPDATE BILL 2018'!$H:$T,13,0),IFERROR(VLOOKUP(A1146,'[2]UPDATE BILL 2018'!$I:$T,12,0),VLOOKUP(A1146,'[2]UPDATE BILL 2018'!$B:$T,19,0)))))))))</f>
        <v>43306</v>
      </c>
      <c r="AC1146" s="44" t="str">
        <f>IFERROR(VLOOKUP(A1146,'[2]UPDATE BILL 2018'!$B:$V,21,0),IFERROR(VLOOKUP(A1146,'[2]UPDATE BILL 2018'!$C:$V,20,0),IFERROR(VLOOKUP(A1146,'[2]UPDATE BILL 2018'!$D:$V,19,0),IFERROR(VLOOKUP(A1146,'[2]UPDATE BILL 2018'!$E:$V,18,0),IFERROR(VLOOKUP(A1146,'[2]UPDATE BILL 2018'!$F:$V,17,0),IFERROR(VLOOKUP(A1146,'[2]UPDATE BILL 2018'!$G:$V,16,0),IFERROR(VLOOKUP(A1146,'[2]UPDATE BILL 2018'!$H:$V,15,0),IFERROR(VLOOKUP(A1146,'[2]UPDATE BILL 2018'!$I:$V,14,0),VLOOKUP(A1146,'[2]UPDATE BILL 2018'!$B:$V,21,0)))))))))</f>
        <v>AS FIONA N007</v>
      </c>
      <c r="AD1146" s="14" t="s">
        <v>51</v>
      </c>
      <c r="AE1146" s="24" t="s">
        <v>2559</v>
      </c>
      <c r="AF1146" s="25" t="str">
        <f t="shared" si="54"/>
        <v>VS</v>
      </c>
      <c r="AG1146" t="e">
        <f t="shared" si="51"/>
        <v>#REF!</v>
      </c>
      <c r="AI1146" s="58"/>
    </row>
    <row r="1147" spans="1:35" ht="15.75" customHeight="1">
      <c r="A1147" s="6" t="s">
        <v>2549</v>
      </c>
      <c r="B1147" s="5">
        <v>270</v>
      </c>
      <c r="C1147" s="7">
        <v>14307</v>
      </c>
      <c r="D1147" s="7">
        <f t="shared" si="59"/>
        <v>0</v>
      </c>
      <c r="E1147" s="7">
        <v>0</v>
      </c>
      <c r="F1147" s="5">
        <v>0</v>
      </c>
      <c r="G1147" s="7">
        <v>0</v>
      </c>
      <c r="H1147" s="5">
        <v>0</v>
      </c>
      <c r="I1147" s="7">
        <v>0</v>
      </c>
      <c r="J1147" s="7">
        <v>0</v>
      </c>
      <c r="K1147" s="5">
        <v>0</v>
      </c>
      <c r="L1147" s="5">
        <v>0</v>
      </c>
      <c r="M1147" s="5">
        <v>0</v>
      </c>
      <c r="N1147" s="7">
        <f t="shared" si="60"/>
        <v>0</v>
      </c>
      <c r="O1147" s="7">
        <v>0</v>
      </c>
      <c r="P1147" s="7">
        <v>0</v>
      </c>
      <c r="Q1147" s="5">
        <v>0</v>
      </c>
      <c r="R1147" s="5">
        <v>0</v>
      </c>
      <c r="S1147" s="7">
        <v>0</v>
      </c>
      <c r="T1147" s="12">
        <v>43300</v>
      </c>
      <c r="U1147" s="4">
        <v>1</v>
      </c>
      <c r="V1147" s="4">
        <v>9</v>
      </c>
      <c r="W1147" s="4">
        <v>9</v>
      </c>
      <c r="X1147" s="45">
        <f t="shared" si="61"/>
        <v>14307</v>
      </c>
      <c r="Y1147" s="14" t="s">
        <v>54</v>
      </c>
      <c r="Z1147" s="14" t="s">
        <v>730</v>
      </c>
      <c r="AA1147" s="14" t="str">
        <f>IFERROR(VLOOKUP(A1147,'[2]UPDATE BILL 2018'!$B:$P,15,0),IFERROR(VLOOKUP(A1147,'[2]UPDATE BILL 2018'!$C:$P,14,0),IFERROR(VLOOKUP(A1147,'[2]UPDATE BILL 2018'!$D:$P,13,0),IFERROR(VLOOKUP(A1147,'[2]UPDATE BILL 2018'!$E:$P,12,0),IFERROR(VLOOKUP(A1147,'[2]UPDATE BILL 2018'!$F:$P,11,0),IFERROR(VLOOKUP(A1147,'[2]UPDATE BILL 2018'!$G:$P,10,0),IFERROR(VLOOKUP(A1147,'[2]UPDATE BILL 2018'!$H:$P,9,0),IFERROR(VLOOKUP(A1147,'[2]UPDATE BILL 2018'!$I:$P,8,0),VLOOKUP(A1147,'[2]UPDATE BILL 2018'!$B:$P,15,0)))))))))</f>
        <v>SITWHPKW172471</v>
      </c>
      <c r="AB1147" s="44">
        <f>IFERROR(VLOOKUP(A1147,'[2]UPDATE BILL 2018'!$B:$T,19,0),IFERROR(VLOOKUP(A1147,'[2]UPDATE BILL 2018'!$C:$T,18,0),IFERROR(VLOOKUP(A1147,'[2]UPDATE BILL 2018'!$D:$T,17,0),IFERROR(VLOOKUP(A1147,'[2]UPDATE BILL 2018'!$E:$T,16,0),IFERROR(VLOOKUP(A1147,'[2]UPDATE BILL 2018'!$F:$T,15,0),IFERROR(VLOOKUP(A1147,'[2]UPDATE BILL 2018'!$G:$T,14,0),IFERROR(VLOOKUP(A1147,'[2]UPDATE BILL 2018'!$H:$T,13,0),IFERROR(VLOOKUP(A1147,'[2]UPDATE BILL 2018'!$I:$T,12,0),VLOOKUP(A1147,'[2]UPDATE BILL 2018'!$B:$T,19,0)))))))))</f>
        <v>43303</v>
      </c>
      <c r="AC1147" s="44" t="str">
        <f>IFERROR(VLOOKUP(A1147,'[2]UPDATE BILL 2018'!$B:$V,21,0),IFERROR(VLOOKUP(A1147,'[2]UPDATE BILL 2018'!$C:$V,20,0),IFERROR(VLOOKUP(A1147,'[2]UPDATE BILL 2018'!$D:$V,19,0),IFERROR(VLOOKUP(A1147,'[2]UPDATE BILL 2018'!$E:$V,18,0),IFERROR(VLOOKUP(A1147,'[2]UPDATE BILL 2018'!$F:$V,17,0),IFERROR(VLOOKUP(A1147,'[2]UPDATE BILL 2018'!$G:$V,16,0),IFERROR(VLOOKUP(A1147,'[2]UPDATE BILL 2018'!$H:$V,15,0),IFERROR(VLOOKUP(A1147,'[2]UPDATE BILL 2018'!$I:$V,14,0),VLOOKUP(A1147,'[2]UPDATE BILL 2018'!$B:$V,21,0)))))))))</f>
        <v>AVRA C 1821N</v>
      </c>
      <c r="AD1147" s="14" t="s">
        <v>50</v>
      </c>
      <c r="AE1147" s="24" t="s">
        <v>2560</v>
      </c>
      <c r="AF1147" s="25" t="str">
        <f t="shared" si="54"/>
        <v>VW</v>
      </c>
      <c r="AG1147" t="e">
        <f t="shared" si="51"/>
        <v>#REF!</v>
      </c>
      <c r="AI1147" s="58"/>
    </row>
    <row r="1148" spans="1:35" ht="15.75" customHeight="1">
      <c r="A1148" s="6" t="s">
        <v>2550</v>
      </c>
      <c r="B1148" s="5">
        <v>686</v>
      </c>
      <c r="C1148" s="7">
        <v>64616.4</v>
      </c>
      <c r="D1148" s="7">
        <f t="shared" si="59"/>
        <v>0</v>
      </c>
      <c r="E1148" s="7">
        <v>0</v>
      </c>
      <c r="F1148" s="5">
        <v>0</v>
      </c>
      <c r="G1148" s="7">
        <v>0</v>
      </c>
      <c r="H1148" s="5">
        <v>0</v>
      </c>
      <c r="I1148" s="7">
        <v>0</v>
      </c>
      <c r="J1148" s="7">
        <v>0</v>
      </c>
      <c r="K1148" s="5">
        <v>0</v>
      </c>
      <c r="L1148" s="5">
        <v>0</v>
      </c>
      <c r="M1148" s="5">
        <v>137</v>
      </c>
      <c r="N1148" s="7">
        <f t="shared" si="60"/>
        <v>137</v>
      </c>
      <c r="O1148" s="7">
        <v>6674.2000000000007</v>
      </c>
      <c r="P1148" s="7">
        <v>0</v>
      </c>
      <c r="Q1148" s="5">
        <v>0</v>
      </c>
      <c r="R1148" s="5">
        <v>0</v>
      </c>
      <c r="S1148" s="7">
        <v>0</v>
      </c>
      <c r="T1148" s="12">
        <v>43300</v>
      </c>
      <c r="U1148" s="4">
        <v>6</v>
      </c>
      <c r="V1148" s="4">
        <v>9</v>
      </c>
      <c r="W1148" s="4">
        <v>9</v>
      </c>
      <c r="X1148" s="45">
        <f t="shared" si="61"/>
        <v>71290.600000000006</v>
      </c>
      <c r="Y1148" s="14" t="s">
        <v>54</v>
      </c>
      <c r="Z1148" s="14" t="s">
        <v>59</v>
      </c>
      <c r="AA1148" s="14" t="str">
        <f>IFERROR(VLOOKUP(A1148,'[2]UPDATE BILL 2018'!$B:$P,15,0),IFERROR(VLOOKUP(A1148,'[2]UPDATE BILL 2018'!$C:$P,14,0),IFERROR(VLOOKUP(A1148,'[2]UPDATE BILL 2018'!$D:$P,13,0),IFERROR(VLOOKUP(A1148,'[2]UPDATE BILL 2018'!$E:$P,12,0),IFERROR(VLOOKUP(A1148,'[2]UPDATE BILL 2018'!$F:$P,11,0),IFERROR(VLOOKUP(A1148,'[2]UPDATE BILL 2018'!$G:$P,10,0),IFERROR(VLOOKUP(A1148,'[2]UPDATE BILL 2018'!$H:$P,9,0),IFERROR(VLOOKUP(A1148,'[2]UPDATE BILL 2018'!$I:$P,8,0),VLOOKUP(A1148,'[2]UPDATE BILL 2018'!$B:$P,15,0)))))))))</f>
        <v>SITWHPKW172470</v>
      </c>
      <c r="AB1148" s="44">
        <f>IFERROR(VLOOKUP(A1148,'[2]UPDATE BILL 2018'!$B:$T,19,0),IFERROR(VLOOKUP(A1148,'[2]UPDATE BILL 2018'!$C:$T,18,0),IFERROR(VLOOKUP(A1148,'[2]UPDATE BILL 2018'!$D:$T,17,0),IFERROR(VLOOKUP(A1148,'[2]UPDATE BILL 2018'!$E:$T,16,0),IFERROR(VLOOKUP(A1148,'[2]UPDATE BILL 2018'!$F:$T,15,0),IFERROR(VLOOKUP(A1148,'[2]UPDATE BILL 2018'!$G:$T,14,0),IFERROR(VLOOKUP(A1148,'[2]UPDATE BILL 2018'!$H:$T,13,0),IFERROR(VLOOKUP(A1148,'[2]UPDATE BILL 2018'!$I:$T,12,0),VLOOKUP(A1148,'[2]UPDATE BILL 2018'!$B:$T,19,0)))))))))</f>
        <v>43307</v>
      </c>
      <c r="AC1148" s="44" t="str">
        <f>IFERROR(VLOOKUP(A1148,'[2]UPDATE BILL 2018'!$B:$V,21,0),IFERROR(VLOOKUP(A1148,'[2]UPDATE BILL 2018'!$C:$V,20,0),IFERROR(VLOOKUP(A1148,'[2]UPDATE BILL 2018'!$D:$V,19,0),IFERROR(VLOOKUP(A1148,'[2]UPDATE BILL 2018'!$E:$V,18,0),IFERROR(VLOOKUP(A1148,'[2]UPDATE BILL 2018'!$F:$V,17,0),IFERROR(VLOOKUP(A1148,'[2]UPDATE BILL 2018'!$G:$V,16,0),IFERROR(VLOOKUP(A1148,'[2]UPDATE BILL 2018'!$H:$V,15,0),IFERROR(VLOOKUP(A1148,'[2]UPDATE BILL 2018'!$I:$V,14,0),VLOOKUP(A1148,'[2]UPDATE BILL 2018'!$B:$V,21,0)))))))))</f>
        <v>SITC NAGOYA 1821N</v>
      </c>
      <c r="AD1148" s="14" t="s">
        <v>50</v>
      </c>
      <c r="AE1148" s="24" t="s">
        <v>2561</v>
      </c>
      <c r="AF1148" s="25" t="str">
        <f t="shared" si="54"/>
        <v>VW</v>
      </c>
      <c r="AG1148" t="e">
        <f t="shared" si="51"/>
        <v>#REF!</v>
      </c>
      <c r="AI1148" s="58"/>
    </row>
    <row r="1149" spans="1:35" ht="15.75" customHeight="1">
      <c r="A1149" s="6" t="s">
        <v>2551</v>
      </c>
      <c r="B1149" s="5">
        <v>65</v>
      </c>
      <c r="C1149" s="7">
        <v>6281</v>
      </c>
      <c r="D1149" s="7">
        <f t="shared" ref="D1149:D1158" si="62">E1149+F1149</f>
        <v>0</v>
      </c>
      <c r="E1149" s="7">
        <v>0</v>
      </c>
      <c r="F1149" s="5">
        <v>0</v>
      </c>
      <c r="G1149" s="7">
        <v>0</v>
      </c>
      <c r="H1149" s="5">
        <v>20</v>
      </c>
      <c r="I1149" s="7">
        <v>1919.4</v>
      </c>
      <c r="J1149" s="7">
        <v>0</v>
      </c>
      <c r="K1149" s="5">
        <v>0</v>
      </c>
      <c r="L1149" s="5">
        <v>0</v>
      </c>
      <c r="M1149" s="5">
        <v>8</v>
      </c>
      <c r="N1149" s="7">
        <f t="shared" ref="N1149:N1158" si="63">M1149-K1149</f>
        <v>8</v>
      </c>
      <c r="O1149" s="7">
        <v>1519.9</v>
      </c>
      <c r="P1149" s="7">
        <v>0</v>
      </c>
      <c r="Q1149" s="5">
        <v>0</v>
      </c>
      <c r="R1149" s="5">
        <v>0</v>
      </c>
      <c r="S1149" s="7">
        <v>0</v>
      </c>
      <c r="T1149" s="12">
        <v>43300</v>
      </c>
      <c r="U1149" s="4">
        <v>1</v>
      </c>
      <c r="V1149" s="4">
        <v>9</v>
      </c>
      <c r="W1149" s="4">
        <v>9</v>
      </c>
      <c r="X1149" s="45">
        <f t="shared" si="61"/>
        <v>9720.2999999999993</v>
      </c>
      <c r="Y1149" s="14" t="s">
        <v>54</v>
      </c>
      <c r="Z1149" s="14" t="s">
        <v>1492</v>
      </c>
      <c r="AA1149" s="14" t="str">
        <f>IFERROR(VLOOKUP(A1149,'[2]UPDATE BILL 2018'!$B:$P,15,0),IFERROR(VLOOKUP(A1149,'[2]UPDATE BILL 2018'!$C:$P,14,0),IFERROR(VLOOKUP(A1149,'[2]UPDATE BILL 2018'!$D:$P,13,0),IFERROR(VLOOKUP(A1149,'[2]UPDATE BILL 2018'!$E:$P,12,0),IFERROR(VLOOKUP(A1149,'[2]UPDATE BILL 2018'!$F:$P,11,0),IFERROR(VLOOKUP(A1149,'[2]UPDATE BILL 2018'!$G:$P,10,0),IFERROR(VLOOKUP(A1149,'[2]UPDATE BILL 2018'!$H:$P,9,0),IFERROR(VLOOKUP(A1149,'[2]UPDATE BILL 2018'!$I:$P,8,0),VLOOKUP(A1149,'[2]UPDATE BILL 2018'!$B:$P,15,0)))))))))</f>
        <v>SITWHPTK171860</v>
      </c>
      <c r="AB1149" s="44">
        <f>IFERROR(VLOOKUP(A1149,'[2]UPDATE BILL 2018'!$B:$T,19,0),IFERROR(VLOOKUP(A1149,'[2]UPDATE BILL 2018'!$C:$T,18,0),IFERROR(VLOOKUP(A1149,'[2]UPDATE BILL 2018'!$D:$T,17,0),IFERROR(VLOOKUP(A1149,'[2]UPDATE BILL 2018'!$E:$T,16,0),IFERROR(VLOOKUP(A1149,'[2]UPDATE BILL 2018'!$F:$T,15,0),IFERROR(VLOOKUP(A1149,'[2]UPDATE BILL 2018'!$G:$T,14,0),IFERROR(VLOOKUP(A1149,'[2]UPDATE BILL 2018'!$H:$T,13,0),IFERROR(VLOOKUP(A1149,'[2]UPDATE BILL 2018'!$I:$T,12,0),VLOOKUP(A1149,'[2]UPDATE BILL 2018'!$B:$T,19,0)))))))))</f>
        <v>43303</v>
      </c>
      <c r="AC1149" s="44" t="str">
        <f>IFERROR(VLOOKUP(A1149,'[2]UPDATE BILL 2018'!$B:$V,21,0),IFERROR(VLOOKUP(A1149,'[2]UPDATE BILL 2018'!$C:$V,20,0),IFERROR(VLOOKUP(A1149,'[2]UPDATE BILL 2018'!$D:$V,19,0),IFERROR(VLOOKUP(A1149,'[2]UPDATE BILL 2018'!$E:$V,18,0),IFERROR(VLOOKUP(A1149,'[2]UPDATE BILL 2018'!$F:$V,17,0),IFERROR(VLOOKUP(A1149,'[2]UPDATE BILL 2018'!$G:$V,16,0),IFERROR(VLOOKUP(A1149,'[2]UPDATE BILL 2018'!$H:$V,15,0),IFERROR(VLOOKUP(A1149,'[2]UPDATE BILL 2018'!$I:$V,14,0),VLOOKUP(A1149,'[2]UPDATE BILL 2018'!$B:$V,21,0)))))))))</f>
        <v>AVRA C 1821N</v>
      </c>
      <c r="AD1149" s="14" t="s">
        <v>49</v>
      </c>
      <c r="AE1149" s="24" t="s">
        <v>2562</v>
      </c>
      <c r="AF1149" s="25" t="str">
        <f t="shared" ref="AF1149:AF1158" si="64">+LEFT(AE1149,2)</f>
        <v>VZ</v>
      </c>
      <c r="AG1149" t="e">
        <f t="shared" si="51"/>
        <v>#REF!</v>
      </c>
      <c r="AI1149" s="58"/>
    </row>
    <row r="1150" spans="1:35" ht="15.75" customHeight="1">
      <c r="A1150" s="6" t="s">
        <v>2552</v>
      </c>
      <c r="B1150" s="5">
        <v>91</v>
      </c>
      <c r="C1150" s="7">
        <v>11780.18</v>
      </c>
      <c r="D1150" s="7">
        <f t="shared" si="62"/>
        <v>0</v>
      </c>
      <c r="E1150" s="7">
        <v>0</v>
      </c>
      <c r="F1150" s="5">
        <v>0</v>
      </c>
      <c r="G1150" s="7">
        <v>0</v>
      </c>
      <c r="H1150" s="5">
        <v>95</v>
      </c>
      <c r="I1150" s="7">
        <v>12156.2</v>
      </c>
      <c r="J1150" s="7">
        <v>0</v>
      </c>
      <c r="K1150" s="5">
        <v>0</v>
      </c>
      <c r="L1150" s="5">
        <v>0</v>
      </c>
      <c r="M1150" s="5">
        <v>58</v>
      </c>
      <c r="N1150" s="7">
        <f t="shared" si="63"/>
        <v>58</v>
      </c>
      <c r="O1150" s="7">
        <v>10248.599999999999</v>
      </c>
      <c r="P1150" s="7">
        <v>0</v>
      </c>
      <c r="Q1150" s="5">
        <v>0</v>
      </c>
      <c r="R1150" s="5">
        <v>0</v>
      </c>
      <c r="S1150" s="7">
        <v>0</v>
      </c>
      <c r="T1150" s="12">
        <v>43300</v>
      </c>
      <c r="U1150" s="4">
        <v>3</v>
      </c>
      <c r="V1150" s="4">
        <v>9</v>
      </c>
      <c r="W1150" s="4">
        <v>9</v>
      </c>
      <c r="X1150" s="45">
        <f t="shared" ref="X1150:X1159" si="65">+C1150+G1150+I1150+O1150+S1150</f>
        <v>34184.979999999996</v>
      </c>
      <c r="Y1150" s="14" t="s">
        <v>85</v>
      </c>
      <c r="Z1150" s="14" t="s">
        <v>1492</v>
      </c>
      <c r="AA1150" s="14">
        <f>IFERROR(VLOOKUP(A1150,'[2]UPDATE BILL 2018'!$B:$P,15,0),IFERROR(VLOOKUP(A1150,'[2]UPDATE BILL 2018'!$C:$P,14,0),IFERROR(VLOOKUP(A1150,'[2]UPDATE BILL 2018'!$D:$P,13,0),IFERROR(VLOOKUP(A1150,'[2]UPDATE BILL 2018'!$E:$P,12,0),IFERROR(VLOOKUP(A1150,'[2]UPDATE BILL 2018'!$F:$P,11,0),IFERROR(VLOOKUP(A1150,'[2]UPDATE BILL 2018'!$G:$P,10,0),IFERROR(VLOOKUP(A1150,'[2]UPDATE BILL 2018'!$H:$P,9,0),IFERROR(VLOOKUP(A1150,'[2]UPDATE BILL 2018'!$I:$P,8,0),VLOOKUP(A1150,'[2]UPDATE BILL 2018'!$B:$P,15,0)))))))))</f>
        <v>350810079933</v>
      </c>
      <c r="AB1150" s="44">
        <f>IFERROR(VLOOKUP(A1150,'[2]UPDATE BILL 2018'!$B:$T,19,0),IFERROR(VLOOKUP(A1150,'[2]UPDATE BILL 2018'!$C:$T,18,0),IFERROR(VLOOKUP(A1150,'[2]UPDATE BILL 2018'!$D:$T,17,0),IFERROR(VLOOKUP(A1150,'[2]UPDATE BILL 2018'!$E:$T,16,0),IFERROR(VLOOKUP(A1150,'[2]UPDATE BILL 2018'!$F:$T,15,0),IFERROR(VLOOKUP(A1150,'[2]UPDATE BILL 2018'!$G:$T,14,0),IFERROR(VLOOKUP(A1150,'[2]UPDATE BILL 2018'!$H:$T,13,0),IFERROR(VLOOKUP(A1150,'[2]UPDATE BILL 2018'!$I:$T,12,0),VLOOKUP(A1150,'[2]UPDATE BILL 2018'!$B:$T,19,0)))))))))</f>
        <v>43306</v>
      </c>
      <c r="AC1150" s="44" t="str">
        <f>IFERROR(VLOOKUP(A1150,'[2]UPDATE BILL 2018'!$B:$V,21,0),IFERROR(VLOOKUP(A1150,'[2]UPDATE BILL 2018'!$C:$V,20,0),IFERROR(VLOOKUP(A1150,'[2]UPDATE BILL 2018'!$D:$V,19,0),IFERROR(VLOOKUP(A1150,'[2]UPDATE BILL 2018'!$E:$V,18,0),IFERROR(VLOOKUP(A1150,'[2]UPDATE BILL 2018'!$F:$V,17,0),IFERROR(VLOOKUP(A1150,'[2]UPDATE BILL 2018'!$G:$V,16,0),IFERROR(VLOOKUP(A1150,'[2]UPDATE BILL 2018'!$H:$V,15,0),IFERROR(VLOOKUP(A1150,'[2]UPDATE BILL 2018'!$I:$V,14,0),VLOOKUP(A1150,'[2]UPDATE BILL 2018'!$B:$V,21,0)))))))))</f>
        <v>MARCARRIER 18013N</v>
      </c>
      <c r="AD1150" s="14" t="s">
        <v>49</v>
      </c>
      <c r="AE1150" s="24" t="s">
        <v>2563</v>
      </c>
      <c r="AF1150" s="25" t="str">
        <f t="shared" si="64"/>
        <v>VZ</v>
      </c>
      <c r="AG1150" t="e">
        <f t="shared" si="51"/>
        <v>#REF!</v>
      </c>
      <c r="AI1150" s="58"/>
    </row>
    <row r="1151" spans="1:35" ht="15.75" customHeight="1">
      <c r="A1151" s="6" t="s">
        <v>2553</v>
      </c>
      <c r="D1151" s="7">
        <f t="shared" si="62"/>
        <v>0</v>
      </c>
      <c r="E1151" s="7">
        <v>0</v>
      </c>
      <c r="F1151" s="5">
        <v>0</v>
      </c>
      <c r="G1151" s="7">
        <v>0</v>
      </c>
      <c r="H1151" s="5">
        <v>0</v>
      </c>
      <c r="I1151" s="7">
        <v>0</v>
      </c>
      <c r="J1151" s="7">
        <v>0</v>
      </c>
      <c r="K1151" s="5">
        <v>0</v>
      </c>
      <c r="L1151" s="5">
        <v>0</v>
      </c>
      <c r="M1151" s="5">
        <v>0</v>
      </c>
      <c r="N1151" s="7">
        <f t="shared" si="63"/>
        <v>0</v>
      </c>
      <c r="O1151" s="7">
        <v>0</v>
      </c>
      <c r="P1151" s="7">
        <v>0</v>
      </c>
      <c r="Q1151" s="5">
        <v>0</v>
      </c>
      <c r="R1151" s="5">
        <v>278</v>
      </c>
      <c r="S1151" s="7">
        <v>24198</v>
      </c>
      <c r="T1151" s="12">
        <v>43300</v>
      </c>
      <c r="U1151" s="4">
        <v>1</v>
      </c>
      <c r="V1151" s="4">
        <v>9</v>
      </c>
      <c r="W1151" s="4">
        <v>9</v>
      </c>
      <c r="X1151" s="45">
        <f t="shared" si="65"/>
        <v>24198</v>
      </c>
      <c r="Y1151" s="14" t="s">
        <v>85</v>
      </c>
      <c r="Z1151" s="14" t="s">
        <v>1492</v>
      </c>
      <c r="AA1151" s="14">
        <f>IFERROR(VLOOKUP(A1151,'[2]UPDATE BILL 2018'!$B:$P,15,0),IFERROR(VLOOKUP(A1151,'[2]UPDATE BILL 2018'!$C:$P,14,0),IFERROR(VLOOKUP(A1151,'[2]UPDATE BILL 2018'!$D:$P,13,0),IFERROR(VLOOKUP(A1151,'[2]UPDATE BILL 2018'!$E:$P,12,0),IFERROR(VLOOKUP(A1151,'[2]UPDATE BILL 2018'!$F:$P,11,0),IFERROR(VLOOKUP(A1151,'[2]UPDATE BILL 2018'!$G:$P,10,0),IFERROR(VLOOKUP(A1151,'[2]UPDATE BILL 2018'!$H:$P,9,0),IFERROR(VLOOKUP(A1151,'[2]UPDATE BILL 2018'!$I:$P,8,0),VLOOKUP(A1151,'[2]UPDATE BILL 2018'!$B:$P,15,0)))))))))</f>
        <v>350810079933</v>
      </c>
      <c r="AB1151" s="44">
        <f>IFERROR(VLOOKUP(A1151,'[2]UPDATE BILL 2018'!$B:$T,19,0),IFERROR(VLOOKUP(A1151,'[2]UPDATE BILL 2018'!$C:$T,18,0),IFERROR(VLOOKUP(A1151,'[2]UPDATE BILL 2018'!$D:$T,17,0),IFERROR(VLOOKUP(A1151,'[2]UPDATE BILL 2018'!$E:$T,16,0),IFERROR(VLOOKUP(A1151,'[2]UPDATE BILL 2018'!$F:$T,15,0),IFERROR(VLOOKUP(A1151,'[2]UPDATE BILL 2018'!$G:$T,14,0),IFERROR(VLOOKUP(A1151,'[2]UPDATE BILL 2018'!$H:$T,13,0),IFERROR(VLOOKUP(A1151,'[2]UPDATE BILL 2018'!$I:$T,12,0),VLOOKUP(A1151,'[2]UPDATE BILL 2018'!$B:$T,19,0)))))))))</f>
        <v>43306</v>
      </c>
      <c r="AC1151" s="44" t="str">
        <f>IFERROR(VLOOKUP(A1151,'[2]UPDATE BILL 2018'!$B:$V,21,0),IFERROR(VLOOKUP(A1151,'[2]UPDATE BILL 2018'!$C:$V,20,0),IFERROR(VLOOKUP(A1151,'[2]UPDATE BILL 2018'!$D:$V,19,0),IFERROR(VLOOKUP(A1151,'[2]UPDATE BILL 2018'!$E:$V,18,0),IFERROR(VLOOKUP(A1151,'[2]UPDATE BILL 2018'!$F:$V,17,0),IFERROR(VLOOKUP(A1151,'[2]UPDATE BILL 2018'!$G:$V,16,0),IFERROR(VLOOKUP(A1151,'[2]UPDATE BILL 2018'!$H:$V,15,0),IFERROR(VLOOKUP(A1151,'[2]UPDATE BILL 2018'!$I:$V,14,0),VLOOKUP(A1151,'[2]UPDATE BILL 2018'!$B:$V,21,0)))))))))</f>
        <v>MARCARRIER 18013N</v>
      </c>
      <c r="AD1151" s="14" t="s">
        <v>49</v>
      </c>
      <c r="AE1151" s="24" t="s">
        <v>2564</v>
      </c>
      <c r="AF1151" s="25" t="s">
        <v>2172</v>
      </c>
      <c r="AG1151" t="e">
        <f t="shared" si="51"/>
        <v>#N/A</v>
      </c>
      <c r="AI1151" s="58"/>
    </row>
    <row r="1152" spans="1:35" ht="15.75" customHeight="1">
      <c r="A1152" s="6" t="s">
        <v>2554</v>
      </c>
      <c r="D1152" s="7">
        <f t="shared" si="62"/>
        <v>0</v>
      </c>
      <c r="E1152" s="7">
        <v>0</v>
      </c>
      <c r="F1152" s="5">
        <v>0</v>
      </c>
      <c r="G1152" s="7">
        <v>0</v>
      </c>
      <c r="H1152" s="5">
        <v>0</v>
      </c>
      <c r="I1152" s="7">
        <v>0</v>
      </c>
      <c r="J1152" s="7">
        <v>0</v>
      </c>
      <c r="K1152" s="5">
        <v>0</v>
      </c>
      <c r="L1152" s="5">
        <v>0</v>
      </c>
      <c r="M1152" s="5">
        <v>0</v>
      </c>
      <c r="N1152" s="7">
        <f t="shared" si="63"/>
        <v>0</v>
      </c>
      <c r="O1152" s="7">
        <v>0</v>
      </c>
      <c r="P1152" s="7">
        <v>0</v>
      </c>
      <c r="Q1152" s="5">
        <v>0</v>
      </c>
      <c r="R1152" s="5">
        <v>138</v>
      </c>
      <c r="S1152" s="7">
        <v>16101.2</v>
      </c>
      <c r="T1152" s="12">
        <v>43300</v>
      </c>
      <c r="U1152" s="4">
        <v>1</v>
      </c>
      <c r="V1152" s="4">
        <v>9</v>
      </c>
      <c r="W1152" s="4">
        <v>9</v>
      </c>
      <c r="X1152" s="45">
        <f t="shared" si="65"/>
        <v>16101.2</v>
      </c>
      <c r="Y1152" s="14" t="s">
        <v>85</v>
      </c>
      <c r="Z1152" s="14" t="s">
        <v>59</v>
      </c>
      <c r="AA1152" s="14">
        <f>IFERROR(VLOOKUP(A1152,'[2]UPDATE BILL 2018'!$B:$P,15,0),IFERROR(VLOOKUP(A1152,'[2]UPDATE BILL 2018'!$C:$P,14,0),IFERROR(VLOOKUP(A1152,'[2]UPDATE BILL 2018'!$D:$P,13,0),IFERROR(VLOOKUP(A1152,'[2]UPDATE BILL 2018'!$E:$P,12,0),IFERROR(VLOOKUP(A1152,'[2]UPDATE BILL 2018'!$F:$P,11,0),IFERROR(VLOOKUP(A1152,'[2]UPDATE BILL 2018'!$G:$P,10,0),IFERROR(VLOOKUP(A1152,'[2]UPDATE BILL 2018'!$H:$P,9,0),IFERROR(VLOOKUP(A1152,'[2]UPDATE BILL 2018'!$I:$P,8,0),VLOOKUP(A1152,'[2]UPDATE BILL 2018'!$B:$P,15,0)))))))))</f>
        <v>350810082926</v>
      </c>
      <c r="AB1152" s="44">
        <f>IFERROR(VLOOKUP(A1152,'[2]UPDATE BILL 2018'!$B:$T,19,0),IFERROR(VLOOKUP(A1152,'[2]UPDATE BILL 2018'!$C:$T,18,0),IFERROR(VLOOKUP(A1152,'[2]UPDATE BILL 2018'!$D:$T,17,0),IFERROR(VLOOKUP(A1152,'[2]UPDATE BILL 2018'!$E:$T,16,0),IFERROR(VLOOKUP(A1152,'[2]UPDATE BILL 2018'!$F:$T,15,0),IFERROR(VLOOKUP(A1152,'[2]UPDATE BILL 2018'!$G:$T,14,0),IFERROR(VLOOKUP(A1152,'[2]UPDATE BILL 2018'!$H:$T,13,0),IFERROR(VLOOKUP(A1152,'[2]UPDATE BILL 2018'!$I:$T,12,0),VLOOKUP(A1152,'[2]UPDATE BILL 2018'!$B:$T,19,0)))))))))</f>
        <v>43306</v>
      </c>
      <c r="AC1152" s="44" t="str">
        <f>IFERROR(VLOOKUP(A1152,'[2]UPDATE BILL 2018'!$B:$V,21,0),IFERROR(VLOOKUP(A1152,'[2]UPDATE BILL 2018'!$C:$V,20,0),IFERROR(VLOOKUP(A1152,'[2]UPDATE BILL 2018'!$D:$V,19,0),IFERROR(VLOOKUP(A1152,'[2]UPDATE BILL 2018'!$E:$V,18,0),IFERROR(VLOOKUP(A1152,'[2]UPDATE BILL 2018'!$F:$V,17,0),IFERROR(VLOOKUP(A1152,'[2]UPDATE BILL 2018'!$G:$V,16,0),IFERROR(VLOOKUP(A1152,'[2]UPDATE BILL 2018'!$H:$V,15,0),IFERROR(VLOOKUP(A1152,'[2]UPDATE BILL 2018'!$I:$V,14,0),VLOOKUP(A1152,'[2]UPDATE BILL 2018'!$B:$V,21,0)))))))))</f>
        <v>MARCARRIER 18013N</v>
      </c>
      <c r="AD1152" s="14" t="s">
        <v>52</v>
      </c>
      <c r="AE1152" s="24" t="s">
        <v>2565</v>
      </c>
      <c r="AF1152" s="25" t="s">
        <v>2173</v>
      </c>
      <c r="AG1152" t="e">
        <f t="shared" si="51"/>
        <v>#N/A</v>
      </c>
      <c r="AI1152" s="58"/>
    </row>
    <row r="1153" spans="1:35" ht="15.75" customHeight="1">
      <c r="A1153" s="6" t="s">
        <v>2555</v>
      </c>
      <c r="D1153" s="7">
        <f t="shared" si="62"/>
        <v>0</v>
      </c>
      <c r="E1153" s="7">
        <v>0</v>
      </c>
      <c r="F1153" s="5">
        <v>0</v>
      </c>
      <c r="G1153" s="7">
        <v>0</v>
      </c>
      <c r="H1153" s="5">
        <v>0</v>
      </c>
      <c r="I1153" s="7">
        <v>0</v>
      </c>
      <c r="J1153" s="7">
        <v>0</v>
      </c>
      <c r="K1153" s="5">
        <v>0</v>
      </c>
      <c r="L1153" s="5">
        <v>0</v>
      </c>
      <c r="M1153" s="5">
        <v>0</v>
      </c>
      <c r="N1153" s="7">
        <f t="shared" si="63"/>
        <v>0</v>
      </c>
      <c r="O1153" s="7">
        <v>0</v>
      </c>
      <c r="P1153" s="7">
        <v>0</v>
      </c>
      <c r="Q1153" s="5">
        <v>0</v>
      </c>
      <c r="R1153" s="5">
        <v>659</v>
      </c>
      <c r="S1153" s="7">
        <v>125122.7</v>
      </c>
      <c r="T1153" s="12">
        <v>43300</v>
      </c>
      <c r="U1153" s="4">
        <v>5</v>
      </c>
      <c r="V1153" s="4">
        <v>9</v>
      </c>
      <c r="W1153" s="4">
        <v>9</v>
      </c>
      <c r="X1153" s="45">
        <f t="shared" si="65"/>
        <v>125122.7</v>
      </c>
      <c r="Y1153" s="14" t="s">
        <v>56</v>
      </c>
      <c r="Z1153" s="14" t="s">
        <v>1281</v>
      </c>
      <c r="AA1153" s="14" t="str">
        <f>IFERROR(VLOOKUP(A1153,'[2]UPDATE BILL 2018'!$B:$P,15,0),IFERROR(VLOOKUP(A1153,'[2]UPDATE BILL 2018'!$C:$P,14,0),IFERROR(VLOOKUP(A1153,'[2]UPDATE BILL 2018'!$D:$P,13,0),IFERROR(VLOOKUP(A1153,'[2]UPDATE BILL 2018'!$E:$P,12,0),IFERROR(VLOOKUP(A1153,'[2]UPDATE BILL 2018'!$F:$P,11,0),IFERROR(VLOOKUP(A1153,'[2]UPDATE BILL 2018'!$G:$P,10,0),IFERROR(VLOOKUP(A1153,'[2]UPDATE BILL 2018'!$H:$P,9,0),IFERROR(VLOOKUP(A1153,'[2]UPDATE BILL 2018'!$I:$P,8,0),VLOOKUP(A1153,'[2]UPDATE BILL 2018'!$B:$P,15,0)))))))))</f>
        <v>1008X03736</v>
      </c>
      <c r="AB1153" s="44">
        <f>IFERROR(VLOOKUP(A1153,'[2]UPDATE BILL 2018'!$B:$T,19,0),IFERROR(VLOOKUP(A1153,'[2]UPDATE BILL 2018'!$C:$T,18,0),IFERROR(VLOOKUP(A1153,'[2]UPDATE BILL 2018'!$D:$T,17,0),IFERROR(VLOOKUP(A1153,'[2]UPDATE BILL 2018'!$E:$T,16,0),IFERROR(VLOOKUP(A1153,'[2]UPDATE BILL 2018'!$F:$T,15,0),IFERROR(VLOOKUP(A1153,'[2]UPDATE BILL 2018'!$G:$T,14,0),IFERROR(VLOOKUP(A1153,'[2]UPDATE BILL 2018'!$H:$T,13,0),IFERROR(VLOOKUP(A1153,'[2]UPDATE BILL 2018'!$I:$T,12,0),VLOOKUP(A1153,'[2]UPDATE BILL 2018'!$B:$T,19,0)))))))))</f>
        <v>43306</v>
      </c>
      <c r="AC1153" s="44" t="str">
        <f>IFERROR(VLOOKUP(A1153,'[2]UPDATE BILL 2018'!$B:$V,21,0),IFERROR(VLOOKUP(A1153,'[2]UPDATE BILL 2018'!$C:$V,20,0),IFERROR(VLOOKUP(A1153,'[2]UPDATE BILL 2018'!$D:$V,19,0),IFERROR(VLOOKUP(A1153,'[2]UPDATE BILL 2018'!$E:$V,18,0),IFERROR(VLOOKUP(A1153,'[2]UPDATE BILL 2018'!$F:$V,17,0),IFERROR(VLOOKUP(A1153,'[2]UPDATE BILL 2018'!$G:$V,16,0),IFERROR(VLOOKUP(A1153,'[2]UPDATE BILL 2018'!$H:$V,15,0),IFERROR(VLOOKUP(A1153,'[2]UPDATE BILL 2018'!$I:$V,14,0),VLOOKUP(A1153,'[2]UPDATE BILL 2018'!$B:$V,21,0)))))))))</f>
        <v>AS FIONA N007</v>
      </c>
      <c r="AD1153" s="14" t="s">
        <v>51</v>
      </c>
      <c r="AE1153" s="24" t="s">
        <v>2566</v>
      </c>
      <c r="AF1153" s="25" t="s">
        <v>2150</v>
      </c>
      <c r="AG1153" t="e">
        <f t="shared" si="51"/>
        <v>#N/A</v>
      </c>
      <c r="AI1153" s="58"/>
    </row>
    <row r="1154" spans="1:35" ht="15.75" customHeight="1">
      <c r="A1154" s="6" t="s">
        <v>2556</v>
      </c>
      <c r="D1154" s="7">
        <f t="shared" si="62"/>
        <v>0</v>
      </c>
      <c r="E1154" s="7">
        <v>0</v>
      </c>
      <c r="F1154" s="5">
        <v>0</v>
      </c>
      <c r="G1154" s="7">
        <v>0</v>
      </c>
      <c r="H1154" s="5">
        <v>0</v>
      </c>
      <c r="I1154" s="7">
        <v>0</v>
      </c>
      <c r="J1154" s="7">
        <v>0</v>
      </c>
      <c r="K1154" s="5">
        <v>0</v>
      </c>
      <c r="L1154" s="5">
        <v>0</v>
      </c>
      <c r="M1154" s="5">
        <v>0</v>
      </c>
      <c r="N1154" s="7">
        <f t="shared" si="63"/>
        <v>0</v>
      </c>
      <c r="O1154" s="7">
        <v>0</v>
      </c>
      <c r="P1154" s="7">
        <v>0</v>
      </c>
      <c r="Q1154" s="5">
        <v>0</v>
      </c>
      <c r="R1154" s="5">
        <v>86</v>
      </c>
      <c r="S1154" s="7">
        <v>13963</v>
      </c>
      <c r="T1154" s="12">
        <v>43300</v>
      </c>
      <c r="U1154" s="4">
        <v>1</v>
      </c>
      <c r="V1154" s="4">
        <v>9</v>
      </c>
      <c r="W1154" s="4">
        <v>9</v>
      </c>
      <c r="X1154" s="45">
        <f t="shared" si="65"/>
        <v>13963</v>
      </c>
      <c r="Y1154" s="14" t="s">
        <v>85</v>
      </c>
      <c r="Z1154" s="14" t="s">
        <v>1492</v>
      </c>
      <c r="AA1154" s="14">
        <f>IFERROR(VLOOKUP(A1154,'[2]UPDATE BILL 2018'!$B:$P,15,0),IFERROR(VLOOKUP(A1154,'[2]UPDATE BILL 2018'!$C:$P,14,0),IFERROR(VLOOKUP(A1154,'[2]UPDATE BILL 2018'!$D:$P,13,0),IFERROR(VLOOKUP(A1154,'[2]UPDATE BILL 2018'!$E:$P,12,0),IFERROR(VLOOKUP(A1154,'[2]UPDATE BILL 2018'!$F:$P,11,0),IFERROR(VLOOKUP(A1154,'[2]UPDATE BILL 2018'!$G:$P,10,0),IFERROR(VLOOKUP(A1154,'[2]UPDATE BILL 2018'!$H:$P,9,0),IFERROR(VLOOKUP(A1154,'[2]UPDATE BILL 2018'!$I:$P,8,0),VLOOKUP(A1154,'[2]UPDATE BILL 2018'!$B:$P,15,0)))))))))</f>
        <v>350810079933</v>
      </c>
      <c r="AB1154" s="44">
        <f>IFERROR(VLOOKUP(A1154,'[2]UPDATE BILL 2018'!$B:$T,19,0),IFERROR(VLOOKUP(A1154,'[2]UPDATE BILL 2018'!$C:$T,18,0),IFERROR(VLOOKUP(A1154,'[2]UPDATE BILL 2018'!$D:$T,17,0),IFERROR(VLOOKUP(A1154,'[2]UPDATE BILL 2018'!$E:$T,16,0),IFERROR(VLOOKUP(A1154,'[2]UPDATE BILL 2018'!$F:$T,15,0),IFERROR(VLOOKUP(A1154,'[2]UPDATE BILL 2018'!$G:$T,14,0),IFERROR(VLOOKUP(A1154,'[2]UPDATE BILL 2018'!$H:$T,13,0),IFERROR(VLOOKUP(A1154,'[2]UPDATE BILL 2018'!$I:$T,12,0),VLOOKUP(A1154,'[2]UPDATE BILL 2018'!$B:$T,19,0)))))))))</f>
        <v>43306</v>
      </c>
      <c r="AC1154" s="44" t="str">
        <f>IFERROR(VLOOKUP(A1154,'[2]UPDATE BILL 2018'!$B:$V,21,0),IFERROR(VLOOKUP(A1154,'[2]UPDATE BILL 2018'!$C:$V,20,0),IFERROR(VLOOKUP(A1154,'[2]UPDATE BILL 2018'!$D:$V,19,0),IFERROR(VLOOKUP(A1154,'[2]UPDATE BILL 2018'!$E:$V,18,0),IFERROR(VLOOKUP(A1154,'[2]UPDATE BILL 2018'!$F:$V,17,0),IFERROR(VLOOKUP(A1154,'[2]UPDATE BILL 2018'!$G:$V,16,0),IFERROR(VLOOKUP(A1154,'[2]UPDATE BILL 2018'!$H:$V,15,0),IFERROR(VLOOKUP(A1154,'[2]UPDATE BILL 2018'!$I:$V,14,0),VLOOKUP(A1154,'[2]UPDATE BILL 2018'!$B:$V,21,0)))))))))</f>
        <v>MARCARRIER 18013N</v>
      </c>
      <c r="AD1154" s="14" t="s">
        <v>49</v>
      </c>
      <c r="AE1154" s="24" t="s">
        <v>2567</v>
      </c>
      <c r="AF1154" s="25" t="s">
        <v>2174</v>
      </c>
      <c r="AG1154" t="e">
        <f t="shared" si="51"/>
        <v>#N/A</v>
      </c>
      <c r="AI1154" s="58"/>
    </row>
    <row r="1155" spans="1:35" ht="15.75" customHeight="1">
      <c r="A1155" s="6" t="s">
        <v>2568</v>
      </c>
      <c r="B1155" s="5">
        <v>54</v>
      </c>
      <c r="C1155" s="7">
        <v>6011.3599999999988</v>
      </c>
      <c r="D1155" s="7">
        <f t="shared" si="62"/>
        <v>0</v>
      </c>
      <c r="E1155" s="7">
        <v>0</v>
      </c>
      <c r="F1155" s="5">
        <v>0</v>
      </c>
      <c r="G1155" s="7">
        <v>0</v>
      </c>
      <c r="H1155" s="5">
        <v>5</v>
      </c>
      <c r="I1155" s="7">
        <v>416.85</v>
      </c>
      <c r="J1155" s="7">
        <v>0</v>
      </c>
      <c r="K1155" s="5">
        <v>0</v>
      </c>
      <c r="L1155" s="5">
        <v>0</v>
      </c>
      <c r="M1155" s="5">
        <v>80</v>
      </c>
      <c r="N1155" s="7">
        <f t="shared" si="63"/>
        <v>80</v>
      </c>
      <c r="O1155" s="7">
        <v>4661.4999999999991</v>
      </c>
      <c r="P1155" s="7">
        <v>0</v>
      </c>
      <c r="Q1155" s="5">
        <v>0</v>
      </c>
      <c r="R1155" s="5">
        <v>0</v>
      </c>
      <c r="S1155" s="7">
        <v>0</v>
      </c>
      <c r="T1155" s="12">
        <v>43301</v>
      </c>
      <c r="U1155" s="4">
        <v>1</v>
      </c>
      <c r="V1155" s="4">
        <v>9</v>
      </c>
      <c r="W1155" s="4">
        <v>9</v>
      </c>
      <c r="X1155" s="45">
        <f t="shared" si="65"/>
        <v>11089.71</v>
      </c>
      <c r="Y1155" s="14" t="s">
        <v>1633</v>
      </c>
      <c r="Z1155" s="14" t="s">
        <v>1492</v>
      </c>
      <c r="AA1155" s="14" t="str">
        <f>IFERROR(VLOOKUP(A1155,'[2]UPDATE BILL 2018'!$B:$P,15,0),IFERROR(VLOOKUP(A1155,'[2]UPDATE BILL 2018'!$C:$P,14,0),IFERROR(VLOOKUP(A1155,'[2]UPDATE BILL 2018'!$D:$P,13,0),IFERROR(VLOOKUP(A1155,'[2]UPDATE BILL 2018'!$E:$P,12,0),IFERROR(VLOOKUP(A1155,'[2]UPDATE BILL 2018'!$F:$P,11,0),IFERROR(VLOOKUP(A1155,'[2]UPDATE BILL 2018'!$G:$P,10,0),IFERROR(VLOOKUP(A1155,'[2]UPDATE BILL 2018'!$H:$P,9,0),IFERROR(VLOOKUP(A1155,'[2]UPDATE BILL 2018'!$I:$P,8,0),VLOOKUP(A1155,'[2]UPDATE BILL 2018'!$B:$P,15,0)))))))))</f>
        <v>KMTCHPH0562360</v>
      </c>
      <c r="AB1155" s="44">
        <f>IFERROR(VLOOKUP(A1155,'[2]UPDATE BILL 2018'!$B:$T,19,0),IFERROR(VLOOKUP(A1155,'[2]UPDATE BILL 2018'!$C:$T,18,0),IFERROR(VLOOKUP(A1155,'[2]UPDATE BILL 2018'!$D:$T,17,0),IFERROR(VLOOKUP(A1155,'[2]UPDATE BILL 2018'!$E:$T,16,0),IFERROR(VLOOKUP(A1155,'[2]UPDATE BILL 2018'!$F:$T,15,0),IFERROR(VLOOKUP(A1155,'[2]UPDATE BILL 2018'!$G:$T,14,0),IFERROR(VLOOKUP(A1155,'[2]UPDATE BILL 2018'!$H:$T,13,0),IFERROR(VLOOKUP(A1155,'[2]UPDATE BILL 2018'!$I:$T,12,0),VLOOKUP(A1155,'[2]UPDATE BILL 2018'!$B:$T,19,0)))))))))</f>
        <v>43304</v>
      </c>
      <c r="AC1155" s="44" t="str">
        <f>IFERROR(VLOOKUP(A1155,'[2]UPDATE BILL 2018'!$B:$V,21,0),IFERROR(VLOOKUP(A1155,'[2]UPDATE BILL 2018'!$C:$V,20,0),IFERROR(VLOOKUP(A1155,'[2]UPDATE BILL 2018'!$D:$V,19,0),IFERROR(VLOOKUP(A1155,'[2]UPDATE BILL 2018'!$E:$V,18,0),IFERROR(VLOOKUP(A1155,'[2]UPDATE BILL 2018'!$F:$V,17,0),IFERROR(VLOOKUP(A1155,'[2]UPDATE BILL 2018'!$G:$V,16,0),IFERROR(VLOOKUP(A1155,'[2]UPDATE BILL 2018'!$H:$V,15,0),IFERROR(VLOOKUP(A1155,'[2]UPDATE BILL 2018'!$I:$V,14,0),VLOOKUP(A1155,'[2]UPDATE BILL 2018'!$B:$V,21,0)))))))))</f>
        <v>STARSHIP AQUILA 1811N</v>
      </c>
      <c r="AD1155" s="14" t="s">
        <v>70</v>
      </c>
      <c r="AE1155" s="24" t="s">
        <v>2577</v>
      </c>
      <c r="AF1155" s="25" t="str">
        <f t="shared" si="64"/>
        <v>VH</v>
      </c>
      <c r="AG1155" t="e">
        <f t="shared" si="51"/>
        <v>#REF!</v>
      </c>
      <c r="AI1155" s="58"/>
    </row>
    <row r="1156" spans="1:35" ht="15.75" customHeight="1">
      <c r="A1156" s="6" t="s">
        <v>2569</v>
      </c>
      <c r="B1156" s="5">
        <v>294</v>
      </c>
      <c r="C1156" s="7">
        <v>34480.6</v>
      </c>
      <c r="D1156" s="7">
        <f t="shared" si="62"/>
        <v>0</v>
      </c>
      <c r="E1156" s="7">
        <v>0</v>
      </c>
      <c r="F1156" s="5">
        <v>0</v>
      </c>
      <c r="G1156" s="7">
        <v>0</v>
      </c>
      <c r="H1156" s="5">
        <v>0</v>
      </c>
      <c r="I1156" s="7">
        <v>0</v>
      </c>
      <c r="J1156" s="7">
        <v>0</v>
      </c>
      <c r="K1156" s="5">
        <v>0</v>
      </c>
      <c r="L1156" s="5">
        <v>0</v>
      </c>
      <c r="M1156" s="5">
        <v>58</v>
      </c>
      <c r="N1156" s="7">
        <f t="shared" si="63"/>
        <v>58</v>
      </c>
      <c r="O1156" s="7">
        <v>10248.599999999999</v>
      </c>
      <c r="P1156" s="7">
        <v>0</v>
      </c>
      <c r="Q1156" s="5">
        <v>0</v>
      </c>
      <c r="R1156" s="5">
        <v>0</v>
      </c>
      <c r="S1156" s="7">
        <v>0</v>
      </c>
      <c r="T1156" s="12">
        <v>43301</v>
      </c>
      <c r="U1156" s="4">
        <v>4</v>
      </c>
      <c r="V1156" s="4">
        <v>9</v>
      </c>
      <c r="W1156" s="4">
        <v>9</v>
      </c>
      <c r="X1156" s="45">
        <f t="shared" si="65"/>
        <v>44729.2</v>
      </c>
      <c r="Y1156" s="14" t="s">
        <v>85</v>
      </c>
      <c r="Z1156" s="14" t="s">
        <v>1492</v>
      </c>
      <c r="AA1156" s="14">
        <f>IFERROR(VLOOKUP(A1156,'[2]UPDATE BILL 2018'!$B:$P,15,0),IFERROR(VLOOKUP(A1156,'[2]UPDATE BILL 2018'!$C:$P,14,0),IFERROR(VLOOKUP(A1156,'[2]UPDATE BILL 2018'!$D:$P,13,0),IFERROR(VLOOKUP(A1156,'[2]UPDATE BILL 2018'!$E:$P,12,0),IFERROR(VLOOKUP(A1156,'[2]UPDATE BILL 2018'!$F:$P,11,0),IFERROR(VLOOKUP(A1156,'[2]UPDATE BILL 2018'!$G:$P,10,0),IFERROR(VLOOKUP(A1156,'[2]UPDATE BILL 2018'!$H:$P,9,0),IFERROR(VLOOKUP(A1156,'[2]UPDATE BILL 2018'!$I:$P,8,0),VLOOKUP(A1156,'[2]UPDATE BILL 2018'!$B:$P,15,0)))))))))</f>
        <v>350810079933</v>
      </c>
      <c r="AB1156" s="44">
        <f>IFERROR(VLOOKUP(A1156,'[2]UPDATE BILL 2018'!$B:$T,19,0),IFERROR(VLOOKUP(A1156,'[2]UPDATE BILL 2018'!$C:$T,18,0),IFERROR(VLOOKUP(A1156,'[2]UPDATE BILL 2018'!$D:$T,17,0),IFERROR(VLOOKUP(A1156,'[2]UPDATE BILL 2018'!$E:$T,16,0),IFERROR(VLOOKUP(A1156,'[2]UPDATE BILL 2018'!$F:$T,15,0),IFERROR(VLOOKUP(A1156,'[2]UPDATE BILL 2018'!$G:$T,14,0),IFERROR(VLOOKUP(A1156,'[2]UPDATE BILL 2018'!$H:$T,13,0),IFERROR(VLOOKUP(A1156,'[2]UPDATE BILL 2018'!$I:$T,12,0),VLOOKUP(A1156,'[2]UPDATE BILL 2018'!$B:$T,19,0)))))))))</f>
        <v>43306</v>
      </c>
      <c r="AC1156" s="44" t="str">
        <f>IFERROR(VLOOKUP(A1156,'[2]UPDATE BILL 2018'!$B:$V,21,0),IFERROR(VLOOKUP(A1156,'[2]UPDATE BILL 2018'!$C:$V,20,0),IFERROR(VLOOKUP(A1156,'[2]UPDATE BILL 2018'!$D:$V,19,0),IFERROR(VLOOKUP(A1156,'[2]UPDATE BILL 2018'!$E:$V,18,0),IFERROR(VLOOKUP(A1156,'[2]UPDATE BILL 2018'!$F:$V,17,0),IFERROR(VLOOKUP(A1156,'[2]UPDATE BILL 2018'!$G:$V,16,0),IFERROR(VLOOKUP(A1156,'[2]UPDATE BILL 2018'!$H:$V,15,0),IFERROR(VLOOKUP(A1156,'[2]UPDATE BILL 2018'!$I:$V,14,0),VLOOKUP(A1156,'[2]UPDATE BILL 2018'!$B:$V,21,0)))))))))</f>
        <v>MARCARRIER 18013N</v>
      </c>
      <c r="AD1156" s="14" t="s">
        <v>49</v>
      </c>
      <c r="AE1156" s="24" t="s">
        <v>2578</v>
      </c>
      <c r="AF1156" s="25" t="str">
        <f t="shared" si="64"/>
        <v>VN</v>
      </c>
      <c r="AG1156" t="e">
        <f t="shared" si="51"/>
        <v>#REF!</v>
      </c>
      <c r="AI1156" s="58"/>
    </row>
    <row r="1157" spans="1:35" ht="15.75" customHeight="1">
      <c r="A1157" s="6" t="s">
        <v>2570</v>
      </c>
      <c r="B1157" s="5">
        <v>112</v>
      </c>
      <c r="C1157" s="7">
        <v>10936.820000000003</v>
      </c>
      <c r="D1157" s="7">
        <f t="shared" si="62"/>
        <v>0</v>
      </c>
      <c r="E1157" s="7">
        <v>0</v>
      </c>
      <c r="F1157" s="5">
        <v>0</v>
      </c>
      <c r="G1157" s="7">
        <v>0</v>
      </c>
      <c r="H1157" s="5">
        <v>91</v>
      </c>
      <c r="I1157" s="7">
        <v>8674.4299999999985</v>
      </c>
      <c r="J1157" s="7">
        <v>0</v>
      </c>
      <c r="K1157" s="5">
        <v>0</v>
      </c>
      <c r="L1157" s="5">
        <v>0</v>
      </c>
      <c r="M1157" s="5">
        <v>25</v>
      </c>
      <c r="N1157" s="7">
        <f t="shared" si="63"/>
        <v>25</v>
      </c>
      <c r="O1157" s="7">
        <v>4627.5</v>
      </c>
      <c r="P1157" s="7">
        <v>0</v>
      </c>
      <c r="Q1157" s="5">
        <v>0</v>
      </c>
      <c r="R1157" s="5">
        <v>0</v>
      </c>
      <c r="S1157" s="7">
        <v>0</v>
      </c>
      <c r="T1157" s="12">
        <v>43301</v>
      </c>
      <c r="U1157" s="4">
        <v>2</v>
      </c>
      <c r="V1157" s="4">
        <v>9</v>
      </c>
      <c r="W1157" s="4">
        <v>9</v>
      </c>
      <c r="X1157" s="45">
        <f t="shared" si="65"/>
        <v>24238.75</v>
      </c>
      <c r="Y1157" s="14" t="s">
        <v>54</v>
      </c>
      <c r="Z1157" s="14" t="s">
        <v>1281</v>
      </c>
      <c r="AA1157" s="14" t="str">
        <f>IFERROR(VLOOKUP(A1157,'[2]UPDATE BILL 2018'!$B:$P,15,0),IFERROR(VLOOKUP(A1157,'[2]UPDATE BILL 2018'!$C:$P,14,0),IFERROR(VLOOKUP(A1157,'[2]UPDATE BILL 2018'!$D:$P,13,0),IFERROR(VLOOKUP(A1157,'[2]UPDATE BILL 2018'!$E:$P,12,0),IFERROR(VLOOKUP(A1157,'[2]UPDATE BILL 2018'!$F:$P,11,0),IFERROR(VLOOKUP(A1157,'[2]UPDATE BILL 2018'!$G:$P,10,0),IFERROR(VLOOKUP(A1157,'[2]UPDATE BILL 2018'!$H:$P,9,0),IFERROR(VLOOKUP(A1157,'[2]UPDATE BILL 2018'!$I:$P,8,0),VLOOKUP(A1157,'[2]UPDATE BILL 2018'!$B:$P,15,0)))))))))</f>
        <v>SITWHPHT171868</v>
      </c>
      <c r="AB1157" s="44">
        <f>IFERROR(VLOOKUP(A1157,'[2]UPDATE BILL 2018'!$B:$T,19,0),IFERROR(VLOOKUP(A1157,'[2]UPDATE BILL 2018'!$C:$T,18,0),IFERROR(VLOOKUP(A1157,'[2]UPDATE BILL 2018'!$D:$T,17,0),IFERROR(VLOOKUP(A1157,'[2]UPDATE BILL 2018'!$E:$T,16,0),IFERROR(VLOOKUP(A1157,'[2]UPDATE BILL 2018'!$F:$T,15,0),IFERROR(VLOOKUP(A1157,'[2]UPDATE BILL 2018'!$G:$T,14,0),IFERROR(VLOOKUP(A1157,'[2]UPDATE BILL 2018'!$H:$T,13,0),IFERROR(VLOOKUP(A1157,'[2]UPDATE BILL 2018'!$I:$T,12,0),VLOOKUP(A1157,'[2]UPDATE BILL 2018'!$B:$T,19,0)))))))))</f>
        <v>43303</v>
      </c>
      <c r="AC1157" s="44" t="str">
        <f>IFERROR(VLOOKUP(A1157,'[2]UPDATE BILL 2018'!$B:$V,21,0),IFERROR(VLOOKUP(A1157,'[2]UPDATE BILL 2018'!$C:$V,20,0),IFERROR(VLOOKUP(A1157,'[2]UPDATE BILL 2018'!$D:$V,19,0),IFERROR(VLOOKUP(A1157,'[2]UPDATE BILL 2018'!$E:$V,18,0),IFERROR(VLOOKUP(A1157,'[2]UPDATE BILL 2018'!$F:$V,17,0),IFERROR(VLOOKUP(A1157,'[2]UPDATE BILL 2018'!$G:$V,16,0),IFERROR(VLOOKUP(A1157,'[2]UPDATE BILL 2018'!$H:$V,15,0),IFERROR(VLOOKUP(A1157,'[2]UPDATE BILL 2018'!$I:$V,14,0),VLOOKUP(A1157,'[2]UPDATE BILL 2018'!$B:$V,21,0)))))))))</f>
        <v>SITC WEIHAI 1817N</v>
      </c>
      <c r="AD1157" s="14" t="s">
        <v>52</v>
      </c>
      <c r="AE1157" s="24" t="s">
        <v>2579</v>
      </c>
      <c r="AF1157" s="25" t="str">
        <f t="shared" si="64"/>
        <v>VQ</v>
      </c>
      <c r="AG1157" t="e">
        <f t="shared" si="51"/>
        <v>#REF!</v>
      </c>
      <c r="AI1157" s="58"/>
    </row>
    <row r="1158" spans="1:35" ht="15.75" customHeight="1">
      <c r="A1158" s="6" t="s">
        <v>2571</v>
      </c>
      <c r="B1158" s="5">
        <v>517</v>
      </c>
      <c r="C1158" s="7">
        <v>43061.139999999992</v>
      </c>
      <c r="D1158" s="7">
        <f t="shared" si="62"/>
        <v>0</v>
      </c>
      <c r="E1158" s="7">
        <v>0</v>
      </c>
      <c r="F1158" s="5">
        <v>0</v>
      </c>
      <c r="G1158" s="7">
        <v>0</v>
      </c>
      <c r="H1158" s="5">
        <v>0</v>
      </c>
      <c r="I1158" s="7">
        <v>0</v>
      </c>
      <c r="J1158" s="7">
        <v>0</v>
      </c>
      <c r="K1158" s="5">
        <v>0</v>
      </c>
      <c r="L1158" s="5">
        <v>0</v>
      </c>
      <c r="M1158" s="5">
        <v>0</v>
      </c>
      <c r="N1158" s="7">
        <f t="shared" si="63"/>
        <v>0</v>
      </c>
      <c r="O1158" s="7">
        <v>0</v>
      </c>
      <c r="P1158" s="7">
        <v>0</v>
      </c>
      <c r="Q1158" s="5">
        <v>0</v>
      </c>
      <c r="R1158" s="5">
        <v>0</v>
      </c>
      <c r="S1158" s="7">
        <v>0</v>
      </c>
      <c r="T1158" s="12">
        <v>43301</v>
      </c>
      <c r="U1158" s="4">
        <v>3</v>
      </c>
      <c r="V1158" s="4">
        <v>9</v>
      </c>
      <c r="W1158" s="4">
        <v>9</v>
      </c>
      <c r="X1158" s="45">
        <f t="shared" si="65"/>
        <v>43061.139999999992</v>
      </c>
      <c r="Y1158" s="14" t="s">
        <v>85</v>
      </c>
      <c r="Z1158" s="14" t="s">
        <v>59</v>
      </c>
      <c r="AA1158" s="14">
        <f>IFERROR(VLOOKUP(A1158,'[2]UPDATE BILL 2018'!$B:$P,15,0),IFERROR(VLOOKUP(A1158,'[2]UPDATE BILL 2018'!$C:$P,14,0),IFERROR(VLOOKUP(A1158,'[2]UPDATE BILL 2018'!$D:$P,13,0),IFERROR(VLOOKUP(A1158,'[2]UPDATE BILL 2018'!$E:$P,12,0),IFERROR(VLOOKUP(A1158,'[2]UPDATE BILL 2018'!$F:$P,11,0),IFERROR(VLOOKUP(A1158,'[2]UPDATE BILL 2018'!$G:$P,10,0),IFERROR(VLOOKUP(A1158,'[2]UPDATE BILL 2018'!$H:$P,9,0),IFERROR(VLOOKUP(A1158,'[2]UPDATE BILL 2018'!$I:$P,8,0),VLOOKUP(A1158,'[2]UPDATE BILL 2018'!$B:$P,15,0)))))))))</f>
        <v>350810082926</v>
      </c>
      <c r="AB1158" s="44">
        <f>IFERROR(VLOOKUP(A1158,'[2]UPDATE BILL 2018'!$B:$T,19,0),IFERROR(VLOOKUP(A1158,'[2]UPDATE BILL 2018'!$C:$T,18,0),IFERROR(VLOOKUP(A1158,'[2]UPDATE BILL 2018'!$D:$T,17,0),IFERROR(VLOOKUP(A1158,'[2]UPDATE BILL 2018'!$E:$T,16,0),IFERROR(VLOOKUP(A1158,'[2]UPDATE BILL 2018'!$F:$T,15,0),IFERROR(VLOOKUP(A1158,'[2]UPDATE BILL 2018'!$G:$T,14,0),IFERROR(VLOOKUP(A1158,'[2]UPDATE BILL 2018'!$H:$T,13,0),IFERROR(VLOOKUP(A1158,'[2]UPDATE BILL 2018'!$I:$T,12,0),VLOOKUP(A1158,'[2]UPDATE BILL 2018'!$B:$T,19,0)))))))))</f>
        <v>43306</v>
      </c>
      <c r="AC1158" s="44" t="str">
        <f>IFERROR(VLOOKUP(A1158,'[2]UPDATE BILL 2018'!$B:$V,21,0),IFERROR(VLOOKUP(A1158,'[2]UPDATE BILL 2018'!$C:$V,20,0),IFERROR(VLOOKUP(A1158,'[2]UPDATE BILL 2018'!$D:$V,19,0),IFERROR(VLOOKUP(A1158,'[2]UPDATE BILL 2018'!$E:$V,18,0),IFERROR(VLOOKUP(A1158,'[2]UPDATE BILL 2018'!$F:$V,17,0),IFERROR(VLOOKUP(A1158,'[2]UPDATE BILL 2018'!$G:$V,16,0),IFERROR(VLOOKUP(A1158,'[2]UPDATE BILL 2018'!$H:$V,15,0),IFERROR(VLOOKUP(A1158,'[2]UPDATE BILL 2018'!$I:$V,14,0),VLOOKUP(A1158,'[2]UPDATE BILL 2018'!$B:$V,21,0)))))))))</f>
        <v>MARCARRIER 18013N</v>
      </c>
      <c r="AD1158" s="14" t="s">
        <v>52</v>
      </c>
      <c r="AE1158" s="24" t="s">
        <v>2580</v>
      </c>
      <c r="AF1158" s="25" t="str">
        <f t="shared" si="64"/>
        <v>VQ</v>
      </c>
      <c r="AG1158" t="e">
        <f t="shared" si="51"/>
        <v>#REF!</v>
      </c>
      <c r="AI1158" s="58"/>
    </row>
    <row r="1159" spans="1:35" ht="15.75" customHeight="1">
      <c r="A1159" s="6" t="s">
        <v>2572</v>
      </c>
      <c r="B1159" s="5">
        <v>445</v>
      </c>
      <c r="C1159" s="7">
        <v>28482</v>
      </c>
      <c r="D1159" s="7">
        <f t="shared" ref="D1159:D1201" si="66">E1159+F1159</f>
        <v>0</v>
      </c>
      <c r="E1159" s="7">
        <v>0</v>
      </c>
      <c r="F1159" s="5">
        <v>0</v>
      </c>
      <c r="G1159" s="7">
        <v>0</v>
      </c>
      <c r="H1159" s="5">
        <v>260</v>
      </c>
      <c r="I1159" s="7">
        <v>8745</v>
      </c>
      <c r="J1159" s="7">
        <v>0</v>
      </c>
      <c r="K1159" s="5">
        <v>0</v>
      </c>
      <c r="L1159" s="5">
        <v>0</v>
      </c>
      <c r="M1159" s="5">
        <v>564</v>
      </c>
      <c r="N1159" s="7">
        <f t="shared" ref="N1159:N1201" si="67">M1159-K1159</f>
        <v>564</v>
      </c>
      <c r="O1159" s="7">
        <v>40454.6</v>
      </c>
      <c r="P1159" s="7">
        <v>0</v>
      </c>
      <c r="Q1159" s="5">
        <v>0</v>
      </c>
      <c r="R1159" s="5">
        <v>60</v>
      </c>
      <c r="S1159" s="7">
        <v>2994</v>
      </c>
      <c r="T1159" s="12">
        <v>43301</v>
      </c>
      <c r="U1159" s="4">
        <v>7</v>
      </c>
      <c r="V1159" s="4">
        <v>9</v>
      </c>
      <c r="W1159" s="4">
        <v>9</v>
      </c>
      <c r="X1159" s="45">
        <f t="shared" si="65"/>
        <v>80675.600000000006</v>
      </c>
      <c r="Y1159" s="14" t="s">
        <v>54</v>
      </c>
      <c r="Z1159" s="14" t="s">
        <v>55</v>
      </c>
      <c r="AA1159" s="14" t="str">
        <f>IFERROR(VLOOKUP(A1159,'[2]UPDATE BILL 2018'!$B:$P,15,0),IFERROR(VLOOKUP(A1159,'[2]UPDATE BILL 2018'!$C:$P,14,0),IFERROR(VLOOKUP(A1159,'[2]UPDATE BILL 2018'!$D:$P,13,0),IFERROR(VLOOKUP(A1159,'[2]UPDATE BILL 2018'!$E:$P,12,0),IFERROR(VLOOKUP(A1159,'[2]UPDATE BILL 2018'!$F:$P,11,0),IFERROR(VLOOKUP(A1159,'[2]UPDATE BILL 2018'!$G:$P,10,0),IFERROR(VLOOKUP(A1159,'[2]UPDATE BILL 2018'!$H:$P,9,0),IFERROR(VLOOKUP(A1159,'[2]UPDATE BILL 2018'!$I:$P,8,0),VLOOKUP(A1159,'[2]UPDATE BILL 2018'!$B:$P,15,0)))))))))</f>
        <v>SITWHPOS171863</v>
      </c>
      <c r="AB1159" s="44">
        <f>IFERROR(VLOOKUP(A1159,'[2]UPDATE BILL 2018'!$B:$T,19,0),IFERROR(VLOOKUP(A1159,'[2]UPDATE BILL 2018'!$C:$T,18,0),IFERROR(VLOOKUP(A1159,'[2]UPDATE BILL 2018'!$D:$T,17,0),IFERROR(VLOOKUP(A1159,'[2]UPDATE BILL 2018'!$E:$T,16,0),IFERROR(VLOOKUP(A1159,'[2]UPDATE BILL 2018'!$F:$T,15,0),IFERROR(VLOOKUP(A1159,'[2]UPDATE BILL 2018'!$G:$T,14,0),IFERROR(VLOOKUP(A1159,'[2]UPDATE BILL 2018'!$H:$T,13,0),IFERROR(VLOOKUP(A1159,'[2]UPDATE BILL 2018'!$I:$T,12,0),VLOOKUP(A1159,'[2]UPDATE BILL 2018'!$B:$T,19,0)))))))))</f>
        <v>43303</v>
      </c>
      <c r="AC1159" s="44" t="str">
        <f>IFERROR(VLOOKUP(A1159,'[2]UPDATE BILL 2018'!$B:$V,21,0),IFERROR(VLOOKUP(A1159,'[2]UPDATE BILL 2018'!$C:$V,20,0),IFERROR(VLOOKUP(A1159,'[2]UPDATE BILL 2018'!$D:$V,19,0),IFERROR(VLOOKUP(A1159,'[2]UPDATE BILL 2018'!$E:$V,18,0),IFERROR(VLOOKUP(A1159,'[2]UPDATE BILL 2018'!$F:$V,17,0),IFERROR(VLOOKUP(A1159,'[2]UPDATE BILL 2018'!$G:$V,16,0),IFERROR(VLOOKUP(A1159,'[2]UPDATE BILL 2018'!$H:$V,15,0),IFERROR(VLOOKUP(A1159,'[2]UPDATE BILL 2018'!$I:$V,14,0),VLOOKUP(A1159,'[2]UPDATE BILL 2018'!$B:$V,21,0)))))))))</f>
        <v>SITC WEIHAI 1817N</v>
      </c>
      <c r="AD1159" s="14" t="s">
        <v>51</v>
      </c>
      <c r="AE1159" s="24" t="s">
        <v>2581</v>
      </c>
      <c r="AF1159" s="25" t="str">
        <f t="shared" ref="AF1159:AF1198" si="68">+LEFT(AE1159,2)</f>
        <v>VS</v>
      </c>
      <c r="AG1159" t="e">
        <f t="shared" si="51"/>
        <v>#REF!</v>
      </c>
      <c r="AI1159" s="58"/>
    </row>
    <row r="1160" spans="1:35" ht="15.75" customHeight="1">
      <c r="A1160" s="6" t="s">
        <v>2573</v>
      </c>
      <c r="B1160" s="5">
        <v>253</v>
      </c>
      <c r="C1160" s="7">
        <v>39190.44</v>
      </c>
      <c r="D1160" s="7">
        <f t="shared" si="66"/>
        <v>0</v>
      </c>
      <c r="E1160" s="7">
        <v>0</v>
      </c>
      <c r="F1160" s="5">
        <v>0</v>
      </c>
      <c r="G1160" s="7">
        <v>0</v>
      </c>
      <c r="H1160" s="5">
        <v>0</v>
      </c>
      <c r="I1160" s="7">
        <v>0</v>
      </c>
      <c r="J1160" s="7">
        <v>0</v>
      </c>
      <c r="K1160" s="5">
        <v>0</v>
      </c>
      <c r="L1160" s="5">
        <v>0</v>
      </c>
      <c r="M1160" s="5">
        <v>0</v>
      </c>
      <c r="N1160" s="7">
        <f t="shared" si="67"/>
        <v>0</v>
      </c>
      <c r="O1160" s="7">
        <v>0</v>
      </c>
      <c r="P1160" s="7">
        <v>0</v>
      </c>
      <c r="Q1160" s="5">
        <v>0</v>
      </c>
      <c r="R1160" s="5">
        <v>0</v>
      </c>
      <c r="S1160" s="7">
        <v>0</v>
      </c>
      <c r="T1160" s="12">
        <v>43301</v>
      </c>
      <c r="U1160" s="4">
        <v>3</v>
      </c>
      <c r="V1160" s="4">
        <v>9</v>
      </c>
      <c r="W1160" s="4">
        <v>9</v>
      </c>
      <c r="X1160" s="45">
        <f t="shared" ref="X1160:X1201" si="69">+C1160+G1160+I1160+O1160+S1160</f>
        <v>39190.44</v>
      </c>
      <c r="Y1160" s="14" t="s">
        <v>56</v>
      </c>
      <c r="Z1160" s="14" t="s">
        <v>1281</v>
      </c>
      <c r="AA1160" s="14" t="str">
        <f>IFERROR(VLOOKUP(A1160,'[2]UPDATE BILL 2018'!$B:$P,15,0),IFERROR(VLOOKUP(A1160,'[2]UPDATE BILL 2018'!$C:$P,14,0),IFERROR(VLOOKUP(A1160,'[2]UPDATE BILL 2018'!$D:$P,13,0),IFERROR(VLOOKUP(A1160,'[2]UPDATE BILL 2018'!$E:$P,12,0),IFERROR(VLOOKUP(A1160,'[2]UPDATE BILL 2018'!$F:$P,11,0),IFERROR(VLOOKUP(A1160,'[2]UPDATE BILL 2018'!$G:$P,10,0),IFERROR(VLOOKUP(A1160,'[2]UPDATE BILL 2018'!$H:$P,9,0),IFERROR(VLOOKUP(A1160,'[2]UPDATE BILL 2018'!$I:$P,8,0),VLOOKUP(A1160,'[2]UPDATE BILL 2018'!$B:$P,15,0)))))))))</f>
        <v>1008X03736</v>
      </c>
      <c r="AB1160" s="44">
        <f>IFERROR(VLOOKUP(A1160,'[2]UPDATE BILL 2018'!$B:$T,19,0),IFERROR(VLOOKUP(A1160,'[2]UPDATE BILL 2018'!$C:$T,18,0),IFERROR(VLOOKUP(A1160,'[2]UPDATE BILL 2018'!$D:$T,17,0),IFERROR(VLOOKUP(A1160,'[2]UPDATE BILL 2018'!$E:$T,16,0),IFERROR(VLOOKUP(A1160,'[2]UPDATE BILL 2018'!$F:$T,15,0),IFERROR(VLOOKUP(A1160,'[2]UPDATE BILL 2018'!$G:$T,14,0),IFERROR(VLOOKUP(A1160,'[2]UPDATE BILL 2018'!$H:$T,13,0),IFERROR(VLOOKUP(A1160,'[2]UPDATE BILL 2018'!$I:$T,12,0),VLOOKUP(A1160,'[2]UPDATE BILL 2018'!$B:$T,19,0)))))))))</f>
        <v>43306</v>
      </c>
      <c r="AC1160" s="44" t="str">
        <f>IFERROR(VLOOKUP(A1160,'[2]UPDATE BILL 2018'!$B:$V,21,0),IFERROR(VLOOKUP(A1160,'[2]UPDATE BILL 2018'!$C:$V,20,0),IFERROR(VLOOKUP(A1160,'[2]UPDATE BILL 2018'!$D:$V,19,0),IFERROR(VLOOKUP(A1160,'[2]UPDATE BILL 2018'!$E:$V,18,0),IFERROR(VLOOKUP(A1160,'[2]UPDATE BILL 2018'!$F:$V,17,0),IFERROR(VLOOKUP(A1160,'[2]UPDATE BILL 2018'!$G:$V,16,0),IFERROR(VLOOKUP(A1160,'[2]UPDATE BILL 2018'!$H:$V,15,0),IFERROR(VLOOKUP(A1160,'[2]UPDATE BILL 2018'!$I:$V,14,0),VLOOKUP(A1160,'[2]UPDATE BILL 2018'!$B:$V,21,0)))))))))</f>
        <v>AS FIONA N007</v>
      </c>
      <c r="AD1160" s="14" t="s">
        <v>51</v>
      </c>
      <c r="AE1160" s="24" t="s">
        <v>2582</v>
      </c>
      <c r="AF1160" s="25" t="str">
        <f t="shared" si="68"/>
        <v>VS</v>
      </c>
      <c r="AG1160" t="e">
        <f t="shared" si="51"/>
        <v>#REF!</v>
      </c>
      <c r="AI1160" s="58"/>
    </row>
    <row r="1161" spans="1:35" ht="15.75" customHeight="1">
      <c r="A1161" s="6" t="s">
        <v>2574</v>
      </c>
      <c r="B1161" s="5">
        <v>592</v>
      </c>
      <c r="C1161" s="7">
        <v>69417.88</v>
      </c>
      <c r="D1161" s="7">
        <f t="shared" si="66"/>
        <v>0</v>
      </c>
      <c r="E1161" s="7">
        <v>0</v>
      </c>
      <c r="F1161" s="5">
        <v>0</v>
      </c>
      <c r="G1161" s="7">
        <v>0</v>
      </c>
      <c r="H1161" s="5">
        <v>428</v>
      </c>
      <c r="I1161" s="7">
        <v>53740.800000000003</v>
      </c>
      <c r="J1161" s="7">
        <v>0</v>
      </c>
      <c r="K1161" s="5">
        <v>0</v>
      </c>
      <c r="L1161" s="5">
        <v>0</v>
      </c>
      <c r="M1161" s="5">
        <v>0</v>
      </c>
      <c r="N1161" s="7">
        <f t="shared" si="67"/>
        <v>0</v>
      </c>
      <c r="O1161" s="7">
        <v>0</v>
      </c>
      <c r="P1161" s="7">
        <v>0</v>
      </c>
      <c r="Q1161" s="5">
        <v>0</v>
      </c>
      <c r="R1161" s="5">
        <v>0</v>
      </c>
      <c r="S1161" s="7">
        <v>0</v>
      </c>
      <c r="T1161" s="12">
        <v>43301</v>
      </c>
      <c r="U1161" s="4">
        <v>10</v>
      </c>
      <c r="V1161" s="4">
        <v>9</v>
      </c>
      <c r="W1161" s="4">
        <v>9</v>
      </c>
      <c r="X1161" s="45">
        <f t="shared" si="69"/>
        <v>123158.68000000001</v>
      </c>
      <c r="Y1161" s="14" t="s">
        <v>56</v>
      </c>
      <c r="Z1161" s="14" t="s">
        <v>59</v>
      </c>
      <c r="AA1161" s="14" t="str">
        <f>IFERROR(VLOOKUP(A1161,'[2]UPDATE BILL 2018'!$B:$P,15,0),IFERROR(VLOOKUP(A1161,'[2]UPDATE BILL 2018'!$C:$P,14,0),IFERROR(VLOOKUP(A1161,'[2]UPDATE BILL 2018'!$D:$P,13,0),IFERROR(VLOOKUP(A1161,'[2]UPDATE BILL 2018'!$E:$P,12,0),IFERROR(VLOOKUP(A1161,'[2]UPDATE BILL 2018'!$F:$P,11,0),IFERROR(VLOOKUP(A1161,'[2]UPDATE BILL 2018'!$G:$P,10,0),IFERROR(VLOOKUP(A1161,'[2]UPDATE BILL 2018'!$H:$P,9,0),IFERROR(VLOOKUP(A1161,'[2]UPDATE BILL 2018'!$I:$P,8,0),VLOOKUP(A1161,'[2]UPDATE BILL 2018'!$B:$P,15,0)))))))))</f>
        <v>1008X03907</v>
      </c>
      <c r="AB1161" s="44">
        <f>IFERROR(VLOOKUP(A1161,'[2]UPDATE BILL 2018'!$B:$T,19,0),IFERROR(VLOOKUP(A1161,'[2]UPDATE BILL 2018'!$C:$T,18,0),IFERROR(VLOOKUP(A1161,'[2]UPDATE BILL 2018'!$D:$T,17,0),IFERROR(VLOOKUP(A1161,'[2]UPDATE BILL 2018'!$E:$T,16,0),IFERROR(VLOOKUP(A1161,'[2]UPDATE BILL 2018'!$F:$T,15,0),IFERROR(VLOOKUP(A1161,'[2]UPDATE BILL 2018'!$G:$T,14,0),IFERROR(VLOOKUP(A1161,'[2]UPDATE BILL 2018'!$H:$T,13,0),IFERROR(VLOOKUP(A1161,'[2]UPDATE BILL 2018'!$I:$T,12,0),VLOOKUP(A1161,'[2]UPDATE BILL 2018'!$B:$T,19,0)))))))))</f>
        <v>43313</v>
      </c>
      <c r="AC1161" s="44" t="str">
        <f>IFERROR(VLOOKUP(A1161,'[2]UPDATE BILL 2018'!$B:$V,21,0),IFERROR(VLOOKUP(A1161,'[2]UPDATE BILL 2018'!$C:$V,20,0),IFERROR(VLOOKUP(A1161,'[2]UPDATE BILL 2018'!$D:$V,19,0),IFERROR(VLOOKUP(A1161,'[2]UPDATE BILL 2018'!$E:$V,18,0),IFERROR(VLOOKUP(A1161,'[2]UPDATE BILL 2018'!$F:$V,17,0),IFERROR(VLOOKUP(A1161,'[2]UPDATE BILL 2018'!$G:$V,16,0),IFERROR(VLOOKUP(A1161,'[2]UPDATE BILL 2018'!$H:$V,15,0),IFERROR(VLOOKUP(A1161,'[2]UPDATE BILL 2018'!$I:$V,14,0),VLOOKUP(A1161,'[2]UPDATE BILL 2018'!$B:$V,21,0)))))))))</f>
        <v>AS RAFAELA N001</v>
      </c>
      <c r="AD1161" s="14" t="s">
        <v>51</v>
      </c>
      <c r="AE1161" s="24" t="s">
        <v>2583</v>
      </c>
      <c r="AF1161" s="25" t="str">
        <f t="shared" si="68"/>
        <v>VS</v>
      </c>
      <c r="AG1161" t="e">
        <f t="shared" si="51"/>
        <v>#REF!</v>
      </c>
      <c r="AI1161" s="58"/>
    </row>
    <row r="1162" spans="1:35" ht="15.75" customHeight="1">
      <c r="A1162" s="6" t="s">
        <v>2575</v>
      </c>
      <c r="B1162" s="5">
        <v>262</v>
      </c>
      <c r="C1162" s="7">
        <v>19053.18</v>
      </c>
      <c r="D1162" s="7">
        <f t="shared" si="66"/>
        <v>0</v>
      </c>
      <c r="E1162" s="7">
        <v>0</v>
      </c>
      <c r="F1162" s="5">
        <v>0</v>
      </c>
      <c r="G1162" s="7">
        <v>0</v>
      </c>
      <c r="H1162" s="5">
        <v>180</v>
      </c>
      <c r="I1162" s="7">
        <v>7314</v>
      </c>
      <c r="J1162" s="7">
        <v>0</v>
      </c>
      <c r="K1162" s="5">
        <v>0</v>
      </c>
      <c r="L1162" s="5">
        <v>0</v>
      </c>
      <c r="M1162" s="5">
        <v>183</v>
      </c>
      <c r="N1162" s="7">
        <f t="shared" ref="N1162" si="70">M1162-K1162</f>
        <v>183</v>
      </c>
      <c r="O1162" s="7">
        <v>21468.300000000003</v>
      </c>
      <c r="P1162" s="7">
        <v>0</v>
      </c>
      <c r="Q1162" s="5">
        <v>0</v>
      </c>
      <c r="R1162" s="5">
        <v>60</v>
      </c>
      <c r="S1162" s="7">
        <v>3013.7999999999997</v>
      </c>
      <c r="T1162" s="12">
        <v>43301</v>
      </c>
      <c r="U1162" s="4">
        <v>4</v>
      </c>
      <c r="V1162" s="4">
        <v>9</v>
      </c>
      <c r="W1162" s="4">
        <v>9</v>
      </c>
      <c r="X1162" s="45">
        <f t="shared" si="69"/>
        <v>50849.280000000006</v>
      </c>
      <c r="Y1162" s="14" t="s">
        <v>54</v>
      </c>
      <c r="Z1162" s="14" t="s">
        <v>730</v>
      </c>
      <c r="AA1162" s="14" t="str">
        <f>IFERROR(VLOOKUP(A1162,'[2]UPDATE BILL 2018'!$B:$P,15,0),IFERROR(VLOOKUP(A1162,'[2]UPDATE BILL 2018'!$C:$P,14,0),IFERROR(VLOOKUP(A1162,'[2]UPDATE BILL 2018'!$D:$P,13,0),IFERROR(VLOOKUP(A1162,'[2]UPDATE BILL 2018'!$E:$P,12,0),IFERROR(VLOOKUP(A1162,'[2]UPDATE BILL 2018'!$F:$P,11,0),IFERROR(VLOOKUP(A1162,'[2]UPDATE BILL 2018'!$G:$P,10,0),IFERROR(VLOOKUP(A1162,'[2]UPDATE BILL 2018'!$H:$P,9,0),IFERROR(VLOOKUP(A1162,'[2]UPDATE BILL 2018'!$I:$P,8,0),VLOOKUP(A1162,'[2]UPDATE BILL 2018'!$B:$P,15,0)))))))))</f>
        <v>SITWHPKW172471</v>
      </c>
      <c r="AB1162" s="44">
        <f>IFERROR(VLOOKUP(A1162,'[2]UPDATE BILL 2018'!$B:$T,19,0),IFERROR(VLOOKUP(A1162,'[2]UPDATE BILL 2018'!$C:$T,18,0),IFERROR(VLOOKUP(A1162,'[2]UPDATE BILL 2018'!$D:$T,17,0),IFERROR(VLOOKUP(A1162,'[2]UPDATE BILL 2018'!$E:$T,16,0),IFERROR(VLOOKUP(A1162,'[2]UPDATE BILL 2018'!$F:$T,15,0),IFERROR(VLOOKUP(A1162,'[2]UPDATE BILL 2018'!$G:$T,14,0),IFERROR(VLOOKUP(A1162,'[2]UPDATE BILL 2018'!$H:$T,13,0),IFERROR(VLOOKUP(A1162,'[2]UPDATE BILL 2018'!$I:$T,12,0),VLOOKUP(A1162,'[2]UPDATE BILL 2018'!$B:$T,19,0)))))))))</f>
        <v>43303</v>
      </c>
      <c r="AC1162" s="44" t="str">
        <f>IFERROR(VLOOKUP(A1162,'[2]UPDATE BILL 2018'!$B:$V,21,0),IFERROR(VLOOKUP(A1162,'[2]UPDATE BILL 2018'!$C:$V,20,0),IFERROR(VLOOKUP(A1162,'[2]UPDATE BILL 2018'!$D:$V,19,0),IFERROR(VLOOKUP(A1162,'[2]UPDATE BILL 2018'!$E:$V,18,0),IFERROR(VLOOKUP(A1162,'[2]UPDATE BILL 2018'!$F:$V,17,0),IFERROR(VLOOKUP(A1162,'[2]UPDATE BILL 2018'!$G:$V,16,0),IFERROR(VLOOKUP(A1162,'[2]UPDATE BILL 2018'!$H:$V,15,0),IFERROR(VLOOKUP(A1162,'[2]UPDATE BILL 2018'!$I:$V,14,0),VLOOKUP(A1162,'[2]UPDATE BILL 2018'!$B:$V,21,0)))))))))</f>
        <v>AVRA C 1821N</v>
      </c>
      <c r="AD1162" s="14" t="s">
        <v>50</v>
      </c>
      <c r="AE1162" s="24" t="s">
        <v>2584</v>
      </c>
      <c r="AF1162" s="25" t="str">
        <f t="shared" si="68"/>
        <v>VW</v>
      </c>
      <c r="AG1162" t="e">
        <f t="shared" si="51"/>
        <v>#REF!</v>
      </c>
      <c r="AI1162" s="58"/>
    </row>
    <row r="1163" spans="1:35" ht="15.75" customHeight="1">
      <c r="A1163" s="6" t="s">
        <v>2576</v>
      </c>
      <c r="B1163" s="5">
        <v>464</v>
      </c>
      <c r="C1163" s="7">
        <v>58349.88</v>
      </c>
      <c r="D1163" s="7">
        <f t="shared" si="66"/>
        <v>0</v>
      </c>
      <c r="E1163" s="7">
        <v>0</v>
      </c>
      <c r="F1163" s="5">
        <v>0</v>
      </c>
      <c r="G1163" s="7">
        <v>0</v>
      </c>
      <c r="H1163" s="5">
        <v>0</v>
      </c>
      <c r="I1163" s="7">
        <v>0</v>
      </c>
      <c r="J1163" s="7">
        <v>0</v>
      </c>
      <c r="K1163" s="5">
        <v>0</v>
      </c>
      <c r="L1163" s="5">
        <v>0</v>
      </c>
      <c r="M1163" s="5">
        <v>50</v>
      </c>
      <c r="N1163" s="7">
        <f t="shared" si="67"/>
        <v>50</v>
      </c>
      <c r="O1163" s="7">
        <v>8272.7000000000007</v>
      </c>
      <c r="P1163" s="7">
        <v>0</v>
      </c>
      <c r="Q1163" s="5">
        <v>0</v>
      </c>
      <c r="R1163" s="5">
        <v>0</v>
      </c>
      <c r="S1163" s="7">
        <v>0</v>
      </c>
      <c r="T1163" s="12">
        <v>43301</v>
      </c>
      <c r="U1163" s="4">
        <v>6</v>
      </c>
      <c r="V1163" s="4">
        <v>9</v>
      </c>
      <c r="W1163" s="4">
        <v>9</v>
      </c>
      <c r="X1163" s="45">
        <f t="shared" si="69"/>
        <v>66622.58</v>
      </c>
      <c r="Y1163" s="14" t="s">
        <v>54</v>
      </c>
      <c r="Z1163" s="14" t="s">
        <v>2525</v>
      </c>
      <c r="AA1163" s="14" t="str">
        <f>IFERROR(VLOOKUP(A1163,'[2]UPDATE BILL 2018'!$B:$P,15,0),IFERROR(VLOOKUP(A1163,'[2]UPDATE BILL 2018'!$C:$P,14,0),IFERROR(VLOOKUP(A1163,'[2]UPDATE BILL 2018'!$D:$P,13,0),IFERROR(VLOOKUP(A1163,'[2]UPDATE BILL 2018'!$E:$P,12,0),IFERROR(VLOOKUP(A1163,'[2]UPDATE BILL 2018'!$F:$P,11,0),IFERROR(VLOOKUP(A1163,'[2]UPDATE BILL 2018'!$G:$P,10,0),IFERROR(VLOOKUP(A1163,'[2]UPDATE BILL 2018'!$H:$P,9,0),IFERROR(VLOOKUP(A1163,'[2]UPDATE BILL 2018'!$I:$P,8,0),VLOOKUP(A1163,'[2]UPDATE BILL 2018'!$B:$P,15,0)))))))))</f>
        <v>SITWHPKW172470</v>
      </c>
      <c r="AB1163" s="44">
        <f>IFERROR(VLOOKUP(A1163,'[2]UPDATE BILL 2018'!$B:$T,19,0),IFERROR(VLOOKUP(A1163,'[2]UPDATE BILL 2018'!$C:$T,18,0),IFERROR(VLOOKUP(A1163,'[2]UPDATE BILL 2018'!$D:$T,17,0),IFERROR(VLOOKUP(A1163,'[2]UPDATE BILL 2018'!$E:$T,16,0),IFERROR(VLOOKUP(A1163,'[2]UPDATE BILL 2018'!$F:$T,15,0),IFERROR(VLOOKUP(A1163,'[2]UPDATE BILL 2018'!$G:$T,14,0),IFERROR(VLOOKUP(A1163,'[2]UPDATE BILL 2018'!$H:$T,13,0),IFERROR(VLOOKUP(A1163,'[2]UPDATE BILL 2018'!$I:$T,12,0),VLOOKUP(A1163,'[2]UPDATE BILL 2018'!$B:$T,19,0)))))))))</f>
        <v>43307</v>
      </c>
      <c r="AC1163" s="44" t="str">
        <f>IFERROR(VLOOKUP(A1163,'[2]UPDATE BILL 2018'!$B:$V,21,0),IFERROR(VLOOKUP(A1163,'[2]UPDATE BILL 2018'!$C:$V,20,0),IFERROR(VLOOKUP(A1163,'[2]UPDATE BILL 2018'!$D:$V,19,0),IFERROR(VLOOKUP(A1163,'[2]UPDATE BILL 2018'!$E:$V,18,0),IFERROR(VLOOKUP(A1163,'[2]UPDATE BILL 2018'!$F:$V,17,0),IFERROR(VLOOKUP(A1163,'[2]UPDATE BILL 2018'!$G:$V,16,0),IFERROR(VLOOKUP(A1163,'[2]UPDATE BILL 2018'!$H:$V,15,0),IFERROR(VLOOKUP(A1163,'[2]UPDATE BILL 2018'!$I:$V,14,0),VLOOKUP(A1163,'[2]UPDATE BILL 2018'!$B:$V,21,0)))))))))</f>
        <v>SITC NAGOYA 1821N</v>
      </c>
      <c r="AD1163" s="14" t="s">
        <v>50</v>
      </c>
      <c r="AE1163" s="24" t="s">
        <v>2585</v>
      </c>
      <c r="AF1163" s="25" t="str">
        <f t="shared" si="68"/>
        <v>VW</v>
      </c>
      <c r="AG1163" t="e">
        <f t="shared" si="51"/>
        <v>#REF!</v>
      </c>
      <c r="AI1163" s="58"/>
    </row>
    <row r="1164" spans="1:35" ht="15.75" customHeight="1">
      <c r="A1164" s="6" t="s">
        <v>2586</v>
      </c>
      <c r="B1164" s="5">
        <v>346</v>
      </c>
      <c r="C1164" s="7">
        <v>23124.3</v>
      </c>
      <c r="D1164" s="7">
        <f t="shared" si="66"/>
        <v>0</v>
      </c>
      <c r="E1164" s="7">
        <v>0</v>
      </c>
      <c r="F1164" s="5">
        <v>0</v>
      </c>
      <c r="G1164" s="7">
        <v>0</v>
      </c>
      <c r="H1164" s="5">
        <v>394</v>
      </c>
      <c r="I1164" s="7">
        <v>32590.19</v>
      </c>
      <c r="J1164" s="7">
        <v>0</v>
      </c>
      <c r="K1164" s="5">
        <v>0</v>
      </c>
      <c r="L1164" s="5">
        <v>0</v>
      </c>
      <c r="M1164" s="5">
        <v>50</v>
      </c>
      <c r="N1164" s="7">
        <f t="shared" si="67"/>
        <v>50</v>
      </c>
      <c r="O1164" s="7">
        <v>905.00000000000011</v>
      </c>
      <c r="P1164" s="7">
        <v>0</v>
      </c>
      <c r="Q1164" s="5">
        <v>0</v>
      </c>
      <c r="R1164" s="5">
        <v>50</v>
      </c>
      <c r="S1164" s="7">
        <v>2511.5</v>
      </c>
      <c r="T1164" s="12">
        <v>43302</v>
      </c>
      <c r="U1164" s="4">
        <v>4</v>
      </c>
      <c r="V1164" s="4">
        <v>9</v>
      </c>
      <c r="W1164" s="4">
        <v>9</v>
      </c>
      <c r="X1164" s="45">
        <f t="shared" si="69"/>
        <v>59130.99</v>
      </c>
      <c r="Y1164" s="14" t="s">
        <v>54</v>
      </c>
      <c r="Z1164" s="14" t="s">
        <v>55</v>
      </c>
      <c r="AA1164" s="14" t="str">
        <f>IFERROR(VLOOKUP(A1164,'[2]UPDATE BILL 2018'!$B:$P,15,0),IFERROR(VLOOKUP(A1164,'[2]UPDATE BILL 2018'!$C:$P,14,0),IFERROR(VLOOKUP(A1164,'[2]UPDATE BILL 2018'!$D:$P,13,0),IFERROR(VLOOKUP(A1164,'[2]UPDATE BILL 2018'!$E:$P,12,0),IFERROR(VLOOKUP(A1164,'[2]UPDATE BILL 2018'!$F:$P,11,0),IFERROR(VLOOKUP(A1164,'[2]UPDATE BILL 2018'!$G:$P,10,0),IFERROR(VLOOKUP(A1164,'[2]UPDATE BILL 2018'!$H:$P,9,0),IFERROR(VLOOKUP(A1164,'[2]UPDATE BILL 2018'!$I:$P,8,0),VLOOKUP(A1164,'[2]UPDATE BILL 2018'!$B:$P,15,0)))))))))</f>
        <v>SITWHPOS171863</v>
      </c>
      <c r="AB1164" s="44">
        <f>IFERROR(VLOOKUP(A1164,'[2]UPDATE BILL 2018'!$B:$T,19,0),IFERROR(VLOOKUP(A1164,'[2]UPDATE BILL 2018'!$C:$T,18,0),IFERROR(VLOOKUP(A1164,'[2]UPDATE BILL 2018'!$D:$T,17,0),IFERROR(VLOOKUP(A1164,'[2]UPDATE BILL 2018'!$E:$T,16,0),IFERROR(VLOOKUP(A1164,'[2]UPDATE BILL 2018'!$F:$T,15,0),IFERROR(VLOOKUP(A1164,'[2]UPDATE BILL 2018'!$G:$T,14,0),IFERROR(VLOOKUP(A1164,'[2]UPDATE BILL 2018'!$H:$T,13,0),IFERROR(VLOOKUP(A1164,'[2]UPDATE BILL 2018'!$I:$T,12,0),VLOOKUP(A1164,'[2]UPDATE BILL 2018'!$B:$T,19,0)))))))))</f>
        <v>43303</v>
      </c>
      <c r="AC1164" s="44" t="str">
        <f>IFERROR(VLOOKUP(A1164,'[2]UPDATE BILL 2018'!$B:$V,21,0),IFERROR(VLOOKUP(A1164,'[2]UPDATE BILL 2018'!$C:$V,20,0),IFERROR(VLOOKUP(A1164,'[2]UPDATE BILL 2018'!$D:$V,19,0),IFERROR(VLOOKUP(A1164,'[2]UPDATE BILL 2018'!$E:$V,18,0),IFERROR(VLOOKUP(A1164,'[2]UPDATE BILL 2018'!$F:$V,17,0),IFERROR(VLOOKUP(A1164,'[2]UPDATE BILL 2018'!$G:$V,16,0),IFERROR(VLOOKUP(A1164,'[2]UPDATE BILL 2018'!$H:$V,15,0),IFERROR(VLOOKUP(A1164,'[2]UPDATE BILL 2018'!$I:$V,14,0),VLOOKUP(A1164,'[2]UPDATE BILL 2018'!$B:$V,21,0)))))))))</f>
        <v>SITC WEIHAI 1817N</v>
      </c>
      <c r="AD1164" s="14" t="s">
        <v>51</v>
      </c>
      <c r="AE1164" s="24" t="s">
        <v>2588</v>
      </c>
      <c r="AF1164" s="25" t="str">
        <f t="shared" si="68"/>
        <v>VS</v>
      </c>
      <c r="AG1164" t="e">
        <f t="shared" si="51"/>
        <v>#REF!</v>
      </c>
      <c r="AI1164" s="58"/>
    </row>
    <row r="1165" spans="1:35" ht="15.75" customHeight="1">
      <c r="A1165" s="6" t="s">
        <v>2587</v>
      </c>
      <c r="B1165" s="5">
        <v>101</v>
      </c>
      <c r="C1165" s="7">
        <v>7413.1</v>
      </c>
      <c r="D1165" s="7">
        <f t="shared" si="66"/>
        <v>0</v>
      </c>
      <c r="E1165" s="7">
        <v>0</v>
      </c>
      <c r="F1165" s="5">
        <v>0</v>
      </c>
      <c r="G1165" s="7">
        <v>0</v>
      </c>
      <c r="H1165" s="5">
        <v>345</v>
      </c>
      <c r="I1165" s="7">
        <v>42205.38</v>
      </c>
      <c r="J1165" s="7">
        <v>0</v>
      </c>
      <c r="K1165" s="5">
        <v>0</v>
      </c>
      <c r="L1165" s="5">
        <v>0</v>
      </c>
      <c r="M1165" s="5">
        <v>22</v>
      </c>
      <c r="N1165" s="7">
        <f t="shared" si="67"/>
        <v>22</v>
      </c>
      <c r="O1165" s="7">
        <v>1842.6</v>
      </c>
      <c r="P1165" s="7">
        <v>0</v>
      </c>
      <c r="Q1165" s="5">
        <v>0</v>
      </c>
      <c r="R1165" s="5">
        <v>0</v>
      </c>
      <c r="S1165" s="7">
        <v>0</v>
      </c>
      <c r="T1165" s="12">
        <v>43302</v>
      </c>
      <c r="U1165" s="4">
        <v>4</v>
      </c>
      <c r="V1165" s="4">
        <v>9</v>
      </c>
      <c r="W1165" s="4">
        <v>9</v>
      </c>
      <c r="X1165" s="45">
        <f t="shared" si="69"/>
        <v>51461.079999999994</v>
      </c>
      <c r="Y1165" s="14" t="s">
        <v>54</v>
      </c>
      <c r="Z1165" s="14" t="s">
        <v>57</v>
      </c>
      <c r="AA1165" s="14" t="str">
        <f>IFERROR(VLOOKUP(A1165,'[2]UPDATE BILL 2018'!$B:$P,15,0),IFERROR(VLOOKUP(A1165,'[2]UPDATE BILL 2018'!$C:$P,14,0),IFERROR(VLOOKUP(A1165,'[2]UPDATE BILL 2018'!$D:$P,13,0),IFERROR(VLOOKUP(A1165,'[2]UPDATE BILL 2018'!$E:$P,12,0),IFERROR(VLOOKUP(A1165,'[2]UPDATE BILL 2018'!$F:$P,11,0),IFERROR(VLOOKUP(A1165,'[2]UPDATE BILL 2018'!$G:$P,10,0),IFERROR(VLOOKUP(A1165,'[2]UPDATE BILL 2018'!$H:$P,9,0),IFERROR(VLOOKUP(A1165,'[2]UPDATE BILL 2018'!$I:$P,8,0),VLOOKUP(A1165,'[2]UPDATE BILL 2018'!$B:$P,15,0)))))))))</f>
        <v>SITWHPTK171860</v>
      </c>
      <c r="AB1165" s="44">
        <f>IFERROR(VLOOKUP(A1165,'[2]UPDATE BILL 2018'!$B:$T,19,0),IFERROR(VLOOKUP(A1165,'[2]UPDATE BILL 2018'!$C:$T,18,0),IFERROR(VLOOKUP(A1165,'[2]UPDATE BILL 2018'!$D:$T,17,0),IFERROR(VLOOKUP(A1165,'[2]UPDATE BILL 2018'!$E:$T,16,0),IFERROR(VLOOKUP(A1165,'[2]UPDATE BILL 2018'!$F:$T,15,0),IFERROR(VLOOKUP(A1165,'[2]UPDATE BILL 2018'!$G:$T,14,0),IFERROR(VLOOKUP(A1165,'[2]UPDATE BILL 2018'!$H:$T,13,0),IFERROR(VLOOKUP(A1165,'[2]UPDATE BILL 2018'!$I:$T,12,0),VLOOKUP(A1165,'[2]UPDATE BILL 2018'!$B:$T,19,0)))))))))</f>
        <v>43303</v>
      </c>
      <c r="AC1165" s="44" t="str">
        <f>IFERROR(VLOOKUP(A1165,'[2]UPDATE BILL 2018'!$B:$V,21,0),IFERROR(VLOOKUP(A1165,'[2]UPDATE BILL 2018'!$C:$V,20,0),IFERROR(VLOOKUP(A1165,'[2]UPDATE BILL 2018'!$D:$V,19,0),IFERROR(VLOOKUP(A1165,'[2]UPDATE BILL 2018'!$E:$V,18,0),IFERROR(VLOOKUP(A1165,'[2]UPDATE BILL 2018'!$F:$V,17,0),IFERROR(VLOOKUP(A1165,'[2]UPDATE BILL 2018'!$G:$V,16,0),IFERROR(VLOOKUP(A1165,'[2]UPDATE BILL 2018'!$H:$V,15,0),IFERROR(VLOOKUP(A1165,'[2]UPDATE BILL 2018'!$I:$V,14,0),VLOOKUP(A1165,'[2]UPDATE BILL 2018'!$B:$V,21,0)))))))))</f>
        <v>AVRA C 1821N</v>
      </c>
      <c r="AD1165" s="14" t="s">
        <v>49</v>
      </c>
      <c r="AE1165" s="24" t="s">
        <v>2589</v>
      </c>
      <c r="AF1165" s="25" t="str">
        <f t="shared" si="68"/>
        <v>VK</v>
      </c>
      <c r="AG1165" t="e">
        <f t="shared" si="51"/>
        <v>#REF!</v>
      </c>
      <c r="AI1165" s="58"/>
    </row>
    <row r="1166" spans="1:35" ht="15.75" customHeight="1">
      <c r="A1166" s="6" t="s">
        <v>2591</v>
      </c>
      <c r="B1166" s="5">
        <v>230</v>
      </c>
      <c r="C1166" s="7">
        <v>15529.5</v>
      </c>
      <c r="D1166" s="7">
        <f t="shared" si="66"/>
        <v>0</v>
      </c>
      <c r="E1166" s="7">
        <v>0</v>
      </c>
      <c r="F1166" s="5">
        <v>0</v>
      </c>
      <c r="G1166" s="7">
        <v>0</v>
      </c>
      <c r="H1166" s="5">
        <v>536</v>
      </c>
      <c r="I1166" s="7">
        <v>67970.84</v>
      </c>
      <c r="J1166" s="7">
        <v>0</v>
      </c>
      <c r="K1166" s="5">
        <v>0</v>
      </c>
      <c r="L1166" s="5">
        <v>0</v>
      </c>
      <c r="M1166" s="5">
        <v>0</v>
      </c>
      <c r="N1166" s="7">
        <f t="shared" si="67"/>
        <v>0</v>
      </c>
      <c r="O1166" s="7">
        <v>0</v>
      </c>
      <c r="P1166" s="7">
        <v>0</v>
      </c>
      <c r="Q1166" s="5">
        <v>0</v>
      </c>
      <c r="R1166" s="5">
        <v>0</v>
      </c>
      <c r="S1166" s="7">
        <v>0</v>
      </c>
      <c r="T1166" s="12">
        <v>43302</v>
      </c>
      <c r="U1166" s="4">
        <v>6</v>
      </c>
      <c r="V1166" s="4">
        <v>9</v>
      </c>
      <c r="W1166" s="4">
        <v>9</v>
      </c>
      <c r="X1166" s="45">
        <f t="shared" si="69"/>
        <v>83500.34</v>
      </c>
      <c r="Y1166" s="14" t="s">
        <v>56</v>
      </c>
      <c r="Z1166" s="14" t="s">
        <v>59</v>
      </c>
      <c r="AA1166" s="14" t="str">
        <f>IFERROR(VLOOKUP(A1166,'[2]UPDATE BILL 2018'!$B:$P,15,0),IFERROR(VLOOKUP(A1166,'[2]UPDATE BILL 2018'!$C:$P,14,0),IFERROR(VLOOKUP(A1166,'[2]UPDATE BILL 2018'!$D:$P,13,0),IFERROR(VLOOKUP(A1166,'[2]UPDATE BILL 2018'!$E:$P,12,0),IFERROR(VLOOKUP(A1166,'[2]UPDATE BILL 2018'!$F:$P,11,0),IFERROR(VLOOKUP(A1166,'[2]UPDATE BILL 2018'!$G:$P,10,0),IFERROR(VLOOKUP(A1166,'[2]UPDATE BILL 2018'!$H:$P,9,0),IFERROR(VLOOKUP(A1166,'[2]UPDATE BILL 2018'!$I:$P,8,0),VLOOKUP(A1166,'[2]UPDATE BILL 2018'!$B:$P,15,0)))))))))</f>
        <v>1008X04013</v>
      </c>
      <c r="AB1166" s="44">
        <f>IFERROR(VLOOKUP(A1166,'[2]UPDATE BILL 2018'!$B:$T,19,0),IFERROR(VLOOKUP(A1166,'[2]UPDATE BILL 2018'!$C:$T,18,0),IFERROR(VLOOKUP(A1166,'[2]UPDATE BILL 2018'!$D:$T,17,0),IFERROR(VLOOKUP(A1166,'[2]UPDATE BILL 2018'!$E:$T,16,0),IFERROR(VLOOKUP(A1166,'[2]UPDATE BILL 2018'!$F:$T,15,0),IFERROR(VLOOKUP(A1166,'[2]UPDATE BILL 2018'!$G:$T,14,0),IFERROR(VLOOKUP(A1166,'[2]UPDATE BILL 2018'!$H:$T,13,0),IFERROR(VLOOKUP(A1166,'[2]UPDATE BILL 2018'!$I:$T,12,0),VLOOKUP(A1166,'[2]UPDATE BILL 2018'!$B:$T,19,0)))))))))</f>
        <v>43307</v>
      </c>
      <c r="AC1166" s="44" t="str">
        <f>IFERROR(VLOOKUP(A1166,'[2]UPDATE BILL 2018'!$B:$V,21,0),IFERROR(VLOOKUP(A1166,'[2]UPDATE BILL 2018'!$C:$V,20,0),IFERROR(VLOOKUP(A1166,'[2]UPDATE BILL 2018'!$D:$V,19,0),IFERROR(VLOOKUP(A1166,'[2]UPDATE BILL 2018'!$E:$V,18,0),IFERROR(VLOOKUP(A1166,'[2]UPDATE BILL 2018'!$F:$V,17,0),IFERROR(VLOOKUP(A1166,'[2]UPDATE BILL 2018'!$G:$V,16,0),IFERROR(VLOOKUP(A1166,'[2]UPDATE BILL 2018'!$H:$V,15,0),IFERROR(VLOOKUP(A1166,'[2]UPDATE BILL 2018'!$I:$V,14,0),VLOOKUP(A1166,'[2]UPDATE BILL 2018'!$B:$V,21,0)))))))))</f>
        <v>WAN HAI 171 S246</v>
      </c>
      <c r="AD1166" s="14" t="s">
        <v>49</v>
      </c>
      <c r="AE1166" s="24" t="s">
        <v>2598</v>
      </c>
      <c r="AF1166" s="25" t="str">
        <f t="shared" si="68"/>
        <v>VK</v>
      </c>
      <c r="AG1166" t="e">
        <f t="shared" si="51"/>
        <v>#REF!</v>
      </c>
      <c r="AI1166" s="58"/>
    </row>
    <row r="1167" spans="1:35" ht="15.75" customHeight="1">
      <c r="A1167" s="6" t="s">
        <v>2592</v>
      </c>
      <c r="B1167" s="5">
        <v>0</v>
      </c>
      <c r="C1167" s="7">
        <v>0</v>
      </c>
      <c r="D1167" s="7">
        <f t="shared" si="66"/>
        <v>0</v>
      </c>
      <c r="E1167" s="7">
        <v>0</v>
      </c>
      <c r="F1167" s="5">
        <v>0</v>
      </c>
      <c r="G1167" s="7">
        <v>0</v>
      </c>
      <c r="H1167" s="5">
        <v>454</v>
      </c>
      <c r="I1167" s="7">
        <v>57371.239999999991</v>
      </c>
      <c r="J1167" s="7">
        <v>0</v>
      </c>
      <c r="K1167" s="5">
        <v>0</v>
      </c>
      <c r="L1167" s="5">
        <v>0</v>
      </c>
      <c r="M1167" s="5">
        <v>0</v>
      </c>
      <c r="N1167" s="7">
        <f t="shared" si="67"/>
        <v>0</v>
      </c>
      <c r="O1167" s="7">
        <v>0</v>
      </c>
      <c r="P1167" s="7">
        <v>0</v>
      </c>
      <c r="Q1167" s="5">
        <v>0</v>
      </c>
      <c r="R1167" s="5">
        <v>0</v>
      </c>
      <c r="S1167" s="7">
        <v>0</v>
      </c>
      <c r="T1167" s="12">
        <v>43302</v>
      </c>
      <c r="U1167" s="4">
        <v>4</v>
      </c>
      <c r="V1167" s="4">
        <v>9</v>
      </c>
      <c r="W1167" s="4">
        <v>9</v>
      </c>
      <c r="X1167" s="45">
        <f>+I1167+G1167+C1167+O1167+S1167</f>
        <v>57371.239999999991</v>
      </c>
      <c r="Y1167" s="14" t="s">
        <v>56</v>
      </c>
      <c r="Z1167" s="14" t="s">
        <v>1492</v>
      </c>
      <c r="AA1167" s="14" t="str">
        <f>IFERROR(VLOOKUP(A1167,'[2]UPDATE BILL 2018'!$B:$P,15,0),IFERROR(VLOOKUP(A1167,'[2]UPDATE BILL 2018'!$C:$P,14,0),IFERROR(VLOOKUP(A1167,'[2]UPDATE BILL 2018'!$D:$P,13,0),IFERROR(VLOOKUP(A1167,'[2]UPDATE BILL 2018'!$E:$P,12,0),IFERROR(VLOOKUP(A1167,'[2]UPDATE BILL 2018'!$F:$P,11,0),IFERROR(VLOOKUP(A1167,'[2]UPDATE BILL 2018'!$G:$P,10,0),IFERROR(VLOOKUP(A1167,'[2]UPDATE BILL 2018'!$H:$P,9,0),IFERROR(VLOOKUP(A1167,'[2]UPDATE BILL 2018'!$I:$P,8,0),VLOOKUP(A1167,'[2]UPDATE BILL 2018'!$B:$P,15,0)))))))))</f>
        <v>1008X03904</v>
      </c>
      <c r="AB1167" s="44">
        <f>IFERROR(VLOOKUP(A1167,'[2]UPDATE BILL 2018'!$B:$T,19,0),IFERROR(VLOOKUP(A1167,'[2]UPDATE BILL 2018'!$C:$T,18,0),IFERROR(VLOOKUP(A1167,'[2]UPDATE BILL 2018'!$D:$T,17,0),IFERROR(VLOOKUP(A1167,'[2]UPDATE BILL 2018'!$E:$T,16,0),IFERROR(VLOOKUP(A1167,'[2]UPDATE BILL 2018'!$F:$T,15,0),IFERROR(VLOOKUP(A1167,'[2]UPDATE BILL 2018'!$G:$T,14,0),IFERROR(VLOOKUP(A1167,'[2]UPDATE BILL 2018'!$H:$T,13,0),IFERROR(VLOOKUP(A1167,'[2]UPDATE BILL 2018'!$I:$T,12,0),VLOOKUP(A1167,'[2]UPDATE BILL 2018'!$B:$T,19,0)))))))))</f>
        <v>43314</v>
      </c>
      <c r="AC1167" s="44" t="str">
        <f>IFERROR(VLOOKUP(A1167,'[2]UPDATE BILL 2018'!$B:$V,21,0),IFERROR(VLOOKUP(A1167,'[2]UPDATE BILL 2018'!$C:$V,20,0),IFERROR(VLOOKUP(A1167,'[2]UPDATE BILL 2018'!$D:$V,19,0),IFERROR(VLOOKUP(A1167,'[2]UPDATE BILL 2018'!$E:$V,18,0),IFERROR(VLOOKUP(A1167,'[2]UPDATE BILL 2018'!$F:$V,17,0),IFERROR(VLOOKUP(A1167,'[2]UPDATE BILL 2018'!$G:$V,16,0),IFERROR(VLOOKUP(A1167,'[2]UPDATE BILL 2018'!$H:$V,15,0),IFERROR(VLOOKUP(A1167,'[2]UPDATE BILL 2018'!$I:$V,14,0),VLOOKUP(A1167,'[2]UPDATE BILL 2018'!$B:$V,21,0)))))))))</f>
        <v>WAN HAI 266 N396</v>
      </c>
      <c r="AD1167" s="14" t="s">
        <v>49</v>
      </c>
      <c r="AE1167" s="24" t="s">
        <v>2599</v>
      </c>
      <c r="AF1167" s="25" t="str">
        <f t="shared" si="68"/>
        <v>VK</v>
      </c>
      <c r="AG1167" t="e">
        <f t="shared" si="51"/>
        <v>#REF!</v>
      </c>
      <c r="AI1167" s="58"/>
    </row>
    <row r="1168" spans="1:35" ht="15.75" customHeight="1">
      <c r="A1168" s="6" t="s">
        <v>2593</v>
      </c>
      <c r="B1168" s="5">
        <v>441</v>
      </c>
      <c r="C1168" s="7">
        <v>58199.290000000023</v>
      </c>
      <c r="D1168" s="7">
        <f t="shared" ref="D1168:D1174" si="71">E1168+F1168</f>
        <v>0</v>
      </c>
      <c r="E1168" s="7">
        <v>0</v>
      </c>
      <c r="F1168" s="5">
        <v>0</v>
      </c>
      <c r="G1168" s="7">
        <v>0</v>
      </c>
      <c r="H1168" s="5">
        <v>0</v>
      </c>
      <c r="I1168" s="7">
        <v>0</v>
      </c>
      <c r="J1168" s="7">
        <v>0</v>
      </c>
      <c r="K1168" s="5">
        <v>0</v>
      </c>
      <c r="L1168" s="5">
        <v>0</v>
      </c>
      <c r="M1168" s="5">
        <v>0</v>
      </c>
      <c r="N1168" s="7">
        <f t="shared" ref="N1168:N1174" si="72">M1168-K1168</f>
        <v>0</v>
      </c>
      <c r="O1168" s="7">
        <v>0</v>
      </c>
      <c r="P1168" s="7">
        <v>0</v>
      </c>
      <c r="Q1168" s="5">
        <v>0</v>
      </c>
      <c r="R1168" s="5">
        <v>0</v>
      </c>
      <c r="S1168" s="7">
        <v>0</v>
      </c>
      <c r="T1168" s="12">
        <v>43301</v>
      </c>
      <c r="U1168" s="4">
        <v>5</v>
      </c>
      <c r="V1168" s="4">
        <v>9</v>
      </c>
      <c r="W1168" s="4">
        <v>9</v>
      </c>
      <c r="X1168" s="45">
        <f t="shared" ref="X1168:X1174" si="73">+C1168+G1168+I1168+O1168+S1168</f>
        <v>58199.290000000023</v>
      </c>
      <c r="Y1168" s="14" t="s">
        <v>56</v>
      </c>
      <c r="Z1168" s="14" t="s">
        <v>1355</v>
      </c>
      <c r="AA1168" s="14" t="str">
        <f>IFERROR(VLOOKUP(A1168,'[2]UPDATE BILL 2018'!$B:$P,15,0),IFERROR(VLOOKUP(A1168,'[2]UPDATE BILL 2018'!$C:$P,14,0),IFERROR(VLOOKUP(A1168,'[2]UPDATE BILL 2018'!$D:$P,13,0),IFERROR(VLOOKUP(A1168,'[2]UPDATE BILL 2018'!$E:$P,12,0),IFERROR(VLOOKUP(A1168,'[2]UPDATE BILL 2018'!$F:$P,11,0),IFERROR(VLOOKUP(A1168,'[2]UPDATE BILL 2018'!$G:$P,10,0),IFERROR(VLOOKUP(A1168,'[2]UPDATE BILL 2018'!$H:$P,9,0),IFERROR(VLOOKUP(A1168,'[2]UPDATE BILL 2018'!$I:$P,8,0),VLOOKUP(A1168,'[2]UPDATE BILL 2018'!$B:$P,15,0)))))))))</f>
        <v>1008X03906</v>
      </c>
      <c r="AB1168" s="44">
        <f>IFERROR(VLOOKUP(A1168,'[2]UPDATE BILL 2018'!$B:$T,19,0),IFERROR(VLOOKUP(A1168,'[2]UPDATE BILL 2018'!$C:$T,18,0),IFERROR(VLOOKUP(A1168,'[2]UPDATE BILL 2018'!$D:$T,17,0),IFERROR(VLOOKUP(A1168,'[2]UPDATE BILL 2018'!$E:$T,16,0),IFERROR(VLOOKUP(A1168,'[2]UPDATE BILL 2018'!$F:$T,15,0),IFERROR(VLOOKUP(A1168,'[2]UPDATE BILL 2018'!$G:$T,14,0),IFERROR(VLOOKUP(A1168,'[2]UPDATE BILL 2018'!$H:$T,13,0),IFERROR(VLOOKUP(A1168,'[2]UPDATE BILL 2018'!$I:$T,12,0),VLOOKUP(A1168,'[2]UPDATE BILL 2018'!$B:$T,19,0)))))))))</f>
        <v>43313</v>
      </c>
      <c r="AC1168" s="44" t="str">
        <f>IFERROR(VLOOKUP(A1168,'[2]UPDATE BILL 2018'!$B:$V,21,0),IFERROR(VLOOKUP(A1168,'[2]UPDATE BILL 2018'!$C:$V,20,0),IFERROR(VLOOKUP(A1168,'[2]UPDATE BILL 2018'!$D:$V,19,0),IFERROR(VLOOKUP(A1168,'[2]UPDATE BILL 2018'!$E:$V,18,0),IFERROR(VLOOKUP(A1168,'[2]UPDATE BILL 2018'!$F:$V,17,0),IFERROR(VLOOKUP(A1168,'[2]UPDATE BILL 2018'!$G:$V,16,0),IFERROR(VLOOKUP(A1168,'[2]UPDATE BILL 2018'!$H:$V,15,0),IFERROR(VLOOKUP(A1168,'[2]UPDATE BILL 2018'!$I:$V,14,0),VLOOKUP(A1168,'[2]UPDATE BILL 2018'!$B:$V,21,0)))))))))</f>
        <v>WAN HAI 203 N466</v>
      </c>
      <c r="AD1168" s="14" t="s">
        <v>52</v>
      </c>
      <c r="AE1168" s="24" t="s">
        <v>2600</v>
      </c>
      <c r="AF1168" s="25" t="str">
        <f t="shared" ref="AF1168:AF1174" si="74">+LEFT(AE1168,2)</f>
        <v>VQ</v>
      </c>
      <c r="AG1168" t="e">
        <f t="shared" si="51"/>
        <v>#REF!</v>
      </c>
      <c r="AI1168" s="58"/>
    </row>
    <row r="1169" spans="1:35" ht="15.75" customHeight="1">
      <c r="A1169" s="6" t="s">
        <v>2594</v>
      </c>
      <c r="B1169" s="5">
        <v>141</v>
      </c>
      <c r="C1169" s="7">
        <v>19899.900000000001</v>
      </c>
      <c r="D1169" s="7">
        <f t="shared" si="71"/>
        <v>0</v>
      </c>
      <c r="E1169" s="7">
        <v>0</v>
      </c>
      <c r="F1169" s="5">
        <v>0</v>
      </c>
      <c r="G1169" s="7">
        <v>0</v>
      </c>
      <c r="H1169" s="5">
        <v>200</v>
      </c>
      <c r="I1169" s="7">
        <v>26783.199999999993</v>
      </c>
      <c r="J1169" s="7">
        <v>0</v>
      </c>
      <c r="K1169" s="5">
        <v>0</v>
      </c>
      <c r="L1169" s="5">
        <v>0</v>
      </c>
      <c r="M1169" s="5">
        <v>116</v>
      </c>
      <c r="N1169" s="7">
        <f t="shared" si="72"/>
        <v>116</v>
      </c>
      <c r="O1169" s="7">
        <v>19006.599999999999</v>
      </c>
      <c r="P1169" s="7">
        <v>0</v>
      </c>
      <c r="Q1169" s="5">
        <v>0</v>
      </c>
      <c r="R1169" s="5">
        <v>0</v>
      </c>
      <c r="S1169" s="7">
        <v>0</v>
      </c>
      <c r="T1169" s="12">
        <v>43302</v>
      </c>
      <c r="U1169" s="4">
        <v>6</v>
      </c>
      <c r="V1169" s="4">
        <v>9</v>
      </c>
      <c r="W1169" s="4">
        <v>9</v>
      </c>
      <c r="X1169" s="45">
        <f t="shared" si="73"/>
        <v>65689.699999999983</v>
      </c>
      <c r="Y1169" s="14" t="s">
        <v>58</v>
      </c>
      <c r="Z1169" s="14" t="s">
        <v>1281</v>
      </c>
      <c r="AA1169" s="14" t="str">
        <f>IFERROR(VLOOKUP(A1169,'[2]UPDATE BILL 2018'!$B:$P,15,0),IFERROR(VLOOKUP(A1169,'[2]UPDATE BILL 2018'!$C:$P,14,0),IFERROR(VLOOKUP(A1169,'[2]UPDATE BILL 2018'!$D:$P,13,0),IFERROR(VLOOKUP(A1169,'[2]UPDATE BILL 2018'!$E:$P,12,0),IFERROR(VLOOKUP(A1169,'[2]UPDATE BILL 2018'!$F:$P,11,0),IFERROR(VLOOKUP(A1169,'[2]UPDATE BILL 2018'!$G:$P,10,0),IFERROR(VLOOKUP(A1169,'[2]UPDATE BILL 2018'!$H:$P,9,0),IFERROR(VLOOKUP(A1169,'[2]UPDATE BILL 2018'!$I:$P,8,0),VLOOKUP(A1169,'[2]UPDATE BILL 2018'!$B:$P,15,0)))))))))</f>
        <v>EGLV237800216395</v>
      </c>
      <c r="AB1169" s="44">
        <f>IFERROR(VLOOKUP(A1169,'[2]UPDATE BILL 2018'!$B:$T,19,0),IFERROR(VLOOKUP(A1169,'[2]UPDATE BILL 2018'!$C:$T,18,0),IFERROR(VLOOKUP(A1169,'[2]UPDATE BILL 2018'!$D:$T,17,0),IFERROR(VLOOKUP(A1169,'[2]UPDATE BILL 2018'!$E:$T,16,0),IFERROR(VLOOKUP(A1169,'[2]UPDATE BILL 2018'!$F:$T,15,0),IFERROR(VLOOKUP(A1169,'[2]UPDATE BILL 2018'!$G:$T,14,0),IFERROR(VLOOKUP(A1169,'[2]UPDATE BILL 2018'!$H:$T,13,0),IFERROR(VLOOKUP(A1169,'[2]UPDATE BILL 2018'!$I:$T,12,0),VLOOKUP(A1169,'[2]UPDATE BILL 2018'!$B:$T,19,0)))))))))</f>
        <v>43306</v>
      </c>
      <c r="AC1169" s="44" t="str">
        <f>IFERROR(VLOOKUP(A1169,'[2]UPDATE BILL 2018'!$B:$V,21,0),IFERROR(VLOOKUP(A1169,'[2]UPDATE BILL 2018'!$C:$V,20,0),IFERROR(VLOOKUP(A1169,'[2]UPDATE BILL 2018'!$D:$V,19,0),IFERROR(VLOOKUP(A1169,'[2]UPDATE BILL 2018'!$E:$V,18,0),IFERROR(VLOOKUP(A1169,'[2]UPDATE BILL 2018'!$F:$V,17,0),IFERROR(VLOOKUP(A1169,'[2]UPDATE BILL 2018'!$G:$V,16,0),IFERROR(VLOOKUP(A1169,'[2]UPDATE BILL 2018'!$H:$V,15,0),IFERROR(VLOOKUP(A1169,'[2]UPDATE BILL 2018'!$I:$V,14,0),VLOOKUP(A1169,'[2]UPDATE BILL 2018'!$B:$V,21,0)))))))))</f>
        <v>WAN HAI 267 N269</v>
      </c>
      <c r="AD1169" s="14" t="s">
        <v>51</v>
      </c>
      <c r="AE1169" s="24" t="s">
        <v>2601</v>
      </c>
      <c r="AF1169" s="25" t="str">
        <f t="shared" si="74"/>
        <v>VS</v>
      </c>
      <c r="AG1169" t="e">
        <f t="shared" si="51"/>
        <v>#REF!</v>
      </c>
      <c r="AI1169" s="58"/>
    </row>
    <row r="1170" spans="1:35" ht="15.75" customHeight="1">
      <c r="A1170" s="6" t="s">
        <v>2595</v>
      </c>
      <c r="B1170" s="5">
        <v>439</v>
      </c>
      <c r="C1170" s="7">
        <v>41885.500000000007</v>
      </c>
      <c r="D1170" s="7">
        <f t="shared" si="71"/>
        <v>0</v>
      </c>
      <c r="E1170" s="7">
        <v>0</v>
      </c>
      <c r="F1170" s="5">
        <v>0</v>
      </c>
      <c r="G1170" s="7">
        <v>0</v>
      </c>
      <c r="H1170" s="5">
        <v>0</v>
      </c>
      <c r="I1170" s="7">
        <v>0</v>
      </c>
      <c r="J1170" s="7">
        <v>0</v>
      </c>
      <c r="K1170" s="5">
        <v>0</v>
      </c>
      <c r="L1170" s="5">
        <v>0</v>
      </c>
      <c r="M1170" s="5">
        <v>110</v>
      </c>
      <c r="N1170" s="7">
        <f t="shared" si="72"/>
        <v>110</v>
      </c>
      <c r="O1170" s="7">
        <v>19858.199999999997</v>
      </c>
      <c r="P1170" s="7">
        <v>0</v>
      </c>
      <c r="Q1170" s="5">
        <v>0</v>
      </c>
      <c r="R1170" s="5">
        <v>0</v>
      </c>
      <c r="S1170" s="7">
        <v>0</v>
      </c>
      <c r="T1170" s="12">
        <v>43302</v>
      </c>
      <c r="U1170" s="4">
        <v>5</v>
      </c>
      <c r="V1170" s="4">
        <v>9</v>
      </c>
      <c r="W1170" s="4">
        <v>9</v>
      </c>
      <c r="X1170" s="45">
        <f t="shared" si="73"/>
        <v>61743.700000000004</v>
      </c>
      <c r="Y1170" s="14" t="s">
        <v>54</v>
      </c>
      <c r="Z1170" s="14" t="s">
        <v>1355</v>
      </c>
      <c r="AA1170" s="14" t="str">
        <f>IFERROR(VLOOKUP(A1170,'[2]UPDATE BILL 2018'!$B:$P,15,0),IFERROR(VLOOKUP(A1170,'[2]UPDATE BILL 2018'!$C:$P,14,0),IFERROR(VLOOKUP(A1170,'[2]UPDATE BILL 2018'!$D:$P,13,0),IFERROR(VLOOKUP(A1170,'[2]UPDATE BILL 2018'!$E:$P,12,0),IFERROR(VLOOKUP(A1170,'[2]UPDATE BILL 2018'!$F:$P,11,0),IFERROR(VLOOKUP(A1170,'[2]UPDATE BILL 2018'!$G:$P,10,0),IFERROR(VLOOKUP(A1170,'[2]UPDATE BILL 2018'!$H:$P,9,0),IFERROR(VLOOKUP(A1170,'[2]UPDATE BILL 2018'!$I:$P,8,0),VLOOKUP(A1170,'[2]UPDATE BILL 2018'!$B:$P,15,0)))))))))</f>
        <v>SITWHPKW172470</v>
      </c>
      <c r="AB1170" s="44">
        <f>IFERROR(VLOOKUP(A1170,'[2]UPDATE BILL 2018'!$B:$T,19,0),IFERROR(VLOOKUP(A1170,'[2]UPDATE BILL 2018'!$C:$T,18,0),IFERROR(VLOOKUP(A1170,'[2]UPDATE BILL 2018'!$D:$T,17,0),IFERROR(VLOOKUP(A1170,'[2]UPDATE BILL 2018'!$E:$T,16,0),IFERROR(VLOOKUP(A1170,'[2]UPDATE BILL 2018'!$F:$T,15,0),IFERROR(VLOOKUP(A1170,'[2]UPDATE BILL 2018'!$G:$T,14,0),IFERROR(VLOOKUP(A1170,'[2]UPDATE BILL 2018'!$H:$T,13,0),IFERROR(VLOOKUP(A1170,'[2]UPDATE BILL 2018'!$I:$T,12,0),VLOOKUP(A1170,'[2]UPDATE BILL 2018'!$B:$T,19,0)))))))))</f>
        <v>43307</v>
      </c>
      <c r="AC1170" s="44" t="str">
        <f>IFERROR(VLOOKUP(A1170,'[2]UPDATE BILL 2018'!$B:$V,21,0),IFERROR(VLOOKUP(A1170,'[2]UPDATE BILL 2018'!$C:$V,20,0),IFERROR(VLOOKUP(A1170,'[2]UPDATE BILL 2018'!$D:$V,19,0),IFERROR(VLOOKUP(A1170,'[2]UPDATE BILL 2018'!$E:$V,18,0),IFERROR(VLOOKUP(A1170,'[2]UPDATE BILL 2018'!$F:$V,17,0),IFERROR(VLOOKUP(A1170,'[2]UPDATE BILL 2018'!$G:$V,16,0),IFERROR(VLOOKUP(A1170,'[2]UPDATE BILL 2018'!$H:$V,15,0),IFERROR(VLOOKUP(A1170,'[2]UPDATE BILL 2018'!$I:$V,14,0),VLOOKUP(A1170,'[2]UPDATE BILL 2018'!$B:$V,21,0)))))))))</f>
        <v>SITC NAGOYA 1821N</v>
      </c>
      <c r="AD1170" s="14" t="s">
        <v>50</v>
      </c>
      <c r="AE1170" s="24" t="s">
        <v>2602</v>
      </c>
      <c r="AF1170" s="25" t="str">
        <f t="shared" si="74"/>
        <v>VW</v>
      </c>
      <c r="AG1170" t="e">
        <f t="shared" si="51"/>
        <v>#REF!</v>
      </c>
      <c r="AI1170" s="58"/>
    </row>
    <row r="1171" spans="1:35" ht="15.75" customHeight="1">
      <c r="A1171" s="6" t="s">
        <v>2596</v>
      </c>
      <c r="B1171" s="5">
        <v>0</v>
      </c>
      <c r="C1171" s="7">
        <v>0</v>
      </c>
      <c r="D1171" s="7">
        <f t="shared" si="71"/>
        <v>0</v>
      </c>
      <c r="E1171" s="7">
        <v>0</v>
      </c>
      <c r="F1171" s="5">
        <v>0</v>
      </c>
      <c r="G1171" s="7">
        <v>0</v>
      </c>
      <c r="H1171" s="5">
        <v>0</v>
      </c>
      <c r="I1171" s="7">
        <v>0</v>
      </c>
      <c r="J1171" s="7">
        <v>0</v>
      </c>
      <c r="K1171" s="5">
        <v>0</v>
      </c>
      <c r="L1171" s="5">
        <v>0</v>
      </c>
      <c r="M1171" s="5">
        <v>0</v>
      </c>
      <c r="N1171" s="7">
        <f t="shared" si="72"/>
        <v>0</v>
      </c>
      <c r="O1171" s="7">
        <v>0</v>
      </c>
      <c r="P1171" s="7">
        <v>0</v>
      </c>
      <c r="Q1171" s="5">
        <v>0</v>
      </c>
      <c r="R1171" s="5">
        <v>400</v>
      </c>
      <c r="S1171" s="7">
        <v>35060</v>
      </c>
      <c r="T1171" s="12">
        <v>43302</v>
      </c>
      <c r="U1171" s="4">
        <v>1</v>
      </c>
      <c r="V1171" s="4">
        <v>9</v>
      </c>
      <c r="W1171" s="4">
        <v>9</v>
      </c>
      <c r="X1171" s="45">
        <f t="shared" si="73"/>
        <v>35060</v>
      </c>
      <c r="Y1171" s="14" t="s">
        <v>56</v>
      </c>
      <c r="Z1171" s="14" t="s">
        <v>59</v>
      </c>
      <c r="AA1171" s="14" t="str">
        <f>IFERROR(VLOOKUP(A1171,'[2]UPDATE BILL 2018'!$B:$P,15,0),IFERROR(VLOOKUP(A1171,'[2]UPDATE BILL 2018'!$C:$P,14,0),IFERROR(VLOOKUP(A1171,'[2]UPDATE BILL 2018'!$D:$P,13,0),IFERROR(VLOOKUP(A1171,'[2]UPDATE BILL 2018'!$E:$P,12,0),IFERROR(VLOOKUP(A1171,'[2]UPDATE BILL 2018'!$F:$P,11,0),IFERROR(VLOOKUP(A1171,'[2]UPDATE BILL 2018'!$G:$P,10,0),IFERROR(VLOOKUP(A1171,'[2]UPDATE BILL 2018'!$H:$P,9,0),IFERROR(VLOOKUP(A1171,'[2]UPDATE BILL 2018'!$I:$P,8,0),VLOOKUP(A1171,'[2]UPDATE BILL 2018'!$B:$P,15,0)))))))))</f>
        <v>1008X04013</v>
      </c>
      <c r="AB1171" s="44">
        <f>IFERROR(VLOOKUP(A1171,'[2]UPDATE BILL 2018'!$B:$T,19,0),IFERROR(VLOOKUP(A1171,'[2]UPDATE BILL 2018'!$C:$T,18,0),IFERROR(VLOOKUP(A1171,'[2]UPDATE BILL 2018'!$D:$T,17,0),IFERROR(VLOOKUP(A1171,'[2]UPDATE BILL 2018'!$E:$T,16,0),IFERROR(VLOOKUP(A1171,'[2]UPDATE BILL 2018'!$F:$T,15,0),IFERROR(VLOOKUP(A1171,'[2]UPDATE BILL 2018'!$G:$T,14,0),IFERROR(VLOOKUP(A1171,'[2]UPDATE BILL 2018'!$H:$T,13,0),IFERROR(VLOOKUP(A1171,'[2]UPDATE BILL 2018'!$I:$T,12,0),VLOOKUP(A1171,'[2]UPDATE BILL 2018'!$B:$T,19,0)))))))))</f>
        <v>43307</v>
      </c>
      <c r="AC1171" s="44" t="str">
        <f>IFERROR(VLOOKUP(A1171,'[2]UPDATE BILL 2018'!$B:$V,21,0),IFERROR(VLOOKUP(A1171,'[2]UPDATE BILL 2018'!$C:$V,20,0),IFERROR(VLOOKUP(A1171,'[2]UPDATE BILL 2018'!$D:$V,19,0),IFERROR(VLOOKUP(A1171,'[2]UPDATE BILL 2018'!$E:$V,18,0),IFERROR(VLOOKUP(A1171,'[2]UPDATE BILL 2018'!$F:$V,17,0),IFERROR(VLOOKUP(A1171,'[2]UPDATE BILL 2018'!$G:$V,16,0),IFERROR(VLOOKUP(A1171,'[2]UPDATE BILL 2018'!$H:$V,15,0),IFERROR(VLOOKUP(A1171,'[2]UPDATE BILL 2018'!$I:$V,14,0),VLOOKUP(A1171,'[2]UPDATE BILL 2018'!$B:$V,21,0)))))))))</f>
        <v>WAN HAI 171 S246</v>
      </c>
      <c r="AD1171" s="14" t="s">
        <v>49</v>
      </c>
      <c r="AE1171" s="24" t="s">
        <v>2603</v>
      </c>
      <c r="AF1171" s="25" t="s">
        <v>2175</v>
      </c>
      <c r="AG1171" t="e">
        <f t="shared" si="51"/>
        <v>#N/A</v>
      </c>
      <c r="AI1171" s="58"/>
    </row>
    <row r="1172" spans="1:35" ht="15.75" customHeight="1">
      <c r="A1172" s="6" t="s">
        <v>2597</v>
      </c>
      <c r="D1172" s="7">
        <f t="shared" si="71"/>
        <v>0</v>
      </c>
      <c r="E1172" s="7">
        <v>0</v>
      </c>
      <c r="F1172" s="5">
        <v>0</v>
      </c>
      <c r="G1172" s="7">
        <v>0</v>
      </c>
      <c r="H1172" s="5">
        <v>0</v>
      </c>
      <c r="I1172" s="7">
        <v>0</v>
      </c>
      <c r="J1172" s="7">
        <v>0</v>
      </c>
      <c r="K1172" s="5">
        <v>0</v>
      </c>
      <c r="L1172" s="5">
        <v>0</v>
      </c>
      <c r="M1172" s="5">
        <v>0</v>
      </c>
      <c r="N1172" s="7">
        <f t="shared" si="72"/>
        <v>0</v>
      </c>
      <c r="O1172" s="7">
        <v>0</v>
      </c>
      <c r="P1172" s="7">
        <v>0</v>
      </c>
      <c r="Q1172" s="5">
        <v>0</v>
      </c>
      <c r="R1172" s="5">
        <v>305</v>
      </c>
      <c r="S1172" s="7">
        <v>58713</v>
      </c>
      <c r="T1172" s="12">
        <v>43302</v>
      </c>
      <c r="U1172" s="4">
        <v>2</v>
      </c>
      <c r="V1172" s="4">
        <v>9</v>
      </c>
      <c r="W1172" s="4">
        <v>9</v>
      </c>
      <c r="X1172" s="45">
        <f t="shared" si="73"/>
        <v>58713</v>
      </c>
      <c r="Y1172" s="14" t="s">
        <v>54</v>
      </c>
      <c r="Z1172" s="14" t="s">
        <v>1355</v>
      </c>
      <c r="AA1172" s="14" t="str">
        <f>IFERROR(VLOOKUP(A1172,'[2]UPDATE BILL 2018'!$B:$P,15,0),IFERROR(VLOOKUP(A1172,'[2]UPDATE BILL 2018'!$C:$P,14,0),IFERROR(VLOOKUP(A1172,'[2]UPDATE BILL 2018'!$D:$P,13,0),IFERROR(VLOOKUP(A1172,'[2]UPDATE BILL 2018'!$E:$P,12,0),IFERROR(VLOOKUP(A1172,'[2]UPDATE BILL 2018'!$F:$P,11,0),IFERROR(VLOOKUP(A1172,'[2]UPDATE BILL 2018'!$G:$P,10,0),IFERROR(VLOOKUP(A1172,'[2]UPDATE BILL 2018'!$H:$P,9,0),IFERROR(VLOOKUP(A1172,'[2]UPDATE BILL 2018'!$I:$P,8,0),VLOOKUP(A1172,'[2]UPDATE BILL 2018'!$B:$P,15,0)))))))))</f>
        <v>SITWHPKW172470</v>
      </c>
      <c r="AB1172" s="44">
        <f>IFERROR(VLOOKUP(A1172,'[2]UPDATE BILL 2018'!$B:$T,19,0),IFERROR(VLOOKUP(A1172,'[2]UPDATE BILL 2018'!$C:$T,18,0),IFERROR(VLOOKUP(A1172,'[2]UPDATE BILL 2018'!$D:$T,17,0),IFERROR(VLOOKUP(A1172,'[2]UPDATE BILL 2018'!$E:$T,16,0),IFERROR(VLOOKUP(A1172,'[2]UPDATE BILL 2018'!$F:$T,15,0),IFERROR(VLOOKUP(A1172,'[2]UPDATE BILL 2018'!$G:$T,14,0),IFERROR(VLOOKUP(A1172,'[2]UPDATE BILL 2018'!$H:$T,13,0),IFERROR(VLOOKUP(A1172,'[2]UPDATE BILL 2018'!$I:$T,12,0),VLOOKUP(A1172,'[2]UPDATE BILL 2018'!$B:$T,19,0)))))))))</f>
        <v>43307</v>
      </c>
      <c r="AC1172" s="44" t="str">
        <f>IFERROR(VLOOKUP(A1172,'[2]UPDATE BILL 2018'!$B:$V,21,0),IFERROR(VLOOKUP(A1172,'[2]UPDATE BILL 2018'!$C:$V,20,0),IFERROR(VLOOKUP(A1172,'[2]UPDATE BILL 2018'!$D:$V,19,0),IFERROR(VLOOKUP(A1172,'[2]UPDATE BILL 2018'!$E:$V,18,0),IFERROR(VLOOKUP(A1172,'[2]UPDATE BILL 2018'!$F:$V,17,0),IFERROR(VLOOKUP(A1172,'[2]UPDATE BILL 2018'!$G:$V,16,0),IFERROR(VLOOKUP(A1172,'[2]UPDATE BILL 2018'!$H:$V,15,0),IFERROR(VLOOKUP(A1172,'[2]UPDATE BILL 2018'!$I:$V,14,0),VLOOKUP(A1172,'[2]UPDATE BILL 2018'!$B:$V,21,0)))))))))</f>
        <v>SITC NAGOYA 1821N</v>
      </c>
      <c r="AD1172" s="14" t="s">
        <v>50</v>
      </c>
      <c r="AE1172" s="24" t="s">
        <v>2604</v>
      </c>
      <c r="AF1172" s="25" t="s">
        <v>2151</v>
      </c>
      <c r="AG1172" t="e">
        <f t="shared" si="51"/>
        <v>#N/A</v>
      </c>
      <c r="AI1172" s="58"/>
    </row>
    <row r="1173" spans="1:35" ht="15.75" customHeight="1">
      <c r="A1173" s="6" t="s">
        <v>2605</v>
      </c>
      <c r="B1173" s="5">
        <v>64</v>
      </c>
      <c r="C1173" s="7">
        <v>9461.1</v>
      </c>
      <c r="D1173" s="7">
        <f t="shared" si="71"/>
        <v>0</v>
      </c>
      <c r="E1173" s="7">
        <v>0</v>
      </c>
      <c r="F1173" s="5">
        <v>0</v>
      </c>
      <c r="G1173" s="7">
        <v>0</v>
      </c>
      <c r="H1173" s="5">
        <v>0</v>
      </c>
      <c r="I1173" s="7">
        <v>0</v>
      </c>
      <c r="J1173" s="7">
        <v>0</v>
      </c>
      <c r="K1173" s="5">
        <v>0</v>
      </c>
      <c r="L1173" s="5">
        <v>0</v>
      </c>
      <c r="M1173" s="5">
        <v>12</v>
      </c>
      <c r="N1173" s="7">
        <f t="shared" si="72"/>
        <v>12</v>
      </c>
      <c r="O1173" s="7">
        <v>2306.1</v>
      </c>
      <c r="P1173" s="7">
        <v>0</v>
      </c>
      <c r="Q1173" s="5">
        <v>0</v>
      </c>
      <c r="R1173" s="5">
        <v>0</v>
      </c>
      <c r="S1173" s="7">
        <v>0</v>
      </c>
      <c r="T1173" s="12">
        <v>43304</v>
      </c>
      <c r="U1173" s="4">
        <v>1</v>
      </c>
      <c r="V1173" s="4">
        <v>9</v>
      </c>
      <c r="W1173" s="4">
        <v>9</v>
      </c>
      <c r="X1173" s="45">
        <f t="shared" si="73"/>
        <v>11767.2</v>
      </c>
      <c r="Y1173" s="14" t="s">
        <v>1354</v>
      </c>
      <c r="Z1173" s="14" t="s">
        <v>57</v>
      </c>
      <c r="AA1173" s="14" t="str">
        <f>IFERROR(VLOOKUP(A1173,'[2]UPDATE BILL 2018'!$B:$P,15,0),IFERROR(VLOOKUP(A1173,'[2]UPDATE BILL 2018'!$C:$P,14,0),IFERROR(VLOOKUP(A1173,'[2]UPDATE BILL 2018'!$D:$P,13,0),IFERROR(VLOOKUP(A1173,'[2]UPDATE BILL 2018'!$E:$P,12,0),IFERROR(VLOOKUP(A1173,'[2]UPDATE BILL 2018'!$F:$P,11,0),IFERROR(VLOOKUP(A1173,'[2]UPDATE BILL 2018'!$G:$P,10,0),IFERROR(VLOOKUP(A1173,'[2]UPDATE BILL 2018'!$H:$P,9,0),IFERROR(VLOOKUP(A1173,'[2]UPDATE BILL 2018'!$I:$P,8,0),VLOOKUP(A1173,'[2]UPDATE BILL 2018'!$B:$P,15,0)))))))))</f>
        <v>APLU074557757</v>
      </c>
      <c r="AB1173" s="44">
        <f>IFERROR(VLOOKUP(A1173,'[2]UPDATE BILL 2018'!$B:$T,19,0),IFERROR(VLOOKUP(A1173,'[2]UPDATE BILL 2018'!$C:$T,18,0),IFERROR(VLOOKUP(A1173,'[2]UPDATE BILL 2018'!$D:$T,17,0),IFERROR(VLOOKUP(A1173,'[2]UPDATE BILL 2018'!$E:$T,16,0),IFERROR(VLOOKUP(A1173,'[2]UPDATE BILL 2018'!$F:$T,15,0),IFERROR(VLOOKUP(A1173,'[2]UPDATE BILL 2018'!$G:$T,14,0),IFERROR(VLOOKUP(A1173,'[2]UPDATE BILL 2018'!$H:$T,13,0),IFERROR(VLOOKUP(A1173,'[2]UPDATE BILL 2018'!$I:$T,12,0),VLOOKUP(A1173,'[2]UPDATE BILL 2018'!$B:$T,19,0)))))))))</f>
        <v>43311</v>
      </c>
      <c r="AC1173" s="44" t="str">
        <f>IFERROR(VLOOKUP(A1173,'[2]UPDATE BILL 2018'!$B:$V,21,0),IFERROR(VLOOKUP(A1173,'[2]UPDATE BILL 2018'!$C:$V,20,0),IFERROR(VLOOKUP(A1173,'[2]UPDATE BILL 2018'!$D:$V,19,0),IFERROR(VLOOKUP(A1173,'[2]UPDATE BILL 2018'!$E:$V,18,0),IFERROR(VLOOKUP(A1173,'[2]UPDATE BILL 2018'!$F:$V,17,0),IFERROR(VLOOKUP(A1173,'[2]UPDATE BILL 2018'!$G:$V,16,0),IFERROR(VLOOKUP(A1173,'[2]UPDATE BILL 2018'!$H:$V,15,0),IFERROR(VLOOKUP(A1173,'[2]UPDATE BILL 2018'!$I:$V,14,0),VLOOKUP(A1173,'[2]UPDATE BILL 2018'!$B:$V,21,0)))))))))</f>
        <v>CMA CGM BANGKOK 001N</v>
      </c>
      <c r="AD1173" s="14" t="s">
        <v>240</v>
      </c>
      <c r="AE1173" s="24" t="s">
        <v>2611</v>
      </c>
      <c r="AF1173" s="25" t="str">
        <f t="shared" si="74"/>
        <v>VI</v>
      </c>
      <c r="AG1173" t="e">
        <f t="shared" si="51"/>
        <v>#REF!</v>
      </c>
      <c r="AI1173" s="58"/>
    </row>
    <row r="1174" spans="1:35" ht="15.75" customHeight="1">
      <c r="A1174" s="6" t="s">
        <v>2606</v>
      </c>
      <c r="D1174" s="7">
        <f t="shared" si="71"/>
        <v>0</v>
      </c>
      <c r="E1174" s="7">
        <v>0</v>
      </c>
      <c r="F1174" s="5">
        <v>0</v>
      </c>
      <c r="G1174" s="7">
        <v>0</v>
      </c>
      <c r="H1174" s="5">
        <v>255</v>
      </c>
      <c r="I1174" s="7">
        <v>27778.05</v>
      </c>
      <c r="J1174" s="7">
        <v>0</v>
      </c>
      <c r="K1174" s="5">
        <v>0</v>
      </c>
      <c r="L1174" s="5">
        <v>0</v>
      </c>
      <c r="M1174" s="5">
        <v>0</v>
      </c>
      <c r="N1174" s="7">
        <f t="shared" si="72"/>
        <v>0</v>
      </c>
      <c r="O1174" s="7">
        <v>0</v>
      </c>
      <c r="P1174" s="7">
        <v>0</v>
      </c>
      <c r="Q1174" s="5">
        <v>0</v>
      </c>
      <c r="R1174" s="5">
        <v>0</v>
      </c>
      <c r="S1174" s="7">
        <v>0</v>
      </c>
      <c r="T1174" s="12">
        <v>43304</v>
      </c>
      <c r="U1174" s="4">
        <v>2</v>
      </c>
      <c r="V1174" s="4">
        <v>9</v>
      </c>
      <c r="W1174" s="4">
        <v>9</v>
      </c>
      <c r="X1174" s="45">
        <f t="shared" si="73"/>
        <v>27778.05</v>
      </c>
      <c r="Y1174" s="14" t="s">
        <v>54</v>
      </c>
      <c r="Z1174" s="14" t="s">
        <v>1637</v>
      </c>
      <c r="AA1174" s="14" t="str">
        <f>IFERROR(VLOOKUP(A1174,'[2]UPDATE BILL 2018'!$B:$P,15,0),IFERROR(VLOOKUP(A1174,'[2]UPDATE BILL 2018'!$C:$P,14,0),IFERROR(VLOOKUP(A1174,'[2]UPDATE BILL 2018'!$D:$P,13,0),IFERROR(VLOOKUP(A1174,'[2]UPDATE BILL 2018'!$E:$P,12,0),IFERROR(VLOOKUP(A1174,'[2]UPDATE BILL 2018'!$F:$P,11,0),IFERROR(VLOOKUP(A1174,'[2]UPDATE BILL 2018'!$G:$P,10,0),IFERROR(VLOOKUP(A1174,'[2]UPDATE BILL 2018'!$H:$P,9,0),IFERROR(VLOOKUP(A1174,'[2]UPDATE BILL 2018'!$I:$P,8,0),VLOOKUP(A1174,'[2]UPDATE BILL 2018'!$B:$P,15,0)))))))))</f>
        <v>SITWHPTK171861</v>
      </c>
      <c r="AB1174" s="44">
        <f>IFERROR(VLOOKUP(A1174,'[2]UPDATE BILL 2018'!$B:$T,19,0),IFERROR(VLOOKUP(A1174,'[2]UPDATE BILL 2018'!$C:$T,18,0),IFERROR(VLOOKUP(A1174,'[2]UPDATE BILL 2018'!$D:$T,17,0),IFERROR(VLOOKUP(A1174,'[2]UPDATE BILL 2018'!$E:$T,16,0),IFERROR(VLOOKUP(A1174,'[2]UPDATE BILL 2018'!$F:$T,15,0),IFERROR(VLOOKUP(A1174,'[2]UPDATE BILL 2018'!$G:$T,14,0),IFERROR(VLOOKUP(A1174,'[2]UPDATE BILL 2018'!$H:$T,13,0),IFERROR(VLOOKUP(A1174,'[2]UPDATE BILL 2018'!$I:$T,12,0),VLOOKUP(A1174,'[2]UPDATE BILL 2018'!$B:$T,19,0)))))))))</f>
        <v>43307</v>
      </c>
      <c r="AC1174" s="44" t="str">
        <f>IFERROR(VLOOKUP(A1174,'[2]UPDATE BILL 2018'!$B:$V,21,0),IFERROR(VLOOKUP(A1174,'[2]UPDATE BILL 2018'!$C:$V,20,0),IFERROR(VLOOKUP(A1174,'[2]UPDATE BILL 2018'!$D:$V,19,0),IFERROR(VLOOKUP(A1174,'[2]UPDATE BILL 2018'!$E:$V,18,0),IFERROR(VLOOKUP(A1174,'[2]UPDATE BILL 2018'!$F:$V,17,0),IFERROR(VLOOKUP(A1174,'[2]UPDATE BILL 2018'!$G:$V,16,0),IFERROR(VLOOKUP(A1174,'[2]UPDATE BILL 2018'!$H:$V,15,0),IFERROR(VLOOKUP(A1174,'[2]UPDATE BILL 2018'!$I:$V,14,0),VLOOKUP(A1174,'[2]UPDATE BILL 2018'!$B:$V,21,0)))))))))</f>
        <v>SITC NAGOYA 1821N</v>
      </c>
      <c r="AD1174" s="14" t="s">
        <v>49</v>
      </c>
      <c r="AE1174" s="24" t="s">
        <v>2612</v>
      </c>
      <c r="AF1174" s="25" t="str">
        <f t="shared" si="74"/>
        <v>VK</v>
      </c>
      <c r="AG1174" t="e">
        <f t="shared" si="51"/>
        <v>#REF!</v>
      </c>
      <c r="AI1174" s="58"/>
    </row>
    <row r="1175" spans="1:35" ht="15.75" customHeight="1">
      <c r="A1175" s="6" t="s">
        <v>2607</v>
      </c>
      <c r="B1175" s="5">
        <v>1462</v>
      </c>
      <c r="C1175" s="7">
        <v>123633.75000000001</v>
      </c>
      <c r="D1175" s="7">
        <f t="shared" ref="D1175:D1182" si="75">E1175+F1175</f>
        <v>0</v>
      </c>
      <c r="E1175" s="7">
        <v>0</v>
      </c>
      <c r="F1175" s="5">
        <v>0</v>
      </c>
      <c r="G1175" s="7">
        <v>0</v>
      </c>
      <c r="H1175" s="5">
        <v>315</v>
      </c>
      <c r="I1175" s="7">
        <v>38527.350000000006</v>
      </c>
      <c r="J1175" s="7">
        <v>0</v>
      </c>
      <c r="K1175" s="5">
        <v>0</v>
      </c>
      <c r="L1175" s="5">
        <v>0</v>
      </c>
      <c r="M1175" s="5">
        <v>330</v>
      </c>
      <c r="N1175" s="7">
        <f t="shared" ref="N1175:N1182" si="76">M1175-K1175</f>
        <v>330</v>
      </c>
      <c r="O1175" s="7">
        <v>37393.600000000006</v>
      </c>
      <c r="P1175" s="7">
        <v>0</v>
      </c>
      <c r="Q1175" s="5">
        <v>0</v>
      </c>
      <c r="R1175" s="5">
        <v>0</v>
      </c>
      <c r="S1175" s="7">
        <v>0</v>
      </c>
      <c r="T1175" s="12">
        <v>43304</v>
      </c>
      <c r="U1175" s="4">
        <v>16</v>
      </c>
      <c r="V1175" s="4">
        <v>9</v>
      </c>
      <c r="W1175" s="4">
        <v>9</v>
      </c>
      <c r="X1175" s="45">
        <f t="shared" ref="X1175:X1182" si="77">+C1175+G1175+I1175+O1175+S1175</f>
        <v>199554.70000000004</v>
      </c>
      <c r="Y1175" s="14" t="s">
        <v>56</v>
      </c>
      <c r="Z1175" s="14" t="s">
        <v>1281</v>
      </c>
      <c r="AA1175" s="14" t="str">
        <f>IFERROR(VLOOKUP(A1175,'[2]UPDATE BILL 2018'!$B:$P,15,0),IFERROR(VLOOKUP(A1175,'[2]UPDATE BILL 2018'!$C:$P,14,0),IFERROR(VLOOKUP(A1175,'[2]UPDATE BILL 2018'!$D:$P,13,0),IFERROR(VLOOKUP(A1175,'[2]UPDATE BILL 2018'!$E:$P,12,0),IFERROR(VLOOKUP(A1175,'[2]UPDATE BILL 2018'!$F:$P,11,0),IFERROR(VLOOKUP(A1175,'[2]UPDATE BILL 2018'!$G:$P,10,0),IFERROR(VLOOKUP(A1175,'[2]UPDATE BILL 2018'!$H:$P,9,0),IFERROR(VLOOKUP(A1175,'[2]UPDATE BILL 2018'!$I:$P,8,0),VLOOKUP(A1175,'[2]UPDATE BILL 2018'!$B:$P,15,0)))))))))</f>
        <v>1008X03736</v>
      </c>
      <c r="AB1175" s="44">
        <f>IFERROR(VLOOKUP(A1175,'[2]UPDATE BILL 2018'!$B:$T,19,0),IFERROR(VLOOKUP(A1175,'[2]UPDATE BILL 2018'!$C:$T,18,0),IFERROR(VLOOKUP(A1175,'[2]UPDATE BILL 2018'!$D:$T,17,0),IFERROR(VLOOKUP(A1175,'[2]UPDATE BILL 2018'!$E:$T,16,0),IFERROR(VLOOKUP(A1175,'[2]UPDATE BILL 2018'!$F:$T,15,0),IFERROR(VLOOKUP(A1175,'[2]UPDATE BILL 2018'!$G:$T,14,0),IFERROR(VLOOKUP(A1175,'[2]UPDATE BILL 2018'!$H:$T,13,0),IFERROR(VLOOKUP(A1175,'[2]UPDATE BILL 2018'!$I:$T,12,0),VLOOKUP(A1175,'[2]UPDATE BILL 2018'!$B:$T,19,0)))))))))</f>
        <v>43306</v>
      </c>
      <c r="AC1175" s="44" t="str">
        <f>IFERROR(VLOOKUP(A1175,'[2]UPDATE BILL 2018'!$B:$V,21,0),IFERROR(VLOOKUP(A1175,'[2]UPDATE BILL 2018'!$C:$V,20,0),IFERROR(VLOOKUP(A1175,'[2]UPDATE BILL 2018'!$D:$V,19,0),IFERROR(VLOOKUP(A1175,'[2]UPDATE BILL 2018'!$E:$V,18,0),IFERROR(VLOOKUP(A1175,'[2]UPDATE BILL 2018'!$F:$V,17,0),IFERROR(VLOOKUP(A1175,'[2]UPDATE BILL 2018'!$G:$V,16,0),IFERROR(VLOOKUP(A1175,'[2]UPDATE BILL 2018'!$H:$V,15,0),IFERROR(VLOOKUP(A1175,'[2]UPDATE BILL 2018'!$I:$V,14,0),VLOOKUP(A1175,'[2]UPDATE BILL 2018'!$B:$V,21,0)))))))))</f>
        <v>AS FIONA N007</v>
      </c>
      <c r="AD1175" s="14" t="s">
        <v>51</v>
      </c>
      <c r="AE1175" s="24" t="s">
        <v>2613</v>
      </c>
      <c r="AF1175" s="25" t="str">
        <f t="shared" ref="AF1175:AF1182" si="78">+LEFT(AE1175,2)</f>
        <v>VS</v>
      </c>
      <c r="AG1175" t="e">
        <f t="shared" si="51"/>
        <v>#REF!</v>
      </c>
      <c r="AI1175" s="58"/>
    </row>
    <row r="1176" spans="1:35" ht="15.75" customHeight="1">
      <c r="A1176" s="6" t="s">
        <v>2608</v>
      </c>
      <c r="B1176" s="5">
        <v>640</v>
      </c>
      <c r="C1176" s="7">
        <v>61881.549999999988</v>
      </c>
      <c r="D1176" s="7">
        <f t="shared" si="75"/>
        <v>0</v>
      </c>
      <c r="E1176" s="7">
        <v>0</v>
      </c>
      <c r="F1176" s="5">
        <v>0</v>
      </c>
      <c r="G1176" s="7">
        <v>0</v>
      </c>
      <c r="H1176" s="5">
        <v>0</v>
      </c>
      <c r="I1176" s="7">
        <v>0</v>
      </c>
      <c r="J1176" s="7">
        <v>0</v>
      </c>
      <c r="K1176" s="5">
        <v>0</v>
      </c>
      <c r="L1176" s="5">
        <v>0</v>
      </c>
      <c r="M1176" s="5">
        <v>54</v>
      </c>
      <c r="N1176" s="7">
        <f t="shared" si="76"/>
        <v>54</v>
      </c>
      <c r="O1176" s="7">
        <v>11924.499999999998</v>
      </c>
      <c r="P1176" s="7">
        <v>0</v>
      </c>
      <c r="Q1176" s="5">
        <v>0</v>
      </c>
      <c r="R1176" s="5">
        <v>0</v>
      </c>
      <c r="S1176" s="7">
        <v>0</v>
      </c>
      <c r="T1176" s="12">
        <v>43304</v>
      </c>
      <c r="U1176" s="4">
        <v>6</v>
      </c>
      <c r="V1176" s="4">
        <v>9</v>
      </c>
      <c r="W1176" s="4">
        <v>9</v>
      </c>
      <c r="X1176" s="45">
        <f t="shared" si="77"/>
        <v>73806.049999999988</v>
      </c>
      <c r="Y1176" s="14" t="s">
        <v>56</v>
      </c>
      <c r="Z1176" s="14" t="s">
        <v>59</v>
      </c>
      <c r="AA1176" s="14" t="str">
        <f>IFERROR(VLOOKUP(A1176,'[2]UPDATE BILL 2018'!$B:$P,15,0),IFERROR(VLOOKUP(A1176,'[2]UPDATE BILL 2018'!$C:$P,14,0),IFERROR(VLOOKUP(A1176,'[2]UPDATE BILL 2018'!$D:$P,13,0),IFERROR(VLOOKUP(A1176,'[2]UPDATE BILL 2018'!$E:$P,12,0),IFERROR(VLOOKUP(A1176,'[2]UPDATE BILL 2018'!$F:$P,11,0),IFERROR(VLOOKUP(A1176,'[2]UPDATE BILL 2018'!$G:$P,10,0),IFERROR(VLOOKUP(A1176,'[2]UPDATE BILL 2018'!$H:$P,9,0),IFERROR(VLOOKUP(A1176,'[2]UPDATE BILL 2018'!$I:$P,8,0),VLOOKUP(A1176,'[2]UPDATE BILL 2018'!$B:$P,15,0)))))))))</f>
        <v>1008X03907</v>
      </c>
      <c r="AB1176" s="44">
        <f>IFERROR(VLOOKUP(A1176,'[2]UPDATE BILL 2018'!$B:$T,19,0),IFERROR(VLOOKUP(A1176,'[2]UPDATE BILL 2018'!$C:$T,18,0),IFERROR(VLOOKUP(A1176,'[2]UPDATE BILL 2018'!$D:$T,17,0),IFERROR(VLOOKUP(A1176,'[2]UPDATE BILL 2018'!$E:$T,16,0),IFERROR(VLOOKUP(A1176,'[2]UPDATE BILL 2018'!$F:$T,15,0),IFERROR(VLOOKUP(A1176,'[2]UPDATE BILL 2018'!$G:$T,14,0),IFERROR(VLOOKUP(A1176,'[2]UPDATE BILL 2018'!$H:$T,13,0),IFERROR(VLOOKUP(A1176,'[2]UPDATE BILL 2018'!$I:$T,12,0),VLOOKUP(A1176,'[2]UPDATE BILL 2018'!$B:$T,19,0)))))))))</f>
        <v>43313</v>
      </c>
      <c r="AC1176" s="44" t="str">
        <f>IFERROR(VLOOKUP(A1176,'[2]UPDATE BILL 2018'!$B:$V,21,0),IFERROR(VLOOKUP(A1176,'[2]UPDATE BILL 2018'!$C:$V,20,0),IFERROR(VLOOKUP(A1176,'[2]UPDATE BILL 2018'!$D:$V,19,0),IFERROR(VLOOKUP(A1176,'[2]UPDATE BILL 2018'!$E:$V,18,0),IFERROR(VLOOKUP(A1176,'[2]UPDATE BILL 2018'!$F:$V,17,0),IFERROR(VLOOKUP(A1176,'[2]UPDATE BILL 2018'!$G:$V,16,0),IFERROR(VLOOKUP(A1176,'[2]UPDATE BILL 2018'!$H:$V,15,0),IFERROR(VLOOKUP(A1176,'[2]UPDATE BILL 2018'!$I:$V,14,0),VLOOKUP(A1176,'[2]UPDATE BILL 2018'!$B:$V,21,0)))))))))</f>
        <v>AS RAFAELA N001</v>
      </c>
      <c r="AD1176" s="14" t="s">
        <v>51</v>
      </c>
      <c r="AE1176" s="24" t="s">
        <v>2614</v>
      </c>
      <c r="AF1176" s="25" t="str">
        <f t="shared" si="78"/>
        <v>VS</v>
      </c>
      <c r="AG1176" t="e">
        <f t="shared" si="51"/>
        <v>#REF!</v>
      </c>
      <c r="AI1176" s="58"/>
    </row>
    <row r="1177" spans="1:35" ht="15.75" customHeight="1">
      <c r="A1177" s="6" t="s">
        <v>2609</v>
      </c>
      <c r="B1177" s="5">
        <v>1296</v>
      </c>
      <c r="C1177" s="7">
        <v>115232.94000000002</v>
      </c>
      <c r="D1177" s="7">
        <f t="shared" si="75"/>
        <v>0</v>
      </c>
      <c r="E1177" s="7">
        <v>0</v>
      </c>
      <c r="F1177" s="5">
        <v>0</v>
      </c>
      <c r="G1177" s="7">
        <v>0</v>
      </c>
      <c r="H1177" s="5">
        <v>0</v>
      </c>
      <c r="I1177" s="7">
        <v>0</v>
      </c>
      <c r="J1177" s="7">
        <v>0</v>
      </c>
      <c r="K1177" s="5">
        <v>0</v>
      </c>
      <c r="L1177" s="5">
        <v>0</v>
      </c>
      <c r="M1177" s="5">
        <v>58</v>
      </c>
      <c r="N1177" s="7">
        <f t="shared" si="76"/>
        <v>58</v>
      </c>
      <c r="O1177" s="7">
        <v>11056.6</v>
      </c>
      <c r="P1177" s="7">
        <v>0</v>
      </c>
      <c r="Q1177" s="5">
        <v>0</v>
      </c>
      <c r="R1177" s="5">
        <v>0</v>
      </c>
      <c r="S1177" s="7">
        <v>0</v>
      </c>
      <c r="T1177" s="12">
        <v>43304</v>
      </c>
      <c r="U1177" s="4">
        <v>10</v>
      </c>
      <c r="V1177" s="4">
        <v>9</v>
      </c>
      <c r="W1177" s="4">
        <v>9</v>
      </c>
      <c r="X1177" s="45">
        <f t="shared" si="77"/>
        <v>126289.54000000002</v>
      </c>
      <c r="Y1177" s="14" t="s">
        <v>54</v>
      </c>
      <c r="Z1177" s="14" t="s">
        <v>57</v>
      </c>
      <c r="AA1177" s="14" t="str">
        <f>IFERROR(VLOOKUP(A1177,'[2]UPDATE BILL 2018'!$B:$P,15,0),IFERROR(VLOOKUP(A1177,'[2]UPDATE BILL 2018'!$C:$P,14,0),IFERROR(VLOOKUP(A1177,'[2]UPDATE BILL 2018'!$D:$P,13,0),IFERROR(VLOOKUP(A1177,'[2]UPDATE BILL 2018'!$E:$P,12,0),IFERROR(VLOOKUP(A1177,'[2]UPDATE BILL 2018'!$F:$P,11,0),IFERROR(VLOOKUP(A1177,'[2]UPDATE BILL 2018'!$G:$P,10,0),IFERROR(VLOOKUP(A1177,'[2]UPDATE BILL 2018'!$H:$P,9,0),IFERROR(VLOOKUP(A1177,'[2]UPDATE BILL 2018'!$I:$P,8,0),VLOOKUP(A1177,'[2]UPDATE BILL 2018'!$B:$P,15,0)))))))))</f>
        <v>SITWHPKW172561</v>
      </c>
      <c r="AB1177" s="44">
        <f>IFERROR(VLOOKUP(A1177,'[2]UPDATE BILL 2018'!$B:$T,19,0),IFERROR(VLOOKUP(A1177,'[2]UPDATE BILL 2018'!$C:$T,18,0),IFERROR(VLOOKUP(A1177,'[2]UPDATE BILL 2018'!$D:$T,17,0),IFERROR(VLOOKUP(A1177,'[2]UPDATE BILL 2018'!$E:$T,16,0),IFERROR(VLOOKUP(A1177,'[2]UPDATE BILL 2018'!$F:$T,15,0),IFERROR(VLOOKUP(A1177,'[2]UPDATE BILL 2018'!$G:$T,14,0),IFERROR(VLOOKUP(A1177,'[2]UPDATE BILL 2018'!$H:$T,13,0),IFERROR(VLOOKUP(A1177,'[2]UPDATE BILL 2018'!$I:$T,12,0),VLOOKUP(A1177,'[2]UPDATE BILL 2018'!$B:$T,19,0)))))))))</f>
        <v>43322</v>
      </c>
      <c r="AC1177" s="44" t="str">
        <f>IFERROR(VLOOKUP(A1177,'[2]UPDATE BILL 2018'!$B:$V,21,0),IFERROR(VLOOKUP(A1177,'[2]UPDATE BILL 2018'!$C:$V,20,0),IFERROR(VLOOKUP(A1177,'[2]UPDATE BILL 2018'!$D:$V,19,0),IFERROR(VLOOKUP(A1177,'[2]UPDATE BILL 2018'!$E:$V,18,0),IFERROR(VLOOKUP(A1177,'[2]UPDATE BILL 2018'!$F:$V,17,0),IFERROR(VLOOKUP(A1177,'[2]UPDATE BILL 2018'!$G:$V,16,0),IFERROR(VLOOKUP(A1177,'[2]UPDATE BILL 2018'!$H:$V,15,0),IFERROR(VLOOKUP(A1177,'[2]UPDATE BILL 2018'!$I:$V,14,0),VLOOKUP(A1177,'[2]UPDATE BILL 2018'!$B:$V,21,0)))))))))</f>
        <v>HYUNDAI HARMONY 1831N</v>
      </c>
      <c r="AD1177" s="14" t="s">
        <v>50</v>
      </c>
      <c r="AE1177" s="24" t="s">
        <v>2615</v>
      </c>
      <c r="AF1177" s="25" t="str">
        <f t="shared" si="78"/>
        <v>VW</v>
      </c>
      <c r="AG1177" t="e">
        <f t="shared" si="51"/>
        <v>#REF!</v>
      </c>
      <c r="AI1177" s="58"/>
    </row>
    <row r="1178" spans="1:35" ht="15.75" customHeight="1">
      <c r="A1178" s="6" t="s">
        <v>2610</v>
      </c>
      <c r="D1178" s="7">
        <f t="shared" si="75"/>
        <v>0</v>
      </c>
      <c r="E1178" s="7">
        <v>0</v>
      </c>
      <c r="F1178" s="5">
        <v>0</v>
      </c>
      <c r="G1178" s="7">
        <v>0</v>
      </c>
      <c r="H1178" s="5">
        <v>0</v>
      </c>
      <c r="I1178" s="7">
        <v>0</v>
      </c>
      <c r="J1178" s="7">
        <v>0</v>
      </c>
      <c r="K1178" s="5">
        <v>0</v>
      </c>
      <c r="L1178" s="5">
        <v>0</v>
      </c>
      <c r="M1178" s="5">
        <v>0</v>
      </c>
      <c r="N1178" s="7">
        <f t="shared" si="76"/>
        <v>0</v>
      </c>
      <c r="O1178" s="7">
        <v>0</v>
      </c>
      <c r="P1178" s="7">
        <v>0</v>
      </c>
      <c r="Q1178" s="5">
        <v>0</v>
      </c>
      <c r="R1178" s="5">
        <v>1022</v>
      </c>
      <c r="S1178" s="7">
        <v>139231.20000000001</v>
      </c>
      <c r="T1178" s="12">
        <v>43304</v>
      </c>
      <c r="U1178" s="4">
        <v>4</v>
      </c>
      <c r="V1178" s="4">
        <v>9</v>
      </c>
      <c r="W1178" s="4">
        <v>9</v>
      </c>
      <c r="X1178" s="45">
        <f t="shared" si="77"/>
        <v>139231.20000000001</v>
      </c>
      <c r="Y1178" s="14" t="s">
        <v>54</v>
      </c>
      <c r="Z1178" s="14" t="s">
        <v>57</v>
      </c>
      <c r="AA1178" s="14" t="str">
        <f>IFERROR(VLOOKUP(A1178,'[2]UPDATE BILL 2018'!$B:$P,15,0),IFERROR(VLOOKUP(A1178,'[2]UPDATE BILL 2018'!$C:$P,14,0),IFERROR(VLOOKUP(A1178,'[2]UPDATE BILL 2018'!$D:$P,13,0),IFERROR(VLOOKUP(A1178,'[2]UPDATE BILL 2018'!$E:$P,12,0),IFERROR(VLOOKUP(A1178,'[2]UPDATE BILL 2018'!$F:$P,11,0),IFERROR(VLOOKUP(A1178,'[2]UPDATE BILL 2018'!$G:$P,10,0),IFERROR(VLOOKUP(A1178,'[2]UPDATE BILL 2018'!$H:$P,9,0),IFERROR(VLOOKUP(A1178,'[2]UPDATE BILL 2018'!$I:$P,8,0),VLOOKUP(A1178,'[2]UPDATE BILL 2018'!$B:$P,15,0)))))))))</f>
        <v>SITWHPKW172561</v>
      </c>
      <c r="AB1178" s="44">
        <f>IFERROR(VLOOKUP(A1178,'[2]UPDATE BILL 2018'!$B:$T,19,0),IFERROR(VLOOKUP(A1178,'[2]UPDATE BILL 2018'!$C:$T,18,0),IFERROR(VLOOKUP(A1178,'[2]UPDATE BILL 2018'!$D:$T,17,0),IFERROR(VLOOKUP(A1178,'[2]UPDATE BILL 2018'!$E:$T,16,0),IFERROR(VLOOKUP(A1178,'[2]UPDATE BILL 2018'!$F:$T,15,0),IFERROR(VLOOKUP(A1178,'[2]UPDATE BILL 2018'!$G:$T,14,0),IFERROR(VLOOKUP(A1178,'[2]UPDATE BILL 2018'!$H:$T,13,0),IFERROR(VLOOKUP(A1178,'[2]UPDATE BILL 2018'!$I:$T,12,0),VLOOKUP(A1178,'[2]UPDATE BILL 2018'!$B:$T,19,0)))))))))</f>
        <v>43322</v>
      </c>
      <c r="AC1178" s="44" t="str">
        <f>IFERROR(VLOOKUP(A1178,'[2]UPDATE BILL 2018'!$B:$V,21,0),IFERROR(VLOOKUP(A1178,'[2]UPDATE BILL 2018'!$C:$V,20,0),IFERROR(VLOOKUP(A1178,'[2]UPDATE BILL 2018'!$D:$V,19,0),IFERROR(VLOOKUP(A1178,'[2]UPDATE BILL 2018'!$E:$V,18,0),IFERROR(VLOOKUP(A1178,'[2]UPDATE BILL 2018'!$F:$V,17,0),IFERROR(VLOOKUP(A1178,'[2]UPDATE BILL 2018'!$G:$V,16,0),IFERROR(VLOOKUP(A1178,'[2]UPDATE BILL 2018'!$H:$V,15,0),IFERROR(VLOOKUP(A1178,'[2]UPDATE BILL 2018'!$I:$V,14,0),VLOOKUP(A1178,'[2]UPDATE BILL 2018'!$B:$V,21,0)))))))))</f>
        <v>HYUNDAI HARMONY 1831N</v>
      </c>
      <c r="AD1178" s="14" t="s">
        <v>50</v>
      </c>
      <c r="AE1178" s="24" t="s">
        <v>2616</v>
      </c>
      <c r="AF1178" s="25" t="s">
        <v>2151</v>
      </c>
      <c r="AG1178" t="e">
        <f t="shared" si="51"/>
        <v>#N/A</v>
      </c>
      <c r="AI1178" s="58"/>
    </row>
    <row r="1179" spans="1:35" ht="15.75" customHeight="1">
      <c r="A1179" s="6" t="s">
        <v>2617</v>
      </c>
      <c r="B1179" s="5">
        <v>58</v>
      </c>
      <c r="C1179" s="7">
        <v>6138.16</v>
      </c>
      <c r="D1179" s="7">
        <f t="shared" si="75"/>
        <v>0</v>
      </c>
      <c r="E1179" s="7">
        <v>0</v>
      </c>
      <c r="F1179" s="5">
        <v>0</v>
      </c>
      <c r="G1179" s="7">
        <v>0</v>
      </c>
      <c r="H1179" s="5">
        <v>50</v>
      </c>
      <c r="I1179" s="7">
        <v>5245.8</v>
      </c>
      <c r="J1179" s="7">
        <v>0</v>
      </c>
      <c r="K1179" s="5">
        <v>0</v>
      </c>
      <c r="L1179" s="5">
        <v>0</v>
      </c>
      <c r="M1179" s="5">
        <v>0</v>
      </c>
      <c r="N1179" s="7">
        <f t="shared" si="76"/>
        <v>0</v>
      </c>
      <c r="O1179" s="7">
        <v>0</v>
      </c>
      <c r="P1179" s="7">
        <v>0</v>
      </c>
      <c r="Q1179" s="5">
        <v>0</v>
      </c>
      <c r="R1179" s="5">
        <v>0</v>
      </c>
      <c r="S1179" s="7">
        <v>0</v>
      </c>
      <c r="T1179" s="12">
        <v>43305</v>
      </c>
      <c r="U1179" s="4">
        <v>1</v>
      </c>
      <c r="V1179" s="4">
        <v>9</v>
      </c>
      <c r="W1179" s="4">
        <v>9</v>
      </c>
      <c r="X1179" s="45">
        <f t="shared" si="77"/>
        <v>11383.96</v>
      </c>
      <c r="Y1179" s="14" t="s">
        <v>1633</v>
      </c>
      <c r="Z1179" s="14" t="s">
        <v>1492</v>
      </c>
      <c r="AA1179" s="14" t="str">
        <f>IFERROR(VLOOKUP(A1179,'[2]UPDATE BILL 2018'!$B:$P,15,0),IFERROR(VLOOKUP(A1179,'[2]UPDATE BILL 2018'!$C:$P,14,0),IFERROR(VLOOKUP(A1179,'[2]UPDATE BILL 2018'!$D:$P,13,0),IFERROR(VLOOKUP(A1179,'[2]UPDATE BILL 2018'!$E:$P,12,0),IFERROR(VLOOKUP(A1179,'[2]UPDATE BILL 2018'!$F:$P,11,0),IFERROR(VLOOKUP(A1179,'[2]UPDATE BILL 2018'!$G:$P,10,0),IFERROR(VLOOKUP(A1179,'[2]UPDATE BILL 2018'!$H:$P,9,0),IFERROR(VLOOKUP(A1179,'[2]UPDATE BILL 2018'!$I:$P,8,0),VLOOKUP(A1179,'[2]UPDATE BILL 2018'!$B:$P,15,0)))))))))</f>
        <v>KMTCHPH0563587</v>
      </c>
      <c r="AB1179" s="44">
        <f>IFERROR(VLOOKUP(A1179,'[2]UPDATE BILL 2018'!$B:$T,19,0),IFERROR(VLOOKUP(A1179,'[2]UPDATE BILL 2018'!$C:$T,18,0),IFERROR(VLOOKUP(A1179,'[2]UPDATE BILL 2018'!$D:$T,17,0),IFERROR(VLOOKUP(A1179,'[2]UPDATE BILL 2018'!$E:$T,16,0),IFERROR(VLOOKUP(A1179,'[2]UPDATE BILL 2018'!$F:$T,15,0),IFERROR(VLOOKUP(A1179,'[2]UPDATE BILL 2018'!$G:$T,14,0),IFERROR(VLOOKUP(A1179,'[2]UPDATE BILL 2018'!$H:$T,13,0),IFERROR(VLOOKUP(A1179,'[2]UPDATE BILL 2018'!$I:$T,12,0),VLOOKUP(A1179,'[2]UPDATE BILL 2018'!$B:$T,19,0)))))))))</f>
        <v>43311</v>
      </c>
      <c r="AC1179" s="44" t="str">
        <f>IFERROR(VLOOKUP(A1179,'[2]UPDATE BILL 2018'!$B:$V,21,0),IFERROR(VLOOKUP(A1179,'[2]UPDATE BILL 2018'!$C:$V,20,0),IFERROR(VLOOKUP(A1179,'[2]UPDATE BILL 2018'!$D:$V,19,0),IFERROR(VLOOKUP(A1179,'[2]UPDATE BILL 2018'!$E:$V,18,0),IFERROR(VLOOKUP(A1179,'[2]UPDATE BILL 2018'!$F:$V,17,0),IFERROR(VLOOKUP(A1179,'[2]UPDATE BILL 2018'!$G:$V,16,0),IFERROR(VLOOKUP(A1179,'[2]UPDATE BILL 2018'!$H:$V,15,0),IFERROR(VLOOKUP(A1179,'[2]UPDATE BILL 2018'!$I:$V,14,0),VLOOKUP(A1179,'[2]UPDATE BILL 2018'!$B:$V,21,0)))))))))</f>
        <v>SUNNY CLOVER 1815N</v>
      </c>
      <c r="AD1179" s="14" t="s">
        <v>70</v>
      </c>
      <c r="AE1179" s="24" t="s">
        <v>2632</v>
      </c>
      <c r="AF1179" s="25" t="str">
        <f t="shared" si="78"/>
        <v>VH</v>
      </c>
      <c r="AG1179" t="e">
        <f t="shared" si="51"/>
        <v>#REF!</v>
      </c>
      <c r="AI1179" s="58"/>
    </row>
    <row r="1180" spans="1:35" ht="15.75" customHeight="1">
      <c r="A1180" s="6" t="s">
        <v>2618</v>
      </c>
      <c r="D1180" s="7">
        <f t="shared" si="75"/>
        <v>0</v>
      </c>
      <c r="E1180" s="7">
        <v>0</v>
      </c>
      <c r="F1180" s="5">
        <v>0</v>
      </c>
      <c r="G1180" s="7">
        <v>0</v>
      </c>
      <c r="H1180" s="5">
        <v>0</v>
      </c>
      <c r="I1180" s="7">
        <v>0</v>
      </c>
      <c r="J1180" s="7">
        <v>0</v>
      </c>
      <c r="K1180" s="5">
        <v>0</v>
      </c>
      <c r="L1180" s="5">
        <v>0</v>
      </c>
      <c r="M1180" s="5">
        <v>557</v>
      </c>
      <c r="N1180" s="7">
        <f t="shared" si="76"/>
        <v>557</v>
      </c>
      <c r="O1180" s="7">
        <v>17902.8</v>
      </c>
      <c r="P1180" s="7">
        <v>0</v>
      </c>
      <c r="Q1180" s="5">
        <v>0</v>
      </c>
      <c r="R1180" s="5">
        <v>0</v>
      </c>
      <c r="S1180" s="7">
        <v>0</v>
      </c>
      <c r="T1180" s="12">
        <v>43305</v>
      </c>
      <c r="U1180" s="4">
        <v>1</v>
      </c>
      <c r="V1180" s="4">
        <v>9</v>
      </c>
      <c r="W1180" s="4">
        <v>9</v>
      </c>
      <c r="X1180" s="45">
        <f t="shared" si="77"/>
        <v>17902.8</v>
      </c>
      <c r="Y1180" s="14" t="s">
        <v>54</v>
      </c>
      <c r="Z1180" s="14" t="s">
        <v>1637</v>
      </c>
      <c r="AA1180" s="14" t="str">
        <f>IFERROR(VLOOKUP(A1180,'[2]UPDATE BILL 2018'!$B:$P,15,0),IFERROR(VLOOKUP(A1180,'[2]UPDATE BILL 2018'!$C:$P,14,0),IFERROR(VLOOKUP(A1180,'[2]UPDATE BILL 2018'!$D:$P,13,0),IFERROR(VLOOKUP(A1180,'[2]UPDATE BILL 2018'!$E:$P,12,0),IFERROR(VLOOKUP(A1180,'[2]UPDATE BILL 2018'!$F:$P,11,0),IFERROR(VLOOKUP(A1180,'[2]UPDATE BILL 2018'!$G:$P,10,0),IFERROR(VLOOKUP(A1180,'[2]UPDATE BILL 2018'!$H:$P,9,0),IFERROR(VLOOKUP(A1180,'[2]UPDATE BILL 2018'!$I:$P,8,0),VLOOKUP(A1180,'[2]UPDATE BILL 2018'!$B:$P,15,0)))))))))</f>
        <v>SITWHPTK172504</v>
      </c>
      <c r="AB1180" s="44">
        <f>IFERROR(VLOOKUP(A1180,'[2]UPDATE BILL 2018'!$B:$T,19,0),IFERROR(VLOOKUP(A1180,'[2]UPDATE BILL 2018'!$C:$T,18,0),IFERROR(VLOOKUP(A1180,'[2]UPDATE BILL 2018'!$D:$T,17,0),IFERROR(VLOOKUP(A1180,'[2]UPDATE BILL 2018'!$E:$T,16,0),IFERROR(VLOOKUP(A1180,'[2]UPDATE BILL 2018'!$F:$T,15,0),IFERROR(VLOOKUP(A1180,'[2]UPDATE BILL 2018'!$G:$T,14,0),IFERROR(VLOOKUP(A1180,'[2]UPDATE BILL 2018'!$H:$T,13,0),IFERROR(VLOOKUP(A1180,'[2]UPDATE BILL 2018'!$I:$T,12,0),VLOOKUP(A1180,'[2]UPDATE BILL 2018'!$B:$T,19,0)))))))))</f>
        <v>43311</v>
      </c>
      <c r="AC1180" s="44" t="str">
        <f>IFERROR(VLOOKUP(A1180,'[2]UPDATE BILL 2018'!$B:$V,21,0),IFERROR(VLOOKUP(A1180,'[2]UPDATE BILL 2018'!$C:$V,20,0),IFERROR(VLOOKUP(A1180,'[2]UPDATE BILL 2018'!$D:$V,19,0),IFERROR(VLOOKUP(A1180,'[2]UPDATE BILL 2018'!$E:$V,18,0),IFERROR(VLOOKUP(A1180,'[2]UPDATE BILL 2018'!$F:$V,17,0),IFERROR(VLOOKUP(A1180,'[2]UPDATE BILL 2018'!$G:$V,16,0),IFERROR(VLOOKUP(A1180,'[2]UPDATE BILL 2018'!$H:$V,15,0),IFERROR(VLOOKUP(A1180,'[2]UPDATE BILL 2018'!$I:$V,14,0),VLOOKUP(A1180,'[2]UPDATE BILL 2018'!$B:$V,21,0)))))))))</f>
        <v>RESURGENCE 1819N</v>
      </c>
      <c r="AD1180" s="14" t="s">
        <v>49</v>
      </c>
      <c r="AE1180" s="24" t="s">
        <v>2633</v>
      </c>
      <c r="AF1180" s="25" t="str">
        <f t="shared" si="78"/>
        <v>VK</v>
      </c>
      <c r="AG1180" t="e">
        <f t="shared" si="51"/>
        <v>#REF!</v>
      </c>
      <c r="AI1180" s="58"/>
    </row>
    <row r="1181" spans="1:35" ht="15.75" customHeight="1">
      <c r="A1181" s="6" t="s">
        <v>2619</v>
      </c>
      <c r="B1181" s="5">
        <v>75</v>
      </c>
      <c r="C1181" s="7">
        <v>7944</v>
      </c>
      <c r="D1181" s="7">
        <f t="shared" si="75"/>
        <v>0</v>
      </c>
      <c r="E1181" s="7">
        <v>0</v>
      </c>
      <c r="F1181" s="5">
        <v>0</v>
      </c>
      <c r="G1181" s="7">
        <v>0</v>
      </c>
      <c r="H1181" s="5">
        <v>30</v>
      </c>
      <c r="I1181" s="7">
        <v>3838.8</v>
      </c>
      <c r="J1181" s="7">
        <v>0</v>
      </c>
      <c r="K1181" s="5">
        <v>0</v>
      </c>
      <c r="L1181" s="5">
        <v>0</v>
      </c>
      <c r="M1181" s="5">
        <v>0</v>
      </c>
      <c r="N1181" s="7">
        <f t="shared" si="76"/>
        <v>0</v>
      </c>
      <c r="O1181" s="7">
        <v>0</v>
      </c>
      <c r="P1181" s="7">
        <v>0</v>
      </c>
      <c r="Q1181" s="5">
        <v>0</v>
      </c>
      <c r="R1181" s="5">
        <v>0</v>
      </c>
      <c r="S1181" s="7">
        <v>0</v>
      </c>
      <c r="T1181" s="12">
        <v>43305</v>
      </c>
      <c r="U1181" s="4">
        <v>1</v>
      </c>
      <c r="V1181" s="4">
        <v>9</v>
      </c>
      <c r="W1181" s="4">
        <v>9</v>
      </c>
      <c r="X1181" s="45">
        <f t="shared" si="77"/>
        <v>11782.8</v>
      </c>
      <c r="Y1181" s="14" t="s">
        <v>85</v>
      </c>
      <c r="Z1181" s="14" t="s">
        <v>1492</v>
      </c>
      <c r="AA1181" s="14">
        <f>IFERROR(VLOOKUP(A1181,'[2]UPDATE BILL 2018'!$B:$P,15,0),IFERROR(VLOOKUP(A1181,'[2]UPDATE BILL 2018'!$C:$P,14,0),IFERROR(VLOOKUP(A1181,'[2]UPDATE BILL 2018'!$D:$P,13,0),IFERROR(VLOOKUP(A1181,'[2]UPDATE BILL 2018'!$E:$P,12,0),IFERROR(VLOOKUP(A1181,'[2]UPDATE BILL 2018'!$F:$P,11,0),IFERROR(VLOOKUP(A1181,'[2]UPDATE BILL 2018'!$G:$P,10,0),IFERROR(VLOOKUP(A1181,'[2]UPDATE BILL 2018'!$H:$P,9,0),IFERROR(VLOOKUP(A1181,'[2]UPDATE BILL 2018'!$I:$P,8,0),VLOOKUP(A1181,'[2]UPDATE BILL 2018'!$B:$P,15,0)))))))))</f>
        <v>350810085668</v>
      </c>
      <c r="AB1181" s="44">
        <f>IFERROR(VLOOKUP(A1181,'[2]UPDATE BILL 2018'!$B:$T,19,0),IFERROR(VLOOKUP(A1181,'[2]UPDATE BILL 2018'!$C:$T,18,0),IFERROR(VLOOKUP(A1181,'[2]UPDATE BILL 2018'!$D:$T,17,0),IFERROR(VLOOKUP(A1181,'[2]UPDATE BILL 2018'!$E:$T,16,0),IFERROR(VLOOKUP(A1181,'[2]UPDATE BILL 2018'!$F:$T,15,0),IFERROR(VLOOKUP(A1181,'[2]UPDATE BILL 2018'!$G:$T,14,0),IFERROR(VLOOKUP(A1181,'[2]UPDATE BILL 2018'!$H:$T,13,0),IFERROR(VLOOKUP(A1181,'[2]UPDATE BILL 2018'!$I:$T,12,0),VLOOKUP(A1181,'[2]UPDATE BILL 2018'!$B:$T,19,0)))))))))</f>
        <v>43311</v>
      </c>
      <c r="AC1181" s="44" t="str">
        <f>IFERROR(VLOOKUP(A1181,'[2]UPDATE BILL 2018'!$B:$V,21,0),IFERROR(VLOOKUP(A1181,'[2]UPDATE BILL 2018'!$C:$V,20,0),IFERROR(VLOOKUP(A1181,'[2]UPDATE BILL 2018'!$D:$V,19,0),IFERROR(VLOOKUP(A1181,'[2]UPDATE BILL 2018'!$E:$V,18,0),IFERROR(VLOOKUP(A1181,'[2]UPDATE BILL 2018'!$F:$V,17,0),IFERROR(VLOOKUP(A1181,'[2]UPDATE BILL 2018'!$G:$V,16,0),IFERROR(VLOOKUP(A1181,'[2]UPDATE BILL 2018'!$H:$V,15,0),IFERROR(VLOOKUP(A1181,'[2]UPDATE BILL 2018'!$I:$V,14,0),VLOOKUP(A1181,'[2]UPDATE BILL 2018'!$B:$V,21,0)))))))))</f>
        <v>LANTAU BRIDE 18013N</v>
      </c>
      <c r="AD1181" s="14" t="s">
        <v>49</v>
      </c>
      <c r="AE1181" s="24" t="s">
        <v>2634</v>
      </c>
      <c r="AF1181" s="25" t="str">
        <f t="shared" si="78"/>
        <v>VN</v>
      </c>
      <c r="AG1181" t="e">
        <f t="shared" si="51"/>
        <v>#REF!</v>
      </c>
      <c r="AI1181" s="58"/>
    </row>
    <row r="1182" spans="1:35" ht="15.75" customHeight="1">
      <c r="A1182" s="6" t="s">
        <v>2620</v>
      </c>
      <c r="D1182" s="7">
        <f t="shared" si="75"/>
        <v>0</v>
      </c>
      <c r="E1182" s="7">
        <v>0</v>
      </c>
      <c r="F1182" s="5">
        <v>0</v>
      </c>
      <c r="G1182" s="7">
        <v>0</v>
      </c>
      <c r="H1182" s="5">
        <v>110</v>
      </c>
      <c r="I1182" s="7">
        <v>13073.500000000002</v>
      </c>
      <c r="J1182" s="7">
        <v>0</v>
      </c>
      <c r="K1182" s="5">
        <v>0</v>
      </c>
      <c r="L1182" s="5">
        <v>0</v>
      </c>
      <c r="M1182" s="5">
        <v>148</v>
      </c>
      <c r="N1182" s="7">
        <f t="shared" si="76"/>
        <v>148</v>
      </c>
      <c r="O1182" s="7">
        <v>10849.199999999999</v>
      </c>
      <c r="P1182" s="7">
        <v>0</v>
      </c>
      <c r="Q1182" s="5">
        <v>0</v>
      </c>
      <c r="R1182" s="5">
        <v>0</v>
      </c>
      <c r="S1182" s="7">
        <v>0</v>
      </c>
      <c r="T1182" s="12">
        <v>43305</v>
      </c>
      <c r="U1182" s="4">
        <v>2</v>
      </c>
      <c r="V1182" s="4">
        <v>9</v>
      </c>
      <c r="W1182" s="4">
        <v>9</v>
      </c>
      <c r="X1182" s="45">
        <f t="shared" si="77"/>
        <v>23922.7</v>
      </c>
      <c r="Y1182" s="14" t="s">
        <v>54</v>
      </c>
      <c r="Z1182" s="14" t="s">
        <v>1355</v>
      </c>
      <c r="AA1182" s="14" t="str">
        <f>IFERROR(VLOOKUP(A1182,'[2]UPDATE BILL 2018'!$B:$P,15,0),IFERROR(VLOOKUP(A1182,'[2]UPDATE BILL 2018'!$C:$P,14,0),IFERROR(VLOOKUP(A1182,'[2]UPDATE BILL 2018'!$D:$P,13,0),IFERROR(VLOOKUP(A1182,'[2]UPDATE BILL 2018'!$E:$P,12,0),IFERROR(VLOOKUP(A1182,'[2]UPDATE BILL 2018'!$F:$P,11,0),IFERROR(VLOOKUP(A1182,'[2]UPDATE BILL 2018'!$G:$P,10,0),IFERROR(VLOOKUP(A1182,'[2]UPDATE BILL 2018'!$H:$P,9,0),IFERROR(VLOOKUP(A1182,'[2]UPDATE BILL 2018'!$I:$P,8,0),VLOOKUP(A1182,'[2]UPDATE BILL 2018'!$B:$P,15,0)))))))))</f>
        <v>SITWHPHT172506</v>
      </c>
      <c r="AB1182" s="44">
        <f>IFERROR(VLOOKUP(A1182,'[2]UPDATE BILL 2018'!$B:$T,19,0),IFERROR(VLOOKUP(A1182,'[2]UPDATE BILL 2018'!$C:$T,18,0),IFERROR(VLOOKUP(A1182,'[2]UPDATE BILL 2018'!$D:$T,17,0),IFERROR(VLOOKUP(A1182,'[2]UPDATE BILL 2018'!$E:$T,16,0),IFERROR(VLOOKUP(A1182,'[2]UPDATE BILL 2018'!$F:$T,15,0),IFERROR(VLOOKUP(A1182,'[2]UPDATE BILL 2018'!$G:$T,14,0),IFERROR(VLOOKUP(A1182,'[2]UPDATE BILL 2018'!$H:$T,13,0),IFERROR(VLOOKUP(A1182,'[2]UPDATE BILL 2018'!$I:$T,12,0),VLOOKUP(A1182,'[2]UPDATE BILL 2018'!$B:$T,19,0)))))))))</f>
        <v>43310</v>
      </c>
      <c r="AC1182" s="44" t="str">
        <f>IFERROR(VLOOKUP(A1182,'[2]UPDATE BILL 2018'!$B:$V,21,0),IFERROR(VLOOKUP(A1182,'[2]UPDATE BILL 2018'!$C:$V,20,0),IFERROR(VLOOKUP(A1182,'[2]UPDATE BILL 2018'!$D:$V,19,0),IFERROR(VLOOKUP(A1182,'[2]UPDATE BILL 2018'!$E:$V,18,0),IFERROR(VLOOKUP(A1182,'[2]UPDATE BILL 2018'!$F:$V,17,0),IFERROR(VLOOKUP(A1182,'[2]UPDATE BILL 2018'!$G:$V,16,0),IFERROR(VLOOKUP(A1182,'[2]UPDATE BILL 2018'!$H:$V,15,0),IFERROR(VLOOKUP(A1182,'[2]UPDATE BILL 2018'!$I:$V,14,0),VLOOKUP(A1182,'[2]UPDATE BILL 2018'!$B:$V,21,0)))))))))</f>
        <v>SITC YANTAI 1817N</v>
      </c>
      <c r="AD1182" s="14" t="s">
        <v>52</v>
      </c>
      <c r="AE1182" s="24" t="s">
        <v>2635</v>
      </c>
      <c r="AF1182" s="25" t="str">
        <f t="shared" si="78"/>
        <v>VQ</v>
      </c>
      <c r="AG1182" t="e">
        <f t="shared" si="51"/>
        <v>#REF!</v>
      </c>
      <c r="AI1182" s="58"/>
    </row>
    <row r="1183" spans="1:35" ht="15.75" customHeight="1">
      <c r="A1183" s="6" t="s">
        <v>2621</v>
      </c>
      <c r="B1183" s="5">
        <v>433</v>
      </c>
      <c r="C1183" s="7">
        <v>23689.08</v>
      </c>
      <c r="D1183" s="7">
        <f t="shared" si="66"/>
        <v>0</v>
      </c>
      <c r="E1183" s="7">
        <v>0</v>
      </c>
      <c r="F1183" s="5">
        <v>0</v>
      </c>
      <c r="G1183" s="7">
        <v>0</v>
      </c>
      <c r="H1183" s="5">
        <v>210</v>
      </c>
      <c r="I1183" s="7">
        <v>25148.9</v>
      </c>
      <c r="J1183" s="7">
        <v>0</v>
      </c>
      <c r="K1183" s="5">
        <v>0</v>
      </c>
      <c r="L1183" s="5">
        <v>0</v>
      </c>
      <c r="M1183" s="5">
        <v>59</v>
      </c>
      <c r="N1183" s="7">
        <f t="shared" si="67"/>
        <v>59</v>
      </c>
      <c r="O1183" s="7">
        <v>10783.5</v>
      </c>
      <c r="P1183" s="7">
        <v>0</v>
      </c>
      <c r="Q1183" s="5">
        <v>0</v>
      </c>
      <c r="R1183" s="5">
        <v>0</v>
      </c>
      <c r="S1183" s="7">
        <v>0</v>
      </c>
      <c r="T1183" s="12">
        <v>43305</v>
      </c>
      <c r="U1183" s="4">
        <v>4</v>
      </c>
      <c r="V1183" s="4">
        <v>9</v>
      </c>
      <c r="W1183" s="4">
        <v>9</v>
      </c>
      <c r="X1183" s="45">
        <f t="shared" si="69"/>
        <v>59621.48</v>
      </c>
      <c r="Y1183" s="14" t="s">
        <v>56</v>
      </c>
      <c r="Z1183" s="14" t="s">
        <v>1281</v>
      </c>
      <c r="AA1183" s="14" t="str">
        <f>IFERROR(VLOOKUP(A1183,'[2]UPDATE BILL 2018'!$B:$P,15,0),IFERROR(VLOOKUP(A1183,'[2]UPDATE BILL 2018'!$C:$P,14,0),IFERROR(VLOOKUP(A1183,'[2]UPDATE BILL 2018'!$D:$P,13,0),IFERROR(VLOOKUP(A1183,'[2]UPDATE BILL 2018'!$E:$P,12,0),IFERROR(VLOOKUP(A1183,'[2]UPDATE BILL 2018'!$F:$P,11,0),IFERROR(VLOOKUP(A1183,'[2]UPDATE BILL 2018'!$G:$P,10,0),IFERROR(VLOOKUP(A1183,'[2]UPDATE BILL 2018'!$H:$P,9,0),IFERROR(VLOOKUP(A1183,'[2]UPDATE BILL 2018'!$I:$P,8,0),VLOOKUP(A1183,'[2]UPDATE BILL 2018'!$B:$P,15,0)))))))))</f>
        <v>1008X03900</v>
      </c>
      <c r="AB1183" s="44">
        <f>IFERROR(VLOOKUP(A1183,'[2]UPDATE BILL 2018'!$B:$T,19,0),IFERROR(VLOOKUP(A1183,'[2]UPDATE BILL 2018'!$C:$T,18,0),IFERROR(VLOOKUP(A1183,'[2]UPDATE BILL 2018'!$D:$T,17,0),IFERROR(VLOOKUP(A1183,'[2]UPDATE BILL 2018'!$E:$T,16,0),IFERROR(VLOOKUP(A1183,'[2]UPDATE BILL 2018'!$F:$T,15,0),IFERROR(VLOOKUP(A1183,'[2]UPDATE BILL 2018'!$G:$T,14,0),IFERROR(VLOOKUP(A1183,'[2]UPDATE BILL 2018'!$H:$T,13,0),IFERROR(VLOOKUP(A1183,'[2]UPDATE BILL 2018'!$I:$T,12,0),VLOOKUP(A1183,'[2]UPDATE BILL 2018'!$B:$T,19,0)))))))))</f>
        <v>43309</v>
      </c>
      <c r="AC1183" s="44" t="str">
        <f>IFERROR(VLOOKUP(A1183,'[2]UPDATE BILL 2018'!$B:$V,21,0),IFERROR(VLOOKUP(A1183,'[2]UPDATE BILL 2018'!$C:$V,20,0),IFERROR(VLOOKUP(A1183,'[2]UPDATE BILL 2018'!$D:$V,19,0),IFERROR(VLOOKUP(A1183,'[2]UPDATE BILL 2018'!$E:$V,18,0),IFERROR(VLOOKUP(A1183,'[2]UPDATE BILL 2018'!$F:$V,17,0),IFERROR(VLOOKUP(A1183,'[2]UPDATE BILL 2018'!$G:$V,16,0),IFERROR(VLOOKUP(A1183,'[2]UPDATE BILL 2018'!$H:$V,15,0),IFERROR(VLOOKUP(A1183,'[2]UPDATE BILL 2018'!$I:$V,14,0),VLOOKUP(A1183,'[2]UPDATE BILL 2018'!$B:$V,21,0)))))))))</f>
        <v>PAOLA N023</v>
      </c>
      <c r="AD1183" s="14" t="s">
        <v>51</v>
      </c>
      <c r="AE1183" s="24" t="s">
        <v>2636</v>
      </c>
      <c r="AF1183" s="25" t="str">
        <f t="shared" si="68"/>
        <v>VS</v>
      </c>
      <c r="AG1183" t="e">
        <f t="shared" si="51"/>
        <v>#REF!</v>
      </c>
      <c r="AI1183" s="58"/>
    </row>
    <row r="1184" spans="1:35" ht="15.75" customHeight="1">
      <c r="A1184" s="6" t="s">
        <v>2622</v>
      </c>
      <c r="B1184" s="5">
        <v>509</v>
      </c>
      <c r="C1184" s="7">
        <v>63525.920000000006</v>
      </c>
      <c r="D1184" s="7">
        <f t="shared" si="66"/>
        <v>0</v>
      </c>
      <c r="E1184" s="7">
        <v>0</v>
      </c>
      <c r="F1184" s="5">
        <v>0</v>
      </c>
      <c r="G1184" s="7">
        <v>0</v>
      </c>
      <c r="H1184" s="5">
        <v>125</v>
      </c>
      <c r="I1184" s="7">
        <v>14305.05</v>
      </c>
      <c r="J1184" s="7">
        <v>0</v>
      </c>
      <c r="K1184" s="5">
        <v>0</v>
      </c>
      <c r="L1184" s="5">
        <v>0</v>
      </c>
      <c r="M1184" s="5">
        <v>181</v>
      </c>
      <c r="N1184" s="7">
        <f t="shared" si="67"/>
        <v>181</v>
      </c>
      <c r="O1184" s="7">
        <v>15855.199999999999</v>
      </c>
      <c r="P1184" s="7">
        <v>0</v>
      </c>
      <c r="Q1184" s="5">
        <v>0</v>
      </c>
      <c r="R1184" s="5">
        <v>0</v>
      </c>
      <c r="S1184" s="7">
        <v>0</v>
      </c>
      <c r="T1184" s="12">
        <v>43305</v>
      </c>
      <c r="U1184" s="4">
        <v>8</v>
      </c>
      <c r="V1184" s="4">
        <v>9</v>
      </c>
      <c r="W1184" s="4">
        <v>9</v>
      </c>
      <c r="X1184" s="45">
        <f t="shared" si="69"/>
        <v>93686.17</v>
      </c>
      <c r="Y1184" s="14" t="s">
        <v>56</v>
      </c>
      <c r="Z1184" s="14" t="s">
        <v>59</v>
      </c>
      <c r="AA1184" s="14" t="str">
        <f>IFERROR(VLOOKUP(A1184,'[2]UPDATE BILL 2018'!$B:$P,15,0),IFERROR(VLOOKUP(A1184,'[2]UPDATE BILL 2018'!$C:$P,14,0),IFERROR(VLOOKUP(A1184,'[2]UPDATE BILL 2018'!$D:$P,13,0),IFERROR(VLOOKUP(A1184,'[2]UPDATE BILL 2018'!$E:$P,12,0),IFERROR(VLOOKUP(A1184,'[2]UPDATE BILL 2018'!$F:$P,11,0),IFERROR(VLOOKUP(A1184,'[2]UPDATE BILL 2018'!$G:$P,10,0),IFERROR(VLOOKUP(A1184,'[2]UPDATE BILL 2018'!$H:$P,9,0),IFERROR(VLOOKUP(A1184,'[2]UPDATE BILL 2018'!$I:$P,8,0),VLOOKUP(A1184,'[2]UPDATE BILL 2018'!$B:$P,15,0)))))))))</f>
        <v>1008X03907</v>
      </c>
      <c r="AB1184" s="44">
        <f>IFERROR(VLOOKUP(A1184,'[2]UPDATE BILL 2018'!$B:$T,19,0),IFERROR(VLOOKUP(A1184,'[2]UPDATE BILL 2018'!$C:$T,18,0),IFERROR(VLOOKUP(A1184,'[2]UPDATE BILL 2018'!$D:$T,17,0),IFERROR(VLOOKUP(A1184,'[2]UPDATE BILL 2018'!$E:$T,16,0),IFERROR(VLOOKUP(A1184,'[2]UPDATE BILL 2018'!$F:$T,15,0),IFERROR(VLOOKUP(A1184,'[2]UPDATE BILL 2018'!$G:$T,14,0),IFERROR(VLOOKUP(A1184,'[2]UPDATE BILL 2018'!$H:$T,13,0),IFERROR(VLOOKUP(A1184,'[2]UPDATE BILL 2018'!$I:$T,12,0),VLOOKUP(A1184,'[2]UPDATE BILL 2018'!$B:$T,19,0)))))))))</f>
        <v>43313</v>
      </c>
      <c r="AC1184" s="44" t="str">
        <f>IFERROR(VLOOKUP(A1184,'[2]UPDATE BILL 2018'!$B:$V,21,0),IFERROR(VLOOKUP(A1184,'[2]UPDATE BILL 2018'!$C:$V,20,0),IFERROR(VLOOKUP(A1184,'[2]UPDATE BILL 2018'!$D:$V,19,0),IFERROR(VLOOKUP(A1184,'[2]UPDATE BILL 2018'!$E:$V,18,0),IFERROR(VLOOKUP(A1184,'[2]UPDATE BILL 2018'!$F:$V,17,0),IFERROR(VLOOKUP(A1184,'[2]UPDATE BILL 2018'!$G:$V,16,0),IFERROR(VLOOKUP(A1184,'[2]UPDATE BILL 2018'!$H:$V,15,0),IFERROR(VLOOKUP(A1184,'[2]UPDATE BILL 2018'!$I:$V,14,0),VLOOKUP(A1184,'[2]UPDATE BILL 2018'!$B:$V,21,0)))))))))</f>
        <v>AS RAFAELA N001</v>
      </c>
      <c r="AD1184" s="14" t="s">
        <v>51</v>
      </c>
      <c r="AE1184" s="24" t="s">
        <v>2637</v>
      </c>
      <c r="AF1184" s="25" t="str">
        <f t="shared" si="68"/>
        <v>VS</v>
      </c>
      <c r="AG1184" t="e">
        <f t="shared" si="51"/>
        <v>#REF!</v>
      </c>
      <c r="AI1184" s="58"/>
    </row>
    <row r="1185" spans="1:35" ht="15.75" customHeight="1">
      <c r="A1185" s="6" t="s">
        <v>2623</v>
      </c>
      <c r="B1185" s="5">
        <v>312</v>
      </c>
      <c r="C1185" s="7">
        <v>26212.300000000003</v>
      </c>
      <c r="D1185" s="7">
        <f t="shared" si="66"/>
        <v>0</v>
      </c>
      <c r="E1185" s="7">
        <v>0</v>
      </c>
      <c r="F1185" s="5">
        <v>0</v>
      </c>
      <c r="G1185" s="7">
        <v>0</v>
      </c>
      <c r="H1185" s="5">
        <v>40</v>
      </c>
      <c r="I1185" s="7">
        <v>991</v>
      </c>
      <c r="J1185" s="7">
        <v>0</v>
      </c>
      <c r="K1185" s="5">
        <v>0</v>
      </c>
      <c r="L1185" s="5">
        <v>0</v>
      </c>
      <c r="M1185" s="5">
        <v>125</v>
      </c>
      <c r="N1185" s="7">
        <f t="shared" si="67"/>
        <v>125</v>
      </c>
      <c r="O1185" s="7">
        <v>21600.599999999995</v>
      </c>
      <c r="P1185" s="7">
        <v>0</v>
      </c>
      <c r="Q1185" s="5">
        <v>0</v>
      </c>
      <c r="R1185" s="5">
        <v>10</v>
      </c>
      <c r="S1185" s="7">
        <v>499</v>
      </c>
      <c r="T1185" s="12">
        <v>43305</v>
      </c>
      <c r="U1185" s="4">
        <v>4</v>
      </c>
      <c r="V1185" s="4">
        <v>9</v>
      </c>
      <c r="W1185" s="4">
        <v>9</v>
      </c>
      <c r="X1185" s="45">
        <f t="shared" si="69"/>
        <v>49302.899999999994</v>
      </c>
      <c r="Y1185" s="14" t="s">
        <v>54</v>
      </c>
      <c r="Z1185" s="14" t="s">
        <v>2525</v>
      </c>
      <c r="AA1185" s="14" t="str">
        <f>IFERROR(VLOOKUP(A1185,'[2]UPDATE BILL 2018'!$B:$P,15,0),IFERROR(VLOOKUP(A1185,'[2]UPDATE BILL 2018'!$C:$P,14,0),IFERROR(VLOOKUP(A1185,'[2]UPDATE BILL 2018'!$D:$P,13,0),IFERROR(VLOOKUP(A1185,'[2]UPDATE BILL 2018'!$E:$P,12,0),IFERROR(VLOOKUP(A1185,'[2]UPDATE BILL 2018'!$F:$P,11,0),IFERROR(VLOOKUP(A1185,'[2]UPDATE BILL 2018'!$G:$P,10,0),IFERROR(VLOOKUP(A1185,'[2]UPDATE BILL 2018'!$H:$P,9,0),IFERROR(VLOOKUP(A1185,'[2]UPDATE BILL 2018'!$I:$P,8,0),VLOOKUP(A1185,'[2]UPDATE BILL 2018'!$B:$P,15,0)))))))))</f>
        <v>SITWHPKW172517</v>
      </c>
      <c r="AB1185" s="44">
        <f>IFERROR(VLOOKUP(A1185,'[2]UPDATE BILL 2018'!$B:$T,19,0),IFERROR(VLOOKUP(A1185,'[2]UPDATE BILL 2018'!$C:$T,18,0),IFERROR(VLOOKUP(A1185,'[2]UPDATE BILL 2018'!$D:$T,17,0),IFERROR(VLOOKUP(A1185,'[2]UPDATE BILL 2018'!$E:$T,16,0),IFERROR(VLOOKUP(A1185,'[2]UPDATE BILL 2018'!$F:$T,15,0),IFERROR(VLOOKUP(A1185,'[2]UPDATE BILL 2018'!$G:$T,14,0),IFERROR(VLOOKUP(A1185,'[2]UPDATE BILL 2018'!$H:$T,13,0),IFERROR(VLOOKUP(A1185,'[2]UPDATE BILL 2018'!$I:$T,12,0),VLOOKUP(A1185,'[2]UPDATE BILL 2018'!$B:$T,19,0)))))))))</f>
        <v>43311</v>
      </c>
      <c r="AC1185" s="44" t="str">
        <f>IFERROR(VLOOKUP(A1185,'[2]UPDATE BILL 2018'!$B:$V,21,0),IFERROR(VLOOKUP(A1185,'[2]UPDATE BILL 2018'!$C:$V,20,0),IFERROR(VLOOKUP(A1185,'[2]UPDATE BILL 2018'!$D:$V,19,0),IFERROR(VLOOKUP(A1185,'[2]UPDATE BILL 2018'!$E:$V,18,0),IFERROR(VLOOKUP(A1185,'[2]UPDATE BILL 2018'!$F:$V,17,0),IFERROR(VLOOKUP(A1185,'[2]UPDATE BILL 2018'!$G:$V,16,0),IFERROR(VLOOKUP(A1185,'[2]UPDATE BILL 2018'!$H:$V,15,0),IFERROR(VLOOKUP(A1185,'[2]UPDATE BILL 2018'!$I:$V,14,0),VLOOKUP(A1185,'[2]UPDATE BILL 2018'!$B:$V,21,0)))))))))</f>
        <v>RESURGENCE 1819N</v>
      </c>
      <c r="AD1185" s="14" t="s">
        <v>50</v>
      </c>
      <c r="AE1185" s="24" t="s">
        <v>2638</v>
      </c>
      <c r="AF1185" s="25" t="str">
        <f t="shared" si="68"/>
        <v>VW</v>
      </c>
      <c r="AG1185" t="e">
        <f t="shared" si="51"/>
        <v>#REF!</v>
      </c>
      <c r="AI1185" s="58"/>
    </row>
    <row r="1186" spans="1:35" ht="15.75" customHeight="1">
      <c r="A1186" s="6" t="s">
        <v>2624</v>
      </c>
      <c r="B1186" s="5">
        <v>441</v>
      </c>
      <c r="C1186" s="7">
        <v>51199.76</v>
      </c>
      <c r="D1186" s="7">
        <f t="shared" si="66"/>
        <v>0</v>
      </c>
      <c r="E1186" s="7">
        <v>0</v>
      </c>
      <c r="F1186" s="5">
        <v>0</v>
      </c>
      <c r="G1186" s="7">
        <v>0</v>
      </c>
      <c r="H1186" s="5">
        <v>0</v>
      </c>
      <c r="I1186" s="7">
        <v>0</v>
      </c>
      <c r="J1186" s="7">
        <v>0</v>
      </c>
      <c r="K1186" s="5">
        <v>0</v>
      </c>
      <c r="L1186" s="5">
        <v>0</v>
      </c>
      <c r="M1186" s="5">
        <v>114</v>
      </c>
      <c r="N1186" s="7">
        <f t="shared" si="67"/>
        <v>114</v>
      </c>
      <c r="O1186" s="7">
        <v>15849.6</v>
      </c>
      <c r="P1186" s="7">
        <v>0</v>
      </c>
      <c r="Q1186" s="5">
        <v>0</v>
      </c>
      <c r="R1186" s="5">
        <v>0</v>
      </c>
      <c r="S1186" s="7">
        <v>0</v>
      </c>
      <c r="T1186" s="12">
        <v>43305</v>
      </c>
      <c r="U1186" s="4">
        <v>6</v>
      </c>
      <c r="V1186" s="4">
        <v>9</v>
      </c>
      <c r="W1186" s="4">
        <v>9</v>
      </c>
      <c r="X1186" s="45">
        <f t="shared" si="69"/>
        <v>67049.36</v>
      </c>
      <c r="Y1186" s="14" t="s">
        <v>54</v>
      </c>
      <c r="Z1186" s="14" t="s">
        <v>57</v>
      </c>
      <c r="AA1186" s="14" t="str">
        <f>IFERROR(VLOOKUP(A1186,'[2]UPDATE BILL 2018'!$B:$P,15,0),IFERROR(VLOOKUP(A1186,'[2]UPDATE BILL 2018'!$C:$P,14,0),IFERROR(VLOOKUP(A1186,'[2]UPDATE BILL 2018'!$D:$P,13,0),IFERROR(VLOOKUP(A1186,'[2]UPDATE BILL 2018'!$E:$P,12,0),IFERROR(VLOOKUP(A1186,'[2]UPDATE BILL 2018'!$F:$P,11,0),IFERROR(VLOOKUP(A1186,'[2]UPDATE BILL 2018'!$G:$P,10,0),IFERROR(VLOOKUP(A1186,'[2]UPDATE BILL 2018'!$H:$P,9,0),IFERROR(VLOOKUP(A1186,'[2]UPDATE BILL 2018'!$I:$P,8,0),VLOOKUP(A1186,'[2]UPDATE BILL 2018'!$B:$P,15,0)))))))))</f>
        <v>SITWHPKW172561</v>
      </c>
      <c r="AB1186" s="44">
        <f>IFERROR(VLOOKUP(A1186,'[2]UPDATE BILL 2018'!$B:$T,19,0),IFERROR(VLOOKUP(A1186,'[2]UPDATE BILL 2018'!$C:$T,18,0),IFERROR(VLOOKUP(A1186,'[2]UPDATE BILL 2018'!$D:$T,17,0),IFERROR(VLOOKUP(A1186,'[2]UPDATE BILL 2018'!$E:$T,16,0),IFERROR(VLOOKUP(A1186,'[2]UPDATE BILL 2018'!$F:$T,15,0),IFERROR(VLOOKUP(A1186,'[2]UPDATE BILL 2018'!$G:$T,14,0),IFERROR(VLOOKUP(A1186,'[2]UPDATE BILL 2018'!$H:$T,13,0),IFERROR(VLOOKUP(A1186,'[2]UPDATE BILL 2018'!$I:$T,12,0),VLOOKUP(A1186,'[2]UPDATE BILL 2018'!$B:$T,19,0)))))))))</f>
        <v>43322</v>
      </c>
      <c r="AC1186" s="44" t="str">
        <f>IFERROR(VLOOKUP(A1186,'[2]UPDATE BILL 2018'!$B:$V,21,0),IFERROR(VLOOKUP(A1186,'[2]UPDATE BILL 2018'!$C:$V,20,0),IFERROR(VLOOKUP(A1186,'[2]UPDATE BILL 2018'!$D:$V,19,0),IFERROR(VLOOKUP(A1186,'[2]UPDATE BILL 2018'!$E:$V,18,0),IFERROR(VLOOKUP(A1186,'[2]UPDATE BILL 2018'!$F:$V,17,0),IFERROR(VLOOKUP(A1186,'[2]UPDATE BILL 2018'!$G:$V,16,0),IFERROR(VLOOKUP(A1186,'[2]UPDATE BILL 2018'!$H:$V,15,0),IFERROR(VLOOKUP(A1186,'[2]UPDATE BILL 2018'!$I:$V,14,0),VLOOKUP(A1186,'[2]UPDATE BILL 2018'!$B:$V,21,0)))))))))</f>
        <v>HYUNDAI HARMONY 1831N</v>
      </c>
      <c r="AD1186" s="14" t="s">
        <v>50</v>
      </c>
      <c r="AE1186" s="24" t="s">
        <v>2639</v>
      </c>
      <c r="AF1186" s="25" t="str">
        <f t="shared" si="68"/>
        <v>VW</v>
      </c>
      <c r="AG1186" t="e">
        <f t="shared" si="51"/>
        <v>#REF!</v>
      </c>
      <c r="AI1186" s="58"/>
    </row>
    <row r="1187" spans="1:35" ht="15.75" customHeight="1">
      <c r="A1187" s="6" t="s">
        <v>2625</v>
      </c>
      <c r="B1187" s="5">
        <v>22</v>
      </c>
      <c r="C1187" s="7">
        <v>2546.4</v>
      </c>
      <c r="D1187" s="7">
        <f t="shared" si="66"/>
        <v>0</v>
      </c>
      <c r="E1187" s="7">
        <v>0</v>
      </c>
      <c r="F1187" s="5">
        <v>0</v>
      </c>
      <c r="G1187" s="7">
        <v>0</v>
      </c>
      <c r="H1187" s="5">
        <v>70</v>
      </c>
      <c r="I1187" s="7">
        <v>8637.3000000000011</v>
      </c>
      <c r="J1187" s="7">
        <v>0</v>
      </c>
      <c r="K1187" s="5">
        <v>0</v>
      </c>
      <c r="L1187" s="5">
        <v>0</v>
      </c>
      <c r="M1187" s="5">
        <v>0</v>
      </c>
      <c r="N1187" s="7">
        <f t="shared" si="67"/>
        <v>0</v>
      </c>
      <c r="O1187" s="7">
        <v>0</v>
      </c>
      <c r="P1187" s="7">
        <v>0</v>
      </c>
      <c r="Q1187" s="5">
        <v>0</v>
      </c>
      <c r="R1187" s="5">
        <v>0</v>
      </c>
      <c r="S1187" s="7">
        <v>0</v>
      </c>
      <c r="T1187" s="12">
        <v>43305</v>
      </c>
      <c r="U1187" s="4">
        <v>1</v>
      </c>
      <c r="V1187" s="4">
        <v>9</v>
      </c>
      <c r="W1187" s="4">
        <v>9</v>
      </c>
      <c r="X1187" s="45">
        <f t="shared" si="69"/>
        <v>11183.7</v>
      </c>
      <c r="Y1187" s="14" t="s">
        <v>85</v>
      </c>
      <c r="Z1187" s="14" t="s">
        <v>1492</v>
      </c>
      <c r="AA1187" s="14">
        <f>IFERROR(VLOOKUP(A1187,'[2]UPDATE BILL 2018'!$B:$P,15,0),IFERROR(VLOOKUP(A1187,'[2]UPDATE BILL 2018'!$C:$P,14,0),IFERROR(VLOOKUP(A1187,'[2]UPDATE BILL 2018'!$D:$P,13,0),IFERROR(VLOOKUP(A1187,'[2]UPDATE BILL 2018'!$E:$P,12,0),IFERROR(VLOOKUP(A1187,'[2]UPDATE BILL 2018'!$F:$P,11,0),IFERROR(VLOOKUP(A1187,'[2]UPDATE BILL 2018'!$G:$P,10,0),IFERROR(VLOOKUP(A1187,'[2]UPDATE BILL 2018'!$H:$P,9,0),IFERROR(VLOOKUP(A1187,'[2]UPDATE BILL 2018'!$I:$P,8,0),VLOOKUP(A1187,'[2]UPDATE BILL 2018'!$B:$P,15,0)))))))))</f>
        <v>350810085668</v>
      </c>
      <c r="AB1187" s="44">
        <f>IFERROR(VLOOKUP(A1187,'[2]UPDATE BILL 2018'!$B:$T,19,0),IFERROR(VLOOKUP(A1187,'[2]UPDATE BILL 2018'!$C:$T,18,0),IFERROR(VLOOKUP(A1187,'[2]UPDATE BILL 2018'!$D:$T,17,0),IFERROR(VLOOKUP(A1187,'[2]UPDATE BILL 2018'!$E:$T,16,0),IFERROR(VLOOKUP(A1187,'[2]UPDATE BILL 2018'!$F:$T,15,0),IFERROR(VLOOKUP(A1187,'[2]UPDATE BILL 2018'!$G:$T,14,0),IFERROR(VLOOKUP(A1187,'[2]UPDATE BILL 2018'!$H:$T,13,0),IFERROR(VLOOKUP(A1187,'[2]UPDATE BILL 2018'!$I:$T,12,0),VLOOKUP(A1187,'[2]UPDATE BILL 2018'!$B:$T,19,0)))))))))</f>
        <v>43311</v>
      </c>
      <c r="AC1187" s="44" t="str">
        <f>IFERROR(VLOOKUP(A1187,'[2]UPDATE BILL 2018'!$B:$V,21,0),IFERROR(VLOOKUP(A1187,'[2]UPDATE BILL 2018'!$C:$V,20,0),IFERROR(VLOOKUP(A1187,'[2]UPDATE BILL 2018'!$D:$V,19,0),IFERROR(VLOOKUP(A1187,'[2]UPDATE BILL 2018'!$E:$V,18,0),IFERROR(VLOOKUP(A1187,'[2]UPDATE BILL 2018'!$F:$V,17,0),IFERROR(VLOOKUP(A1187,'[2]UPDATE BILL 2018'!$G:$V,16,0),IFERROR(VLOOKUP(A1187,'[2]UPDATE BILL 2018'!$H:$V,15,0),IFERROR(VLOOKUP(A1187,'[2]UPDATE BILL 2018'!$I:$V,14,0),VLOOKUP(A1187,'[2]UPDATE BILL 2018'!$B:$V,21,0)))))))))</f>
        <v>LANTAU BRIDE 18013N</v>
      </c>
      <c r="AD1187" s="14" t="s">
        <v>49</v>
      </c>
      <c r="AE1187" s="24" t="s">
        <v>2640</v>
      </c>
      <c r="AF1187" s="25" t="str">
        <f t="shared" si="68"/>
        <v>VZ</v>
      </c>
      <c r="AG1187" t="e">
        <f t="shared" si="51"/>
        <v>#REF!</v>
      </c>
      <c r="AI1187" s="58"/>
    </row>
    <row r="1188" spans="1:35" ht="16.5" customHeight="1">
      <c r="A1188" s="6" t="s">
        <v>2626</v>
      </c>
      <c r="D1188" s="7">
        <f t="shared" si="66"/>
        <v>0</v>
      </c>
      <c r="E1188" s="7">
        <v>0</v>
      </c>
      <c r="F1188" s="5">
        <v>0</v>
      </c>
      <c r="G1188" s="7">
        <v>0</v>
      </c>
      <c r="H1188" s="5">
        <v>0</v>
      </c>
      <c r="I1188" s="7">
        <v>0</v>
      </c>
      <c r="J1188" s="7">
        <v>0</v>
      </c>
      <c r="K1188" s="5">
        <v>0</v>
      </c>
      <c r="L1188" s="5">
        <v>0</v>
      </c>
      <c r="M1188" s="5">
        <v>0</v>
      </c>
      <c r="N1188" s="7">
        <f t="shared" si="67"/>
        <v>0</v>
      </c>
      <c r="O1188" s="7">
        <v>0</v>
      </c>
      <c r="P1188" s="7">
        <v>0</v>
      </c>
      <c r="Q1188" s="5">
        <v>0</v>
      </c>
      <c r="R1188" s="5">
        <v>80</v>
      </c>
      <c r="S1188" s="7">
        <v>13992</v>
      </c>
      <c r="T1188" s="12">
        <v>43305</v>
      </c>
      <c r="U1188" s="4">
        <v>1</v>
      </c>
      <c r="V1188" s="4">
        <v>9</v>
      </c>
      <c r="W1188" s="4">
        <v>9</v>
      </c>
      <c r="X1188" s="45">
        <f t="shared" si="69"/>
        <v>13992</v>
      </c>
      <c r="Y1188" s="14" t="s">
        <v>56</v>
      </c>
      <c r="Z1188" s="14" t="s">
        <v>59</v>
      </c>
      <c r="AA1188" s="14" t="str">
        <f>IFERROR(VLOOKUP(A1188,'[2]UPDATE BILL 2018'!$B:$P,15,0),IFERROR(VLOOKUP(A1188,'[2]UPDATE BILL 2018'!$C:$P,14,0),IFERROR(VLOOKUP(A1188,'[2]UPDATE BILL 2018'!$D:$P,13,0),IFERROR(VLOOKUP(A1188,'[2]UPDATE BILL 2018'!$E:$P,12,0),IFERROR(VLOOKUP(A1188,'[2]UPDATE BILL 2018'!$F:$P,11,0),IFERROR(VLOOKUP(A1188,'[2]UPDATE BILL 2018'!$G:$P,10,0),IFERROR(VLOOKUP(A1188,'[2]UPDATE BILL 2018'!$H:$P,9,0),IFERROR(VLOOKUP(A1188,'[2]UPDATE BILL 2018'!$I:$P,8,0),VLOOKUP(A1188,'[2]UPDATE BILL 2018'!$B:$P,15,0)))))))))</f>
        <v>1008X03904</v>
      </c>
      <c r="AB1188" s="44">
        <f>IFERROR(VLOOKUP(A1188,'[2]UPDATE BILL 2018'!$B:$T,19,0),IFERROR(VLOOKUP(A1188,'[2]UPDATE BILL 2018'!$C:$T,18,0),IFERROR(VLOOKUP(A1188,'[2]UPDATE BILL 2018'!$D:$T,17,0),IFERROR(VLOOKUP(A1188,'[2]UPDATE BILL 2018'!$E:$T,16,0),IFERROR(VLOOKUP(A1188,'[2]UPDATE BILL 2018'!$F:$T,15,0),IFERROR(VLOOKUP(A1188,'[2]UPDATE BILL 2018'!$G:$T,14,0),IFERROR(VLOOKUP(A1188,'[2]UPDATE BILL 2018'!$H:$T,13,0),IFERROR(VLOOKUP(A1188,'[2]UPDATE BILL 2018'!$I:$T,12,0),VLOOKUP(A1188,'[2]UPDATE BILL 2018'!$B:$T,19,0)))))))))</f>
        <v>43314</v>
      </c>
      <c r="AC1188" s="44" t="str">
        <f>IFERROR(VLOOKUP(A1188,'[2]UPDATE BILL 2018'!$B:$V,21,0),IFERROR(VLOOKUP(A1188,'[2]UPDATE BILL 2018'!$C:$V,20,0),IFERROR(VLOOKUP(A1188,'[2]UPDATE BILL 2018'!$D:$V,19,0),IFERROR(VLOOKUP(A1188,'[2]UPDATE BILL 2018'!$E:$V,18,0),IFERROR(VLOOKUP(A1188,'[2]UPDATE BILL 2018'!$F:$V,17,0),IFERROR(VLOOKUP(A1188,'[2]UPDATE BILL 2018'!$G:$V,16,0),IFERROR(VLOOKUP(A1188,'[2]UPDATE BILL 2018'!$H:$V,15,0),IFERROR(VLOOKUP(A1188,'[2]UPDATE BILL 2018'!$I:$V,14,0),VLOOKUP(A1188,'[2]UPDATE BILL 2018'!$B:$V,21,0)))))))))</f>
        <v>WAN HAI 266 N396</v>
      </c>
      <c r="AD1188" s="14" t="s">
        <v>49</v>
      </c>
      <c r="AE1188" s="24" t="s">
        <v>2641</v>
      </c>
      <c r="AF1188" s="25" t="s">
        <v>2172</v>
      </c>
      <c r="AG1188" t="e">
        <f t="shared" si="51"/>
        <v>#N/A</v>
      </c>
      <c r="AI1188" s="58"/>
    </row>
    <row r="1189" spans="1:35" ht="15.75" customHeight="1">
      <c r="A1189" s="6" t="s">
        <v>2627</v>
      </c>
      <c r="D1189" s="7">
        <f t="shared" si="66"/>
        <v>0</v>
      </c>
      <c r="E1189" s="7">
        <v>0</v>
      </c>
      <c r="F1189" s="5">
        <v>0</v>
      </c>
      <c r="G1189" s="7">
        <v>0</v>
      </c>
      <c r="H1189" s="5">
        <v>0</v>
      </c>
      <c r="I1189" s="7">
        <v>0</v>
      </c>
      <c r="J1189" s="7">
        <v>0</v>
      </c>
      <c r="K1189" s="5">
        <v>0</v>
      </c>
      <c r="L1189" s="5">
        <v>0</v>
      </c>
      <c r="M1189" s="5">
        <v>0</v>
      </c>
      <c r="N1189" s="7">
        <f t="shared" si="67"/>
        <v>0</v>
      </c>
      <c r="O1189" s="7">
        <v>0</v>
      </c>
      <c r="P1189" s="7">
        <v>0</v>
      </c>
      <c r="Q1189" s="5">
        <v>0</v>
      </c>
      <c r="R1189" s="5">
        <v>85</v>
      </c>
      <c r="S1189" s="7">
        <v>17261.5</v>
      </c>
      <c r="T1189" s="12">
        <v>43305</v>
      </c>
      <c r="U1189" s="4">
        <v>1</v>
      </c>
      <c r="V1189" s="4">
        <v>9</v>
      </c>
      <c r="W1189" s="4">
        <v>9</v>
      </c>
      <c r="X1189" s="45">
        <f t="shared" si="69"/>
        <v>17261.5</v>
      </c>
      <c r="Y1189" s="14" t="s">
        <v>54</v>
      </c>
      <c r="Z1189" s="14" t="s">
        <v>57</v>
      </c>
      <c r="AA1189" s="14" t="str">
        <f>IFERROR(VLOOKUP(A1189,'[2]UPDATE BILL 2018'!$B:$P,15,0),IFERROR(VLOOKUP(A1189,'[2]UPDATE BILL 2018'!$C:$P,14,0),IFERROR(VLOOKUP(A1189,'[2]UPDATE BILL 2018'!$D:$P,13,0),IFERROR(VLOOKUP(A1189,'[2]UPDATE BILL 2018'!$E:$P,12,0),IFERROR(VLOOKUP(A1189,'[2]UPDATE BILL 2018'!$F:$P,11,0),IFERROR(VLOOKUP(A1189,'[2]UPDATE BILL 2018'!$G:$P,10,0),IFERROR(VLOOKUP(A1189,'[2]UPDATE BILL 2018'!$H:$P,9,0),IFERROR(VLOOKUP(A1189,'[2]UPDATE BILL 2018'!$I:$P,8,0),VLOOKUP(A1189,'[2]UPDATE BILL 2018'!$B:$P,15,0)))))))))</f>
        <v>SITWHPOS171864</v>
      </c>
      <c r="AB1189" s="44">
        <f>IFERROR(VLOOKUP(A1189,'[2]UPDATE BILL 2018'!$B:$T,19,0),IFERROR(VLOOKUP(A1189,'[2]UPDATE BILL 2018'!$C:$T,18,0),IFERROR(VLOOKUP(A1189,'[2]UPDATE BILL 2018'!$D:$T,17,0),IFERROR(VLOOKUP(A1189,'[2]UPDATE BILL 2018'!$E:$T,16,0),IFERROR(VLOOKUP(A1189,'[2]UPDATE BILL 2018'!$F:$T,15,0),IFERROR(VLOOKUP(A1189,'[2]UPDATE BILL 2018'!$G:$T,14,0),IFERROR(VLOOKUP(A1189,'[2]UPDATE BILL 2018'!$H:$T,13,0),IFERROR(VLOOKUP(A1189,'[2]UPDATE BILL 2018'!$I:$T,12,0),VLOOKUP(A1189,'[2]UPDATE BILL 2018'!$B:$T,19,0)))))))))</f>
        <v>43308</v>
      </c>
      <c r="AC1189" s="44" t="str">
        <f>IFERROR(VLOOKUP(A1189,'[2]UPDATE BILL 2018'!$B:$V,21,0),IFERROR(VLOOKUP(A1189,'[2]UPDATE BILL 2018'!$C:$V,20,0),IFERROR(VLOOKUP(A1189,'[2]UPDATE BILL 2018'!$D:$V,19,0),IFERROR(VLOOKUP(A1189,'[2]UPDATE BILL 2018'!$E:$V,18,0),IFERROR(VLOOKUP(A1189,'[2]UPDATE BILL 2018'!$F:$V,17,0),IFERROR(VLOOKUP(A1189,'[2]UPDATE BILL 2018'!$G:$V,16,0),IFERROR(VLOOKUP(A1189,'[2]UPDATE BILL 2018'!$H:$V,15,0),IFERROR(VLOOKUP(A1189,'[2]UPDATE BILL 2018'!$I:$V,14,0),VLOOKUP(A1189,'[2]UPDATE BILL 2018'!$B:$V,21,0)))))))))</f>
        <v>REFLECTION 1821N</v>
      </c>
      <c r="AD1189" s="14" t="s">
        <v>51</v>
      </c>
      <c r="AE1189" s="24" t="s">
        <v>2642</v>
      </c>
      <c r="AF1189" s="25" t="s">
        <v>2150</v>
      </c>
      <c r="AG1189" t="e">
        <f t="shared" si="51"/>
        <v>#N/A</v>
      </c>
      <c r="AI1189" s="58"/>
    </row>
    <row r="1190" spans="1:35" ht="15.75" customHeight="1">
      <c r="A1190" s="6" t="s">
        <v>2628</v>
      </c>
      <c r="D1190" s="7">
        <f t="shared" si="66"/>
        <v>0</v>
      </c>
      <c r="E1190" s="7">
        <v>0</v>
      </c>
      <c r="F1190" s="5">
        <v>0</v>
      </c>
      <c r="G1190" s="7">
        <v>0</v>
      </c>
      <c r="H1190" s="5">
        <v>0</v>
      </c>
      <c r="I1190" s="7">
        <v>0</v>
      </c>
      <c r="J1190" s="7">
        <v>0</v>
      </c>
      <c r="K1190" s="5">
        <v>0</v>
      </c>
      <c r="L1190" s="5">
        <v>0</v>
      </c>
      <c r="M1190" s="5">
        <v>0</v>
      </c>
      <c r="N1190" s="7">
        <f t="shared" si="67"/>
        <v>0</v>
      </c>
      <c r="O1190" s="7">
        <v>0</v>
      </c>
      <c r="P1190" s="7">
        <v>0</v>
      </c>
      <c r="Q1190" s="5">
        <v>0</v>
      </c>
      <c r="R1190" s="5">
        <v>283</v>
      </c>
      <c r="S1190" s="7">
        <v>56002.400000000001</v>
      </c>
      <c r="T1190" s="12">
        <v>43305</v>
      </c>
      <c r="U1190" s="4">
        <v>3</v>
      </c>
      <c r="V1190" s="4">
        <v>9</v>
      </c>
      <c r="W1190" s="4">
        <v>9</v>
      </c>
      <c r="X1190" s="45">
        <f t="shared" si="69"/>
        <v>56002.400000000001</v>
      </c>
      <c r="Y1190" s="14" t="s">
        <v>54</v>
      </c>
      <c r="Z1190" s="14" t="s">
        <v>57</v>
      </c>
      <c r="AA1190" s="14" t="str">
        <f>IFERROR(VLOOKUP(A1190,'[2]UPDATE BILL 2018'!$B:$P,15,0),IFERROR(VLOOKUP(A1190,'[2]UPDATE BILL 2018'!$C:$P,14,0),IFERROR(VLOOKUP(A1190,'[2]UPDATE BILL 2018'!$D:$P,13,0),IFERROR(VLOOKUP(A1190,'[2]UPDATE BILL 2018'!$E:$P,12,0),IFERROR(VLOOKUP(A1190,'[2]UPDATE BILL 2018'!$F:$P,11,0),IFERROR(VLOOKUP(A1190,'[2]UPDATE BILL 2018'!$G:$P,10,0),IFERROR(VLOOKUP(A1190,'[2]UPDATE BILL 2018'!$H:$P,9,0),IFERROR(VLOOKUP(A1190,'[2]UPDATE BILL 2018'!$I:$P,8,0),VLOOKUP(A1190,'[2]UPDATE BILL 2018'!$B:$P,15,0)))))))))</f>
        <v>SITWHPKW172561</v>
      </c>
      <c r="AB1190" s="44">
        <f>IFERROR(VLOOKUP(A1190,'[2]UPDATE BILL 2018'!$B:$T,19,0),IFERROR(VLOOKUP(A1190,'[2]UPDATE BILL 2018'!$C:$T,18,0),IFERROR(VLOOKUP(A1190,'[2]UPDATE BILL 2018'!$D:$T,17,0),IFERROR(VLOOKUP(A1190,'[2]UPDATE BILL 2018'!$E:$T,16,0),IFERROR(VLOOKUP(A1190,'[2]UPDATE BILL 2018'!$F:$T,15,0),IFERROR(VLOOKUP(A1190,'[2]UPDATE BILL 2018'!$G:$T,14,0),IFERROR(VLOOKUP(A1190,'[2]UPDATE BILL 2018'!$H:$T,13,0),IFERROR(VLOOKUP(A1190,'[2]UPDATE BILL 2018'!$I:$T,12,0),VLOOKUP(A1190,'[2]UPDATE BILL 2018'!$B:$T,19,0)))))))))</f>
        <v>43322</v>
      </c>
      <c r="AC1190" s="44" t="str">
        <f>IFERROR(VLOOKUP(A1190,'[2]UPDATE BILL 2018'!$B:$V,21,0),IFERROR(VLOOKUP(A1190,'[2]UPDATE BILL 2018'!$C:$V,20,0),IFERROR(VLOOKUP(A1190,'[2]UPDATE BILL 2018'!$D:$V,19,0),IFERROR(VLOOKUP(A1190,'[2]UPDATE BILL 2018'!$E:$V,18,0),IFERROR(VLOOKUP(A1190,'[2]UPDATE BILL 2018'!$F:$V,17,0),IFERROR(VLOOKUP(A1190,'[2]UPDATE BILL 2018'!$G:$V,16,0),IFERROR(VLOOKUP(A1190,'[2]UPDATE BILL 2018'!$H:$V,15,0),IFERROR(VLOOKUP(A1190,'[2]UPDATE BILL 2018'!$I:$V,14,0),VLOOKUP(A1190,'[2]UPDATE BILL 2018'!$B:$V,21,0)))))))))</f>
        <v>HYUNDAI HARMONY 1831N</v>
      </c>
      <c r="AD1190" s="14" t="s">
        <v>50</v>
      </c>
      <c r="AE1190" s="24" t="s">
        <v>2643</v>
      </c>
      <c r="AF1190" s="25" t="s">
        <v>2151</v>
      </c>
      <c r="AG1190" t="e">
        <f t="shared" si="51"/>
        <v>#N/A</v>
      </c>
      <c r="AI1190" s="58"/>
    </row>
    <row r="1191" spans="1:35" ht="15.75" customHeight="1">
      <c r="A1191" s="6" t="s">
        <v>2629</v>
      </c>
      <c r="D1191" s="7">
        <f t="shared" si="66"/>
        <v>0</v>
      </c>
      <c r="E1191" s="7">
        <v>0</v>
      </c>
      <c r="F1191" s="5">
        <v>0</v>
      </c>
      <c r="G1191" s="7">
        <v>0</v>
      </c>
      <c r="H1191" s="5">
        <v>0</v>
      </c>
      <c r="I1191" s="7">
        <v>0</v>
      </c>
      <c r="J1191" s="7">
        <v>0</v>
      </c>
      <c r="K1191" s="5">
        <v>0</v>
      </c>
      <c r="L1191" s="5">
        <v>0</v>
      </c>
      <c r="M1191" s="5">
        <v>0</v>
      </c>
      <c r="N1191" s="7">
        <f t="shared" si="67"/>
        <v>0</v>
      </c>
      <c r="O1191" s="7">
        <v>0</v>
      </c>
      <c r="P1191" s="7">
        <v>0</v>
      </c>
      <c r="Q1191" s="5">
        <v>0</v>
      </c>
      <c r="R1191" s="5">
        <v>259</v>
      </c>
      <c r="S1191" s="7">
        <v>47729.5</v>
      </c>
      <c r="T1191" s="12">
        <v>43305</v>
      </c>
      <c r="U1191" s="4">
        <v>3</v>
      </c>
      <c r="V1191" s="4">
        <v>9</v>
      </c>
      <c r="W1191" s="4">
        <v>9</v>
      </c>
      <c r="X1191" s="45">
        <f t="shared" si="69"/>
        <v>47729.5</v>
      </c>
      <c r="Y1191" s="14" t="s">
        <v>54</v>
      </c>
      <c r="Z1191" s="14" t="s">
        <v>57</v>
      </c>
      <c r="AA1191" s="14" t="str">
        <f>IFERROR(VLOOKUP(A1191,'[2]UPDATE BILL 2018'!$B:$P,15,0),IFERROR(VLOOKUP(A1191,'[2]UPDATE BILL 2018'!$C:$P,14,0),IFERROR(VLOOKUP(A1191,'[2]UPDATE BILL 2018'!$D:$P,13,0),IFERROR(VLOOKUP(A1191,'[2]UPDATE BILL 2018'!$E:$P,12,0),IFERROR(VLOOKUP(A1191,'[2]UPDATE BILL 2018'!$F:$P,11,0),IFERROR(VLOOKUP(A1191,'[2]UPDATE BILL 2018'!$G:$P,10,0),IFERROR(VLOOKUP(A1191,'[2]UPDATE BILL 2018'!$H:$P,9,0),IFERROR(VLOOKUP(A1191,'[2]UPDATE BILL 2018'!$I:$P,8,0),VLOOKUP(A1191,'[2]UPDATE BILL 2018'!$B:$P,15,0)))))))))</f>
        <v>SITWHPKW172470</v>
      </c>
      <c r="AB1191" s="44">
        <f>IFERROR(VLOOKUP(A1191,'[2]UPDATE BILL 2018'!$B:$T,19,0),IFERROR(VLOOKUP(A1191,'[2]UPDATE BILL 2018'!$C:$T,18,0),IFERROR(VLOOKUP(A1191,'[2]UPDATE BILL 2018'!$D:$T,17,0),IFERROR(VLOOKUP(A1191,'[2]UPDATE BILL 2018'!$E:$T,16,0),IFERROR(VLOOKUP(A1191,'[2]UPDATE BILL 2018'!$F:$T,15,0),IFERROR(VLOOKUP(A1191,'[2]UPDATE BILL 2018'!$G:$T,14,0),IFERROR(VLOOKUP(A1191,'[2]UPDATE BILL 2018'!$H:$T,13,0),IFERROR(VLOOKUP(A1191,'[2]UPDATE BILL 2018'!$I:$T,12,0),VLOOKUP(A1191,'[2]UPDATE BILL 2018'!$B:$T,19,0)))))))))</f>
        <v>43307</v>
      </c>
      <c r="AC1191" s="44" t="str">
        <f>IFERROR(VLOOKUP(A1191,'[2]UPDATE BILL 2018'!$B:$V,21,0),IFERROR(VLOOKUP(A1191,'[2]UPDATE BILL 2018'!$C:$V,20,0),IFERROR(VLOOKUP(A1191,'[2]UPDATE BILL 2018'!$D:$V,19,0),IFERROR(VLOOKUP(A1191,'[2]UPDATE BILL 2018'!$E:$V,18,0),IFERROR(VLOOKUP(A1191,'[2]UPDATE BILL 2018'!$F:$V,17,0),IFERROR(VLOOKUP(A1191,'[2]UPDATE BILL 2018'!$G:$V,16,0),IFERROR(VLOOKUP(A1191,'[2]UPDATE BILL 2018'!$H:$V,15,0),IFERROR(VLOOKUP(A1191,'[2]UPDATE BILL 2018'!$I:$V,14,0),VLOOKUP(A1191,'[2]UPDATE BILL 2018'!$B:$V,21,0)))))))))</f>
        <v>SITC NAGOYA 1821N</v>
      </c>
      <c r="AD1191" s="14" t="s">
        <v>50</v>
      </c>
      <c r="AE1191" s="24" t="s">
        <v>2644</v>
      </c>
      <c r="AF1191" s="25" t="s">
        <v>2151</v>
      </c>
      <c r="AG1191" t="e">
        <f t="shared" si="51"/>
        <v>#N/A</v>
      </c>
      <c r="AI1191" s="58"/>
    </row>
    <row r="1192" spans="1:35" ht="15.75" customHeight="1">
      <c r="A1192" s="6" t="s">
        <v>2630</v>
      </c>
      <c r="D1192" s="7">
        <f t="shared" si="66"/>
        <v>0</v>
      </c>
      <c r="E1192" s="7">
        <v>0</v>
      </c>
      <c r="F1192" s="5">
        <v>0</v>
      </c>
      <c r="G1192" s="7">
        <v>0</v>
      </c>
      <c r="H1192" s="5">
        <v>0</v>
      </c>
      <c r="I1192" s="7">
        <v>0</v>
      </c>
      <c r="J1192" s="7">
        <v>0</v>
      </c>
      <c r="K1192" s="5">
        <v>0</v>
      </c>
      <c r="L1192" s="5">
        <v>0</v>
      </c>
      <c r="M1192" s="5">
        <v>0</v>
      </c>
      <c r="N1192" s="7">
        <f t="shared" si="67"/>
        <v>0</v>
      </c>
      <c r="O1192" s="7">
        <v>0</v>
      </c>
      <c r="P1192" s="7">
        <v>0</v>
      </c>
      <c r="Q1192" s="5">
        <v>0</v>
      </c>
      <c r="R1192" s="5">
        <v>305</v>
      </c>
      <c r="S1192" s="7">
        <v>27861.5</v>
      </c>
      <c r="T1192" s="12">
        <v>43305</v>
      </c>
      <c r="U1192" s="4">
        <v>1</v>
      </c>
      <c r="V1192" s="4">
        <v>9</v>
      </c>
      <c r="W1192" s="4">
        <v>9</v>
      </c>
      <c r="X1192" s="45">
        <f t="shared" si="69"/>
        <v>27861.5</v>
      </c>
      <c r="Y1192" s="14" t="s">
        <v>56</v>
      </c>
      <c r="Z1192" s="14" t="s">
        <v>59</v>
      </c>
      <c r="AA1192" s="14" t="str">
        <f>IFERROR(VLOOKUP(A1192,'[2]UPDATE BILL 2018'!$B:$P,15,0),IFERROR(VLOOKUP(A1192,'[2]UPDATE BILL 2018'!$C:$P,14,0),IFERROR(VLOOKUP(A1192,'[2]UPDATE BILL 2018'!$D:$P,13,0),IFERROR(VLOOKUP(A1192,'[2]UPDATE BILL 2018'!$E:$P,12,0),IFERROR(VLOOKUP(A1192,'[2]UPDATE BILL 2018'!$F:$P,11,0),IFERROR(VLOOKUP(A1192,'[2]UPDATE BILL 2018'!$G:$P,10,0),IFERROR(VLOOKUP(A1192,'[2]UPDATE BILL 2018'!$H:$P,9,0),IFERROR(VLOOKUP(A1192,'[2]UPDATE BILL 2018'!$I:$P,8,0),VLOOKUP(A1192,'[2]UPDATE BILL 2018'!$B:$P,15,0)))))))))</f>
        <v>1008X03904</v>
      </c>
      <c r="AB1192" s="44">
        <f>IFERROR(VLOOKUP(A1192,'[2]UPDATE BILL 2018'!$B:$T,19,0),IFERROR(VLOOKUP(A1192,'[2]UPDATE BILL 2018'!$C:$T,18,0),IFERROR(VLOOKUP(A1192,'[2]UPDATE BILL 2018'!$D:$T,17,0),IFERROR(VLOOKUP(A1192,'[2]UPDATE BILL 2018'!$E:$T,16,0),IFERROR(VLOOKUP(A1192,'[2]UPDATE BILL 2018'!$F:$T,15,0),IFERROR(VLOOKUP(A1192,'[2]UPDATE BILL 2018'!$G:$T,14,0),IFERROR(VLOOKUP(A1192,'[2]UPDATE BILL 2018'!$H:$T,13,0),IFERROR(VLOOKUP(A1192,'[2]UPDATE BILL 2018'!$I:$T,12,0),VLOOKUP(A1192,'[2]UPDATE BILL 2018'!$B:$T,19,0)))))))))</f>
        <v>43314</v>
      </c>
      <c r="AC1192" s="44" t="str">
        <f>IFERROR(VLOOKUP(A1192,'[2]UPDATE BILL 2018'!$B:$V,21,0),IFERROR(VLOOKUP(A1192,'[2]UPDATE BILL 2018'!$C:$V,20,0),IFERROR(VLOOKUP(A1192,'[2]UPDATE BILL 2018'!$D:$V,19,0),IFERROR(VLOOKUP(A1192,'[2]UPDATE BILL 2018'!$E:$V,18,0),IFERROR(VLOOKUP(A1192,'[2]UPDATE BILL 2018'!$F:$V,17,0),IFERROR(VLOOKUP(A1192,'[2]UPDATE BILL 2018'!$G:$V,16,0),IFERROR(VLOOKUP(A1192,'[2]UPDATE BILL 2018'!$H:$V,15,0),IFERROR(VLOOKUP(A1192,'[2]UPDATE BILL 2018'!$I:$V,14,0),VLOOKUP(A1192,'[2]UPDATE BILL 2018'!$B:$V,21,0)))))))))</f>
        <v>WAN HAI 266 N396</v>
      </c>
      <c r="AD1192" s="14" t="s">
        <v>49</v>
      </c>
      <c r="AE1192" s="24" t="s">
        <v>2645</v>
      </c>
      <c r="AF1192" s="25" t="s">
        <v>2174</v>
      </c>
      <c r="AG1192" t="e">
        <f t="shared" ref="AG1192:AG1255" si="79">+VLOOKUP(AF1192,AH:AH,2,0)</f>
        <v>#N/A</v>
      </c>
      <c r="AI1192" s="58"/>
    </row>
    <row r="1193" spans="1:35" ht="15.75" customHeight="1">
      <c r="A1193" s="6" t="s">
        <v>2631</v>
      </c>
      <c r="D1193" s="7">
        <f t="shared" si="66"/>
        <v>0</v>
      </c>
      <c r="E1193" s="7">
        <v>0</v>
      </c>
      <c r="F1193" s="5">
        <v>0</v>
      </c>
      <c r="G1193" s="7">
        <v>0</v>
      </c>
      <c r="H1193" s="5">
        <v>0</v>
      </c>
      <c r="I1193" s="7">
        <v>0</v>
      </c>
      <c r="J1193" s="7">
        <v>0</v>
      </c>
      <c r="K1193" s="5">
        <v>0</v>
      </c>
      <c r="L1193" s="5">
        <v>0</v>
      </c>
      <c r="M1193" s="5">
        <v>0</v>
      </c>
      <c r="N1193" s="7">
        <f t="shared" si="67"/>
        <v>0</v>
      </c>
      <c r="O1193" s="7">
        <v>0</v>
      </c>
      <c r="P1193" s="7">
        <v>0</v>
      </c>
      <c r="Q1193" s="5">
        <v>0</v>
      </c>
      <c r="R1193" s="5">
        <v>90</v>
      </c>
      <c r="S1193" s="7">
        <v>14669</v>
      </c>
      <c r="T1193" s="12">
        <v>43305</v>
      </c>
      <c r="U1193" s="4">
        <v>1</v>
      </c>
      <c r="V1193" s="4">
        <v>9</v>
      </c>
      <c r="W1193" s="4">
        <v>9</v>
      </c>
      <c r="X1193" s="45">
        <f t="shared" si="69"/>
        <v>14669</v>
      </c>
      <c r="Y1193" s="14" t="s">
        <v>54</v>
      </c>
      <c r="Z1193" s="14" t="s">
        <v>57</v>
      </c>
      <c r="AA1193" s="14" t="str">
        <f>IFERROR(VLOOKUP(A1193,'[2]UPDATE BILL 2018'!$B:$P,15,0),IFERROR(VLOOKUP(A1193,'[2]UPDATE BILL 2018'!$C:$P,14,0),IFERROR(VLOOKUP(A1193,'[2]UPDATE BILL 2018'!$D:$P,13,0),IFERROR(VLOOKUP(A1193,'[2]UPDATE BILL 2018'!$E:$P,12,0),IFERROR(VLOOKUP(A1193,'[2]UPDATE BILL 2018'!$F:$P,11,0),IFERROR(VLOOKUP(A1193,'[2]UPDATE BILL 2018'!$G:$P,10,0),IFERROR(VLOOKUP(A1193,'[2]UPDATE BILL 2018'!$H:$P,9,0),IFERROR(VLOOKUP(A1193,'[2]UPDATE BILL 2018'!$I:$P,8,0),VLOOKUP(A1193,'[2]UPDATE BILL 2018'!$B:$P,15,0)))))))))</f>
        <v>SITWHPTK171861</v>
      </c>
      <c r="AB1193" s="44">
        <f>IFERROR(VLOOKUP(A1193,'[2]UPDATE BILL 2018'!$B:$T,19,0),IFERROR(VLOOKUP(A1193,'[2]UPDATE BILL 2018'!$C:$T,18,0),IFERROR(VLOOKUP(A1193,'[2]UPDATE BILL 2018'!$D:$T,17,0),IFERROR(VLOOKUP(A1193,'[2]UPDATE BILL 2018'!$E:$T,16,0),IFERROR(VLOOKUP(A1193,'[2]UPDATE BILL 2018'!$F:$T,15,0),IFERROR(VLOOKUP(A1193,'[2]UPDATE BILL 2018'!$G:$T,14,0),IFERROR(VLOOKUP(A1193,'[2]UPDATE BILL 2018'!$H:$T,13,0),IFERROR(VLOOKUP(A1193,'[2]UPDATE BILL 2018'!$I:$T,12,0),VLOOKUP(A1193,'[2]UPDATE BILL 2018'!$B:$T,19,0)))))))))</f>
        <v>43307</v>
      </c>
      <c r="AC1193" s="44" t="str">
        <f>IFERROR(VLOOKUP(A1193,'[2]UPDATE BILL 2018'!$B:$V,21,0),IFERROR(VLOOKUP(A1193,'[2]UPDATE BILL 2018'!$C:$V,20,0),IFERROR(VLOOKUP(A1193,'[2]UPDATE BILL 2018'!$D:$V,19,0),IFERROR(VLOOKUP(A1193,'[2]UPDATE BILL 2018'!$E:$V,18,0),IFERROR(VLOOKUP(A1193,'[2]UPDATE BILL 2018'!$F:$V,17,0),IFERROR(VLOOKUP(A1193,'[2]UPDATE BILL 2018'!$G:$V,16,0),IFERROR(VLOOKUP(A1193,'[2]UPDATE BILL 2018'!$H:$V,15,0),IFERROR(VLOOKUP(A1193,'[2]UPDATE BILL 2018'!$I:$V,14,0),VLOOKUP(A1193,'[2]UPDATE BILL 2018'!$B:$V,21,0)))))))))</f>
        <v>SITC NAGOYA 1821N</v>
      </c>
      <c r="AD1193" s="14" t="s">
        <v>49</v>
      </c>
      <c r="AE1193" s="24" t="s">
        <v>2646</v>
      </c>
      <c r="AF1193" s="25" t="s">
        <v>2174</v>
      </c>
      <c r="AG1193" t="e">
        <f t="shared" si="79"/>
        <v>#N/A</v>
      </c>
      <c r="AI1193" s="58"/>
    </row>
    <row r="1194" spans="1:35" ht="15.75" customHeight="1">
      <c r="A1194" s="6" t="s">
        <v>2647</v>
      </c>
      <c r="D1194" s="7">
        <f t="shared" si="66"/>
        <v>0</v>
      </c>
      <c r="E1194" s="7">
        <v>0</v>
      </c>
      <c r="F1194" s="5">
        <v>0</v>
      </c>
      <c r="G1194" s="7">
        <v>0</v>
      </c>
      <c r="H1194" s="5">
        <v>240</v>
      </c>
      <c r="I1194" s="7">
        <v>25923.919999999998</v>
      </c>
      <c r="J1194" s="7">
        <v>0</v>
      </c>
      <c r="K1194" s="5">
        <v>0</v>
      </c>
      <c r="L1194" s="5">
        <v>0</v>
      </c>
      <c r="M1194" s="5">
        <v>255</v>
      </c>
      <c r="N1194" s="7">
        <f t="shared" si="67"/>
        <v>255</v>
      </c>
      <c r="O1194" s="7">
        <v>27594.2</v>
      </c>
      <c r="P1194" s="7">
        <v>0</v>
      </c>
      <c r="Q1194" s="5">
        <v>0</v>
      </c>
      <c r="R1194" s="5">
        <v>7</v>
      </c>
      <c r="S1194" s="7">
        <v>351.60999999999996</v>
      </c>
      <c r="T1194" s="12">
        <v>43306</v>
      </c>
      <c r="U1194" s="4">
        <v>5</v>
      </c>
      <c r="V1194" s="4">
        <v>9</v>
      </c>
      <c r="W1194" s="4">
        <v>9</v>
      </c>
      <c r="X1194" s="45">
        <f t="shared" si="69"/>
        <v>53869.729999999996</v>
      </c>
      <c r="Y1194" s="14" t="s">
        <v>54</v>
      </c>
      <c r="Z1194" s="14" t="s">
        <v>1281</v>
      </c>
      <c r="AA1194" s="14" t="str">
        <f>IFERROR(VLOOKUP(A1194,'[2]UPDATE BILL 2018'!$B:$P,15,0),IFERROR(VLOOKUP(A1194,'[2]UPDATE BILL 2018'!$C:$P,14,0),IFERROR(VLOOKUP(A1194,'[2]UPDATE BILL 2018'!$D:$P,13,0),IFERROR(VLOOKUP(A1194,'[2]UPDATE BILL 2018'!$E:$P,12,0),IFERROR(VLOOKUP(A1194,'[2]UPDATE BILL 2018'!$F:$P,11,0),IFERROR(VLOOKUP(A1194,'[2]UPDATE BILL 2018'!$G:$P,10,0),IFERROR(VLOOKUP(A1194,'[2]UPDATE BILL 2018'!$H:$P,9,0),IFERROR(VLOOKUP(A1194,'[2]UPDATE BILL 2018'!$I:$P,8,0),VLOOKUP(A1194,'[2]UPDATE BILL 2018'!$B:$P,15,0)))))))))</f>
        <v>SITWHPOS172505</v>
      </c>
      <c r="AB1194" s="44">
        <f>IFERROR(VLOOKUP(A1194,'[2]UPDATE BILL 2018'!$B:$T,19,0),IFERROR(VLOOKUP(A1194,'[2]UPDATE BILL 2018'!$C:$T,18,0),IFERROR(VLOOKUP(A1194,'[2]UPDATE BILL 2018'!$D:$T,17,0),IFERROR(VLOOKUP(A1194,'[2]UPDATE BILL 2018'!$E:$T,16,0),IFERROR(VLOOKUP(A1194,'[2]UPDATE BILL 2018'!$F:$T,15,0),IFERROR(VLOOKUP(A1194,'[2]UPDATE BILL 2018'!$G:$T,14,0),IFERROR(VLOOKUP(A1194,'[2]UPDATE BILL 2018'!$H:$T,13,0),IFERROR(VLOOKUP(A1194,'[2]UPDATE BILL 2018'!$I:$T,12,0),VLOOKUP(A1194,'[2]UPDATE BILL 2018'!$B:$T,19,0)))))))))</f>
        <v>43310</v>
      </c>
      <c r="AC1194" s="44" t="str">
        <f>IFERROR(VLOOKUP(A1194,'[2]UPDATE BILL 2018'!$B:$V,21,0),IFERROR(VLOOKUP(A1194,'[2]UPDATE BILL 2018'!$C:$V,20,0),IFERROR(VLOOKUP(A1194,'[2]UPDATE BILL 2018'!$D:$V,19,0),IFERROR(VLOOKUP(A1194,'[2]UPDATE BILL 2018'!$E:$V,18,0),IFERROR(VLOOKUP(A1194,'[2]UPDATE BILL 2018'!$F:$V,17,0),IFERROR(VLOOKUP(A1194,'[2]UPDATE BILL 2018'!$G:$V,16,0),IFERROR(VLOOKUP(A1194,'[2]UPDATE BILL 2018'!$H:$V,15,0),IFERROR(VLOOKUP(A1194,'[2]UPDATE BILL 2018'!$I:$V,14,0),VLOOKUP(A1194,'[2]UPDATE BILL 2018'!$B:$V,21,0)))))))))</f>
        <v>SITC YANTAI 1817N</v>
      </c>
      <c r="AD1194" s="14" t="s">
        <v>51</v>
      </c>
      <c r="AE1194" s="24" t="s">
        <v>2655</v>
      </c>
      <c r="AF1194" s="25" t="str">
        <f t="shared" si="68"/>
        <v>VS</v>
      </c>
      <c r="AG1194" t="e">
        <f t="shared" si="79"/>
        <v>#REF!</v>
      </c>
      <c r="AI1194" s="58"/>
    </row>
    <row r="1195" spans="1:35" ht="15.75" customHeight="1">
      <c r="A1195" s="6" t="s">
        <v>2648</v>
      </c>
      <c r="B1195" s="5">
        <v>406</v>
      </c>
      <c r="C1195" s="7">
        <v>36001.879999999997</v>
      </c>
      <c r="D1195" s="7">
        <f t="shared" si="66"/>
        <v>0</v>
      </c>
      <c r="E1195" s="7">
        <v>0</v>
      </c>
      <c r="F1195" s="5">
        <v>0</v>
      </c>
      <c r="G1195" s="7">
        <v>0</v>
      </c>
      <c r="H1195" s="5">
        <v>405</v>
      </c>
      <c r="I1195" s="7">
        <v>45035.850000000006</v>
      </c>
      <c r="J1195" s="7">
        <v>0</v>
      </c>
      <c r="K1195" s="5">
        <v>0</v>
      </c>
      <c r="L1195" s="5">
        <v>0</v>
      </c>
      <c r="M1195" s="5">
        <v>319</v>
      </c>
      <c r="N1195" s="7">
        <f t="shared" si="67"/>
        <v>319</v>
      </c>
      <c r="O1195" s="7">
        <v>42051.499999999985</v>
      </c>
      <c r="P1195" s="7">
        <v>0</v>
      </c>
      <c r="Q1195" s="5">
        <v>0</v>
      </c>
      <c r="R1195" s="5">
        <v>0</v>
      </c>
      <c r="S1195" s="7">
        <v>0</v>
      </c>
      <c r="T1195" s="12">
        <v>43306</v>
      </c>
      <c r="U1195" s="4">
        <v>10</v>
      </c>
      <c r="V1195" s="4">
        <v>9</v>
      </c>
      <c r="W1195" s="4">
        <v>9</v>
      </c>
      <c r="X1195" s="45">
        <f t="shared" si="69"/>
        <v>123089.23</v>
      </c>
      <c r="Y1195" s="14" t="s">
        <v>56</v>
      </c>
      <c r="Z1195" s="14" t="s">
        <v>59</v>
      </c>
      <c r="AA1195" s="14" t="str">
        <f>IFERROR(VLOOKUP(A1195,'[2]UPDATE BILL 2018'!$B:$P,15,0),IFERROR(VLOOKUP(A1195,'[2]UPDATE BILL 2018'!$C:$P,14,0),IFERROR(VLOOKUP(A1195,'[2]UPDATE BILL 2018'!$D:$P,13,0),IFERROR(VLOOKUP(A1195,'[2]UPDATE BILL 2018'!$E:$P,12,0),IFERROR(VLOOKUP(A1195,'[2]UPDATE BILL 2018'!$F:$P,11,0),IFERROR(VLOOKUP(A1195,'[2]UPDATE BILL 2018'!$G:$P,10,0),IFERROR(VLOOKUP(A1195,'[2]UPDATE BILL 2018'!$H:$P,9,0),IFERROR(VLOOKUP(A1195,'[2]UPDATE BILL 2018'!$I:$P,8,0),VLOOKUP(A1195,'[2]UPDATE BILL 2018'!$B:$P,15,0)))))))))</f>
        <v>1008X03907</v>
      </c>
      <c r="AB1195" s="44">
        <f>IFERROR(VLOOKUP(A1195,'[2]UPDATE BILL 2018'!$B:$T,19,0),IFERROR(VLOOKUP(A1195,'[2]UPDATE BILL 2018'!$C:$T,18,0),IFERROR(VLOOKUP(A1195,'[2]UPDATE BILL 2018'!$D:$T,17,0),IFERROR(VLOOKUP(A1195,'[2]UPDATE BILL 2018'!$E:$T,16,0),IFERROR(VLOOKUP(A1195,'[2]UPDATE BILL 2018'!$F:$T,15,0),IFERROR(VLOOKUP(A1195,'[2]UPDATE BILL 2018'!$G:$T,14,0),IFERROR(VLOOKUP(A1195,'[2]UPDATE BILL 2018'!$H:$T,13,0),IFERROR(VLOOKUP(A1195,'[2]UPDATE BILL 2018'!$I:$T,12,0),VLOOKUP(A1195,'[2]UPDATE BILL 2018'!$B:$T,19,0)))))))))</f>
        <v>43313</v>
      </c>
      <c r="AC1195" s="44" t="str">
        <f>IFERROR(VLOOKUP(A1195,'[2]UPDATE BILL 2018'!$B:$V,21,0),IFERROR(VLOOKUP(A1195,'[2]UPDATE BILL 2018'!$C:$V,20,0),IFERROR(VLOOKUP(A1195,'[2]UPDATE BILL 2018'!$D:$V,19,0),IFERROR(VLOOKUP(A1195,'[2]UPDATE BILL 2018'!$E:$V,18,0),IFERROR(VLOOKUP(A1195,'[2]UPDATE BILL 2018'!$F:$V,17,0),IFERROR(VLOOKUP(A1195,'[2]UPDATE BILL 2018'!$G:$V,16,0),IFERROR(VLOOKUP(A1195,'[2]UPDATE BILL 2018'!$H:$V,15,0),IFERROR(VLOOKUP(A1195,'[2]UPDATE BILL 2018'!$I:$V,14,0),VLOOKUP(A1195,'[2]UPDATE BILL 2018'!$B:$V,21,0)))))))))</f>
        <v>AS RAFAELA N001</v>
      </c>
      <c r="AD1195" s="14" t="s">
        <v>51</v>
      </c>
      <c r="AE1195" s="24" t="s">
        <v>2656</v>
      </c>
      <c r="AF1195" s="25" t="str">
        <f t="shared" si="68"/>
        <v>VS</v>
      </c>
      <c r="AG1195" t="e">
        <f t="shared" si="79"/>
        <v>#REF!</v>
      </c>
      <c r="AI1195" s="58"/>
    </row>
    <row r="1196" spans="1:35" ht="15.75" customHeight="1">
      <c r="A1196" s="6" t="s">
        <v>2649</v>
      </c>
      <c r="B1196" s="5">
        <v>46</v>
      </c>
      <c r="C1196" s="7">
        <v>6038.0099999999993</v>
      </c>
      <c r="D1196" s="7">
        <f t="shared" si="66"/>
        <v>0</v>
      </c>
      <c r="E1196" s="7">
        <v>0</v>
      </c>
      <c r="F1196" s="5">
        <v>0</v>
      </c>
      <c r="G1196" s="7">
        <v>0</v>
      </c>
      <c r="H1196" s="5">
        <v>0</v>
      </c>
      <c r="I1196" s="7">
        <v>0</v>
      </c>
      <c r="J1196" s="7">
        <v>0</v>
      </c>
      <c r="K1196" s="5">
        <v>0</v>
      </c>
      <c r="L1196" s="5">
        <v>0</v>
      </c>
      <c r="M1196" s="5">
        <v>0</v>
      </c>
      <c r="N1196" s="7">
        <f t="shared" si="67"/>
        <v>0</v>
      </c>
      <c r="O1196" s="7">
        <v>0</v>
      </c>
      <c r="P1196" s="7">
        <v>0</v>
      </c>
      <c r="Q1196" s="5">
        <v>0</v>
      </c>
      <c r="R1196" s="5">
        <v>120</v>
      </c>
      <c r="S1196" s="7">
        <v>19003.5</v>
      </c>
      <c r="T1196" s="12">
        <v>43306</v>
      </c>
      <c r="U1196" s="4">
        <v>2</v>
      </c>
      <c r="V1196" s="4">
        <v>9</v>
      </c>
      <c r="W1196" s="4">
        <v>9</v>
      </c>
      <c r="X1196" s="45">
        <f t="shared" si="69"/>
        <v>25041.51</v>
      </c>
      <c r="Y1196" s="14" t="s">
        <v>85</v>
      </c>
      <c r="Z1196" s="14" t="s">
        <v>57</v>
      </c>
      <c r="AA1196" s="14">
        <f>IFERROR(VLOOKUP(A1196,'[2]UPDATE BILL 2018'!$B:$P,15,0),IFERROR(VLOOKUP(A1196,'[2]UPDATE BILL 2018'!$C:$P,14,0),IFERROR(VLOOKUP(A1196,'[2]UPDATE BILL 2018'!$D:$P,13,0),IFERROR(VLOOKUP(A1196,'[2]UPDATE BILL 2018'!$E:$P,12,0),IFERROR(VLOOKUP(A1196,'[2]UPDATE BILL 2018'!$F:$P,11,0),IFERROR(VLOOKUP(A1196,'[2]UPDATE BILL 2018'!$G:$P,10,0),IFERROR(VLOOKUP(A1196,'[2]UPDATE BILL 2018'!$H:$P,9,0),IFERROR(VLOOKUP(A1196,'[2]UPDATE BILL 2018'!$I:$P,8,0),VLOOKUP(A1196,'[2]UPDATE BILL 2018'!$B:$P,15,0)))))))))</f>
        <v>350810082964</v>
      </c>
      <c r="AB1196" s="44">
        <f>IFERROR(VLOOKUP(A1196,'[2]UPDATE BILL 2018'!$B:$T,19,0),IFERROR(VLOOKUP(A1196,'[2]UPDATE BILL 2018'!$C:$T,18,0),IFERROR(VLOOKUP(A1196,'[2]UPDATE BILL 2018'!$D:$T,17,0),IFERROR(VLOOKUP(A1196,'[2]UPDATE BILL 2018'!$E:$T,16,0),IFERROR(VLOOKUP(A1196,'[2]UPDATE BILL 2018'!$F:$T,15,0),IFERROR(VLOOKUP(A1196,'[2]UPDATE BILL 2018'!$G:$T,14,0),IFERROR(VLOOKUP(A1196,'[2]UPDATE BILL 2018'!$H:$T,13,0),IFERROR(VLOOKUP(A1196,'[2]UPDATE BILL 2018'!$I:$T,12,0),VLOOKUP(A1196,'[2]UPDATE BILL 2018'!$B:$T,19,0)))))))))</f>
        <v>43311</v>
      </c>
      <c r="AC1196" s="44" t="str">
        <f>IFERROR(VLOOKUP(A1196,'[2]UPDATE BILL 2018'!$B:$V,21,0),IFERROR(VLOOKUP(A1196,'[2]UPDATE BILL 2018'!$C:$V,20,0),IFERROR(VLOOKUP(A1196,'[2]UPDATE BILL 2018'!$D:$V,19,0),IFERROR(VLOOKUP(A1196,'[2]UPDATE BILL 2018'!$E:$V,18,0),IFERROR(VLOOKUP(A1196,'[2]UPDATE BILL 2018'!$F:$V,17,0),IFERROR(VLOOKUP(A1196,'[2]UPDATE BILL 2018'!$G:$V,16,0),IFERROR(VLOOKUP(A1196,'[2]UPDATE BILL 2018'!$H:$V,15,0),IFERROR(VLOOKUP(A1196,'[2]UPDATE BILL 2018'!$I:$V,14,0),VLOOKUP(A1196,'[2]UPDATE BILL 2018'!$B:$V,21,0)))))))))</f>
        <v>LANTAU BRIDE 18013N</v>
      </c>
      <c r="AD1196" s="14" t="s">
        <v>600</v>
      </c>
      <c r="AE1196" s="24" t="s">
        <v>2657</v>
      </c>
      <c r="AF1196" s="25" t="str">
        <f t="shared" si="68"/>
        <v>25</v>
      </c>
      <c r="AG1196" t="e">
        <f t="shared" si="79"/>
        <v>#REF!</v>
      </c>
      <c r="AI1196" s="58"/>
    </row>
    <row r="1197" spans="1:35" ht="15.75" customHeight="1">
      <c r="A1197" s="6" t="s">
        <v>2650</v>
      </c>
      <c r="B1197" s="5">
        <v>279</v>
      </c>
      <c r="C1197" s="7">
        <v>15523.649999999998</v>
      </c>
      <c r="D1197" s="7">
        <f t="shared" si="66"/>
        <v>0</v>
      </c>
      <c r="E1197" s="7">
        <v>0</v>
      </c>
      <c r="F1197" s="5">
        <v>0</v>
      </c>
      <c r="G1197" s="7">
        <v>0</v>
      </c>
      <c r="H1197" s="5">
        <v>0</v>
      </c>
      <c r="I1197" s="7">
        <v>0</v>
      </c>
      <c r="J1197" s="7">
        <v>0</v>
      </c>
      <c r="K1197" s="5">
        <v>0</v>
      </c>
      <c r="L1197" s="5">
        <v>0</v>
      </c>
      <c r="M1197" s="5">
        <v>49</v>
      </c>
      <c r="N1197" s="7">
        <f t="shared" si="67"/>
        <v>49</v>
      </c>
      <c r="O1197" s="7">
        <v>8761.4</v>
      </c>
      <c r="P1197" s="7">
        <v>0</v>
      </c>
      <c r="Q1197" s="5">
        <v>0</v>
      </c>
      <c r="R1197" s="5">
        <v>0</v>
      </c>
      <c r="S1197" s="7">
        <v>0</v>
      </c>
      <c r="T1197" s="12">
        <v>43306</v>
      </c>
      <c r="U1197" s="4">
        <v>2</v>
      </c>
      <c r="V1197" s="4">
        <v>9</v>
      </c>
      <c r="W1197" s="4">
        <v>9</v>
      </c>
      <c r="X1197" s="45">
        <f t="shared" si="69"/>
        <v>24285.049999999996</v>
      </c>
      <c r="Y1197" s="14" t="s">
        <v>54</v>
      </c>
      <c r="Z1197" s="14" t="s">
        <v>1355</v>
      </c>
      <c r="AA1197" s="14" t="str">
        <f>IFERROR(VLOOKUP(A1197,'[2]UPDATE BILL 2018'!$B:$P,15,0),IFERROR(VLOOKUP(A1197,'[2]UPDATE BILL 2018'!$C:$P,14,0),IFERROR(VLOOKUP(A1197,'[2]UPDATE BILL 2018'!$D:$P,13,0),IFERROR(VLOOKUP(A1197,'[2]UPDATE BILL 2018'!$E:$P,12,0),IFERROR(VLOOKUP(A1197,'[2]UPDATE BILL 2018'!$F:$P,11,0),IFERROR(VLOOKUP(A1197,'[2]UPDATE BILL 2018'!$G:$P,10,0),IFERROR(VLOOKUP(A1197,'[2]UPDATE BILL 2018'!$H:$P,9,0),IFERROR(VLOOKUP(A1197,'[2]UPDATE BILL 2018'!$I:$P,8,0),VLOOKUP(A1197,'[2]UPDATE BILL 2018'!$B:$P,15,0)))))))))</f>
        <v>SITWHPKW172517</v>
      </c>
      <c r="AB1197" s="44">
        <f>IFERROR(VLOOKUP(A1197,'[2]UPDATE BILL 2018'!$B:$T,19,0),IFERROR(VLOOKUP(A1197,'[2]UPDATE BILL 2018'!$C:$T,18,0),IFERROR(VLOOKUP(A1197,'[2]UPDATE BILL 2018'!$D:$T,17,0),IFERROR(VLOOKUP(A1197,'[2]UPDATE BILL 2018'!$E:$T,16,0),IFERROR(VLOOKUP(A1197,'[2]UPDATE BILL 2018'!$F:$T,15,0),IFERROR(VLOOKUP(A1197,'[2]UPDATE BILL 2018'!$G:$T,14,0),IFERROR(VLOOKUP(A1197,'[2]UPDATE BILL 2018'!$H:$T,13,0),IFERROR(VLOOKUP(A1197,'[2]UPDATE BILL 2018'!$I:$T,12,0),VLOOKUP(A1197,'[2]UPDATE BILL 2018'!$B:$T,19,0)))))))))</f>
        <v>43311</v>
      </c>
      <c r="AC1197" s="44" t="str">
        <f>IFERROR(VLOOKUP(A1197,'[2]UPDATE BILL 2018'!$B:$V,21,0),IFERROR(VLOOKUP(A1197,'[2]UPDATE BILL 2018'!$C:$V,20,0),IFERROR(VLOOKUP(A1197,'[2]UPDATE BILL 2018'!$D:$V,19,0),IFERROR(VLOOKUP(A1197,'[2]UPDATE BILL 2018'!$E:$V,18,0),IFERROR(VLOOKUP(A1197,'[2]UPDATE BILL 2018'!$F:$V,17,0),IFERROR(VLOOKUP(A1197,'[2]UPDATE BILL 2018'!$G:$V,16,0),IFERROR(VLOOKUP(A1197,'[2]UPDATE BILL 2018'!$H:$V,15,0),IFERROR(VLOOKUP(A1197,'[2]UPDATE BILL 2018'!$I:$V,14,0),VLOOKUP(A1197,'[2]UPDATE BILL 2018'!$B:$V,21,0)))))))))</f>
        <v>RESURGENCE 1819N</v>
      </c>
      <c r="AD1197" s="14" t="s">
        <v>50</v>
      </c>
      <c r="AE1197" s="24" t="s">
        <v>2658</v>
      </c>
      <c r="AF1197" s="25" t="str">
        <f t="shared" si="68"/>
        <v>VW</v>
      </c>
      <c r="AG1197" t="e">
        <f t="shared" si="79"/>
        <v>#REF!</v>
      </c>
      <c r="AI1197" s="58"/>
    </row>
    <row r="1198" spans="1:35" ht="15.75" customHeight="1">
      <c r="A1198" s="6" t="s">
        <v>2651</v>
      </c>
      <c r="B1198" s="5">
        <v>986</v>
      </c>
      <c r="C1198" s="7">
        <v>124172.68000000002</v>
      </c>
      <c r="D1198" s="7">
        <f t="shared" si="66"/>
        <v>0</v>
      </c>
      <c r="E1198" s="7">
        <v>0</v>
      </c>
      <c r="F1198" s="5">
        <v>0</v>
      </c>
      <c r="G1198" s="7">
        <v>0</v>
      </c>
      <c r="H1198" s="5">
        <v>0</v>
      </c>
      <c r="I1198" s="7">
        <v>0</v>
      </c>
      <c r="J1198" s="7">
        <v>0</v>
      </c>
      <c r="K1198" s="5">
        <v>0</v>
      </c>
      <c r="L1198" s="5">
        <v>0</v>
      </c>
      <c r="M1198" s="5">
        <v>48</v>
      </c>
      <c r="N1198" s="7">
        <f t="shared" si="67"/>
        <v>48</v>
      </c>
      <c r="O1198" s="7">
        <v>8864.7999999999993</v>
      </c>
      <c r="P1198" s="7">
        <v>0</v>
      </c>
      <c r="Q1198" s="5">
        <v>0</v>
      </c>
      <c r="R1198" s="5">
        <v>0</v>
      </c>
      <c r="S1198" s="7">
        <v>0</v>
      </c>
      <c r="T1198" s="12">
        <v>43306</v>
      </c>
      <c r="U1198" s="4">
        <v>11</v>
      </c>
      <c r="V1198" s="4">
        <v>9</v>
      </c>
      <c r="W1198" s="4">
        <v>9</v>
      </c>
      <c r="X1198" s="45">
        <f t="shared" si="69"/>
        <v>133037.48000000001</v>
      </c>
      <c r="Y1198" s="14" t="s">
        <v>54</v>
      </c>
      <c r="Z1198" s="14" t="s">
        <v>57</v>
      </c>
      <c r="AA1198" s="14" t="str">
        <f>IFERROR(VLOOKUP(A1198,'[2]UPDATE BILL 2018'!$B:$P,15,0),IFERROR(VLOOKUP(A1198,'[2]UPDATE BILL 2018'!$C:$P,14,0),IFERROR(VLOOKUP(A1198,'[2]UPDATE BILL 2018'!$D:$P,13,0),IFERROR(VLOOKUP(A1198,'[2]UPDATE BILL 2018'!$E:$P,12,0),IFERROR(VLOOKUP(A1198,'[2]UPDATE BILL 2018'!$F:$P,11,0),IFERROR(VLOOKUP(A1198,'[2]UPDATE BILL 2018'!$G:$P,10,0),IFERROR(VLOOKUP(A1198,'[2]UPDATE BILL 2018'!$H:$P,9,0),IFERROR(VLOOKUP(A1198,'[2]UPDATE BILL 2018'!$I:$P,8,0),VLOOKUP(A1198,'[2]UPDATE BILL 2018'!$B:$P,15,0)))))))))</f>
        <v>SITWHPKW172561</v>
      </c>
      <c r="AB1198" s="44">
        <f>IFERROR(VLOOKUP(A1198,'[2]UPDATE BILL 2018'!$B:$T,19,0),IFERROR(VLOOKUP(A1198,'[2]UPDATE BILL 2018'!$C:$T,18,0),IFERROR(VLOOKUP(A1198,'[2]UPDATE BILL 2018'!$D:$T,17,0),IFERROR(VLOOKUP(A1198,'[2]UPDATE BILL 2018'!$E:$T,16,0),IFERROR(VLOOKUP(A1198,'[2]UPDATE BILL 2018'!$F:$T,15,0),IFERROR(VLOOKUP(A1198,'[2]UPDATE BILL 2018'!$G:$T,14,0),IFERROR(VLOOKUP(A1198,'[2]UPDATE BILL 2018'!$H:$T,13,0),IFERROR(VLOOKUP(A1198,'[2]UPDATE BILL 2018'!$I:$T,12,0),VLOOKUP(A1198,'[2]UPDATE BILL 2018'!$B:$T,19,0)))))))))</f>
        <v>43322</v>
      </c>
      <c r="AC1198" s="44" t="str">
        <f>IFERROR(VLOOKUP(A1198,'[2]UPDATE BILL 2018'!$B:$V,21,0),IFERROR(VLOOKUP(A1198,'[2]UPDATE BILL 2018'!$C:$V,20,0),IFERROR(VLOOKUP(A1198,'[2]UPDATE BILL 2018'!$D:$V,19,0),IFERROR(VLOOKUP(A1198,'[2]UPDATE BILL 2018'!$E:$V,18,0),IFERROR(VLOOKUP(A1198,'[2]UPDATE BILL 2018'!$F:$V,17,0),IFERROR(VLOOKUP(A1198,'[2]UPDATE BILL 2018'!$G:$V,16,0),IFERROR(VLOOKUP(A1198,'[2]UPDATE BILL 2018'!$H:$V,15,0),IFERROR(VLOOKUP(A1198,'[2]UPDATE BILL 2018'!$I:$V,14,0),VLOOKUP(A1198,'[2]UPDATE BILL 2018'!$B:$V,21,0)))))))))</f>
        <v>HYUNDAI HARMONY 1831N</v>
      </c>
      <c r="AD1198" s="14" t="s">
        <v>50</v>
      </c>
      <c r="AE1198" s="24" t="s">
        <v>2659</v>
      </c>
      <c r="AF1198" s="25" t="str">
        <f t="shared" si="68"/>
        <v>VW</v>
      </c>
      <c r="AG1198" t="e">
        <f t="shared" si="79"/>
        <v>#REF!</v>
      </c>
      <c r="AI1198" s="58"/>
    </row>
    <row r="1199" spans="1:35" ht="15.75" customHeight="1">
      <c r="A1199" s="6" t="s">
        <v>2652</v>
      </c>
      <c r="D1199" s="7">
        <f t="shared" si="66"/>
        <v>0</v>
      </c>
      <c r="E1199" s="7">
        <v>0</v>
      </c>
      <c r="F1199" s="5">
        <v>0</v>
      </c>
      <c r="G1199" s="7">
        <v>0</v>
      </c>
      <c r="H1199" s="5">
        <v>0</v>
      </c>
      <c r="I1199" s="7">
        <v>0</v>
      </c>
      <c r="J1199" s="7">
        <v>0</v>
      </c>
      <c r="K1199" s="5">
        <v>0</v>
      </c>
      <c r="L1199" s="5">
        <v>0</v>
      </c>
      <c r="M1199" s="5">
        <v>0</v>
      </c>
      <c r="N1199" s="7">
        <f t="shared" si="67"/>
        <v>0</v>
      </c>
      <c r="O1199" s="7">
        <v>0</v>
      </c>
      <c r="P1199" s="7">
        <v>0</v>
      </c>
      <c r="Q1199" s="5">
        <v>0</v>
      </c>
      <c r="R1199" s="5">
        <v>240</v>
      </c>
      <c r="S1199" s="7">
        <v>33502</v>
      </c>
      <c r="T1199" s="12">
        <v>43306</v>
      </c>
      <c r="U1199" s="4">
        <v>1</v>
      </c>
      <c r="V1199" s="4">
        <v>9</v>
      </c>
      <c r="W1199" s="4">
        <v>9</v>
      </c>
      <c r="X1199" s="45">
        <f t="shared" si="69"/>
        <v>33502</v>
      </c>
      <c r="Y1199" s="14" t="s">
        <v>54</v>
      </c>
      <c r="Z1199" s="14" t="s">
        <v>1637</v>
      </c>
      <c r="AA1199" s="14" t="str">
        <f>IFERROR(VLOOKUP(A1199,'[2]UPDATE BILL 2018'!$B:$P,15,0),IFERROR(VLOOKUP(A1199,'[2]UPDATE BILL 2018'!$C:$P,14,0),IFERROR(VLOOKUP(A1199,'[2]UPDATE BILL 2018'!$D:$P,13,0),IFERROR(VLOOKUP(A1199,'[2]UPDATE BILL 2018'!$E:$P,12,0),IFERROR(VLOOKUP(A1199,'[2]UPDATE BILL 2018'!$F:$P,11,0),IFERROR(VLOOKUP(A1199,'[2]UPDATE BILL 2018'!$G:$P,10,0),IFERROR(VLOOKUP(A1199,'[2]UPDATE BILL 2018'!$H:$P,9,0),IFERROR(VLOOKUP(A1199,'[2]UPDATE BILL 2018'!$I:$P,8,0),VLOOKUP(A1199,'[2]UPDATE BILL 2018'!$B:$P,15,0)))))))))</f>
        <v>SITWHPTK173569</v>
      </c>
      <c r="AB1199" s="44">
        <f>IFERROR(VLOOKUP(A1199,'[2]UPDATE BILL 2018'!$B:$T,19,0),IFERROR(VLOOKUP(A1199,'[2]UPDATE BILL 2018'!$C:$T,18,0),IFERROR(VLOOKUP(A1199,'[2]UPDATE BILL 2018'!$D:$T,17,0),IFERROR(VLOOKUP(A1199,'[2]UPDATE BILL 2018'!$E:$T,16,0),IFERROR(VLOOKUP(A1199,'[2]UPDATE BILL 2018'!$F:$T,15,0),IFERROR(VLOOKUP(A1199,'[2]UPDATE BILL 2018'!$G:$T,14,0),IFERROR(VLOOKUP(A1199,'[2]UPDATE BILL 2018'!$H:$T,13,0),IFERROR(VLOOKUP(A1199,'[2]UPDATE BILL 2018'!$I:$T,12,0),VLOOKUP(A1199,'[2]UPDATE BILL 2018'!$B:$T,19,0)))))))))</f>
        <v>43307</v>
      </c>
      <c r="AC1199" s="44" t="str">
        <f>IFERROR(VLOOKUP(A1199,'[2]UPDATE BILL 2018'!$B:$V,21,0),IFERROR(VLOOKUP(A1199,'[2]UPDATE BILL 2018'!$C:$V,20,0),IFERROR(VLOOKUP(A1199,'[2]UPDATE BILL 2018'!$D:$V,19,0),IFERROR(VLOOKUP(A1199,'[2]UPDATE BILL 2018'!$E:$V,18,0),IFERROR(VLOOKUP(A1199,'[2]UPDATE BILL 2018'!$F:$V,17,0),IFERROR(VLOOKUP(A1199,'[2]UPDATE BILL 2018'!$G:$V,16,0),IFERROR(VLOOKUP(A1199,'[2]UPDATE BILL 2018'!$H:$V,15,0),IFERROR(VLOOKUP(A1199,'[2]UPDATE BILL 2018'!$I:$V,14,0),VLOOKUP(A1199,'[2]UPDATE BILL 2018'!$B:$V,21,0)))))))))</f>
        <v>SITC NAGOYA 1821N</v>
      </c>
      <c r="AD1199" s="14" t="s">
        <v>49</v>
      </c>
      <c r="AE1199" s="24" t="s">
        <v>2660</v>
      </c>
      <c r="AF1199" s="25" t="s">
        <v>2175</v>
      </c>
      <c r="AG1199" t="e">
        <f t="shared" si="79"/>
        <v>#N/A</v>
      </c>
      <c r="AI1199" s="58"/>
    </row>
    <row r="1200" spans="1:35" ht="15.75" customHeight="1">
      <c r="A1200" s="6" t="s">
        <v>2653</v>
      </c>
      <c r="D1200" s="7">
        <f t="shared" si="66"/>
        <v>0</v>
      </c>
      <c r="E1200" s="7">
        <v>0</v>
      </c>
      <c r="F1200" s="5">
        <v>0</v>
      </c>
      <c r="G1200" s="7">
        <v>0</v>
      </c>
      <c r="H1200" s="5">
        <v>0</v>
      </c>
      <c r="I1200" s="7">
        <v>0</v>
      </c>
      <c r="J1200" s="7">
        <v>0</v>
      </c>
      <c r="K1200" s="5">
        <v>0</v>
      </c>
      <c r="L1200" s="5">
        <v>0</v>
      </c>
      <c r="M1200" s="5">
        <v>0</v>
      </c>
      <c r="N1200" s="7">
        <f t="shared" si="67"/>
        <v>0</v>
      </c>
      <c r="O1200" s="7">
        <v>0</v>
      </c>
      <c r="P1200" s="7">
        <v>0</v>
      </c>
      <c r="Q1200" s="5">
        <v>0</v>
      </c>
      <c r="R1200" s="5">
        <v>1524</v>
      </c>
      <c r="S1200" s="7">
        <v>198542.3</v>
      </c>
      <c r="T1200" s="12">
        <v>43306</v>
      </c>
      <c r="U1200" s="4">
        <v>6</v>
      </c>
      <c r="V1200" s="4">
        <v>9</v>
      </c>
      <c r="W1200" s="4">
        <v>9</v>
      </c>
      <c r="X1200" s="45">
        <f t="shared" si="69"/>
        <v>198542.3</v>
      </c>
      <c r="Y1200" s="14" t="s">
        <v>56</v>
      </c>
      <c r="Z1200" s="14" t="s">
        <v>59</v>
      </c>
      <c r="AA1200" s="14" t="str">
        <f>IFERROR(VLOOKUP(A1200,'[2]UPDATE BILL 2018'!$B:$P,15,0),IFERROR(VLOOKUP(A1200,'[2]UPDATE BILL 2018'!$C:$P,14,0),IFERROR(VLOOKUP(A1200,'[2]UPDATE BILL 2018'!$D:$P,13,0),IFERROR(VLOOKUP(A1200,'[2]UPDATE BILL 2018'!$E:$P,12,0),IFERROR(VLOOKUP(A1200,'[2]UPDATE BILL 2018'!$F:$P,11,0),IFERROR(VLOOKUP(A1200,'[2]UPDATE BILL 2018'!$G:$P,10,0),IFERROR(VLOOKUP(A1200,'[2]UPDATE BILL 2018'!$H:$P,9,0),IFERROR(VLOOKUP(A1200,'[2]UPDATE BILL 2018'!$I:$P,8,0),VLOOKUP(A1200,'[2]UPDATE BILL 2018'!$B:$P,15,0)))))))))</f>
        <v>1008X03907</v>
      </c>
      <c r="AB1200" s="44">
        <f>IFERROR(VLOOKUP(A1200,'[2]UPDATE BILL 2018'!$B:$T,19,0),IFERROR(VLOOKUP(A1200,'[2]UPDATE BILL 2018'!$C:$T,18,0),IFERROR(VLOOKUP(A1200,'[2]UPDATE BILL 2018'!$D:$T,17,0),IFERROR(VLOOKUP(A1200,'[2]UPDATE BILL 2018'!$E:$T,16,0),IFERROR(VLOOKUP(A1200,'[2]UPDATE BILL 2018'!$F:$T,15,0),IFERROR(VLOOKUP(A1200,'[2]UPDATE BILL 2018'!$G:$T,14,0),IFERROR(VLOOKUP(A1200,'[2]UPDATE BILL 2018'!$H:$T,13,0),IFERROR(VLOOKUP(A1200,'[2]UPDATE BILL 2018'!$I:$T,12,0),VLOOKUP(A1200,'[2]UPDATE BILL 2018'!$B:$T,19,0)))))))))</f>
        <v>43313</v>
      </c>
      <c r="AC1200" s="44" t="str">
        <f>IFERROR(VLOOKUP(A1200,'[2]UPDATE BILL 2018'!$B:$V,21,0),IFERROR(VLOOKUP(A1200,'[2]UPDATE BILL 2018'!$C:$V,20,0),IFERROR(VLOOKUP(A1200,'[2]UPDATE BILL 2018'!$D:$V,19,0),IFERROR(VLOOKUP(A1200,'[2]UPDATE BILL 2018'!$E:$V,18,0),IFERROR(VLOOKUP(A1200,'[2]UPDATE BILL 2018'!$F:$V,17,0),IFERROR(VLOOKUP(A1200,'[2]UPDATE BILL 2018'!$G:$V,16,0),IFERROR(VLOOKUP(A1200,'[2]UPDATE BILL 2018'!$H:$V,15,0),IFERROR(VLOOKUP(A1200,'[2]UPDATE BILL 2018'!$I:$V,14,0),VLOOKUP(A1200,'[2]UPDATE BILL 2018'!$B:$V,21,0)))))))))</f>
        <v>AS RAFAELA N001</v>
      </c>
      <c r="AD1200" s="14" t="s">
        <v>51</v>
      </c>
      <c r="AE1200" s="24" t="s">
        <v>2661</v>
      </c>
      <c r="AF1200" s="25" t="s">
        <v>2150</v>
      </c>
      <c r="AG1200" t="e">
        <f t="shared" si="79"/>
        <v>#N/A</v>
      </c>
      <c r="AI1200" s="58"/>
    </row>
    <row r="1201" spans="1:35" ht="15.75" customHeight="1">
      <c r="A1201" s="6" t="s">
        <v>2654</v>
      </c>
      <c r="D1201" s="7">
        <f t="shared" si="66"/>
        <v>0</v>
      </c>
      <c r="E1201" s="7">
        <v>0</v>
      </c>
      <c r="F1201" s="5">
        <v>0</v>
      </c>
      <c r="G1201" s="7">
        <v>0</v>
      </c>
      <c r="H1201" s="5">
        <v>0</v>
      </c>
      <c r="I1201" s="7">
        <v>0</v>
      </c>
      <c r="J1201" s="7">
        <v>0</v>
      </c>
      <c r="K1201" s="5">
        <v>0</v>
      </c>
      <c r="L1201" s="5">
        <v>0</v>
      </c>
      <c r="M1201" s="5">
        <v>0</v>
      </c>
      <c r="N1201" s="7">
        <f t="shared" si="67"/>
        <v>0</v>
      </c>
      <c r="O1201" s="7">
        <v>0</v>
      </c>
      <c r="P1201" s="7">
        <v>0</v>
      </c>
      <c r="Q1201" s="5">
        <v>0</v>
      </c>
      <c r="R1201" s="5">
        <v>155</v>
      </c>
      <c r="S1201" s="7">
        <v>28017.5</v>
      </c>
      <c r="T1201" s="12">
        <v>43306</v>
      </c>
      <c r="U1201" s="4">
        <v>2</v>
      </c>
      <c r="V1201" s="4">
        <v>9</v>
      </c>
      <c r="W1201" s="4">
        <v>9</v>
      </c>
      <c r="X1201" s="45">
        <f t="shared" si="69"/>
        <v>28017.5</v>
      </c>
      <c r="Y1201" s="14" t="s">
        <v>54</v>
      </c>
      <c r="Z1201" s="14" t="s">
        <v>57</v>
      </c>
      <c r="AA1201" s="14" t="str">
        <f>IFERROR(VLOOKUP(A1201,'[2]UPDATE BILL 2018'!$B:$P,15,0),IFERROR(VLOOKUP(A1201,'[2]UPDATE BILL 2018'!$C:$P,14,0),IFERROR(VLOOKUP(A1201,'[2]UPDATE BILL 2018'!$D:$P,13,0),IFERROR(VLOOKUP(A1201,'[2]UPDATE BILL 2018'!$E:$P,12,0),IFERROR(VLOOKUP(A1201,'[2]UPDATE BILL 2018'!$F:$P,11,0),IFERROR(VLOOKUP(A1201,'[2]UPDATE BILL 2018'!$G:$P,10,0),IFERROR(VLOOKUP(A1201,'[2]UPDATE BILL 2018'!$H:$P,9,0),IFERROR(VLOOKUP(A1201,'[2]UPDATE BILL 2018'!$I:$P,8,0),VLOOKUP(A1201,'[2]UPDATE BILL 2018'!$B:$P,15,0)))))))))</f>
        <v>SITWHPKW172561</v>
      </c>
      <c r="AB1201" s="44">
        <f>IFERROR(VLOOKUP(A1201,'[2]UPDATE BILL 2018'!$B:$T,19,0),IFERROR(VLOOKUP(A1201,'[2]UPDATE BILL 2018'!$C:$T,18,0),IFERROR(VLOOKUP(A1201,'[2]UPDATE BILL 2018'!$D:$T,17,0),IFERROR(VLOOKUP(A1201,'[2]UPDATE BILL 2018'!$E:$T,16,0),IFERROR(VLOOKUP(A1201,'[2]UPDATE BILL 2018'!$F:$T,15,0),IFERROR(VLOOKUP(A1201,'[2]UPDATE BILL 2018'!$G:$T,14,0),IFERROR(VLOOKUP(A1201,'[2]UPDATE BILL 2018'!$H:$T,13,0),IFERROR(VLOOKUP(A1201,'[2]UPDATE BILL 2018'!$I:$T,12,0),VLOOKUP(A1201,'[2]UPDATE BILL 2018'!$B:$T,19,0)))))))))</f>
        <v>43322</v>
      </c>
      <c r="AC1201" s="44" t="str">
        <f>IFERROR(VLOOKUP(A1201,'[2]UPDATE BILL 2018'!$B:$V,21,0),IFERROR(VLOOKUP(A1201,'[2]UPDATE BILL 2018'!$C:$V,20,0),IFERROR(VLOOKUP(A1201,'[2]UPDATE BILL 2018'!$D:$V,19,0),IFERROR(VLOOKUP(A1201,'[2]UPDATE BILL 2018'!$E:$V,18,0),IFERROR(VLOOKUP(A1201,'[2]UPDATE BILL 2018'!$F:$V,17,0),IFERROR(VLOOKUP(A1201,'[2]UPDATE BILL 2018'!$G:$V,16,0),IFERROR(VLOOKUP(A1201,'[2]UPDATE BILL 2018'!$H:$V,15,0),IFERROR(VLOOKUP(A1201,'[2]UPDATE BILL 2018'!$I:$V,14,0),VLOOKUP(A1201,'[2]UPDATE BILL 2018'!$B:$V,21,0)))))))))</f>
        <v>HYUNDAI HARMONY 1831N</v>
      </c>
      <c r="AD1201" s="14" t="s">
        <v>50</v>
      </c>
      <c r="AE1201" s="24" t="s">
        <v>2662</v>
      </c>
      <c r="AF1201" s="25" t="s">
        <v>2151</v>
      </c>
      <c r="AG1201" t="e">
        <f t="shared" si="79"/>
        <v>#N/A</v>
      </c>
      <c r="AI1201" s="58"/>
    </row>
    <row r="1202" spans="1:35" ht="15.75" customHeight="1">
      <c r="A1202" s="6" t="s">
        <v>2663</v>
      </c>
      <c r="B1202" s="5">
        <v>106</v>
      </c>
      <c r="C1202" s="7">
        <v>11644.1</v>
      </c>
      <c r="D1202" s="7">
        <f t="shared" ref="D1202:D1265" si="80">E1202+F1202</f>
        <v>0</v>
      </c>
      <c r="E1202" s="7">
        <v>0</v>
      </c>
      <c r="F1202" s="5">
        <v>0</v>
      </c>
      <c r="G1202" s="7">
        <v>0</v>
      </c>
      <c r="H1202" s="5">
        <v>18</v>
      </c>
      <c r="I1202" s="7">
        <v>90</v>
      </c>
      <c r="J1202" s="7">
        <v>0</v>
      </c>
      <c r="K1202" s="5">
        <v>0</v>
      </c>
      <c r="L1202" s="5">
        <v>0</v>
      </c>
      <c r="M1202" s="5">
        <v>63</v>
      </c>
      <c r="N1202" s="7">
        <f t="shared" ref="N1202:N1265" si="81">M1202-K1202</f>
        <v>63</v>
      </c>
      <c r="O1202" s="7">
        <v>8844.2999999999993</v>
      </c>
      <c r="P1202" s="7">
        <v>0</v>
      </c>
      <c r="Q1202" s="5">
        <v>0</v>
      </c>
      <c r="R1202" s="5">
        <v>0</v>
      </c>
      <c r="S1202" s="7">
        <v>0</v>
      </c>
      <c r="T1202" s="12">
        <v>43307</v>
      </c>
      <c r="U1202" s="4">
        <v>2</v>
      </c>
      <c r="V1202" s="4">
        <v>9</v>
      </c>
      <c r="W1202" s="4">
        <v>9</v>
      </c>
      <c r="X1202" s="45">
        <f t="shared" ref="X1202:X1265" si="82">+C1202+G1202+I1202+O1202+S1202</f>
        <v>20578.400000000001</v>
      </c>
      <c r="Y1202" s="14" t="s">
        <v>1633</v>
      </c>
      <c r="Z1202" s="14" t="s">
        <v>1492</v>
      </c>
      <c r="AA1202" s="14" t="str">
        <f>IFERROR(VLOOKUP(A1202,'[2]UPDATE BILL 2018'!$B:$P,15,0),IFERROR(VLOOKUP(A1202,'[2]UPDATE BILL 2018'!$C:$P,14,0),IFERROR(VLOOKUP(A1202,'[2]UPDATE BILL 2018'!$D:$P,13,0),IFERROR(VLOOKUP(A1202,'[2]UPDATE BILL 2018'!$E:$P,12,0),IFERROR(VLOOKUP(A1202,'[2]UPDATE BILL 2018'!$F:$P,11,0),IFERROR(VLOOKUP(A1202,'[2]UPDATE BILL 2018'!$G:$P,10,0),IFERROR(VLOOKUP(A1202,'[2]UPDATE BILL 2018'!$H:$P,9,0),IFERROR(VLOOKUP(A1202,'[2]UPDATE BILL 2018'!$I:$P,8,0),VLOOKUP(A1202,'[2]UPDATE BILL 2018'!$B:$P,15,0)))))))))</f>
        <v>KMTCHPH0563587</v>
      </c>
      <c r="AB1202" s="44">
        <f>IFERROR(VLOOKUP(A1202,'[2]UPDATE BILL 2018'!$B:$T,19,0),IFERROR(VLOOKUP(A1202,'[2]UPDATE BILL 2018'!$C:$T,18,0),IFERROR(VLOOKUP(A1202,'[2]UPDATE BILL 2018'!$D:$T,17,0),IFERROR(VLOOKUP(A1202,'[2]UPDATE BILL 2018'!$E:$T,16,0),IFERROR(VLOOKUP(A1202,'[2]UPDATE BILL 2018'!$F:$T,15,0),IFERROR(VLOOKUP(A1202,'[2]UPDATE BILL 2018'!$G:$T,14,0),IFERROR(VLOOKUP(A1202,'[2]UPDATE BILL 2018'!$H:$T,13,0),IFERROR(VLOOKUP(A1202,'[2]UPDATE BILL 2018'!$I:$T,12,0),VLOOKUP(A1202,'[2]UPDATE BILL 2018'!$B:$T,19,0)))))))))</f>
        <v>43311</v>
      </c>
      <c r="AC1202" s="44" t="str">
        <f>IFERROR(VLOOKUP(A1202,'[2]UPDATE BILL 2018'!$B:$V,21,0),IFERROR(VLOOKUP(A1202,'[2]UPDATE BILL 2018'!$C:$V,20,0),IFERROR(VLOOKUP(A1202,'[2]UPDATE BILL 2018'!$D:$V,19,0),IFERROR(VLOOKUP(A1202,'[2]UPDATE BILL 2018'!$E:$V,18,0),IFERROR(VLOOKUP(A1202,'[2]UPDATE BILL 2018'!$F:$V,17,0),IFERROR(VLOOKUP(A1202,'[2]UPDATE BILL 2018'!$G:$V,16,0),IFERROR(VLOOKUP(A1202,'[2]UPDATE BILL 2018'!$H:$V,15,0),IFERROR(VLOOKUP(A1202,'[2]UPDATE BILL 2018'!$I:$V,14,0),VLOOKUP(A1202,'[2]UPDATE BILL 2018'!$B:$V,21,0)))))))))</f>
        <v>SUNNY CLOVER 1815N</v>
      </c>
      <c r="AD1202" s="14" t="s">
        <v>70</v>
      </c>
      <c r="AE1202" s="24" t="s">
        <v>2676</v>
      </c>
      <c r="AF1202" s="25" t="str">
        <f t="shared" ref="AF1202:AF1265" si="83">+LEFT(AE1202,2)</f>
        <v>VH</v>
      </c>
      <c r="AG1202" t="e">
        <f t="shared" si="79"/>
        <v>#REF!</v>
      </c>
      <c r="AI1202" s="58"/>
    </row>
    <row r="1203" spans="1:35" ht="15.75" customHeight="1">
      <c r="A1203" s="6" t="s">
        <v>2664</v>
      </c>
      <c r="D1203" s="7">
        <f t="shared" si="80"/>
        <v>0</v>
      </c>
      <c r="E1203" s="7">
        <v>0</v>
      </c>
      <c r="F1203" s="5">
        <v>0</v>
      </c>
      <c r="G1203" s="7">
        <v>0</v>
      </c>
      <c r="H1203" s="5">
        <v>404</v>
      </c>
      <c r="I1203" s="7">
        <v>18428.350000000002</v>
      </c>
      <c r="J1203" s="7">
        <v>0</v>
      </c>
      <c r="K1203" s="5">
        <v>0</v>
      </c>
      <c r="L1203" s="5">
        <v>0</v>
      </c>
      <c r="M1203" s="5">
        <v>276</v>
      </c>
      <c r="N1203" s="7">
        <f t="shared" si="81"/>
        <v>276</v>
      </c>
      <c r="O1203" s="7">
        <v>17844.900000000001</v>
      </c>
      <c r="P1203" s="7">
        <v>0</v>
      </c>
      <c r="Q1203" s="5">
        <v>0</v>
      </c>
      <c r="R1203" s="5">
        <v>0</v>
      </c>
      <c r="S1203" s="7">
        <v>0</v>
      </c>
      <c r="T1203" s="12">
        <v>43307</v>
      </c>
      <c r="U1203" s="4">
        <v>3</v>
      </c>
      <c r="V1203" s="4">
        <v>9</v>
      </c>
      <c r="W1203" s="4">
        <v>9</v>
      </c>
      <c r="X1203" s="45">
        <f t="shared" si="82"/>
        <v>36273.25</v>
      </c>
      <c r="Y1203" s="14" t="s">
        <v>56</v>
      </c>
      <c r="Z1203" s="14" t="s">
        <v>1637</v>
      </c>
      <c r="AA1203" s="14" t="str">
        <f>IFERROR(VLOOKUP(A1203,'[2]UPDATE BILL 2018'!$B:$P,15,0),IFERROR(VLOOKUP(A1203,'[2]UPDATE BILL 2018'!$C:$P,14,0),IFERROR(VLOOKUP(A1203,'[2]UPDATE BILL 2018'!$D:$P,13,0),IFERROR(VLOOKUP(A1203,'[2]UPDATE BILL 2018'!$E:$P,12,0),IFERROR(VLOOKUP(A1203,'[2]UPDATE BILL 2018'!$F:$P,11,0),IFERROR(VLOOKUP(A1203,'[2]UPDATE BILL 2018'!$G:$P,10,0),IFERROR(VLOOKUP(A1203,'[2]UPDATE BILL 2018'!$H:$P,9,0),IFERROR(VLOOKUP(A1203,'[2]UPDATE BILL 2018'!$I:$P,8,0),VLOOKUP(A1203,'[2]UPDATE BILL 2018'!$B:$P,15,0)))))))))</f>
        <v>1008X04122</v>
      </c>
      <c r="AB1203" s="44">
        <f>IFERROR(VLOOKUP(A1203,'[2]UPDATE BILL 2018'!$B:$T,19,0),IFERROR(VLOOKUP(A1203,'[2]UPDATE BILL 2018'!$C:$T,18,0),IFERROR(VLOOKUP(A1203,'[2]UPDATE BILL 2018'!$D:$T,17,0),IFERROR(VLOOKUP(A1203,'[2]UPDATE BILL 2018'!$E:$T,16,0),IFERROR(VLOOKUP(A1203,'[2]UPDATE BILL 2018'!$F:$T,15,0),IFERROR(VLOOKUP(A1203,'[2]UPDATE BILL 2018'!$G:$T,14,0),IFERROR(VLOOKUP(A1203,'[2]UPDATE BILL 2018'!$H:$T,13,0),IFERROR(VLOOKUP(A1203,'[2]UPDATE BILL 2018'!$I:$T,12,0),VLOOKUP(A1203,'[2]UPDATE BILL 2018'!$B:$T,19,0)))))))))</f>
        <v>43309</v>
      </c>
      <c r="AC1203" s="44" t="str">
        <f>IFERROR(VLOOKUP(A1203,'[2]UPDATE BILL 2018'!$B:$V,21,0),IFERROR(VLOOKUP(A1203,'[2]UPDATE BILL 2018'!$C:$V,20,0),IFERROR(VLOOKUP(A1203,'[2]UPDATE BILL 2018'!$D:$V,19,0),IFERROR(VLOOKUP(A1203,'[2]UPDATE BILL 2018'!$E:$V,18,0),IFERROR(VLOOKUP(A1203,'[2]UPDATE BILL 2018'!$F:$V,17,0),IFERROR(VLOOKUP(A1203,'[2]UPDATE BILL 2018'!$G:$V,16,0),IFERROR(VLOOKUP(A1203,'[2]UPDATE BILL 2018'!$H:$V,15,0),IFERROR(VLOOKUP(A1203,'[2]UPDATE BILL 2018'!$I:$V,14,0),VLOOKUP(A1203,'[2]UPDATE BILL 2018'!$B:$V,21,0)))))))))</f>
        <v>PAOLA N023</v>
      </c>
      <c r="AD1203" s="14" t="s">
        <v>49</v>
      </c>
      <c r="AE1203" s="24" t="s">
        <v>2677</v>
      </c>
      <c r="AF1203" s="25" t="str">
        <f t="shared" si="83"/>
        <v>VK</v>
      </c>
      <c r="AG1203" t="e">
        <f t="shared" si="79"/>
        <v>#REF!</v>
      </c>
      <c r="AI1203" s="58"/>
    </row>
    <row r="1204" spans="1:35" ht="15.75" customHeight="1">
      <c r="A1204" s="6" t="s">
        <v>2665</v>
      </c>
      <c r="D1204" s="7">
        <f t="shared" si="80"/>
        <v>0</v>
      </c>
      <c r="E1204" s="7">
        <v>0</v>
      </c>
      <c r="F1204" s="5">
        <v>0</v>
      </c>
      <c r="G1204" s="7">
        <v>0</v>
      </c>
      <c r="H1204" s="5">
        <v>603</v>
      </c>
      <c r="I1204" s="7">
        <v>72094.500000000015</v>
      </c>
      <c r="J1204" s="7">
        <v>0</v>
      </c>
      <c r="K1204" s="5">
        <v>0</v>
      </c>
      <c r="L1204" s="5">
        <v>0</v>
      </c>
      <c r="M1204" s="5">
        <v>0</v>
      </c>
      <c r="N1204" s="7">
        <f t="shared" si="81"/>
        <v>0</v>
      </c>
      <c r="O1204" s="7">
        <v>0</v>
      </c>
      <c r="P1204" s="7">
        <v>0</v>
      </c>
      <c r="Q1204" s="5">
        <v>0</v>
      </c>
      <c r="R1204" s="5">
        <v>0</v>
      </c>
      <c r="S1204" s="7">
        <v>0</v>
      </c>
      <c r="T1204" s="12">
        <v>43307</v>
      </c>
      <c r="U1204" s="4">
        <v>5</v>
      </c>
      <c r="V1204" s="4">
        <v>9</v>
      </c>
      <c r="W1204" s="4">
        <v>9</v>
      </c>
      <c r="X1204" s="45">
        <f t="shared" si="82"/>
        <v>72094.500000000015</v>
      </c>
      <c r="Y1204" s="14" t="s">
        <v>56</v>
      </c>
      <c r="Z1204" s="14" t="s">
        <v>59</v>
      </c>
      <c r="AA1204" s="14" t="str">
        <f>IFERROR(VLOOKUP(A1204,'[2]UPDATE BILL 2018'!$B:$P,15,0),IFERROR(VLOOKUP(A1204,'[2]UPDATE BILL 2018'!$C:$P,14,0),IFERROR(VLOOKUP(A1204,'[2]UPDATE BILL 2018'!$D:$P,13,0),IFERROR(VLOOKUP(A1204,'[2]UPDATE BILL 2018'!$E:$P,12,0),IFERROR(VLOOKUP(A1204,'[2]UPDATE BILL 2018'!$F:$P,11,0),IFERROR(VLOOKUP(A1204,'[2]UPDATE BILL 2018'!$G:$P,10,0),IFERROR(VLOOKUP(A1204,'[2]UPDATE BILL 2018'!$H:$P,9,0),IFERROR(VLOOKUP(A1204,'[2]UPDATE BILL 2018'!$I:$P,8,0),VLOOKUP(A1204,'[2]UPDATE BILL 2018'!$B:$P,15,0)))))))))</f>
        <v>1008X04089</v>
      </c>
      <c r="AB1204" s="44">
        <f>IFERROR(VLOOKUP(A1204,'[2]UPDATE BILL 2018'!$B:$T,19,0),IFERROR(VLOOKUP(A1204,'[2]UPDATE BILL 2018'!$C:$T,18,0),IFERROR(VLOOKUP(A1204,'[2]UPDATE BILL 2018'!$D:$T,17,0),IFERROR(VLOOKUP(A1204,'[2]UPDATE BILL 2018'!$E:$T,16,0),IFERROR(VLOOKUP(A1204,'[2]UPDATE BILL 2018'!$F:$T,15,0),IFERROR(VLOOKUP(A1204,'[2]UPDATE BILL 2018'!$G:$T,14,0),IFERROR(VLOOKUP(A1204,'[2]UPDATE BILL 2018'!$H:$T,13,0),IFERROR(VLOOKUP(A1204,'[2]UPDATE BILL 2018'!$I:$T,12,0),VLOOKUP(A1204,'[2]UPDATE BILL 2018'!$B:$T,19,0)))))))))</f>
        <v>43313</v>
      </c>
      <c r="AC1204" s="44" t="str">
        <f>IFERROR(VLOOKUP(A1204,'[2]UPDATE BILL 2018'!$B:$V,21,0),IFERROR(VLOOKUP(A1204,'[2]UPDATE BILL 2018'!$C:$V,20,0),IFERROR(VLOOKUP(A1204,'[2]UPDATE BILL 2018'!$D:$V,19,0),IFERROR(VLOOKUP(A1204,'[2]UPDATE BILL 2018'!$E:$V,18,0),IFERROR(VLOOKUP(A1204,'[2]UPDATE BILL 2018'!$F:$V,17,0),IFERROR(VLOOKUP(A1204,'[2]UPDATE BILL 2018'!$G:$V,16,0),IFERROR(VLOOKUP(A1204,'[2]UPDATE BILL 2018'!$H:$V,15,0),IFERROR(VLOOKUP(A1204,'[2]UPDATE BILL 2018'!$I:$V,14,0),VLOOKUP(A1204,'[2]UPDATE BILL 2018'!$B:$V,21,0)))))))))</f>
        <v>AS RAFAELA N001</v>
      </c>
      <c r="AD1204" s="14" t="s">
        <v>49</v>
      </c>
      <c r="AE1204" s="24" t="s">
        <v>2678</v>
      </c>
      <c r="AF1204" s="25" t="str">
        <f t="shared" si="83"/>
        <v>VK</v>
      </c>
      <c r="AG1204" t="e">
        <f t="shared" si="79"/>
        <v>#REF!</v>
      </c>
      <c r="AI1204" s="58"/>
    </row>
    <row r="1205" spans="1:35" ht="15.75" customHeight="1">
      <c r="A1205" s="6" t="s">
        <v>2666</v>
      </c>
      <c r="B1205" s="5">
        <v>79</v>
      </c>
      <c r="C1205" s="7">
        <v>11021.5</v>
      </c>
      <c r="D1205" s="7">
        <f t="shared" si="80"/>
        <v>0</v>
      </c>
      <c r="E1205" s="7">
        <v>0</v>
      </c>
      <c r="F1205" s="5">
        <v>0</v>
      </c>
      <c r="G1205" s="7">
        <v>0</v>
      </c>
      <c r="H1205" s="5">
        <v>0</v>
      </c>
      <c r="I1205" s="7">
        <v>0</v>
      </c>
      <c r="J1205" s="7">
        <v>0</v>
      </c>
      <c r="K1205" s="5">
        <v>0</v>
      </c>
      <c r="L1205" s="5">
        <v>0</v>
      </c>
      <c r="M1205" s="5">
        <v>48</v>
      </c>
      <c r="N1205" s="7">
        <f t="shared" si="81"/>
        <v>48</v>
      </c>
      <c r="O1205" s="7">
        <v>8617.2000000000007</v>
      </c>
      <c r="P1205" s="7">
        <v>0</v>
      </c>
      <c r="Q1205" s="5">
        <v>0</v>
      </c>
      <c r="R1205" s="5">
        <v>0</v>
      </c>
      <c r="S1205" s="7">
        <v>0</v>
      </c>
      <c r="T1205" s="12">
        <v>43307</v>
      </c>
      <c r="U1205" s="4">
        <v>2</v>
      </c>
      <c r="V1205" s="4">
        <v>9</v>
      </c>
      <c r="W1205" s="4">
        <v>9</v>
      </c>
      <c r="X1205" s="45">
        <f t="shared" si="82"/>
        <v>19638.7</v>
      </c>
      <c r="Y1205" s="14" t="s">
        <v>85</v>
      </c>
      <c r="Z1205" s="14" t="s">
        <v>1492</v>
      </c>
      <c r="AA1205" s="14">
        <f>IFERROR(VLOOKUP(A1205,'[2]UPDATE BILL 2018'!$B:$P,15,0),IFERROR(VLOOKUP(A1205,'[2]UPDATE BILL 2018'!$C:$P,14,0),IFERROR(VLOOKUP(A1205,'[2]UPDATE BILL 2018'!$D:$P,13,0),IFERROR(VLOOKUP(A1205,'[2]UPDATE BILL 2018'!$E:$P,12,0),IFERROR(VLOOKUP(A1205,'[2]UPDATE BILL 2018'!$F:$P,11,0),IFERROR(VLOOKUP(A1205,'[2]UPDATE BILL 2018'!$G:$P,10,0),IFERROR(VLOOKUP(A1205,'[2]UPDATE BILL 2018'!$H:$P,9,0),IFERROR(VLOOKUP(A1205,'[2]UPDATE BILL 2018'!$I:$P,8,0),VLOOKUP(A1205,'[2]UPDATE BILL 2018'!$B:$P,15,0)))))))))</f>
        <v>350810085668</v>
      </c>
      <c r="AB1205" s="44">
        <f>IFERROR(VLOOKUP(A1205,'[2]UPDATE BILL 2018'!$B:$T,19,0),IFERROR(VLOOKUP(A1205,'[2]UPDATE BILL 2018'!$C:$T,18,0),IFERROR(VLOOKUP(A1205,'[2]UPDATE BILL 2018'!$D:$T,17,0),IFERROR(VLOOKUP(A1205,'[2]UPDATE BILL 2018'!$E:$T,16,0),IFERROR(VLOOKUP(A1205,'[2]UPDATE BILL 2018'!$F:$T,15,0),IFERROR(VLOOKUP(A1205,'[2]UPDATE BILL 2018'!$G:$T,14,0),IFERROR(VLOOKUP(A1205,'[2]UPDATE BILL 2018'!$H:$T,13,0),IFERROR(VLOOKUP(A1205,'[2]UPDATE BILL 2018'!$I:$T,12,0),VLOOKUP(A1205,'[2]UPDATE BILL 2018'!$B:$T,19,0)))))))))</f>
        <v>43311</v>
      </c>
      <c r="AC1205" s="44" t="str">
        <f>IFERROR(VLOOKUP(A1205,'[2]UPDATE BILL 2018'!$B:$V,21,0),IFERROR(VLOOKUP(A1205,'[2]UPDATE BILL 2018'!$C:$V,20,0),IFERROR(VLOOKUP(A1205,'[2]UPDATE BILL 2018'!$D:$V,19,0),IFERROR(VLOOKUP(A1205,'[2]UPDATE BILL 2018'!$E:$V,18,0),IFERROR(VLOOKUP(A1205,'[2]UPDATE BILL 2018'!$F:$V,17,0),IFERROR(VLOOKUP(A1205,'[2]UPDATE BILL 2018'!$G:$V,16,0),IFERROR(VLOOKUP(A1205,'[2]UPDATE BILL 2018'!$H:$V,15,0),IFERROR(VLOOKUP(A1205,'[2]UPDATE BILL 2018'!$I:$V,14,0),VLOOKUP(A1205,'[2]UPDATE BILL 2018'!$B:$V,21,0)))))))))</f>
        <v>LANTAU BRIDE 18013N</v>
      </c>
      <c r="AD1205" s="14" t="s">
        <v>49</v>
      </c>
      <c r="AE1205" s="24" t="s">
        <v>2679</v>
      </c>
      <c r="AF1205" s="25" t="str">
        <f t="shared" si="83"/>
        <v>VN</v>
      </c>
      <c r="AG1205" t="e">
        <f t="shared" si="79"/>
        <v>#REF!</v>
      </c>
      <c r="AI1205" s="58"/>
    </row>
    <row r="1206" spans="1:35" ht="15.75" customHeight="1">
      <c r="A1206" s="6" t="s">
        <v>2667</v>
      </c>
      <c r="B1206" s="5">
        <v>6</v>
      </c>
      <c r="C1206" s="7">
        <v>545.58000000000004</v>
      </c>
      <c r="D1206" s="7">
        <f t="shared" si="80"/>
        <v>0</v>
      </c>
      <c r="E1206" s="7">
        <v>0</v>
      </c>
      <c r="F1206" s="5">
        <v>0</v>
      </c>
      <c r="G1206" s="7">
        <v>0</v>
      </c>
      <c r="H1206" s="5">
        <v>203</v>
      </c>
      <c r="I1206" s="7">
        <v>11838.099999999999</v>
      </c>
      <c r="J1206" s="7">
        <v>0</v>
      </c>
      <c r="K1206" s="5">
        <v>0</v>
      </c>
      <c r="L1206" s="5">
        <v>0</v>
      </c>
      <c r="M1206" s="5">
        <v>170</v>
      </c>
      <c r="N1206" s="7">
        <f t="shared" si="81"/>
        <v>170</v>
      </c>
      <c r="O1206" s="7">
        <v>9627.2999999999993</v>
      </c>
      <c r="P1206" s="7">
        <v>0</v>
      </c>
      <c r="Q1206" s="5">
        <v>0</v>
      </c>
      <c r="R1206" s="5">
        <v>18</v>
      </c>
      <c r="S1206" s="7">
        <v>905.57</v>
      </c>
      <c r="T1206" s="12">
        <v>43307</v>
      </c>
      <c r="U1206" s="4">
        <v>2</v>
      </c>
      <c r="V1206" s="4">
        <v>9</v>
      </c>
      <c r="W1206" s="4">
        <v>9</v>
      </c>
      <c r="X1206" s="45">
        <f t="shared" si="82"/>
        <v>22916.549999999996</v>
      </c>
      <c r="Y1206" s="14" t="s">
        <v>54</v>
      </c>
      <c r="Z1206" s="14" t="s">
        <v>1355</v>
      </c>
      <c r="AA1206" s="14" t="str">
        <f>IFERROR(VLOOKUP(A1206,'[2]UPDATE BILL 2018'!$B:$P,15,0),IFERROR(VLOOKUP(A1206,'[2]UPDATE BILL 2018'!$C:$P,14,0),IFERROR(VLOOKUP(A1206,'[2]UPDATE BILL 2018'!$D:$P,13,0),IFERROR(VLOOKUP(A1206,'[2]UPDATE BILL 2018'!$E:$P,12,0),IFERROR(VLOOKUP(A1206,'[2]UPDATE BILL 2018'!$F:$P,11,0),IFERROR(VLOOKUP(A1206,'[2]UPDATE BILL 2018'!$G:$P,10,0),IFERROR(VLOOKUP(A1206,'[2]UPDATE BILL 2018'!$H:$P,9,0),IFERROR(VLOOKUP(A1206,'[2]UPDATE BILL 2018'!$I:$P,8,0),VLOOKUP(A1206,'[2]UPDATE BILL 2018'!$B:$P,15,0)))))))))</f>
        <v>SITWHPHT172506</v>
      </c>
      <c r="AB1206" s="44">
        <f>IFERROR(VLOOKUP(A1206,'[2]UPDATE BILL 2018'!$B:$T,19,0),IFERROR(VLOOKUP(A1206,'[2]UPDATE BILL 2018'!$C:$T,18,0),IFERROR(VLOOKUP(A1206,'[2]UPDATE BILL 2018'!$D:$T,17,0),IFERROR(VLOOKUP(A1206,'[2]UPDATE BILL 2018'!$E:$T,16,0),IFERROR(VLOOKUP(A1206,'[2]UPDATE BILL 2018'!$F:$T,15,0),IFERROR(VLOOKUP(A1206,'[2]UPDATE BILL 2018'!$G:$T,14,0),IFERROR(VLOOKUP(A1206,'[2]UPDATE BILL 2018'!$H:$T,13,0),IFERROR(VLOOKUP(A1206,'[2]UPDATE BILL 2018'!$I:$T,12,0),VLOOKUP(A1206,'[2]UPDATE BILL 2018'!$B:$T,19,0)))))))))</f>
        <v>43310</v>
      </c>
      <c r="AC1206" s="44" t="str">
        <f>IFERROR(VLOOKUP(A1206,'[2]UPDATE BILL 2018'!$B:$V,21,0),IFERROR(VLOOKUP(A1206,'[2]UPDATE BILL 2018'!$C:$V,20,0),IFERROR(VLOOKUP(A1206,'[2]UPDATE BILL 2018'!$D:$V,19,0),IFERROR(VLOOKUP(A1206,'[2]UPDATE BILL 2018'!$E:$V,18,0),IFERROR(VLOOKUP(A1206,'[2]UPDATE BILL 2018'!$F:$V,17,0),IFERROR(VLOOKUP(A1206,'[2]UPDATE BILL 2018'!$G:$V,16,0),IFERROR(VLOOKUP(A1206,'[2]UPDATE BILL 2018'!$H:$V,15,0),IFERROR(VLOOKUP(A1206,'[2]UPDATE BILL 2018'!$I:$V,14,0),VLOOKUP(A1206,'[2]UPDATE BILL 2018'!$B:$V,21,0)))))))))</f>
        <v>SITC YANTAI 1817N</v>
      </c>
      <c r="AD1206" s="14" t="s">
        <v>52</v>
      </c>
      <c r="AE1206" s="24" t="s">
        <v>2680</v>
      </c>
      <c r="AF1206" s="25" t="str">
        <f t="shared" si="83"/>
        <v>VQ</v>
      </c>
      <c r="AG1206" t="e">
        <f t="shared" si="79"/>
        <v>#REF!</v>
      </c>
      <c r="AI1206" s="58"/>
    </row>
    <row r="1207" spans="1:35">
      <c r="A1207" s="6" t="s">
        <v>2668</v>
      </c>
      <c r="B1207" s="5">
        <v>186</v>
      </c>
      <c r="C1207" s="7">
        <v>14696.100000000002</v>
      </c>
      <c r="D1207" s="7">
        <f t="shared" si="80"/>
        <v>0</v>
      </c>
      <c r="E1207" s="7">
        <v>0</v>
      </c>
      <c r="F1207" s="5">
        <v>0</v>
      </c>
      <c r="G1207" s="7">
        <v>0</v>
      </c>
      <c r="H1207" s="5">
        <v>0</v>
      </c>
      <c r="I1207" s="7">
        <v>0</v>
      </c>
      <c r="J1207" s="7">
        <v>0</v>
      </c>
      <c r="K1207" s="5">
        <v>0</v>
      </c>
      <c r="L1207" s="5">
        <v>0</v>
      </c>
      <c r="M1207" s="5">
        <v>183</v>
      </c>
      <c r="N1207" s="7">
        <f t="shared" si="81"/>
        <v>183</v>
      </c>
      <c r="O1207" s="7">
        <v>10385.800000000001</v>
      </c>
      <c r="P1207" s="7">
        <v>0</v>
      </c>
      <c r="Q1207" s="5">
        <v>0</v>
      </c>
      <c r="R1207" s="5">
        <v>0</v>
      </c>
      <c r="S1207" s="7">
        <v>0</v>
      </c>
      <c r="T1207" s="12">
        <v>43307</v>
      </c>
      <c r="U1207" s="4">
        <v>2</v>
      </c>
      <c r="V1207" s="4">
        <v>9</v>
      </c>
      <c r="W1207" s="4">
        <v>9</v>
      </c>
      <c r="X1207" s="45">
        <f t="shared" si="82"/>
        <v>25081.9</v>
      </c>
      <c r="Y1207" s="14" t="s">
        <v>56</v>
      </c>
      <c r="Z1207" s="14" t="s">
        <v>1281</v>
      </c>
      <c r="AA1207" s="14" t="str">
        <f>IFERROR(VLOOKUP(A1207,'[2]UPDATE BILL 2018'!$B:$P,15,0),IFERROR(VLOOKUP(A1207,'[2]UPDATE BILL 2018'!$C:$P,14,0),IFERROR(VLOOKUP(A1207,'[2]UPDATE BILL 2018'!$D:$P,13,0),IFERROR(VLOOKUP(A1207,'[2]UPDATE BILL 2018'!$E:$P,12,0),IFERROR(VLOOKUP(A1207,'[2]UPDATE BILL 2018'!$F:$P,11,0),IFERROR(VLOOKUP(A1207,'[2]UPDATE BILL 2018'!$G:$P,10,0),IFERROR(VLOOKUP(A1207,'[2]UPDATE BILL 2018'!$H:$P,9,0),IFERROR(VLOOKUP(A1207,'[2]UPDATE BILL 2018'!$I:$P,8,0),VLOOKUP(A1207,'[2]UPDATE BILL 2018'!$B:$P,15,0)))))))))</f>
        <v>1008X03900</v>
      </c>
      <c r="AB1207" s="44">
        <f>IFERROR(VLOOKUP(A1207,'[2]UPDATE BILL 2018'!$B:$T,19,0),IFERROR(VLOOKUP(A1207,'[2]UPDATE BILL 2018'!$C:$T,18,0),IFERROR(VLOOKUP(A1207,'[2]UPDATE BILL 2018'!$D:$T,17,0),IFERROR(VLOOKUP(A1207,'[2]UPDATE BILL 2018'!$E:$T,16,0),IFERROR(VLOOKUP(A1207,'[2]UPDATE BILL 2018'!$F:$T,15,0),IFERROR(VLOOKUP(A1207,'[2]UPDATE BILL 2018'!$G:$T,14,0),IFERROR(VLOOKUP(A1207,'[2]UPDATE BILL 2018'!$H:$T,13,0),IFERROR(VLOOKUP(A1207,'[2]UPDATE BILL 2018'!$I:$T,12,0),VLOOKUP(A1207,'[2]UPDATE BILL 2018'!$B:$T,19,0)))))))))</f>
        <v>43309</v>
      </c>
      <c r="AC1207" s="44" t="str">
        <f>IFERROR(VLOOKUP(A1207,'[2]UPDATE BILL 2018'!$B:$V,21,0),IFERROR(VLOOKUP(A1207,'[2]UPDATE BILL 2018'!$C:$V,20,0),IFERROR(VLOOKUP(A1207,'[2]UPDATE BILL 2018'!$D:$V,19,0),IFERROR(VLOOKUP(A1207,'[2]UPDATE BILL 2018'!$E:$V,18,0),IFERROR(VLOOKUP(A1207,'[2]UPDATE BILL 2018'!$F:$V,17,0),IFERROR(VLOOKUP(A1207,'[2]UPDATE BILL 2018'!$G:$V,16,0),IFERROR(VLOOKUP(A1207,'[2]UPDATE BILL 2018'!$H:$V,15,0),IFERROR(VLOOKUP(A1207,'[2]UPDATE BILL 2018'!$I:$V,14,0),VLOOKUP(A1207,'[2]UPDATE BILL 2018'!$B:$V,21,0)))))))))</f>
        <v>PAOLA N023</v>
      </c>
      <c r="AD1207" s="14" t="s">
        <v>51</v>
      </c>
      <c r="AE1207" s="24" t="s">
        <v>2681</v>
      </c>
      <c r="AF1207" s="25" t="str">
        <f t="shared" si="83"/>
        <v>VS</v>
      </c>
      <c r="AG1207" t="e">
        <f t="shared" si="79"/>
        <v>#REF!</v>
      </c>
      <c r="AI1207" s="58"/>
    </row>
    <row r="1208" spans="1:35" ht="15.75" customHeight="1">
      <c r="A1208" s="6" t="s">
        <v>2669</v>
      </c>
      <c r="B1208" s="5">
        <v>373</v>
      </c>
      <c r="C1208" s="7">
        <v>48651.299999999996</v>
      </c>
      <c r="D1208" s="7">
        <f t="shared" si="80"/>
        <v>0</v>
      </c>
      <c r="E1208" s="7">
        <v>0</v>
      </c>
      <c r="F1208" s="5">
        <v>0</v>
      </c>
      <c r="G1208" s="7">
        <v>0</v>
      </c>
      <c r="H1208" s="5">
        <v>95</v>
      </c>
      <c r="I1208" s="7">
        <v>12156.2</v>
      </c>
      <c r="J1208" s="7">
        <v>0</v>
      </c>
      <c r="K1208" s="5">
        <v>0</v>
      </c>
      <c r="L1208" s="5">
        <v>0</v>
      </c>
      <c r="M1208" s="5">
        <v>55</v>
      </c>
      <c r="N1208" s="7">
        <f t="shared" si="81"/>
        <v>55</v>
      </c>
      <c r="O1208" s="7">
        <v>10107</v>
      </c>
      <c r="P1208" s="7">
        <v>0</v>
      </c>
      <c r="Q1208" s="5">
        <v>0</v>
      </c>
      <c r="R1208" s="5">
        <v>0</v>
      </c>
      <c r="S1208" s="7">
        <v>0</v>
      </c>
      <c r="T1208" s="12">
        <v>43307</v>
      </c>
      <c r="U1208" s="4">
        <v>6</v>
      </c>
      <c r="V1208" s="4">
        <v>9</v>
      </c>
      <c r="W1208" s="4">
        <v>9</v>
      </c>
      <c r="X1208" s="45">
        <f t="shared" si="82"/>
        <v>70914.5</v>
      </c>
      <c r="Y1208" s="14" t="s">
        <v>58</v>
      </c>
      <c r="Z1208" s="14" t="s">
        <v>1355</v>
      </c>
      <c r="AA1208" s="14" t="str">
        <f>IFERROR(VLOOKUP(A1208,'[2]UPDATE BILL 2018'!$B:$P,15,0),IFERROR(VLOOKUP(A1208,'[2]UPDATE BILL 2018'!$C:$P,14,0),IFERROR(VLOOKUP(A1208,'[2]UPDATE BILL 2018'!$D:$P,13,0),IFERROR(VLOOKUP(A1208,'[2]UPDATE BILL 2018'!$E:$P,12,0),IFERROR(VLOOKUP(A1208,'[2]UPDATE BILL 2018'!$F:$P,11,0),IFERROR(VLOOKUP(A1208,'[2]UPDATE BILL 2018'!$G:$P,10,0),IFERROR(VLOOKUP(A1208,'[2]UPDATE BILL 2018'!$H:$P,9,0),IFERROR(VLOOKUP(A1208,'[2]UPDATE BILL 2018'!$I:$P,8,0),VLOOKUP(A1208,'[2]UPDATE BILL 2018'!$B:$P,15,0)))))))))</f>
        <v>EGLV237800224231</v>
      </c>
      <c r="AB1208" s="44">
        <f>IFERROR(VLOOKUP(A1208,'[2]UPDATE BILL 2018'!$B:$T,19,0),IFERROR(VLOOKUP(A1208,'[2]UPDATE BILL 2018'!$C:$T,18,0),IFERROR(VLOOKUP(A1208,'[2]UPDATE BILL 2018'!$D:$T,17,0),IFERROR(VLOOKUP(A1208,'[2]UPDATE BILL 2018'!$E:$T,16,0),IFERROR(VLOOKUP(A1208,'[2]UPDATE BILL 2018'!$F:$T,15,0),IFERROR(VLOOKUP(A1208,'[2]UPDATE BILL 2018'!$G:$T,14,0),IFERROR(VLOOKUP(A1208,'[2]UPDATE BILL 2018'!$H:$T,13,0),IFERROR(VLOOKUP(A1208,'[2]UPDATE BILL 2018'!$I:$T,12,0),VLOOKUP(A1208,'[2]UPDATE BILL 2018'!$B:$T,19,0)))))))))</f>
        <v>43314</v>
      </c>
      <c r="AC1208" s="44" t="str">
        <f>IFERROR(VLOOKUP(A1208,'[2]UPDATE BILL 2018'!$B:$V,21,0),IFERROR(VLOOKUP(A1208,'[2]UPDATE BILL 2018'!$C:$V,20,0),IFERROR(VLOOKUP(A1208,'[2]UPDATE BILL 2018'!$D:$V,19,0),IFERROR(VLOOKUP(A1208,'[2]UPDATE BILL 2018'!$E:$V,18,0),IFERROR(VLOOKUP(A1208,'[2]UPDATE BILL 2018'!$F:$V,17,0),IFERROR(VLOOKUP(A1208,'[2]UPDATE BILL 2018'!$G:$V,16,0),IFERROR(VLOOKUP(A1208,'[2]UPDATE BILL 2018'!$H:$V,15,0),IFERROR(VLOOKUP(A1208,'[2]UPDATE BILL 2018'!$I:$V,14,0),VLOOKUP(A1208,'[2]UPDATE BILL 2018'!$B:$V,21,0)))))))))</f>
        <v>WAN HAI 266 N396</v>
      </c>
      <c r="AD1208" s="14" t="s">
        <v>51</v>
      </c>
      <c r="AE1208" s="24" t="s">
        <v>2682</v>
      </c>
      <c r="AF1208" s="25" t="str">
        <f t="shared" si="83"/>
        <v>VS</v>
      </c>
      <c r="AG1208" t="e">
        <f t="shared" si="79"/>
        <v>#REF!</v>
      </c>
      <c r="AI1208" s="58"/>
    </row>
    <row r="1209" spans="1:35" ht="15.75" customHeight="1">
      <c r="A1209" s="6" t="s">
        <v>2670</v>
      </c>
      <c r="B1209" s="5">
        <v>344</v>
      </c>
      <c r="C1209" s="7">
        <v>17356</v>
      </c>
      <c r="D1209" s="7">
        <f t="shared" si="80"/>
        <v>0</v>
      </c>
      <c r="E1209" s="7">
        <v>0</v>
      </c>
      <c r="F1209" s="5">
        <v>0</v>
      </c>
      <c r="G1209" s="7">
        <v>0</v>
      </c>
      <c r="H1209" s="5">
        <v>0</v>
      </c>
      <c r="I1209" s="7">
        <v>0</v>
      </c>
      <c r="J1209" s="7">
        <v>0</v>
      </c>
      <c r="K1209" s="5">
        <v>0</v>
      </c>
      <c r="L1209" s="5">
        <v>0</v>
      </c>
      <c r="M1209" s="5">
        <v>58</v>
      </c>
      <c r="N1209" s="7">
        <f t="shared" si="81"/>
        <v>58</v>
      </c>
      <c r="O1209" s="7">
        <v>10248.599999999999</v>
      </c>
      <c r="P1209" s="7">
        <v>0</v>
      </c>
      <c r="Q1209" s="5">
        <v>0</v>
      </c>
      <c r="R1209" s="5">
        <v>0</v>
      </c>
      <c r="S1209" s="7">
        <v>0</v>
      </c>
      <c r="T1209" s="12">
        <v>43307</v>
      </c>
      <c r="U1209" s="4">
        <v>2</v>
      </c>
      <c r="V1209" s="4">
        <v>9</v>
      </c>
      <c r="W1209" s="4">
        <v>9</v>
      </c>
      <c r="X1209" s="45">
        <f t="shared" si="82"/>
        <v>27604.6</v>
      </c>
      <c r="Y1209" s="14" t="s">
        <v>54</v>
      </c>
      <c r="Z1209" s="14" t="s">
        <v>1355</v>
      </c>
      <c r="AA1209" s="14" t="str">
        <f>IFERROR(VLOOKUP(A1209,'[2]UPDATE BILL 2018'!$B:$P,15,0),IFERROR(VLOOKUP(A1209,'[2]UPDATE BILL 2018'!$C:$P,14,0),IFERROR(VLOOKUP(A1209,'[2]UPDATE BILL 2018'!$D:$P,13,0),IFERROR(VLOOKUP(A1209,'[2]UPDATE BILL 2018'!$E:$P,12,0),IFERROR(VLOOKUP(A1209,'[2]UPDATE BILL 2018'!$F:$P,11,0),IFERROR(VLOOKUP(A1209,'[2]UPDATE BILL 2018'!$G:$P,10,0),IFERROR(VLOOKUP(A1209,'[2]UPDATE BILL 2018'!$H:$P,9,0),IFERROR(VLOOKUP(A1209,'[2]UPDATE BILL 2018'!$I:$P,8,0),VLOOKUP(A1209,'[2]UPDATE BILL 2018'!$B:$P,15,0)))))))))</f>
        <v>SITWHPKW172517</v>
      </c>
      <c r="AB1209" s="44">
        <f>IFERROR(VLOOKUP(A1209,'[2]UPDATE BILL 2018'!$B:$T,19,0),IFERROR(VLOOKUP(A1209,'[2]UPDATE BILL 2018'!$C:$T,18,0),IFERROR(VLOOKUP(A1209,'[2]UPDATE BILL 2018'!$D:$T,17,0),IFERROR(VLOOKUP(A1209,'[2]UPDATE BILL 2018'!$E:$T,16,0),IFERROR(VLOOKUP(A1209,'[2]UPDATE BILL 2018'!$F:$T,15,0),IFERROR(VLOOKUP(A1209,'[2]UPDATE BILL 2018'!$G:$T,14,0),IFERROR(VLOOKUP(A1209,'[2]UPDATE BILL 2018'!$H:$T,13,0),IFERROR(VLOOKUP(A1209,'[2]UPDATE BILL 2018'!$I:$T,12,0),VLOOKUP(A1209,'[2]UPDATE BILL 2018'!$B:$T,19,0)))))))))</f>
        <v>43311</v>
      </c>
      <c r="AC1209" s="44" t="str">
        <f>IFERROR(VLOOKUP(A1209,'[2]UPDATE BILL 2018'!$B:$V,21,0),IFERROR(VLOOKUP(A1209,'[2]UPDATE BILL 2018'!$C:$V,20,0),IFERROR(VLOOKUP(A1209,'[2]UPDATE BILL 2018'!$D:$V,19,0),IFERROR(VLOOKUP(A1209,'[2]UPDATE BILL 2018'!$E:$V,18,0),IFERROR(VLOOKUP(A1209,'[2]UPDATE BILL 2018'!$F:$V,17,0),IFERROR(VLOOKUP(A1209,'[2]UPDATE BILL 2018'!$G:$V,16,0),IFERROR(VLOOKUP(A1209,'[2]UPDATE BILL 2018'!$H:$V,15,0),IFERROR(VLOOKUP(A1209,'[2]UPDATE BILL 2018'!$I:$V,14,0),VLOOKUP(A1209,'[2]UPDATE BILL 2018'!$B:$V,21,0)))))))))</f>
        <v>RESURGENCE 1819N</v>
      </c>
      <c r="AD1209" s="14" t="s">
        <v>50</v>
      </c>
      <c r="AE1209" s="24" t="s">
        <v>2683</v>
      </c>
      <c r="AF1209" s="25" t="str">
        <f t="shared" si="83"/>
        <v>VW</v>
      </c>
      <c r="AG1209" t="e">
        <f t="shared" si="79"/>
        <v>#REF!</v>
      </c>
      <c r="AI1209" s="58"/>
    </row>
    <row r="1210" spans="1:35" ht="15.75" customHeight="1">
      <c r="A1210" s="6" t="s">
        <v>2671</v>
      </c>
      <c r="B1210" s="5">
        <v>304</v>
      </c>
      <c r="C1210" s="7">
        <v>35167.4</v>
      </c>
      <c r="D1210" s="7">
        <f t="shared" si="80"/>
        <v>0</v>
      </c>
      <c r="E1210" s="7">
        <v>0</v>
      </c>
      <c r="F1210" s="5">
        <v>0</v>
      </c>
      <c r="G1210" s="7">
        <v>0</v>
      </c>
      <c r="H1210" s="5">
        <v>0</v>
      </c>
      <c r="I1210" s="7">
        <v>0</v>
      </c>
      <c r="J1210" s="7">
        <v>0</v>
      </c>
      <c r="K1210" s="5">
        <v>0</v>
      </c>
      <c r="L1210" s="5">
        <v>0</v>
      </c>
      <c r="M1210" s="5">
        <v>103</v>
      </c>
      <c r="N1210" s="7">
        <f t="shared" si="81"/>
        <v>103</v>
      </c>
      <c r="O1210" s="7">
        <v>19194.599999999999</v>
      </c>
      <c r="P1210" s="7">
        <v>0</v>
      </c>
      <c r="Q1210" s="5">
        <v>0</v>
      </c>
      <c r="R1210" s="5">
        <v>0</v>
      </c>
      <c r="S1210" s="7">
        <v>0</v>
      </c>
      <c r="T1210" s="12">
        <v>43307</v>
      </c>
      <c r="U1210" s="4">
        <v>5</v>
      </c>
      <c r="V1210" s="4">
        <v>9</v>
      </c>
      <c r="W1210" s="4">
        <v>9</v>
      </c>
      <c r="X1210" s="45">
        <f t="shared" si="82"/>
        <v>54362</v>
      </c>
      <c r="Y1210" s="14" t="s">
        <v>54</v>
      </c>
      <c r="Z1210" s="14" t="s">
        <v>2525</v>
      </c>
      <c r="AA1210" s="14" t="str">
        <f>IFERROR(VLOOKUP(A1210,'[2]UPDATE BILL 2018'!$B:$P,15,0),IFERROR(VLOOKUP(A1210,'[2]UPDATE BILL 2018'!$C:$P,14,0),IFERROR(VLOOKUP(A1210,'[2]UPDATE BILL 2018'!$D:$P,13,0),IFERROR(VLOOKUP(A1210,'[2]UPDATE BILL 2018'!$E:$P,12,0),IFERROR(VLOOKUP(A1210,'[2]UPDATE BILL 2018'!$F:$P,11,0),IFERROR(VLOOKUP(A1210,'[2]UPDATE BILL 2018'!$G:$P,10,0),IFERROR(VLOOKUP(A1210,'[2]UPDATE BILL 2018'!$H:$P,9,0),IFERROR(VLOOKUP(A1210,'[2]UPDATE BILL 2018'!$I:$P,8,0),VLOOKUP(A1210,'[2]UPDATE BILL 2018'!$B:$P,15,0)))))))))</f>
        <v>SITWHPKW173443</v>
      </c>
      <c r="AB1210" s="44">
        <f>IFERROR(VLOOKUP(A1210,'[2]UPDATE BILL 2018'!$B:$T,19,0),IFERROR(VLOOKUP(A1210,'[2]UPDATE BILL 2018'!$C:$T,18,0),IFERROR(VLOOKUP(A1210,'[2]UPDATE BILL 2018'!$D:$T,17,0),IFERROR(VLOOKUP(A1210,'[2]UPDATE BILL 2018'!$E:$T,16,0),IFERROR(VLOOKUP(A1210,'[2]UPDATE BILL 2018'!$F:$T,15,0),IFERROR(VLOOKUP(A1210,'[2]UPDATE BILL 2018'!$G:$T,14,0),IFERROR(VLOOKUP(A1210,'[2]UPDATE BILL 2018'!$H:$T,13,0),IFERROR(VLOOKUP(A1210,'[2]UPDATE BILL 2018'!$I:$T,12,0),VLOOKUP(A1210,'[2]UPDATE BILL 2018'!$B:$T,19,0)))))))))</f>
        <v>43322</v>
      </c>
      <c r="AC1210" s="44" t="str">
        <f>IFERROR(VLOOKUP(A1210,'[2]UPDATE BILL 2018'!$B:$V,21,0),IFERROR(VLOOKUP(A1210,'[2]UPDATE BILL 2018'!$C:$V,20,0),IFERROR(VLOOKUP(A1210,'[2]UPDATE BILL 2018'!$D:$V,19,0),IFERROR(VLOOKUP(A1210,'[2]UPDATE BILL 2018'!$E:$V,18,0),IFERROR(VLOOKUP(A1210,'[2]UPDATE BILL 2018'!$F:$V,17,0),IFERROR(VLOOKUP(A1210,'[2]UPDATE BILL 2018'!$G:$V,16,0),IFERROR(VLOOKUP(A1210,'[2]UPDATE BILL 2018'!$H:$V,15,0),IFERROR(VLOOKUP(A1210,'[2]UPDATE BILL 2018'!$I:$V,14,0),VLOOKUP(A1210,'[2]UPDATE BILL 2018'!$B:$V,21,0)))))))))</f>
        <v>HYUNDAI HARMONY 1831N</v>
      </c>
      <c r="AD1210" s="14" t="s">
        <v>50</v>
      </c>
      <c r="AE1210" s="24" t="s">
        <v>2684</v>
      </c>
      <c r="AF1210" s="25" t="str">
        <f t="shared" si="83"/>
        <v>VW</v>
      </c>
      <c r="AG1210" t="e">
        <f t="shared" si="79"/>
        <v>#REF!</v>
      </c>
      <c r="AI1210" s="58"/>
    </row>
    <row r="1211" spans="1:35" ht="15.75" customHeight="1">
      <c r="A1211" s="6" t="s">
        <v>2672</v>
      </c>
      <c r="D1211" s="7">
        <f t="shared" si="80"/>
        <v>0</v>
      </c>
      <c r="E1211" s="7">
        <v>0</v>
      </c>
      <c r="F1211" s="5">
        <v>0</v>
      </c>
      <c r="G1211" s="7">
        <v>0</v>
      </c>
      <c r="H1211" s="5">
        <v>0</v>
      </c>
      <c r="I1211" s="7">
        <v>0</v>
      </c>
      <c r="J1211" s="7">
        <v>0</v>
      </c>
      <c r="K1211" s="5">
        <v>0</v>
      </c>
      <c r="L1211" s="5">
        <v>0</v>
      </c>
      <c r="M1211" s="5">
        <v>48</v>
      </c>
      <c r="N1211" s="7">
        <f t="shared" si="81"/>
        <v>48</v>
      </c>
      <c r="O1211" s="7">
        <v>8419.7000000000007</v>
      </c>
      <c r="P1211" s="7">
        <v>0</v>
      </c>
      <c r="Q1211" s="5">
        <v>0</v>
      </c>
      <c r="R1211" s="5">
        <v>0</v>
      </c>
      <c r="S1211" s="7">
        <v>0</v>
      </c>
      <c r="T1211" s="12">
        <v>43307</v>
      </c>
      <c r="U1211" s="4">
        <v>1</v>
      </c>
      <c r="V1211" s="4">
        <v>9</v>
      </c>
      <c r="W1211" s="4">
        <v>9</v>
      </c>
      <c r="X1211" s="45">
        <f t="shared" si="82"/>
        <v>8419.7000000000007</v>
      </c>
      <c r="Y1211" s="14" t="s">
        <v>85</v>
      </c>
      <c r="Z1211" s="14" t="s">
        <v>1492</v>
      </c>
      <c r="AA1211" s="14">
        <f>IFERROR(VLOOKUP(A1211,'[2]UPDATE BILL 2018'!$B:$P,15,0),IFERROR(VLOOKUP(A1211,'[2]UPDATE BILL 2018'!$C:$P,14,0),IFERROR(VLOOKUP(A1211,'[2]UPDATE BILL 2018'!$D:$P,13,0),IFERROR(VLOOKUP(A1211,'[2]UPDATE BILL 2018'!$E:$P,12,0),IFERROR(VLOOKUP(A1211,'[2]UPDATE BILL 2018'!$F:$P,11,0),IFERROR(VLOOKUP(A1211,'[2]UPDATE BILL 2018'!$G:$P,10,0),IFERROR(VLOOKUP(A1211,'[2]UPDATE BILL 2018'!$H:$P,9,0),IFERROR(VLOOKUP(A1211,'[2]UPDATE BILL 2018'!$I:$P,8,0),VLOOKUP(A1211,'[2]UPDATE BILL 2018'!$B:$P,15,0)))))))))</f>
        <v>350810085668</v>
      </c>
      <c r="AB1211" s="44">
        <f>IFERROR(VLOOKUP(A1211,'[2]UPDATE BILL 2018'!$B:$T,19,0),IFERROR(VLOOKUP(A1211,'[2]UPDATE BILL 2018'!$C:$T,18,0),IFERROR(VLOOKUP(A1211,'[2]UPDATE BILL 2018'!$D:$T,17,0),IFERROR(VLOOKUP(A1211,'[2]UPDATE BILL 2018'!$E:$T,16,0),IFERROR(VLOOKUP(A1211,'[2]UPDATE BILL 2018'!$F:$T,15,0),IFERROR(VLOOKUP(A1211,'[2]UPDATE BILL 2018'!$G:$T,14,0),IFERROR(VLOOKUP(A1211,'[2]UPDATE BILL 2018'!$H:$T,13,0),IFERROR(VLOOKUP(A1211,'[2]UPDATE BILL 2018'!$I:$T,12,0),VLOOKUP(A1211,'[2]UPDATE BILL 2018'!$B:$T,19,0)))))))))</f>
        <v>43311</v>
      </c>
      <c r="AC1211" s="44" t="str">
        <f>IFERROR(VLOOKUP(A1211,'[2]UPDATE BILL 2018'!$B:$V,21,0),IFERROR(VLOOKUP(A1211,'[2]UPDATE BILL 2018'!$C:$V,20,0),IFERROR(VLOOKUP(A1211,'[2]UPDATE BILL 2018'!$D:$V,19,0),IFERROR(VLOOKUP(A1211,'[2]UPDATE BILL 2018'!$E:$V,18,0),IFERROR(VLOOKUP(A1211,'[2]UPDATE BILL 2018'!$F:$V,17,0),IFERROR(VLOOKUP(A1211,'[2]UPDATE BILL 2018'!$G:$V,16,0),IFERROR(VLOOKUP(A1211,'[2]UPDATE BILL 2018'!$H:$V,15,0),IFERROR(VLOOKUP(A1211,'[2]UPDATE BILL 2018'!$I:$V,14,0),VLOOKUP(A1211,'[2]UPDATE BILL 2018'!$B:$V,21,0)))))))))</f>
        <v>LANTAU BRIDE 18013N</v>
      </c>
      <c r="AD1211" s="14" t="s">
        <v>49</v>
      </c>
      <c r="AE1211" s="24" t="s">
        <v>2685</v>
      </c>
      <c r="AF1211" s="25" t="str">
        <f t="shared" si="83"/>
        <v>VZ</v>
      </c>
      <c r="AG1211" t="e">
        <f t="shared" si="79"/>
        <v>#REF!</v>
      </c>
      <c r="AI1211" s="58"/>
    </row>
    <row r="1212" spans="1:35" ht="15.75" customHeight="1">
      <c r="A1212" s="6" t="s">
        <v>2673</v>
      </c>
      <c r="D1212" s="7">
        <f t="shared" si="80"/>
        <v>0</v>
      </c>
      <c r="E1212" s="7">
        <v>0</v>
      </c>
      <c r="F1212" s="5">
        <v>0</v>
      </c>
      <c r="G1212" s="7">
        <v>0</v>
      </c>
      <c r="H1212" s="5">
        <v>0</v>
      </c>
      <c r="I1212" s="7">
        <v>0</v>
      </c>
      <c r="J1212" s="7">
        <v>0</v>
      </c>
      <c r="K1212" s="5">
        <v>0</v>
      </c>
      <c r="L1212" s="5">
        <v>0</v>
      </c>
      <c r="M1212" s="5">
        <v>0</v>
      </c>
      <c r="N1212" s="7">
        <f t="shared" si="81"/>
        <v>0</v>
      </c>
      <c r="O1212" s="7">
        <v>0</v>
      </c>
      <c r="P1212" s="7">
        <v>0</v>
      </c>
      <c r="Q1212" s="5">
        <v>0</v>
      </c>
      <c r="R1212" s="5">
        <v>227</v>
      </c>
      <c r="S1212" s="7">
        <v>49238.1</v>
      </c>
      <c r="T1212" s="12">
        <v>43307</v>
      </c>
      <c r="U1212" s="4">
        <v>2</v>
      </c>
      <c r="V1212" s="4">
        <v>9</v>
      </c>
      <c r="W1212" s="4">
        <v>9</v>
      </c>
      <c r="X1212" s="45">
        <f t="shared" si="82"/>
        <v>49238.1</v>
      </c>
      <c r="Y1212" s="14" t="s">
        <v>85</v>
      </c>
      <c r="Z1212" s="14" t="s">
        <v>1281</v>
      </c>
      <c r="AA1212" s="14">
        <f>IFERROR(VLOOKUP(A1212,'[2]UPDATE BILL 2018'!$B:$P,15,0),IFERROR(VLOOKUP(A1212,'[2]UPDATE BILL 2018'!$C:$P,14,0),IFERROR(VLOOKUP(A1212,'[2]UPDATE BILL 2018'!$D:$P,13,0),IFERROR(VLOOKUP(A1212,'[2]UPDATE BILL 2018'!$E:$P,12,0),IFERROR(VLOOKUP(A1212,'[2]UPDATE BILL 2018'!$F:$P,11,0),IFERROR(VLOOKUP(A1212,'[2]UPDATE BILL 2018'!$G:$P,10,0),IFERROR(VLOOKUP(A1212,'[2]UPDATE BILL 2018'!$H:$P,9,0),IFERROR(VLOOKUP(A1212,'[2]UPDATE BILL 2018'!$I:$P,8,0),VLOOKUP(A1212,'[2]UPDATE BILL 2018'!$B:$P,15,0)))))))))</f>
        <v>350810086931</v>
      </c>
      <c r="AB1212" s="44">
        <f>IFERROR(VLOOKUP(A1212,'[2]UPDATE BILL 2018'!$B:$T,19,0),IFERROR(VLOOKUP(A1212,'[2]UPDATE BILL 2018'!$C:$T,18,0),IFERROR(VLOOKUP(A1212,'[2]UPDATE BILL 2018'!$D:$T,17,0),IFERROR(VLOOKUP(A1212,'[2]UPDATE BILL 2018'!$E:$T,16,0),IFERROR(VLOOKUP(A1212,'[2]UPDATE BILL 2018'!$F:$T,15,0),IFERROR(VLOOKUP(A1212,'[2]UPDATE BILL 2018'!$G:$T,14,0),IFERROR(VLOOKUP(A1212,'[2]UPDATE BILL 2018'!$H:$T,13,0),IFERROR(VLOOKUP(A1212,'[2]UPDATE BILL 2018'!$I:$T,12,0),VLOOKUP(A1212,'[2]UPDATE BILL 2018'!$B:$T,19,0)))))))))</f>
        <v>43313</v>
      </c>
      <c r="AC1212" s="44" t="str">
        <f>IFERROR(VLOOKUP(A1212,'[2]UPDATE BILL 2018'!$B:$V,21,0),IFERROR(VLOOKUP(A1212,'[2]UPDATE BILL 2018'!$C:$V,20,0),IFERROR(VLOOKUP(A1212,'[2]UPDATE BILL 2018'!$D:$V,19,0),IFERROR(VLOOKUP(A1212,'[2]UPDATE BILL 2018'!$E:$V,18,0),IFERROR(VLOOKUP(A1212,'[2]UPDATE BILL 2018'!$F:$V,17,0),IFERROR(VLOOKUP(A1212,'[2]UPDATE BILL 2018'!$G:$V,16,0),IFERROR(VLOOKUP(A1212,'[2]UPDATE BILL 2018'!$H:$V,15,0),IFERROR(VLOOKUP(A1212,'[2]UPDATE BILL 2018'!$I:$V,14,0),VLOOKUP(A1212,'[2]UPDATE BILL 2018'!$B:$V,21,0)))))))))</f>
        <v>MARCLIFF 18013N</v>
      </c>
      <c r="AD1212" s="14" t="s">
        <v>52</v>
      </c>
      <c r="AE1212" s="24" t="s">
        <v>2686</v>
      </c>
      <c r="AF1212" s="25" t="s">
        <v>2173</v>
      </c>
      <c r="AG1212" t="e">
        <f t="shared" si="79"/>
        <v>#N/A</v>
      </c>
      <c r="AI1212" s="58"/>
    </row>
    <row r="1213" spans="1:35" ht="15.75" customHeight="1">
      <c r="A1213" s="6" t="s">
        <v>2674</v>
      </c>
      <c r="D1213" s="7">
        <f t="shared" si="80"/>
        <v>0</v>
      </c>
      <c r="E1213" s="7">
        <v>0</v>
      </c>
      <c r="F1213" s="5">
        <v>0</v>
      </c>
      <c r="G1213" s="7">
        <v>0</v>
      </c>
      <c r="H1213" s="5">
        <v>0</v>
      </c>
      <c r="I1213" s="7">
        <v>0</v>
      </c>
      <c r="J1213" s="7">
        <v>0</v>
      </c>
      <c r="K1213" s="5">
        <v>0</v>
      </c>
      <c r="L1213" s="5">
        <v>0</v>
      </c>
      <c r="M1213" s="5">
        <v>0</v>
      </c>
      <c r="N1213" s="7">
        <f t="shared" si="81"/>
        <v>0</v>
      </c>
      <c r="O1213" s="7">
        <v>0</v>
      </c>
      <c r="P1213" s="7">
        <v>0</v>
      </c>
      <c r="Q1213" s="5">
        <v>0</v>
      </c>
      <c r="R1213" s="5">
        <v>867</v>
      </c>
      <c r="S1213" s="7">
        <v>112144.4</v>
      </c>
      <c r="T1213" s="12">
        <v>43307</v>
      </c>
      <c r="U1213" s="4">
        <v>6</v>
      </c>
      <c r="V1213" s="4">
        <v>9</v>
      </c>
      <c r="W1213" s="4">
        <v>9</v>
      </c>
      <c r="X1213" s="45">
        <f t="shared" si="82"/>
        <v>112144.4</v>
      </c>
      <c r="Y1213" s="14" t="s">
        <v>56</v>
      </c>
      <c r="Z1213" s="14" t="s">
        <v>59</v>
      </c>
      <c r="AA1213" s="14" t="str">
        <f>IFERROR(VLOOKUP(A1213,'[2]UPDATE BILL 2018'!$B:$P,15,0),IFERROR(VLOOKUP(A1213,'[2]UPDATE BILL 2018'!$C:$P,14,0),IFERROR(VLOOKUP(A1213,'[2]UPDATE BILL 2018'!$D:$P,13,0),IFERROR(VLOOKUP(A1213,'[2]UPDATE BILL 2018'!$E:$P,12,0),IFERROR(VLOOKUP(A1213,'[2]UPDATE BILL 2018'!$F:$P,11,0),IFERROR(VLOOKUP(A1213,'[2]UPDATE BILL 2018'!$G:$P,10,0),IFERROR(VLOOKUP(A1213,'[2]UPDATE BILL 2018'!$H:$P,9,0),IFERROR(VLOOKUP(A1213,'[2]UPDATE BILL 2018'!$I:$P,8,0),VLOOKUP(A1213,'[2]UPDATE BILL 2018'!$B:$P,15,0)))))))))</f>
        <v>1008X04098</v>
      </c>
      <c r="AB1213" s="44">
        <f>IFERROR(VLOOKUP(A1213,'[2]UPDATE BILL 2018'!$B:$T,19,0),IFERROR(VLOOKUP(A1213,'[2]UPDATE BILL 2018'!$C:$T,18,0),IFERROR(VLOOKUP(A1213,'[2]UPDATE BILL 2018'!$D:$T,17,0),IFERROR(VLOOKUP(A1213,'[2]UPDATE BILL 2018'!$E:$T,16,0),IFERROR(VLOOKUP(A1213,'[2]UPDATE BILL 2018'!$F:$T,15,0),IFERROR(VLOOKUP(A1213,'[2]UPDATE BILL 2018'!$G:$T,14,0),IFERROR(VLOOKUP(A1213,'[2]UPDATE BILL 2018'!$H:$T,13,0),IFERROR(VLOOKUP(A1213,'[2]UPDATE BILL 2018'!$I:$T,12,0),VLOOKUP(A1213,'[2]UPDATE BILL 2018'!$B:$T,19,0)))))))))</f>
        <v>43313</v>
      </c>
      <c r="AC1213" s="44" t="str">
        <f>IFERROR(VLOOKUP(A1213,'[2]UPDATE BILL 2018'!$B:$V,21,0),IFERROR(VLOOKUP(A1213,'[2]UPDATE BILL 2018'!$C:$V,20,0),IFERROR(VLOOKUP(A1213,'[2]UPDATE BILL 2018'!$D:$V,19,0),IFERROR(VLOOKUP(A1213,'[2]UPDATE BILL 2018'!$E:$V,18,0),IFERROR(VLOOKUP(A1213,'[2]UPDATE BILL 2018'!$F:$V,17,0),IFERROR(VLOOKUP(A1213,'[2]UPDATE BILL 2018'!$G:$V,16,0),IFERROR(VLOOKUP(A1213,'[2]UPDATE BILL 2018'!$H:$V,15,0),IFERROR(VLOOKUP(A1213,'[2]UPDATE BILL 2018'!$I:$V,14,0),VLOOKUP(A1213,'[2]UPDATE BILL 2018'!$B:$V,21,0)))))))))</f>
        <v>AS RAFAELA N001</v>
      </c>
      <c r="AD1213" s="14" t="s">
        <v>51</v>
      </c>
      <c r="AE1213" s="24" t="s">
        <v>2687</v>
      </c>
      <c r="AF1213" s="25" t="s">
        <v>2150</v>
      </c>
      <c r="AG1213" t="e">
        <f t="shared" si="79"/>
        <v>#N/A</v>
      </c>
      <c r="AI1213" s="58"/>
    </row>
    <row r="1214" spans="1:35" ht="15.75" customHeight="1">
      <c r="A1214" s="6" t="s">
        <v>2675</v>
      </c>
      <c r="D1214" s="7">
        <f t="shared" si="80"/>
        <v>0</v>
      </c>
      <c r="E1214" s="7">
        <v>0</v>
      </c>
      <c r="F1214" s="5">
        <v>0</v>
      </c>
      <c r="G1214" s="7">
        <v>0</v>
      </c>
      <c r="H1214" s="5">
        <v>0</v>
      </c>
      <c r="I1214" s="7">
        <v>0</v>
      </c>
      <c r="J1214" s="7">
        <v>0</v>
      </c>
      <c r="K1214" s="5">
        <v>0</v>
      </c>
      <c r="L1214" s="5">
        <v>0</v>
      </c>
      <c r="M1214" s="5">
        <v>0</v>
      </c>
      <c r="N1214" s="7">
        <f t="shared" si="81"/>
        <v>0</v>
      </c>
      <c r="O1214" s="7">
        <v>0</v>
      </c>
      <c r="P1214" s="7">
        <v>0</v>
      </c>
      <c r="Q1214" s="5">
        <v>0</v>
      </c>
      <c r="R1214" s="5">
        <v>380</v>
      </c>
      <c r="S1214" s="7">
        <v>60816.200000000004</v>
      </c>
      <c r="T1214" s="12">
        <v>43307</v>
      </c>
      <c r="U1214" s="4">
        <v>2</v>
      </c>
      <c r="V1214" s="4">
        <v>9</v>
      </c>
      <c r="W1214" s="4">
        <v>9</v>
      </c>
      <c r="X1214" s="45">
        <f t="shared" si="82"/>
        <v>60816.200000000004</v>
      </c>
      <c r="Y1214" s="14" t="s">
        <v>54</v>
      </c>
      <c r="Z1214" s="14" t="s">
        <v>1281</v>
      </c>
      <c r="AA1214" s="14" t="str">
        <f>IFERROR(VLOOKUP(A1214,'[2]UPDATE BILL 2018'!$B:$P,15,0),IFERROR(VLOOKUP(A1214,'[2]UPDATE BILL 2018'!$C:$P,14,0),IFERROR(VLOOKUP(A1214,'[2]UPDATE BILL 2018'!$D:$P,13,0),IFERROR(VLOOKUP(A1214,'[2]UPDATE BILL 2018'!$E:$P,12,0),IFERROR(VLOOKUP(A1214,'[2]UPDATE BILL 2018'!$F:$P,11,0),IFERROR(VLOOKUP(A1214,'[2]UPDATE BILL 2018'!$G:$P,10,0),IFERROR(VLOOKUP(A1214,'[2]UPDATE BILL 2018'!$H:$P,9,0),IFERROR(VLOOKUP(A1214,'[2]UPDATE BILL 2018'!$I:$P,8,0),VLOOKUP(A1214,'[2]UPDATE BILL 2018'!$B:$P,15,0)))))))))</f>
        <v>SITWHPKW173446</v>
      </c>
      <c r="AB1214" s="44">
        <f>IFERROR(VLOOKUP(A1214,'[2]UPDATE BILL 2018'!$B:$T,19,0),IFERROR(VLOOKUP(A1214,'[2]UPDATE BILL 2018'!$C:$T,18,0),IFERROR(VLOOKUP(A1214,'[2]UPDATE BILL 2018'!$D:$T,17,0),IFERROR(VLOOKUP(A1214,'[2]UPDATE BILL 2018'!$E:$T,16,0),IFERROR(VLOOKUP(A1214,'[2]UPDATE BILL 2018'!$F:$T,15,0),IFERROR(VLOOKUP(A1214,'[2]UPDATE BILL 2018'!$G:$T,14,0),IFERROR(VLOOKUP(A1214,'[2]UPDATE BILL 2018'!$H:$T,13,0),IFERROR(VLOOKUP(A1214,'[2]UPDATE BILL 2018'!$I:$T,12,0),VLOOKUP(A1214,'[2]UPDATE BILL 2018'!$B:$T,19,0)))))))))</f>
        <v>43322</v>
      </c>
      <c r="AC1214" s="44" t="str">
        <f>IFERROR(VLOOKUP(A1214,'[2]UPDATE BILL 2018'!$B:$V,21,0),IFERROR(VLOOKUP(A1214,'[2]UPDATE BILL 2018'!$C:$V,20,0),IFERROR(VLOOKUP(A1214,'[2]UPDATE BILL 2018'!$D:$V,19,0),IFERROR(VLOOKUP(A1214,'[2]UPDATE BILL 2018'!$E:$V,18,0),IFERROR(VLOOKUP(A1214,'[2]UPDATE BILL 2018'!$F:$V,17,0),IFERROR(VLOOKUP(A1214,'[2]UPDATE BILL 2018'!$G:$V,16,0),IFERROR(VLOOKUP(A1214,'[2]UPDATE BILL 2018'!$H:$V,15,0),IFERROR(VLOOKUP(A1214,'[2]UPDATE BILL 2018'!$I:$V,14,0),VLOOKUP(A1214,'[2]UPDATE BILL 2018'!$B:$V,21,0)))))))))</f>
        <v>HYUNDAI HARMONY 1831N</v>
      </c>
      <c r="AD1214" s="14" t="s">
        <v>50</v>
      </c>
      <c r="AE1214" s="24" t="s">
        <v>2688</v>
      </c>
      <c r="AF1214" s="25" t="s">
        <v>2151</v>
      </c>
      <c r="AG1214" t="e">
        <f t="shared" si="79"/>
        <v>#N/A</v>
      </c>
      <c r="AI1214" s="58"/>
    </row>
    <row r="1215" spans="1:35" ht="15.75" customHeight="1">
      <c r="A1215" s="6" t="s">
        <v>2689</v>
      </c>
      <c r="B1215" s="5">
        <v>130</v>
      </c>
      <c r="C1215" s="7">
        <v>4376.7999999999993</v>
      </c>
      <c r="D1215" s="7">
        <f t="shared" si="80"/>
        <v>0</v>
      </c>
      <c r="E1215" s="7">
        <v>0</v>
      </c>
      <c r="F1215" s="5">
        <v>0</v>
      </c>
      <c r="G1215" s="7">
        <v>0</v>
      </c>
      <c r="H1215" s="5">
        <v>100</v>
      </c>
      <c r="I1215" s="7">
        <v>12996.199999999999</v>
      </c>
      <c r="J1215" s="7">
        <v>0</v>
      </c>
      <c r="K1215" s="5">
        <v>0</v>
      </c>
      <c r="L1215" s="5">
        <v>0</v>
      </c>
      <c r="M1215" s="5">
        <v>0</v>
      </c>
      <c r="N1215" s="7">
        <f t="shared" si="81"/>
        <v>0</v>
      </c>
      <c r="O1215" s="7">
        <v>0</v>
      </c>
      <c r="P1215" s="7">
        <v>0</v>
      </c>
      <c r="Q1215" s="5">
        <v>0</v>
      </c>
      <c r="R1215" s="5">
        <v>0</v>
      </c>
      <c r="S1215" s="7">
        <v>0</v>
      </c>
      <c r="T1215" s="12">
        <v>43308</v>
      </c>
      <c r="U1215" s="4">
        <v>1</v>
      </c>
      <c r="V1215" s="4">
        <v>9</v>
      </c>
      <c r="W1215" s="4">
        <v>9</v>
      </c>
      <c r="X1215" s="45">
        <f t="shared" si="82"/>
        <v>17373</v>
      </c>
      <c r="Y1215" s="14" t="s">
        <v>54</v>
      </c>
      <c r="Z1215" s="14" t="s">
        <v>1355</v>
      </c>
      <c r="AA1215" s="14" t="str">
        <f>IFERROR(VLOOKUP(A1215,'[2]UPDATE BILL 2018'!$B:$P,15,0),IFERROR(VLOOKUP(A1215,'[2]UPDATE BILL 2018'!$C:$P,14,0),IFERROR(VLOOKUP(A1215,'[2]UPDATE BILL 2018'!$D:$P,13,0),IFERROR(VLOOKUP(A1215,'[2]UPDATE BILL 2018'!$E:$P,12,0),IFERROR(VLOOKUP(A1215,'[2]UPDATE BILL 2018'!$F:$P,11,0),IFERROR(VLOOKUP(A1215,'[2]UPDATE BILL 2018'!$G:$P,10,0),IFERROR(VLOOKUP(A1215,'[2]UPDATE BILL 2018'!$H:$P,9,0),IFERROR(VLOOKUP(A1215,'[2]UPDATE BILL 2018'!$I:$P,8,0),VLOOKUP(A1215,'[2]UPDATE BILL 2018'!$B:$P,15,0)))))))))</f>
        <v>SITWHPTK172504</v>
      </c>
      <c r="AB1215" s="44">
        <f>IFERROR(VLOOKUP(A1215,'[2]UPDATE BILL 2018'!$B:$T,19,0),IFERROR(VLOOKUP(A1215,'[2]UPDATE BILL 2018'!$C:$T,18,0),IFERROR(VLOOKUP(A1215,'[2]UPDATE BILL 2018'!$D:$T,17,0),IFERROR(VLOOKUP(A1215,'[2]UPDATE BILL 2018'!$E:$T,16,0),IFERROR(VLOOKUP(A1215,'[2]UPDATE BILL 2018'!$F:$T,15,0),IFERROR(VLOOKUP(A1215,'[2]UPDATE BILL 2018'!$G:$T,14,0),IFERROR(VLOOKUP(A1215,'[2]UPDATE BILL 2018'!$H:$T,13,0),IFERROR(VLOOKUP(A1215,'[2]UPDATE BILL 2018'!$I:$T,12,0),VLOOKUP(A1215,'[2]UPDATE BILL 2018'!$B:$T,19,0)))))))))</f>
        <v>43311</v>
      </c>
      <c r="AC1215" s="44" t="str">
        <f>IFERROR(VLOOKUP(A1215,'[2]UPDATE BILL 2018'!$B:$V,21,0),IFERROR(VLOOKUP(A1215,'[2]UPDATE BILL 2018'!$C:$V,20,0),IFERROR(VLOOKUP(A1215,'[2]UPDATE BILL 2018'!$D:$V,19,0),IFERROR(VLOOKUP(A1215,'[2]UPDATE BILL 2018'!$E:$V,18,0),IFERROR(VLOOKUP(A1215,'[2]UPDATE BILL 2018'!$F:$V,17,0),IFERROR(VLOOKUP(A1215,'[2]UPDATE BILL 2018'!$G:$V,16,0),IFERROR(VLOOKUP(A1215,'[2]UPDATE BILL 2018'!$H:$V,15,0),IFERROR(VLOOKUP(A1215,'[2]UPDATE BILL 2018'!$I:$V,14,0),VLOOKUP(A1215,'[2]UPDATE BILL 2018'!$B:$V,21,0)))))))))</f>
        <v>RESURGENCE 1819N</v>
      </c>
      <c r="AD1215" s="14" t="s">
        <v>49</v>
      </c>
      <c r="AE1215" s="24" t="s">
        <v>2693</v>
      </c>
      <c r="AF1215" s="25" t="str">
        <f t="shared" si="83"/>
        <v>VK</v>
      </c>
      <c r="AG1215" t="e">
        <f t="shared" si="79"/>
        <v>#REF!</v>
      </c>
      <c r="AI1215" s="58"/>
    </row>
    <row r="1216" spans="1:35" ht="15.75" customHeight="1">
      <c r="A1216" s="6" t="s">
        <v>2690</v>
      </c>
      <c r="B1216" s="5">
        <v>75</v>
      </c>
      <c r="C1216" s="7">
        <v>10147.5</v>
      </c>
      <c r="D1216" s="7">
        <f t="shared" si="80"/>
        <v>0</v>
      </c>
      <c r="E1216" s="7">
        <v>0</v>
      </c>
      <c r="F1216" s="5">
        <v>0</v>
      </c>
      <c r="G1216" s="7">
        <v>0</v>
      </c>
      <c r="H1216" s="5">
        <v>503</v>
      </c>
      <c r="I1216" s="7">
        <v>15322.5</v>
      </c>
      <c r="J1216" s="7">
        <v>0</v>
      </c>
      <c r="K1216" s="5">
        <v>0</v>
      </c>
      <c r="L1216" s="5">
        <v>0</v>
      </c>
      <c r="M1216" s="5">
        <v>341</v>
      </c>
      <c r="N1216" s="7">
        <f t="shared" si="81"/>
        <v>341</v>
      </c>
      <c r="O1216" s="7">
        <v>14233.899999999998</v>
      </c>
      <c r="P1216" s="7">
        <v>0</v>
      </c>
      <c r="Q1216" s="5">
        <v>0</v>
      </c>
      <c r="R1216" s="5">
        <v>65</v>
      </c>
      <c r="S1216" s="7">
        <v>3253.3999999999996</v>
      </c>
      <c r="T1216" s="12">
        <v>43308</v>
      </c>
      <c r="U1216" s="4">
        <v>3</v>
      </c>
      <c r="V1216" s="4">
        <v>9</v>
      </c>
      <c r="W1216" s="4">
        <v>9</v>
      </c>
      <c r="X1216" s="45">
        <f t="shared" si="82"/>
        <v>42957.299999999996</v>
      </c>
      <c r="Y1216" s="14" t="s">
        <v>54</v>
      </c>
      <c r="Z1216" s="14" t="s">
        <v>1281</v>
      </c>
      <c r="AA1216" s="14" t="str">
        <f>IFERROR(VLOOKUP(A1216,'[2]UPDATE BILL 2018'!$B:$P,15,0),IFERROR(VLOOKUP(A1216,'[2]UPDATE BILL 2018'!$C:$P,14,0),IFERROR(VLOOKUP(A1216,'[2]UPDATE BILL 2018'!$D:$P,13,0),IFERROR(VLOOKUP(A1216,'[2]UPDATE BILL 2018'!$E:$P,12,0),IFERROR(VLOOKUP(A1216,'[2]UPDATE BILL 2018'!$F:$P,11,0),IFERROR(VLOOKUP(A1216,'[2]UPDATE BILL 2018'!$G:$P,10,0),IFERROR(VLOOKUP(A1216,'[2]UPDATE BILL 2018'!$H:$P,9,0),IFERROR(VLOOKUP(A1216,'[2]UPDATE BILL 2018'!$I:$P,8,0),VLOOKUP(A1216,'[2]UPDATE BILL 2018'!$B:$P,15,0)))))))))</f>
        <v>SITWHPOS172505</v>
      </c>
      <c r="AB1216" s="44">
        <f>IFERROR(VLOOKUP(A1216,'[2]UPDATE BILL 2018'!$B:$T,19,0),IFERROR(VLOOKUP(A1216,'[2]UPDATE BILL 2018'!$C:$T,18,0),IFERROR(VLOOKUP(A1216,'[2]UPDATE BILL 2018'!$D:$T,17,0),IFERROR(VLOOKUP(A1216,'[2]UPDATE BILL 2018'!$E:$T,16,0),IFERROR(VLOOKUP(A1216,'[2]UPDATE BILL 2018'!$F:$T,15,0),IFERROR(VLOOKUP(A1216,'[2]UPDATE BILL 2018'!$G:$T,14,0),IFERROR(VLOOKUP(A1216,'[2]UPDATE BILL 2018'!$H:$T,13,0),IFERROR(VLOOKUP(A1216,'[2]UPDATE BILL 2018'!$I:$T,12,0),VLOOKUP(A1216,'[2]UPDATE BILL 2018'!$B:$T,19,0)))))))))</f>
        <v>43310</v>
      </c>
      <c r="AC1216" s="44" t="str">
        <f>IFERROR(VLOOKUP(A1216,'[2]UPDATE BILL 2018'!$B:$V,21,0),IFERROR(VLOOKUP(A1216,'[2]UPDATE BILL 2018'!$C:$V,20,0),IFERROR(VLOOKUP(A1216,'[2]UPDATE BILL 2018'!$D:$V,19,0),IFERROR(VLOOKUP(A1216,'[2]UPDATE BILL 2018'!$E:$V,18,0),IFERROR(VLOOKUP(A1216,'[2]UPDATE BILL 2018'!$F:$V,17,0),IFERROR(VLOOKUP(A1216,'[2]UPDATE BILL 2018'!$G:$V,16,0),IFERROR(VLOOKUP(A1216,'[2]UPDATE BILL 2018'!$H:$V,15,0),IFERROR(VLOOKUP(A1216,'[2]UPDATE BILL 2018'!$I:$V,14,0),VLOOKUP(A1216,'[2]UPDATE BILL 2018'!$B:$V,21,0)))))))))</f>
        <v>SITC YANTAI 1817N</v>
      </c>
      <c r="AD1216" s="14" t="s">
        <v>51</v>
      </c>
      <c r="AE1216" s="24" t="s">
        <v>2694</v>
      </c>
      <c r="AF1216" s="25" t="str">
        <f t="shared" si="83"/>
        <v>VS</v>
      </c>
      <c r="AG1216" t="e">
        <f t="shared" si="79"/>
        <v>#REF!</v>
      </c>
      <c r="AI1216" s="58"/>
    </row>
    <row r="1217" spans="1:35" ht="15.75" customHeight="1">
      <c r="A1217" s="6" t="s">
        <v>2691</v>
      </c>
      <c r="B1217" s="5">
        <v>144</v>
      </c>
      <c r="C1217" s="7">
        <v>7758.74</v>
      </c>
      <c r="D1217" s="7">
        <f t="shared" si="80"/>
        <v>0</v>
      </c>
      <c r="E1217" s="7">
        <v>0</v>
      </c>
      <c r="F1217" s="5">
        <v>0</v>
      </c>
      <c r="G1217" s="7">
        <v>0</v>
      </c>
      <c r="H1217" s="5">
        <v>90</v>
      </c>
      <c r="I1217" s="7">
        <v>3657</v>
      </c>
      <c r="J1217" s="7">
        <v>0</v>
      </c>
      <c r="K1217" s="5">
        <v>0</v>
      </c>
      <c r="L1217" s="5">
        <v>0</v>
      </c>
      <c r="M1217" s="5">
        <v>83</v>
      </c>
      <c r="N1217" s="7">
        <f t="shared" si="81"/>
        <v>83</v>
      </c>
      <c r="O1217" s="7">
        <v>9712.0000000000018</v>
      </c>
      <c r="P1217" s="7">
        <v>0</v>
      </c>
      <c r="Q1217" s="5">
        <v>0</v>
      </c>
      <c r="R1217" s="5">
        <v>30</v>
      </c>
      <c r="S1217" s="7">
        <v>1506.8999999999999</v>
      </c>
      <c r="T1217" s="12">
        <v>43308</v>
      </c>
      <c r="U1217" s="4">
        <v>2</v>
      </c>
      <c r="V1217" s="4">
        <v>9</v>
      </c>
      <c r="W1217" s="4">
        <v>9</v>
      </c>
      <c r="X1217" s="45">
        <f t="shared" si="82"/>
        <v>22634.640000000003</v>
      </c>
      <c r="Y1217" s="14" t="s">
        <v>54</v>
      </c>
      <c r="Z1217" s="14" t="s">
        <v>1355</v>
      </c>
      <c r="AA1217" s="14" t="str">
        <f>IFERROR(VLOOKUP(A1217,'[2]UPDATE BILL 2018'!$B:$P,15,0),IFERROR(VLOOKUP(A1217,'[2]UPDATE BILL 2018'!$C:$P,14,0),IFERROR(VLOOKUP(A1217,'[2]UPDATE BILL 2018'!$D:$P,13,0),IFERROR(VLOOKUP(A1217,'[2]UPDATE BILL 2018'!$E:$P,12,0),IFERROR(VLOOKUP(A1217,'[2]UPDATE BILL 2018'!$F:$P,11,0),IFERROR(VLOOKUP(A1217,'[2]UPDATE BILL 2018'!$G:$P,10,0),IFERROR(VLOOKUP(A1217,'[2]UPDATE BILL 2018'!$H:$P,9,0),IFERROR(VLOOKUP(A1217,'[2]UPDATE BILL 2018'!$I:$P,8,0),VLOOKUP(A1217,'[2]UPDATE BILL 2018'!$B:$P,15,0)))))))))</f>
        <v>SITWHPKW172517</v>
      </c>
      <c r="AB1217" s="44">
        <f>IFERROR(VLOOKUP(A1217,'[2]UPDATE BILL 2018'!$B:$T,19,0),IFERROR(VLOOKUP(A1217,'[2]UPDATE BILL 2018'!$C:$T,18,0),IFERROR(VLOOKUP(A1217,'[2]UPDATE BILL 2018'!$D:$T,17,0),IFERROR(VLOOKUP(A1217,'[2]UPDATE BILL 2018'!$E:$T,16,0),IFERROR(VLOOKUP(A1217,'[2]UPDATE BILL 2018'!$F:$T,15,0),IFERROR(VLOOKUP(A1217,'[2]UPDATE BILL 2018'!$G:$T,14,0),IFERROR(VLOOKUP(A1217,'[2]UPDATE BILL 2018'!$H:$T,13,0),IFERROR(VLOOKUP(A1217,'[2]UPDATE BILL 2018'!$I:$T,12,0),VLOOKUP(A1217,'[2]UPDATE BILL 2018'!$B:$T,19,0)))))))))</f>
        <v>43311</v>
      </c>
      <c r="AC1217" s="44" t="str">
        <f>IFERROR(VLOOKUP(A1217,'[2]UPDATE BILL 2018'!$B:$V,21,0),IFERROR(VLOOKUP(A1217,'[2]UPDATE BILL 2018'!$C:$V,20,0),IFERROR(VLOOKUP(A1217,'[2]UPDATE BILL 2018'!$D:$V,19,0),IFERROR(VLOOKUP(A1217,'[2]UPDATE BILL 2018'!$E:$V,18,0),IFERROR(VLOOKUP(A1217,'[2]UPDATE BILL 2018'!$F:$V,17,0),IFERROR(VLOOKUP(A1217,'[2]UPDATE BILL 2018'!$G:$V,16,0),IFERROR(VLOOKUP(A1217,'[2]UPDATE BILL 2018'!$H:$V,15,0),IFERROR(VLOOKUP(A1217,'[2]UPDATE BILL 2018'!$I:$V,14,0),VLOOKUP(A1217,'[2]UPDATE BILL 2018'!$B:$V,21,0)))))))))</f>
        <v>RESURGENCE 1819N</v>
      </c>
      <c r="AD1217" s="14" t="s">
        <v>50</v>
      </c>
      <c r="AE1217" s="24" t="s">
        <v>2695</v>
      </c>
      <c r="AF1217" s="25" t="str">
        <f t="shared" si="83"/>
        <v>VW</v>
      </c>
      <c r="AG1217" t="e">
        <f t="shared" si="79"/>
        <v>#REF!</v>
      </c>
      <c r="AI1217" s="58"/>
    </row>
    <row r="1218" spans="1:35" ht="15.75" customHeight="1">
      <c r="A1218" s="6" t="s">
        <v>2692</v>
      </c>
      <c r="D1218" s="7">
        <f t="shared" si="80"/>
        <v>0</v>
      </c>
      <c r="E1218" s="7">
        <v>0</v>
      </c>
      <c r="F1218" s="5">
        <v>0</v>
      </c>
      <c r="G1218" s="7">
        <v>0</v>
      </c>
      <c r="H1218" s="5">
        <v>0</v>
      </c>
      <c r="I1218" s="7">
        <v>0</v>
      </c>
      <c r="J1218" s="7">
        <v>0</v>
      </c>
      <c r="K1218" s="5">
        <v>0</v>
      </c>
      <c r="L1218" s="5">
        <v>0</v>
      </c>
      <c r="M1218" s="5">
        <v>0</v>
      </c>
      <c r="N1218" s="7">
        <f t="shared" si="81"/>
        <v>0</v>
      </c>
      <c r="O1218" s="7">
        <v>0</v>
      </c>
      <c r="P1218" s="7">
        <v>0</v>
      </c>
      <c r="Q1218" s="5">
        <v>0</v>
      </c>
      <c r="R1218" s="5">
        <v>240</v>
      </c>
      <c r="S1218" s="7">
        <v>33502</v>
      </c>
      <c r="T1218" s="12">
        <v>43308</v>
      </c>
      <c r="U1218" s="4">
        <v>1</v>
      </c>
      <c r="V1218" s="4">
        <v>9</v>
      </c>
      <c r="W1218" s="4">
        <v>9</v>
      </c>
      <c r="X1218" s="45">
        <f t="shared" si="82"/>
        <v>33502</v>
      </c>
      <c r="Y1218" s="14" t="s">
        <v>54</v>
      </c>
      <c r="Z1218" s="14" t="s">
        <v>1281</v>
      </c>
      <c r="AA1218" s="14" t="str">
        <f>IFERROR(VLOOKUP(A1218,'[2]UPDATE BILL 2018'!$B:$P,15,0),IFERROR(VLOOKUP(A1218,'[2]UPDATE BILL 2018'!$C:$P,14,0),IFERROR(VLOOKUP(A1218,'[2]UPDATE BILL 2018'!$D:$P,13,0),IFERROR(VLOOKUP(A1218,'[2]UPDATE BILL 2018'!$E:$P,12,0),IFERROR(VLOOKUP(A1218,'[2]UPDATE BILL 2018'!$F:$P,11,0),IFERROR(VLOOKUP(A1218,'[2]UPDATE BILL 2018'!$G:$P,10,0),IFERROR(VLOOKUP(A1218,'[2]UPDATE BILL 2018'!$H:$P,9,0),IFERROR(VLOOKUP(A1218,'[2]UPDATE BILL 2018'!$I:$P,8,0),VLOOKUP(A1218,'[2]UPDATE BILL 2018'!$B:$P,15,0)))))))))</f>
        <v>SITWHPOS172505</v>
      </c>
      <c r="AB1218" s="44">
        <f>IFERROR(VLOOKUP(A1218,'[2]UPDATE BILL 2018'!$B:$T,19,0),IFERROR(VLOOKUP(A1218,'[2]UPDATE BILL 2018'!$C:$T,18,0),IFERROR(VLOOKUP(A1218,'[2]UPDATE BILL 2018'!$D:$T,17,0),IFERROR(VLOOKUP(A1218,'[2]UPDATE BILL 2018'!$E:$T,16,0),IFERROR(VLOOKUP(A1218,'[2]UPDATE BILL 2018'!$F:$T,15,0),IFERROR(VLOOKUP(A1218,'[2]UPDATE BILL 2018'!$G:$T,14,0),IFERROR(VLOOKUP(A1218,'[2]UPDATE BILL 2018'!$H:$T,13,0),IFERROR(VLOOKUP(A1218,'[2]UPDATE BILL 2018'!$I:$T,12,0),VLOOKUP(A1218,'[2]UPDATE BILL 2018'!$B:$T,19,0)))))))))</f>
        <v>43310</v>
      </c>
      <c r="AC1218" s="44" t="str">
        <f>IFERROR(VLOOKUP(A1218,'[2]UPDATE BILL 2018'!$B:$V,21,0),IFERROR(VLOOKUP(A1218,'[2]UPDATE BILL 2018'!$C:$V,20,0),IFERROR(VLOOKUP(A1218,'[2]UPDATE BILL 2018'!$D:$V,19,0),IFERROR(VLOOKUP(A1218,'[2]UPDATE BILL 2018'!$E:$V,18,0),IFERROR(VLOOKUP(A1218,'[2]UPDATE BILL 2018'!$F:$V,17,0),IFERROR(VLOOKUP(A1218,'[2]UPDATE BILL 2018'!$G:$V,16,0),IFERROR(VLOOKUP(A1218,'[2]UPDATE BILL 2018'!$H:$V,15,0),IFERROR(VLOOKUP(A1218,'[2]UPDATE BILL 2018'!$I:$V,14,0),VLOOKUP(A1218,'[2]UPDATE BILL 2018'!$B:$V,21,0)))))))))</f>
        <v>SITC YANTAI 1817N</v>
      </c>
      <c r="AD1218" s="14" t="s">
        <v>51</v>
      </c>
      <c r="AE1218" s="24" t="s">
        <v>2696</v>
      </c>
      <c r="AF1218" s="25" t="s">
        <v>2150</v>
      </c>
      <c r="AG1218" t="e">
        <f t="shared" si="79"/>
        <v>#N/A</v>
      </c>
      <c r="AI1218" s="58"/>
    </row>
    <row r="1219" spans="1:35" ht="15.75" customHeight="1">
      <c r="A1219" s="6" t="s">
        <v>2697</v>
      </c>
      <c r="B1219" s="5">
        <v>114</v>
      </c>
      <c r="C1219" s="7">
        <v>12062.599999999997</v>
      </c>
      <c r="D1219" s="7">
        <f t="shared" si="80"/>
        <v>0</v>
      </c>
      <c r="E1219" s="7">
        <v>0</v>
      </c>
      <c r="F1219" s="5">
        <v>0</v>
      </c>
      <c r="G1219" s="7">
        <v>0</v>
      </c>
      <c r="H1219" s="5">
        <v>102</v>
      </c>
      <c r="I1219" s="7">
        <v>12114.560000000001</v>
      </c>
      <c r="J1219" s="7">
        <v>0</v>
      </c>
      <c r="K1219" s="5">
        <v>0</v>
      </c>
      <c r="L1219" s="5">
        <v>0</v>
      </c>
      <c r="M1219" s="5">
        <v>0</v>
      </c>
      <c r="N1219" s="7">
        <f t="shared" si="81"/>
        <v>0</v>
      </c>
      <c r="O1219" s="7">
        <v>0</v>
      </c>
      <c r="P1219" s="7">
        <v>0</v>
      </c>
      <c r="Q1219" s="5">
        <v>0</v>
      </c>
      <c r="R1219" s="5">
        <v>0</v>
      </c>
      <c r="S1219" s="7">
        <v>0</v>
      </c>
      <c r="T1219" s="12">
        <v>43308</v>
      </c>
      <c r="U1219" s="4">
        <v>2</v>
      </c>
      <c r="V1219" s="4">
        <v>9</v>
      </c>
      <c r="W1219" s="4">
        <v>9</v>
      </c>
      <c r="X1219" s="45">
        <f t="shared" si="82"/>
        <v>24177.159999999996</v>
      </c>
      <c r="Y1219" s="14" t="s">
        <v>1633</v>
      </c>
      <c r="Z1219" s="14" t="s">
        <v>1492</v>
      </c>
      <c r="AA1219" s="14" t="str">
        <f>IFERROR(VLOOKUP(A1219,'[2]UPDATE BILL 2018'!$B:$P,15,0),IFERROR(VLOOKUP(A1219,'[2]UPDATE BILL 2018'!$C:$P,14,0),IFERROR(VLOOKUP(A1219,'[2]UPDATE BILL 2018'!$D:$P,13,0),IFERROR(VLOOKUP(A1219,'[2]UPDATE BILL 2018'!$E:$P,12,0),IFERROR(VLOOKUP(A1219,'[2]UPDATE BILL 2018'!$F:$P,11,0),IFERROR(VLOOKUP(A1219,'[2]UPDATE BILL 2018'!$G:$P,10,0),IFERROR(VLOOKUP(A1219,'[2]UPDATE BILL 2018'!$H:$P,9,0),IFERROR(VLOOKUP(A1219,'[2]UPDATE BILL 2018'!$I:$P,8,0),VLOOKUP(A1219,'[2]UPDATE BILL 2018'!$B:$P,15,0)))))))))</f>
        <v>KMTCHPH0564961</v>
      </c>
      <c r="AB1219" s="44">
        <f>IFERROR(VLOOKUP(A1219,'[2]UPDATE BILL 2018'!$B:$T,19,0),IFERROR(VLOOKUP(A1219,'[2]UPDATE BILL 2018'!$C:$T,18,0),IFERROR(VLOOKUP(A1219,'[2]UPDATE BILL 2018'!$D:$T,17,0),IFERROR(VLOOKUP(A1219,'[2]UPDATE BILL 2018'!$E:$T,16,0),IFERROR(VLOOKUP(A1219,'[2]UPDATE BILL 2018'!$F:$T,15,0),IFERROR(VLOOKUP(A1219,'[2]UPDATE BILL 2018'!$G:$T,14,0),IFERROR(VLOOKUP(A1219,'[2]UPDATE BILL 2018'!$H:$T,13,0),IFERROR(VLOOKUP(A1219,'[2]UPDATE BILL 2018'!$I:$T,12,0),VLOOKUP(A1219,'[2]UPDATE BILL 2018'!$B:$T,19,0)))))))))</f>
        <v>43317</v>
      </c>
      <c r="AC1219" s="44" t="str">
        <f>IFERROR(VLOOKUP(A1219,'[2]UPDATE BILL 2018'!$B:$V,21,0),IFERROR(VLOOKUP(A1219,'[2]UPDATE BILL 2018'!$C:$V,20,0),IFERROR(VLOOKUP(A1219,'[2]UPDATE BILL 2018'!$D:$V,19,0),IFERROR(VLOOKUP(A1219,'[2]UPDATE BILL 2018'!$E:$V,18,0),IFERROR(VLOOKUP(A1219,'[2]UPDATE BILL 2018'!$F:$V,17,0),IFERROR(VLOOKUP(A1219,'[2]UPDATE BILL 2018'!$G:$V,16,0),IFERROR(VLOOKUP(A1219,'[2]UPDATE BILL 2018'!$H:$V,15,0),IFERROR(VLOOKUP(A1219,'[2]UPDATE BILL 2018'!$I:$V,14,0),VLOOKUP(A1219,'[2]UPDATE BILL 2018'!$B:$V,21,0)))))))))</f>
        <v>SUNNY IRIS 1822N</v>
      </c>
      <c r="AD1219" s="14" t="s">
        <v>70</v>
      </c>
      <c r="AE1219" s="24" t="s">
        <v>2708</v>
      </c>
      <c r="AF1219" s="25" t="str">
        <f t="shared" si="83"/>
        <v>VH</v>
      </c>
      <c r="AG1219" t="e">
        <f t="shared" si="79"/>
        <v>#REF!</v>
      </c>
      <c r="AI1219" s="58"/>
    </row>
    <row r="1220" spans="1:35" ht="15.75" customHeight="1">
      <c r="A1220" s="6" t="s">
        <v>2698</v>
      </c>
      <c r="D1220" s="7">
        <f t="shared" si="80"/>
        <v>0</v>
      </c>
      <c r="E1220" s="7">
        <v>0</v>
      </c>
      <c r="F1220" s="5">
        <v>0</v>
      </c>
      <c r="G1220" s="7">
        <v>0</v>
      </c>
      <c r="H1220" s="5">
        <v>140</v>
      </c>
      <c r="I1220" s="7">
        <v>15846.800000000003</v>
      </c>
      <c r="J1220" s="7">
        <v>0</v>
      </c>
      <c r="K1220" s="5">
        <v>0</v>
      </c>
      <c r="L1220" s="5">
        <v>0</v>
      </c>
      <c r="M1220" s="5">
        <v>0</v>
      </c>
      <c r="N1220" s="7">
        <f t="shared" si="81"/>
        <v>0</v>
      </c>
      <c r="O1220" s="7">
        <v>0</v>
      </c>
      <c r="P1220" s="7">
        <v>0</v>
      </c>
      <c r="Q1220" s="5">
        <v>0</v>
      </c>
      <c r="R1220" s="5">
        <v>0</v>
      </c>
      <c r="S1220" s="7">
        <v>0</v>
      </c>
      <c r="T1220" s="12">
        <v>43308</v>
      </c>
      <c r="U1220" s="4">
        <v>1</v>
      </c>
      <c r="V1220" s="4">
        <v>9</v>
      </c>
      <c r="W1220" s="4">
        <v>9</v>
      </c>
      <c r="X1220" s="45">
        <f t="shared" si="82"/>
        <v>15846.800000000003</v>
      </c>
      <c r="Y1220" s="14" t="s">
        <v>56</v>
      </c>
      <c r="Z1220" s="14" t="s">
        <v>59</v>
      </c>
      <c r="AA1220" s="14" t="str">
        <f>IFERROR(VLOOKUP(A1220,'[2]UPDATE BILL 2018'!$B:$P,15,0),IFERROR(VLOOKUP(A1220,'[2]UPDATE BILL 2018'!$C:$P,14,0),IFERROR(VLOOKUP(A1220,'[2]UPDATE BILL 2018'!$D:$P,13,0),IFERROR(VLOOKUP(A1220,'[2]UPDATE BILL 2018'!$E:$P,12,0),IFERROR(VLOOKUP(A1220,'[2]UPDATE BILL 2018'!$F:$P,11,0),IFERROR(VLOOKUP(A1220,'[2]UPDATE BILL 2018'!$G:$P,10,0),IFERROR(VLOOKUP(A1220,'[2]UPDATE BILL 2018'!$H:$P,9,0),IFERROR(VLOOKUP(A1220,'[2]UPDATE BILL 2018'!$I:$P,8,0),VLOOKUP(A1220,'[2]UPDATE BILL 2018'!$B:$P,15,0)))))))))</f>
        <v>1008X04089</v>
      </c>
      <c r="AB1220" s="44">
        <f>IFERROR(VLOOKUP(A1220,'[2]UPDATE BILL 2018'!$B:$T,19,0),IFERROR(VLOOKUP(A1220,'[2]UPDATE BILL 2018'!$C:$T,18,0),IFERROR(VLOOKUP(A1220,'[2]UPDATE BILL 2018'!$D:$T,17,0),IFERROR(VLOOKUP(A1220,'[2]UPDATE BILL 2018'!$E:$T,16,0),IFERROR(VLOOKUP(A1220,'[2]UPDATE BILL 2018'!$F:$T,15,0),IFERROR(VLOOKUP(A1220,'[2]UPDATE BILL 2018'!$G:$T,14,0),IFERROR(VLOOKUP(A1220,'[2]UPDATE BILL 2018'!$H:$T,13,0),IFERROR(VLOOKUP(A1220,'[2]UPDATE BILL 2018'!$I:$T,12,0),VLOOKUP(A1220,'[2]UPDATE BILL 2018'!$B:$T,19,0)))))))))</f>
        <v>43313</v>
      </c>
      <c r="AC1220" s="44" t="str">
        <f>IFERROR(VLOOKUP(A1220,'[2]UPDATE BILL 2018'!$B:$V,21,0),IFERROR(VLOOKUP(A1220,'[2]UPDATE BILL 2018'!$C:$V,20,0),IFERROR(VLOOKUP(A1220,'[2]UPDATE BILL 2018'!$D:$V,19,0),IFERROR(VLOOKUP(A1220,'[2]UPDATE BILL 2018'!$E:$V,18,0),IFERROR(VLOOKUP(A1220,'[2]UPDATE BILL 2018'!$F:$V,17,0),IFERROR(VLOOKUP(A1220,'[2]UPDATE BILL 2018'!$G:$V,16,0),IFERROR(VLOOKUP(A1220,'[2]UPDATE BILL 2018'!$H:$V,15,0),IFERROR(VLOOKUP(A1220,'[2]UPDATE BILL 2018'!$I:$V,14,0),VLOOKUP(A1220,'[2]UPDATE BILL 2018'!$B:$V,21,0)))))))))</f>
        <v>AS RAFAELA N001</v>
      </c>
      <c r="AD1220" s="14" t="s">
        <v>49</v>
      </c>
      <c r="AE1220" s="24" t="s">
        <v>2709</v>
      </c>
      <c r="AF1220" s="25" t="str">
        <f t="shared" si="83"/>
        <v>VK</v>
      </c>
      <c r="AG1220" t="e">
        <f t="shared" si="79"/>
        <v>#REF!</v>
      </c>
      <c r="AI1220" s="58"/>
    </row>
    <row r="1221" spans="1:35" ht="15.75" customHeight="1">
      <c r="A1221" s="6" t="s">
        <v>2699</v>
      </c>
      <c r="B1221" s="5">
        <v>97</v>
      </c>
      <c r="C1221" s="7">
        <v>12072.68</v>
      </c>
      <c r="D1221" s="7">
        <f t="shared" si="80"/>
        <v>0</v>
      </c>
      <c r="E1221" s="7">
        <v>0</v>
      </c>
      <c r="F1221" s="5">
        <v>0</v>
      </c>
      <c r="G1221" s="7">
        <v>0</v>
      </c>
      <c r="H1221" s="5">
        <v>0</v>
      </c>
      <c r="I1221" s="7">
        <v>0</v>
      </c>
      <c r="J1221" s="7">
        <v>0</v>
      </c>
      <c r="K1221" s="5">
        <v>0</v>
      </c>
      <c r="L1221" s="5">
        <v>0</v>
      </c>
      <c r="M1221" s="5">
        <v>0</v>
      </c>
      <c r="N1221" s="7">
        <f t="shared" si="81"/>
        <v>0</v>
      </c>
      <c r="O1221" s="7">
        <v>0</v>
      </c>
      <c r="P1221" s="7">
        <v>0</v>
      </c>
      <c r="Q1221" s="5">
        <v>0</v>
      </c>
      <c r="R1221" s="5">
        <v>0</v>
      </c>
      <c r="S1221" s="7">
        <v>0</v>
      </c>
      <c r="T1221" s="12">
        <v>43308</v>
      </c>
      <c r="U1221" s="4">
        <v>1</v>
      </c>
      <c r="V1221" s="4">
        <v>9</v>
      </c>
      <c r="W1221" s="4">
        <v>9</v>
      </c>
      <c r="X1221" s="45">
        <f t="shared" si="82"/>
        <v>12072.68</v>
      </c>
      <c r="Y1221" s="14" t="s">
        <v>85</v>
      </c>
      <c r="Z1221" s="14" t="s">
        <v>1637</v>
      </c>
      <c r="AA1221" s="14">
        <f>IFERROR(VLOOKUP(A1221,'[2]UPDATE BILL 2018'!$B:$P,15,0),IFERROR(VLOOKUP(A1221,'[2]UPDATE BILL 2018'!$C:$P,14,0),IFERROR(VLOOKUP(A1221,'[2]UPDATE BILL 2018'!$D:$P,13,0),IFERROR(VLOOKUP(A1221,'[2]UPDATE BILL 2018'!$E:$P,12,0),IFERROR(VLOOKUP(A1221,'[2]UPDATE BILL 2018'!$F:$P,11,0),IFERROR(VLOOKUP(A1221,'[2]UPDATE BILL 2018'!$G:$P,10,0),IFERROR(VLOOKUP(A1221,'[2]UPDATE BILL 2018'!$H:$P,9,0),IFERROR(VLOOKUP(A1221,'[2]UPDATE BILL 2018'!$I:$P,8,0),VLOOKUP(A1221,'[2]UPDATE BILL 2018'!$B:$P,15,0)))))))))</f>
        <v>350810086924</v>
      </c>
      <c r="AB1221" s="44">
        <f>IFERROR(VLOOKUP(A1221,'[2]UPDATE BILL 2018'!$B:$T,19,0),IFERROR(VLOOKUP(A1221,'[2]UPDATE BILL 2018'!$C:$T,18,0),IFERROR(VLOOKUP(A1221,'[2]UPDATE BILL 2018'!$D:$T,17,0),IFERROR(VLOOKUP(A1221,'[2]UPDATE BILL 2018'!$E:$T,16,0),IFERROR(VLOOKUP(A1221,'[2]UPDATE BILL 2018'!$F:$T,15,0),IFERROR(VLOOKUP(A1221,'[2]UPDATE BILL 2018'!$G:$T,14,0),IFERROR(VLOOKUP(A1221,'[2]UPDATE BILL 2018'!$H:$T,13,0),IFERROR(VLOOKUP(A1221,'[2]UPDATE BILL 2018'!$I:$T,12,0),VLOOKUP(A1221,'[2]UPDATE BILL 2018'!$B:$T,19,0)))))))))</f>
        <v>43313</v>
      </c>
      <c r="AC1221" s="44" t="str">
        <f>IFERROR(VLOOKUP(A1221,'[2]UPDATE BILL 2018'!$B:$V,21,0),IFERROR(VLOOKUP(A1221,'[2]UPDATE BILL 2018'!$C:$V,20,0),IFERROR(VLOOKUP(A1221,'[2]UPDATE BILL 2018'!$D:$V,19,0),IFERROR(VLOOKUP(A1221,'[2]UPDATE BILL 2018'!$E:$V,18,0),IFERROR(VLOOKUP(A1221,'[2]UPDATE BILL 2018'!$F:$V,17,0),IFERROR(VLOOKUP(A1221,'[2]UPDATE BILL 2018'!$G:$V,16,0),IFERROR(VLOOKUP(A1221,'[2]UPDATE BILL 2018'!$H:$V,15,0),IFERROR(VLOOKUP(A1221,'[2]UPDATE BILL 2018'!$I:$V,14,0),VLOOKUP(A1221,'[2]UPDATE BILL 2018'!$B:$V,21,0)))))))))</f>
        <v>MARCLIFF 18013N</v>
      </c>
      <c r="AD1221" s="14" t="s">
        <v>49</v>
      </c>
      <c r="AE1221" s="24" t="s">
        <v>2710</v>
      </c>
      <c r="AF1221" s="25" t="str">
        <f t="shared" si="83"/>
        <v>VN</v>
      </c>
      <c r="AG1221" t="e">
        <f t="shared" si="79"/>
        <v>#REF!</v>
      </c>
      <c r="AI1221" s="58"/>
    </row>
    <row r="1222" spans="1:35" ht="15.75" customHeight="1">
      <c r="A1222" s="6" t="s">
        <v>2700</v>
      </c>
      <c r="B1222" s="5">
        <v>147</v>
      </c>
      <c r="C1222" s="7">
        <v>12599.85</v>
      </c>
      <c r="D1222" s="7">
        <f t="shared" si="80"/>
        <v>0</v>
      </c>
      <c r="E1222" s="7">
        <v>0</v>
      </c>
      <c r="F1222" s="5">
        <v>0</v>
      </c>
      <c r="G1222" s="7">
        <v>0</v>
      </c>
      <c r="H1222" s="5">
        <v>247</v>
      </c>
      <c r="I1222" s="7">
        <v>26944.06</v>
      </c>
      <c r="J1222" s="7">
        <v>0</v>
      </c>
      <c r="K1222" s="5">
        <v>0</v>
      </c>
      <c r="L1222" s="5">
        <v>0</v>
      </c>
      <c r="M1222" s="5">
        <v>0</v>
      </c>
      <c r="N1222" s="7">
        <f t="shared" si="81"/>
        <v>0</v>
      </c>
      <c r="O1222" s="7">
        <v>0</v>
      </c>
      <c r="P1222" s="7">
        <v>0</v>
      </c>
      <c r="Q1222" s="5">
        <v>0</v>
      </c>
      <c r="R1222" s="5">
        <v>0</v>
      </c>
      <c r="S1222" s="7">
        <v>0</v>
      </c>
      <c r="T1222" s="12">
        <v>43308</v>
      </c>
      <c r="U1222" s="4">
        <v>3</v>
      </c>
      <c r="V1222" s="4">
        <v>9</v>
      </c>
      <c r="W1222" s="4">
        <v>9</v>
      </c>
      <c r="X1222" s="45">
        <f t="shared" si="82"/>
        <v>39543.910000000003</v>
      </c>
      <c r="Y1222" s="14" t="s">
        <v>85</v>
      </c>
      <c r="Z1222" s="14" t="s">
        <v>1281</v>
      </c>
      <c r="AA1222" s="14">
        <f>IFERROR(VLOOKUP(A1222,'[2]UPDATE BILL 2018'!$B:$P,15,0),IFERROR(VLOOKUP(A1222,'[2]UPDATE BILL 2018'!$C:$P,14,0),IFERROR(VLOOKUP(A1222,'[2]UPDATE BILL 2018'!$D:$P,13,0),IFERROR(VLOOKUP(A1222,'[2]UPDATE BILL 2018'!$E:$P,12,0),IFERROR(VLOOKUP(A1222,'[2]UPDATE BILL 2018'!$F:$P,11,0),IFERROR(VLOOKUP(A1222,'[2]UPDATE BILL 2018'!$G:$P,10,0),IFERROR(VLOOKUP(A1222,'[2]UPDATE BILL 2018'!$H:$P,9,0),IFERROR(VLOOKUP(A1222,'[2]UPDATE BILL 2018'!$I:$P,8,0),VLOOKUP(A1222,'[2]UPDATE BILL 2018'!$B:$P,15,0)))))))))</f>
        <v>350810086931</v>
      </c>
      <c r="AB1222" s="44">
        <f>IFERROR(VLOOKUP(A1222,'[2]UPDATE BILL 2018'!$B:$T,19,0),IFERROR(VLOOKUP(A1222,'[2]UPDATE BILL 2018'!$C:$T,18,0),IFERROR(VLOOKUP(A1222,'[2]UPDATE BILL 2018'!$D:$T,17,0),IFERROR(VLOOKUP(A1222,'[2]UPDATE BILL 2018'!$E:$T,16,0),IFERROR(VLOOKUP(A1222,'[2]UPDATE BILL 2018'!$F:$T,15,0),IFERROR(VLOOKUP(A1222,'[2]UPDATE BILL 2018'!$G:$T,14,0),IFERROR(VLOOKUP(A1222,'[2]UPDATE BILL 2018'!$H:$T,13,0),IFERROR(VLOOKUP(A1222,'[2]UPDATE BILL 2018'!$I:$T,12,0),VLOOKUP(A1222,'[2]UPDATE BILL 2018'!$B:$T,19,0)))))))))</f>
        <v>43313</v>
      </c>
      <c r="AC1222" s="44" t="str">
        <f>IFERROR(VLOOKUP(A1222,'[2]UPDATE BILL 2018'!$B:$V,21,0),IFERROR(VLOOKUP(A1222,'[2]UPDATE BILL 2018'!$C:$V,20,0),IFERROR(VLOOKUP(A1222,'[2]UPDATE BILL 2018'!$D:$V,19,0),IFERROR(VLOOKUP(A1222,'[2]UPDATE BILL 2018'!$E:$V,18,0),IFERROR(VLOOKUP(A1222,'[2]UPDATE BILL 2018'!$F:$V,17,0),IFERROR(VLOOKUP(A1222,'[2]UPDATE BILL 2018'!$G:$V,16,0),IFERROR(VLOOKUP(A1222,'[2]UPDATE BILL 2018'!$H:$V,15,0),IFERROR(VLOOKUP(A1222,'[2]UPDATE BILL 2018'!$I:$V,14,0),VLOOKUP(A1222,'[2]UPDATE BILL 2018'!$B:$V,21,0)))))))))</f>
        <v>MARCLIFF 18013N</v>
      </c>
      <c r="AD1222" s="14" t="s">
        <v>52</v>
      </c>
      <c r="AE1222" s="24" t="s">
        <v>2711</v>
      </c>
      <c r="AF1222" s="25" t="str">
        <f t="shared" si="83"/>
        <v>VQ</v>
      </c>
      <c r="AG1222" t="e">
        <f t="shared" si="79"/>
        <v>#REF!</v>
      </c>
      <c r="AI1222" s="58"/>
    </row>
    <row r="1223" spans="1:35" ht="15.75" customHeight="1">
      <c r="A1223" s="6" t="s">
        <v>2701</v>
      </c>
      <c r="B1223" s="5">
        <v>611</v>
      </c>
      <c r="C1223" s="7">
        <v>63874.820000000007</v>
      </c>
      <c r="D1223" s="7">
        <f t="shared" si="80"/>
        <v>0</v>
      </c>
      <c r="E1223" s="7">
        <v>0</v>
      </c>
      <c r="F1223" s="5">
        <v>0</v>
      </c>
      <c r="G1223" s="7">
        <v>0</v>
      </c>
      <c r="H1223" s="5">
        <v>95</v>
      </c>
      <c r="I1223" s="7">
        <v>12156.2</v>
      </c>
      <c r="J1223" s="7">
        <v>0</v>
      </c>
      <c r="K1223" s="5">
        <v>0</v>
      </c>
      <c r="L1223" s="5">
        <v>0</v>
      </c>
      <c r="M1223" s="5">
        <v>0</v>
      </c>
      <c r="N1223" s="7">
        <f t="shared" si="81"/>
        <v>0</v>
      </c>
      <c r="O1223" s="7">
        <v>0</v>
      </c>
      <c r="P1223" s="7">
        <v>0</v>
      </c>
      <c r="Q1223" s="5">
        <v>0</v>
      </c>
      <c r="R1223" s="5">
        <v>0</v>
      </c>
      <c r="S1223" s="7">
        <v>0</v>
      </c>
      <c r="T1223" s="12">
        <v>43308</v>
      </c>
      <c r="U1223" s="4">
        <v>6</v>
      </c>
      <c r="V1223" s="4">
        <v>9</v>
      </c>
      <c r="W1223" s="4">
        <v>9</v>
      </c>
      <c r="X1223" s="45">
        <f t="shared" si="82"/>
        <v>76031.02</v>
      </c>
      <c r="Y1223" s="14" t="s">
        <v>56</v>
      </c>
      <c r="Z1223" s="14" t="s">
        <v>57</v>
      </c>
      <c r="AA1223" s="14" t="str">
        <f>IFERROR(VLOOKUP(A1223,'[2]UPDATE BILL 2018'!$B:$P,15,0),IFERROR(VLOOKUP(A1223,'[2]UPDATE BILL 2018'!$C:$P,14,0),IFERROR(VLOOKUP(A1223,'[2]UPDATE BILL 2018'!$D:$P,13,0),IFERROR(VLOOKUP(A1223,'[2]UPDATE BILL 2018'!$E:$P,12,0),IFERROR(VLOOKUP(A1223,'[2]UPDATE BILL 2018'!$F:$P,11,0),IFERROR(VLOOKUP(A1223,'[2]UPDATE BILL 2018'!$G:$P,10,0),IFERROR(VLOOKUP(A1223,'[2]UPDATE BILL 2018'!$H:$P,9,0),IFERROR(VLOOKUP(A1223,'[2]UPDATE BILL 2018'!$I:$P,8,0),VLOOKUP(A1223,'[2]UPDATE BILL 2018'!$B:$P,15,0)))))))))</f>
        <v>1008X04098</v>
      </c>
      <c r="AB1223" s="44">
        <f>IFERROR(VLOOKUP(A1223,'[2]UPDATE BILL 2018'!$B:$T,19,0),IFERROR(VLOOKUP(A1223,'[2]UPDATE BILL 2018'!$C:$T,18,0),IFERROR(VLOOKUP(A1223,'[2]UPDATE BILL 2018'!$D:$T,17,0),IFERROR(VLOOKUP(A1223,'[2]UPDATE BILL 2018'!$E:$T,16,0),IFERROR(VLOOKUP(A1223,'[2]UPDATE BILL 2018'!$F:$T,15,0),IFERROR(VLOOKUP(A1223,'[2]UPDATE BILL 2018'!$G:$T,14,0),IFERROR(VLOOKUP(A1223,'[2]UPDATE BILL 2018'!$H:$T,13,0),IFERROR(VLOOKUP(A1223,'[2]UPDATE BILL 2018'!$I:$T,12,0),VLOOKUP(A1223,'[2]UPDATE BILL 2018'!$B:$T,19,0)))))))))</f>
        <v>43313</v>
      </c>
      <c r="AC1223" s="44" t="str">
        <f>IFERROR(VLOOKUP(A1223,'[2]UPDATE BILL 2018'!$B:$V,21,0),IFERROR(VLOOKUP(A1223,'[2]UPDATE BILL 2018'!$C:$V,20,0),IFERROR(VLOOKUP(A1223,'[2]UPDATE BILL 2018'!$D:$V,19,0),IFERROR(VLOOKUP(A1223,'[2]UPDATE BILL 2018'!$E:$V,18,0),IFERROR(VLOOKUP(A1223,'[2]UPDATE BILL 2018'!$F:$V,17,0),IFERROR(VLOOKUP(A1223,'[2]UPDATE BILL 2018'!$G:$V,16,0),IFERROR(VLOOKUP(A1223,'[2]UPDATE BILL 2018'!$H:$V,15,0),IFERROR(VLOOKUP(A1223,'[2]UPDATE BILL 2018'!$I:$V,14,0),VLOOKUP(A1223,'[2]UPDATE BILL 2018'!$B:$V,21,0)))))))))</f>
        <v>AS RAFAELA N001</v>
      </c>
      <c r="AD1223" s="14" t="s">
        <v>51</v>
      </c>
      <c r="AE1223" s="24" t="s">
        <v>2712</v>
      </c>
      <c r="AF1223" s="25" t="str">
        <f t="shared" si="83"/>
        <v>VS</v>
      </c>
      <c r="AG1223" t="e">
        <f t="shared" si="79"/>
        <v>#REF!</v>
      </c>
      <c r="AI1223" s="58"/>
    </row>
    <row r="1224" spans="1:35" ht="15.75" customHeight="1">
      <c r="A1224" s="6" t="s">
        <v>2702</v>
      </c>
      <c r="B1224" s="5">
        <v>343</v>
      </c>
      <c r="C1224" s="7">
        <v>36937.1</v>
      </c>
      <c r="D1224" s="7">
        <f t="shared" si="80"/>
        <v>0</v>
      </c>
      <c r="E1224" s="7">
        <v>0</v>
      </c>
      <c r="F1224" s="5">
        <v>0</v>
      </c>
      <c r="G1224" s="7">
        <v>0</v>
      </c>
      <c r="H1224" s="5">
        <v>0</v>
      </c>
      <c r="I1224" s="7">
        <v>0</v>
      </c>
      <c r="J1224" s="7">
        <v>0</v>
      </c>
      <c r="K1224" s="5">
        <v>0</v>
      </c>
      <c r="L1224" s="5">
        <v>0</v>
      </c>
      <c r="M1224" s="5">
        <v>0</v>
      </c>
      <c r="N1224" s="7">
        <f t="shared" si="81"/>
        <v>0</v>
      </c>
      <c r="O1224" s="7">
        <v>0</v>
      </c>
      <c r="P1224" s="7">
        <v>0</v>
      </c>
      <c r="Q1224" s="5">
        <v>0</v>
      </c>
      <c r="R1224" s="5">
        <v>0</v>
      </c>
      <c r="S1224" s="7">
        <v>0</v>
      </c>
      <c r="T1224" s="12">
        <v>43308</v>
      </c>
      <c r="U1224" s="4">
        <v>3</v>
      </c>
      <c r="V1224" s="4">
        <v>9</v>
      </c>
      <c r="W1224" s="4">
        <v>9</v>
      </c>
      <c r="X1224" s="45">
        <f t="shared" si="82"/>
        <v>36937.1</v>
      </c>
      <c r="Y1224" s="14" t="s">
        <v>54</v>
      </c>
      <c r="Z1224" s="14" t="s">
        <v>2525</v>
      </c>
      <c r="AA1224" s="14" t="str">
        <f>IFERROR(VLOOKUP(A1224,'[2]UPDATE BILL 2018'!$B:$P,15,0),IFERROR(VLOOKUP(A1224,'[2]UPDATE BILL 2018'!$C:$P,14,0),IFERROR(VLOOKUP(A1224,'[2]UPDATE BILL 2018'!$D:$P,13,0),IFERROR(VLOOKUP(A1224,'[2]UPDATE BILL 2018'!$E:$P,12,0),IFERROR(VLOOKUP(A1224,'[2]UPDATE BILL 2018'!$F:$P,11,0),IFERROR(VLOOKUP(A1224,'[2]UPDATE BILL 2018'!$G:$P,10,0),IFERROR(VLOOKUP(A1224,'[2]UPDATE BILL 2018'!$H:$P,9,0),IFERROR(VLOOKUP(A1224,'[2]UPDATE BILL 2018'!$I:$P,8,0),VLOOKUP(A1224,'[2]UPDATE BILL 2018'!$B:$P,15,0)))))))))</f>
        <v>SITWHPKW173443</v>
      </c>
      <c r="AB1224" s="44">
        <f>IFERROR(VLOOKUP(A1224,'[2]UPDATE BILL 2018'!$B:$T,19,0),IFERROR(VLOOKUP(A1224,'[2]UPDATE BILL 2018'!$C:$T,18,0),IFERROR(VLOOKUP(A1224,'[2]UPDATE BILL 2018'!$D:$T,17,0),IFERROR(VLOOKUP(A1224,'[2]UPDATE BILL 2018'!$E:$T,16,0),IFERROR(VLOOKUP(A1224,'[2]UPDATE BILL 2018'!$F:$T,15,0),IFERROR(VLOOKUP(A1224,'[2]UPDATE BILL 2018'!$G:$T,14,0),IFERROR(VLOOKUP(A1224,'[2]UPDATE BILL 2018'!$H:$T,13,0),IFERROR(VLOOKUP(A1224,'[2]UPDATE BILL 2018'!$I:$T,12,0),VLOOKUP(A1224,'[2]UPDATE BILL 2018'!$B:$T,19,0)))))))))</f>
        <v>43322</v>
      </c>
      <c r="AC1224" s="44" t="str">
        <f>IFERROR(VLOOKUP(A1224,'[2]UPDATE BILL 2018'!$B:$V,21,0),IFERROR(VLOOKUP(A1224,'[2]UPDATE BILL 2018'!$C:$V,20,0),IFERROR(VLOOKUP(A1224,'[2]UPDATE BILL 2018'!$D:$V,19,0),IFERROR(VLOOKUP(A1224,'[2]UPDATE BILL 2018'!$E:$V,18,0),IFERROR(VLOOKUP(A1224,'[2]UPDATE BILL 2018'!$F:$V,17,0),IFERROR(VLOOKUP(A1224,'[2]UPDATE BILL 2018'!$G:$V,16,0),IFERROR(VLOOKUP(A1224,'[2]UPDATE BILL 2018'!$H:$V,15,0),IFERROR(VLOOKUP(A1224,'[2]UPDATE BILL 2018'!$I:$V,14,0),VLOOKUP(A1224,'[2]UPDATE BILL 2018'!$B:$V,21,0)))))))))</f>
        <v>HYUNDAI HARMONY 1831N</v>
      </c>
      <c r="AD1224" s="14" t="s">
        <v>50</v>
      </c>
      <c r="AE1224" s="24" t="s">
        <v>2713</v>
      </c>
      <c r="AF1224" s="25" t="str">
        <f t="shared" si="83"/>
        <v>VW</v>
      </c>
      <c r="AG1224" t="e">
        <f t="shared" si="79"/>
        <v>#REF!</v>
      </c>
      <c r="AI1224" s="58"/>
    </row>
    <row r="1225" spans="1:35" ht="15.75" customHeight="1">
      <c r="A1225" s="6" t="s">
        <v>2703</v>
      </c>
      <c r="B1225" s="5">
        <v>203</v>
      </c>
      <c r="C1225" s="7">
        <v>22203.34</v>
      </c>
      <c r="D1225" s="7">
        <f t="shared" si="80"/>
        <v>0</v>
      </c>
      <c r="E1225" s="7">
        <v>0</v>
      </c>
      <c r="F1225" s="5">
        <v>0</v>
      </c>
      <c r="G1225" s="7">
        <v>0</v>
      </c>
      <c r="H1225" s="5">
        <v>0</v>
      </c>
      <c r="I1225" s="7">
        <v>0</v>
      </c>
      <c r="J1225" s="7">
        <v>0</v>
      </c>
      <c r="K1225" s="5">
        <v>0</v>
      </c>
      <c r="L1225" s="5">
        <v>0</v>
      </c>
      <c r="M1225" s="5">
        <v>0</v>
      </c>
      <c r="N1225" s="7">
        <f t="shared" si="81"/>
        <v>0</v>
      </c>
      <c r="O1225" s="7">
        <v>0</v>
      </c>
      <c r="P1225" s="7">
        <v>0</v>
      </c>
      <c r="Q1225" s="5">
        <v>0</v>
      </c>
      <c r="R1225" s="5">
        <v>0</v>
      </c>
      <c r="S1225" s="7">
        <v>0</v>
      </c>
      <c r="T1225" s="12">
        <v>43308</v>
      </c>
      <c r="U1225" s="4">
        <v>2</v>
      </c>
      <c r="V1225" s="4">
        <v>9</v>
      </c>
      <c r="W1225" s="4">
        <v>9</v>
      </c>
      <c r="X1225" s="45">
        <f t="shared" si="82"/>
        <v>22203.34</v>
      </c>
      <c r="Y1225" s="14" t="s">
        <v>58</v>
      </c>
      <c r="Z1225" s="14" t="s">
        <v>1492</v>
      </c>
      <c r="AA1225" s="14" t="str">
        <f>IFERROR(VLOOKUP(A1225,'[2]UPDATE BILL 2018'!$B:$P,15,0),IFERROR(VLOOKUP(A1225,'[2]UPDATE BILL 2018'!$C:$P,14,0),IFERROR(VLOOKUP(A1225,'[2]UPDATE BILL 2018'!$D:$P,13,0),IFERROR(VLOOKUP(A1225,'[2]UPDATE BILL 2018'!$E:$P,12,0),IFERROR(VLOOKUP(A1225,'[2]UPDATE BILL 2018'!$F:$P,11,0),IFERROR(VLOOKUP(A1225,'[2]UPDATE BILL 2018'!$G:$P,10,0),IFERROR(VLOOKUP(A1225,'[2]UPDATE BILL 2018'!$H:$P,9,0),IFERROR(VLOOKUP(A1225,'[2]UPDATE BILL 2018'!$I:$P,8,0),VLOOKUP(A1225,'[2]UPDATE BILL 2018'!$B:$P,15,0)))))))))</f>
        <v>EGLV237800224223</v>
      </c>
      <c r="AB1225" s="44">
        <f>IFERROR(VLOOKUP(A1225,'[2]UPDATE BILL 2018'!$B:$T,19,0),IFERROR(VLOOKUP(A1225,'[2]UPDATE BILL 2018'!$C:$T,18,0),IFERROR(VLOOKUP(A1225,'[2]UPDATE BILL 2018'!$D:$T,17,0),IFERROR(VLOOKUP(A1225,'[2]UPDATE BILL 2018'!$E:$T,16,0),IFERROR(VLOOKUP(A1225,'[2]UPDATE BILL 2018'!$F:$T,15,0),IFERROR(VLOOKUP(A1225,'[2]UPDATE BILL 2018'!$G:$T,14,0),IFERROR(VLOOKUP(A1225,'[2]UPDATE BILL 2018'!$H:$T,13,0),IFERROR(VLOOKUP(A1225,'[2]UPDATE BILL 2018'!$I:$T,12,0),VLOOKUP(A1225,'[2]UPDATE BILL 2018'!$B:$T,19,0)))))))))</f>
        <v>43314</v>
      </c>
      <c r="AC1225" s="44" t="str">
        <f>IFERROR(VLOOKUP(A1225,'[2]UPDATE BILL 2018'!$B:$V,21,0),IFERROR(VLOOKUP(A1225,'[2]UPDATE BILL 2018'!$C:$V,20,0),IFERROR(VLOOKUP(A1225,'[2]UPDATE BILL 2018'!$D:$V,19,0),IFERROR(VLOOKUP(A1225,'[2]UPDATE BILL 2018'!$E:$V,18,0),IFERROR(VLOOKUP(A1225,'[2]UPDATE BILL 2018'!$F:$V,17,0),IFERROR(VLOOKUP(A1225,'[2]UPDATE BILL 2018'!$G:$V,16,0),IFERROR(VLOOKUP(A1225,'[2]UPDATE BILL 2018'!$H:$V,15,0),IFERROR(VLOOKUP(A1225,'[2]UPDATE BILL 2018'!$I:$V,14,0),VLOOKUP(A1225,'[2]UPDATE BILL 2018'!$B:$V,21,0)))))))))</f>
        <v>WAN HAI 266 N396</v>
      </c>
      <c r="AD1225" s="14" t="s">
        <v>49</v>
      </c>
      <c r="AE1225" s="24" t="s">
        <v>2714</v>
      </c>
      <c r="AF1225" s="25" t="str">
        <f t="shared" si="83"/>
        <v>VZ</v>
      </c>
      <c r="AG1225" t="e">
        <f t="shared" si="79"/>
        <v>#REF!</v>
      </c>
      <c r="AI1225" s="58"/>
    </row>
    <row r="1226" spans="1:35" ht="15.75" customHeight="1">
      <c r="A1226" s="6" t="s">
        <v>2704</v>
      </c>
      <c r="D1226" s="7">
        <f t="shared" si="80"/>
        <v>0</v>
      </c>
      <c r="E1226" s="7">
        <v>0</v>
      </c>
      <c r="F1226" s="5">
        <v>0</v>
      </c>
      <c r="G1226" s="7">
        <v>0</v>
      </c>
      <c r="H1226" s="5">
        <v>0</v>
      </c>
      <c r="I1226" s="7">
        <v>0</v>
      </c>
      <c r="J1226" s="7">
        <v>0</v>
      </c>
      <c r="K1226" s="5">
        <v>0</v>
      </c>
      <c r="L1226" s="5">
        <v>0</v>
      </c>
      <c r="M1226" s="5">
        <v>0</v>
      </c>
      <c r="N1226" s="7">
        <f t="shared" si="81"/>
        <v>0</v>
      </c>
      <c r="O1226" s="7">
        <v>0</v>
      </c>
      <c r="P1226" s="7">
        <v>0</v>
      </c>
      <c r="Q1226" s="5">
        <v>0</v>
      </c>
      <c r="R1226" s="5">
        <v>553</v>
      </c>
      <c r="S1226" s="7">
        <v>36221.5</v>
      </c>
      <c r="T1226" s="12">
        <v>43308</v>
      </c>
      <c r="U1226" s="4">
        <v>1</v>
      </c>
      <c r="V1226" s="4">
        <v>9</v>
      </c>
      <c r="W1226" s="4">
        <v>9</v>
      </c>
      <c r="X1226" s="45">
        <f t="shared" si="82"/>
        <v>36221.5</v>
      </c>
      <c r="Y1226" s="14" t="s">
        <v>56</v>
      </c>
      <c r="Z1226" s="14" t="s">
        <v>59</v>
      </c>
      <c r="AA1226" s="14" t="str">
        <f>IFERROR(VLOOKUP(A1226,'[2]UPDATE BILL 2018'!$B:$P,15,0),IFERROR(VLOOKUP(A1226,'[2]UPDATE BILL 2018'!$C:$P,14,0),IFERROR(VLOOKUP(A1226,'[2]UPDATE BILL 2018'!$D:$P,13,0),IFERROR(VLOOKUP(A1226,'[2]UPDATE BILL 2018'!$E:$P,12,0),IFERROR(VLOOKUP(A1226,'[2]UPDATE BILL 2018'!$F:$P,11,0),IFERROR(VLOOKUP(A1226,'[2]UPDATE BILL 2018'!$G:$P,10,0),IFERROR(VLOOKUP(A1226,'[2]UPDATE BILL 2018'!$H:$P,9,0),IFERROR(VLOOKUP(A1226,'[2]UPDATE BILL 2018'!$I:$P,8,0),VLOOKUP(A1226,'[2]UPDATE BILL 2018'!$B:$P,15,0)))))))))</f>
        <v>1008X04089</v>
      </c>
      <c r="AB1226" s="44">
        <f>IFERROR(VLOOKUP(A1226,'[2]UPDATE BILL 2018'!$B:$T,19,0),IFERROR(VLOOKUP(A1226,'[2]UPDATE BILL 2018'!$C:$T,18,0),IFERROR(VLOOKUP(A1226,'[2]UPDATE BILL 2018'!$D:$T,17,0),IFERROR(VLOOKUP(A1226,'[2]UPDATE BILL 2018'!$E:$T,16,0),IFERROR(VLOOKUP(A1226,'[2]UPDATE BILL 2018'!$F:$T,15,0),IFERROR(VLOOKUP(A1226,'[2]UPDATE BILL 2018'!$G:$T,14,0),IFERROR(VLOOKUP(A1226,'[2]UPDATE BILL 2018'!$H:$T,13,0),IFERROR(VLOOKUP(A1226,'[2]UPDATE BILL 2018'!$I:$T,12,0),VLOOKUP(A1226,'[2]UPDATE BILL 2018'!$B:$T,19,0)))))))))</f>
        <v>43313</v>
      </c>
      <c r="AC1226" s="44" t="str">
        <f>IFERROR(VLOOKUP(A1226,'[2]UPDATE BILL 2018'!$B:$V,21,0),IFERROR(VLOOKUP(A1226,'[2]UPDATE BILL 2018'!$C:$V,20,0),IFERROR(VLOOKUP(A1226,'[2]UPDATE BILL 2018'!$D:$V,19,0),IFERROR(VLOOKUP(A1226,'[2]UPDATE BILL 2018'!$E:$V,18,0),IFERROR(VLOOKUP(A1226,'[2]UPDATE BILL 2018'!$F:$V,17,0),IFERROR(VLOOKUP(A1226,'[2]UPDATE BILL 2018'!$G:$V,16,0),IFERROR(VLOOKUP(A1226,'[2]UPDATE BILL 2018'!$H:$V,15,0),IFERROR(VLOOKUP(A1226,'[2]UPDATE BILL 2018'!$I:$V,14,0),VLOOKUP(A1226,'[2]UPDATE BILL 2018'!$B:$V,21,0)))))))))</f>
        <v>AS RAFAELA N001</v>
      </c>
      <c r="AD1226" s="14" t="s">
        <v>49</v>
      </c>
      <c r="AE1226" s="24" t="s">
        <v>2715</v>
      </c>
      <c r="AF1226" s="25" t="s">
        <v>2175</v>
      </c>
      <c r="AG1226" t="e">
        <f t="shared" si="79"/>
        <v>#N/A</v>
      </c>
      <c r="AI1226" s="58"/>
    </row>
    <row r="1227" spans="1:35" ht="15.75" customHeight="1">
      <c r="A1227" s="6" t="s">
        <v>2705</v>
      </c>
      <c r="D1227" s="7">
        <f t="shared" si="80"/>
        <v>0</v>
      </c>
      <c r="E1227" s="7">
        <v>0</v>
      </c>
      <c r="F1227" s="5">
        <v>0</v>
      </c>
      <c r="G1227" s="7">
        <v>0</v>
      </c>
      <c r="H1227" s="5">
        <v>0</v>
      </c>
      <c r="I1227" s="7">
        <v>0</v>
      </c>
      <c r="J1227" s="7">
        <v>0</v>
      </c>
      <c r="K1227" s="5">
        <v>0</v>
      </c>
      <c r="L1227" s="5">
        <v>0</v>
      </c>
      <c r="M1227" s="5">
        <v>0</v>
      </c>
      <c r="N1227" s="7">
        <f t="shared" si="81"/>
        <v>0</v>
      </c>
      <c r="O1227" s="7">
        <v>0</v>
      </c>
      <c r="P1227" s="7">
        <v>0</v>
      </c>
      <c r="Q1227" s="5">
        <v>0</v>
      </c>
      <c r="R1227" s="5">
        <v>251</v>
      </c>
      <c r="S1227" s="7">
        <v>34834.199999999997</v>
      </c>
      <c r="T1227" s="12">
        <v>43308</v>
      </c>
      <c r="U1227" s="4">
        <v>1</v>
      </c>
      <c r="V1227" s="4">
        <v>9</v>
      </c>
      <c r="W1227" s="4">
        <v>9</v>
      </c>
      <c r="X1227" s="45">
        <f t="shared" si="82"/>
        <v>34834.199999999997</v>
      </c>
      <c r="Y1227" s="14" t="s">
        <v>85</v>
      </c>
      <c r="Z1227" s="14" t="s">
        <v>1281</v>
      </c>
      <c r="AA1227" s="14">
        <f>IFERROR(VLOOKUP(A1227,'[2]UPDATE BILL 2018'!$B:$P,15,0),IFERROR(VLOOKUP(A1227,'[2]UPDATE BILL 2018'!$C:$P,14,0),IFERROR(VLOOKUP(A1227,'[2]UPDATE BILL 2018'!$D:$P,13,0),IFERROR(VLOOKUP(A1227,'[2]UPDATE BILL 2018'!$E:$P,12,0),IFERROR(VLOOKUP(A1227,'[2]UPDATE BILL 2018'!$F:$P,11,0),IFERROR(VLOOKUP(A1227,'[2]UPDATE BILL 2018'!$G:$P,10,0),IFERROR(VLOOKUP(A1227,'[2]UPDATE BILL 2018'!$H:$P,9,0),IFERROR(VLOOKUP(A1227,'[2]UPDATE BILL 2018'!$I:$P,8,0),VLOOKUP(A1227,'[2]UPDATE BILL 2018'!$B:$P,15,0)))))))))</f>
        <v>350810086931</v>
      </c>
      <c r="AB1227" s="44">
        <f>IFERROR(VLOOKUP(A1227,'[2]UPDATE BILL 2018'!$B:$T,19,0),IFERROR(VLOOKUP(A1227,'[2]UPDATE BILL 2018'!$C:$T,18,0),IFERROR(VLOOKUP(A1227,'[2]UPDATE BILL 2018'!$D:$T,17,0),IFERROR(VLOOKUP(A1227,'[2]UPDATE BILL 2018'!$E:$T,16,0),IFERROR(VLOOKUP(A1227,'[2]UPDATE BILL 2018'!$F:$T,15,0),IFERROR(VLOOKUP(A1227,'[2]UPDATE BILL 2018'!$G:$T,14,0),IFERROR(VLOOKUP(A1227,'[2]UPDATE BILL 2018'!$H:$T,13,0),IFERROR(VLOOKUP(A1227,'[2]UPDATE BILL 2018'!$I:$T,12,0),VLOOKUP(A1227,'[2]UPDATE BILL 2018'!$B:$T,19,0)))))))))</f>
        <v>43313</v>
      </c>
      <c r="AC1227" s="44" t="str">
        <f>IFERROR(VLOOKUP(A1227,'[2]UPDATE BILL 2018'!$B:$V,21,0),IFERROR(VLOOKUP(A1227,'[2]UPDATE BILL 2018'!$C:$V,20,0),IFERROR(VLOOKUP(A1227,'[2]UPDATE BILL 2018'!$D:$V,19,0),IFERROR(VLOOKUP(A1227,'[2]UPDATE BILL 2018'!$E:$V,18,0),IFERROR(VLOOKUP(A1227,'[2]UPDATE BILL 2018'!$F:$V,17,0),IFERROR(VLOOKUP(A1227,'[2]UPDATE BILL 2018'!$G:$V,16,0),IFERROR(VLOOKUP(A1227,'[2]UPDATE BILL 2018'!$H:$V,15,0),IFERROR(VLOOKUP(A1227,'[2]UPDATE BILL 2018'!$I:$V,14,0),VLOOKUP(A1227,'[2]UPDATE BILL 2018'!$B:$V,21,0)))))))))</f>
        <v>MARCLIFF 18013N</v>
      </c>
      <c r="AD1227" s="14" t="s">
        <v>52</v>
      </c>
      <c r="AE1227" s="24" t="s">
        <v>2716</v>
      </c>
      <c r="AF1227" s="25" t="s">
        <v>2173</v>
      </c>
      <c r="AG1227" t="e">
        <f t="shared" si="79"/>
        <v>#N/A</v>
      </c>
      <c r="AI1227" s="58"/>
    </row>
    <row r="1228" spans="1:35" ht="15.75" customHeight="1">
      <c r="A1228" s="6" t="s">
        <v>2706</v>
      </c>
      <c r="D1228" s="7">
        <f t="shared" si="80"/>
        <v>0</v>
      </c>
      <c r="E1228" s="7">
        <v>0</v>
      </c>
      <c r="F1228" s="5">
        <v>0</v>
      </c>
      <c r="G1228" s="7">
        <v>0</v>
      </c>
      <c r="H1228" s="5">
        <v>0</v>
      </c>
      <c r="I1228" s="7">
        <v>0</v>
      </c>
      <c r="J1228" s="7">
        <v>0</v>
      </c>
      <c r="K1228" s="5">
        <v>0</v>
      </c>
      <c r="L1228" s="5">
        <v>0</v>
      </c>
      <c r="M1228" s="5">
        <v>0</v>
      </c>
      <c r="N1228" s="7">
        <f t="shared" si="81"/>
        <v>0</v>
      </c>
      <c r="O1228" s="7">
        <v>0</v>
      </c>
      <c r="P1228" s="7">
        <v>0</v>
      </c>
      <c r="Q1228" s="5">
        <v>0</v>
      </c>
      <c r="R1228" s="5">
        <v>347</v>
      </c>
      <c r="S1228" s="7">
        <v>64532.2</v>
      </c>
      <c r="T1228" s="12">
        <v>43308</v>
      </c>
      <c r="U1228" s="4">
        <v>3</v>
      </c>
      <c r="V1228" s="4">
        <v>9</v>
      </c>
      <c r="W1228" s="4">
        <v>9</v>
      </c>
      <c r="X1228" s="45">
        <f t="shared" si="82"/>
        <v>64532.2</v>
      </c>
      <c r="Y1228" s="14" t="s">
        <v>56</v>
      </c>
      <c r="Z1228" s="14" t="s">
        <v>59</v>
      </c>
      <c r="AA1228" s="14" t="str">
        <f>IFERROR(VLOOKUP(A1228,'[2]UPDATE BILL 2018'!$B:$P,15,0),IFERROR(VLOOKUP(A1228,'[2]UPDATE BILL 2018'!$C:$P,14,0),IFERROR(VLOOKUP(A1228,'[2]UPDATE BILL 2018'!$D:$P,13,0),IFERROR(VLOOKUP(A1228,'[2]UPDATE BILL 2018'!$E:$P,12,0),IFERROR(VLOOKUP(A1228,'[2]UPDATE BILL 2018'!$F:$P,11,0),IFERROR(VLOOKUP(A1228,'[2]UPDATE BILL 2018'!$G:$P,10,0),IFERROR(VLOOKUP(A1228,'[2]UPDATE BILL 2018'!$H:$P,9,0),IFERROR(VLOOKUP(A1228,'[2]UPDATE BILL 2018'!$I:$P,8,0),VLOOKUP(A1228,'[2]UPDATE BILL 2018'!$B:$P,15,0)))))))))</f>
        <v>1008X04098</v>
      </c>
      <c r="AB1228" s="44">
        <f>IFERROR(VLOOKUP(A1228,'[2]UPDATE BILL 2018'!$B:$T,19,0),IFERROR(VLOOKUP(A1228,'[2]UPDATE BILL 2018'!$C:$T,18,0),IFERROR(VLOOKUP(A1228,'[2]UPDATE BILL 2018'!$D:$T,17,0),IFERROR(VLOOKUP(A1228,'[2]UPDATE BILL 2018'!$E:$T,16,0),IFERROR(VLOOKUP(A1228,'[2]UPDATE BILL 2018'!$F:$T,15,0),IFERROR(VLOOKUP(A1228,'[2]UPDATE BILL 2018'!$G:$T,14,0),IFERROR(VLOOKUP(A1228,'[2]UPDATE BILL 2018'!$H:$T,13,0),IFERROR(VLOOKUP(A1228,'[2]UPDATE BILL 2018'!$I:$T,12,0),VLOOKUP(A1228,'[2]UPDATE BILL 2018'!$B:$T,19,0)))))))))</f>
        <v>43313</v>
      </c>
      <c r="AC1228" s="44" t="str">
        <f>IFERROR(VLOOKUP(A1228,'[2]UPDATE BILL 2018'!$B:$V,21,0),IFERROR(VLOOKUP(A1228,'[2]UPDATE BILL 2018'!$C:$V,20,0),IFERROR(VLOOKUP(A1228,'[2]UPDATE BILL 2018'!$D:$V,19,0),IFERROR(VLOOKUP(A1228,'[2]UPDATE BILL 2018'!$E:$V,18,0),IFERROR(VLOOKUP(A1228,'[2]UPDATE BILL 2018'!$F:$V,17,0),IFERROR(VLOOKUP(A1228,'[2]UPDATE BILL 2018'!$G:$V,16,0),IFERROR(VLOOKUP(A1228,'[2]UPDATE BILL 2018'!$H:$V,15,0),IFERROR(VLOOKUP(A1228,'[2]UPDATE BILL 2018'!$I:$V,14,0),VLOOKUP(A1228,'[2]UPDATE BILL 2018'!$B:$V,21,0)))))))))</f>
        <v>AS RAFAELA N001</v>
      </c>
      <c r="AD1228" s="14" t="s">
        <v>51</v>
      </c>
      <c r="AE1228" s="24" t="s">
        <v>2717</v>
      </c>
      <c r="AF1228" s="25" t="s">
        <v>2150</v>
      </c>
      <c r="AG1228" t="e">
        <f t="shared" si="79"/>
        <v>#N/A</v>
      </c>
      <c r="AI1228" s="58"/>
    </row>
    <row r="1229" spans="1:35" ht="15.75" customHeight="1">
      <c r="A1229" s="6" t="s">
        <v>2707</v>
      </c>
      <c r="D1229" s="7">
        <f t="shared" si="80"/>
        <v>0</v>
      </c>
      <c r="E1229" s="7">
        <v>0</v>
      </c>
      <c r="F1229" s="5">
        <v>0</v>
      </c>
      <c r="G1229" s="7">
        <v>0</v>
      </c>
      <c r="H1229" s="5">
        <v>0</v>
      </c>
      <c r="I1229" s="7">
        <v>0</v>
      </c>
      <c r="J1229" s="7">
        <v>0</v>
      </c>
      <c r="K1229" s="5">
        <v>0</v>
      </c>
      <c r="L1229" s="5">
        <v>0</v>
      </c>
      <c r="M1229" s="5">
        <v>0</v>
      </c>
      <c r="N1229" s="7">
        <f t="shared" si="81"/>
        <v>0</v>
      </c>
      <c r="O1229" s="7">
        <v>0</v>
      </c>
      <c r="P1229" s="7">
        <v>0</v>
      </c>
      <c r="Q1229" s="5">
        <v>0</v>
      </c>
      <c r="R1229" s="5">
        <v>742</v>
      </c>
      <c r="S1229" s="7">
        <v>140529.40000000002</v>
      </c>
      <c r="T1229" s="12">
        <v>43308</v>
      </c>
      <c r="U1229" s="4">
        <v>4</v>
      </c>
      <c r="V1229" s="4">
        <v>9</v>
      </c>
      <c r="W1229" s="4">
        <v>9</v>
      </c>
      <c r="X1229" s="45">
        <f t="shared" si="82"/>
        <v>140529.40000000002</v>
      </c>
      <c r="Y1229" s="14" t="s">
        <v>54</v>
      </c>
      <c r="Z1229" s="14" t="s">
        <v>1281</v>
      </c>
      <c r="AA1229" s="14" t="str">
        <f>IFERROR(VLOOKUP(A1229,'[2]UPDATE BILL 2018'!$B:$P,15,0),IFERROR(VLOOKUP(A1229,'[2]UPDATE BILL 2018'!$C:$P,14,0),IFERROR(VLOOKUP(A1229,'[2]UPDATE BILL 2018'!$D:$P,13,0),IFERROR(VLOOKUP(A1229,'[2]UPDATE BILL 2018'!$E:$P,12,0),IFERROR(VLOOKUP(A1229,'[2]UPDATE BILL 2018'!$F:$P,11,0),IFERROR(VLOOKUP(A1229,'[2]UPDATE BILL 2018'!$G:$P,10,0),IFERROR(VLOOKUP(A1229,'[2]UPDATE BILL 2018'!$H:$P,9,0),IFERROR(VLOOKUP(A1229,'[2]UPDATE BILL 2018'!$I:$P,8,0),VLOOKUP(A1229,'[2]UPDATE BILL 2018'!$B:$P,15,0)))))))))</f>
        <v>SITWHPKW173446</v>
      </c>
      <c r="AB1229" s="44">
        <f>IFERROR(VLOOKUP(A1229,'[2]UPDATE BILL 2018'!$B:$T,19,0),IFERROR(VLOOKUP(A1229,'[2]UPDATE BILL 2018'!$C:$T,18,0),IFERROR(VLOOKUP(A1229,'[2]UPDATE BILL 2018'!$D:$T,17,0),IFERROR(VLOOKUP(A1229,'[2]UPDATE BILL 2018'!$E:$T,16,0),IFERROR(VLOOKUP(A1229,'[2]UPDATE BILL 2018'!$F:$T,15,0),IFERROR(VLOOKUP(A1229,'[2]UPDATE BILL 2018'!$G:$T,14,0),IFERROR(VLOOKUP(A1229,'[2]UPDATE BILL 2018'!$H:$T,13,0),IFERROR(VLOOKUP(A1229,'[2]UPDATE BILL 2018'!$I:$T,12,0),VLOOKUP(A1229,'[2]UPDATE BILL 2018'!$B:$T,19,0)))))))))</f>
        <v>43322</v>
      </c>
      <c r="AC1229" s="44" t="str">
        <f>IFERROR(VLOOKUP(A1229,'[2]UPDATE BILL 2018'!$B:$V,21,0),IFERROR(VLOOKUP(A1229,'[2]UPDATE BILL 2018'!$C:$V,20,0),IFERROR(VLOOKUP(A1229,'[2]UPDATE BILL 2018'!$D:$V,19,0),IFERROR(VLOOKUP(A1229,'[2]UPDATE BILL 2018'!$E:$V,18,0),IFERROR(VLOOKUP(A1229,'[2]UPDATE BILL 2018'!$F:$V,17,0),IFERROR(VLOOKUP(A1229,'[2]UPDATE BILL 2018'!$G:$V,16,0),IFERROR(VLOOKUP(A1229,'[2]UPDATE BILL 2018'!$H:$V,15,0),IFERROR(VLOOKUP(A1229,'[2]UPDATE BILL 2018'!$I:$V,14,0),VLOOKUP(A1229,'[2]UPDATE BILL 2018'!$B:$V,21,0)))))))))</f>
        <v>HYUNDAI HARMONY 1831N</v>
      </c>
      <c r="AD1229" s="14" t="s">
        <v>50</v>
      </c>
      <c r="AE1229" s="24" t="s">
        <v>2718</v>
      </c>
      <c r="AF1229" s="25" t="s">
        <v>2151</v>
      </c>
      <c r="AG1229" t="e">
        <f t="shared" si="79"/>
        <v>#N/A</v>
      </c>
      <c r="AI1229" s="58"/>
    </row>
    <row r="1230" spans="1:35" ht="15.75" customHeight="1">
      <c r="A1230" s="6" t="s">
        <v>2719</v>
      </c>
      <c r="D1230" s="7">
        <f t="shared" si="80"/>
        <v>0</v>
      </c>
      <c r="E1230" s="7">
        <v>0</v>
      </c>
      <c r="F1230" s="5">
        <v>0</v>
      </c>
      <c r="G1230" s="7">
        <v>0</v>
      </c>
      <c r="H1230" s="5">
        <v>347</v>
      </c>
      <c r="I1230" s="7">
        <v>40908.080000000002</v>
      </c>
      <c r="J1230" s="7">
        <v>0</v>
      </c>
      <c r="K1230" s="5">
        <v>0</v>
      </c>
      <c r="L1230" s="5">
        <v>0</v>
      </c>
      <c r="M1230" s="5">
        <v>0</v>
      </c>
      <c r="N1230" s="7">
        <f t="shared" si="81"/>
        <v>0</v>
      </c>
      <c r="O1230" s="7">
        <v>0</v>
      </c>
      <c r="P1230" s="7">
        <v>0</v>
      </c>
      <c r="Q1230" s="5">
        <v>0</v>
      </c>
      <c r="R1230" s="5">
        <v>0</v>
      </c>
      <c r="S1230" s="7">
        <v>0</v>
      </c>
      <c r="T1230" s="12">
        <v>43312</v>
      </c>
      <c r="U1230" s="4">
        <v>3</v>
      </c>
      <c r="V1230" s="4">
        <v>9</v>
      </c>
      <c r="W1230" s="4">
        <v>9</v>
      </c>
      <c r="X1230" s="45">
        <f t="shared" si="82"/>
        <v>40908.080000000002</v>
      </c>
      <c r="Y1230" s="14" t="s">
        <v>56</v>
      </c>
      <c r="Z1230" s="14" t="s">
        <v>59</v>
      </c>
      <c r="AA1230" s="14" t="str">
        <f>IFERROR(VLOOKUP(A1230,'[2]UPDATE BILL 2018'!$B:$P,15,0),IFERROR(VLOOKUP(A1230,'[2]UPDATE BILL 2018'!$C:$P,14,0),IFERROR(VLOOKUP(A1230,'[2]UPDATE BILL 2018'!$D:$P,13,0),IFERROR(VLOOKUP(A1230,'[2]UPDATE BILL 2018'!$E:$P,12,0),IFERROR(VLOOKUP(A1230,'[2]UPDATE BILL 2018'!$F:$P,11,0),IFERROR(VLOOKUP(A1230,'[2]UPDATE BILL 2018'!$G:$P,10,0),IFERROR(VLOOKUP(A1230,'[2]UPDATE BILL 2018'!$H:$P,9,0),IFERROR(VLOOKUP(A1230,'[2]UPDATE BILL 2018'!$I:$P,8,0),VLOOKUP(A1230,'[2]UPDATE BILL 2018'!$B:$P,15,0)))))))))</f>
        <v>1008X04090</v>
      </c>
      <c r="AB1230" s="44">
        <f>IFERROR(VLOOKUP(A1230,'[2]UPDATE BILL 2018'!$B:$T,19,0),IFERROR(VLOOKUP(A1230,'[2]UPDATE BILL 2018'!$C:$T,18,0),IFERROR(VLOOKUP(A1230,'[2]UPDATE BILL 2018'!$D:$T,17,0),IFERROR(VLOOKUP(A1230,'[2]UPDATE BILL 2018'!$E:$T,16,0),IFERROR(VLOOKUP(A1230,'[2]UPDATE BILL 2018'!$F:$T,15,0),IFERROR(VLOOKUP(A1230,'[2]UPDATE BILL 2018'!$G:$T,14,0),IFERROR(VLOOKUP(A1230,'[2]UPDATE BILL 2018'!$H:$T,13,0),IFERROR(VLOOKUP(A1230,'[2]UPDATE BILL 2018'!$I:$T,12,0),VLOOKUP(A1230,'[2]UPDATE BILL 2018'!$B:$T,19,0)))))))))</f>
        <v>43315</v>
      </c>
      <c r="AC1230" s="44" t="str">
        <f>IFERROR(VLOOKUP(A1230,'[2]UPDATE BILL 2018'!$B:$V,21,0),IFERROR(VLOOKUP(A1230,'[2]UPDATE BILL 2018'!$C:$V,20,0),IFERROR(VLOOKUP(A1230,'[2]UPDATE BILL 2018'!$D:$V,19,0),IFERROR(VLOOKUP(A1230,'[2]UPDATE BILL 2018'!$E:$V,18,0),IFERROR(VLOOKUP(A1230,'[2]UPDATE BILL 2018'!$F:$V,17,0),IFERROR(VLOOKUP(A1230,'[2]UPDATE BILL 2018'!$G:$V,16,0),IFERROR(VLOOKUP(A1230,'[2]UPDATE BILL 2018'!$H:$V,15,0),IFERROR(VLOOKUP(A1230,'[2]UPDATE BILL 2018'!$I:$V,14,0),VLOOKUP(A1230,'[2]UPDATE BILL 2018'!$B:$V,21,0)))))))))</f>
        <v>WAN HAI 172 S297</v>
      </c>
      <c r="AD1230" s="14" t="s">
        <v>49</v>
      </c>
      <c r="AE1230" s="24" t="s">
        <v>2729</v>
      </c>
      <c r="AF1230" s="25" t="str">
        <f t="shared" si="83"/>
        <v>VK</v>
      </c>
      <c r="AG1230" t="e">
        <f t="shared" si="79"/>
        <v>#REF!</v>
      </c>
      <c r="AI1230" s="58"/>
    </row>
    <row r="1231" spans="1:35" ht="15.75" customHeight="1">
      <c r="A1231" s="6" t="s">
        <v>2720</v>
      </c>
      <c r="D1231" s="7">
        <f t="shared" si="80"/>
        <v>0</v>
      </c>
      <c r="E1231" s="7">
        <v>0</v>
      </c>
      <c r="F1231" s="5">
        <v>0</v>
      </c>
      <c r="G1231" s="7">
        <v>0</v>
      </c>
      <c r="H1231" s="5">
        <v>0</v>
      </c>
      <c r="I1231" s="7">
        <v>0</v>
      </c>
      <c r="J1231" s="7">
        <v>0</v>
      </c>
      <c r="K1231" s="5">
        <v>0</v>
      </c>
      <c r="L1231" s="5">
        <v>0</v>
      </c>
      <c r="M1231" s="5">
        <v>95</v>
      </c>
      <c r="N1231" s="7">
        <f t="shared" si="81"/>
        <v>95</v>
      </c>
      <c r="O1231" s="7">
        <v>16317.199999999999</v>
      </c>
      <c r="P1231" s="7">
        <v>0</v>
      </c>
      <c r="Q1231" s="5">
        <v>0</v>
      </c>
      <c r="R1231" s="5">
        <v>0</v>
      </c>
      <c r="S1231" s="7">
        <v>0</v>
      </c>
      <c r="T1231" s="12">
        <v>43312</v>
      </c>
      <c r="U1231" s="4">
        <v>2</v>
      </c>
      <c r="V1231" s="4">
        <v>9</v>
      </c>
      <c r="W1231" s="4">
        <v>9</v>
      </c>
      <c r="X1231" s="45">
        <f t="shared" si="82"/>
        <v>16317.199999999999</v>
      </c>
      <c r="Y1231" s="14" t="s">
        <v>56</v>
      </c>
      <c r="Z1231" s="14" t="s">
        <v>1637</v>
      </c>
      <c r="AA1231" s="14" t="str">
        <f>IFERROR(VLOOKUP(A1231,'[2]UPDATE BILL 2018'!$B:$P,15,0),IFERROR(VLOOKUP(A1231,'[2]UPDATE BILL 2018'!$C:$P,14,0),IFERROR(VLOOKUP(A1231,'[2]UPDATE BILL 2018'!$D:$P,13,0),IFERROR(VLOOKUP(A1231,'[2]UPDATE BILL 2018'!$E:$P,12,0),IFERROR(VLOOKUP(A1231,'[2]UPDATE BILL 2018'!$F:$P,11,0),IFERROR(VLOOKUP(A1231,'[2]UPDATE BILL 2018'!$G:$P,10,0),IFERROR(VLOOKUP(A1231,'[2]UPDATE BILL 2018'!$H:$P,9,0),IFERROR(VLOOKUP(A1231,'[2]UPDATE BILL 2018'!$I:$P,8,0),VLOOKUP(A1231,'[2]UPDATE BILL 2018'!$B:$P,15,0)))))))))</f>
        <v>1008X04090</v>
      </c>
      <c r="AB1231" s="44">
        <f>IFERROR(VLOOKUP(A1231,'[2]UPDATE BILL 2018'!$B:$T,19,0),IFERROR(VLOOKUP(A1231,'[2]UPDATE BILL 2018'!$C:$T,18,0),IFERROR(VLOOKUP(A1231,'[2]UPDATE BILL 2018'!$D:$T,17,0),IFERROR(VLOOKUP(A1231,'[2]UPDATE BILL 2018'!$E:$T,16,0),IFERROR(VLOOKUP(A1231,'[2]UPDATE BILL 2018'!$F:$T,15,0),IFERROR(VLOOKUP(A1231,'[2]UPDATE BILL 2018'!$G:$T,14,0),IFERROR(VLOOKUP(A1231,'[2]UPDATE BILL 2018'!$H:$T,13,0),IFERROR(VLOOKUP(A1231,'[2]UPDATE BILL 2018'!$I:$T,12,0),VLOOKUP(A1231,'[2]UPDATE BILL 2018'!$B:$T,19,0)))))))))</f>
        <v>43315</v>
      </c>
      <c r="AC1231" s="44" t="str">
        <f>IFERROR(VLOOKUP(A1231,'[2]UPDATE BILL 2018'!$B:$V,21,0),IFERROR(VLOOKUP(A1231,'[2]UPDATE BILL 2018'!$C:$V,20,0),IFERROR(VLOOKUP(A1231,'[2]UPDATE BILL 2018'!$D:$V,19,0),IFERROR(VLOOKUP(A1231,'[2]UPDATE BILL 2018'!$E:$V,18,0),IFERROR(VLOOKUP(A1231,'[2]UPDATE BILL 2018'!$F:$V,17,0),IFERROR(VLOOKUP(A1231,'[2]UPDATE BILL 2018'!$G:$V,16,0),IFERROR(VLOOKUP(A1231,'[2]UPDATE BILL 2018'!$H:$V,15,0),IFERROR(VLOOKUP(A1231,'[2]UPDATE BILL 2018'!$I:$V,14,0),VLOOKUP(A1231,'[2]UPDATE BILL 2018'!$B:$V,21,0)))))))))</f>
        <v>WAN HAI 172 S297</v>
      </c>
      <c r="AD1231" s="14" t="s">
        <v>49</v>
      </c>
      <c r="AE1231" s="24" t="s">
        <v>2730</v>
      </c>
      <c r="AF1231" s="25" t="str">
        <f t="shared" si="83"/>
        <v>VN</v>
      </c>
      <c r="AG1231" t="e">
        <f t="shared" si="79"/>
        <v>#REF!</v>
      </c>
      <c r="AI1231" s="58"/>
    </row>
    <row r="1232" spans="1:35" ht="15.75" customHeight="1">
      <c r="A1232" s="6" t="s">
        <v>2721</v>
      </c>
      <c r="D1232" s="7">
        <f t="shared" si="80"/>
        <v>0</v>
      </c>
      <c r="E1232" s="7">
        <v>0</v>
      </c>
      <c r="F1232" s="5">
        <v>0</v>
      </c>
      <c r="G1232" s="7">
        <v>0</v>
      </c>
      <c r="H1232" s="5">
        <v>105</v>
      </c>
      <c r="I1232" s="7">
        <v>12508.850000000002</v>
      </c>
      <c r="J1232" s="7">
        <v>0</v>
      </c>
      <c r="K1232" s="5">
        <v>0</v>
      </c>
      <c r="L1232" s="5">
        <v>0</v>
      </c>
      <c r="M1232" s="5">
        <v>144</v>
      </c>
      <c r="N1232" s="7">
        <f t="shared" si="81"/>
        <v>144</v>
      </c>
      <c r="O1232" s="7">
        <v>20764.8</v>
      </c>
      <c r="P1232" s="7">
        <v>0</v>
      </c>
      <c r="Q1232" s="5">
        <v>0</v>
      </c>
      <c r="R1232" s="5">
        <v>0</v>
      </c>
      <c r="S1232" s="7">
        <v>0</v>
      </c>
      <c r="T1232" s="12">
        <v>43312</v>
      </c>
      <c r="U1232" s="4">
        <v>3</v>
      </c>
      <c r="V1232" s="4">
        <v>9</v>
      </c>
      <c r="W1232" s="4">
        <v>9</v>
      </c>
      <c r="X1232" s="45">
        <f t="shared" si="82"/>
        <v>33273.65</v>
      </c>
      <c r="Y1232" s="14" t="s">
        <v>54</v>
      </c>
      <c r="Z1232" s="14" t="s">
        <v>1281</v>
      </c>
      <c r="AA1232" s="14" t="str">
        <f>IFERROR(VLOOKUP(A1232,'[2]UPDATE BILL 2018'!$B:$P,15,0),IFERROR(VLOOKUP(A1232,'[2]UPDATE BILL 2018'!$C:$P,14,0),IFERROR(VLOOKUP(A1232,'[2]UPDATE BILL 2018'!$D:$P,13,0),IFERROR(VLOOKUP(A1232,'[2]UPDATE BILL 2018'!$E:$P,12,0),IFERROR(VLOOKUP(A1232,'[2]UPDATE BILL 2018'!$F:$P,11,0),IFERROR(VLOOKUP(A1232,'[2]UPDATE BILL 2018'!$G:$P,10,0),IFERROR(VLOOKUP(A1232,'[2]UPDATE BILL 2018'!$H:$P,9,0),IFERROR(VLOOKUP(A1232,'[2]UPDATE BILL 2018'!$I:$P,8,0),VLOOKUP(A1232,'[2]UPDATE BILL 2018'!$B:$P,15,0)))))))))</f>
        <v>SITWHPHT173452</v>
      </c>
      <c r="AB1232" s="44">
        <f>IFERROR(VLOOKUP(A1232,'[2]UPDATE BILL 2018'!$B:$T,19,0),IFERROR(VLOOKUP(A1232,'[2]UPDATE BILL 2018'!$C:$T,18,0),IFERROR(VLOOKUP(A1232,'[2]UPDATE BILL 2018'!$D:$T,17,0),IFERROR(VLOOKUP(A1232,'[2]UPDATE BILL 2018'!$E:$T,16,0),IFERROR(VLOOKUP(A1232,'[2]UPDATE BILL 2018'!$F:$T,15,0),IFERROR(VLOOKUP(A1232,'[2]UPDATE BILL 2018'!$G:$T,14,0),IFERROR(VLOOKUP(A1232,'[2]UPDATE BILL 2018'!$H:$T,13,0),IFERROR(VLOOKUP(A1232,'[2]UPDATE BILL 2018'!$I:$T,12,0),VLOOKUP(A1232,'[2]UPDATE BILL 2018'!$B:$T,19,0)))))))))</f>
        <v>43317</v>
      </c>
      <c r="AC1232" s="44" t="str">
        <f>IFERROR(VLOOKUP(A1232,'[2]UPDATE BILL 2018'!$B:$V,21,0),IFERROR(VLOOKUP(A1232,'[2]UPDATE BILL 2018'!$C:$V,20,0),IFERROR(VLOOKUP(A1232,'[2]UPDATE BILL 2018'!$D:$V,19,0),IFERROR(VLOOKUP(A1232,'[2]UPDATE BILL 2018'!$E:$V,18,0),IFERROR(VLOOKUP(A1232,'[2]UPDATE BILL 2018'!$F:$V,17,0),IFERROR(VLOOKUP(A1232,'[2]UPDATE BILL 2018'!$G:$V,16,0),IFERROR(VLOOKUP(A1232,'[2]UPDATE BILL 2018'!$H:$V,15,0),IFERROR(VLOOKUP(A1232,'[2]UPDATE BILL 2018'!$I:$V,14,0),VLOOKUP(A1232,'[2]UPDATE BILL 2018'!$B:$V,21,0)))))))))</f>
        <v>HANSE ENERGY 1821N</v>
      </c>
      <c r="AD1232" s="14" t="s">
        <v>52</v>
      </c>
      <c r="AE1232" s="24" t="s">
        <v>2731</v>
      </c>
      <c r="AF1232" s="25" t="str">
        <f t="shared" si="83"/>
        <v>VQ</v>
      </c>
      <c r="AG1232" t="e">
        <f t="shared" si="79"/>
        <v>#REF!</v>
      </c>
      <c r="AI1232" s="58"/>
    </row>
    <row r="1233" spans="1:35" ht="15.75" customHeight="1">
      <c r="A1233" s="35" t="s">
        <v>2722</v>
      </c>
      <c r="B1233" s="5">
        <v>564</v>
      </c>
      <c r="C1233" s="7">
        <v>53412.599999999991</v>
      </c>
      <c r="D1233" s="7">
        <f t="shared" si="80"/>
        <v>0</v>
      </c>
      <c r="E1233" s="7">
        <v>0</v>
      </c>
      <c r="F1233" s="5">
        <v>0</v>
      </c>
      <c r="G1233" s="7">
        <v>0</v>
      </c>
      <c r="H1233" s="5">
        <v>470</v>
      </c>
      <c r="I1233" s="7">
        <v>55824.45</v>
      </c>
      <c r="J1233" s="7">
        <v>0</v>
      </c>
      <c r="K1233" s="5">
        <v>0</v>
      </c>
      <c r="L1233" s="5">
        <v>0</v>
      </c>
      <c r="M1233" s="5">
        <v>167</v>
      </c>
      <c r="N1233" s="7">
        <f t="shared" si="81"/>
        <v>167</v>
      </c>
      <c r="O1233" s="7">
        <v>28833.5</v>
      </c>
      <c r="P1233" s="7">
        <v>0</v>
      </c>
      <c r="Q1233" s="5">
        <v>0</v>
      </c>
      <c r="R1233" s="5">
        <v>0</v>
      </c>
      <c r="S1233" s="7">
        <v>0</v>
      </c>
      <c r="T1233" s="12">
        <v>43312</v>
      </c>
      <c r="U1233" s="4">
        <v>11</v>
      </c>
      <c r="V1233" s="4">
        <v>9</v>
      </c>
      <c r="W1233" s="4">
        <v>9</v>
      </c>
      <c r="X1233" s="45">
        <f t="shared" si="82"/>
        <v>138070.54999999999</v>
      </c>
      <c r="Y1233" s="14" t="s">
        <v>56</v>
      </c>
      <c r="Z1233" s="14" t="s">
        <v>57</v>
      </c>
      <c r="AA1233" s="14" t="str">
        <f>IFERROR(VLOOKUP(A1233,'[2]UPDATE BILL 2018'!$B:$P,15,0),IFERROR(VLOOKUP(A1233,'[2]UPDATE BILL 2018'!$C:$P,14,0),IFERROR(VLOOKUP(A1233,'[2]UPDATE BILL 2018'!$D:$P,13,0),IFERROR(VLOOKUP(A1233,'[2]UPDATE BILL 2018'!$E:$P,12,0),IFERROR(VLOOKUP(A1233,'[2]UPDATE BILL 2018'!$F:$P,11,0),IFERROR(VLOOKUP(A1233,'[2]UPDATE BILL 2018'!$G:$P,10,0),IFERROR(VLOOKUP(A1233,'[2]UPDATE BILL 2018'!$H:$P,9,0),IFERROR(VLOOKUP(A1233,'[2]UPDATE BILL 2018'!$I:$P,8,0),VLOOKUP(A1233,'[2]UPDATE BILL 2018'!$B:$P,15,0)))))))))</f>
        <v>1008X04094</v>
      </c>
      <c r="AB1233" s="44">
        <f>IFERROR(VLOOKUP(A1233,'[2]UPDATE BILL 2018'!$B:$T,19,0),IFERROR(VLOOKUP(A1233,'[2]UPDATE BILL 2018'!$C:$T,18,0),IFERROR(VLOOKUP(A1233,'[2]UPDATE BILL 2018'!$D:$T,17,0),IFERROR(VLOOKUP(A1233,'[2]UPDATE BILL 2018'!$E:$T,16,0),IFERROR(VLOOKUP(A1233,'[2]UPDATE BILL 2018'!$F:$T,15,0),IFERROR(VLOOKUP(A1233,'[2]UPDATE BILL 2018'!$G:$T,14,0),IFERROR(VLOOKUP(A1233,'[2]UPDATE BILL 2018'!$H:$T,13,0),IFERROR(VLOOKUP(A1233,'[2]UPDATE BILL 2018'!$I:$T,12,0),VLOOKUP(A1233,'[2]UPDATE BILL 2018'!$B:$T,19,0)))))))))</f>
        <v>43316</v>
      </c>
      <c r="AC1233" s="44" t="str">
        <f>IFERROR(VLOOKUP(A1233,'[2]UPDATE BILL 2018'!$B:$V,21,0),IFERROR(VLOOKUP(A1233,'[2]UPDATE BILL 2018'!$C:$V,20,0),IFERROR(VLOOKUP(A1233,'[2]UPDATE BILL 2018'!$D:$V,19,0),IFERROR(VLOOKUP(A1233,'[2]UPDATE BILL 2018'!$E:$V,18,0),IFERROR(VLOOKUP(A1233,'[2]UPDATE BILL 2018'!$F:$V,17,0),IFERROR(VLOOKUP(A1233,'[2]UPDATE BILL 2018'!$G:$V,16,0),IFERROR(VLOOKUP(A1233,'[2]UPDATE BILL 2018'!$H:$V,15,0),IFERROR(VLOOKUP(A1233,'[2]UPDATE BILL 2018'!$I:$V,14,0),VLOOKUP(A1233,'[2]UPDATE BILL 2018'!$B:$V,21,0)))))))))</f>
        <v>PAOLA N024</v>
      </c>
      <c r="AD1233" s="14" t="s">
        <v>51</v>
      </c>
      <c r="AE1233" s="24" t="s">
        <v>2732</v>
      </c>
      <c r="AF1233" s="25" t="str">
        <f t="shared" si="83"/>
        <v>VS</v>
      </c>
      <c r="AG1233" t="e">
        <f t="shared" si="79"/>
        <v>#REF!</v>
      </c>
      <c r="AI1233" s="58"/>
    </row>
    <row r="1234" spans="1:35" ht="15.75" customHeight="1">
      <c r="A1234" s="6" t="s">
        <v>2723</v>
      </c>
      <c r="B1234" s="5">
        <v>226</v>
      </c>
      <c r="C1234" s="7">
        <v>15194.2</v>
      </c>
      <c r="D1234" s="7">
        <f t="shared" si="80"/>
        <v>0</v>
      </c>
      <c r="E1234" s="7">
        <v>0</v>
      </c>
      <c r="F1234" s="5">
        <v>0</v>
      </c>
      <c r="G1234" s="7">
        <v>0</v>
      </c>
      <c r="H1234" s="5">
        <v>245</v>
      </c>
      <c r="I1234" s="7">
        <v>26041.900000000005</v>
      </c>
      <c r="J1234" s="7">
        <v>0</v>
      </c>
      <c r="K1234" s="5">
        <v>0</v>
      </c>
      <c r="L1234" s="5">
        <v>0</v>
      </c>
      <c r="M1234" s="5">
        <v>38</v>
      </c>
      <c r="N1234" s="7">
        <f t="shared" si="81"/>
        <v>38</v>
      </c>
      <c r="O1234" s="7">
        <v>6963.1</v>
      </c>
      <c r="P1234" s="7">
        <v>0</v>
      </c>
      <c r="Q1234" s="5">
        <v>0</v>
      </c>
      <c r="R1234" s="5">
        <v>0</v>
      </c>
      <c r="S1234" s="7">
        <v>0</v>
      </c>
      <c r="T1234" s="12">
        <v>43312</v>
      </c>
      <c r="U1234" s="4">
        <v>4</v>
      </c>
      <c r="V1234" s="4">
        <v>9</v>
      </c>
      <c r="W1234" s="4">
        <v>9</v>
      </c>
      <c r="X1234" s="45">
        <f t="shared" si="82"/>
        <v>48199.200000000004</v>
      </c>
      <c r="Y1234" s="14" t="s">
        <v>56</v>
      </c>
      <c r="Z1234" s="14" t="s">
        <v>59</v>
      </c>
      <c r="AA1234" s="14" t="str">
        <f>IFERROR(VLOOKUP(A1234,'[2]UPDATE BILL 2018'!$B:$P,15,0),IFERROR(VLOOKUP(A1234,'[2]UPDATE BILL 2018'!$C:$P,14,0),IFERROR(VLOOKUP(A1234,'[2]UPDATE BILL 2018'!$D:$P,13,0),IFERROR(VLOOKUP(A1234,'[2]UPDATE BILL 2018'!$E:$P,12,0),IFERROR(VLOOKUP(A1234,'[2]UPDATE BILL 2018'!$F:$P,11,0),IFERROR(VLOOKUP(A1234,'[2]UPDATE BILL 2018'!$G:$P,10,0),IFERROR(VLOOKUP(A1234,'[2]UPDATE BILL 2018'!$H:$P,9,0),IFERROR(VLOOKUP(A1234,'[2]UPDATE BILL 2018'!$I:$P,8,0),VLOOKUP(A1234,'[2]UPDATE BILL 2018'!$B:$P,15,0)))))))))</f>
        <v>1008X04109</v>
      </c>
      <c r="AB1234" s="44">
        <f>IFERROR(VLOOKUP(A1234,'[2]UPDATE BILL 2018'!$B:$T,19,0),IFERROR(VLOOKUP(A1234,'[2]UPDATE BILL 2018'!$C:$T,18,0),IFERROR(VLOOKUP(A1234,'[2]UPDATE BILL 2018'!$D:$T,17,0),IFERROR(VLOOKUP(A1234,'[2]UPDATE BILL 2018'!$E:$T,16,0),IFERROR(VLOOKUP(A1234,'[2]UPDATE BILL 2018'!$F:$T,15,0),IFERROR(VLOOKUP(A1234,'[2]UPDATE BILL 2018'!$G:$T,14,0),IFERROR(VLOOKUP(A1234,'[2]UPDATE BILL 2018'!$H:$T,13,0),IFERROR(VLOOKUP(A1234,'[2]UPDATE BILL 2018'!$I:$T,12,0),VLOOKUP(A1234,'[2]UPDATE BILL 2018'!$B:$T,19,0)))))))))</f>
        <v>43320</v>
      </c>
      <c r="AC1234" s="44" t="str">
        <f>IFERROR(VLOOKUP(A1234,'[2]UPDATE BILL 2018'!$B:$V,21,0),IFERROR(VLOOKUP(A1234,'[2]UPDATE BILL 2018'!$C:$V,20,0),IFERROR(VLOOKUP(A1234,'[2]UPDATE BILL 2018'!$D:$V,19,0),IFERROR(VLOOKUP(A1234,'[2]UPDATE BILL 2018'!$E:$V,18,0),IFERROR(VLOOKUP(A1234,'[2]UPDATE BILL 2018'!$F:$V,17,0),IFERROR(VLOOKUP(A1234,'[2]UPDATE BILL 2018'!$G:$V,16,0),IFERROR(VLOOKUP(A1234,'[2]UPDATE BILL 2018'!$H:$V,15,0),IFERROR(VLOOKUP(A1234,'[2]UPDATE BILL 2018'!$I:$V,14,0),VLOOKUP(A1234,'[2]UPDATE BILL 2018'!$B:$V,21,0)))))))))</f>
        <v xml:space="preserve"> AS FRIDA N006</v>
      </c>
      <c r="AD1234" s="14" t="s">
        <v>51</v>
      </c>
      <c r="AE1234" s="24" t="s">
        <v>3703</v>
      </c>
      <c r="AF1234" s="25" t="str">
        <f t="shared" si="83"/>
        <v>VS</v>
      </c>
      <c r="AG1234" t="e">
        <f t="shared" si="79"/>
        <v>#REF!</v>
      </c>
      <c r="AI1234" s="58"/>
    </row>
    <row r="1235" spans="1:35" ht="15.75" customHeight="1">
      <c r="A1235" s="6" t="s">
        <v>2724</v>
      </c>
      <c r="B1235" s="5">
        <v>356</v>
      </c>
      <c r="C1235" s="7">
        <v>37054.660000000003</v>
      </c>
      <c r="D1235" s="7">
        <f t="shared" si="80"/>
        <v>0</v>
      </c>
      <c r="E1235" s="7">
        <v>0</v>
      </c>
      <c r="F1235" s="5">
        <v>0</v>
      </c>
      <c r="G1235" s="7">
        <v>0</v>
      </c>
      <c r="H1235" s="5">
        <v>0</v>
      </c>
      <c r="I1235" s="7">
        <v>0</v>
      </c>
      <c r="J1235" s="7">
        <v>0</v>
      </c>
      <c r="K1235" s="5">
        <v>0</v>
      </c>
      <c r="L1235" s="5">
        <v>0</v>
      </c>
      <c r="M1235" s="5">
        <v>175</v>
      </c>
      <c r="N1235" s="7">
        <f t="shared" si="81"/>
        <v>175</v>
      </c>
      <c r="O1235" s="7">
        <v>19193.899999999994</v>
      </c>
      <c r="P1235" s="7">
        <v>0</v>
      </c>
      <c r="Q1235" s="5">
        <v>0</v>
      </c>
      <c r="R1235" s="5">
        <v>0</v>
      </c>
      <c r="S1235" s="7">
        <v>0</v>
      </c>
      <c r="T1235" s="12">
        <v>43312</v>
      </c>
      <c r="U1235" s="4">
        <v>5</v>
      </c>
      <c r="V1235" s="4">
        <v>9</v>
      </c>
      <c r="W1235" s="4">
        <v>9</v>
      </c>
      <c r="X1235" s="45">
        <f t="shared" si="82"/>
        <v>56248.56</v>
      </c>
      <c r="Y1235" s="14" t="s">
        <v>54</v>
      </c>
      <c r="Z1235" s="14" t="s">
        <v>1492</v>
      </c>
      <c r="AA1235" s="14" t="str">
        <f>IFERROR(VLOOKUP(A1235,'[2]UPDATE BILL 2018'!$B:$P,15,0),IFERROR(VLOOKUP(A1235,'[2]UPDATE BILL 2018'!$C:$P,14,0),IFERROR(VLOOKUP(A1235,'[2]UPDATE BILL 2018'!$D:$P,13,0),IFERROR(VLOOKUP(A1235,'[2]UPDATE BILL 2018'!$E:$P,12,0),IFERROR(VLOOKUP(A1235,'[2]UPDATE BILL 2018'!$F:$P,11,0),IFERROR(VLOOKUP(A1235,'[2]UPDATE BILL 2018'!$G:$P,10,0),IFERROR(VLOOKUP(A1235,'[2]UPDATE BILL 2018'!$H:$P,9,0),IFERROR(VLOOKUP(A1235,'[2]UPDATE BILL 2018'!$I:$P,8,0),VLOOKUP(A1235,'[2]UPDATE BILL 2018'!$B:$P,15,0)))))))))</f>
        <v>SITWHPKW173443</v>
      </c>
      <c r="AB1235" s="44">
        <f>IFERROR(VLOOKUP(A1235,'[2]UPDATE BILL 2018'!$B:$T,19,0),IFERROR(VLOOKUP(A1235,'[2]UPDATE BILL 2018'!$C:$T,18,0),IFERROR(VLOOKUP(A1235,'[2]UPDATE BILL 2018'!$D:$T,17,0),IFERROR(VLOOKUP(A1235,'[2]UPDATE BILL 2018'!$E:$T,16,0),IFERROR(VLOOKUP(A1235,'[2]UPDATE BILL 2018'!$F:$T,15,0),IFERROR(VLOOKUP(A1235,'[2]UPDATE BILL 2018'!$G:$T,14,0),IFERROR(VLOOKUP(A1235,'[2]UPDATE BILL 2018'!$H:$T,13,0),IFERROR(VLOOKUP(A1235,'[2]UPDATE BILL 2018'!$I:$T,12,0),VLOOKUP(A1235,'[2]UPDATE BILL 2018'!$B:$T,19,0)))))))))</f>
        <v>43322</v>
      </c>
      <c r="AC1235" s="44" t="str">
        <f>IFERROR(VLOOKUP(A1235,'[2]UPDATE BILL 2018'!$B:$V,21,0),IFERROR(VLOOKUP(A1235,'[2]UPDATE BILL 2018'!$C:$V,20,0),IFERROR(VLOOKUP(A1235,'[2]UPDATE BILL 2018'!$D:$V,19,0),IFERROR(VLOOKUP(A1235,'[2]UPDATE BILL 2018'!$E:$V,18,0),IFERROR(VLOOKUP(A1235,'[2]UPDATE BILL 2018'!$F:$V,17,0),IFERROR(VLOOKUP(A1235,'[2]UPDATE BILL 2018'!$G:$V,16,0),IFERROR(VLOOKUP(A1235,'[2]UPDATE BILL 2018'!$H:$V,15,0),IFERROR(VLOOKUP(A1235,'[2]UPDATE BILL 2018'!$I:$V,14,0),VLOOKUP(A1235,'[2]UPDATE BILL 2018'!$B:$V,21,0)))))))))</f>
        <v>HYUNDAI HARMONY 1831N</v>
      </c>
      <c r="AD1235" s="14" t="s">
        <v>50</v>
      </c>
      <c r="AE1235" s="24" t="s">
        <v>2733</v>
      </c>
      <c r="AF1235" s="25" t="str">
        <f t="shared" si="83"/>
        <v>VW</v>
      </c>
      <c r="AG1235" t="e">
        <f t="shared" si="79"/>
        <v>#REF!</v>
      </c>
      <c r="AI1235" s="58"/>
    </row>
    <row r="1236" spans="1:35" ht="15.75" customHeight="1">
      <c r="A1236" s="6" t="s">
        <v>2725</v>
      </c>
      <c r="B1236" s="5">
        <v>908</v>
      </c>
      <c r="C1236" s="7">
        <v>95509.28</v>
      </c>
      <c r="D1236" s="7">
        <f t="shared" si="80"/>
        <v>0</v>
      </c>
      <c r="E1236" s="7">
        <v>0</v>
      </c>
      <c r="F1236" s="5">
        <v>0</v>
      </c>
      <c r="G1236" s="7">
        <v>0</v>
      </c>
      <c r="H1236" s="5">
        <v>0</v>
      </c>
      <c r="I1236" s="7">
        <v>0</v>
      </c>
      <c r="J1236" s="7">
        <v>0</v>
      </c>
      <c r="K1236" s="5">
        <v>0</v>
      </c>
      <c r="L1236" s="5">
        <v>0</v>
      </c>
      <c r="M1236" s="5">
        <v>186</v>
      </c>
      <c r="N1236" s="7">
        <f t="shared" si="81"/>
        <v>186</v>
      </c>
      <c r="O1236" s="7">
        <v>20001.5</v>
      </c>
      <c r="P1236" s="7">
        <v>0</v>
      </c>
      <c r="Q1236" s="5">
        <v>0</v>
      </c>
      <c r="R1236" s="5">
        <v>0</v>
      </c>
      <c r="S1236" s="7">
        <v>0</v>
      </c>
      <c r="T1236" s="12">
        <v>43312</v>
      </c>
      <c r="U1236" s="4">
        <v>10</v>
      </c>
      <c r="V1236" s="4">
        <v>9</v>
      </c>
      <c r="W1236" s="4">
        <v>9</v>
      </c>
      <c r="X1236" s="45">
        <f t="shared" si="82"/>
        <v>115510.78</v>
      </c>
      <c r="Y1236" s="14" t="s">
        <v>54</v>
      </c>
      <c r="Z1236" s="14" t="s">
        <v>55</v>
      </c>
      <c r="AA1236" s="14" t="str">
        <f>IFERROR(VLOOKUP(A1236,'[2]UPDATE BILL 2018'!$B:$P,15,0),IFERROR(VLOOKUP(A1236,'[2]UPDATE BILL 2018'!$C:$P,14,0),IFERROR(VLOOKUP(A1236,'[2]UPDATE BILL 2018'!$D:$P,13,0),IFERROR(VLOOKUP(A1236,'[2]UPDATE BILL 2018'!$E:$P,12,0),IFERROR(VLOOKUP(A1236,'[2]UPDATE BILL 2018'!$F:$P,11,0),IFERROR(VLOOKUP(A1236,'[2]UPDATE BILL 2018'!$G:$P,10,0),IFERROR(VLOOKUP(A1236,'[2]UPDATE BILL 2018'!$H:$P,9,0),IFERROR(VLOOKUP(A1236,'[2]UPDATE BILL 2018'!$I:$P,8,0),VLOOKUP(A1236,'[2]UPDATE BILL 2018'!$B:$P,15,0)))))))))</f>
        <v>SITWHPKW173447</v>
      </c>
      <c r="AB1236" s="44">
        <f>IFERROR(VLOOKUP(A1236,'[2]UPDATE BILL 2018'!$B:$T,19,0),IFERROR(VLOOKUP(A1236,'[2]UPDATE BILL 2018'!$C:$T,18,0),IFERROR(VLOOKUP(A1236,'[2]UPDATE BILL 2018'!$D:$T,17,0),IFERROR(VLOOKUP(A1236,'[2]UPDATE BILL 2018'!$E:$T,16,0),IFERROR(VLOOKUP(A1236,'[2]UPDATE BILL 2018'!$F:$T,15,0),IFERROR(VLOOKUP(A1236,'[2]UPDATE BILL 2018'!$G:$T,14,0),IFERROR(VLOOKUP(A1236,'[2]UPDATE BILL 2018'!$H:$T,13,0),IFERROR(VLOOKUP(A1236,'[2]UPDATE BILL 2018'!$I:$T,12,0),VLOOKUP(A1236,'[2]UPDATE BILL 2018'!$B:$T,19,0)))))))))</f>
        <v>43322</v>
      </c>
      <c r="AC1236" s="44" t="str">
        <f>IFERROR(VLOOKUP(A1236,'[2]UPDATE BILL 2018'!$B:$V,21,0),IFERROR(VLOOKUP(A1236,'[2]UPDATE BILL 2018'!$C:$V,20,0),IFERROR(VLOOKUP(A1236,'[2]UPDATE BILL 2018'!$D:$V,19,0),IFERROR(VLOOKUP(A1236,'[2]UPDATE BILL 2018'!$E:$V,18,0),IFERROR(VLOOKUP(A1236,'[2]UPDATE BILL 2018'!$F:$V,17,0),IFERROR(VLOOKUP(A1236,'[2]UPDATE BILL 2018'!$G:$V,16,0),IFERROR(VLOOKUP(A1236,'[2]UPDATE BILL 2018'!$H:$V,15,0),IFERROR(VLOOKUP(A1236,'[2]UPDATE BILL 2018'!$I:$V,14,0),VLOOKUP(A1236,'[2]UPDATE BILL 2018'!$B:$V,21,0)))))))))</f>
        <v xml:space="preserve">HYUNDAI HARMONY 1831N </v>
      </c>
      <c r="AD1236" s="14" t="s">
        <v>50</v>
      </c>
      <c r="AE1236" s="24" t="s">
        <v>2734</v>
      </c>
      <c r="AF1236" s="25" t="str">
        <f t="shared" si="83"/>
        <v>VW</v>
      </c>
      <c r="AG1236" t="e">
        <f t="shared" si="79"/>
        <v>#REF!</v>
      </c>
      <c r="AI1236" s="58"/>
    </row>
    <row r="1237" spans="1:35" ht="15.75" customHeight="1">
      <c r="A1237" s="6" t="s">
        <v>2726</v>
      </c>
      <c r="D1237" s="7">
        <f t="shared" si="80"/>
        <v>0</v>
      </c>
      <c r="E1237" s="7">
        <v>0</v>
      </c>
      <c r="F1237" s="5">
        <v>0</v>
      </c>
      <c r="G1237" s="7">
        <v>0</v>
      </c>
      <c r="H1237" s="5">
        <v>0</v>
      </c>
      <c r="I1237" s="7">
        <v>0</v>
      </c>
      <c r="J1237" s="7">
        <v>0</v>
      </c>
      <c r="K1237" s="5">
        <v>0</v>
      </c>
      <c r="L1237" s="5">
        <v>0</v>
      </c>
      <c r="M1237" s="5">
        <v>0</v>
      </c>
      <c r="N1237" s="7">
        <f t="shared" si="81"/>
        <v>0</v>
      </c>
      <c r="O1237" s="7">
        <v>0</v>
      </c>
      <c r="P1237" s="7">
        <v>0</v>
      </c>
      <c r="Q1237" s="5">
        <v>0</v>
      </c>
      <c r="R1237" s="5">
        <v>93</v>
      </c>
      <c r="S1237" s="7">
        <v>15584</v>
      </c>
      <c r="T1237" s="12">
        <v>43312</v>
      </c>
      <c r="U1237" s="4">
        <v>1</v>
      </c>
      <c r="V1237" s="4">
        <v>9</v>
      </c>
      <c r="W1237" s="4">
        <v>9</v>
      </c>
      <c r="X1237" s="45">
        <f t="shared" si="82"/>
        <v>15584</v>
      </c>
      <c r="Y1237" s="14" t="s">
        <v>85</v>
      </c>
      <c r="Z1237" s="14" t="s">
        <v>1281</v>
      </c>
      <c r="AA1237" s="14">
        <f>IFERROR(VLOOKUP(A1237,'[2]UPDATE BILL 2018'!$B:$P,15,0),IFERROR(VLOOKUP(A1237,'[2]UPDATE BILL 2018'!$C:$P,14,0),IFERROR(VLOOKUP(A1237,'[2]UPDATE BILL 2018'!$D:$P,13,0),IFERROR(VLOOKUP(A1237,'[2]UPDATE BILL 2018'!$E:$P,12,0),IFERROR(VLOOKUP(A1237,'[2]UPDATE BILL 2018'!$F:$P,11,0),IFERROR(VLOOKUP(A1237,'[2]UPDATE BILL 2018'!$G:$P,10,0),IFERROR(VLOOKUP(A1237,'[2]UPDATE BILL 2018'!$H:$P,9,0),IFERROR(VLOOKUP(A1237,'[2]UPDATE BILL 2018'!$I:$P,8,0),VLOOKUP(A1237,'[2]UPDATE BILL 2018'!$B:$P,15,0)))))))))</f>
        <v>350810086948</v>
      </c>
      <c r="AB1237" s="44">
        <f>IFERROR(VLOOKUP(A1237,'[2]UPDATE BILL 2018'!$B:$T,19,0),IFERROR(VLOOKUP(A1237,'[2]UPDATE BILL 2018'!$C:$T,18,0),IFERROR(VLOOKUP(A1237,'[2]UPDATE BILL 2018'!$D:$T,17,0),IFERROR(VLOOKUP(A1237,'[2]UPDATE BILL 2018'!$E:$T,16,0),IFERROR(VLOOKUP(A1237,'[2]UPDATE BILL 2018'!$F:$T,15,0),IFERROR(VLOOKUP(A1237,'[2]UPDATE BILL 2018'!$G:$T,14,0),IFERROR(VLOOKUP(A1237,'[2]UPDATE BILL 2018'!$H:$T,13,0),IFERROR(VLOOKUP(A1237,'[2]UPDATE BILL 2018'!$I:$T,12,0),VLOOKUP(A1237,'[2]UPDATE BILL 2018'!$B:$T,19,0)))))))))</f>
        <v>43318</v>
      </c>
      <c r="AC1237" s="44" t="str">
        <f>IFERROR(VLOOKUP(A1237,'[2]UPDATE BILL 2018'!$B:$V,21,0),IFERROR(VLOOKUP(A1237,'[2]UPDATE BILL 2018'!$C:$V,20,0),IFERROR(VLOOKUP(A1237,'[2]UPDATE BILL 2018'!$D:$V,19,0),IFERROR(VLOOKUP(A1237,'[2]UPDATE BILL 2018'!$E:$V,18,0),IFERROR(VLOOKUP(A1237,'[2]UPDATE BILL 2018'!$F:$V,17,0),IFERROR(VLOOKUP(A1237,'[2]UPDATE BILL 2018'!$G:$V,16,0),IFERROR(VLOOKUP(A1237,'[2]UPDATE BILL 2018'!$H:$V,15,0),IFERROR(VLOOKUP(A1237,'[2]UPDATE BILL 2018'!$I:$V,14,0),VLOOKUP(A1237,'[2]UPDATE BILL 2018'!$B:$V,21,0)))))))))</f>
        <v>HANSE ENDURANCE 18012N</v>
      </c>
      <c r="AD1237" s="14" t="s">
        <v>52</v>
      </c>
      <c r="AE1237" s="24" t="s">
        <v>2735</v>
      </c>
      <c r="AF1237" s="25" t="s">
        <v>2173</v>
      </c>
      <c r="AG1237" t="e">
        <f t="shared" si="79"/>
        <v>#N/A</v>
      </c>
      <c r="AI1237" s="58"/>
    </row>
    <row r="1238" spans="1:35" ht="15.75" customHeight="1">
      <c r="A1238" s="6" t="s">
        <v>2727</v>
      </c>
      <c r="D1238" s="7">
        <f t="shared" si="80"/>
        <v>0</v>
      </c>
      <c r="E1238" s="7">
        <v>0</v>
      </c>
      <c r="F1238" s="5">
        <v>0</v>
      </c>
      <c r="G1238" s="7">
        <v>0</v>
      </c>
      <c r="H1238" s="5">
        <v>0</v>
      </c>
      <c r="I1238" s="7">
        <v>0</v>
      </c>
      <c r="J1238" s="7">
        <v>0</v>
      </c>
      <c r="K1238" s="5">
        <v>0</v>
      </c>
      <c r="L1238" s="5">
        <v>0</v>
      </c>
      <c r="M1238" s="5">
        <v>0</v>
      </c>
      <c r="N1238" s="7">
        <f t="shared" si="81"/>
        <v>0</v>
      </c>
      <c r="O1238" s="7">
        <v>0</v>
      </c>
      <c r="P1238" s="7">
        <v>0</v>
      </c>
      <c r="Q1238" s="5">
        <v>0</v>
      </c>
      <c r="R1238" s="5">
        <v>246</v>
      </c>
      <c r="S1238" s="7">
        <v>50850.5</v>
      </c>
      <c r="T1238" s="12">
        <v>43312</v>
      </c>
      <c r="U1238" s="4">
        <v>3</v>
      </c>
      <c r="V1238" s="4">
        <v>9</v>
      </c>
      <c r="W1238" s="4">
        <v>9</v>
      </c>
      <c r="X1238" s="45">
        <f t="shared" si="82"/>
        <v>50850.5</v>
      </c>
      <c r="Y1238" s="14" t="s">
        <v>56</v>
      </c>
      <c r="Z1238" s="14" t="s">
        <v>59</v>
      </c>
      <c r="AA1238" s="14" t="str">
        <f>IFERROR(VLOOKUP(A1238,'[2]UPDATE BILL 2018'!$B:$P,15,0),IFERROR(VLOOKUP(A1238,'[2]UPDATE BILL 2018'!$C:$P,14,0),IFERROR(VLOOKUP(A1238,'[2]UPDATE BILL 2018'!$D:$P,13,0),IFERROR(VLOOKUP(A1238,'[2]UPDATE BILL 2018'!$E:$P,12,0),IFERROR(VLOOKUP(A1238,'[2]UPDATE BILL 2018'!$F:$P,11,0),IFERROR(VLOOKUP(A1238,'[2]UPDATE BILL 2018'!$G:$P,10,0),IFERROR(VLOOKUP(A1238,'[2]UPDATE BILL 2018'!$H:$P,9,0),IFERROR(VLOOKUP(A1238,'[2]UPDATE BILL 2018'!$I:$P,8,0),VLOOKUP(A1238,'[2]UPDATE BILL 2018'!$B:$P,15,0)))))))))</f>
        <v>1008X04094</v>
      </c>
      <c r="AB1238" s="44">
        <f>IFERROR(VLOOKUP(A1238,'[2]UPDATE BILL 2018'!$B:$T,19,0),IFERROR(VLOOKUP(A1238,'[2]UPDATE BILL 2018'!$C:$T,18,0),IFERROR(VLOOKUP(A1238,'[2]UPDATE BILL 2018'!$D:$T,17,0),IFERROR(VLOOKUP(A1238,'[2]UPDATE BILL 2018'!$E:$T,16,0),IFERROR(VLOOKUP(A1238,'[2]UPDATE BILL 2018'!$F:$T,15,0),IFERROR(VLOOKUP(A1238,'[2]UPDATE BILL 2018'!$G:$T,14,0),IFERROR(VLOOKUP(A1238,'[2]UPDATE BILL 2018'!$H:$T,13,0),IFERROR(VLOOKUP(A1238,'[2]UPDATE BILL 2018'!$I:$T,12,0),VLOOKUP(A1238,'[2]UPDATE BILL 2018'!$B:$T,19,0)))))))))</f>
        <v>43316</v>
      </c>
      <c r="AC1238" s="44" t="str">
        <f>IFERROR(VLOOKUP(A1238,'[2]UPDATE BILL 2018'!$B:$V,21,0),IFERROR(VLOOKUP(A1238,'[2]UPDATE BILL 2018'!$C:$V,20,0),IFERROR(VLOOKUP(A1238,'[2]UPDATE BILL 2018'!$D:$V,19,0),IFERROR(VLOOKUP(A1238,'[2]UPDATE BILL 2018'!$E:$V,18,0),IFERROR(VLOOKUP(A1238,'[2]UPDATE BILL 2018'!$F:$V,17,0),IFERROR(VLOOKUP(A1238,'[2]UPDATE BILL 2018'!$G:$V,16,0),IFERROR(VLOOKUP(A1238,'[2]UPDATE BILL 2018'!$H:$V,15,0),IFERROR(VLOOKUP(A1238,'[2]UPDATE BILL 2018'!$I:$V,14,0),VLOOKUP(A1238,'[2]UPDATE BILL 2018'!$B:$V,21,0)))))))))</f>
        <v>PAOLA N024</v>
      </c>
      <c r="AD1238" s="14" t="s">
        <v>51</v>
      </c>
      <c r="AE1238" s="24" t="s">
        <v>2736</v>
      </c>
      <c r="AF1238" s="25" t="s">
        <v>2150</v>
      </c>
      <c r="AG1238" t="e">
        <f t="shared" si="79"/>
        <v>#N/A</v>
      </c>
      <c r="AI1238" s="58"/>
    </row>
    <row r="1239" spans="1:35" ht="15.75" customHeight="1">
      <c r="A1239" s="6" t="s">
        <v>2728</v>
      </c>
      <c r="D1239" s="7">
        <f t="shared" si="80"/>
        <v>0</v>
      </c>
      <c r="E1239" s="7">
        <v>0</v>
      </c>
      <c r="F1239" s="5">
        <v>0</v>
      </c>
      <c r="G1239" s="7">
        <v>0</v>
      </c>
      <c r="H1239" s="5">
        <v>0</v>
      </c>
      <c r="I1239" s="7">
        <v>0</v>
      </c>
      <c r="J1239" s="7">
        <v>0</v>
      </c>
      <c r="K1239" s="5">
        <v>0</v>
      </c>
      <c r="L1239" s="5">
        <v>0</v>
      </c>
      <c r="M1239" s="5">
        <v>0</v>
      </c>
      <c r="N1239" s="7">
        <f t="shared" si="81"/>
        <v>0</v>
      </c>
      <c r="O1239" s="7">
        <v>0</v>
      </c>
      <c r="P1239" s="7">
        <v>0</v>
      </c>
      <c r="Q1239" s="5">
        <v>0</v>
      </c>
      <c r="R1239" s="5">
        <v>70</v>
      </c>
      <c r="S1239" s="7">
        <v>17418</v>
      </c>
      <c r="T1239" s="12">
        <v>43312</v>
      </c>
      <c r="U1239" s="4">
        <v>1</v>
      </c>
      <c r="V1239" s="4">
        <v>9</v>
      </c>
      <c r="W1239" s="4">
        <v>9</v>
      </c>
      <c r="X1239" s="45">
        <f t="shared" si="82"/>
        <v>17418</v>
      </c>
      <c r="Y1239" s="14" t="s">
        <v>54</v>
      </c>
      <c r="Z1239" s="14" t="s">
        <v>1281</v>
      </c>
      <c r="AA1239" s="14" t="str">
        <f>IFERROR(VLOOKUP(A1239,'[2]UPDATE BILL 2018'!$B:$P,15,0),IFERROR(VLOOKUP(A1239,'[2]UPDATE BILL 2018'!$C:$P,14,0),IFERROR(VLOOKUP(A1239,'[2]UPDATE BILL 2018'!$D:$P,13,0),IFERROR(VLOOKUP(A1239,'[2]UPDATE BILL 2018'!$E:$P,12,0),IFERROR(VLOOKUP(A1239,'[2]UPDATE BILL 2018'!$F:$P,11,0),IFERROR(VLOOKUP(A1239,'[2]UPDATE BILL 2018'!$G:$P,10,0),IFERROR(VLOOKUP(A1239,'[2]UPDATE BILL 2018'!$H:$P,9,0),IFERROR(VLOOKUP(A1239,'[2]UPDATE BILL 2018'!$I:$P,8,0),VLOOKUP(A1239,'[2]UPDATE BILL 2018'!$B:$P,15,0)))))))))</f>
        <v>SITWHPKW173446</v>
      </c>
      <c r="AB1239" s="44">
        <f>IFERROR(VLOOKUP(A1239,'[2]UPDATE BILL 2018'!$B:$T,19,0),IFERROR(VLOOKUP(A1239,'[2]UPDATE BILL 2018'!$C:$T,18,0),IFERROR(VLOOKUP(A1239,'[2]UPDATE BILL 2018'!$D:$T,17,0),IFERROR(VLOOKUP(A1239,'[2]UPDATE BILL 2018'!$E:$T,16,0),IFERROR(VLOOKUP(A1239,'[2]UPDATE BILL 2018'!$F:$T,15,0),IFERROR(VLOOKUP(A1239,'[2]UPDATE BILL 2018'!$G:$T,14,0),IFERROR(VLOOKUP(A1239,'[2]UPDATE BILL 2018'!$H:$T,13,0),IFERROR(VLOOKUP(A1239,'[2]UPDATE BILL 2018'!$I:$T,12,0),VLOOKUP(A1239,'[2]UPDATE BILL 2018'!$B:$T,19,0)))))))))</f>
        <v>43322</v>
      </c>
      <c r="AC1239" s="44" t="str">
        <f>IFERROR(VLOOKUP(A1239,'[2]UPDATE BILL 2018'!$B:$V,21,0),IFERROR(VLOOKUP(A1239,'[2]UPDATE BILL 2018'!$C:$V,20,0),IFERROR(VLOOKUP(A1239,'[2]UPDATE BILL 2018'!$D:$V,19,0),IFERROR(VLOOKUP(A1239,'[2]UPDATE BILL 2018'!$E:$V,18,0),IFERROR(VLOOKUP(A1239,'[2]UPDATE BILL 2018'!$F:$V,17,0),IFERROR(VLOOKUP(A1239,'[2]UPDATE BILL 2018'!$G:$V,16,0),IFERROR(VLOOKUP(A1239,'[2]UPDATE BILL 2018'!$H:$V,15,0),IFERROR(VLOOKUP(A1239,'[2]UPDATE BILL 2018'!$I:$V,14,0),VLOOKUP(A1239,'[2]UPDATE BILL 2018'!$B:$V,21,0)))))))))</f>
        <v>HYUNDAI HARMONY 1831N</v>
      </c>
      <c r="AD1239" s="14" t="s">
        <v>50</v>
      </c>
      <c r="AE1239" s="24" t="s">
        <v>2737</v>
      </c>
      <c r="AF1239" s="25" t="s">
        <v>2151</v>
      </c>
      <c r="AG1239" t="e">
        <f t="shared" si="79"/>
        <v>#N/A</v>
      </c>
      <c r="AI1239" s="58"/>
    </row>
    <row r="1240" spans="1:35" ht="15.75" customHeight="1">
      <c r="A1240" s="6" t="s">
        <v>2738</v>
      </c>
      <c r="D1240" s="7">
        <f t="shared" si="80"/>
        <v>0</v>
      </c>
      <c r="E1240" s="7">
        <v>0</v>
      </c>
      <c r="F1240" s="5">
        <v>0</v>
      </c>
      <c r="G1240" s="7">
        <v>0</v>
      </c>
      <c r="H1240" s="5">
        <v>124</v>
      </c>
      <c r="I1240" s="7">
        <v>13586.359999999999</v>
      </c>
      <c r="J1240" s="7">
        <v>0</v>
      </c>
      <c r="K1240" s="5">
        <v>0</v>
      </c>
      <c r="L1240" s="5">
        <v>0</v>
      </c>
      <c r="M1240" s="5">
        <v>0</v>
      </c>
      <c r="N1240" s="7">
        <f t="shared" si="81"/>
        <v>0</v>
      </c>
      <c r="O1240" s="7">
        <v>0</v>
      </c>
      <c r="P1240" s="7">
        <v>0</v>
      </c>
      <c r="Q1240" s="5">
        <v>0</v>
      </c>
      <c r="R1240" s="5">
        <v>0</v>
      </c>
      <c r="S1240" s="7">
        <v>0</v>
      </c>
      <c r="T1240" s="12">
        <v>43313</v>
      </c>
      <c r="U1240" s="4">
        <v>1</v>
      </c>
      <c r="V1240" s="4">
        <v>9</v>
      </c>
      <c r="W1240" s="4">
        <v>9</v>
      </c>
      <c r="X1240" s="45">
        <f t="shared" si="82"/>
        <v>13586.359999999999</v>
      </c>
      <c r="Y1240" s="14" t="s">
        <v>54</v>
      </c>
      <c r="Z1240" s="14" t="s">
        <v>1355</v>
      </c>
      <c r="AA1240" s="14" t="str">
        <f>IFERROR(VLOOKUP(A1240,'[2]UPDATE BILL 2018'!$B:$P,15,0),IFERROR(VLOOKUP(A1240,'[2]UPDATE BILL 2018'!$C:$P,14,0),IFERROR(VLOOKUP(A1240,'[2]UPDATE BILL 2018'!$D:$P,13,0),IFERROR(VLOOKUP(A1240,'[2]UPDATE BILL 2018'!$E:$P,12,0),IFERROR(VLOOKUP(A1240,'[2]UPDATE BILL 2018'!$F:$P,11,0),IFERROR(VLOOKUP(A1240,'[2]UPDATE BILL 2018'!$G:$P,10,0),IFERROR(VLOOKUP(A1240,'[2]UPDATE BILL 2018'!$H:$P,9,0),IFERROR(VLOOKUP(A1240,'[2]UPDATE BILL 2018'!$I:$P,8,0),VLOOKUP(A1240,'[2]UPDATE BILL 2018'!$B:$P,15,0)))))))))</f>
        <v>SITWHPTK173450</v>
      </c>
      <c r="AB1240" s="44">
        <f>IFERROR(VLOOKUP(A1240,'[2]UPDATE BILL 2018'!$B:$T,19,0),IFERROR(VLOOKUP(A1240,'[2]UPDATE BILL 2018'!$C:$T,18,0),IFERROR(VLOOKUP(A1240,'[2]UPDATE BILL 2018'!$D:$T,17,0),IFERROR(VLOOKUP(A1240,'[2]UPDATE BILL 2018'!$E:$T,16,0),IFERROR(VLOOKUP(A1240,'[2]UPDATE BILL 2018'!$F:$T,15,0),IFERROR(VLOOKUP(A1240,'[2]UPDATE BILL 2018'!$G:$T,14,0),IFERROR(VLOOKUP(A1240,'[2]UPDATE BILL 2018'!$H:$T,13,0),IFERROR(VLOOKUP(A1240,'[2]UPDATE BILL 2018'!$I:$T,12,0),VLOOKUP(A1240,'[2]UPDATE BILL 2018'!$B:$T,19,0)))))))))</f>
        <v>43322</v>
      </c>
      <c r="AC1240" s="44" t="str">
        <f>IFERROR(VLOOKUP(A1240,'[2]UPDATE BILL 2018'!$B:$V,21,0),IFERROR(VLOOKUP(A1240,'[2]UPDATE BILL 2018'!$C:$V,20,0),IFERROR(VLOOKUP(A1240,'[2]UPDATE BILL 2018'!$D:$V,19,0),IFERROR(VLOOKUP(A1240,'[2]UPDATE BILL 2018'!$E:$V,18,0),IFERROR(VLOOKUP(A1240,'[2]UPDATE BILL 2018'!$F:$V,17,0),IFERROR(VLOOKUP(A1240,'[2]UPDATE BILL 2018'!$G:$V,16,0),IFERROR(VLOOKUP(A1240,'[2]UPDATE BILL 2018'!$H:$V,15,0),IFERROR(VLOOKUP(A1240,'[2]UPDATE BILL 2018'!$I:$V,14,0),VLOOKUP(A1240,'[2]UPDATE BILL 2018'!$B:$V,21,0)))))))))</f>
        <v>HYUNDAI HARMONY 1831N</v>
      </c>
      <c r="AD1240" s="14" t="s">
        <v>49</v>
      </c>
      <c r="AE1240" s="24" t="s">
        <v>2748</v>
      </c>
      <c r="AF1240" s="25" t="str">
        <f t="shared" si="83"/>
        <v>VK</v>
      </c>
      <c r="AG1240" t="e">
        <f t="shared" si="79"/>
        <v>#REF!</v>
      </c>
      <c r="AI1240" s="58"/>
    </row>
    <row r="1241" spans="1:35" ht="15.75" customHeight="1">
      <c r="A1241" s="6" t="s">
        <v>2739</v>
      </c>
      <c r="B1241" s="5">
        <v>70</v>
      </c>
      <c r="C1241" s="7">
        <v>9787.1500000000015</v>
      </c>
      <c r="D1241" s="7">
        <f t="shared" si="80"/>
        <v>0</v>
      </c>
      <c r="E1241" s="7">
        <v>0</v>
      </c>
      <c r="F1241" s="5">
        <v>0</v>
      </c>
      <c r="G1241" s="7">
        <v>0</v>
      </c>
      <c r="H1241" s="5">
        <v>0</v>
      </c>
      <c r="I1241" s="7">
        <v>0</v>
      </c>
      <c r="J1241" s="7">
        <v>0</v>
      </c>
      <c r="K1241" s="5">
        <v>0</v>
      </c>
      <c r="L1241" s="5">
        <v>0</v>
      </c>
      <c r="M1241" s="5">
        <v>0</v>
      </c>
      <c r="N1241" s="7">
        <f t="shared" si="81"/>
        <v>0</v>
      </c>
      <c r="O1241" s="7">
        <v>0</v>
      </c>
      <c r="P1241" s="7">
        <v>0</v>
      </c>
      <c r="Q1241" s="5">
        <v>0</v>
      </c>
      <c r="R1241" s="5">
        <v>0</v>
      </c>
      <c r="S1241" s="7">
        <v>0</v>
      </c>
      <c r="T1241" s="12">
        <v>43313</v>
      </c>
      <c r="U1241" s="4">
        <v>1</v>
      </c>
      <c r="V1241" s="4">
        <v>9</v>
      </c>
      <c r="W1241" s="4">
        <v>9</v>
      </c>
      <c r="X1241" s="45">
        <f t="shared" si="82"/>
        <v>9787.1500000000015</v>
      </c>
      <c r="Y1241" s="14" t="s">
        <v>56</v>
      </c>
      <c r="Z1241" s="14" t="s">
        <v>1637</v>
      </c>
      <c r="AA1241" s="14" t="str">
        <f>IFERROR(VLOOKUP(A1241,'[2]UPDATE BILL 2018'!$B:$P,15,0),IFERROR(VLOOKUP(A1241,'[2]UPDATE BILL 2018'!$C:$P,14,0),IFERROR(VLOOKUP(A1241,'[2]UPDATE BILL 2018'!$D:$P,13,0),IFERROR(VLOOKUP(A1241,'[2]UPDATE BILL 2018'!$E:$P,12,0),IFERROR(VLOOKUP(A1241,'[2]UPDATE BILL 2018'!$F:$P,11,0),IFERROR(VLOOKUP(A1241,'[2]UPDATE BILL 2018'!$G:$P,10,0),IFERROR(VLOOKUP(A1241,'[2]UPDATE BILL 2018'!$H:$P,9,0),IFERROR(VLOOKUP(A1241,'[2]UPDATE BILL 2018'!$I:$P,8,0),VLOOKUP(A1241,'[2]UPDATE BILL 2018'!$B:$P,15,0)))))))))</f>
        <v>1008X04090</v>
      </c>
      <c r="AB1241" s="44">
        <f>IFERROR(VLOOKUP(A1241,'[2]UPDATE BILL 2018'!$B:$T,19,0),IFERROR(VLOOKUP(A1241,'[2]UPDATE BILL 2018'!$C:$T,18,0),IFERROR(VLOOKUP(A1241,'[2]UPDATE BILL 2018'!$D:$T,17,0),IFERROR(VLOOKUP(A1241,'[2]UPDATE BILL 2018'!$E:$T,16,0),IFERROR(VLOOKUP(A1241,'[2]UPDATE BILL 2018'!$F:$T,15,0),IFERROR(VLOOKUP(A1241,'[2]UPDATE BILL 2018'!$G:$T,14,0),IFERROR(VLOOKUP(A1241,'[2]UPDATE BILL 2018'!$H:$T,13,0),IFERROR(VLOOKUP(A1241,'[2]UPDATE BILL 2018'!$I:$T,12,0),VLOOKUP(A1241,'[2]UPDATE BILL 2018'!$B:$T,19,0)))))))))</f>
        <v>43315</v>
      </c>
      <c r="AC1241" s="44" t="str">
        <f>IFERROR(VLOOKUP(A1241,'[2]UPDATE BILL 2018'!$B:$V,21,0),IFERROR(VLOOKUP(A1241,'[2]UPDATE BILL 2018'!$C:$V,20,0),IFERROR(VLOOKUP(A1241,'[2]UPDATE BILL 2018'!$D:$V,19,0),IFERROR(VLOOKUP(A1241,'[2]UPDATE BILL 2018'!$E:$V,18,0),IFERROR(VLOOKUP(A1241,'[2]UPDATE BILL 2018'!$F:$V,17,0),IFERROR(VLOOKUP(A1241,'[2]UPDATE BILL 2018'!$G:$V,16,0),IFERROR(VLOOKUP(A1241,'[2]UPDATE BILL 2018'!$H:$V,15,0),IFERROR(VLOOKUP(A1241,'[2]UPDATE BILL 2018'!$I:$V,14,0),VLOOKUP(A1241,'[2]UPDATE BILL 2018'!$B:$V,21,0)))))))))</f>
        <v>WAN HAI 172 S297</v>
      </c>
      <c r="AD1241" s="14" t="s">
        <v>49</v>
      </c>
      <c r="AE1241" s="24" t="s">
        <v>2749</v>
      </c>
      <c r="AF1241" s="25" t="str">
        <f t="shared" si="83"/>
        <v>VN</v>
      </c>
      <c r="AG1241" t="e">
        <f t="shared" si="79"/>
        <v>#REF!</v>
      </c>
      <c r="AI1241" s="58"/>
    </row>
    <row r="1242" spans="1:35" ht="16.5" customHeight="1">
      <c r="A1242" s="6" t="s">
        <v>2740</v>
      </c>
      <c r="B1242" s="5">
        <v>106</v>
      </c>
      <c r="C1242" s="7">
        <v>12921.2</v>
      </c>
      <c r="D1242" s="7">
        <f t="shared" si="80"/>
        <v>0</v>
      </c>
      <c r="E1242" s="7">
        <v>0</v>
      </c>
      <c r="F1242" s="5">
        <v>0</v>
      </c>
      <c r="G1242" s="7">
        <v>0</v>
      </c>
      <c r="H1242" s="5">
        <v>424</v>
      </c>
      <c r="I1242" s="7">
        <v>51490.009999999995</v>
      </c>
      <c r="J1242" s="7">
        <v>0</v>
      </c>
      <c r="K1242" s="5">
        <v>0</v>
      </c>
      <c r="L1242" s="5">
        <v>0</v>
      </c>
      <c r="M1242" s="5">
        <v>106</v>
      </c>
      <c r="N1242" s="7">
        <f t="shared" si="81"/>
        <v>106</v>
      </c>
      <c r="O1242" s="7">
        <v>9888.6</v>
      </c>
      <c r="P1242" s="7">
        <v>0</v>
      </c>
      <c r="Q1242" s="5">
        <v>0</v>
      </c>
      <c r="R1242" s="5">
        <v>0</v>
      </c>
      <c r="S1242" s="7">
        <v>0</v>
      </c>
      <c r="T1242" s="12">
        <v>43313</v>
      </c>
      <c r="U1242" s="4">
        <v>6</v>
      </c>
      <c r="V1242" s="4">
        <v>9</v>
      </c>
      <c r="W1242" s="4">
        <v>9</v>
      </c>
      <c r="X1242" s="45">
        <f t="shared" si="82"/>
        <v>74299.81</v>
      </c>
      <c r="Y1242" s="14" t="s">
        <v>56</v>
      </c>
      <c r="Z1242" s="14" t="s">
        <v>57</v>
      </c>
      <c r="AA1242" s="14" t="str">
        <f>IFERROR(VLOOKUP(A1242,'[2]UPDATE BILL 2018'!$B:$P,15,0),IFERROR(VLOOKUP(A1242,'[2]UPDATE BILL 2018'!$C:$P,14,0),IFERROR(VLOOKUP(A1242,'[2]UPDATE BILL 2018'!$D:$P,13,0),IFERROR(VLOOKUP(A1242,'[2]UPDATE BILL 2018'!$E:$P,12,0),IFERROR(VLOOKUP(A1242,'[2]UPDATE BILL 2018'!$F:$P,11,0),IFERROR(VLOOKUP(A1242,'[2]UPDATE BILL 2018'!$G:$P,10,0),IFERROR(VLOOKUP(A1242,'[2]UPDATE BILL 2018'!$H:$P,9,0),IFERROR(VLOOKUP(A1242,'[2]UPDATE BILL 2018'!$I:$P,8,0),VLOOKUP(A1242,'[2]UPDATE BILL 2018'!$B:$P,15,0)))))))))</f>
        <v>1008X04094</v>
      </c>
      <c r="AB1242" s="44">
        <f>IFERROR(VLOOKUP(A1242,'[2]UPDATE BILL 2018'!$B:$T,19,0),IFERROR(VLOOKUP(A1242,'[2]UPDATE BILL 2018'!$C:$T,18,0),IFERROR(VLOOKUP(A1242,'[2]UPDATE BILL 2018'!$D:$T,17,0),IFERROR(VLOOKUP(A1242,'[2]UPDATE BILL 2018'!$E:$T,16,0),IFERROR(VLOOKUP(A1242,'[2]UPDATE BILL 2018'!$F:$T,15,0),IFERROR(VLOOKUP(A1242,'[2]UPDATE BILL 2018'!$G:$T,14,0),IFERROR(VLOOKUP(A1242,'[2]UPDATE BILL 2018'!$H:$T,13,0),IFERROR(VLOOKUP(A1242,'[2]UPDATE BILL 2018'!$I:$T,12,0),VLOOKUP(A1242,'[2]UPDATE BILL 2018'!$B:$T,19,0)))))))))</f>
        <v>43316</v>
      </c>
      <c r="AC1242" s="44" t="str">
        <f>IFERROR(VLOOKUP(A1242,'[2]UPDATE BILL 2018'!$B:$V,21,0),IFERROR(VLOOKUP(A1242,'[2]UPDATE BILL 2018'!$C:$V,20,0),IFERROR(VLOOKUP(A1242,'[2]UPDATE BILL 2018'!$D:$V,19,0),IFERROR(VLOOKUP(A1242,'[2]UPDATE BILL 2018'!$E:$V,18,0),IFERROR(VLOOKUP(A1242,'[2]UPDATE BILL 2018'!$F:$V,17,0),IFERROR(VLOOKUP(A1242,'[2]UPDATE BILL 2018'!$G:$V,16,0),IFERROR(VLOOKUP(A1242,'[2]UPDATE BILL 2018'!$H:$V,15,0),IFERROR(VLOOKUP(A1242,'[2]UPDATE BILL 2018'!$I:$V,14,0),VLOOKUP(A1242,'[2]UPDATE BILL 2018'!$B:$V,21,0)))))))))</f>
        <v>PAOLA N024</v>
      </c>
      <c r="AD1242" s="14" t="s">
        <v>51</v>
      </c>
      <c r="AE1242" s="24" t="s">
        <v>2750</v>
      </c>
      <c r="AF1242" s="25" t="str">
        <f t="shared" si="83"/>
        <v>VS</v>
      </c>
      <c r="AG1242" t="e">
        <f t="shared" si="79"/>
        <v>#REF!</v>
      </c>
      <c r="AI1242" s="58"/>
    </row>
    <row r="1243" spans="1:35" ht="15.75" customHeight="1">
      <c r="A1243" s="6" t="s">
        <v>2741</v>
      </c>
      <c r="B1243" s="5">
        <v>895</v>
      </c>
      <c r="C1243" s="7">
        <v>88588.01999999999</v>
      </c>
      <c r="D1243" s="7">
        <f t="shared" si="80"/>
        <v>0</v>
      </c>
      <c r="E1243" s="7">
        <v>0</v>
      </c>
      <c r="F1243" s="5">
        <v>0</v>
      </c>
      <c r="G1243" s="7">
        <v>0</v>
      </c>
      <c r="H1243" s="5">
        <v>0</v>
      </c>
      <c r="I1243" s="7">
        <v>0</v>
      </c>
      <c r="J1243" s="7">
        <v>0</v>
      </c>
      <c r="K1243" s="5">
        <v>0</v>
      </c>
      <c r="L1243" s="5">
        <v>0</v>
      </c>
      <c r="M1243" s="5">
        <v>44</v>
      </c>
      <c r="N1243" s="7">
        <f t="shared" si="81"/>
        <v>44</v>
      </c>
      <c r="O1243" s="7">
        <v>10036.199999999999</v>
      </c>
      <c r="P1243" s="7">
        <v>0</v>
      </c>
      <c r="Q1243" s="5">
        <v>0</v>
      </c>
      <c r="R1243" s="5">
        <v>0</v>
      </c>
      <c r="S1243" s="7">
        <v>0</v>
      </c>
      <c r="T1243" s="12">
        <v>43313</v>
      </c>
      <c r="U1243" s="4">
        <v>8</v>
      </c>
      <c r="V1243" s="4">
        <v>9</v>
      </c>
      <c r="W1243" s="4">
        <v>9</v>
      </c>
      <c r="X1243" s="45">
        <f t="shared" si="82"/>
        <v>98624.219999999987</v>
      </c>
      <c r="Y1243" s="14" t="s">
        <v>56</v>
      </c>
      <c r="Z1243" s="14" t="s">
        <v>59</v>
      </c>
      <c r="AA1243" s="14" t="str">
        <f>IFERROR(VLOOKUP(A1243,'[2]UPDATE BILL 2018'!$B:$P,15,0),IFERROR(VLOOKUP(A1243,'[2]UPDATE BILL 2018'!$C:$P,14,0),IFERROR(VLOOKUP(A1243,'[2]UPDATE BILL 2018'!$D:$P,13,0),IFERROR(VLOOKUP(A1243,'[2]UPDATE BILL 2018'!$E:$P,12,0),IFERROR(VLOOKUP(A1243,'[2]UPDATE BILL 2018'!$F:$P,11,0),IFERROR(VLOOKUP(A1243,'[2]UPDATE BILL 2018'!$G:$P,10,0),IFERROR(VLOOKUP(A1243,'[2]UPDATE BILL 2018'!$H:$P,9,0),IFERROR(VLOOKUP(A1243,'[2]UPDATE BILL 2018'!$I:$P,8,0),VLOOKUP(A1243,'[2]UPDATE BILL 2018'!$B:$P,15,0)))))))))</f>
        <v>1008X04109</v>
      </c>
      <c r="AB1243" s="44">
        <f>IFERROR(VLOOKUP(A1243,'[2]UPDATE BILL 2018'!$B:$T,19,0),IFERROR(VLOOKUP(A1243,'[2]UPDATE BILL 2018'!$C:$T,18,0),IFERROR(VLOOKUP(A1243,'[2]UPDATE BILL 2018'!$D:$T,17,0),IFERROR(VLOOKUP(A1243,'[2]UPDATE BILL 2018'!$E:$T,16,0),IFERROR(VLOOKUP(A1243,'[2]UPDATE BILL 2018'!$F:$T,15,0),IFERROR(VLOOKUP(A1243,'[2]UPDATE BILL 2018'!$G:$T,14,0),IFERROR(VLOOKUP(A1243,'[2]UPDATE BILL 2018'!$H:$T,13,0),IFERROR(VLOOKUP(A1243,'[2]UPDATE BILL 2018'!$I:$T,12,0),VLOOKUP(A1243,'[2]UPDATE BILL 2018'!$B:$T,19,0)))))))))</f>
        <v>43320</v>
      </c>
      <c r="AC1243" s="44" t="str">
        <f>IFERROR(VLOOKUP(A1243,'[2]UPDATE BILL 2018'!$B:$V,21,0),IFERROR(VLOOKUP(A1243,'[2]UPDATE BILL 2018'!$C:$V,20,0),IFERROR(VLOOKUP(A1243,'[2]UPDATE BILL 2018'!$D:$V,19,0),IFERROR(VLOOKUP(A1243,'[2]UPDATE BILL 2018'!$E:$V,18,0),IFERROR(VLOOKUP(A1243,'[2]UPDATE BILL 2018'!$F:$V,17,0),IFERROR(VLOOKUP(A1243,'[2]UPDATE BILL 2018'!$G:$V,16,0),IFERROR(VLOOKUP(A1243,'[2]UPDATE BILL 2018'!$H:$V,15,0),IFERROR(VLOOKUP(A1243,'[2]UPDATE BILL 2018'!$I:$V,14,0),VLOOKUP(A1243,'[2]UPDATE BILL 2018'!$B:$V,21,0)))))))))</f>
        <v xml:space="preserve"> AS FRIDA N006</v>
      </c>
      <c r="AD1243" s="14" t="s">
        <v>51</v>
      </c>
      <c r="AE1243" s="24" t="s">
        <v>2751</v>
      </c>
      <c r="AF1243" s="25" t="str">
        <f t="shared" si="83"/>
        <v>VS</v>
      </c>
      <c r="AG1243" t="e">
        <f t="shared" si="79"/>
        <v>#REF!</v>
      </c>
      <c r="AI1243" s="58"/>
    </row>
    <row r="1244" spans="1:35" ht="15.75" customHeight="1">
      <c r="A1244" s="6" t="s">
        <v>2742</v>
      </c>
      <c r="B1244" s="5">
        <v>251</v>
      </c>
      <c r="C1244" s="7">
        <v>25949.5</v>
      </c>
      <c r="D1244" s="7">
        <f t="shared" si="80"/>
        <v>0</v>
      </c>
      <c r="E1244" s="7">
        <v>0</v>
      </c>
      <c r="F1244" s="5">
        <v>0</v>
      </c>
      <c r="G1244" s="7">
        <v>0</v>
      </c>
      <c r="H1244" s="5">
        <v>0</v>
      </c>
      <c r="I1244" s="7">
        <v>0</v>
      </c>
      <c r="J1244" s="7">
        <v>0</v>
      </c>
      <c r="K1244" s="5">
        <v>0</v>
      </c>
      <c r="L1244" s="5">
        <v>0</v>
      </c>
      <c r="M1244" s="5">
        <v>53</v>
      </c>
      <c r="N1244" s="7">
        <f t="shared" si="81"/>
        <v>53</v>
      </c>
      <c r="O1244" s="7">
        <v>10275.200000000001</v>
      </c>
      <c r="P1244" s="7">
        <v>0</v>
      </c>
      <c r="Q1244" s="5">
        <v>0</v>
      </c>
      <c r="R1244" s="5">
        <v>0</v>
      </c>
      <c r="S1244" s="7">
        <v>0</v>
      </c>
      <c r="T1244" s="12">
        <v>43313</v>
      </c>
      <c r="U1244" s="4">
        <v>3</v>
      </c>
      <c r="V1244" s="4">
        <v>9</v>
      </c>
      <c r="W1244" s="4">
        <v>9</v>
      </c>
      <c r="X1244" s="45">
        <f t="shared" si="82"/>
        <v>36224.699999999997</v>
      </c>
      <c r="Y1244" s="14" t="s">
        <v>54</v>
      </c>
      <c r="Z1244" s="14" t="s">
        <v>2525</v>
      </c>
      <c r="AA1244" s="14" t="str">
        <f>IFERROR(VLOOKUP(A1244,'[2]UPDATE BILL 2018'!$B:$P,15,0),IFERROR(VLOOKUP(A1244,'[2]UPDATE BILL 2018'!$C:$P,14,0),IFERROR(VLOOKUP(A1244,'[2]UPDATE BILL 2018'!$D:$P,13,0),IFERROR(VLOOKUP(A1244,'[2]UPDATE BILL 2018'!$E:$P,12,0),IFERROR(VLOOKUP(A1244,'[2]UPDATE BILL 2018'!$F:$P,11,0),IFERROR(VLOOKUP(A1244,'[2]UPDATE BILL 2018'!$G:$P,10,0),IFERROR(VLOOKUP(A1244,'[2]UPDATE BILL 2018'!$H:$P,9,0),IFERROR(VLOOKUP(A1244,'[2]UPDATE BILL 2018'!$I:$P,8,0),VLOOKUP(A1244,'[2]UPDATE BILL 2018'!$B:$P,15,0)))))))))</f>
        <v>SITWHPKW173443</v>
      </c>
      <c r="AB1244" s="44">
        <f>IFERROR(VLOOKUP(A1244,'[2]UPDATE BILL 2018'!$B:$T,19,0),IFERROR(VLOOKUP(A1244,'[2]UPDATE BILL 2018'!$C:$T,18,0),IFERROR(VLOOKUP(A1244,'[2]UPDATE BILL 2018'!$D:$T,17,0),IFERROR(VLOOKUP(A1244,'[2]UPDATE BILL 2018'!$E:$T,16,0),IFERROR(VLOOKUP(A1244,'[2]UPDATE BILL 2018'!$F:$T,15,0),IFERROR(VLOOKUP(A1244,'[2]UPDATE BILL 2018'!$G:$T,14,0),IFERROR(VLOOKUP(A1244,'[2]UPDATE BILL 2018'!$H:$T,13,0),IFERROR(VLOOKUP(A1244,'[2]UPDATE BILL 2018'!$I:$T,12,0),VLOOKUP(A1244,'[2]UPDATE BILL 2018'!$B:$T,19,0)))))))))</f>
        <v>43322</v>
      </c>
      <c r="AC1244" s="44" t="str">
        <f>IFERROR(VLOOKUP(A1244,'[2]UPDATE BILL 2018'!$B:$V,21,0),IFERROR(VLOOKUP(A1244,'[2]UPDATE BILL 2018'!$C:$V,20,0),IFERROR(VLOOKUP(A1244,'[2]UPDATE BILL 2018'!$D:$V,19,0),IFERROR(VLOOKUP(A1244,'[2]UPDATE BILL 2018'!$E:$V,18,0),IFERROR(VLOOKUP(A1244,'[2]UPDATE BILL 2018'!$F:$V,17,0),IFERROR(VLOOKUP(A1244,'[2]UPDATE BILL 2018'!$G:$V,16,0),IFERROR(VLOOKUP(A1244,'[2]UPDATE BILL 2018'!$H:$V,15,0),IFERROR(VLOOKUP(A1244,'[2]UPDATE BILL 2018'!$I:$V,14,0),VLOOKUP(A1244,'[2]UPDATE BILL 2018'!$B:$V,21,0)))))))))</f>
        <v>HYUNDAI HARMONY 1831N</v>
      </c>
      <c r="AD1244" s="14" t="s">
        <v>50</v>
      </c>
      <c r="AE1244" s="24" t="s">
        <v>2752</v>
      </c>
      <c r="AF1244" s="25" t="str">
        <f t="shared" si="83"/>
        <v>VW</v>
      </c>
      <c r="AG1244" t="e">
        <f t="shared" si="79"/>
        <v>#REF!</v>
      </c>
      <c r="AI1244" s="58"/>
    </row>
    <row r="1245" spans="1:35" ht="15.75" customHeight="1">
      <c r="A1245" s="6" t="s">
        <v>2743</v>
      </c>
      <c r="B1245" s="5">
        <v>642</v>
      </c>
      <c r="C1245" s="7">
        <v>78136.42</v>
      </c>
      <c r="D1245" s="7">
        <f t="shared" si="80"/>
        <v>0</v>
      </c>
      <c r="E1245" s="7">
        <v>0</v>
      </c>
      <c r="F1245" s="5">
        <v>0</v>
      </c>
      <c r="G1245" s="7">
        <v>0</v>
      </c>
      <c r="H1245" s="5">
        <v>0</v>
      </c>
      <c r="I1245" s="7">
        <v>0</v>
      </c>
      <c r="J1245" s="7">
        <v>0</v>
      </c>
      <c r="K1245" s="5">
        <v>0</v>
      </c>
      <c r="L1245" s="5">
        <v>0</v>
      </c>
      <c r="M1245" s="5">
        <v>80</v>
      </c>
      <c r="N1245" s="7">
        <f t="shared" si="81"/>
        <v>80</v>
      </c>
      <c r="O1245" s="7">
        <v>9642.5999999999985</v>
      </c>
      <c r="P1245" s="7">
        <v>0</v>
      </c>
      <c r="Q1245" s="5">
        <v>0</v>
      </c>
      <c r="R1245" s="5">
        <v>0</v>
      </c>
      <c r="S1245" s="7">
        <v>0</v>
      </c>
      <c r="T1245" s="12">
        <v>43313</v>
      </c>
      <c r="U1245" s="4">
        <v>7</v>
      </c>
      <c r="V1245" s="4">
        <v>9</v>
      </c>
      <c r="W1245" s="4">
        <v>9</v>
      </c>
      <c r="X1245" s="45">
        <f t="shared" si="82"/>
        <v>87779.01999999999</v>
      </c>
      <c r="Y1245" s="14" t="s">
        <v>54</v>
      </c>
      <c r="Z1245" s="14" t="s">
        <v>1281</v>
      </c>
      <c r="AA1245" s="14" t="str">
        <f>IFERROR(VLOOKUP(A1245,'[2]UPDATE BILL 2018'!$B:$P,15,0),IFERROR(VLOOKUP(A1245,'[2]UPDATE BILL 2018'!$C:$P,14,0),IFERROR(VLOOKUP(A1245,'[2]UPDATE BILL 2018'!$D:$P,13,0),IFERROR(VLOOKUP(A1245,'[2]UPDATE BILL 2018'!$E:$P,12,0),IFERROR(VLOOKUP(A1245,'[2]UPDATE BILL 2018'!$F:$P,11,0),IFERROR(VLOOKUP(A1245,'[2]UPDATE BILL 2018'!$G:$P,10,0),IFERROR(VLOOKUP(A1245,'[2]UPDATE BILL 2018'!$H:$P,9,0),IFERROR(VLOOKUP(A1245,'[2]UPDATE BILL 2018'!$I:$P,8,0),VLOOKUP(A1245,'[2]UPDATE BILL 2018'!$B:$P,15,0)))))))))</f>
        <v>SITWHPKW173447</v>
      </c>
      <c r="AB1245" s="44">
        <f>IFERROR(VLOOKUP(A1245,'[2]UPDATE BILL 2018'!$B:$T,19,0),IFERROR(VLOOKUP(A1245,'[2]UPDATE BILL 2018'!$C:$T,18,0),IFERROR(VLOOKUP(A1245,'[2]UPDATE BILL 2018'!$D:$T,17,0),IFERROR(VLOOKUP(A1245,'[2]UPDATE BILL 2018'!$E:$T,16,0),IFERROR(VLOOKUP(A1245,'[2]UPDATE BILL 2018'!$F:$T,15,0),IFERROR(VLOOKUP(A1245,'[2]UPDATE BILL 2018'!$G:$T,14,0),IFERROR(VLOOKUP(A1245,'[2]UPDATE BILL 2018'!$H:$T,13,0),IFERROR(VLOOKUP(A1245,'[2]UPDATE BILL 2018'!$I:$T,12,0),VLOOKUP(A1245,'[2]UPDATE BILL 2018'!$B:$T,19,0)))))))))</f>
        <v>43322</v>
      </c>
      <c r="AC1245" s="44" t="str">
        <f>IFERROR(VLOOKUP(A1245,'[2]UPDATE BILL 2018'!$B:$V,21,0),IFERROR(VLOOKUP(A1245,'[2]UPDATE BILL 2018'!$C:$V,20,0),IFERROR(VLOOKUP(A1245,'[2]UPDATE BILL 2018'!$D:$V,19,0),IFERROR(VLOOKUP(A1245,'[2]UPDATE BILL 2018'!$E:$V,18,0),IFERROR(VLOOKUP(A1245,'[2]UPDATE BILL 2018'!$F:$V,17,0),IFERROR(VLOOKUP(A1245,'[2]UPDATE BILL 2018'!$G:$V,16,0),IFERROR(VLOOKUP(A1245,'[2]UPDATE BILL 2018'!$H:$V,15,0),IFERROR(VLOOKUP(A1245,'[2]UPDATE BILL 2018'!$I:$V,14,0),VLOOKUP(A1245,'[2]UPDATE BILL 2018'!$B:$V,21,0)))))))))</f>
        <v xml:space="preserve">HYUNDAI HARMONY 1831N </v>
      </c>
      <c r="AD1245" s="14" t="s">
        <v>50</v>
      </c>
      <c r="AE1245" s="24" t="s">
        <v>2753</v>
      </c>
      <c r="AF1245" s="25" t="str">
        <f t="shared" si="83"/>
        <v>VW</v>
      </c>
      <c r="AG1245" t="e">
        <f t="shared" si="79"/>
        <v>#REF!</v>
      </c>
      <c r="AI1245" s="58"/>
    </row>
    <row r="1246" spans="1:35" ht="15.75" customHeight="1">
      <c r="A1246" s="6" t="s">
        <v>2744</v>
      </c>
      <c r="D1246" s="7">
        <f t="shared" si="80"/>
        <v>0</v>
      </c>
      <c r="E1246" s="7">
        <v>0</v>
      </c>
      <c r="F1246" s="5">
        <v>0</v>
      </c>
      <c r="G1246" s="7">
        <v>0</v>
      </c>
      <c r="H1246" s="5">
        <v>0</v>
      </c>
      <c r="I1246" s="7">
        <v>0</v>
      </c>
      <c r="J1246" s="7">
        <v>0</v>
      </c>
      <c r="K1246" s="5">
        <v>0</v>
      </c>
      <c r="L1246" s="5">
        <v>0</v>
      </c>
      <c r="M1246" s="5">
        <v>35</v>
      </c>
      <c r="N1246" s="7">
        <f t="shared" si="81"/>
        <v>35</v>
      </c>
      <c r="O1246" s="7">
        <v>6121.4000000000005</v>
      </c>
      <c r="P1246" s="7">
        <v>0</v>
      </c>
      <c r="Q1246" s="5">
        <v>0</v>
      </c>
      <c r="R1246" s="5">
        <v>0</v>
      </c>
      <c r="S1246" s="7">
        <v>0</v>
      </c>
      <c r="T1246" s="12">
        <v>43313</v>
      </c>
      <c r="U1246" s="4">
        <v>1</v>
      </c>
      <c r="V1246" s="4">
        <v>9</v>
      </c>
      <c r="W1246" s="4">
        <v>9</v>
      </c>
      <c r="X1246" s="45">
        <f t="shared" si="82"/>
        <v>6121.4000000000005</v>
      </c>
      <c r="Y1246" s="14" t="s">
        <v>58</v>
      </c>
      <c r="Z1246" s="14" t="s">
        <v>1492</v>
      </c>
      <c r="AA1246" s="14" t="str">
        <f>IFERROR(VLOOKUP(A1246,'[2]UPDATE BILL 2018'!$B:$P,15,0),IFERROR(VLOOKUP(A1246,'[2]UPDATE BILL 2018'!$C:$P,14,0),IFERROR(VLOOKUP(A1246,'[2]UPDATE BILL 2018'!$D:$P,13,0),IFERROR(VLOOKUP(A1246,'[2]UPDATE BILL 2018'!$E:$P,12,0),IFERROR(VLOOKUP(A1246,'[2]UPDATE BILL 2018'!$F:$P,11,0),IFERROR(VLOOKUP(A1246,'[2]UPDATE BILL 2018'!$G:$P,10,0),IFERROR(VLOOKUP(A1246,'[2]UPDATE BILL 2018'!$H:$P,9,0),IFERROR(VLOOKUP(A1246,'[2]UPDATE BILL 2018'!$I:$P,8,0),VLOOKUP(A1246,'[2]UPDATE BILL 2018'!$B:$P,15,0)))))))))</f>
        <v>EGLV237800224568</v>
      </c>
      <c r="AB1246" s="44">
        <f>IFERROR(VLOOKUP(A1246,'[2]UPDATE BILL 2018'!$B:$T,19,0),IFERROR(VLOOKUP(A1246,'[2]UPDATE BILL 2018'!$C:$T,18,0),IFERROR(VLOOKUP(A1246,'[2]UPDATE BILL 2018'!$D:$T,17,0),IFERROR(VLOOKUP(A1246,'[2]UPDATE BILL 2018'!$E:$T,16,0),IFERROR(VLOOKUP(A1246,'[2]UPDATE BILL 2018'!$F:$T,15,0),IFERROR(VLOOKUP(A1246,'[2]UPDATE BILL 2018'!$G:$T,14,0),IFERROR(VLOOKUP(A1246,'[2]UPDATE BILL 2018'!$H:$T,13,0),IFERROR(VLOOKUP(A1246,'[2]UPDATE BILL 2018'!$I:$T,12,0),VLOOKUP(A1246,'[2]UPDATE BILL 2018'!$B:$T,19,0)))))))))</f>
        <v>43316</v>
      </c>
      <c r="AC1246" s="44" t="str">
        <f>IFERROR(VLOOKUP(A1246,'[2]UPDATE BILL 2018'!$B:$V,21,0),IFERROR(VLOOKUP(A1246,'[2]UPDATE BILL 2018'!$C:$V,20,0),IFERROR(VLOOKUP(A1246,'[2]UPDATE BILL 2018'!$D:$V,19,0),IFERROR(VLOOKUP(A1246,'[2]UPDATE BILL 2018'!$E:$V,18,0),IFERROR(VLOOKUP(A1246,'[2]UPDATE BILL 2018'!$F:$V,17,0),IFERROR(VLOOKUP(A1246,'[2]UPDATE BILL 2018'!$G:$V,16,0),IFERROR(VLOOKUP(A1246,'[2]UPDATE BILL 2018'!$H:$V,15,0),IFERROR(VLOOKUP(A1246,'[2]UPDATE BILL 2018'!$I:$V,14,0),VLOOKUP(A1246,'[2]UPDATE BILL 2018'!$B:$V,21,0)))))))))</f>
        <v>UNI-ACCORD 0592-562N</v>
      </c>
      <c r="AD1246" s="14" t="s">
        <v>49</v>
      </c>
      <c r="AE1246" s="24" t="s">
        <v>2754</v>
      </c>
      <c r="AF1246" s="25" t="str">
        <f t="shared" si="83"/>
        <v>VZ</v>
      </c>
      <c r="AG1246" t="e">
        <f t="shared" si="79"/>
        <v>#REF!</v>
      </c>
      <c r="AI1246" s="58"/>
    </row>
    <row r="1247" spans="1:35" ht="15.75" customHeight="1">
      <c r="A1247" s="6" t="s">
        <v>2745</v>
      </c>
      <c r="D1247" s="7">
        <f t="shared" si="80"/>
        <v>0</v>
      </c>
      <c r="E1247" s="7">
        <v>0</v>
      </c>
      <c r="F1247" s="5">
        <v>0</v>
      </c>
      <c r="G1247" s="7">
        <v>0</v>
      </c>
      <c r="H1247" s="5">
        <v>0</v>
      </c>
      <c r="I1247" s="7">
        <v>0</v>
      </c>
      <c r="J1247" s="7">
        <v>0</v>
      </c>
      <c r="K1247" s="5">
        <v>0</v>
      </c>
      <c r="L1247" s="5">
        <v>0</v>
      </c>
      <c r="M1247" s="5">
        <v>0</v>
      </c>
      <c r="N1247" s="7">
        <f t="shared" si="81"/>
        <v>0</v>
      </c>
      <c r="O1247" s="7">
        <v>0</v>
      </c>
      <c r="P1247" s="7">
        <v>0</v>
      </c>
      <c r="Q1247" s="5">
        <v>0</v>
      </c>
      <c r="R1247" s="5">
        <v>187</v>
      </c>
      <c r="S1247" s="7">
        <v>27002.9</v>
      </c>
      <c r="T1247" s="12">
        <v>43313</v>
      </c>
      <c r="U1247" s="4">
        <v>2</v>
      </c>
      <c r="V1247" s="4">
        <v>9</v>
      </c>
      <c r="W1247" s="4">
        <v>9</v>
      </c>
      <c r="X1247" s="45">
        <f t="shared" si="82"/>
        <v>27002.9</v>
      </c>
      <c r="Y1247" s="14" t="s">
        <v>56</v>
      </c>
      <c r="Z1247" s="14" t="s">
        <v>59</v>
      </c>
      <c r="AA1247" s="14" t="str">
        <f>IFERROR(VLOOKUP(A1247,'[2]UPDATE BILL 2018'!$B:$P,15,0),IFERROR(VLOOKUP(A1247,'[2]UPDATE BILL 2018'!$C:$P,14,0),IFERROR(VLOOKUP(A1247,'[2]UPDATE BILL 2018'!$D:$P,13,0),IFERROR(VLOOKUP(A1247,'[2]UPDATE BILL 2018'!$E:$P,12,0),IFERROR(VLOOKUP(A1247,'[2]UPDATE BILL 2018'!$F:$P,11,0),IFERROR(VLOOKUP(A1247,'[2]UPDATE BILL 2018'!$G:$P,10,0),IFERROR(VLOOKUP(A1247,'[2]UPDATE BILL 2018'!$H:$P,9,0),IFERROR(VLOOKUP(A1247,'[2]UPDATE BILL 2018'!$I:$P,8,0),VLOOKUP(A1247,'[2]UPDATE BILL 2018'!$B:$P,15,0)))))))))</f>
        <v>1008X04265</v>
      </c>
      <c r="AB1247" s="44">
        <f>IFERROR(VLOOKUP(A1247,'[2]UPDATE BILL 2018'!$B:$T,19,0),IFERROR(VLOOKUP(A1247,'[2]UPDATE BILL 2018'!$C:$T,18,0),IFERROR(VLOOKUP(A1247,'[2]UPDATE BILL 2018'!$D:$T,17,0),IFERROR(VLOOKUP(A1247,'[2]UPDATE BILL 2018'!$E:$T,16,0),IFERROR(VLOOKUP(A1247,'[2]UPDATE BILL 2018'!$F:$T,15,0),IFERROR(VLOOKUP(A1247,'[2]UPDATE BILL 2018'!$G:$T,14,0),IFERROR(VLOOKUP(A1247,'[2]UPDATE BILL 2018'!$H:$T,13,0),IFERROR(VLOOKUP(A1247,'[2]UPDATE BILL 2018'!$I:$T,12,0),VLOOKUP(A1247,'[2]UPDATE BILL 2018'!$B:$T,19,0)))))))))</f>
        <v>43321</v>
      </c>
      <c r="AC1247" s="44" t="str">
        <f>IFERROR(VLOOKUP(A1247,'[2]UPDATE BILL 2018'!$B:$V,21,0),IFERROR(VLOOKUP(A1247,'[2]UPDATE BILL 2018'!$C:$V,20,0),IFERROR(VLOOKUP(A1247,'[2]UPDATE BILL 2018'!$D:$V,19,0),IFERROR(VLOOKUP(A1247,'[2]UPDATE BILL 2018'!$E:$V,18,0),IFERROR(VLOOKUP(A1247,'[2]UPDATE BILL 2018'!$F:$V,17,0),IFERROR(VLOOKUP(A1247,'[2]UPDATE BILL 2018'!$G:$V,16,0),IFERROR(VLOOKUP(A1247,'[2]UPDATE BILL 2018'!$H:$V,15,0),IFERROR(VLOOKUP(A1247,'[2]UPDATE BILL 2018'!$I:$V,14,0),VLOOKUP(A1247,'[2]UPDATE BILL 2018'!$B:$V,21,0)))))))))</f>
        <v>WAN HAI 171 S247</v>
      </c>
      <c r="AD1247" s="14" t="s">
        <v>49</v>
      </c>
      <c r="AE1247" s="24" t="s">
        <v>2755</v>
      </c>
      <c r="AF1247" s="25" t="s">
        <v>2172</v>
      </c>
      <c r="AG1247" t="e">
        <f t="shared" si="79"/>
        <v>#N/A</v>
      </c>
      <c r="AI1247" s="58"/>
    </row>
    <row r="1248" spans="1:35" ht="15.75" customHeight="1">
      <c r="A1248" s="6" t="s">
        <v>2746</v>
      </c>
      <c r="D1248" s="7">
        <f t="shared" si="80"/>
        <v>0</v>
      </c>
      <c r="E1248" s="7">
        <v>0</v>
      </c>
      <c r="F1248" s="5">
        <v>0</v>
      </c>
      <c r="G1248" s="7">
        <v>0</v>
      </c>
      <c r="H1248" s="5">
        <v>0</v>
      </c>
      <c r="I1248" s="7">
        <v>0</v>
      </c>
      <c r="J1248" s="7">
        <v>0</v>
      </c>
      <c r="K1248" s="5">
        <v>0</v>
      </c>
      <c r="L1248" s="5">
        <v>0</v>
      </c>
      <c r="M1248" s="5">
        <v>0</v>
      </c>
      <c r="N1248" s="7">
        <f t="shared" si="81"/>
        <v>0</v>
      </c>
      <c r="O1248" s="7">
        <v>0</v>
      </c>
      <c r="P1248" s="7">
        <v>0</v>
      </c>
      <c r="Q1248" s="5">
        <v>0</v>
      </c>
      <c r="R1248" s="5">
        <v>279</v>
      </c>
      <c r="S1248" s="7">
        <v>59294.400000000001</v>
      </c>
      <c r="T1248" s="12">
        <v>43313</v>
      </c>
      <c r="U1248" s="4">
        <v>3</v>
      </c>
      <c r="V1248" s="4">
        <v>9</v>
      </c>
      <c r="W1248" s="4">
        <v>9</v>
      </c>
      <c r="X1248" s="45">
        <f t="shared" si="82"/>
        <v>59294.400000000001</v>
      </c>
      <c r="Y1248" s="14" t="s">
        <v>56</v>
      </c>
      <c r="Z1248" s="14" t="s">
        <v>59</v>
      </c>
      <c r="AA1248" s="14" t="str">
        <f>IFERROR(VLOOKUP(A1248,'[2]UPDATE BILL 2018'!$B:$P,15,0),IFERROR(VLOOKUP(A1248,'[2]UPDATE BILL 2018'!$C:$P,14,0),IFERROR(VLOOKUP(A1248,'[2]UPDATE BILL 2018'!$D:$P,13,0),IFERROR(VLOOKUP(A1248,'[2]UPDATE BILL 2018'!$E:$P,12,0),IFERROR(VLOOKUP(A1248,'[2]UPDATE BILL 2018'!$F:$P,11,0),IFERROR(VLOOKUP(A1248,'[2]UPDATE BILL 2018'!$G:$P,10,0),IFERROR(VLOOKUP(A1248,'[2]UPDATE BILL 2018'!$H:$P,9,0),IFERROR(VLOOKUP(A1248,'[2]UPDATE BILL 2018'!$I:$P,8,0),VLOOKUP(A1248,'[2]UPDATE BILL 2018'!$B:$P,15,0)))))))))</f>
        <v>1008X04109</v>
      </c>
      <c r="AB1248" s="44">
        <f>IFERROR(VLOOKUP(A1248,'[2]UPDATE BILL 2018'!$B:$T,19,0),IFERROR(VLOOKUP(A1248,'[2]UPDATE BILL 2018'!$C:$T,18,0),IFERROR(VLOOKUP(A1248,'[2]UPDATE BILL 2018'!$D:$T,17,0),IFERROR(VLOOKUP(A1248,'[2]UPDATE BILL 2018'!$E:$T,16,0),IFERROR(VLOOKUP(A1248,'[2]UPDATE BILL 2018'!$F:$T,15,0),IFERROR(VLOOKUP(A1248,'[2]UPDATE BILL 2018'!$G:$T,14,0),IFERROR(VLOOKUP(A1248,'[2]UPDATE BILL 2018'!$H:$T,13,0),IFERROR(VLOOKUP(A1248,'[2]UPDATE BILL 2018'!$I:$T,12,0),VLOOKUP(A1248,'[2]UPDATE BILL 2018'!$B:$T,19,0)))))))))</f>
        <v>43320</v>
      </c>
      <c r="AC1248" s="44" t="str">
        <f>IFERROR(VLOOKUP(A1248,'[2]UPDATE BILL 2018'!$B:$V,21,0),IFERROR(VLOOKUP(A1248,'[2]UPDATE BILL 2018'!$C:$V,20,0),IFERROR(VLOOKUP(A1248,'[2]UPDATE BILL 2018'!$D:$V,19,0),IFERROR(VLOOKUP(A1248,'[2]UPDATE BILL 2018'!$E:$V,18,0),IFERROR(VLOOKUP(A1248,'[2]UPDATE BILL 2018'!$F:$V,17,0),IFERROR(VLOOKUP(A1248,'[2]UPDATE BILL 2018'!$G:$V,16,0),IFERROR(VLOOKUP(A1248,'[2]UPDATE BILL 2018'!$H:$V,15,0),IFERROR(VLOOKUP(A1248,'[2]UPDATE BILL 2018'!$I:$V,14,0),VLOOKUP(A1248,'[2]UPDATE BILL 2018'!$B:$V,21,0)))))))))</f>
        <v xml:space="preserve"> AS FRIDA N006</v>
      </c>
      <c r="AD1248" s="14" t="s">
        <v>51</v>
      </c>
      <c r="AE1248" s="24" t="s">
        <v>2756</v>
      </c>
      <c r="AF1248" s="25" t="s">
        <v>2150</v>
      </c>
      <c r="AG1248" t="e">
        <f t="shared" si="79"/>
        <v>#N/A</v>
      </c>
      <c r="AI1248" s="58"/>
    </row>
    <row r="1249" spans="1:35" ht="15.75" customHeight="1">
      <c r="A1249" s="6" t="s">
        <v>2747</v>
      </c>
      <c r="D1249" s="7">
        <f t="shared" si="80"/>
        <v>0</v>
      </c>
      <c r="E1249" s="7">
        <v>0</v>
      </c>
      <c r="F1249" s="5">
        <v>0</v>
      </c>
      <c r="G1249" s="7">
        <v>0</v>
      </c>
      <c r="H1249" s="5">
        <v>0</v>
      </c>
      <c r="I1249" s="7">
        <v>0</v>
      </c>
      <c r="J1249" s="7">
        <v>0</v>
      </c>
      <c r="K1249" s="5">
        <v>0</v>
      </c>
      <c r="L1249" s="5">
        <v>0</v>
      </c>
      <c r="M1249" s="5">
        <v>0</v>
      </c>
      <c r="N1249" s="7">
        <f t="shared" si="81"/>
        <v>0</v>
      </c>
      <c r="O1249" s="7">
        <v>0</v>
      </c>
      <c r="P1249" s="7">
        <v>0</v>
      </c>
      <c r="Q1249" s="5">
        <v>0</v>
      </c>
      <c r="R1249" s="5">
        <v>411</v>
      </c>
      <c r="S1249" s="7">
        <v>84765</v>
      </c>
      <c r="T1249" s="12">
        <v>43313</v>
      </c>
      <c r="U1249" s="4">
        <v>4</v>
      </c>
      <c r="V1249" s="4">
        <v>9</v>
      </c>
      <c r="W1249" s="4">
        <v>9</v>
      </c>
      <c r="X1249" s="45">
        <f t="shared" si="82"/>
        <v>84765</v>
      </c>
      <c r="Y1249" s="14" t="s">
        <v>54</v>
      </c>
      <c r="Z1249" s="14" t="s">
        <v>1355</v>
      </c>
      <c r="AA1249" s="14" t="str">
        <f>IFERROR(VLOOKUP(A1249,'[2]UPDATE BILL 2018'!$B:$P,15,0),IFERROR(VLOOKUP(A1249,'[2]UPDATE BILL 2018'!$C:$P,14,0),IFERROR(VLOOKUP(A1249,'[2]UPDATE BILL 2018'!$D:$P,13,0),IFERROR(VLOOKUP(A1249,'[2]UPDATE BILL 2018'!$E:$P,12,0),IFERROR(VLOOKUP(A1249,'[2]UPDATE BILL 2018'!$F:$P,11,0),IFERROR(VLOOKUP(A1249,'[2]UPDATE BILL 2018'!$G:$P,10,0),IFERROR(VLOOKUP(A1249,'[2]UPDATE BILL 2018'!$H:$P,9,0),IFERROR(VLOOKUP(A1249,'[2]UPDATE BILL 2018'!$I:$P,8,0),VLOOKUP(A1249,'[2]UPDATE BILL 2018'!$B:$P,15,0)))))))))</f>
        <v>SITWHPKW173447</v>
      </c>
      <c r="AB1249" s="44">
        <f>IFERROR(VLOOKUP(A1249,'[2]UPDATE BILL 2018'!$B:$T,19,0),IFERROR(VLOOKUP(A1249,'[2]UPDATE BILL 2018'!$C:$T,18,0),IFERROR(VLOOKUP(A1249,'[2]UPDATE BILL 2018'!$D:$T,17,0),IFERROR(VLOOKUP(A1249,'[2]UPDATE BILL 2018'!$E:$T,16,0),IFERROR(VLOOKUP(A1249,'[2]UPDATE BILL 2018'!$F:$T,15,0),IFERROR(VLOOKUP(A1249,'[2]UPDATE BILL 2018'!$G:$T,14,0),IFERROR(VLOOKUP(A1249,'[2]UPDATE BILL 2018'!$H:$T,13,0),IFERROR(VLOOKUP(A1249,'[2]UPDATE BILL 2018'!$I:$T,12,0),VLOOKUP(A1249,'[2]UPDATE BILL 2018'!$B:$T,19,0)))))))))</f>
        <v>43322</v>
      </c>
      <c r="AC1249" s="44" t="str">
        <f>IFERROR(VLOOKUP(A1249,'[2]UPDATE BILL 2018'!$B:$V,21,0),IFERROR(VLOOKUP(A1249,'[2]UPDATE BILL 2018'!$C:$V,20,0),IFERROR(VLOOKUP(A1249,'[2]UPDATE BILL 2018'!$D:$V,19,0),IFERROR(VLOOKUP(A1249,'[2]UPDATE BILL 2018'!$E:$V,18,0),IFERROR(VLOOKUP(A1249,'[2]UPDATE BILL 2018'!$F:$V,17,0),IFERROR(VLOOKUP(A1249,'[2]UPDATE BILL 2018'!$G:$V,16,0),IFERROR(VLOOKUP(A1249,'[2]UPDATE BILL 2018'!$H:$V,15,0),IFERROR(VLOOKUP(A1249,'[2]UPDATE BILL 2018'!$I:$V,14,0),VLOOKUP(A1249,'[2]UPDATE BILL 2018'!$B:$V,21,0)))))))))</f>
        <v xml:space="preserve">HYUNDAI HARMONY 1831N </v>
      </c>
      <c r="AD1249" s="14" t="s">
        <v>50</v>
      </c>
      <c r="AE1249" s="24" t="s">
        <v>2757</v>
      </c>
      <c r="AF1249" s="25" t="s">
        <v>2151</v>
      </c>
      <c r="AG1249" t="e">
        <f t="shared" si="79"/>
        <v>#N/A</v>
      </c>
      <c r="AI1249" s="58"/>
    </row>
    <row r="1250" spans="1:35" ht="15.75" customHeight="1">
      <c r="A1250" s="6" t="s">
        <v>3271</v>
      </c>
      <c r="B1250" s="5">
        <v>96</v>
      </c>
      <c r="C1250" s="7">
        <v>10650.6</v>
      </c>
      <c r="D1250" s="7">
        <f t="shared" si="80"/>
        <v>0</v>
      </c>
      <c r="E1250" s="7">
        <v>0</v>
      </c>
      <c r="F1250" s="5">
        <v>0</v>
      </c>
      <c r="G1250" s="7">
        <v>0</v>
      </c>
      <c r="H1250" s="5">
        <v>0</v>
      </c>
      <c r="I1250" s="7">
        <v>0</v>
      </c>
      <c r="J1250" s="7">
        <v>0</v>
      </c>
      <c r="K1250" s="5">
        <v>0</v>
      </c>
      <c r="L1250" s="5">
        <v>0</v>
      </c>
      <c r="M1250" s="5">
        <v>52</v>
      </c>
      <c r="N1250" s="7">
        <f t="shared" si="81"/>
        <v>52</v>
      </c>
      <c r="O1250" s="7">
        <v>8918.6</v>
      </c>
      <c r="P1250" s="7">
        <v>0</v>
      </c>
      <c r="Q1250" s="5">
        <v>0</v>
      </c>
      <c r="R1250" s="5">
        <v>0</v>
      </c>
      <c r="S1250" s="7">
        <v>0</v>
      </c>
      <c r="T1250" s="12">
        <v>43314</v>
      </c>
      <c r="U1250" s="4">
        <v>2</v>
      </c>
      <c r="V1250" s="4">
        <v>9</v>
      </c>
      <c r="W1250" s="4">
        <v>9</v>
      </c>
      <c r="X1250" s="45">
        <f t="shared" si="82"/>
        <v>19569.2</v>
      </c>
      <c r="Y1250" s="14" t="s">
        <v>1633</v>
      </c>
      <c r="Z1250" s="14" t="s">
        <v>1492</v>
      </c>
      <c r="AA1250" s="14" t="str">
        <f>IFERROR(VLOOKUP(A1250,'[2]UPDATE BILL 2018'!$B:$P,15,0),IFERROR(VLOOKUP(A1250,'[2]UPDATE BILL 2018'!$C:$P,14,0),IFERROR(VLOOKUP(A1250,'[2]UPDATE BILL 2018'!$D:$P,13,0),IFERROR(VLOOKUP(A1250,'[2]UPDATE BILL 2018'!$E:$P,12,0),IFERROR(VLOOKUP(A1250,'[2]UPDATE BILL 2018'!$F:$P,11,0),IFERROR(VLOOKUP(A1250,'[2]UPDATE BILL 2018'!$G:$P,10,0),IFERROR(VLOOKUP(A1250,'[2]UPDATE BILL 2018'!$H:$P,9,0),IFERROR(VLOOKUP(A1250,'[2]UPDATE BILL 2018'!$I:$P,8,0),VLOOKUP(A1250,'[2]UPDATE BILL 2018'!$B:$P,15,0)))))))))</f>
        <v>KMTCHPH0574076</v>
      </c>
      <c r="AB1250" s="44">
        <f>IFERROR(VLOOKUP(A1250,'[2]UPDATE BILL 2018'!$B:$T,19,0),IFERROR(VLOOKUP(A1250,'[2]UPDATE BILL 2018'!$C:$T,18,0),IFERROR(VLOOKUP(A1250,'[2]UPDATE BILL 2018'!$D:$T,17,0),IFERROR(VLOOKUP(A1250,'[2]UPDATE BILL 2018'!$E:$T,16,0),IFERROR(VLOOKUP(A1250,'[2]UPDATE BILL 2018'!$F:$T,15,0),IFERROR(VLOOKUP(A1250,'[2]UPDATE BILL 2018'!$G:$T,14,0),IFERROR(VLOOKUP(A1250,'[2]UPDATE BILL 2018'!$H:$T,13,0),IFERROR(VLOOKUP(A1250,'[2]UPDATE BILL 2018'!$I:$T,12,0),VLOOKUP(A1250,'[2]UPDATE BILL 2018'!$B:$T,19,0)))))))))</f>
        <v>43321</v>
      </c>
      <c r="AC1250" s="44" t="str">
        <f>IFERROR(VLOOKUP(A1250,'[2]UPDATE BILL 2018'!$B:$V,21,0),IFERROR(VLOOKUP(A1250,'[2]UPDATE BILL 2018'!$C:$V,20,0),IFERROR(VLOOKUP(A1250,'[2]UPDATE BILL 2018'!$D:$V,19,0),IFERROR(VLOOKUP(A1250,'[2]UPDATE BILL 2018'!$E:$V,18,0),IFERROR(VLOOKUP(A1250,'[2]UPDATE BILL 2018'!$F:$V,17,0),IFERROR(VLOOKUP(A1250,'[2]UPDATE BILL 2018'!$G:$V,16,0),IFERROR(VLOOKUP(A1250,'[2]UPDATE BILL 2018'!$H:$V,15,0),IFERROR(VLOOKUP(A1250,'[2]UPDATE BILL 2018'!$I:$V,14,0),VLOOKUP(A1250,'[2]UPDATE BILL 2018'!$B:$V,21,0)))))))))</f>
        <v>SUNNY CALLA 1814N</v>
      </c>
      <c r="AD1250" s="14" t="s">
        <v>70</v>
      </c>
      <c r="AE1250" s="24" t="s">
        <v>3282</v>
      </c>
      <c r="AF1250" s="25" t="str">
        <f t="shared" si="83"/>
        <v>VH</v>
      </c>
      <c r="AG1250" t="e">
        <f t="shared" si="79"/>
        <v>#REF!</v>
      </c>
      <c r="AI1250" s="58"/>
    </row>
    <row r="1251" spans="1:35" ht="15.75" customHeight="1">
      <c r="A1251" s="6" t="s">
        <v>3272</v>
      </c>
      <c r="B1251" s="5">
        <v>1</v>
      </c>
      <c r="C1251" s="7">
        <v>20</v>
      </c>
      <c r="D1251" s="7">
        <f t="shared" si="80"/>
        <v>0</v>
      </c>
      <c r="E1251" s="7">
        <v>0</v>
      </c>
      <c r="F1251" s="5">
        <v>0</v>
      </c>
      <c r="G1251" s="7">
        <v>0</v>
      </c>
      <c r="H1251" s="5">
        <v>230</v>
      </c>
      <c r="I1251" s="7">
        <v>25985.4</v>
      </c>
      <c r="J1251" s="7">
        <v>0</v>
      </c>
      <c r="K1251" s="5">
        <v>0</v>
      </c>
      <c r="L1251" s="5">
        <v>0</v>
      </c>
      <c r="M1251" s="5">
        <v>292</v>
      </c>
      <c r="N1251" s="7">
        <f t="shared" si="81"/>
        <v>292</v>
      </c>
      <c r="O1251" s="7">
        <v>13400.749999999998</v>
      </c>
      <c r="P1251" s="7">
        <v>0</v>
      </c>
      <c r="Q1251" s="5">
        <v>0</v>
      </c>
      <c r="R1251" s="5">
        <v>0</v>
      </c>
      <c r="S1251" s="7">
        <v>0</v>
      </c>
      <c r="T1251" s="12">
        <v>43314</v>
      </c>
      <c r="U1251" s="4">
        <v>3</v>
      </c>
      <c r="V1251" s="4">
        <v>9</v>
      </c>
      <c r="W1251" s="4">
        <v>9</v>
      </c>
      <c r="X1251" s="45">
        <f t="shared" si="82"/>
        <v>39406.15</v>
      </c>
      <c r="Y1251" s="14" t="s">
        <v>54</v>
      </c>
      <c r="Z1251" s="14" t="s">
        <v>1355</v>
      </c>
      <c r="AA1251" s="14" t="str">
        <f>IFERROR(VLOOKUP(A1251,'[2]UPDATE BILL 2018'!$B:$P,15,0),IFERROR(VLOOKUP(A1251,'[2]UPDATE BILL 2018'!$C:$P,14,0),IFERROR(VLOOKUP(A1251,'[2]UPDATE BILL 2018'!$D:$P,13,0),IFERROR(VLOOKUP(A1251,'[2]UPDATE BILL 2018'!$E:$P,12,0),IFERROR(VLOOKUP(A1251,'[2]UPDATE BILL 2018'!$F:$P,11,0),IFERROR(VLOOKUP(A1251,'[2]UPDATE BILL 2018'!$G:$P,10,0),IFERROR(VLOOKUP(A1251,'[2]UPDATE BILL 2018'!$H:$P,9,0),IFERROR(VLOOKUP(A1251,'[2]UPDATE BILL 2018'!$I:$P,8,0),VLOOKUP(A1251,'[2]UPDATE BILL 2018'!$B:$P,15,0)))))))))</f>
        <v>SITWHPTK173450</v>
      </c>
      <c r="AB1251" s="44">
        <f>IFERROR(VLOOKUP(A1251,'[2]UPDATE BILL 2018'!$B:$T,19,0),IFERROR(VLOOKUP(A1251,'[2]UPDATE BILL 2018'!$C:$T,18,0),IFERROR(VLOOKUP(A1251,'[2]UPDATE BILL 2018'!$D:$T,17,0),IFERROR(VLOOKUP(A1251,'[2]UPDATE BILL 2018'!$E:$T,16,0),IFERROR(VLOOKUP(A1251,'[2]UPDATE BILL 2018'!$F:$T,15,0),IFERROR(VLOOKUP(A1251,'[2]UPDATE BILL 2018'!$G:$T,14,0),IFERROR(VLOOKUP(A1251,'[2]UPDATE BILL 2018'!$H:$T,13,0),IFERROR(VLOOKUP(A1251,'[2]UPDATE BILL 2018'!$I:$T,12,0),VLOOKUP(A1251,'[2]UPDATE BILL 2018'!$B:$T,19,0)))))))))</f>
        <v>43322</v>
      </c>
      <c r="AC1251" s="44" t="str">
        <f>IFERROR(VLOOKUP(A1251,'[2]UPDATE BILL 2018'!$B:$V,21,0),IFERROR(VLOOKUP(A1251,'[2]UPDATE BILL 2018'!$C:$V,20,0),IFERROR(VLOOKUP(A1251,'[2]UPDATE BILL 2018'!$D:$V,19,0),IFERROR(VLOOKUP(A1251,'[2]UPDATE BILL 2018'!$E:$V,18,0),IFERROR(VLOOKUP(A1251,'[2]UPDATE BILL 2018'!$F:$V,17,0),IFERROR(VLOOKUP(A1251,'[2]UPDATE BILL 2018'!$G:$V,16,0),IFERROR(VLOOKUP(A1251,'[2]UPDATE BILL 2018'!$H:$V,15,0),IFERROR(VLOOKUP(A1251,'[2]UPDATE BILL 2018'!$I:$V,14,0),VLOOKUP(A1251,'[2]UPDATE BILL 2018'!$B:$V,21,0)))))))))</f>
        <v>HYUNDAI HARMONY 1831N</v>
      </c>
      <c r="AD1251" s="14" t="s">
        <v>49</v>
      </c>
      <c r="AE1251" s="24" t="s">
        <v>3283</v>
      </c>
      <c r="AF1251" s="25" t="str">
        <f t="shared" si="83"/>
        <v>VK</v>
      </c>
      <c r="AG1251" t="e">
        <f t="shared" si="79"/>
        <v>#REF!</v>
      </c>
      <c r="AI1251" s="58"/>
    </row>
    <row r="1252" spans="1:35" ht="15.75" customHeight="1">
      <c r="A1252" s="6" t="s">
        <v>3273</v>
      </c>
      <c r="D1252" s="7">
        <f t="shared" ref="D1252:D1263" si="84">E1252+F1252</f>
        <v>0</v>
      </c>
      <c r="E1252" s="7">
        <v>0</v>
      </c>
      <c r="F1252" s="5">
        <v>0</v>
      </c>
      <c r="G1252" s="7">
        <v>0</v>
      </c>
      <c r="H1252" s="5">
        <v>545</v>
      </c>
      <c r="I1252" s="7">
        <v>70842.799999999988</v>
      </c>
      <c r="J1252" s="7">
        <v>0</v>
      </c>
      <c r="K1252" s="5">
        <v>0</v>
      </c>
      <c r="L1252" s="5">
        <v>0</v>
      </c>
      <c r="M1252" s="5">
        <v>0</v>
      </c>
      <c r="N1252" s="7">
        <f t="shared" ref="N1252:N1263" si="85">M1252-K1252</f>
        <v>0</v>
      </c>
      <c r="O1252" s="7">
        <v>0</v>
      </c>
      <c r="P1252" s="7">
        <v>0</v>
      </c>
      <c r="Q1252" s="5">
        <v>0</v>
      </c>
      <c r="R1252" s="5">
        <v>0</v>
      </c>
      <c r="S1252" s="7">
        <v>0</v>
      </c>
      <c r="T1252" s="12">
        <v>43314</v>
      </c>
      <c r="U1252" s="4">
        <v>5</v>
      </c>
      <c r="V1252" s="4">
        <v>9</v>
      </c>
      <c r="W1252" s="4">
        <v>9</v>
      </c>
      <c r="X1252" s="45">
        <f t="shared" ref="X1252:X1263" si="86">+C1252+G1252+I1252+O1252+S1252</f>
        <v>70842.799999999988</v>
      </c>
      <c r="Y1252" s="14" t="s">
        <v>58</v>
      </c>
      <c r="Z1252" s="14" t="s">
        <v>1281</v>
      </c>
      <c r="AA1252" s="14" t="str">
        <f>IFERROR(VLOOKUP(A1252,'[2]UPDATE BILL 2018'!$B:$P,15,0),IFERROR(VLOOKUP(A1252,'[2]UPDATE BILL 2018'!$C:$P,14,0),IFERROR(VLOOKUP(A1252,'[2]UPDATE BILL 2018'!$D:$P,13,0),IFERROR(VLOOKUP(A1252,'[2]UPDATE BILL 2018'!$E:$P,12,0),IFERROR(VLOOKUP(A1252,'[2]UPDATE BILL 2018'!$F:$P,11,0),IFERROR(VLOOKUP(A1252,'[2]UPDATE BILL 2018'!$G:$P,10,0),IFERROR(VLOOKUP(A1252,'[2]UPDATE BILL 2018'!$H:$P,9,0),IFERROR(VLOOKUP(A1252,'[2]UPDATE BILL 2018'!$I:$P,8,0),VLOOKUP(A1252,'[2]UPDATE BILL 2018'!$B:$P,15,0)))))))))</f>
        <v>EGLV237800240440</v>
      </c>
      <c r="AB1252" s="44">
        <f>IFERROR(VLOOKUP(A1252,'[2]UPDATE BILL 2018'!$B:$T,19,0),IFERROR(VLOOKUP(A1252,'[2]UPDATE BILL 2018'!$C:$T,18,0),IFERROR(VLOOKUP(A1252,'[2]UPDATE BILL 2018'!$D:$T,17,0),IFERROR(VLOOKUP(A1252,'[2]UPDATE BILL 2018'!$E:$T,16,0),IFERROR(VLOOKUP(A1252,'[2]UPDATE BILL 2018'!$F:$T,15,0),IFERROR(VLOOKUP(A1252,'[2]UPDATE BILL 2018'!$G:$T,14,0),IFERROR(VLOOKUP(A1252,'[2]UPDATE BILL 2018'!$H:$T,13,0),IFERROR(VLOOKUP(A1252,'[2]UPDATE BILL 2018'!$I:$T,12,0),VLOOKUP(A1252,'[2]UPDATE BILL 2018'!$B:$T,19,0)))))))))</f>
        <v>43319</v>
      </c>
      <c r="AC1252" s="44" t="str">
        <f>IFERROR(VLOOKUP(A1252,'[2]UPDATE BILL 2018'!$B:$V,21,0),IFERROR(VLOOKUP(A1252,'[2]UPDATE BILL 2018'!$C:$V,20,0),IFERROR(VLOOKUP(A1252,'[2]UPDATE BILL 2018'!$D:$V,19,0),IFERROR(VLOOKUP(A1252,'[2]UPDATE BILL 2018'!$E:$V,18,0),IFERROR(VLOOKUP(A1252,'[2]UPDATE BILL 2018'!$F:$V,17,0),IFERROR(VLOOKUP(A1252,'[2]UPDATE BILL 2018'!$G:$V,16,0),IFERROR(VLOOKUP(A1252,'[2]UPDATE BILL 2018'!$H:$V,15,0),IFERROR(VLOOKUP(A1252,'[2]UPDATE BILL 2018'!$I:$V,14,0),VLOOKUP(A1252,'[2]UPDATE BILL 2018'!$B:$V,21,0)))))))))</f>
        <v>UNI-PREMIER 0593-258N</v>
      </c>
      <c r="AD1252" s="14" t="s">
        <v>49</v>
      </c>
      <c r="AE1252" s="24" t="s">
        <v>3284</v>
      </c>
      <c r="AF1252" s="25" t="str">
        <f t="shared" ref="AF1252:AF1263" si="87">+LEFT(AE1252,2)</f>
        <v>VK</v>
      </c>
      <c r="AG1252" t="e">
        <f t="shared" si="79"/>
        <v>#REF!</v>
      </c>
      <c r="AI1252" s="58"/>
    </row>
    <row r="1253" spans="1:35" ht="15.75" customHeight="1">
      <c r="A1253" s="6" t="s">
        <v>3274</v>
      </c>
      <c r="B1253" s="5">
        <v>19</v>
      </c>
      <c r="C1253" s="7">
        <v>2171.8000000000002</v>
      </c>
      <c r="D1253" s="7">
        <f t="shared" si="84"/>
        <v>0</v>
      </c>
      <c r="E1253" s="7">
        <v>0</v>
      </c>
      <c r="F1253" s="5">
        <v>0</v>
      </c>
      <c r="G1253" s="7">
        <v>0</v>
      </c>
      <c r="H1253" s="5">
        <v>50</v>
      </c>
      <c r="I1253" s="7">
        <v>5758.2000000000007</v>
      </c>
      <c r="J1253" s="7">
        <v>0</v>
      </c>
      <c r="K1253" s="5">
        <v>0</v>
      </c>
      <c r="L1253" s="5">
        <v>0</v>
      </c>
      <c r="M1253" s="5">
        <v>18</v>
      </c>
      <c r="N1253" s="7">
        <f t="shared" si="85"/>
        <v>18</v>
      </c>
      <c r="O1253" s="7">
        <v>2875</v>
      </c>
      <c r="P1253" s="7">
        <v>0</v>
      </c>
      <c r="Q1253" s="5">
        <v>0</v>
      </c>
      <c r="R1253" s="5">
        <v>0</v>
      </c>
      <c r="S1253" s="7">
        <v>0</v>
      </c>
      <c r="T1253" s="12">
        <v>43314</v>
      </c>
      <c r="U1253" s="4">
        <v>1</v>
      </c>
      <c r="V1253" s="4">
        <v>9</v>
      </c>
      <c r="W1253" s="4">
        <v>9</v>
      </c>
      <c r="X1253" s="45">
        <f t="shared" si="86"/>
        <v>10805</v>
      </c>
      <c r="Y1253" s="14" t="s">
        <v>54</v>
      </c>
      <c r="Z1253" s="14" t="s">
        <v>59</v>
      </c>
      <c r="AA1253" s="14" t="str">
        <f>IFERROR(VLOOKUP(A1253,'[2]UPDATE BILL 2018'!$B:$P,15,0),IFERROR(VLOOKUP(A1253,'[2]UPDATE BILL 2018'!$C:$P,14,0),IFERROR(VLOOKUP(A1253,'[2]UPDATE BILL 2018'!$D:$P,13,0),IFERROR(VLOOKUP(A1253,'[2]UPDATE BILL 2018'!$E:$P,12,0),IFERROR(VLOOKUP(A1253,'[2]UPDATE BILL 2018'!$F:$P,11,0),IFERROR(VLOOKUP(A1253,'[2]UPDATE BILL 2018'!$G:$P,10,0),IFERROR(VLOOKUP(A1253,'[2]UPDATE BILL 2018'!$H:$P,9,0),IFERROR(VLOOKUP(A1253,'[2]UPDATE BILL 2018'!$I:$P,8,0),VLOOKUP(A1253,'[2]UPDATE BILL 2018'!$B:$P,15,0)))))))))</f>
        <v>SITWHPTK173450</v>
      </c>
      <c r="AB1253" s="44">
        <f>IFERROR(VLOOKUP(A1253,'[2]UPDATE BILL 2018'!$B:$T,19,0),IFERROR(VLOOKUP(A1253,'[2]UPDATE BILL 2018'!$C:$T,18,0),IFERROR(VLOOKUP(A1253,'[2]UPDATE BILL 2018'!$D:$T,17,0),IFERROR(VLOOKUP(A1253,'[2]UPDATE BILL 2018'!$E:$T,16,0),IFERROR(VLOOKUP(A1253,'[2]UPDATE BILL 2018'!$F:$T,15,0),IFERROR(VLOOKUP(A1253,'[2]UPDATE BILL 2018'!$G:$T,14,0),IFERROR(VLOOKUP(A1253,'[2]UPDATE BILL 2018'!$H:$T,13,0),IFERROR(VLOOKUP(A1253,'[2]UPDATE BILL 2018'!$I:$T,12,0),VLOOKUP(A1253,'[2]UPDATE BILL 2018'!$B:$T,19,0)))))))))</f>
        <v>43322</v>
      </c>
      <c r="AC1253" s="44" t="str">
        <f>IFERROR(VLOOKUP(A1253,'[2]UPDATE BILL 2018'!$B:$V,21,0),IFERROR(VLOOKUP(A1253,'[2]UPDATE BILL 2018'!$C:$V,20,0),IFERROR(VLOOKUP(A1253,'[2]UPDATE BILL 2018'!$D:$V,19,0),IFERROR(VLOOKUP(A1253,'[2]UPDATE BILL 2018'!$E:$V,18,0),IFERROR(VLOOKUP(A1253,'[2]UPDATE BILL 2018'!$F:$V,17,0),IFERROR(VLOOKUP(A1253,'[2]UPDATE BILL 2018'!$G:$V,16,0),IFERROR(VLOOKUP(A1253,'[2]UPDATE BILL 2018'!$H:$V,15,0),IFERROR(VLOOKUP(A1253,'[2]UPDATE BILL 2018'!$I:$V,14,0),VLOOKUP(A1253,'[2]UPDATE BILL 2018'!$B:$V,21,0)))))))))</f>
        <v>HYUNDAI HARMONY 1831N</v>
      </c>
      <c r="AD1253" s="14" t="s">
        <v>49</v>
      </c>
      <c r="AE1253" s="24" t="s">
        <v>3285</v>
      </c>
      <c r="AF1253" s="25" t="str">
        <f t="shared" si="87"/>
        <v>VN</v>
      </c>
      <c r="AG1253" t="e">
        <f t="shared" si="79"/>
        <v>#REF!</v>
      </c>
      <c r="AI1253" s="58"/>
    </row>
    <row r="1254" spans="1:35" ht="15.75" customHeight="1">
      <c r="A1254" s="6" t="s">
        <v>3275</v>
      </c>
      <c r="B1254" s="5">
        <v>181</v>
      </c>
      <c r="C1254" s="7">
        <v>22610.800000000003</v>
      </c>
      <c r="D1254" s="7">
        <f t="shared" si="84"/>
        <v>0</v>
      </c>
      <c r="E1254" s="7">
        <v>0</v>
      </c>
      <c r="F1254" s="5">
        <v>0</v>
      </c>
      <c r="G1254" s="7">
        <v>0</v>
      </c>
      <c r="H1254" s="5">
        <v>95</v>
      </c>
      <c r="I1254" s="7">
        <v>12156.2</v>
      </c>
      <c r="J1254" s="7">
        <v>0</v>
      </c>
      <c r="K1254" s="5">
        <v>0</v>
      </c>
      <c r="L1254" s="5">
        <v>0</v>
      </c>
      <c r="M1254" s="5">
        <v>95</v>
      </c>
      <c r="N1254" s="7">
        <f t="shared" si="85"/>
        <v>95</v>
      </c>
      <c r="O1254" s="7">
        <v>16750.599999999999</v>
      </c>
      <c r="P1254" s="7">
        <v>0</v>
      </c>
      <c r="Q1254" s="5">
        <v>0</v>
      </c>
      <c r="R1254" s="5">
        <v>0</v>
      </c>
      <c r="S1254" s="7">
        <v>0</v>
      </c>
      <c r="T1254" s="12">
        <v>43314</v>
      </c>
      <c r="U1254" s="4">
        <v>5</v>
      </c>
      <c r="V1254" s="4">
        <v>9</v>
      </c>
      <c r="W1254" s="4">
        <v>9</v>
      </c>
      <c r="X1254" s="45">
        <f t="shared" si="86"/>
        <v>51517.599999999999</v>
      </c>
      <c r="Y1254" s="14" t="s">
        <v>58</v>
      </c>
      <c r="Z1254" s="14" t="s">
        <v>1492</v>
      </c>
      <c r="AA1254" s="14" t="str">
        <f>IFERROR(VLOOKUP(A1254,'[2]UPDATE BILL 2018'!$B:$P,15,0),IFERROR(VLOOKUP(A1254,'[2]UPDATE BILL 2018'!$C:$P,14,0),IFERROR(VLOOKUP(A1254,'[2]UPDATE BILL 2018'!$D:$P,13,0),IFERROR(VLOOKUP(A1254,'[2]UPDATE BILL 2018'!$E:$P,12,0),IFERROR(VLOOKUP(A1254,'[2]UPDATE BILL 2018'!$F:$P,11,0),IFERROR(VLOOKUP(A1254,'[2]UPDATE BILL 2018'!$G:$P,10,0),IFERROR(VLOOKUP(A1254,'[2]UPDATE BILL 2018'!$H:$P,9,0),IFERROR(VLOOKUP(A1254,'[2]UPDATE BILL 2018'!$I:$P,8,0),VLOOKUP(A1254,'[2]UPDATE BILL 2018'!$B:$P,15,0)))))))))</f>
        <v>EGLV237800240440</v>
      </c>
      <c r="AB1254" s="44">
        <f>IFERROR(VLOOKUP(A1254,'[2]UPDATE BILL 2018'!$B:$T,19,0),IFERROR(VLOOKUP(A1254,'[2]UPDATE BILL 2018'!$C:$T,18,0),IFERROR(VLOOKUP(A1254,'[2]UPDATE BILL 2018'!$D:$T,17,0),IFERROR(VLOOKUP(A1254,'[2]UPDATE BILL 2018'!$E:$T,16,0),IFERROR(VLOOKUP(A1254,'[2]UPDATE BILL 2018'!$F:$T,15,0),IFERROR(VLOOKUP(A1254,'[2]UPDATE BILL 2018'!$G:$T,14,0),IFERROR(VLOOKUP(A1254,'[2]UPDATE BILL 2018'!$H:$T,13,0),IFERROR(VLOOKUP(A1254,'[2]UPDATE BILL 2018'!$I:$T,12,0),VLOOKUP(A1254,'[2]UPDATE BILL 2018'!$B:$T,19,0)))))))))</f>
        <v>43319</v>
      </c>
      <c r="AC1254" s="44" t="str">
        <f>IFERROR(VLOOKUP(A1254,'[2]UPDATE BILL 2018'!$B:$V,21,0),IFERROR(VLOOKUP(A1254,'[2]UPDATE BILL 2018'!$C:$V,20,0),IFERROR(VLOOKUP(A1254,'[2]UPDATE BILL 2018'!$D:$V,19,0),IFERROR(VLOOKUP(A1254,'[2]UPDATE BILL 2018'!$E:$V,18,0),IFERROR(VLOOKUP(A1254,'[2]UPDATE BILL 2018'!$F:$V,17,0),IFERROR(VLOOKUP(A1254,'[2]UPDATE BILL 2018'!$G:$V,16,0),IFERROR(VLOOKUP(A1254,'[2]UPDATE BILL 2018'!$H:$V,15,0),IFERROR(VLOOKUP(A1254,'[2]UPDATE BILL 2018'!$I:$V,14,0),VLOOKUP(A1254,'[2]UPDATE BILL 2018'!$B:$V,21,0)))))))))</f>
        <v>UNI-PREMIER 0593-258N</v>
      </c>
      <c r="AD1254" s="14" t="s">
        <v>49</v>
      </c>
      <c r="AE1254" s="24" t="s">
        <v>3286</v>
      </c>
      <c r="AF1254" s="25" t="str">
        <f t="shared" si="87"/>
        <v>VN</v>
      </c>
      <c r="AG1254" t="e">
        <f t="shared" si="79"/>
        <v>#REF!</v>
      </c>
      <c r="AI1254" s="58"/>
    </row>
    <row r="1255" spans="1:35" ht="15.75" customHeight="1">
      <c r="A1255" s="6" t="s">
        <v>3276</v>
      </c>
      <c r="D1255" s="7">
        <f t="shared" si="84"/>
        <v>0</v>
      </c>
      <c r="E1255" s="7">
        <v>0</v>
      </c>
      <c r="F1255" s="5">
        <v>0</v>
      </c>
      <c r="G1255" s="7">
        <v>0</v>
      </c>
      <c r="H1255" s="5">
        <v>151</v>
      </c>
      <c r="I1255" s="7">
        <v>12189.67</v>
      </c>
      <c r="J1255" s="7">
        <v>0</v>
      </c>
      <c r="K1255" s="5">
        <v>0</v>
      </c>
      <c r="L1255" s="5">
        <v>0</v>
      </c>
      <c r="M1255" s="5">
        <v>76</v>
      </c>
      <c r="N1255" s="7">
        <f t="shared" si="85"/>
        <v>76</v>
      </c>
      <c r="O1255" s="7">
        <v>9410.6</v>
      </c>
      <c r="P1255" s="7">
        <v>0</v>
      </c>
      <c r="Q1255" s="5">
        <v>0</v>
      </c>
      <c r="R1255" s="5">
        <v>21</v>
      </c>
      <c r="S1255" s="7">
        <v>1056.45</v>
      </c>
      <c r="T1255" s="12">
        <v>43314</v>
      </c>
      <c r="U1255" s="4">
        <v>2</v>
      </c>
      <c r="V1255" s="4">
        <v>9</v>
      </c>
      <c r="W1255" s="4">
        <v>9</v>
      </c>
      <c r="X1255" s="45">
        <f t="shared" si="86"/>
        <v>22656.720000000001</v>
      </c>
      <c r="Y1255" s="14" t="s">
        <v>54</v>
      </c>
      <c r="Z1255" s="14" t="s">
        <v>1281</v>
      </c>
      <c r="AA1255" s="14" t="str">
        <f>IFERROR(VLOOKUP(A1255,'[2]UPDATE BILL 2018'!$B:$P,15,0),IFERROR(VLOOKUP(A1255,'[2]UPDATE BILL 2018'!$C:$P,14,0),IFERROR(VLOOKUP(A1255,'[2]UPDATE BILL 2018'!$D:$P,13,0),IFERROR(VLOOKUP(A1255,'[2]UPDATE BILL 2018'!$E:$P,12,0),IFERROR(VLOOKUP(A1255,'[2]UPDATE BILL 2018'!$F:$P,11,0),IFERROR(VLOOKUP(A1255,'[2]UPDATE BILL 2018'!$G:$P,10,0),IFERROR(VLOOKUP(A1255,'[2]UPDATE BILL 2018'!$H:$P,9,0),IFERROR(VLOOKUP(A1255,'[2]UPDATE BILL 2018'!$I:$P,8,0),VLOOKUP(A1255,'[2]UPDATE BILL 2018'!$B:$P,15,0)))))))))</f>
        <v>SITWHPHT173452</v>
      </c>
      <c r="AB1255" s="44">
        <f>IFERROR(VLOOKUP(A1255,'[2]UPDATE BILL 2018'!$B:$T,19,0),IFERROR(VLOOKUP(A1255,'[2]UPDATE BILL 2018'!$C:$T,18,0),IFERROR(VLOOKUP(A1255,'[2]UPDATE BILL 2018'!$D:$T,17,0),IFERROR(VLOOKUP(A1255,'[2]UPDATE BILL 2018'!$E:$T,16,0),IFERROR(VLOOKUP(A1255,'[2]UPDATE BILL 2018'!$F:$T,15,0),IFERROR(VLOOKUP(A1255,'[2]UPDATE BILL 2018'!$G:$T,14,0),IFERROR(VLOOKUP(A1255,'[2]UPDATE BILL 2018'!$H:$T,13,0),IFERROR(VLOOKUP(A1255,'[2]UPDATE BILL 2018'!$I:$T,12,0),VLOOKUP(A1255,'[2]UPDATE BILL 2018'!$B:$T,19,0)))))))))</f>
        <v>43317</v>
      </c>
      <c r="AC1255" s="44" t="str">
        <f>IFERROR(VLOOKUP(A1255,'[2]UPDATE BILL 2018'!$B:$V,21,0),IFERROR(VLOOKUP(A1255,'[2]UPDATE BILL 2018'!$C:$V,20,0),IFERROR(VLOOKUP(A1255,'[2]UPDATE BILL 2018'!$D:$V,19,0),IFERROR(VLOOKUP(A1255,'[2]UPDATE BILL 2018'!$E:$V,18,0),IFERROR(VLOOKUP(A1255,'[2]UPDATE BILL 2018'!$F:$V,17,0),IFERROR(VLOOKUP(A1255,'[2]UPDATE BILL 2018'!$G:$V,16,0),IFERROR(VLOOKUP(A1255,'[2]UPDATE BILL 2018'!$H:$V,15,0),IFERROR(VLOOKUP(A1255,'[2]UPDATE BILL 2018'!$I:$V,14,0),VLOOKUP(A1255,'[2]UPDATE BILL 2018'!$B:$V,21,0)))))))))</f>
        <v>HANSE ENERGY 1821N</v>
      </c>
      <c r="AD1255" s="14" t="s">
        <v>52</v>
      </c>
      <c r="AE1255" s="24" t="s">
        <v>3287</v>
      </c>
      <c r="AF1255" s="25" t="str">
        <f t="shared" si="87"/>
        <v>VQ</v>
      </c>
      <c r="AG1255" t="e">
        <f t="shared" si="79"/>
        <v>#REF!</v>
      </c>
      <c r="AI1255" s="58"/>
    </row>
    <row r="1256" spans="1:35" ht="15.75" customHeight="1">
      <c r="A1256" s="6" t="s">
        <v>3277</v>
      </c>
      <c r="B1256" s="5">
        <v>186</v>
      </c>
      <c r="C1256" s="7">
        <v>14737.5</v>
      </c>
      <c r="D1256" s="7">
        <f t="shared" si="84"/>
        <v>0</v>
      </c>
      <c r="E1256" s="7">
        <v>0</v>
      </c>
      <c r="F1256" s="5">
        <v>0</v>
      </c>
      <c r="G1256" s="7">
        <v>0</v>
      </c>
      <c r="H1256" s="5">
        <v>95</v>
      </c>
      <c r="I1256" s="7">
        <v>12156.2</v>
      </c>
      <c r="J1256" s="7">
        <v>0</v>
      </c>
      <c r="K1256" s="5">
        <v>0</v>
      </c>
      <c r="L1256" s="5">
        <v>0</v>
      </c>
      <c r="M1256" s="5">
        <v>0</v>
      </c>
      <c r="N1256" s="7">
        <f t="shared" si="85"/>
        <v>0</v>
      </c>
      <c r="O1256" s="7">
        <v>0</v>
      </c>
      <c r="P1256" s="7">
        <v>0</v>
      </c>
      <c r="Q1256" s="5">
        <v>0</v>
      </c>
      <c r="R1256" s="5">
        <v>0</v>
      </c>
      <c r="S1256" s="7">
        <v>0</v>
      </c>
      <c r="T1256" s="12">
        <v>43314</v>
      </c>
      <c r="U1256" s="4">
        <v>2</v>
      </c>
      <c r="V1256" s="4">
        <v>9</v>
      </c>
      <c r="W1256" s="4">
        <v>9</v>
      </c>
      <c r="X1256" s="45">
        <f t="shared" si="86"/>
        <v>26893.7</v>
      </c>
      <c r="Y1256" s="14" t="s">
        <v>54</v>
      </c>
      <c r="Z1256" s="14" t="s">
        <v>1281</v>
      </c>
      <c r="AA1256" s="14" t="str">
        <f>IFERROR(VLOOKUP(A1256,'[2]UPDATE BILL 2018'!$B:$P,15,0),IFERROR(VLOOKUP(A1256,'[2]UPDATE BILL 2018'!$C:$P,14,0),IFERROR(VLOOKUP(A1256,'[2]UPDATE BILL 2018'!$D:$P,13,0),IFERROR(VLOOKUP(A1256,'[2]UPDATE BILL 2018'!$E:$P,12,0),IFERROR(VLOOKUP(A1256,'[2]UPDATE BILL 2018'!$F:$P,11,0),IFERROR(VLOOKUP(A1256,'[2]UPDATE BILL 2018'!$G:$P,10,0),IFERROR(VLOOKUP(A1256,'[2]UPDATE BILL 2018'!$H:$P,9,0),IFERROR(VLOOKUP(A1256,'[2]UPDATE BILL 2018'!$I:$P,8,0),VLOOKUP(A1256,'[2]UPDATE BILL 2018'!$B:$P,15,0)))))))))</f>
        <v>SITWHPOS174211</v>
      </c>
      <c r="AB1256" s="44">
        <f>IFERROR(VLOOKUP(A1256,'[2]UPDATE BILL 2018'!$B:$T,19,0),IFERROR(VLOOKUP(A1256,'[2]UPDATE BILL 2018'!$C:$T,18,0),IFERROR(VLOOKUP(A1256,'[2]UPDATE BILL 2018'!$D:$T,17,0),IFERROR(VLOOKUP(A1256,'[2]UPDATE BILL 2018'!$E:$T,16,0),IFERROR(VLOOKUP(A1256,'[2]UPDATE BILL 2018'!$F:$T,15,0),IFERROR(VLOOKUP(A1256,'[2]UPDATE BILL 2018'!$G:$T,14,0),IFERROR(VLOOKUP(A1256,'[2]UPDATE BILL 2018'!$H:$T,13,0),IFERROR(VLOOKUP(A1256,'[2]UPDATE BILL 2018'!$I:$T,12,0),VLOOKUP(A1256,'[2]UPDATE BILL 2018'!$B:$T,19,0)))))))))</f>
        <v>43317</v>
      </c>
      <c r="AC1256" s="44" t="str">
        <f>IFERROR(VLOOKUP(A1256,'[2]UPDATE BILL 2018'!$B:$V,21,0),IFERROR(VLOOKUP(A1256,'[2]UPDATE BILL 2018'!$C:$V,20,0),IFERROR(VLOOKUP(A1256,'[2]UPDATE BILL 2018'!$D:$V,19,0),IFERROR(VLOOKUP(A1256,'[2]UPDATE BILL 2018'!$E:$V,18,0),IFERROR(VLOOKUP(A1256,'[2]UPDATE BILL 2018'!$F:$V,17,0),IFERROR(VLOOKUP(A1256,'[2]UPDATE BILL 2018'!$G:$V,16,0),IFERROR(VLOOKUP(A1256,'[2]UPDATE BILL 2018'!$H:$V,15,0),IFERROR(VLOOKUP(A1256,'[2]UPDATE BILL 2018'!$I:$V,14,0),VLOOKUP(A1256,'[2]UPDATE BILL 2018'!$B:$V,21,0)))))))))</f>
        <v>HANSE ENERGY 1821N</v>
      </c>
      <c r="AD1256" s="14" t="s">
        <v>51</v>
      </c>
      <c r="AE1256" s="24" t="s">
        <v>3288</v>
      </c>
      <c r="AF1256" s="25" t="str">
        <f t="shared" si="87"/>
        <v>VS</v>
      </c>
      <c r="AG1256" t="e">
        <f t="shared" ref="AG1256:AG1319" si="88">+VLOOKUP(AF1256,AH:AH,2,0)</f>
        <v>#REF!</v>
      </c>
      <c r="AI1256" s="58"/>
    </row>
    <row r="1257" spans="1:35" ht="15.75" customHeight="1">
      <c r="A1257" s="6" t="s">
        <v>3278</v>
      </c>
      <c r="B1257" s="5">
        <v>697</v>
      </c>
      <c r="C1257" s="7">
        <v>93379.599999999991</v>
      </c>
      <c r="D1257" s="7">
        <f t="shared" si="84"/>
        <v>0</v>
      </c>
      <c r="E1257" s="7">
        <v>0</v>
      </c>
      <c r="F1257" s="5">
        <v>0</v>
      </c>
      <c r="G1257" s="7">
        <v>0</v>
      </c>
      <c r="H1257" s="5">
        <v>118</v>
      </c>
      <c r="I1257" s="7">
        <v>15041.359999999999</v>
      </c>
      <c r="J1257" s="7">
        <v>0</v>
      </c>
      <c r="K1257" s="5">
        <v>0</v>
      </c>
      <c r="L1257" s="5">
        <v>0</v>
      </c>
      <c r="M1257" s="5">
        <v>90</v>
      </c>
      <c r="N1257" s="7">
        <f t="shared" si="85"/>
        <v>90</v>
      </c>
      <c r="O1257" s="7">
        <v>11568.9</v>
      </c>
      <c r="P1257" s="7">
        <v>0</v>
      </c>
      <c r="Q1257" s="5">
        <v>0</v>
      </c>
      <c r="R1257" s="5">
        <v>0</v>
      </c>
      <c r="S1257" s="7">
        <v>0</v>
      </c>
      <c r="T1257" s="12">
        <v>43314</v>
      </c>
      <c r="U1257" s="4">
        <v>10</v>
      </c>
      <c r="V1257" s="4">
        <v>9</v>
      </c>
      <c r="W1257" s="4">
        <v>9</v>
      </c>
      <c r="X1257" s="45">
        <f t="shared" si="86"/>
        <v>119989.85999999999</v>
      </c>
      <c r="Y1257" s="14" t="s">
        <v>56</v>
      </c>
      <c r="Z1257" s="14" t="s">
        <v>59</v>
      </c>
      <c r="AA1257" s="14" t="str">
        <f>IFERROR(VLOOKUP(A1257,'[2]UPDATE BILL 2018'!$B:$P,15,0),IFERROR(VLOOKUP(A1257,'[2]UPDATE BILL 2018'!$C:$P,14,0),IFERROR(VLOOKUP(A1257,'[2]UPDATE BILL 2018'!$D:$P,13,0),IFERROR(VLOOKUP(A1257,'[2]UPDATE BILL 2018'!$E:$P,12,0),IFERROR(VLOOKUP(A1257,'[2]UPDATE BILL 2018'!$F:$P,11,0),IFERROR(VLOOKUP(A1257,'[2]UPDATE BILL 2018'!$G:$P,10,0),IFERROR(VLOOKUP(A1257,'[2]UPDATE BILL 2018'!$H:$P,9,0),IFERROR(VLOOKUP(A1257,'[2]UPDATE BILL 2018'!$I:$P,8,0),VLOOKUP(A1257,'[2]UPDATE BILL 2018'!$B:$P,15,0)))))))))</f>
        <v>1008X04109</v>
      </c>
      <c r="AB1257" s="44">
        <f>IFERROR(VLOOKUP(A1257,'[2]UPDATE BILL 2018'!$B:$T,19,0),IFERROR(VLOOKUP(A1257,'[2]UPDATE BILL 2018'!$C:$T,18,0),IFERROR(VLOOKUP(A1257,'[2]UPDATE BILL 2018'!$D:$T,17,0),IFERROR(VLOOKUP(A1257,'[2]UPDATE BILL 2018'!$E:$T,16,0),IFERROR(VLOOKUP(A1257,'[2]UPDATE BILL 2018'!$F:$T,15,0),IFERROR(VLOOKUP(A1257,'[2]UPDATE BILL 2018'!$G:$T,14,0),IFERROR(VLOOKUP(A1257,'[2]UPDATE BILL 2018'!$H:$T,13,0),IFERROR(VLOOKUP(A1257,'[2]UPDATE BILL 2018'!$I:$T,12,0),VLOOKUP(A1257,'[2]UPDATE BILL 2018'!$B:$T,19,0)))))))))</f>
        <v>43320</v>
      </c>
      <c r="AC1257" s="44" t="str">
        <f>IFERROR(VLOOKUP(A1257,'[2]UPDATE BILL 2018'!$B:$V,21,0),IFERROR(VLOOKUP(A1257,'[2]UPDATE BILL 2018'!$C:$V,20,0),IFERROR(VLOOKUP(A1257,'[2]UPDATE BILL 2018'!$D:$V,19,0),IFERROR(VLOOKUP(A1257,'[2]UPDATE BILL 2018'!$E:$V,18,0),IFERROR(VLOOKUP(A1257,'[2]UPDATE BILL 2018'!$F:$V,17,0),IFERROR(VLOOKUP(A1257,'[2]UPDATE BILL 2018'!$G:$V,16,0),IFERROR(VLOOKUP(A1257,'[2]UPDATE BILL 2018'!$H:$V,15,0),IFERROR(VLOOKUP(A1257,'[2]UPDATE BILL 2018'!$I:$V,14,0),VLOOKUP(A1257,'[2]UPDATE BILL 2018'!$B:$V,21,0)))))))))</f>
        <v xml:space="preserve"> AS FRIDA N006</v>
      </c>
      <c r="AD1257" s="14" t="s">
        <v>51</v>
      </c>
      <c r="AE1257" s="24" t="s">
        <v>3289</v>
      </c>
      <c r="AF1257" s="25" t="str">
        <f t="shared" si="87"/>
        <v>VS</v>
      </c>
      <c r="AG1257" t="e">
        <f t="shared" si="88"/>
        <v>#REF!</v>
      </c>
      <c r="AI1257" s="58"/>
    </row>
    <row r="1258" spans="1:35" ht="15.75" customHeight="1">
      <c r="A1258" s="6" t="s">
        <v>3279</v>
      </c>
      <c r="B1258" s="5">
        <v>294</v>
      </c>
      <c r="C1258" s="7">
        <v>24319.84</v>
      </c>
      <c r="D1258" s="7">
        <f t="shared" si="84"/>
        <v>0</v>
      </c>
      <c r="E1258" s="7">
        <v>0</v>
      </c>
      <c r="F1258" s="5">
        <v>0</v>
      </c>
      <c r="G1258" s="7">
        <v>0</v>
      </c>
      <c r="H1258" s="5">
        <v>0</v>
      </c>
      <c r="I1258" s="7">
        <v>0</v>
      </c>
      <c r="J1258" s="7">
        <v>0</v>
      </c>
      <c r="K1258" s="5">
        <v>0</v>
      </c>
      <c r="L1258" s="5">
        <v>0</v>
      </c>
      <c r="M1258" s="5">
        <v>116</v>
      </c>
      <c r="N1258" s="7">
        <f t="shared" si="85"/>
        <v>116</v>
      </c>
      <c r="O1258" s="7">
        <v>20497.199999999997</v>
      </c>
      <c r="P1258" s="7">
        <v>0</v>
      </c>
      <c r="Q1258" s="5">
        <v>0</v>
      </c>
      <c r="R1258" s="5">
        <v>0</v>
      </c>
      <c r="S1258" s="7">
        <v>0</v>
      </c>
      <c r="T1258" s="12">
        <v>43314</v>
      </c>
      <c r="U1258" s="4">
        <v>4</v>
      </c>
      <c r="V1258" s="4">
        <v>9</v>
      </c>
      <c r="W1258" s="4">
        <v>9</v>
      </c>
      <c r="X1258" s="45">
        <f t="shared" si="86"/>
        <v>44817.039999999994</v>
      </c>
      <c r="Y1258" s="14" t="s">
        <v>54</v>
      </c>
      <c r="Z1258" s="14" t="s">
        <v>2525</v>
      </c>
      <c r="AA1258" s="14" t="str">
        <f>IFERROR(VLOOKUP(A1258,'[2]UPDATE BILL 2018'!$B:$P,15,0),IFERROR(VLOOKUP(A1258,'[2]UPDATE BILL 2018'!$C:$P,14,0),IFERROR(VLOOKUP(A1258,'[2]UPDATE BILL 2018'!$D:$P,13,0),IFERROR(VLOOKUP(A1258,'[2]UPDATE BILL 2018'!$E:$P,12,0),IFERROR(VLOOKUP(A1258,'[2]UPDATE BILL 2018'!$F:$P,11,0),IFERROR(VLOOKUP(A1258,'[2]UPDATE BILL 2018'!$G:$P,10,0),IFERROR(VLOOKUP(A1258,'[2]UPDATE BILL 2018'!$H:$P,9,0),IFERROR(VLOOKUP(A1258,'[2]UPDATE BILL 2018'!$I:$P,8,0),VLOOKUP(A1258,'[2]UPDATE BILL 2018'!$B:$P,15,0)))))))))</f>
        <v>SITWHPKW173447</v>
      </c>
      <c r="AB1258" s="44">
        <f>IFERROR(VLOOKUP(A1258,'[2]UPDATE BILL 2018'!$B:$T,19,0),IFERROR(VLOOKUP(A1258,'[2]UPDATE BILL 2018'!$C:$T,18,0),IFERROR(VLOOKUP(A1258,'[2]UPDATE BILL 2018'!$D:$T,17,0),IFERROR(VLOOKUP(A1258,'[2]UPDATE BILL 2018'!$E:$T,16,0),IFERROR(VLOOKUP(A1258,'[2]UPDATE BILL 2018'!$F:$T,15,0),IFERROR(VLOOKUP(A1258,'[2]UPDATE BILL 2018'!$G:$T,14,0),IFERROR(VLOOKUP(A1258,'[2]UPDATE BILL 2018'!$H:$T,13,0),IFERROR(VLOOKUP(A1258,'[2]UPDATE BILL 2018'!$I:$T,12,0),VLOOKUP(A1258,'[2]UPDATE BILL 2018'!$B:$T,19,0)))))))))</f>
        <v>43322</v>
      </c>
      <c r="AC1258" s="44" t="str">
        <f>IFERROR(VLOOKUP(A1258,'[2]UPDATE BILL 2018'!$B:$V,21,0),IFERROR(VLOOKUP(A1258,'[2]UPDATE BILL 2018'!$C:$V,20,0),IFERROR(VLOOKUP(A1258,'[2]UPDATE BILL 2018'!$D:$V,19,0),IFERROR(VLOOKUP(A1258,'[2]UPDATE BILL 2018'!$E:$V,18,0),IFERROR(VLOOKUP(A1258,'[2]UPDATE BILL 2018'!$F:$V,17,0),IFERROR(VLOOKUP(A1258,'[2]UPDATE BILL 2018'!$G:$V,16,0),IFERROR(VLOOKUP(A1258,'[2]UPDATE BILL 2018'!$H:$V,15,0),IFERROR(VLOOKUP(A1258,'[2]UPDATE BILL 2018'!$I:$V,14,0),VLOOKUP(A1258,'[2]UPDATE BILL 2018'!$B:$V,21,0)))))))))</f>
        <v xml:space="preserve">HYUNDAI HARMONY 1831N </v>
      </c>
      <c r="AD1258" s="14" t="s">
        <v>50</v>
      </c>
      <c r="AE1258" s="24" t="s">
        <v>3290</v>
      </c>
      <c r="AF1258" s="25" t="str">
        <f t="shared" si="87"/>
        <v>VW</v>
      </c>
      <c r="AG1258" t="e">
        <f t="shared" si="88"/>
        <v>#REF!</v>
      </c>
      <c r="AI1258" s="58"/>
    </row>
    <row r="1259" spans="1:35" ht="15.75" customHeight="1">
      <c r="A1259" s="6" t="s">
        <v>3280</v>
      </c>
      <c r="D1259" s="7">
        <f t="shared" si="84"/>
        <v>0</v>
      </c>
      <c r="E1259" s="7">
        <v>0</v>
      </c>
      <c r="F1259" s="5">
        <v>0</v>
      </c>
      <c r="G1259" s="7">
        <v>0</v>
      </c>
      <c r="H1259" s="5">
        <v>0</v>
      </c>
      <c r="I1259" s="7">
        <v>0</v>
      </c>
      <c r="J1259" s="7">
        <v>0</v>
      </c>
      <c r="K1259" s="5">
        <v>0</v>
      </c>
      <c r="L1259" s="5">
        <v>0</v>
      </c>
      <c r="M1259" s="5">
        <v>0</v>
      </c>
      <c r="N1259" s="7">
        <f t="shared" si="85"/>
        <v>0</v>
      </c>
      <c r="O1259" s="7">
        <v>0</v>
      </c>
      <c r="P1259" s="7">
        <v>0</v>
      </c>
      <c r="Q1259" s="5">
        <v>0</v>
      </c>
      <c r="R1259" s="5">
        <v>225</v>
      </c>
      <c r="S1259" s="7">
        <v>45291.5</v>
      </c>
      <c r="T1259" s="12">
        <v>43314</v>
      </c>
      <c r="U1259" s="4">
        <v>2</v>
      </c>
      <c r="V1259" s="4">
        <v>9</v>
      </c>
      <c r="W1259" s="4">
        <v>9</v>
      </c>
      <c r="X1259" s="45">
        <f t="shared" si="86"/>
        <v>45291.5</v>
      </c>
      <c r="Y1259" s="14" t="s">
        <v>56</v>
      </c>
      <c r="Z1259" s="14" t="s">
        <v>1355</v>
      </c>
      <c r="AA1259" s="14" t="str">
        <f>IFERROR(VLOOKUP(A1259,'[2]UPDATE BILL 2018'!$B:$P,15,0),IFERROR(VLOOKUP(A1259,'[2]UPDATE BILL 2018'!$C:$P,14,0),IFERROR(VLOOKUP(A1259,'[2]UPDATE BILL 2018'!$D:$P,13,0),IFERROR(VLOOKUP(A1259,'[2]UPDATE BILL 2018'!$E:$P,12,0),IFERROR(VLOOKUP(A1259,'[2]UPDATE BILL 2018'!$F:$P,11,0),IFERROR(VLOOKUP(A1259,'[2]UPDATE BILL 2018'!$G:$P,10,0),IFERROR(VLOOKUP(A1259,'[2]UPDATE BILL 2018'!$H:$P,9,0),IFERROR(VLOOKUP(A1259,'[2]UPDATE BILL 2018'!$I:$P,8,0),VLOOKUP(A1259,'[2]UPDATE BILL 2018'!$B:$P,15,0)))))))))</f>
        <v>1008X04306</v>
      </c>
      <c r="AB1259" s="44">
        <f>IFERROR(VLOOKUP(A1259,'[2]UPDATE BILL 2018'!$B:$T,19,0),IFERROR(VLOOKUP(A1259,'[2]UPDATE BILL 2018'!$C:$T,18,0),IFERROR(VLOOKUP(A1259,'[2]UPDATE BILL 2018'!$D:$T,17,0),IFERROR(VLOOKUP(A1259,'[2]UPDATE BILL 2018'!$E:$T,16,0),IFERROR(VLOOKUP(A1259,'[2]UPDATE BILL 2018'!$F:$T,15,0),IFERROR(VLOOKUP(A1259,'[2]UPDATE BILL 2018'!$G:$T,14,0),IFERROR(VLOOKUP(A1259,'[2]UPDATE BILL 2018'!$H:$T,13,0),IFERROR(VLOOKUP(A1259,'[2]UPDATE BILL 2018'!$I:$T,12,0),VLOOKUP(A1259,'[2]UPDATE BILL 2018'!$B:$T,19,0)))))))))</f>
        <v>43321</v>
      </c>
      <c r="AC1259" s="44" t="str">
        <f>IFERROR(VLOOKUP(A1259,'[2]UPDATE BILL 2018'!$B:$V,21,0),IFERROR(VLOOKUP(A1259,'[2]UPDATE BILL 2018'!$C:$V,20,0),IFERROR(VLOOKUP(A1259,'[2]UPDATE BILL 2018'!$D:$V,19,0),IFERROR(VLOOKUP(A1259,'[2]UPDATE BILL 2018'!$E:$V,18,0),IFERROR(VLOOKUP(A1259,'[2]UPDATE BILL 2018'!$F:$V,17,0),IFERROR(VLOOKUP(A1259,'[2]UPDATE BILL 2018'!$G:$V,16,0),IFERROR(VLOOKUP(A1259,'[2]UPDATE BILL 2018'!$H:$V,15,0),IFERROR(VLOOKUP(A1259,'[2]UPDATE BILL 2018'!$I:$V,14,0),VLOOKUP(A1259,'[2]UPDATE BILL 2018'!$B:$V,21,0)))))))))</f>
        <v>WAN HAI 213 N332</v>
      </c>
      <c r="AD1259" s="14" t="s">
        <v>52</v>
      </c>
      <c r="AE1259" s="24" t="s">
        <v>3291</v>
      </c>
      <c r="AF1259" s="25" t="s">
        <v>2173</v>
      </c>
      <c r="AG1259" t="e">
        <f t="shared" si="88"/>
        <v>#N/A</v>
      </c>
      <c r="AI1259" s="58"/>
    </row>
    <row r="1260" spans="1:35" ht="15.75" customHeight="1">
      <c r="A1260" s="6" t="s">
        <v>3281</v>
      </c>
      <c r="D1260" s="7">
        <f t="shared" si="84"/>
        <v>0</v>
      </c>
      <c r="E1260" s="7">
        <v>0</v>
      </c>
      <c r="F1260" s="5">
        <v>0</v>
      </c>
      <c r="G1260" s="7">
        <v>0</v>
      </c>
      <c r="H1260" s="5">
        <v>0</v>
      </c>
      <c r="I1260" s="7">
        <v>0</v>
      </c>
      <c r="J1260" s="7">
        <v>0</v>
      </c>
      <c r="K1260" s="5">
        <v>0</v>
      </c>
      <c r="L1260" s="5">
        <v>0</v>
      </c>
      <c r="M1260" s="5">
        <v>0</v>
      </c>
      <c r="N1260" s="7">
        <f t="shared" si="85"/>
        <v>0</v>
      </c>
      <c r="O1260" s="7">
        <v>0</v>
      </c>
      <c r="P1260" s="7">
        <v>0</v>
      </c>
      <c r="Q1260" s="5">
        <v>0</v>
      </c>
      <c r="R1260" s="5">
        <v>95</v>
      </c>
      <c r="S1260" s="7">
        <v>20520</v>
      </c>
      <c r="T1260" s="12">
        <v>43314</v>
      </c>
      <c r="U1260" s="4">
        <v>1</v>
      </c>
      <c r="V1260" s="4">
        <v>9</v>
      </c>
      <c r="W1260" s="4">
        <v>9</v>
      </c>
      <c r="X1260" s="45">
        <f t="shared" si="86"/>
        <v>20520</v>
      </c>
      <c r="Y1260" s="14" t="s">
        <v>54</v>
      </c>
      <c r="Z1260" s="14" t="s">
        <v>1281</v>
      </c>
      <c r="AA1260" s="14" t="str">
        <f>IFERROR(VLOOKUP(A1260,'[2]UPDATE BILL 2018'!$B:$P,15,0),IFERROR(VLOOKUP(A1260,'[2]UPDATE BILL 2018'!$C:$P,14,0),IFERROR(VLOOKUP(A1260,'[2]UPDATE BILL 2018'!$D:$P,13,0),IFERROR(VLOOKUP(A1260,'[2]UPDATE BILL 2018'!$E:$P,12,0),IFERROR(VLOOKUP(A1260,'[2]UPDATE BILL 2018'!$F:$P,11,0),IFERROR(VLOOKUP(A1260,'[2]UPDATE BILL 2018'!$G:$P,10,0),IFERROR(VLOOKUP(A1260,'[2]UPDATE BILL 2018'!$H:$P,9,0),IFERROR(VLOOKUP(A1260,'[2]UPDATE BILL 2018'!$I:$P,8,0),VLOOKUP(A1260,'[2]UPDATE BILL 2018'!$B:$P,15,0)))))))))</f>
        <v>SITWHPKW173446</v>
      </c>
      <c r="AB1260" s="44">
        <f>IFERROR(VLOOKUP(A1260,'[2]UPDATE BILL 2018'!$B:$T,19,0),IFERROR(VLOOKUP(A1260,'[2]UPDATE BILL 2018'!$C:$T,18,0),IFERROR(VLOOKUP(A1260,'[2]UPDATE BILL 2018'!$D:$T,17,0),IFERROR(VLOOKUP(A1260,'[2]UPDATE BILL 2018'!$E:$T,16,0),IFERROR(VLOOKUP(A1260,'[2]UPDATE BILL 2018'!$F:$T,15,0),IFERROR(VLOOKUP(A1260,'[2]UPDATE BILL 2018'!$G:$T,14,0),IFERROR(VLOOKUP(A1260,'[2]UPDATE BILL 2018'!$H:$T,13,0),IFERROR(VLOOKUP(A1260,'[2]UPDATE BILL 2018'!$I:$T,12,0),VLOOKUP(A1260,'[2]UPDATE BILL 2018'!$B:$T,19,0)))))))))</f>
        <v>43322</v>
      </c>
      <c r="AC1260" s="44" t="str">
        <f>IFERROR(VLOOKUP(A1260,'[2]UPDATE BILL 2018'!$B:$V,21,0),IFERROR(VLOOKUP(A1260,'[2]UPDATE BILL 2018'!$C:$V,20,0),IFERROR(VLOOKUP(A1260,'[2]UPDATE BILL 2018'!$D:$V,19,0),IFERROR(VLOOKUP(A1260,'[2]UPDATE BILL 2018'!$E:$V,18,0),IFERROR(VLOOKUP(A1260,'[2]UPDATE BILL 2018'!$F:$V,17,0),IFERROR(VLOOKUP(A1260,'[2]UPDATE BILL 2018'!$G:$V,16,0),IFERROR(VLOOKUP(A1260,'[2]UPDATE BILL 2018'!$H:$V,15,0),IFERROR(VLOOKUP(A1260,'[2]UPDATE BILL 2018'!$I:$V,14,0),VLOOKUP(A1260,'[2]UPDATE BILL 2018'!$B:$V,21,0)))))))))</f>
        <v>HYUNDAI HARMONY 1831N</v>
      </c>
      <c r="AD1260" s="14" t="s">
        <v>50</v>
      </c>
      <c r="AE1260" s="24" t="s">
        <v>3292</v>
      </c>
      <c r="AF1260" s="25" t="s">
        <v>2151</v>
      </c>
      <c r="AG1260" t="e">
        <f t="shared" si="88"/>
        <v>#N/A</v>
      </c>
      <c r="AI1260" s="58"/>
    </row>
    <row r="1261" spans="1:35" ht="15.75" customHeight="1">
      <c r="A1261" s="6" t="s">
        <v>3293</v>
      </c>
      <c r="B1261" s="5">
        <v>226</v>
      </c>
      <c r="C1261" s="7">
        <v>19937.25</v>
      </c>
      <c r="D1261" s="7">
        <f t="shared" si="84"/>
        <v>0</v>
      </c>
      <c r="E1261" s="7">
        <v>0</v>
      </c>
      <c r="F1261" s="5">
        <v>0</v>
      </c>
      <c r="G1261" s="7">
        <v>0</v>
      </c>
      <c r="H1261" s="5">
        <v>14</v>
      </c>
      <c r="I1261" s="7">
        <v>1880.9</v>
      </c>
      <c r="J1261" s="7">
        <v>0</v>
      </c>
      <c r="K1261" s="5">
        <v>0</v>
      </c>
      <c r="L1261" s="5">
        <v>0</v>
      </c>
      <c r="M1261" s="5">
        <v>0</v>
      </c>
      <c r="N1261" s="7">
        <f t="shared" si="85"/>
        <v>0</v>
      </c>
      <c r="O1261" s="7">
        <v>0</v>
      </c>
      <c r="P1261" s="7">
        <v>0</v>
      </c>
      <c r="Q1261" s="5">
        <v>0</v>
      </c>
      <c r="R1261" s="5">
        <v>43</v>
      </c>
      <c r="S1261" s="7">
        <v>6136.8000000000011</v>
      </c>
      <c r="T1261" s="12">
        <v>43315</v>
      </c>
      <c r="U1261" s="4">
        <v>2</v>
      </c>
      <c r="V1261" s="4">
        <v>9</v>
      </c>
      <c r="W1261" s="4">
        <v>9</v>
      </c>
      <c r="X1261" s="45">
        <f t="shared" si="86"/>
        <v>27954.950000000004</v>
      </c>
      <c r="Y1261" s="14" t="s">
        <v>1608</v>
      </c>
      <c r="Z1261" s="14" t="s">
        <v>1281</v>
      </c>
      <c r="AA1261" s="14" t="str">
        <f>IFERROR(VLOOKUP(A1261,'[2]UPDATE BILL 2018'!$B:$P,15,0),IFERROR(VLOOKUP(A1261,'[2]UPDATE BILL 2018'!$C:$P,14,0),IFERROR(VLOOKUP(A1261,'[2]UPDATE BILL 2018'!$D:$P,13,0),IFERROR(VLOOKUP(A1261,'[2]UPDATE BILL 2018'!$E:$P,12,0),IFERROR(VLOOKUP(A1261,'[2]UPDATE BILL 2018'!$F:$P,11,0),IFERROR(VLOOKUP(A1261,'[2]UPDATE BILL 2018'!$G:$P,10,0),IFERROR(VLOOKUP(A1261,'[2]UPDATE BILL 2018'!$H:$P,9,0),IFERROR(VLOOKUP(A1261,'[2]UPDATE BILL 2018'!$I:$P,8,0),VLOOKUP(A1261,'[2]UPDATE BILL 2018'!$B:$P,15,0)))))))))</f>
        <v>SNL8HPCL001287</v>
      </c>
      <c r="AB1261" s="44">
        <f>IFERROR(VLOOKUP(A1261,'[2]UPDATE BILL 2018'!$B:$T,19,0),IFERROR(VLOOKUP(A1261,'[2]UPDATE BILL 2018'!$C:$T,18,0),IFERROR(VLOOKUP(A1261,'[2]UPDATE BILL 2018'!$D:$T,17,0),IFERROR(VLOOKUP(A1261,'[2]UPDATE BILL 2018'!$E:$T,16,0),IFERROR(VLOOKUP(A1261,'[2]UPDATE BILL 2018'!$F:$T,15,0),IFERROR(VLOOKUP(A1261,'[2]UPDATE BILL 2018'!$G:$T,14,0),IFERROR(VLOOKUP(A1261,'[2]UPDATE BILL 2018'!$H:$T,13,0),IFERROR(VLOOKUP(A1261,'[2]UPDATE BILL 2018'!$I:$T,12,0),VLOOKUP(A1261,'[2]UPDATE BILL 2018'!$B:$T,19,0)))))))))</f>
        <v>43319</v>
      </c>
      <c r="AC1261" s="44" t="str">
        <f>IFERROR(VLOOKUP(A1261,'[2]UPDATE BILL 2018'!$B:$V,21,0),IFERROR(VLOOKUP(A1261,'[2]UPDATE BILL 2018'!$C:$V,20,0),IFERROR(VLOOKUP(A1261,'[2]UPDATE BILL 2018'!$D:$V,19,0),IFERROR(VLOOKUP(A1261,'[2]UPDATE BILL 2018'!$E:$V,18,0),IFERROR(VLOOKUP(A1261,'[2]UPDATE BILL 2018'!$F:$V,17,0),IFERROR(VLOOKUP(A1261,'[2]UPDATE BILL 2018'!$G:$V,16,0),IFERROR(VLOOKUP(A1261,'[2]UPDATE BILL 2018'!$H:$V,15,0),IFERROR(VLOOKUP(A1261,'[2]UPDATE BILL 2018'!$I:$V,14,0),VLOOKUP(A1261,'[2]UPDATE BILL 2018'!$B:$V,21,0)))))))))</f>
        <v>WISDOM GRACE 1829N</v>
      </c>
      <c r="AD1261" s="14" t="s">
        <v>1602</v>
      </c>
      <c r="AE1261" s="24" t="s">
        <v>3306</v>
      </c>
      <c r="AF1261" s="25" t="s">
        <v>1602</v>
      </c>
      <c r="AG1261" t="e">
        <f t="shared" si="88"/>
        <v>#N/A</v>
      </c>
      <c r="AI1261" s="58"/>
    </row>
    <row r="1262" spans="1:35" ht="15.75" customHeight="1">
      <c r="A1262" s="6" t="s">
        <v>3294</v>
      </c>
      <c r="B1262" s="5">
        <v>73</v>
      </c>
      <c r="C1262" s="7">
        <v>7353</v>
      </c>
      <c r="D1262" s="7">
        <f t="shared" si="84"/>
        <v>0</v>
      </c>
      <c r="E1262" s="7">
        <v>0</v>
      </c>
      <c r="F1262" s="5">
        <v>0</v>
      </c>
      <c r="G1262" s="7">
        <v>0</v>
      </c>
      <c r="H1262" s="5">
        <v>62</v>
      </c>
      <c r="I1262" s="7">
        <v>6404.2699999999995</v>
      </c>
      <c r="J1262" s="7">
        <v>0</v>
      </c>
      <c r="K1262" s="5">
        <v>0</v>
      </c>
      <c r="L1262" s="5">
        <v>0</v>
      </c>
      <c r="M1262" s="5">
        <v>88</v>
      </c>
      <c r="N1262" s="7">
        <f t="shared" si="85"/>
        <v>88</v>
      </c>
      <c r="O1262" s="7">
        <v>11234.900000000001</v>
      </c>
      <c r="P1262" s="7">
        <v>0</v>
      </c>
      <c r="Q1262" s="5">
        <v>0</v>
      </c>
      <c r="R1262" s="5">
        <v>0</v>
      </c>
      <c r="S1262" s="7">
        <v>0</v>
      </c>
      <c r="T1262" s="12">
        <v>43315</v>
      </c>
      <c r="U1262" s="4">
        <v>2</v>
      </c>
      <c r="V1262" s="4">
        <v>9</v>
      </c>
      <c r="W1262" s="4">
        <v>9</v>
      </c>
      <c r="X1262" s="45">
        <f t="shared" si="86"/>
        <v>24992.170000000002</v>
      </c>
      <c r="Y1262" s="14" t="s">
        <v>1633</v>
      </c>
      <c r="Z1262" s="14" t="s">
        <v>1492</v>
      </c>
      <c r="AA1262" s="14" t="str">
        <f>IFERROR(VLOOKUP(A1262,'[2]UPDATE BILL 2018'!$B:$P,15,0),IFERROR(VLOOKUP(A1262,'[2]UPDATE BILL 2018'!$C:$P,14,0),IFERROR(VLOOKUP(A1262,'[2]UPDATE BILL 2018'!$D:$P,13,0),IFERROR(VLOOKUP(A1262,'[2]UPDATE BILL 2018'!$E:$P,12,0),IFERROR(VLOOKUP(A1262,'[2]UPDATE BILL 2018'!$F:$P,11,0),IFERROR(VLOOKUP(A1262,'[2]UPDATE BILL 2018'!$G:$P,10,0),IFERROR(VLOOKUP(A1262,'[2]UPDATE BILL 2018'!$H:$P,9,0),IFERROR(VLOOKUP(A1262,'[2]UPDATE BILL 2018'!$I:$P,8,0),VLOOKUP(A1262,'[2]UPDATE BILL 2018'!$B:$P,15,0)))))))))</f>
        <v>KMTCHPH0564961</v>
      </c>
      <c r="AB1262" s="44">
        <f>IFERROR(VLOOKUP(A1262,'[2]UPDATE BILL 2018'!$B:$T,19,0),IFERROR(VLOOKUP(A1262,'[2]UPDATE BILL 2018'!$C:$T,18,0),IFERROR(VLOOKUP(A1262,'[2]UPDATE BILL 2018'!$D:$T,17,0),IFERROR(VLOOKUP(A1262,'[2]UPDATE BILL 2018'!$E:$T,16,0),IFERROR(VLOOKUP(A1262,'[2]UPDATE BILL 2018'!$F:$T,15,0),IFERROR(VLOOKUP(A1262,'[2]UPDATE BILL 2018'!$G:$T,14,0),IFERROR(VLOOKUP(A1262,'[2]UPDATE BILL 2018'!$H:$T,13,0),IFERROR(VLOOKUP(A1262,'[2]UPDATE BILL 2018'!$I:$T,12,0),VLOOKUP(A1262,'[2]UPDATE BILL 2018'!$B:$T,19,0)))))))))</f>
        <v>43317</v>
      </c>
      <c r="AC1262" s="44" t="str">
        <f>IFERROR(VLOOKUP(A1262,'[2]UPDATE BILL 2018'!$B:$V,21,0),IFERROR(VLOOKUP(A1262,'[2]UPDATE BILL 2018'!$C:$V,20,0),IFERROR(VLOOKUP(A1262,'[2]UPDATE BILL 2018'!$D:$V,19,0),IFERROR(VLOOKUP(A1262,'[2]UPDATE BILL 2018'!$E:$V,18,0),IFERROR(VLOOKUP(A1262,'[2]UPDATE BILL 2018'!$F:$V,17,0),IFERROR(VLOOKUP(A1262,'[2]UPDATE BILL 2018'!$G:$V,16,0),IFERROR(VLOOKUP(A1262,'[2]UPDATE BILL 2018'!$H:$V,15,0),IFERROR(VLOOKUP(A1262,'[2]UPDATE BILL 2018'!$I:$V,14,0),VLOOKUP(A1262,'[2]UPDATE BILL 2018'!$B:$V,21,0)))))))))</f>
        <v>SUNNY IRIS 1822N</v>
      </c>
      <c r="AD1262" s="14" t="s">
        <v>70</v>
      </c>
      <c r="AE1262" s="24" t="s">
        <v>3307</v>
      </c>
      <c r="AF1262" s="25" t="str">
        <f t="shared" si="87"/>
        <v>VH</v>
      </c>
      <c r="AG1262" t="e">
        <f t="shared" si="88"/>
        <v>#REF!</v>
      </c>
      <c r="AI1262" s="58"/>
    </row>
    <row r="1263" spans="1:35" ht="15.75" customHeight="1">
      <c r="A1263" s="6" t="s">
        <v>3295</v>
      </c>
      <c r="D1263" s="7">
        <f t="shared" si="84"/>
        <v>0</v>
      </c>
      <c r="E1263" s="7">
        <v>0</v>
      </c>
      <c r="F1263" s="5">
        <v>0</v>
      </c>
      <c r="G1263" s="7">
        <v>0</v>
      </c>
      <c r="H1263" s="5">
        <v>405</v>
      </c>
      <c r="I1263" s="7">
        <v>48635.100000000006</v>
      </c>
      <c r="J1263" s="7">
        <v>0</v>
      </c>
      <c r="K1263" s="5">
        <v>0</v>
      </c>
      <c r="L1263" s="5">
        <v>0</v>
      </c>
      <c r="M1263" s="5">
        <v>100</v>
      </c>
      <c r="N1263" s="7">
        <f t="shared" si="85"/>
        <v>100</v>
      </c>
      <c r="O1263" s="7">
        <v>10860</v>
      </c>
      <c r="P1263" s="7">
        <v>0</v>
      </c>
      <c r="Q1263" s="5">
        <v>0</v>
      </c>
      <c r="R1263" s="5">
        <v>0</v>
      </c>
      <c r="S1263" s="7">
        <v>0</v>
      </c>
      <c r="T1263" s="12">
        <v>43315</v>
      </c>
      <c r="U1263" s="4">
        <v>5</v>
      </c>
      <c r="V1263" s="4">
        <v>9</v>
      </c>
      <c r="W1263" s="4">
        <v>9</v>
      </c>
      <c r="X1263" s="45">
        <f t="shared" si="86"/>
        <v>59495.100000000006</v>
      </c>
      <c r="Y1263" s="14" t="s">
        <v>54</v>
      </c>
      <c r="Z1263" s="14" t="s">
        <v>1355</v>
      </c>
      <c r="AA1263" s="14" t="str">
        <f>IFERROR(VLOOKUP(A1263,'[2]UPDATE BILL 2018'!$B:$P,15,0),IFERROR(VLOOKUP(A1263,'[2]UPDATE BILL 2018'!$C:$P,14,0),IFERROR(VLOOKUP(A1263,'[2]UPDATE BILL 2018'!$D:$P,13,0),IFERROR(VLOOKUP(A1263,'[2]UPDATE BILL 2018'!$E:$P,12,0),IFERROR(VLOOKUP(A1263,'[2]UPDATE BILL 2018'!$F:$P,11,0),IFERROR(VLOOKUP(A1263,'[2]UPDATE BILL 2018'!$G:$P,10,0),IFERROR(VLOOKUP(A1263,'[2]UPDATE BILL 2018'!$H:$P,9,0),IFERROR(VLOOKUP(A1263,'[2]UPDATE BILL 2018'!$I:$P,8,0),VLOOKUP(A1263,'[2]UPDATE BILL 2018'!$B:$P,15,0)))))))))</f>
        <v>SITWHPTK173450</v>
      </c>
      <c r="AB1263" s="44">
        <f>IFERROR(VLOOKUP(A1263,'[2]UPDATE BILL 2018'!$B:$T,19,0),IFERROR(VLOOKUP(A1263,'[2]UPDATE BILL 2018'!$C:$T,18,0),IFERROR(VLOOKUP(A1263,'[2]UPDATE BILL 2018'!$D:$T,17,0),IFERROR(VLOOKUP(A1263,'[2]UPDATE BILL 2018'!$E:$T,16,0),IFERROR(VLOOKUP(A1263,'[2]UPDATE BILL 2018'!$F:$T,15,0),IFERROR(VLOOKUP(A1263,'[2]UPDATE BILL 2018'!$G:$T,14,0),IFERROR(VLOOKUP(A1263,'[2]UPDATE BILL 2018'!$H:$T,13,0),IFERROR(VLOOKUP(A1263,'[2]UPDATE BILL 2018'!$I:$T,12,0),VLOOKUP(A1263,'[2]UPDATE BILL 2018'!$B:$T,19,0)))))))))</f>
        <v>43322</v>
      </c>
      <c r="AC1263" s="44" t="str">
        <f>IFERROR(VLOOKUP(A1263,'[2]UPDATE BILL 2018'!$B:$V,21,0),IFERROR(VLOOKUP(A1263,'[2]UPDATE BILL 2018'!$C:$V,20,0),IFERROR(VLOOKUP(A1263,'[2]UPDATE BILL 2018'!$D:$V,19,0),IFERROR(VLOOKUP(A1263,'[2]UPDATE BILL 2018'!$E:$V,18,0),IFERROR(VLOOKUP(A1263,'[2]UPDATE BILL 2018'!$F:$V,17,0),IFERROR(VLOOKUP(A1263,'[2]UPDATE BILL 2018'!$G:$V,16,0),IFERROR(VLOOKUP(A1263,'[2]UPDATE BILL 2018'!$H:$V,15,0),IFERROR(VLOOKUP(A1263,'[2]UPDATE BILL 2018'!$I:$V,14,0),VLOOKUP(A1263,'[2]UPDATE BILL 2018'!$B:$V,21,0)))))))))</f>
        <v>HYUNDAI HARMONY 1831N</v>
      </c>
      <c r="AD1263" s="14" t="s">
        <v>49</v>
      </c>
      <c r="AE1263" s="24" t="s">
        <v>3308</v>
      </c>
      <c r="AF1263" s="25" t="str">
        <f t="shared" si="87"/>
        <v>VK</v>
      </c>
      <c r="AG1263" t="e">
        <f t="shared" si="88"/>
        <v>#REF!</v>
      </c>
      <c r="AI1263" s="58"/>
    </row>
    <row r="1264" spans="1:35" ht="15.75" customHeight="1">
      <c r="A1264" s="6" t="s">
        <v>3296</v>
      </c>
      <c r="D1264" s="7">
        <f t="shared" si="80"/>
        <v>0</v>
      </c>
      <c r="E1264" s="7">
        <v>0</v>
      </c>
      <c r="F1264" s="5">
        <v>0</v>
      </c>
      <c r="G1264" s="7">
        <v>0</v>
      </c>
      <c r="H1264" s="5">
        <v>210</v>
      </c>
      <c r="I1264" s="7">
        <v>25983.35</v>
      </c>
      <c r="J1264" s="7">
        <v>0</v>
      </c>
      <c r="K1264" s="5">
        <v>0</v>
      </c>
      <c r="L1264" s="5">
        <v>0</v>
      </c>
      <c r="M1264" s="5">
        <v>0</v>
      </c>
      <c r="N1264" s="7">
        <f t="shared" si="81"/>
        <v>0</v>
      </c>
      <c r="O1264" s="7">
        <v>0</v>
      </c>
      <c r="P1264" s="7">
        <v>0</v>
      </c>
      <c r="Q1264" s="5">
        <v>0</v>
      </c>
      <c r="R1264" s="5">
        <v>0</v>
      </c>
      <c r="S1264" s="7">
        <v>0</v>
      </c>
      <c r="T1264" s="12">
        <v>43315</v>
      </c>
      <c r="U1264" s="4">
        <v>2</v>
      </c>
      <c r="V1264" s="4">
        <v>9</v>
      </c>
      <c r="W1264" s="4">
        <v>9</v>
      </c>
      <c r="X1264" s="45">
        <f t="shared" si="82"/>
        <v>25983.35</v>
      </c>
      <c r="Y1264" s="14" t="s">
        <v>85</v>
      </c>
      <c r="Z1264" s="14" t="s">
        <v>1492</v>
      </c>
      <c r="AA1264" s="14">
        <f>IFERROR(VLOOKUP(A1264,'[2]UPDATE BILL 2018'!$B:$P,15,0),IFERROR(VLOOKUP(A1264,'[2]UPDATE BILL 2018'!$C:$P,14,0),IFERROR(VLOOKUP(A1264,'[2]UPDATE BILL 2018'!$D:$P,13,0),IFERROR(VLOOKUP(A1264,'[2]UPDATE BILL 2018'!$E:$P,12,0),IFERROR(VLOOKUP(A1264,'[2]UPDATE BILL 2018'!$F:$P,11,0),IFERROR(VLOOKUP(A1264,'[2]UPDATE BILL 2018'!$G:$P,10,0),IFERROR(VLOOKUP(A1264,'[2]UPDATE BILL 2018'!$H:$P,9,0),IFERROR(VLOOKUP(A1264,'[2]UPDATE BILL 2018'!$I:$P,8,0),VLOOKUP(A1264,'[2]UPDATE BILL 2018'!$B:$P,15,0)))))))))</f>
        <v>350810091171</v>
      </c>
      <c r="AB1264" s="44">
        <f>IFERROR(VLOOKUP(A1264,'[2]UPDATE BILL 2018'!$B:$T,19,0),IFERROR(VLOOKUP(A1264,'[2]UPDATE BILL 2018'!$C:$T,18,0),IFERROR(VLOOKUP(A1264,'[2]UPDATE BILL 2018'!$D:$T,17,0),IFERROR(VLOOKUP(A1264,'[2]UPDATE BILL 2018'!$E:$T,16,0),IFERROR(VLOOKUP(A1264,'[2]UPDATE BILL 2018'!$F:$T,15,0),IFERROR(VLOOKUP(A1264,'[2]UPDATE BILL 2018'!$G:$T,14,0),IFERROR(VLOOKUP(A1264,'[2]UPDATE BILL 2018'!$H:$T,13,0),IFERROR(VLOOKUP(A1264,'[2]UPDATE BILL 2018'!$I:$T,12,0),VLOOKUP(A1264,'[2]UPDATE BILL 2018'!$B:$T,19,0)))))))))</f>
        <v>43320</v>
      </c>
      <c r="AC1264" s="44" t="str">
        <f>IFERROR(VLOOKUP(A1264,'[2]UPDATE BILL 2018'!$B:$V,21,0),IFERROR(VLOOKUP(A1264,'[2]UPDATE BILL 2018'!$C:$V,20,0),IFERROR(VLOOKUP(A1264,'[2]UPDATE BILL 2018'!$D:$V,19,0),IFERROR(VLOOKUP(A1264,'[2]UPDATE BILL 2018'!$E:$V,18,0),IFERROR(VLOOKUP(A1264,'[2]UPDATE BILL 2018'!$F:$V,17,0),IFERROR(VLOOKUP(A1264,'[2]UPDATE BILL 2018'!$G:$V,16,0),IFERROR(VLOOKUP(A1264,'[2]UPDATE BILL 2018'!$H:$V,15,0),IFERROR(VLOOKUP(A1264,'[2]UPDATE BILL 2018'!$I:$V,14,0),VLOOKUP(A1264,'[2]UPDATE BILL 2018'!$B:$V,21,0)))))))))</f>
        <v>LANTAU BRIDGE 18004N</v>
      </c>
      <c r="AD1264" s="14" t="s">
        <v>49</v>
      </c>
      <c r="AE1264" s="24" t="s">
        <v>3309</v>
      </c>
      <c r="AF1264" s="25" t="str">
        <f t="shared" si="83"/>
        <v>VK</v>
      </c>
      <c r="AG1264" t="e">
        <f t="shared" si="88"/>
        <v>#REF!</v>
      </c>
      <c r="AI1264" s="58"/>
    </row>
    <row r="1265" spans="1:35" ht="15.75" customHeight="1">
      <c r="A1265" s="6" t="s">
        <v>3297</v>
      </c>
      <c r="B1265" s="5">
        <v>96</v>
      </c>
      <c r="C1265" s="7">
        <v>10151.999999999998</v>
      </c>
      <c r="D1265" s="7">
        <f t="shared" si="80"/>
        <v>0</v>
      </c>
      <c r="E1265" s="7">
        <v>0</v>
      </c>
      <c r="F1265" s="5">
        <v>0</v>
      </c>
      <c r="G1265" s="7">
        <v>0</v>
      </c>
      <c r="H1265" s="5">
        <v>36</v>
      </c>
      <c r="I1265" s="7">
        <v>4061.4999999999995</v>
      </c>
      <c r="J1265" s="7">
        <v>0</v>
      </c>
      <c r="K1265" s="5">
        <v>0</v>
      </c>
      <c r="L1265" s="5">
        <v>0</v>
      </c>
      <c r="M1265" s="5">
        <v>80</v>
      </c>
      <c r="N1265" s="7">
        <f t="shared" si="81"/>
        <v>80</v>
      </c>
      <c r="O1265" s="7">
        <v>9953.0000000000036</v>
      </c>
      <c r="P1265" s="7">
        <v>0</v>
      </c>
      <c r="Q1265" s="5">
        <v>0</v>
      </c>
      <c r="R1265" s="5">
        <v>0</v>
      </c>
      <c r="S1265" s="7">
        <v>0</v>
      </c>
      <c r="T1265" s="12">
        <v>43315</v>
      </c>
      <c r="U1265" s="4">
        <v>2</v>
      </c>
      <c r="V1265" s="4">
        <v>9</v>
      </c>
      <c r="W1265" s="4">
        <v>9</v>
      </c>
      <c r="X1265" s="45">
        <f t="shared" si="82"/>
        <v>24166.5</v>
      </c>
      <c r="Y1265" s="14" t="s">
        <v>54</v>
      </c>
      <c r="Z1265" s="14" t="s">
        <v>1281</v>
      </c>
      <c r="AA1265" s="14" t="str">
        <f>IFERROR(VLOOKUP(A1265,'[2]UPDATE BILL 2018'!$B:$P,15,0),IFERROR(VLOOKUP(A1265,'[2]UPDATE BILL 2018'!$C:$P,14,0),IFERROR(VLOOKUP(A1265,'[2]UPDATE BILL 2018'!$D:$P,13,0),IFERROR(VLOOKUP(A1265,'[2]UPDATE BILL 2018'!$E:$P,12,0),IFERROR(VLOOKUP(A1265,'[2]UPDATE BILL 2018'!$F:$P,11,0),IFERROR(VLOOKUP(A1265,'[2]UPDATE BILL 2018'!$G:$P,10,0),IFERROR(VLOOKUP(A1265,'[2]UPDATE BILL 2018'!$H:$P,9,0),IFERROR(VLOOKUP(A1265,'[2]UPDATE BILL 2018'!$I:$P,8,0),VLOOKUP(A1265,'[2]UPDATE BILL 2018'!$B:$P,15,0)))))))))</f>
        <v>SITWHPHT173452</v>
      </c>
      <c r="AB1265" s="44">
        <f>IFERROR(VLOOKUP(A1265,'[2]UPDATE BILL 2018'!$B:$T,19,0),IFERROR(VLOOKUP(A1265,'[2]UPDATE BILL 2018'!$C:$T,18,0),IFERROR(VLOOKUP(A1265,'[2]UPDATE BILL 2018'!$D:$T,17,0),IFERROR(VLOOKUP(A1265,'[2]UPDATE BILL 2018'!$E:$T,16,0),IFERROR(VLOOKUP(A1265,'[2]UPDATE BILL 2018'!$F:$T,15,0),IFERROR(VLOOKUP(A1265,'[2]UPDATE BILL 2018'!$G:$T,14,0),IFERROR(VLOOKUP(A1265,'[2]UPDATE BILL 2018'!$H:$T,13,0),IFERROR(VLOOKUP(A1265,'[2]UPDATE BILL 2018'!$I:$T,12,0),VLOOKUP(A1265,'[2]UPDATE BILL 2018'!$B:$T,19,0)))))))))</f>
        <v>43317</v>
      </c>
      <c r="AC1265" s="44" t="str">
        <f>IFERROR(VLOOKUP(A1265,'[2]UPDATE BILL 2018'!$B:$V,21,0),IFERROR(VLOOKUP(A1265,'[2]UPDATE BILL 2018'!$C:$V,20,0),IFERROR(VLOOKUP(A1265,'[2]UPDATE BILL 2018'!$D:$V,19,0),IFERROR(VLOOKUP(A1265,'[2]UPDATE BILL 2018'!$E:$V,18,0),IFERROR(VLOOKUP(A1265,'[2]UPDATE BILL 2018'!$F:$V,17,0),IFERROR(VLOOKUP(A1265,'[2]UPDATE BILL 2018'!$G:$V,16,0),IFERROR(VLOOKUP(A1265,'[2]UPDATE BILL 2018'!$H:$V,15,0),IFERROR(VLOOKUP(A1265,'[2]UPDATE BILL 2018'!$I:$V,14,0),VLOOKUP(A1265,'[2]UPDATE BILL 2018'!$B:$V,21,0)))))))))</f>
        <v>HANSE ENERGY 1821N</v>
      </c>
      <c r="AD1265" s="14" t="s">
        <v>52</v>
      </c>
      <c r="AE1265" s="24" t="s">
        <v>3310</v>
      </c>
      <c r="AF1265" s="25" t="str">
        <f t="shared" si="83"/>
        <v>VQ</v>
      </c>
      <c r="AG1265" t="e">
        <f t="shared" si="88"/>
        <v>#REF!</v>
      </c>
      <c r="AI1265" s="58"/>
    </row>
    <row r="1266" spans="1:35" ht="15.75" customHeight="1">
      <c r="A1266" s="6" t="s">
        <v>3298</v>
      </c>
      <c r="B1266" s="5">
        <v>466</v>
      </c>
      <c r="C1266" s="7">
        <v>38868.370000000003</v>
      </c>
      <c r="D1266" s="7">
        <f t="shared" ref="D1266:D1273" si="89">E1266+F1266</f>
        <v>0</v>
      </c>
      <c r="E1266" s="7">
        <v>0</v>
      </c>
      <c r="F1266" s="5">
        <v>0</v>
      </c>
      <c r="G1266" s="7">
        <v>0</v>
      </c>
      <c r="H1266" s="5">
        <v>0</v>
      </c>
      <c r="I1266" s="7">
        <v>0</v>
      </c>
      <c r="J1266" s="7">
        <v>0</v>
      </c>
      <c r="K1266" s="5">
        <v>0</v>
      </c>
      <c r="L1266" s="5">
        <v>0</v>
      </c>
      <c r="M1266" s="5">
        <v>146</v>
      </c>
      <c r="N1266" s="7">
        <f t="shared" ref="N1266:N1273" si="90">M1266-K1266</f>
        <v>146</v>
      </c>
      <c r="O1266" s="7">
        <v>25713.899999999998</v>
      </c>
      <c r="P1266" s="7">
        <v>0</v>
      </c>
      <c r="Q1266" s="5">
        <v>0</v>
      </c>
      <c r="R1266" s="5">
        <v>0</v>
      </c>
      <c r="S1266" s="7">
        <v>0</v>
      </c>
      <c r="T1266" s="12">
        <v>43315</v>
      </c>
      <c r="U1266" s="4">
        <v>6</v>
      </c>
      <c r="V1266" s="4">
        <v>9</v>
      </c>
      <c r="W1266" s="4">
        <v>9</v>
      </c>
      <c r="X1266" s="45">
        <f t="shared" ref="X1266:X1273" si="91">+C1266+G1266+I1266+O1266+S1266</f>
        <v>64582.270000000004</v>
      </c>
      <c r="Y1266" s="14" t="s">
        <v>85</v>
      </c>
      <c r="Z1266" s="14" t="s">
        <v>57</v>
      </c>
      <c r="AA1266" s="14">
        <f>IFERROR(VLOOKUP(A1266,'[2]UPDATE BILL 2018'!$B:$P,15,0),IFERROR(VLOOKUP(A1266,'[2]UPDATE BILL 2018'!$C:$P,14,0),IFERROR(VLOOKUP(A1266,'[2]UPDATE BILL 2018'!$D:$P,13,0),IFERROR(VLOOKUP(A1266,'[2]UPDATE BILL 2018'!$E:$P,12,0),IFERROR(VLOOKUP(A1266,'[2]UPDATE BILL 2018'!$F:$P,11,0),IFERROR(VLOOKUP(A1266,'[2]UPDATE BILL 2018'!$G:$P,10,0),IFERROR(VLOOKUP(A1266,'[2]UPDATE BILL 2018'!$H:$P,9,0),IFERROR(VLOOKUP(A1266,'[2]UPDATE BILL 2018'!$I:$P,8,0),VLOOKUP(A1266,'[2]UPDATE BILL 2018'!$B:$P,15,0)))))))))</f>
        <v>350810091164</v>
      </c>
      <c r="AB1266" s="44">
        <f>IFERROR(VLOOKUP(A1266,'[2]UPDATE BILL 2018'!$B:$T,19,0),IFERROR(VLOOKUP(A1266,'[2]UPDATE BILL 2018'!$C:$T,18,0),IFERROR(VLOOKUP(A1266,'[2]UPDATE BILL 2018'!$D:$T,17,0),IFERROR(VLOOKUP(A1266,'[2]UPDATE BILL 2018'!$E:$T,16,0),IFERROR(VLOOKUP(A1266,'[2]UPDATE BILL 2018'!$F:$T,15,0),IFERROR(VLOOKUP(A1266,'[2]UPDATE BILL 2018'!$G:$T,14,0),IFERROR(VLOOKUP(A1266,'[2]UPDATE BILL 2018'!$H:$T,13,0),IFERROR(VLOOKUP(A1266,'[2]UPDATE BILL 2018'!$I:$T,12,0),VLOOKUP(A1266,'[2]UPDATE BILL 2018'!$B:$T,19,0)))))))))</f>
        <v>43320</v>
      </c>
      <c r="AC1266" s="44" t="str">
        <f>IFERROR(VLOOKUP(A1266,'[2]UPDATE BILL 2018'!$B:$V,21,0),IFERROR(VLOOKUP(A1266,'[2]UPDATE BILL 2018'!$C:$V,20,0),IFERROR(VLOOKUP(A1266,'[2]UPDATE BILL 2018'!$D:$V,19,0),IFERROR(VLOOKUP(A1266,'[2]UPDATE BILL 2018'!$E:$V,18,0),IFERROR(VLOOKUP(A1266,'[2]UPDATE BILL 2018'!$F:$V,17,0),IFERROR(VLOOKUP(A1266,'[2]UPDATE BILL 2018'!$G:$V,16,0),IFERROR(VLOOKUP(A1266,'[2]UPDATE BILL 2018'!$H:$V,15,0),IFERROR(VLOOKUP(A1266,'[2]UPDATE BILL 2018'!$I:$V,14,0),VLOOKUP(A1266,'[2]UPDATE BILL 2018'!$B:$V,21,0)))))))))</f>
        <v>LANTAU BRIDGE 18004N</v>
      </c>
      <c r="AD1266" s="14" t="s">
        <v>52</v>
      </c>
      <c r="AE1266" s="24" t="s">
        <v>3311</v>
      </c>
      <c r="AF1266" s="25" t="str">
        <f t="shared" ref="AF1266:AF1270" si="92">+LEFT(AE1266,2)</f>
        <v>VQ</v>
      </c>
      <c r="AG1266" t="e">
        <f t="shared" si="88"/>
        <v>#REF!</v>
      </c>
      <c r="AI1266" s="58"/>
    </row>
    <row r="1267" spans="1:35" ht="15.75" customHeight="1">
      <c r="A1267" s="6" t="s">
        <v>3299</v>
      </c>
      <c r="D1267" s="7">
        <f t="shared" si="89"/>
        <v>0</v>
      </c>
      <c r="E1267" s="7">
        <v>0</v>
      </c>
      <c r="F1267" s="5">
        <v>0</v>
      </c>
      <c r="G1267" s="7">
        <v>0</v>
      </c>
      <c r="H1267" s="5">
        <v>107</v>
      </c>
      <c r="I1267" s="7">
        <v>13396.099999999999</v>
      </c>
      <c r="J1267" s="7">
        <v>0</v>
      </c>
      <c r="K1267" s="5">
        <v>0</v>
      </c>
      <c r="L1267" s="5">
        <v>0</v>
      </c>
      <c r="M1267" s="5">
        <v>48</v>
      </c>
      <c r="N1267" s="7">
        <f t="shared" si="90"/>
        <v>48</v>
      </c>
      <c r="O1267" s="7">
        <v>9352.4</v>
      </c>
      <c r="P1267" s="7">
        <v>0</v>
      </c>
      <c r="Q1267" s="5">
        <v>0</v>
      </c>
      <c r="R1267" s="5">
        <v>0</v>
      </c>
      <c r="S1267" s="7">
        <v>0</v>
      </c>
      <c r="T1267" s="12">
        <v>43315</v>
      </c>
      <c r="U1267" s="4">
        <v>2</v>
      </c>
      <c r="V1267" s="4">
        <v>9</v>
      </c>
      <c r="W1267" s="4">
        <v>9</v>
      </c>
      <c r="X1267" s="45">
        <f t="shared" si="91"/>
        <v>22748.5</v>
      </c>
      <c r="Y1267" s="14" t="s">
        <v>54</v>
      </c>
      <c r="Z1267" s="14" t="s">
        <v>1281</v>
      </c>
      <c r="AA1267" s="14" t="str">
        <f>IFERROR(VLOOKUP(A1267,'[2]UPDATE BILL 2018'!$B:$P,15,0),IFERROR(VLOOKUP(A1267,'[2]UPDATE BILL 2018'!$C:$P,14,0),IFERROR(VLOOKUP(A1267,'[2]UPDATE BILL 2018'!$D:$P,13,0),IFERROR(VLOOKUP(A1267,'[2]UPDATE BILL 2018'!$E:$P,12,0),IFERROR(VLOOKUP(A1267,'[2]UPDATE BILL 2018'!$F:$P,11,0),IFERROR(VLOOKUP(A1267,'[2]UPDATE BILL 2018'!$G:$P,10,0),IFERROR(VLOOKUP(A1267,'[2]UPDATE BILL 2018'!$H:$P,9,0),IFERROR(VLOOKUP(A1267,'[2]UPDATE BILL 2018'!$I:$P,8,0),VLOOKUP(A1267,'[2]UPDATE BILL 2018'!$B:$P,15,0)))))))))</f>
        <v>SITWHPOS174211</v>
      </c>
      <c r="AB1267" s="44">
        <f>IFERROR(VLOOKUP(A1267,'[2]UPDATE BILL 2018'!$B:$T,19,0),IFERROR(VLOOKUP(A1267,'[2]UPDATE BILL 2018'!$C:$T,18,0),IFERROR(VLOOKUP(A1267,'[2]UPDATE BILL 2018'!$D:$T,17,0),IFERROR(VLOOKUP(A1267,'[2]UPDATE BILL 2018'!$E:$T,16,0),IFERROR(VLOOKUP(A1267,'[2]UPDATE BILL 2018'!$F:$T,15,0),IFERROR(VLOOKUP(A1267,'[2]UPDATE BILL 2018'!$G:$T,14,0),IFERROR(VLOOKUP(A1267,'[2]UPDATE BILL 2018'!$H:$T,13,0),IFERROR(VLOOKUP(A1267,'[2]UPDATE BILL 2018'!$I:$T,12,0),VLOOKUP(A1267,'[2]UPDATE BILL 2018'!$B:$T,19,0)))))))))</f>
        <v>43317</v>
      </c>
      <c r="AC1267" s="44" t="str">
        <f>IFERROR(VLOOKUP(A1267,'[2]UPDATE BILL 2018'!$B:$V,21,0),IFERROR(VLOOKUP(A1267,'[2]UPDATE BILL 2018'!$C:$V,20,0),IFERROR(VLOOKUP(A1267,'[2]UPDATE BILL 2018'!$D:$V,19,0),IFERROR(VLOOKUP(A1267,'[2]UPDATE BILL 2018'!$E:$V,18,0),IFERROR(VLOOKUP(A1267,'[2]UPDATE BILL 2018'!$F:$V,17,0),IFERROR(VLOOKUP(A1267,'[2]UPDATE BILL 2018'!$G:$V,16,0),IFERROR(VLOOKUP(A1267,'[2]UPDATE BILL 2018'!$H:$V,15,0),IFERROR(VLOOKUP(A1267,'[2]UPDATE BILL 2018'!$I:$V,14,0),VLOOKUP(A1267,'[2]UPDATE BILL 2018'!$B:$V,21,0)))))))))</f>
        <v>HANSE ENERGY 1821N</v>
      </c>
      <c r="AD1267" s="14" t="s">
        <v>51</v>
      </c>
      <c r="AE1267" s="24" t="s">
        <v>3312</v>
      </c>
      <c r="AF1267" s="25" t="str">
        <f t="shared" si="92"/>
        <v>VS</v>
      </c>
      <c r="AG1267" t="e">
        <f t="shared" si="88"/>
        <v>#REF!</v>
      </c>
      <c r="AI1267" s="58"/>
    </row>
    <row r="1268" spans="1:35" ht="15.75" customHeight="1">
      <c r="A1268" s="6" t="s">
        <v>3300</v>
      </c>
      <c r="B1268" s="5">
        <v>464</v>
      </c>
      <c r="C1268" s="7">
        <v>22323.5</v>
      </c>
      <c r="D1268" s="7">
        <f t="shared" si="89"/>
        <v>0</v>
      </c>
      <c r="E1268" s="7">
        <v>0</v>
      </c>
      <c r="F1268" s="5">
        <v>0</v>
      </c>
      <c r="G1268" s="7">
        <v>0</v>
      </c>
      <c r="H1268" s="5">
        <v>0</v>
      </c>
      <c r="I1268" s="7">
        <v>0</v>
      </c>
      <c r="J1268" s="7">
        <v>0</v>
      </c>
      <c r="K1268" s="5">
        <v>0</v>
      </c>
      <c r="L1268" s="5">
        <v>0</v>
      </c>
      <c r="M1268" s="5">
        <v>158</v>
      </c>
      <c r="N1268" s="7">
        <f t="shared" si="90"/>
        <v>158</v>
      </c>
      <c r="O1268" s="7">
        <v>28750.899999999998</v>
      </c>
      <c r="P1268" s="7">
        <v>0</v>
      </c>
      <c r="Q1268" s="5">
        <v>0</v>
      </c>
      <c r="R1268" s="5">
        <v>0</v>
      </c>
      <c r="S1268" s="7">
        <v>0</v>
      </c>
      <c r="T1268" s="12">
        <v>43315</v>
      </c>
      <c r="U1268" s="4">
        <v>4</v>
      </c>
      <c r="V1268" s="4">
        <v>9</v>
      </c>
      <c r="W1268" s="4">
        <v>9</v>
      </c>
      <c r="X1268" s="45">
        <f t="shared" si="91"/>
        <v>51074.399999999994</v>
      </c>
      <c r="Y1268" s="14" t="s">
        <v>54</v>
      </c>
      <c r="Z1268" s="14" t="s">
        <v>59</v>
      </c>
      <c r="AA1268" s="14" t="str">
        <f>IFERROR(VLOOKUP(A1268,'[2]UPDATE BILL 2018'!$B:$P,15,0),IFERROR(VLOOKUP(A1268,'[2]UPDATE BILL 2018'!$C:$P,14,0),IFERROR(VLOOKUP(A1268,'[2]UPDATE BILL 2018'!$D:$P,13,0),IFERROR(VLOOKUP(A1268,'[2]UPDATE BILL 2018'!$E:$P,12,0),IFERROR(VLOOKUP(A1268,'[2]UPDATE BILL 2018'!$F:$P,11,0),IFERROR(VLOOKUP(A1268,'[2]UPDATE BILL 2018'!$G:$P,10,0),IFERROR(VLOOKUP(A1268,'[2]UPDATE BILL 2018'!$H:$P,9,0),IFERROR(VLOOKUP(A1268,'[2]UPDATE BILL 2018'!$I:$P,8,0),VLOOKUP(A1268,'[2]UPDATE BILL 2018'!$B:$P,15,0)))))))))</f>
        <v>SITWHPKW173443</v>
      </c>
      <c r="AB1268" s="44">
        <f>IFERROR(VLOOKUP(A1268,'[2]UPDATE BILL 2018'!$B:$T,19,0),IFERROR(VLOOKUP(A1268,'[2]UPDATE BILL 2018'!$C:$T,18,0),IFERROR(VLOOKUP(A1268,'[2]UPDATE BILL 2018'!$D:$T,17,0),IFERROR(VLOOKUP(A1268,'[2]UPDATE BILL 2018'!$E:$T,16,0),IFERROR(VLOOKUP(A1268,'[2]UPDATE BILL 2018'!$F:$T,15,0),IFERROR(VLOOKUP(A1268,'[2]UPDATE BILL 2018'!$G:$T,14,0),IFERROR(VLOOKUP(A1268,'[2]UPDATE BILL 2018'!$H:$T,13,0),IFERROR(VLOOKUP(A1268,'[2]UPDATE BILL 2018'!$I:$T,12,0),VLOOKUP(A1268,'[2]UPDATE BILL 2018'!$B:$T,19,0)))))))))</f>
        <v>43322</v>
      </c>
      <c r="AC1268" s="44" t="str">
        <f>IFERROR(VLOOKUP(A1268,'[2]UPDATE BILL 2018'!$B:$V,21,0),IFERROR(VLOOKUP(A1268,'[2]UPDATE BILL 2018'!$C:$V,20,0),IFERROR(VLOOKUP(A1268,'[2]UPDATE BILL 2018'!$D:$V,19,0),IFERROR(VLOOKUP(A1268,'[2]UPDATE BILL 2018'!$E:$V,18,0),IFERROR(VLOOKUP(A1268,'[2]UPDATE BILL 2018'!$F:$V,17,0),IFERROR(VLOOKUP(A1268,'[2]UPDATE BILL 2018'!$G:$V,16,0),IFERROR(VLOOKUP(A1268,'[2]UPDATE BILL 2018'!$H:$V,15,0),IFERROR(VLOOKUP(A1268,'[2]UPDATE BILL 2018'!$I:$V,14,0),VLOOKUP(A1268,'[2]UPDATE BILL 2018'!$B:$V,21,0)))))))))</f>
        <v>HYUNDAI HARMONY 1831N</v>
      </c>
      <c r="AD1268" s="14" t="s">
        <v>50</v>
      </c>
      <c r="AE1268" s="24" t="s">
        <v>3313</v>
      </c>
      <c r="AF1268" s="25" t="str">
        <f t="shared" si="92"/>
        <v>VW</v>
      </c>
      <c r="AG1268" t="e">
        <f t="shared" si="88"/>
        <v>#REF!</v>
      </c>
      <c r="AI1268" s="58"/>
    </row>
    <row r="1269" spans="1:35" ht="15.75" customHeight="1">
      <c r="A1269" s="6" t="s">
        <v>3301</v>
      </c>
      <c r="B1269" s="5">
        <v>77</v>
      </c>
      <c r="C1269" s="7">
        <v>9004.5</v>
      </c>
      <c r="D1269" s="7">
        <f t="shared" si="89"/>
        <v>0</v>
      </c>
      <c r="E1269" s="7">
        <v>0</v>
      </c>
      <c r="F1269" s="5">
        <v>0</v>
      </c>
      <c r="G1269" s="7">
        <v>0</v>
      </c>
      <c r="H1269" s="5">
        <v>0</v>
      </c>
      <c r="I1269" s="7">
        <v>0</v>
      </c>
      <c r="J1269" s="7">
        <v>0</v>
      </c>
      <c r="K1269" s="5">
        <v>0</v>
      </c>
      <c r="L1269" s="5">
        <v>0</v>
      </c>
      <c r="M1269" s="5">
        <v>13</v>
      </c>
      <c r="N1269" s="7">
        <f t="shared" si="90"/>
        <v>13</v>
      </c>
      <c r="O1269" s="7">
        <v>1838</v>
      </c>
      <c r="P1269" s="7">
        <v>0</v>
      </c>
      <c r="Q1269" s="5">
        <v>0</v>
      </c>
      <c r="R1269" s="5">
        <v>0</v>
      </c>
      <c r="S1269" s="7">
        <v>0</v>
      </c>
      <c r="T1269" s="12">
        <v>43315</v>
      </c>
      <c r="U1269" s="4">
        <v>1</v>
      </c>
      <c r="V1269" s="4">
        <v>9</v>
      </c>
      <c r="W1269" s="4">
        <v>9</v>
      </c>
      <c r="X1269" s="45">
        <f t="shared" si="91"/>
        <v>10842.5</v>
      </c>
      <c r="Y1269" s="14" t="s">
        <v>54</v>
      </c>
      <c r="Z1269" s="14" t="s">
        <v>59</v>
      </c>
      <c r="AA1269" s="14" t="str">
        <f>IFERROR(VLOOKUP(A1269,'[2]UPDATE BILL 2018'!$B:$P,15,0),IFERROR(VLOOKUP(A1269,'[2]UPDATE BILL 2018'!$C:$P,14,0),IFERROR(VLOOKUP(A1269,'[2]UPDATE BILL 2018'!$D:$P,13,0),IFERROR(VLOOKUP(A1269,'[2]UPDATE BILL 2018'!$E:$P,12,0),IFERROR(VLOOKUP(A1269,'[2]UPDATE BILL 2018'!$F:$P,11,0),IFERROR(VLOOKUP(A1269,'[2]UPDATE BILL 2018'!$G:$P,10,0),IFERROR(VLOOKUP(A1269,'[2]UPDATE BILL 2018'!$H:$P,9,0),IFERROR(VLOOKUP(A1269,'[2]UPDATE BILL 2018'!$I:$P,8,0),VLOOKUP(A1269,'[2]UPDATE BILL 2018'!$B:$P,15,0)))))))))</f>
        <v>SITWHPTK173450</v>
      </c>
      <c r="AB1269" s="44">
        <f>IFERROR(VLOOKUP(A1269,'[2]UPDATE BILL 2018'!$B:$T,19,0),IFERROR(VLOOKUP(A1269,'[2]UPDATE BILL 2018'!$C:$T,18,0),IFERROR(VLOOKUP(A1269,'[2]UPDATE BILL 2018'!$D:$T,17,0),IFERROR(VLOOKUP(A1269,'[2]UPDATE BILL 2018'!$E:$T,16,0),IFERROR(VLOOKUP(A1269,'[2]UPDATE BILL 2018'!$F:$T,15,0),IFERROR(VLOOKUP(A1269,'[2]UPDATE BILL 2018'!$G:$T,14,0),IFERROR(VLOOKUP(A1269,'[2]UPDATE BILL 2018'!$H:$T,13,0),IFERROR(VLOOKUP(A1269,'[2]UPDATE BILL 2018'!$I:$T,12,0),VLOOKUP(A1269,'[2]UPDATE BILL 2018'!$B:$T,19,0)))))))))</f>
        <v>43322</v>
      </c>
      <c r="AC1269" s="44" t="str">
        <f>IFERROR(VLOOKUP(A1269,'[2]UPDATE BILL 2018'!$B:$V,21,0),IFERROR(VLOOKUP(A1269,'[2]UPDATE BILL 2018'!$C:$V,20,0),IFERROR(VLOOKUP(A1269,'[2]UPDATE BILL 2018'!$D:$V,19,0),IFERROR(VLOOKUP(A1269,'[2]UPDATE BILL 2018'!$E:$V,18,0),IFERROR(VLOOKUP(A1269,'[2]UPDATE BILL 2018'!$F:$V,17,0),IFERROR(VLOOKUP(A1269,'[2]UPDATE BILL 2018'!$G:$V,16,0),IFERROR(VLOOKUP(A1269,'[2]UPDATE BILL 2018'!$H:$V,15,0),IFERROR(VLOOKUP(A1269,'[2]UPDATE BILL 2018'!$I:$V,14,0),VLOOKUP(A1269,'[2]UPDATE BILL 2018'!$B:$V,21,0)))))))))</f>
        <v>HYUNDAI HARMONY 1831N</v>
      </c>
      <c r="AD1269" s="14" t="s">
        <v>49</v>
      </c>
      <c r="AE1269" s="24" t="s">
        <v>3314</v>
      </c>
      <c r="AF1269" s="25" t="str">
        <f t="shared" si="92"/>
        <v>VZ</v>
      </c>
      <c r="AG1269" t="e">
        <f t="shared" si="88"/>
        <v>#REF!</v>
      </c>
      <c r="AI1269" s="58"/>
    </row>
    <row r="1270" spans="1:35" ht="15.75" customHeight="1">
      <c r="A1270" s="6" t="s">
        <v>3302</v>
      </c>
      <c r="B1270" s="5">
        <v>104</v>
      </c>
      <c r="C1270" s="7">
        <v>15204.7</v>
      </c>
      <c r="D1270" s="7">
        <f t="shared" si="89"/>
        <v>0</v>
      </c>
      <c r="E1270" s="7">
        <v>0</v>
      </c>
      <c r="F1270" s="5">
        <v>0</v>
      </c>
      <c r="G1270" s="7">
        <v>0</v>
      </c>
      <c r="H1270" s="5">
        <v>60</v>
      </c>
      <c r="I1270" s="7">
        <v>7677.6</v>
      </c>
      <c r="J1270" s="7">
        <v>0</v>
      </c>
      <c r="K1270" s="5">
        <v>0</v>
      </c>
      <c r="L1270" s="5">
        <v>0</v>
      </c>
      <c r="M1270" s="5">
        <v>0</v>
      </c>
      <c r="N1270" s="7">
        <f t="shared" si="90"/>
        <v>0</v>
      </c>
      <c r="O1270" s="7">
        <v>0</v>
      </c>
      <c r="P1270" s="7">
        <v>0</v>
      </c>
      <c r="Q1270" s="5">
        <v>0</v>
      </c>
      <c r="R1270" s="5">
        <v>0</v>
      </c>
      <c r="S1270" s="7">
        <v>0</v>
      </c>
      <c r="T1270" s="12">
        <v>43315</v>
      </c>
      <c r="U1270" s="4">
        <v>2</v>
      </c>
      <c r="V1270" s="4">
        <v>9</v>
      </c>
      <c r="W1270" s="4">
        <v>9</v>
      </c>
      <c r="X1270" s="45">
        <f t="shared" si="91"/>
        <v>22882.300000000003</v>
      </c>
      <c r="Y1270" s="14" t="s">
        <v>54</v>
      </c>
      <c r="Z1270" s="14" t="s">
        <v>2525</v>
      </c>
      <c r="AA1270" s="14" t="str">
        <f>IFERROR(VLOOKUP(A1270,'[2]UPDATE BILL 2018'!$B:$P,15,0),IFERROR(VLOOKUP(A1270,'[2]UPDATE BILL 2018'!$C:$P,14,0),IFERROR(VLOOKUP(A1270,'[2]UPDATE BILL 2018'!$D:$P,13,0),IFERROR(VLOOKUP(A1270,'[2]UPDATE BILL 2018'!$E:$P,12,0),IFERROR(VLOOKUP(A1270,'[2]UPDATE BILL 2018'!$F:$P,11,0),IFERROR(VLOOKUP(A1270,'[2]UPDATE BILL 2018'!$G:$P,10,0),IFERROR(VLOOKUP(A1270,'[2]UPDATE BILL 2018'!$H:$P,9,0),IFERROR(VLOOKUP(A1270,'[2]UPDATE BILL 2018'!$I:$P,8,0),VLOOKUP(A1270,'[2]UPDATE BILL 2018'!$B:$P,15,0)))))))))</f>
        <v>SITWHPTK174203</v>
      </c>
      <c r="AB1270" s="44">
        <f>IFERROR(VLOOKUP(A1270,'[2]UPDATE BILL 2018'!$B:$T,19,0),IFERROR(VLOOKUP(A1270,'[2]UPDATE BILL 2018'!$C:$T,18,0),IFERROR(VLOOKUP(A1270,'[2]UPDATE BILL 2018'!$D:$T,17,0),IFERROR(VLOOKUP(A1270,'[2]UPDATE BILL 2018'!$E:$T,16,0),IFERROR(VLOOKUP(A1270,'[2]UPDATE BILL 2018'!$F:$T,15,0),IFERROR(VLOOKUP(A1270,'[2]UPDATE BILL 2018'!$G:$T,14,0),IFERROR(VLOOKUP(A1270,'[2]UPDATE BILL 2018'!$H:$T,13,0),IFERROR(VLOOKUP(A1270,'[2]UPDATE BILL 2018'!$I:$T,12,0),VLOOKUP(A1270,'[2]UPDATE BILL 2018'!$B:$T,19,0)))))))))</f>
        <v>43322</v>
      </c>
      <c r="AC1270" s="44" t="str">
        <f>IFERROR(VLOOKUP(A1270,'[2]UPDATE BILL 2018'!$B:$V,21,0),IFERROR(VLOOKUP(A1270,'[2]UPDATE BILL 2018'!$C:$V,20,0),IFERROR(VLOOKUP(A1270,'[2]UPDATE BILL 2018'!$D:$V,19,0),IFERROR(VLOOKUP(A1270,'[2]UPDATE BILL 2018'!$E:$V,18,0),IFERROR(VLOOKUP(A1270,'[2]UPDATE BILL 2018'!$F:$V,17,0),IFERROR(VLOOKUP(A1270,'[2]UPDATE BILL 2018'!$G:$V,16,0),IFERROR(VLOOKUP(A1270,'[2]UPDATE BILL 2018'!$H:$V,15,0),IFERROR(VLOOKUP(A1270,'[2]UPDATE BILL 2018'!$I:$V,14,0),VLOOKUP(A1270,'[2]UPDATE BILL 2018'!$B:$V,21,0)))))))))</f>
        <v xml:space="preserve">HYUNDAI HARMONY 1831N </v>
      </c>
      <c r="AD1270" s="14" t="s">
        <v>49</v>
      </c>
      <c r="AE1270" s="24" t="s">
        <v>3315</v>
      </c>
      <c r="AF1270" s="25" t="str">
        <f t="shared" si="92"/>
        <v>VZ</v>
      </c>
      <c r="AG1270" t="e">
        <f t="shared" si="88"/>
        <v>#REF!</v>
      </c>
      <c r="AI1270" s="58"/>
    </row>
    <row r="1271" spans="1:35" ht="15.75" customHeight="1">
      <c r="A1271" s="6" t="s">
        <v>3303</v>
      </c>
      <c r="D1271" s="7">
        <f t="shared" si="89"/>
        <v>0</v>
      </c>
      <c r="E1271" s="7">
        <v>0</v>
      </c>
      <c r="F1271" s="5">
        <v>0</v>
      </c>
      <c r="G1271" s="7">
        <v>0</v>
      </c>
      <c r="H1271" s="5">
        <v>0</v>
      </c>
      <c r="I1271" s="7">
        <v>0</v>
      </c>
      <c r="J1271" s="7">
        <v>0</v>
      </c>
      <c r="K1271" s="5">
        <v>0</v>
      </c>
      <c r="L1271" s="5">
        <v>0</v>
      </c>
      <c r="M1271" s="5">
        <v>0</v>
      </c>
      <c r="N1271" s="7">
        <f t="shared" si="90"/>
        <v>0</v>
      </c>
      <c r="O1271" s="7">
        <v>0</v>
      </c>
      <c r="P1271" s="7">
        <v>0</v>
      </c>
      <c r="Q1271" s="5">
        <v>0</v>
      </c>
      <c r="R1271" s="5">
        <v>168</v>
      </c>
      <c r="S1271" s="7">
        <v>64814.400000000001</v>
      </c>
      <c r="T1271" s="12">
        <v>43315</v>
      </c>
      <c r="U1271" s="4">
        <v>2</v>
      </c>
      <c r="V1271" s="4">
        <v>9</v>
      </c>
      <c r="W1271" s="4">
        <v>9</v>
      </c>
      <c r="X1271" s="45">
        <f t="shared" si="91"/>
        <v>64814.400000000001</v>
      </c>
      <c r="Y1271" s="14" t="s">
        <v>56</v>
      </c>
      <c r="Z1271" s="14" t="s">
        <v>1637</v>
      </c>
      <c r="AA1271" s="14" t="str">
        <f>IFERROR(VLOOKUP(A1271,'[2]UPDATE BILL 2018'!$B:$P,15,0),IFERROR(VLOOKUP(A1271,'[2]UPDATE BILL 2018'!$C:$P,14,0),IFERROR(VLOOKUP(A1271,'[2]UPDATE BILL 2018'!$D:$P,13,0),IFERROR(VLOOKUP(A1271,'[2]UPDATE BILL 2018'!$E:$P,12,0),IFERROR(VLOOKUP(A1271,'[2]UPDATE BILL 2018'!$F:$P,11,0),IFERROR(VLOOKUP(A1271,'[2]UPDATE BILL 2018'!$G:$P,10,0),IFERROR(VLOOKUP(A1271,'[2]UPDATE BILL 2018'!$H:$P,9,0),IFERROR(VLOOKUP(A1271,'[2]UPDATE BILL 2018'!$I:$P,8,0),VLOOKUP(A1271,'[2]UPDATE BILL 2018'!$B:$P,15,0)))))))))</f>
        <v>1008X04330</v>
      </c>
      <c r="AB1271" s="44">
        <f>IFERROR(VLOOKUP(A1271,'[2]UPDATE BILL 2018'!$B:$T,19,0),IFERROR(VLOOKUP(A1271,'[2]UPDATE BILL 2018'!$C:$T,18,0),IFERROR(VLOOKUP(A1271,'[2]UPDATE BILL 2018'!$D:$T,17,0),IFERROR(VLOOKUP(A1271,'[2]UPDATE BILL 2018'!$E:$T,16,0),IFERROR(VLOOKUP(A1271,'[2]UPDATE BILL 2018'!$F:$T,15,0),IFERROR(VLOOKUP(A1271,'[2]UPDATE BILL 2018'!$G:$T,14,0),IFERROR(VLOOKUP(A1271,'[2]UPDATE BILL 2018'!$H:$T,13,0),IFERROR(VLOOKUP(A1271,'[2]UPDATE BILL 2018'!$I:$T,12,0),VLOOKUP(A1271,'[2]UPDATE BILL 2018'!$B:$T,19,0)))))))))</f>
        <v>43320</v>
      </c>
      <c r="AC1271" s="44" t="str">
        <f>IFERROR(VLOOKUP(A1271,'[2]UPDATE BILL 2018'!$B:$V,21,0),IFERROR(VLOOKUP(A1271,'[2]UPDATE BILL 2018'!$C:$V,20,0),IFERROR(VLOOKUP(A1271,'[2]UPDATE BILL 2018'!$D:$V,19,0),IFERROR(VLOOKUP(A1271,'[2]UPDATE BILL 2018'!$E:$V,18,0),IFERROR(VLOOKUP(A1271,'[2]UPDATE BILL 2018'!$F:$V,17,0),IFERROR(VLOOKUP(A1271,'[2]UPDATE BILL 2018'!$G:$V,16,0),IFERROR(VLOOKUP(A1271,'[2]UPDATE BILL 2018'!$H:$V,15,0),IFERROR(VLOOKUP(A1271,'[2]UPDATE BILL 2018'!$I:$V,14,0),VLOOKUP(A1271,'[2]UPDATE BILL 2018'!$B:$V,21,0)))))))))</f>
        <v>AS FRIDA N006</v>
      </c>
      <c r="AD1271" s="14" t="s">
        <v>49</v>
      </c>
      <c r="AE1271" s="24" t="s">
        <v>3316</v>
      </c>
      <c r="AF1271" s="25" t="s">
        <v>2175</v>
      </c>
      <c r="AG1271" t="e">
        <f t="shared" si="88"/>
        <v>#N/A</v>
      </c>
      <c r="AI1271" s="58"/>
    </row>
    <row r="1272" spans="1:35" ht="15.75" customHeight="1">
      <c r="A1272" s="6" t="s">
        <v>3304</v>
      </c>
      <c r="D1272" s="7">
        <f t="shared" si="89"/>
        <v>0</v>
      </c>
      <c r="E1272" s="7">
        <v>0</v>
      </c>
      <c r="F1272" s="5">
        <v>0</v>
      </c>
      <c r="G1272" s="7">
        <v>0</v>
      </c>
      <c r="H1272" s="5">
        <v>0</v>
      </c>
      <c r="I1272" s="7">
        <v>0</v>
      </c>
      <c r="J1272" s="7">
        <v>0</v>
      </c>
      <c r="K1272" s="5">
        <v>0</v>
      </c>
      <c r="L1272" s="5">
        <v>0</v>
      </c>
      <c r="M1272" s="5">
        <v>0</v>
      </c>
      <c r="N1272" s="7">
        <f t="shared" si="90"/>
        <v>0</v>
      </c>
      <c r="O1272" s="7">
        <v>0</v>
      </c>
      <c r="P1272" s="7">
        <v>0</v>
      </c>
      <c r="Q1272" s="5">
        <v>0</v>
      </c>
      <c r="R1272" s="5">
        <v>1265</v>
      </c>
      <c r="S1272" s="7">
        <v>224950.5</v>
      </c>
      <c r="T1272" s="12">
        <v>43315</v>
      </c>
      <c r="U1272" s="4">
        <v>8</v>
      </c>
      <c r="V1272" s="4">
        <v>9</v>
      </c>
      <c r="W1272" s="4">
        <v>9</v>
      </c>
      <c r="X1272" s="45">
        <f t="shared" si="91"/>
        <v>224950.5</v>
      </c>
      <c r="Y1272" s="14" t="s">
        <v>54</v>
      </c>
      <c r="Z1272" s="14" t="s">
        <v>1281</v>
      </c>
      <c r="AA1272" s="14" t="str">
        <f>IFERROR(VLOOKUP(A1272,'[2]UPDATE BILL 2018'!$B:$P,15,0),IFERROR(VLOOKUP(A1272,'[2]UPDATE BILL 2018'!$C:$P,14,0),IFERROR(VLOOKUP(A1272,'[2]UPDATE BILL 2018'!$D:$P,13,0),IFERROR(VLOOKUP(A1272,'[2]UPDATE BILL 2018'!$E:$P,12,0),IFERROR(VLOOKUP(A1272,'[2]UPDATE BILL 2018'!$F:$P,11,0),IFERROR(VLOOKUP(A1272,'[2]UPDATE BILL 2018'!$G:$P,10,0),IFERROR(VLOOKUP(A1272,'[2]UPDATE BILL 2018'!$H:$P,9,0),IFERROR(VLOOKUP(A1272,'[2]UPDATE BILL 2018'!$I:$P,8,0),VLOOKUP(A1272,'[2]UPDATE BILL 2018'!$B:$P,15,0)))))))))</f>
        <v>SITWHPKW173446</v>
      </c>
      <c r="AB1272" s="44">
        <f>IFERROR(VLOOKUP(A1272,'[2]UPDATE BILL 2018'!$B:$T,19,0),IFERROR(VLOOKUP(A1272,'[2]UPDATE BILL 2018'!$C:$T,18,0),IFERROR(VLOOKUP(A1272,'[2]UPDATE BILL 2018'!$D:$T,17,0),IFERROR(VLOOKUP(A1272,'[2]UPDATE BILL 2018'!$E:$T,16,0),IFERROR(VLOOKUP(A1272,'[2]UPDATE BILL 2018'!$F:$T,15,0),IFERROR(VLOOKUP(A1272,'[2]UPDATE BILL 2018'!$G:$T,14,0),IFERROR(VLOOKUP(A1272,'[2]UPDATE BILL 2018'!$H:$T,13,0),IFERROR(VLOOKUP(A1272,'[2]UPDATE BILL 2018'!$I:$T,12,0),VLOOKUP(A1272,'[2]UPDATE BILL 2018'!$B:$T,19,0)))))))))</f>
        <v>43322</v>
      </c>
      <c r="AC1272" s="44" t="str">
        <f>IFERROR(VLOOKUP(A1272,'[2]UPDATE BILL 2018'!$B:$V,21,0),IFERROR(VLOOKUP(A1272,'[2]UPDATE BILL 2018'!$C:$V,20,0),IFERROR(VLOOKUP(A1272,'[2]UPDATE BILL 2018'!$D:$V,19,0),IFERROR(VLOOKUP(A1272,'[2]UPDATE BILL 2018'!$E:$V,18,0),IFERROR(VLOOKUP(A1272,'[2]UPDATE BILL 2018'!$F:$V,17,0),IFERROR(VLOOKUP(A1272,'[2]UPDATE BILL 2018'!$G:$V,16,0),IFERROR(VLOOKUP(A1272,'[2]UPDATE BILL 2018'!$H:$V,15,0),IFERROR(VLOOKUP(A1272,'[2]UPDATE BILL 2018'!$I:$V,14,0),VLOOKUP(A1272,'[2]UPDATE BILL 2018'!$B:$V,21,0)))))))))</f>
        <v>HYUNDAI HARMONY 1831N</v>
      </c>
      <c r="AD1272" s="14" t="s">
        <v>50</v>
      </c>
      <c r="AE1272" s="24" t="s">
        <v>3317</v>
      </c>
      <c r="AF1272" s="25" t="s">
        <v>2151</v>
      </c>
      <c r="AG1272" t="e">
        <f t="shared" si="88"/>
        <v>#N/A</v>
      </c>
      <c r="AI1272" s="58"/>
    </row>
    <row r="1273" spans="1:35" ht="15.75" customHeight="1">
      <c r="A1273" s="6" t="s">
        <v>3305</v>
      </c>
      <c r="D1273" s="7">
        <f t="shared" si="89"/>
        <v>0</v>
      </c>
      <c r="E1273" s="7">
        <v>0</v>
      </c>
      <c r="F1273" s="5">
        <v>0</v>
      </c>
      <c r="G1273" s="7">
        <v>0</v>
      </c>
      <c r="H1273" s="5">
        <v>0</v>
      </c>
      <c r="I1273" s="7">
        <v>0</v>
      </c>
      <c r="J1273" s="7">
        <v>0</v>
      </c>
      <c r="K1273" s="5">
        <v>0</v>
      </c>
      <c r="L1273" s="5">
        <v>0</v>
      </c>
      <c r="M1273" s="5">
        <v>0</v>
      </c>
      <c r="N1273" s="7">
        <f t="shared" si="90"/>
        <v>0</v>
      </c>
      <c r="O1273" s="7">
        <v>0</v>
      </c>
      <c r="P1273" s="7">
        <v>0</v>
      </c>
      <c r="Q1273" s="5">
        <v>0</v>
      </c>
      <c r="R1273" s="5">
        <v>107</v>
      </c>
      <c r="S1273" s="7">
        <v>14228.1</v>
      </c>
      <c r="T1273" s="12">
        <v>43315</v>
      </c>
      <c r="U1273" s="4">
        <v>1</v>
      </c>
      <c r="V1273" s="4">
        <v>9</v>
      </c>
      <c r="W1273" s="4">
        <v>9</v>
      </c>
      <c r="X1273" s="45">
        <f t="shared" si="91"/>
        <v>14228.1</v>
      </c>
      <c r="Y1273" s="14" t="s">
        <v>58</v>
      </c>
      <c r="Z1273" s="14" t="s">
        <v>1492</v>
      </c>
      <c r="AA1273" s="14" t="str">
        <f>IFERROR(VLOOKUP(A1273,'[2]UPDATE BILL 2018'!$B:$P,15,0),IFERROR(VLOOKUP(A1273,'[2]UPDATE BILL 2018'!$C:$P,14,0),IFERROR(VLOOKUP(A1273,'[2]UPDATE BILL 2018'!$D:$P,13,0),IFERROR(VLOOKUP(A1273,'[2]UPDATE BILL 2018'!$E:$P,12,0),IFERROR(VLOOKUP(A1273,'[2]UPDATE BILL 2018'!$F:$P,11,0),IFERROR(VLOOKUP(A1273,'[2]UPDATE BILL 2018'!$G:$P,10,0),IFERROR(VLOOKUP(A1273,'[2]UPDATE BILL 2018'!$H:$P,9,0),IFERROR(VLOOKUP(A1273,'[2]UPDATE BILL 2018'!$I:$P,8,0),VLOOKUP(A1273,'[2]UPDATE BILL 2018'!$B:$P,15,0)))))))))</f>
        <v>EGLV237800240466</v>
      </c>
      <c r="AB1273" s="44">
        <f>IFERROR(VLOOKUP(A1273,'[2]UPDATE BILL 2018'!$B:$T,19,0),IFERROR(VLOOKUP(A1273,'[2]UPDATE BILL 2018'!$C:$T,18,0),IFERROR(VLOOKUP(A1273,'[2]UPDATE BILL 2018'!$D:$T,17,0),IFERROR(VLOOKUP(A1273,'[2]UPDATE BILL 2018'!$E:$T,16,0),IFERROR(VLOOKUP(A1273,'[2]UPDATE BILL 2018'!$F:$T,15,0),IFERROR(VLOOKUP(A1273,'[2]UPDATE BILL 2018'!$G:$T,14,0),IFERROR(VLOOKUP(A1273,'[2]UPDATE BILL 2018'!$H:$T,13,0),IFERROR(VLOOKUP(A1273,'[2]UPDATE BILL 2018'!$I:$T,12,0),VLOOKUP(A1273,'[2]UPDATE BILL 2018'!$B:$T,19,0)))))))))</f>
        <v>43323</v>
      </c>
      <c r="AC1273" s="44" t="str">
        <f>IFERROR(VLOOKUP(A1273,'[2]UPDATE BILL 2018'!$B:$V,21,0),IFERROR(VLOOKUP(A1273,'[2]UPDATE BILL 2018'!$C:$V,20,0),IFERROR(VLOOKUP(A1273,'[2]UPDATE BILL 2018'!$D:$V,19,0),IFERROR(VLOOKUP(A1273,'[2]UPDATE BILL 2018'!$E:$V,18,0),IFERROR(VLOOKUP(A1273,'[2]UPDATE BILL 2018'!$F:$V,17,0),IFERROR(VLOOKUP(A1273,'[2]UPDATE BILL 2018'!$G:$V,16,0),IFERROR(VLOOKUP(A1273,'[2]UPDATE BILL 2018'!$H:$V,15,0),IFERROR(VLOOKUP(A1273,'[2]UPDATE BILL 2018'!$I:$V,14,0),VLOOKUP(A1273,'[2]UPDATE BILL 2018'!$B:$V,21,0)))))))))</f>
        <v>UNI-ACCORD 0594-563N</v>
      </c>
      <c r="AD1273" s="14" t="s">
        <v>49</v>
      </c>
      <c r="AE1273" s="24" t="s">
        <v>3318</v>
      </c>
      <c r="AF1273" s="25" t="s">
        <v>2174</v>
      </c>
      <c r="AG1273" t="e">
        <f t="shared" si="88"/>
        <v>#N/A</v>
      </c>
      <c r="AI1273" s="58"/>
    </row>
    <row r="1274" spans="1:35" ht="15.75" customHeight="1">
      <c r="A1274" s="6" t="s">
        <v>3319</v>
      </c>
      <c r="B1274" s="5">
        <v>180</v>
      </c>
      <c r="C1274" s="7">
        <v>6193.4</v>
      </c>
      <c r="D1274" s="7">
        <f t="shared" ref="D1274" si="93">E1274+F1274</f>
        <v>0</v>
      </c>
      <c r="E1274" s="7">
        <v>0</v>
      </c>
      <c r="F1274" s="5">
        <v>0</v>
      </c>
      <c r="G1274" s="7">
        <v>0</v>
      </c>
      <c r="H1274" s="5">
        <v>588</v>
      </c>
      <c r="I1274" s="7">
        <v>69510.47</v>
      </c>
      <c r="J1274" s="7">
        <v>0</v>
      </c>
      <c r="K1274" s="5">
        <v>0</v>
      </c>
      <c r="L1274" s="5">
        <v>0</v>
      </c>
      <c r="M1274" s="5">
        <v>0</v>
      </c>
      <c r="N1274" s="7">
        <f t="shared" ref="N1274" si="94">M1274-K1274</f>
        <v>0</v>
      </c>
      <c r="O1274" s="7">
        <v>0</v>
      </c>
      <c r="P1274" s="7">
        <v>0</v>
      </c>
      <c r="Q1274" s="5">
        <v>0</v>
      </c>
      <c r="S1274" s="7">
        <v>0</v>
      </c>
      <c r="T1274" s="12">
        <v>43316</v>
      </c>
      <c r="U1274" s="4">
        <v>5</v>
      </c>
      <c r="V1274" s="4">
        <v>9</v>
      </c>
      <c r="W1274" s="4">
        <v>9</v>
      </c>
      <c r="X1274" s="45">
        <f t="shared" ref="X1274" si="95">+C1274+G1274+I1274+O1274+S1274</f>
        <v>75703.87</v>
      </c>
      <c r="Y1274" s="14" t="s">
        <v>54</v>
      </c>
      <c r="Z1274" s="14" t="s">
        <v>1355</v>
      </c>
      <c r="AA1274" s="14" t="str">
        <f>IFERROR(VLOOKUP(A1274,'[2]UPDATE BILL 2018'!$B:$P,15,0),IFERROR(VLOOKUP(A1274,'[2]UPDATE BILL 2018'!$C:$P,14,0),IFERROR(VLOOKUP(A1274,'[2]UPDATE BILL 2018'!$D:$P,13,0),IFERROR(VLOOKUP(A1274,'[2]UPDATE BILL 2018'!$E:$P,12,0),IFERROR(VLOOKUP(A1274,'[2]UPDATE BILL 2018'!$F:$P,11,0),IFERROR(VLOOKUP(A1274,'[2]UPDATE BILL 2018'!$G:$P,10,0),IFERROR(VLOOKUP(A1274,'[2]UPDATE BILL 2018'!$H:$P,9,0),IFERROR(VLOOKUP(A1274,'[2]UPDATE BILL 2018'!$I:$P,8,0),VLOOKUP(A1274,'[2]UPDATE BILL 2018'!$B:$P,15,0)))))))))</f>
        <v>SITWHPTK173450</v>
      </c>
      <c r="AB1274" s="44">
        <f>IFERROR(VLOOKUP(A1274,'[2]UPDATE BILL 2018'!$B:$T,19,0),IFERROR(VLOOKUP(A1274,'[2]UPDATE BILL 2018'!$C:$T,18,0),IFERROR(VLOOKUP(A1274,'[2]UPDATE BILL 2018'!$D:$T,17,0),IFERROR(VLOOKUP(A1274,'[2]UPDATE BILL 2018'!$E:$T,16,0),IFERROR(VLOOKUP(A1274,'[2]UPDATE BILL 2018'!$F:$T,15,0),IFERROR(VLOOKUP(A1274,'[2]UPDATE BILL 2018'!$G:$T,14,0),IFERROR(VLOOKUP(A1274,'[2]UPDATE BILL 2018'!$H:$T,13,0),IFERROR(VLOOKUP(A1274,'[2]UPDATE BILL 2018'!$I:$T,12,0),VLOOKUP(A1274,'[2]UPDATE BILL 2018'!$B:$T,19,0)))))))))</f>
        <v>43322</v>
      </c>
      <c r="AC1274" s="44" t="str">
        <f>IFERROR(VLOOKUP(A1274,'[2]UPDATE BILL 2018'!$B:$V,21,0),IFERROR(VLOOKUP(A1274,'[2]UPDATE BILL 2018'!$C:$V,20,0),IFERROR(VLOOKUP(A1274,'[2]UPDATE BILL 2018'!$D:$V,19,0),IFERROR(VLOOKUP(A1274,'[2]UPDATE BILL 2018'!$E:$V,18,0),IFERROR(VLOOKUP(A1274,'[2]UPDATE BILL 2018'!$F:$V,17,0),IFERROR(VLOOKUP(A1274,'[2]UPDATE BILL 2018'!$G:$V,16,0),IFERROR(VLOOKUP(A1274,'[2]UPDATE BILL 2018'!$H:$V,15,0),IFERROR(VLOOKUP(A1274,'[2]UPDATE BILL 2018'!$I:$V,14,0),VLOOKUP(A1274,'[2]UPDATE BILL 2018'!$B:$V,21,0)))))))))</f>
        <v>HYUNDAI HARMONY 1831N</v>
      </c>
      <c r="AD1274" s="14" t="s">
        <v>49</v>
      </c>
      <c r="AE1274" s="24" t="s">
        <v>3324</v>
      </c>
      <c r="AF1274" s="25" t="str">
        <f t="shared" ref="AF1274" si="96">+LEFT(AE1274,2)</f>
        <v>VK</v>
      </c>
      <c r="AG1274" t="e">
        <f t="shared" si="88"/>
        <v>#REF!</v>
      </c>
      <c r="AI1274" s="58"/>
    </row>
    <row r="1275" spans="1:35" ht="15.75" customHeight="1">
      <c r="A1275" s="6" t="s">
        <v>3320</v>
      </c>
      <c r="B1275" s="5">
        <v>129</v>
      </c>
      <c r="C1275" s="7">
        <v>12721.7</v>
      </c>
      <c r="D1275" s="7">
        <f t="shared" ref="D1275:D1278" si="97">E1275+F1275</f>
        <v>0</v>
      </c>
      <c r="E1275" s="7">
        <v>0</v>
      </c>
      <c r="F1275" s="5">
        <v>0</v>
      </c>
      <c r="G1275" s="7">
        <v>0</v>
      </c>
      <c r="H1275" s="5">
        <v>311</v>
      </c>
      <c r="I1275" s="7">
        <v>10972.799999999997</v>
      </c>
      <c r="J1275" s="7">
        <v>0</v>
      </c>
      <c r="K1275" s="5">
        <v>0</v>
      </c>
      <c r="L1275" s="5">
        <v>0</v>
      </c>
      <c r="M1275" s="5">
        <v>148</v>
      </c>
      <c r="N1275" s="7">
        <f t="shared" ref="N1275:N1278" si="98">M1275-K1275</f>
        <v>148</v>
      </c>
      <c r="O1275" s="7">
        <v>11764.5</v>
      </c>
      <c r="P1275" s="7">
        <v>0</v>
      </c>
      <c r="Q1275" s="5">
        <v>0</v>
      </c>
      <c r="R1275" s="5">
        <v>97</v>
      </c>
      <c r="S1275" s="7">
        <v>4863.3999999999996</v>
      </c>
      <c r="T1275" s="12">
        <v>43316</v>
      </c>
      <c r="U1275" s="4">
        <v>3</v>
      </c>
      <c r="V1275" s="4">
        <v>9</v>
      </c>
      <c r="W1275" s="4">
        <v>9</v>
      </c>
      <c r="X1275" s="45">
        <f t="shared" ref="X1275:X1278" si="99">+C1275+G1275+I1275+O1275+S1275</f>
        <v>40322.400000000001</v>
      </c>
      <c r="Y1275" s="14" t="s">
        <v>54</v>
      </c>
      <c r="Z1275" s="14" t="s">
        <v>59</v>
      </c>
      <c r="AA1275" s="14" t="str">
        <f>IFERROR(VLOOKUP(A1275,'[2]UPDATE BILL 2018'!$B:$P,15,0),IFERROR(VLOOKUP(A1275,'[2]UPDATE BILL 2018'!$C:$P,14,0),IFERROR(VLOOKUP(A1275,'[2]UPDATE BILL 2018'!$D:$P,13,0),IFERROR(VLOOKUP(A1275,'[2]UPDATE BILL 2018'!$E:$P,12,0),IFERROR(VLOOKUP(A1275,'[2]UPDATE BILL 2018'!$F:$P,11,0),IFERROR(VLOOKUP(A1275,'[2]UPDATE BILL 2018'!$G:$P,10,0),IFERROR(VLOOKUP(A1275,'[2]UPDATE BILL 2018'!$H:$P,9,0),IFERROR(VLOOKUP(A1275,'[2]UPDATE BILL 2018'!$I:$P,8,0),VLOOKUP(A1275,'[2]UPDATE BILL 2018'!$B:$P,15,0)))))))))</f>
        <v>SITWHPKW173443</v>
      </c>
      <c r="AB1275" s="44">
        <f>IFERROR(VLOOKUP(A1275,'[2]UPDATE BILL 2018'!$B:$T,19,0),IFERROR(VLOOKUP(A1275,'[2]UPDATE BILL 2018'!$C:$T,18,0),IFERROR(VLOOKUP(A1275,'[2]UPDATE BILL 2018'!$D:$T,17,0),IFERROR(VLOOKUP(A1275,'[2]UPDATE BILL 2018'!$E:$T,16,0),IFERROR(VLOOKUP(A1275,'[2]UPDATE BILL 2018'!$F:$T,15,0),IFERROR(VLOOKUP(A1275,'[2]UPDATE BILL 2018'!$G:$T,14,0),IFERROR(VLOOKUP(A1275,'[2]UPDATE BILL 2018'!$H:$T,13,0),IFERROR(VLOOKUP(A1275,'[2]UPDATE BILL 2018'!$I:$T,12,0),VLOOKUP(A1275,'[2]UPDATE BILL 2018'!$B:$T,19,0)))))))))</f>
        <v>43322</v>
      </c>
      <c r="AC1275" s="44" t="str">
        <f>IFERROR(VLOOKUP(A1275,'[2]UPDATE BILL 2018'!$B:$V,21,0),IFERROR(VLOOKUP(A1275,'[2]UPDATE BILL 2018'!$C:$V,20,0),IFERROR(VLOOKUP(A1275,'[2]UPDATE BILL 2018'!$D:$V,19,0),IFERROR(VLOOKUP(A1275,'[2]UPDATE BILL 2018'!$E:$V,18,0),IFERROR(VLOOKUP(A1275,'[2]UPDATE BILL 2018'!$F:$V,17,0),IFERROR(VLOOKUP(A1275,'[2]UPDATE BILL 2018'!$G:$V,16,0),IFERROR(VLOOKUP(A1275,'[2]UPDATE BILL 2018'!$H:$V,15,0),IFERROR(VLOOKUP(A1275,'[2]UPDATE BILL 2018'!$I:$V,14,0),VLOOKUP(A1275,'[2]UPDATE BILL 2018'!$B:$V,21,0)))))))))</f>
        <v>HYUNDAI HARMONY 1831N</v>
      </c>
      <c r="AD1275" s="14" t="s">
        <v>50</v>
      </c>
      <c r="AE1275" s="24" t="s">
        <v>3325</v>
      </c>
      <c r="AF1275" s="25" t="str">
        <f t="shared" ref="AF1275:AF1300" si="100">+LEFT(AE1275,2)</f>
        <v>VW</v>
      </c>
      <c r="AG1275" t="e">
        <f t="shared" si="88"/>
        <v>#REF!</v>
      </c>
      <c r="AI1275" s="58"/>
    </row>
    <row r="1276" spans="1:35" ht="15.75" customHeight="1">
      <c r="A1276" s="6" t="s">
        <v>3321</v>
      </c>
      <c r="B1276" s="5">
        <v>279</v>
      </c>
      <c r="C1276" s="7">
        <v>16597.699999999997</v>
      </c>
      <c r="D1276" s="7">
        <f t="shared" si="97"/>
        <v>0</v>
      </c>
      <c r="E1276" s="7">
        <v>0</v>
      </c>
      <c r="F1276" s="5">
        <v>0</v>
      </c>
      <c r="G1276" s="7">
        <v>0</v>
      </c>
      <c r="H1276" s="5">
        <v>541</v>
      </c>
      <c r="I1276" s="7">
        <v>45859.549999999988</v>
      </c>
      <c r="J1276" s="7">
        <v>0</v>
      </c>
      <c r="K1276" s="5">
        <v>0</v>
      </c>
      <c r="L1276" s="5">
        <v>0</v>
      </c>
      <c r="M1276" s="5">
        <v>94</v>
      </c>
      <c r="N1276" s="7">
        <f t="shared" si="98"/>
        <v>94</v>
      </c>
      <c r="O1276" s="7">
        <v>5345.1</v>
      </c>
      <c r="P1276" s="7">
        <v>0</v>
      </c>
      <c r="Q1276" s="5">
        <v>0</v>
      </c>
      <c r="R1276" s="5">
        <v>70</v>
      </c>
      <c r="S1276" s="7">
        <v>3506.2</v>
      </c>
      <c r="T1276" s="12">
        <v>43316</v>
      </c>
      <c r="U1276" s="4">
        <v>5</v>
      </c>
      <c r="V1276" s="4">
        <v>9</v>
      </c>
      <c r="W1276" s="4">
        <v>9</v>
      </c>
      <c r="X1276" s="45">
        <f t="shared" si="99"/>
        <v>71308.549999999988</v>
      </c>
      <c r="Y1276" s="14" t="s">
        <v>54</v>
      </c>
      <c r="Z1276" s="14" t="s">
        <v>1281</v>
      </c>
      <c r="AA1276" s="14" t="str">
        <f>IFERROR(VLOOKUP(A1276,'[2]UPDATE BILL 2018'!$B:$P,15,0),IFERROR(VLOOKUP(A1276,'[2]UPDATE BILL 2018'!$C:$P,14,0),IFERROR(VLOOKUP(A1276,'[2]UPDATE BILL 2018'!$D:$P,13,0),IFERROR(VLOOKUP(A1276,'[2]UPDATE BILL 2018'!$E:$P,12,0),IFERROR(VLOOKUP(A1276,'[2]UPDATE BILL 2018'!$F:$P,11,0),IFERROR(VLOOKUP(A1276,'[2]UPDATE BILL 2018'!$G:$P,10,0),IFERROR(VLOOKUP(A1276,'[2]UPDATE BILL 2018'!$H:$P,9,0),IFERROR(VLOOKUP(A1276,'[2]UPDATE BILL 2018'!$I:$P,8,0),VLOOKUP(A1276,'[2]UPDATE BILL 2018'!$B:$P,15,0)))))))))</f>
        <v>SITWHPOS174211</v>
      </c>
      <c r="AB1276" s="44">
        <f>IFERROR(VLOOKUP(A1276,'[2]UPDATE BILL 2018'!$B:$T,19,0),IFERROR(VLOOKUP(A1276,'[2]UPDATE BILL 2018'!$C:$T,18,0),IFERROR(VLOOKUP(A1276,'[2]UPDATE BILL 2018'!$D:$T,17,0),IFERROR(VLOOKUP(A1276,'[2]UPDATE BILL 2018'!$E:$T,16,0),IFERROR(VLOOKUP(A1276,'[2]UPDATE BILL 2018'!$F:$T,15,0),IFERROR(VLOOKUP(A1276,'[2]UPDATE BILL 2018'!$G:$T,14,0),IFERROR(VLOOKUP(A1276,'[2]UPDATE BILL 2018'!$H:$T,13,0),IFERROR(VLOOKUP(A1276,'[2]UPDATE BILL 2018'!$I:$T,12,0),VLOOKUP(A1276,'[2]UPDATE BILL 2018'!$B:$T,19,0)))))))))</f>
        <v>43317</v>
      </c>
      <c r="AC1276" s="44" t="str">
        <f>IFERROR(VLOOKUP(A1276,'[2]UPDATE BILL 2018'!$B:$V,21,0),IFERROR(VLOOKUP(A1276,'[2]UPDATE BILL 2018'!$C:$V,20,0),IFERROR(VLOOKUP(A1276,'[2]UPDATE BILL 2018'!$D:$V,19,0),IFERROR(VLOOKUP(A1276,'[2]UPDATE BILL 2018'!$E:$V,18,0),IFERROR(VLOOKUP(A1276,'[2]UPDATE BILL 2018'!$F:$V,17,0),IFERROR(VLOOKUP(A1276,'[2]UPDATE BILL 2018'!$G:$V,16,0),IFERROR(VLOOKUP(A1276,'[2]UPDATE BILL 2018'!$H:$V,15,0),IFERROR(VLOOKUP(A1276,'[2]UPDATE BILL 2018'!$I:$V,14,0),VLOOKUP(A1276,'[2]UPDATE BILL 2018'!$B:$V,21,0)))))))))</f>
        <v>HANSE ENERGY 1821N</v>
      </c>
      <c r="AD1276" s="14" t="s">
        <v>51</v>
      </c>
      <c r="AE1276" s="24" t="s">
        <v>3326</v>
      </c>
      <c r="AF1276" s="25" t="str">
        <f t="shared" si="100"/>
        <v>VS</v>
      </c>
      <c r="AG1276" t="e">
        <f t="shared" si="88"/>
        <v>#REF!</v>
      </c>
      <c r="AI1276" s="58"/>
    </row>
    <row r="1277" spans="1:35" ht="15.75" customHeight="1">
      <c r="A1277" s="6" t="s">
        <v>3322</v>
      </c>
      <c r="B1277" s="5">
        <v>57</v>
      </c>
      <c r="C1277" s="7">
        <v>7358.5</v>
      </c>
      <c r="D1277" s="7">
        <f t="shared" si="97"/>
        <v>0</v>
      </c>
      <c r="E1277" s="7">
        <v>0</v>
      </c>
      <c r="F1277" s="5">
        <v>0</v>
      </c>
      <c r="G1277" s="7">
        <v>0</v>
      </c>
      <c r="H1277" s="5">
        <v>35</v>
      </c>
      <c r="I1277" s="7">
        <v>5210.6499999999996</v>
      </c>
      <c r="J1277" s="7">
        <v>0</v>
      </c>
      <c r="K1277" s="5">
        <v>0</v>
      </c>
      <c r="L1277" s="5">
        <v>0</v>
      </c>
      <c r="M1277" s="5">
        <v>0</v>
      </c>
      <c r="N1277" s="7">
        <f t="shared" si="98"/>
        <v>0</v>
      </c>
      <c r="O1277" s="7">
        <v>0</v>
      </c>
      <c r="P1277" s="7">
        <v>0</v>
      </c>
      <c r="Q1277" s="5">
        <v>0</v>
      </c>
      <c r="S1277" s="7">
        <v>0</v>
      </c>
      <c r="T1277" s="12">
        <v>43316</v>
      </c>
      <c r="U1277" s="4">
        <v>1</v>
      </c>
      <c r="V1277" s="4">
        <v>9</v>
      </c>
      <c r="W1277" s="4">
        <v>9</v>
      </c>
      <c r="X1277" s="45">
        <f t="shared" si="99"/>
        <v>12569.15</v>
      </c>
      <c r="Y1277" s="14" t="s">
        <v>54</v>
      </c>
      <c r="Z1277" s="14" t="s">
        <v>1281</v>
      </c>
      <c r="AA1277" s="14" t="str">
        <f>IFERROR(VLOOKUP(A1277,'[2]UPDATE BILL 2018'!$B:$P,15,0),IFERROR(VLOOKUP(A1277,'[2]UPDATE BILL 2018'!$C:$P,14,0),IFERROR(VLOOKUP(A1277,'[2]UPDATE BILL 2018'!$D:$P,13,0),IFERROR(VLOOKUP(A1277,'[2]UPDATE BILL 2018'!$E:$P,12,0),IFERROR(VLOOKUP(A1277,'[2]UPDATE BILL 2018'!$F:$P,11,0),IFERROR(VLOOKUP(A1277,'[2]UPDATE BILL 2018'!$G:$P,10,0),IFERROR(VLOOKUP(A1277,'[2]UPDATE BILL 2018'!$H:$P,9,0),IFERROR(VLOOKUP(A1277,'[2]UPDATE BILL 2018'!$I:$P,8,0),VLOOKUP(A1277,'[2]UPDATE BILL 2018'!$B:$P,15,0)))))))))</f>
        <v>SITWHPHT173452</v>
      </c>
      <c r="AB1277" s="44">
        <f>IFERROR(VLOOKUP(A1277,'[2]UPDATE BILL 2018'!$B:$T,19,0),IFERROR(VLOOKUP(A1277,'[2]UPDATE BILL 2018'!$C:$T,18,0),IFERROR(VLOOKUP(A1277,'[2]UPDATE BILL 2018'!$D:$T,17,0),IFERROR(VLOOKUP(A1277,'[2]UPDATE BILL 2018'!$E:$T,16,0),IFERROR(VLOOKUP(A1277,'[2]UPDATE BILL 2018'!$F:$T,15,0),IFERROR(VLOOKUP(A1277,'[2]UPDATE BILL 2018'!$G:$T,14,0),IFERROR(VLOOKUP(A1277,'[2]UPDATE BILL 2018'!$H:$T,13,0),IFERROR(VLOOKUP(A1277,'[2]UPDATE BILL 2018'!$I:$T,12,0),VLOOKUP(A1277,'[2]UPDATE BILL 2018'!$B:$T,19,0)))))))))</f>
        <v>43317</v>
      </c>
      <c r="AC1277" s="44" t="str">
        <f>IFERROR(VLOOKUP(A1277,'[2]UPDATE BILL 2018'!$B:$V,21,0),IFERROR(VLOOKUP(A1277,'[2]UPDATE BILL 2018'!$C:$V,20,0),IFERROR(VLOOKUP(A1277,'[2]UPDATE BILL 2018'!$D:$V,19,0),IFERROR(VLOOKUP(A1277,'[2]UPDATE BILL 2018'!$E:$V,18,0),IFERROR(VLOOKUP(A1277,'[2]UPDATE BILL 2018'!$F:$V,17,0),IFERROR(VLOOKUP(A1277,'[2]UPDATE BILL 2018'!$G:$V,16,0),IFERROR(VLOOKUP(A1277,'[2]UPDATE BILL 2018'!$H:$V,15,0),IFERROR(VLOOKUP(A1277,'[2]UPDATE BILL 2018'!$I:$V,14,0),VLOOKUP(A1277,'[2]UPDATE BILL 2018'!$B:$V,21,0)))))))))</f>
        <v>HANSE ENERGY 1821N</v>
      </c>
      <c r="AD1277" s="14" t="s">
        <v>52</v>
      </c>
      <c r="AE1277" s="24" t="s">
        <v>3327</v>
      </c>
      <c r="AF1277" s="25" t="str">
        <f t="shared" si="100"/>
        <v>VQ</v>
      </c>
      <c r="AG1277" t="e">
        <f t="shared" si="88"/>
        <v>#REF!</v>
      </c>
      <c r="AI1277" s="58"/>
    </row>
    <row r="1278" spans="1:35" ht="15.75" customHeight="1">
      <c r="A1278" s="6" t="s">
        <v>3323</v>
      </c>
      <c r="B1278" s="5">
        <v>164</v>
      </c>
      <c r="C1278" s="7">
        <v>17080.300000000003</v>
      </c>
      <c r="D1278" s="7">
        <f t="shared" si="97"/>
        <v>0</v>
      </c>
      <c r="E1278" s="7">
        <v>0</v>
      </c>
      <c r="F1278" s="5">
        <v>0</v>
      </c>
      <c r="G1278" s="7">
        <v>0</v>
      </c>
      <c r="H1278" s="5">
        <v>0</v>
      </c>
      <c r="I1278" s="7">
        <v>0</v>
      </c>
      <c r="J1278" s="7">
        <v>0</v>
      </c>
      <c r="K1278" s="5">
        <v>0</v>
      </c>
      <c r="L1278" s="5">
        <v>0</v>
      </c>
      <c r="M1278" s="5">
        <v>0</v>
      </c>
      <c r="N1278" s="7">
        <f t="shared" si="98"/>
        <v>0</v>
      </c>
      <c r="O1278" s="7">
        <v>0</v>
      </c>
      <c r="P1278" s="7">
        <v>0</v>
      </c>
      <c r="Q1278" s="5">
        <v>0</v>
      </c>
      <c r="R1278" s="5">
        <v>174</v>
      </c>
      <c r="S1278" s="7">
        <v>22380.400000000001</v>
      </c>
      <c r="T1278" s="12">
        <v>43316</v>
      </c>
      <c r="U1278" s="4">
        <v>3</v>
      </c>
      <c r="V1278" s="4">
        <v>9</v>
      </c>
      <c r="W1278" s="4">
        <v>9</v>
      </c>
      <c r="X1278" s="45">
        <f t="shared" si="99"/>
        <v>39460.700000000004</v>
      </c>
      <c r="Y1278" s="14" t="s">
        <v>85</v>
      </c>
      <c r="Z1278" s="14" t="s">
        <v>1492</v>
      </c>
      <c r="AA1278" s="14">
        <f>IFERROR(VLOOKUP(A1278,'[2]UPDATE BILL 2018'!$B:$P,15,0),IFERROR(VLOOKUP(A1278,'[2]UPDATE BILL 2018'!$C:$P,14,0),IFERROR(VLOOKUP(A1278,'[2]UPDATE BILL 2018'!$D:$P,13,0),IFERROR(VLOOKUP(A1278,'[2]UPDATE BILL 2018'!$E:$P,12,0),IFERROR(VLOOKUP(A1278,'[2]UPDATE BILL 2018'!$F:$P,11,0),IFERROR(VLOOKUP(A1278,'[2]UPDATE BILL 2018'!$G:$P,10,0),IFERROR(VLOOKUP(A1278,'[2]UPDATE BILL 2018'!$H:$P,9,0),IFERROR(VLOOKUP(A1278,'[2]UPDATE BILL 2018'!$I:$P,8,0),VLOOKUP(A1278,'[2]UPDATE BILL 2018'!$B:$P,15,0)))))))))</f>
        <v>350810086955</v>
      </c>
      <c r="AB1278" s="44">
        <f>IFERROR(VLOOKUP(A1278,'[2]UPDATE BILL 2018'!$B:$T,19,0),IFERROR(VLOOKUP(A1278,'[2]UPDATE BILL 2018'!$C:$T,18,0),IFERROR(VLOOKUP(A1278,'[2]UPDATE BILL 2018'!$D:$T,17,0),IFERROR(VLOOKUP(A1278,'[2]UPDATE BILL 2018'!$E:$T,16,0),IFERROR(VLOOKUP(A1278,'[2]UPDATE BILL 2018'!$F:$T,15,0),IFERROR(VLOOKUP(A1278,'[2]UPDATE BILL 2018'!$G:$T,14,0),IFERROR(VLOOKUP(A1278,'[2]UPDATE BILL 2018'!$H:$T,13,0),IFERROR(VLOOKUP(A1278,'[2]UPDATE BILL 2018'!$I:$T,12,0),VLOOKUP(A1278,'[2]UPDATE BILL 2018'!$B:$T,19,0)))))))))</f>
        <v>43320</v>
      </c>
      <c r="AC1278" s="44" t="str">
        <f>IFERROR(VLOOKUP(A1278,'[2]UPDATE BILL 2018'!$B:$V,21,0),IFERROR(VLOOKUP(A1278,'[2]UPDATE BILL 2018'!$C:$V,20,0),IFERROR(VLOOKUP(A1278,'[2]UPDATE BILL 2018'!$D:$V,19,0),IFERROR(VLOOKUP(A1278,'[2]UPDATE BILL 2018'!$E:$V,18,0),IFERROR(VLOOKUP(A1278,'[2]UPDATE BILL 2018'!$F:$V,17,0),IFERROR(VLOOKUP(A1278,'[2]UPDATE BILL 2018'!$G:$V,16,0),IFERROR(VLOOKUP(A1278,'[2]UPDATE BILL 2018'!$H:$V,15,0),IFERROR(VLOOKUP(A1278,'[2]UPDATE BILL 2018'!$I:$V,14,0),VLOOKUP(A1278,'[2]UPDATE BILL 2018'!$B:$V,21,0)))))))))</f>
        <v>HANSE ENDURANCE 18012N</v>
      </c>
      <c r="AD1278" s="14" t="s">
        <v>600</v>
      </c>
      <c r="AE1278" s="24" t="s">
        <v>3328</v>
      </c>
      <c r="AF1278" s="25" t="s">
        <v>2373</v>
      </c>
      <c r="AG1278" t="e">
        <f t="shared" si="88"/>
        <v>#N/A</v>
      </c>
      <c r="AI1278" s="58"/>
    </row>
    <row r="1279" spans="1:35" ht="15.75" customHeight="1">
      <c r="A1279" s="6" t="s">
        <v>3329</v>
      </c>
      <c r="B1279" s="5">
        <v>106</v>
      </c>
      <c r="C1279" s="7">
        <v>12293.6</v>
      </c>
      <c r="D1279" s="7">
        <f t="shared" ref="D1279" si="101">E1279+F1279</f>
        <v>0</v>
      </c>
      <c r="E1279" s="7">
        <v>0</v>
      </c>
      <c r="F1279" s="5">
        <v>0</v>
      </c>
      <c r="G1279" s="7">
        <v>0</v>
      </c>
      <c r="H1279" s="5">
        <v>0</v>
      </c>
      <c r="I1279" s="7">
        <v>0</v>
      </c>
      <c r="J1279" s="7">
        <v>0</v>
      </c>
      <c r="K1279" s="5">
        <v>0</v>
      </c>
      <c r="L1279" s="5">
        <v>0</v>
      </c>
      <c r="M1279" s="5">
        <v>0</v>
      </c>
      <c r="N1279" s="7">
        <f t="shared" ref="N1279" si="102">M1279-K1279</f>
        <v>0</v>
      </c>
      <c r="O1279" s="7">
        <v>0</v>
      </c>
      <c r="P1279" s="7">
        <v>0</v>
      </c>
      <c r="Q1279" s="5">
        <v>0</v>
      </c>
      <c r="S1279" s="7">
        <v>0</v>
      </c>
      <c r="T1279" s="12">
        <v>43316</v>
      </c>
      <c r="U1279" s="4">
        <v>1</v>
      </c>
      <c r="V1279" s="4">
        <v>9</v>
      </c>
      <c r="W1279" s="4">
        <v>9</v>
      </c>
      <c r="X1279" s="45">
        <f t="shared" ref="X1279" si="103">+C1279+G1279+I1279+O1279+S1279</f>
        <v>12293.6</v>
      </c>
      <c r="Y1279" s="14" t="s">
        <v>85</v>
      </c>
      <c r="Z1279" s="14" t="s">
        <v>57</v>
      </c>
      <c r="AA1279" s="14">
        <f>IFERROR(VLOOKUP(A1279,'[2]UPDATE BILL 2018'!$B:$P,15,0),IFERROR(VLOOKUP(A1279,'[2]UPDATE BILL 2018'!$C:$P,14,0),IFERROR(VLOOKUP(A1279,'[2]UPDATE BILL 2018'!$D:$P,13,0),IFERROR(VLOOKUP(A1279,'[2]UPDATE BILL 2018'!$E:$P,12,0),IFERROR(VLOOKUP(A1279,'[2]UPDATE BILL 2018'!$F:$P,11,0),IFERROR(VLOOKUP(A1279,'[2]UPDATE BILL 2018'!$G:$P,10,0),IFERROR(VLOOKUP(A1279,'[2]UPDATE BILL 2018'!$H:$P,9,0),IFERROR(VLOOKUP(A1279,'[2]UPDATE BILL 2018'!$I:$P,8,0),VLOOKUP(A1279,'[2]UPDATE BILL 2018'!$B:$P,15,0)))))))))</f>
        <v>350810091188</v>
      </c>
      <c r="AB1279" s="44">
        <f>IFERROR(VLOOKUP(A1279,'[2]UPDATE BILL 2018'!$B:$T,19,0),IFERROR(VLOOKUP(A1279,'[2]UPDATE BILL 2018'!$C:$T,18,0),IFERROR(VLOOKUP(A1279,'[2]UPDATE BILL 2018'!$D:$T,17,0),IFERROR(VLOOKUP(A1279,'[2]UPDATE BILL 2018'!$E:$T,16,0),IFERROR(VLOOKUP(A1279,'[2]UPDATE BILL 2018'!$F:$T,15,0),IFERROR(VLOOKUP(A1279,'[2]UPDATE BILL 2018'!$G:$T,14,0),IFERROR(VLOOKUP(A1279,'[2]UPDATE BILL 2018'!$H:$T,13,0),IFERROR(VLOOKUP(A1279,'[2]UPDATE BILL 2018'!$I:$T,12,0),VLOOKUP(A1279,'[2]UPDATE BILL 2018'!$B:$T,19,0)))))))))</f>
        <v>43325</v>
      </c>
      <c r="AC1279" s="44" t="str">
        <f>IFERROR(VLOOKUP(A1279,'[2]UPDATE BILL 2018'!$B:$V,21,0),IFERROR(VLOOKUP(A1279,'[2]UPDATE BILL 2018'!$C:$V,20,0),IFERROR(VLOOKUP(A1279,'[2]UPDATE BILL 2018'!$D:$V,19,0),IFERROR(VLOOKUP(A1279,'[2]UPDATE BILL 2018'!$E:$V,18,0),IFERROR(VLOOKUP(A1279,'[2]UPDATE BILL 2018'!$F:$V,17,0),IFERROR(VLOOKUP(A1279,'[2]UPDATE BILL 2018'!$G:$V,16,0),IFERROR(VLOOKUP(A1279,'[2]UPDATE BILL 2018'!$H:$V,15,0),IFERROR(VLOOKUP(A1279,'[2]UPDATE BILL 2018'!$I:$V,14,0),VLOOKUP(A1279,'[2]UPDATE BILL 2018'!$B:$V,21,0)))))))))</f>
        <v>LANTAU BEE 18011N</v>
      </c>
      <c r="AD1279" s="14" t="s">
        <v>52</v>
      </c>
      <c r="AE1279" s="24" t="s">
        <v>3333</v>
      </c>
      <c r="AF1279" s="25" t="str">
        <f t="shared" si="100"/>
        <v>VQ</v>
      </c>
      <c r="AG1279" t="e">
        <f t="shared" si="88"/>
        <v>#REF!</v>
      </c>
      <c r="AI1279" s="58"/>
    </row>
    <row r="1280" spans="1:35" ht="15.75" customHeight="1">
      <c r="A1280" s="6" t="s">
        <v>3330</v>
      </c>
      <c r="B1280" s="5">
        <v>733</v>
      </c>
      <c r="C1280" s="7">
        <v>86136.000000000015</v>
      </c>
      <c r="D1280" s="7">
        <f t="shared" ref="D1280:D1343" si="104">E1280+F1280</f>
        <v>0</v>
      </c>
      <c r="E1280" s="7">
        <v>0</v>
      </c>
      <c r="F1280" s="5">
        <v>0</v>
      </c>
      <c r="G1280" s="7">
        <v>0</v>
      </c>
      <c r="H1280" s="5">
        <v>235</v>
      </c>
      <c r="I1280" s="7">
        <v>26785.05</v>
      </c>
      <c r="J1280" s="7">
        <v>0</v>
      </c>
      <c r="K1280" s="5">
        <v>0</v>
      </c>
      <c r="L1280" s="5">
        <v>0</v>
      </c>
      <c r="M1280" s="5">
        <v>71</v>
      </c>
      <c r="N1280" s="7">
        <f t="shared" ref="N1280:N1343" si="105">M1280-K1280</f>
        <v>71</v>
      </c>
      <c r="O1280" s="7">
        <v>10527</v>
      </c>
      <c r="P1280" s="7">
        <v>0</v>
      </c>
      <c r="Q1280" s="5">
        <v>0</v>
      </c>
      <c r="S1280" s="7">
        <v>0</v>
      </c>
      <c r="T1280" s="12">
        <v>43316</v>
      </c>
      <c r="U1280" s="4">
        <v>10</v>
      </c>
      <c r="V1280" s="4">
        <v>9</v>
      </c>
      <c r="W1280" s="4">
        <v>9</v>
      </c>
      <c r="X1280" s="45">
        <f t="shared" ref="X1280:X1343" si="106">+C1280+G1280+I1280+O1280+S1280</f>
        <v>123448.05000000002</v>
      </c>
      <c r="Y1280" s="14" t="s">
        <v>56</v>
      </c>
      <c r="Z1280" s="14" t="s">
        <v>59</v>
      </c>
      <c r="AA1280" s="14" t="str">
        <f>IFERROR(VLOOKUP(A1280,'[2]UPDATE BILL 2018'!$B:$P,15,0),IFERROR(VLOOKUP(A1280,'[2]UPDATE BILL 2018'!$C:$P,14,0),IFERROR(VLOOKUP(A1280,'[2]UPDATE BILL 2018'!$D:$P,13,0),IFERROR(VLOOKUP(A1280,'[2]UPDATE BILL 2018'!$E:$P,12,0),IFERROR(VLOOKUP(A1280,'[2]UPDATE BILL 2018'!$F:$P,11,0),IFERROR(VLOOKUP(A1280,'[2]UPDATE BILL 2018'!$G:$P,10,0),IFERROR(VLOOKUP(A1280,'[2]UPDATE BILL 2018'!$H:$P,9,0),IFERROR(VLOOKUP(A1280,'[2]UPDATE BILL 2018'!$I:$P,8,0),VLOOKUP(A1280,'[2]UPDATE BILL 2018'!$B:$P,15,0)))))))))</f>
        <v>1008X04109</v>
      </c>
      <c r="AB1280" s="44">
        <f>IFERROR(VLOOKUP(A1280,'[2]UPDATE BILL 2018'!$B:$T,19,0),IFERROR(VLOOKUP(A1280,'[2]UPDATE BILL 2018'!$C:$T,18,0),IFERROR(VLOOKUP(A1280,'[2]UPDATE BILL 2018'!$D:$T,17,0),IFERROR(VLOOKUP(A1280,'[2]UPDATE BILL 2018'!$E:$T,16,0),IFERROR(VLOOKUP(A1280,'[2]UPDATE BILL 2018'!$F:$T,15,0),IFERROR(VLOOKUP(A1280,'[2]UPDATE BILL 2018'!$G:$T,14,0),IFERROR(VLOOKUP(A1280,'[2]UPDATE BILL 2018'!$H:$T,13,0),IFERROR(VLOOKUP(A1280,'[2]UPDATE BILL 2018'!$I:$T,12,0),VLOOKUP(A1280,'[2]UPDATE BILL 2018'!$B:$T,19,0)))))))))</f>
        <v>43320</v>
      </c>
      <c r="AC1280" s="44" t="str">
        <f>IFERROR(VLOOKUP(A1280,'[2]UPDATE BILL 2018'!$B:$V,21,0),IFERROR(VLOOKUP(A1280,'[2]UPDATE BILL 2018'!$C:$V,20,0),IFERROR(VLOOKUP(A1280,'[2]UPDATE BILL 2018'!$D:$V,19,0),IFERROR(VLOOKUP(A1280,'[2]UPDATE BILL 2018'!$E:$V,18,0),IFERROR(VLOOKUP(A1280,'[2]UPDATE BILL 2018'!$F:$V,17,0),IFERROR(VLOOKUP(A1280,'[2]UPDATE BILL 2018'!$G:$V,16,0),IFERROR(VLOOKUP(A1280,'[2]UPDATE BILL 2018'!$H:$V,15,0),IFERROR(VLOOKUP(A1280,'[2]UPDATE BILL 2018'!$I:$V,14,0),VLOOKUP(A1280,'[2]UPDATE BILL 2018'!$B:$V,21,0)))))))))</f>
        <v xml:space="preserve"> AS FRIDA N006</v>
      </c>
      <c r="AD1280" s="14" t="s">
        <v>51</v>
      </c>
      <c r="AE1280" s="24" t="s">
        <v>3334</v>
      </c>
      <c r="AF1280" s="25" t="str">
        <f t="shared" si="100"/>
        <v>VS</v>
      </c>
      <c r="AG1280" t="e">
        <f t="shared" si="88"/>
        <v>#REF!</v>
      </c>
      <c r="AI1280" s="58"/>
    </row>
    <row r="1281" spans="1:35" ht="15.75" customHeight="1">
      <c r="A1281" s="6" t="s">
        <v>3331</v>
      </c>
      <c r="B1281" s="5">
        <v>668</v>
      </c>
      <c r="C1281" s="7">
        <v>73320.2</v>
      </c>
      <c r="D1281" s="7">
        <f t="shared" si="104"/>
        <v>0</v>
      </c>
      <c r="E1281" s="7">
        <v>0</v>
      </c>
      <c r="F1281" s="5">
        <v>0</v>
      </c>
      <c r="G1281" s="7">
        <v>0</v>
      </c>
      <c r="H1281" s="5">
        <v>0</v>
      </c>
      <c r="I1281" s="7">
        <v>0</v>
      </c>
      <c r="J1281" s="7">
        <v>0</v>
      </c>
      <c r="K1281" s="5">
        <v>0</v>
      </c>
      <c r="L1281" s="5">
        <v>0</v>
      </c>
      <c r="M1281" s="5">
        <v>190</v>
      </c>
      <c r="N1281" s="7">
        <f t="shared" si="105"/>
        <v>190</v>
      </c>
      <c r="O1281" s="7">
        <v>38860</v>
      </c>
      <c r="P1281" s="7">
        <v>0</v>
      </c>
      <c r="Q1281" s="5">
        <v>0</v>
      </c>
      <c r="S1281" s="7">
        <v>0</v>
      </c>
      <c r="T1281" s="12">
        <v>43316</v>
      </c>
      <c r="U1281" s="4">
        <v>10</v>
      </c>
      <c r="V1281" s="4">
        <v>9</v>
      </c>
      <c r="W1281" s="4">
        <v>9</v>
      </c>
      <c r="X1281" s="45">
        <f t="shared" si="106"/>
        <v>112180.2</v>
      </c>
      <c r="Y1281" s="14" t="s">
        <v>54</v>
      </c>
      <c r="Z1281" s="14" t="s">
        <v>57</v>
      </c>
      <c r="AA1281" s="14" t="str">
        <f>IFERROR(VLOOKUP(A1281,'[2]UPDATE BILL 2018'!$B:$P,15,0),IFERROR(VLOOKUP(A1281,'[2]UPDATE BILL 2018'!$C:$P,14,0),IFERROR(VLOOKUP(A1281,'[2]UPDATE BILL 2018'!$D:$P,13,0),IFERROR(VLOOKUP(A1281,'[2]UPDATE BILL 2018'!$E:$P,12,0),IFERROR(VLOOKUP(A1281,'[2]UPDATE BILL 2018'!$F:$P,11,0),IFERROR(VLOOKUP(A1281,'[2]UPDATE BILL 2018'!$G:$P,10,0),IFERROR(VLOOKUP(A1281,'[2]UPDATE BILL 2018'!$H:$P,9,0),IFERROR(VLOOKUP(A1281,'[2]UPDATE BILL 2018'!$I:$P,8,0),VLOOKUP(A1281,'[2]UPDATE BILL 2018'!$B:$P,15,0)))))))))</f>
        <v>SITWHPKW173447</v>
      </c>
      <c r="AB1281" s="44">
        <f>IFERROR(VLOOKUP(A1281,'[2]UPDATE BILL 2018'!$B:$T,19,0),IFERROR(VLOOKUP(A1281,'[2]UPDATE BILL 2018'!$C:$T,18,0),IFERROR(VLOOKUP(A1281,'[2]UPDATE BILL 2018'!$D:$T,17,0),IFERROR(VLOOKUP(A1281,'[2]UPDATE BILL 2018'!$E:$T,16,0),IFERROR(VLOOKUP(A1281,'[2]UPDATE BILL 2018'!$F:$T,15,0),IFERROR(VLOOKUP(A1281,'[2]UPDATE BILL 2018'!$G:$T,14,0),IFERROR(VLOOKUP(A1281,'[2]UPDATE BILL 2018'!$H:$T,13,0),IFERROR(VLOOKUP(A1281,'[2]UPDATE BILL 2018'!$I:$T,12,0),VLOOKUP(A1281,'[2]UPDATE BILL 2018'!$B:$T,19,0)))))))))</f>
        <v>43322</v>
      </c>
      <c r="AC1281" s="44" t="str">
        <f>IFERROR(VLOOKUP(A1281,'[2]UPDATE BILL 2018'!$B:$V,21,0),IFERROR(VLOOKUP(A1281,'[2]UPDATE BILL 2018'!$C:$V,20,0),IFERROR(VLOOKUP(A1281,'[2]UPDATE BILL 2018'!$D:$V,19,0),IFERROR(VLOOKUP(A1281,'[2]UPDATE BILL 2018'!$E:$V,18,0),IFERROR(VLOOKUP(A1281,'[2]UPDATE BILL 2018'!$F:$V,17,0),IFERROR(VLOOKUP(A1281,'[2]UPDATE BILL 2018'!$G:$V,16,0),IFERROR(VLOOKUP(A1281,'[2]UPDATE BILL 2018'!$H:$V,15,0),IFERROR(VLOOKUP(A1281,'[2]UPDATE BILL 2018'!$I:$V,14,0),VLOOKUP(A1281,'[2]UPDATE BILL 2018'!$B:$V,21,0)))))))))</f>
        <v xml:space="preserve">HYUNDAI HARMONY 1831N </v>
      </c>
      <c r="AD1281" s="14" t="s">
        <v>50</v>
      </c>
      <c r="AE1281" s="24" t="s">
        <v>3335</v>
      </c>
      <c r="AF1281" s="25" t="str">
        <f t="shared" si="100"/>
        <v>VW</v>
      </c>
      <c r="AG1281" t="e">
        <f t="shared" si="88"/>
        <v>#REF!</v>
      </c>
      <c r="AI1281" s="58"/>
    </row>
    <row r="1282" spans="1:35" ht="15.75" customHeight="1">
      <c r="A1282" s="6" t="s">
        <v>3332</v>
      </c>
      <c r="D1282" s="7">
        <f t="shared" si="104"/>
        <v>0</v>
      </c>
      <c r="E1282" s="7">
        <v>0</v>
      </c>
      <c r="F1282" s="5">
        <v>0</v>
      </c>
      <c r="G1282" s="7">
        <v>0</v>
      </c>
      <c r="H1282" s="5">
        <v>0</v>
      </c>
      <c r="I1282" s="7">
        <v>0</v>
      </c>
      <c r="J1282" s="7">
        <v>0</v>
      </c>
      <c r="K1282" s="5">
        <v>0</v>
      </c>
      <c r="L1282" s="5">
        <v>0</v>
      </c>
      <c r="M1282" s="5">
        <v>0</v>
      </c>
      <c r="N1282" s="7">
        <f t="shared" si="105"/>
        <v>0</v>
      </c>
      <c r="O1282" s="7">
        <v>0</v>
      </c>
      <c r="P1282" s="7">
        <v>0</v>
      </c>
      <c r="Q1282" s="5">
        <v>0</v>
      </c>
      <c r="R1282" s="5">
        <v>160</v>
      </c>
      <c r="S1282" s="7">
        <v>49142.400000000001</v>
      </c>
      <c r="T1282" s="12">
        <v>43316</v>
      </c>
      <c r="U1282" s="4">
        <v>2</v>
      </c>
      <c r="V1282" s="4">
        <v>9</v>
      </c>
      <c r="W1282" s="4">
        <v>9</v>
      </c>
      <c r="X1282" s="45">
        <f t="shared" si="106"/>
        <v>49142.400000000001</v>
      </c>
      <c r="Y1282" s="14" t="s">
        <v>58</v>
      </c>
      <c r="Z1282" s="14" t="s">
        <v>1492</v>
      </c>
      <c r="AA1282" s="14" t="str">
        <f>IFERROR(VLOOKUP(A1282,'[2]UPDATE BILL 2018'!$B:$P,15,0),IFERROR(VLOOKUP(A1282,'[2]UPDATE BILL 2018'!$C:$P,14,0),IFERROR(VLOOKUP(A1282,'[2]UPDATE BILL 2018'!$D:$P,13,0),IFERROR(VLOOKUP(A1282,'[2]UPDATE BILL 2018'!$E:$P,12,0),IFERROR(VLOOKUP(A1282,'[2]UPDATE BILL 2018'!$F:$P,11,0),IFERROR(VLOOKUP(A1282,'[2]UPDATE BILL 2018'!$G:$P,10,0),IFERROR(VLOOKUP(A1282,'[2]UPDATE BILL 2018'!$H:$P,9,0),IFERROR(VLOOKUP(A1282,'[2]UPDATE BILL 2018'!$I:$P,8,0),VLOOKUP(A1282,'[2]UPDATE BILL 2018'!$B:$P,15,0)))))))))</f>
        <v>EGLV237800244950</v>
      </c>
      <c r="AB1282" s="44">
        <f>IFERROR(VLOOKUP(A1282,'[2]UPDATE BILL 2018'!$B:$T,19,0),IFERROR(VLOOKUP(A1282,'[2]UPDATE BILL 2018'!$C:$T,18,0),IFERROR(VLOOKUP(A1282,'[2]UPDATE BILL 2018'!$D:$T,17,0),IFERROR(VLOOKUP(A1282,'[2]UPDATE BILL 2018'!$E:$T,16,0),IFERROR(VLOOKUP(A1282,'[2]UPDATE BILL 2018'!$F:$T,15,0),IFERROR(VLOOKUP(A1282,'[2]UPDATE BILL 2018'!$G:$T,14,0),IFERROR(VLOOKUP(A1282,'[2]UPDATE BILL 2018'!$H:$T,13,0),IFERROR(VLOOKUP(A1282,'[2]UPDATE BILL 2018'!$I:$T,12,0),VLOOKUP(A1282,'[2]UPDATE BILL 2018'!$B:$T,19,0)))))))))</f>
        <v>43323</v>
      </c>
      <c r="AC1282" s="44" t="str">
        <f>IFERROR(VLOOKUP(A1282,'[2]UPDATE BILL 2018'!$B:$V,21,0),IFERROR(VLOOKUP(A1282,'[2]UPDATE BILL 2018'!$C:$V,20,0),IFERROR(VLOOKUP(A1282,'[2]UPDATE BILL 2018'!$D:$V,19,0),IFERROR(VLOOKUP(A1282,'[2]UPDATE BILL 2018'!$E:$V,18,0),IFERROR(VLOOKUP(A1282,'[2]UPDATE BILL 2018'!$F:$V,17,0),IFERROR(VLOOKUP(A1282,'[2]UPDATE BILL 2018'!$G:$V,16,0),IFERROR(VLOOKUP(A1282,'[2]UPDATE BILL 2018'!$H:$V,15,0),IFERROR(VLOOKUP(A1282,'[2]UPDATE BILL 2018'!$I:$V,14,0),VLOOKUP(A1282,'[2]UPDATE BILL 2018'!$B:$V,21,0)))))))))</f>
        <v>UNI-ACCORD 0594-563N</v>
      </c>
      <c r="AD1282" s="14" t="s">
        <v>51</v>
      </c>
      <c r="AE1282" s="24" t="s">
        <v>3336</v>
      </c>
      <c r="AF1282" s="25" t="s">
        <v>2150</v>
      </c>
      <c r="AG1282" t="e">
        <f t="shared" si="88"/>
        <v>#N/A</v>
      </c>
      <c r="AI1282" s="58"/>
    </row>
    <row r="1283" spans="1:35" ht="15.75" customHeight="1">
      <c r="A1283" s="6" t="s">
        <v>3337</v>
      </c>
      <c r="D1283" s="7">
        <f t="shared" si="104"/>
        <v>0</v>
      </c>
      <c r="E1283" s="7">
        <v>0</v>
      </c>
      <c r="F1283" s="5">
        <v>0</v>
      </c>
      <c r="G1283" s="7">
        <v>0</v>
      </c>
      <c r="H1283" s="5">
        <v>472</v>
      </c>
      <c r="I1283" s="7">
        <v>27757.88</v>
      </c>
      <c r="J1283" s="7">
        <v>0</v>
      </c>
      <c r="K1283" s="5">
        <v>0</v>
      </c>
      <c r="L1283" s="5">
        <v>0</v>
      </c>
      <c r="M1283" s="5">
        <v>0</v>
      </c>
      <c r="N1283" s="7">
        <f t="shared" si="105"/>
        <v>0</v>
      </c>
      <c r="O1283" s="7">
        <v>0</v>
      </c>
      <c r="P1283" s="7">
        <v>0</v>
      </c>
      <c r="Q1283" s="5">
        <v>0</v>
      </c>
      <c r="S1283" s="7">
        <v>0</v>
      </c>
      <c r="T1283" s="12">
        <v>43318</v>
      </c>
      <c r="U1283" s="4">
        <v>2</v>
      </c>
      <c r="V1283" s="4">
        <v>9</v>
      </c>
      <c r="W1283" s="4">
        <v>9</v>
      </c>
      <c r="X1283" s="45">
        <f t="shared" si="106"/>
        <v>27757.88</v>
      </c>
      <c r="Y1283" s="14" t="s">
        <v>85</v>
      </c>
      <c r="Z1283" s="14" t="s">
        <v>1492</v>
      </c>
      <c r="AA1283" s="14">
        <f>IFERROR(VLOOKUP(A1283,'[2]UPDATE BILL 2018'!$B:$P,15,0),IFERROR(VLOOKUP(A1283,'[2]UPDATE BILL 2018'!$C:$P,14,0),IFERROR(VLOOKUP(A1283,'[2]UPDATE BILL 2018'!$D:$P,13,0),IFERROR(VLOOKUP(A1283,'[2]UPDATE BILL 2018'!$E:$P,12,0),IFERROR(VLOOKUP(A1283,'[2]UPDATE BILL 2018'!$F:$P,11,0),IFERROR(VLOOKUP(A1283,'[2]UPDATE BILL 2018'!$G:$P,10,0),IFERROR(VLOOKUP(A1283,'[2]UPDATE BILL 2018'!$H:$P,9,0),IFERROR(VLOOKUP(A1283,'[2]UPDATE BILL 2018'!$I:$P,8,0),VLOOKUP(A1283,'[2]UPDATE BILL 2018'!$B:$P,15,0)))))))))</f>
        <v>350810096503</v>
      </c>
      <c r="AB1283" s="44">
        <f>IFERROR(VLOOKUP(A1283,'[2]UPDATE BILL 2018'!$B:$T,19,0),IFERROR(VLOOKUP(A1283,'[2]UPDATE BILL 2018'!$C:$T,18,0),IFERROR(VLOOKUP(A1283,'[2]UPDATE BILL 2018'!$D:$T,17,0),IFERROR(VLOOKUP(A1283,'[2]UPDATE BILL 2018'!$E:$T,16,0),IFERROR(VLOOKUP(A1283,'[2]UPDATE BILL 2018'!$F:$T,15,0),IFERROR(VLOOKUP(A1283,'[2]UPDATE BILL 2018'!$G:$T,14,0),IFERROR(VLOOKUP(A1283,'[2]UPDATE BILL 2018'!$H:$T,13,0),IFERROR(VLOOKUP(A1283,'[2]UPDATE BILL 2018'!$I:$T,12,0),VLOOKUP(A1283,'[2]UPDATE BILL 2018'!$B:$T,19,0)))))))))</f>
        <v>43325</v>
      </c>
      <c r="AC1283" s="44" t="str">
        <f>IFERROR(VLOOKUP(A1283,'[2]UPDATE BILL 2018'!$B:$V,21,0),IFERROR(VLOOKUP(A1283,'[2]UPDATE BILL 2018'!$C:$V,20,0),IFERROR(VLOOKUP(A1283,'[2]UPDATE BILL 2018'!$D:$V,19,0),IFERROR(VLOOKUP(A1283,'[2]UPDATE BILL 2018'!$E:$V,18,0),IFERROR(VLOOKUP(A1283,'[2]UPDATE BILL 2018'!$F:$V,17,0),IFERROR(VLOOKUP(A1283,'[2]UPDATE BILL 2018'!$G:$V,16,0),IFERROR(VLOOKUP(A1283,'[2]UPDATE BILL 2018'!$H:$V,15,0),IFERROR(VLOOKUP(A1283,'[2]UPDATE BILL 2018'!$I:$V,14,0),VLOOKUP(A1283,'[2]UPDATE BILL 2018'!$B:$V,21,0)))))))))</f>
        <v>LANTAU BEE 18011N</v>
      </c>
      <c r="AD1283" s="14" t="s">
        <v>49</v>
      </c>
      <c r="AE1283" s="24" t="s">
        <v>3347</v>
      </c>
      <c r="AF1283" s="25" t="str">
        <f t="shared" si="100"/>
        <v>VK</v>
      </c>
      <c r="AG1283" t="e">
        <f t="shared" si="88"/>
        <v>#REF!</v>
      </c>
      <c r="AI1283" s="58"/>
    </row>
    <row r="1284" spans="1:35" ht="15.75" customHeight="1">
      <c r="A1284" s="6" t="s">
        <v>3338</v>
      </c>
      <c r="D1284" s="7">
        <f t="shared" si="104"/>
        <v>0</v>
      </c>
      <c r="E1284" s="7">
        <v>0</v>
      </c>
      <c r="F1284" s="5">
        <v>0</v>
      </c>
      <c r="G1284" s="7">
        <v>0</v>
      </c>
      <c r="H1284" s="5">
        <v>285</v>
      </c>
      <c r="I1284" s="7">
        <v>13324.7</v>
      </c>
      <c r="J1284" s="7">
        <v>0</v>
      </c>
      <c r="K1284" s="5">
        <v>0</v>
      </c>
      <c r="L1284" s="5">
        <v>0</v>
      </c>
      <c r="M1284" s="5">
        <v>25</v>
      </c>
      <c r="N1284" s="7">
        <f t="shared" si="105"/>
        <v>25</v>
      </c>
      <c r="O1284" s="7">
        <v>459.99999999999994</v>
      </c>
      <c r="P1284" s="7">
        <v>0</v>
      </c>
      <c r="Q1284" s="5">
        <v>0</v>
      </c>
      <c r="R1284" s="5">
        <v>25</v>
      </c>
      <c r="S1284" s="7">
        <v>1259.75</v>
      </c>
      <c r="T1284" s="12">
        <v>43318</v>
      </c>
      <c r="U1284" s="4">
        <v>1</v>
      </c>
      <c r="V1284" s="4">
        <v>9</v>
      </c>
      <c r="W1284" s="4">
        <v>9</v>
      </c>
      <c r="X1284" s="45">
        <f t="shared" si="106"/>
        <v>15044.45</v>
      </c>
      <c r="Y1284" s="14" t="s">
        <v>54</v>
      </c>
      <c r="Z1284" s="14" t="s">
        <v>1355</v>
      </c>
      <c r="AA1284" s="14" t="str">
        <f>IFERROR(VLOOKUP(A1284,'[2]UPDATE BILL 2018'!$B:$P,15,0),IFERROR(VLOOKUP(A1284,'[2]UPDATE BILL 2018'!$C:$P,14,0),IFERROR(VLOOKUP(A1284,'[2]UPDATE BILL 2018'!$D:$P,13,0),IFERROR(VLOOKUP(A1284,'[2]UPDATE BILL 2018'!$E:$P,12,0),IFERROR(VLOOKUP(A1284,'[2]UPDATE BILL 2018'!$F:$P,11,0),IFERROR(VLOOKUP(A1284,'[2]UPDATE BILL 2018'!$G:$P,10,0),IFERROR(VLOOKUP(A1284,'[2]UPDATE BILL 2018'!$H:$P,9,0),IFERROR(VLOOKUP(A1284,'[2]UPDATE BILL 2018'!$I:$P,8,0),VLOOKUP(A1284,'[2]UPDATE BILL 2018'!$B:$P,15,0)))))))))</f>
        <v>SITWHPHT174215</v>
      </c>
      <c r="AB1284" s="44">
        <f>IFERROR(VLOOKUP(A1284,'[2]UPDATE BILL 2018'!$B:$T,19,0),IFERROR(VLOOKUP(A1284,'[2]UPDATE BILL 2018'!$C:$T,18,0),IFERROR(VLOOKUP(A1284,'[2]UPDATE BILL 2018'!$D:$T,17,0),IFERROR(VLOOKUP(A1284,'[2]UPDATE BILL 2018'!$E:$T,16,0),IFERROR(VLOOKUP(A1284,'[2]UPDATE BILL 2018'!$F:$T,15,0),IFERROR(VLOOKUP(A1284,'[2]UPDATE BILL 2018'!$G:$T,14,0),IFERROR(VLOOKUP(A1284,'[2]UPDATE BILL 2018'!$H:$T,13,0),IFERROR(VLOOKUP(A1284,'[2]UPDATE BILL 2018'!$I:$T,12,0),VLOOKUP(A1284,'[2]UPDATE BILL 2018'!$B:$T,19,0)))))))))</f>
        <v>43325</v>
      </c>
      <c r="AC1284" s="44" t="str">
        <f>IFERROR(VLOOKUP(A1284,'[2]UPDATE BILL 2018'!$B:$V,21,0),IFERROR(VLOOKUP(A1284,'[2]UPDATE BILL 2018'!$C:$V,20,0),IFERROR(VLOOKUP(A1284,'[2]UPDATE BILL 2018'!$D:$V,19,0),IFERROR(VLOOKUP(A1284,'[2]UPDATE BILL 2018'!$E:$V,18,0),IFERROR(VLOOKUP(A1284,'[2]UPDATE BILL 2018'!$F:$V,17,0),IFERROR(VLOOKUP(A1284,'[2]UPDATE BILL 2018'!$G:$V,16,0),IFERROR(VLOOKUP(A1284,'[2]UPDATE BILL 2018'!$H:$V,15,0),IFERROR(VLOOKUP(A1284,'[2]UPDATE BILL 2018'!$I:$V,14,0),VLOOKUP(A1284,'[2]UPDATE BILL 2018'!$B:$V,21,0)))))))))</f>
        <v>EPONYMA 1821N</v>
      </c>
      <c r="AD1284" s="14" t="s">
        <v>52</v>
      </c>
      <c r="AE1284" s="24" t="s">
        <v>3348</v>
      </c>
      <c r="AF1284" s="25" t="str">
        <f t="shared" si="100"/>
        <v>VQ</v>
      </c>
      <c r="AG1284" t="e">
        <f t="shared" si="88"/>
        <v>#REF!</v>
      </c>
      <c r="AI1284" s="58"/>
    </row>
    <row r="1285" spans="1:35" ht="15.75" customHeight="1">
      <c r="A1285" s="6" t="s">
        <v>3339</v>
      </c>
      <c r="B1285" s="5">
        <v>471</v>
      </c>
      <c r="C1285" s="7">
        <v>49581.04</v>
      </c>
      <c r="D1285" s="7">
        <f t="shared" si="104"/>
        <v>0</v>
      </c>
      <c r="E1285" s="7">
        <v>0</v>
      </c>
      <c r="F1285" s="5">
        <v>0</v>
      </c>
      <c r="G1285" s="7">
        <v>0</v>
      </c>
      <c r="H1285" s="5">
        <v>360</v>
      </c>
      <c r="I1285" s="7">
        <v>15720.3</v>
      </c>
      <c r="J1285" s="7">
        <v>0</v>
      </c>
      <c r="K1285" s="5">
        <v>0</v>
      </c>
      <c r="L1285" s="5">
        <v>0</v>
      </c>
      <c r="M1285" s="5">
        <v>356</v>
      </c>
      <c r="N1285" s="7">
        <f t="shared" si="105"/>
        <v>356</v>
      </c>
      <c r="O1285" s="7">
        <v>40147.599999999991</v>
      </c>
      <c r="P1285" s="7">
        <v>0</v>
      </c>
      <c r="Q1285" s="5">
        <v>0</v>
      </c>
      <c r="S1285" s="7">
        <v>0</v>
      </c>
      <c r="T1285" s="12">
        <v>43318</v>
      </c>
      <c r="U1285" s="4">
        <v>9</v>
      </c>
      <c r="V1285" s="4">
        <v>9</v>
      </c>
      <c r="W1285" s="4">
        <v>9</v>
      </c>
      <c r="X1285" s="45">
        <f t="shared" si="106"/>
        <v>105448.93999999999</v>
      </c>
      <c r="Y1285" s="14" t="s">
        <v>56</v>
      </c>
      <c r="Z1285" s="14" t="s">
        <v>59</v>
      </c>
      <c r="AA1285" s="14" t="str">
        <f>IFERROR(VLOOKUP(A1285,'[2]UPDATE BILL 2018'!$B:$P,15,0),IFERROR(VLOOKUP(A1285,'[2]UPDATE BILL 2018'!$C:$P,14,0),IFERROR(VLOOKUP(A1285,'[2]UPDATE BILL 2018'!$D:$P,13,0),IFERROR(VLOOKUP(A1285,'[2]UPDATE BILL 2018'!$E:$P,12,0),IFERROR(VLOOKUP(A1285,'[2]UPDATE BILL 2018'!$F:$P,11,0),IFERROR(VLOOKUP(A1285,'[2]UPDATE BILL 2018'!$G:$P,10,0),IFERROR(VLOOKUP(A1285,'[2]UPDATE BILL 2018'!$H:$P,9,0),IFERROR(VLOOKUP(A1285,'[2]UPDATE BILL 2018'!$I:$P,8,0),VLOOKUP(A1285,'[2]UPDATE BILL 2018'!$B:$P,15,0)))))))))</f>
        <v>1008X04285</v>
      </c>
      <c r="AB1285" s="44">
        <f>IFERROR(VLOOKUP(A1285,'[2]UPDATE BILL 2018'!$B:$T,19,0),IFERROR(VLOOKUP(A1285,'[2]UPDATE BILL 2018'!$C:$T,18,0),IFERROR(VLOOKUP(A1285,'[2]UPDATE BILL 2018'!$D:$T,17,0),IFERROR(VLOOKUP(A1285,'[2]UPDATE BILL 2018'!$E:$T,16,0),IFERROR(VLOOKUP(A1285,'[2]UPDATE BILL 2018'!$F:$T,15,0),IFERROR(VLOOKUP(A1285,'[2]UPDATE BILL 2018'!$G:$T,14,0),IFERROR(VLOOKUP(A1285,'[2]UPDATE BILL 2018'!$H:$T,13,0),IFERROR(VLOOKUP(A1285,'[2]UPDATE BILL 2018'!$I:$T,12,0),VLOOKUP(A1285,'[2]UPDATE BILL 2018'!$B:$T,19,0)))))))))</f>
        <v>43323</v>
      </c>
      <c r="AC1285" s="44" t="str">
        <f>IFERROR(VLOOKUP(A1285,'[2]UPDATE BILL 2018'!$B:$V,21,0),IFERROR(VLOOKUP(A1285,'[2]UPDATE BILL 2018'!$C:$V,20,0),IFERROR(VLOOKUP(A1285,'[2]UPDATE BILL 2018'!$D:$V,19,0),IFERROR(VLOOKUP(A1285,'[2]UPDATE BILL 2018'!$E:$V,18,0),IFERROR(VLOOKUP(A1285,'[2]UPDATE BILL 2018'!$F:$V,17,0),IFERROR(VLOOKUP(A1285,'[2]UPDATE BILL 2018'!$G:$V,16,0),IFERROR(VLOOKUP(A1285,'[2]UPDATE BILL 2018'!$H:$V,15,0),IFERROR(VLOOKUP(A1285,'[2]UPDATE BILL 2018'!$I:$V,14,0),VLOOKUP(A1285,'[2]UPDATE BILL 2018'!$B:$V,21,0)))))))))</f>
        <v>PAOLA N025</v>
      </c>
      <c r="AD1285" s="14" t="s">
        <v>51</v>
      </c>
      <c r="AE1285" s="24" t="s">
        <v>3349</v>
      </c>
      <c r="AF1285" s="25" t="str">
        <f t="shared" si="100"/>
        <v>VS</v>
      </c>
      <c r="AG1285" t="e">
        <f t="shared" si="88"/>
        <v>#REF!</v>
      </c>
      <c r="AI1285" s="58"/>
    </row>
    <row r="1286" spans="1:35" ht="15.75" customHeight="1">
      <c r="A1286" s="6" t="s">
        <v>3340</v>
      </c>
      <c r="B1286" s="5">
        <v>449</v>
      </c>
      <c r="C1286" s="7">
        <v>57583.1</v>
      </c>
      <c r="D1286" s="7">
        <f t="shared" si="104"/>
        <v>0</v>
      </c>
      <c r="E1286" s="7">
        <v>0</v>
      </c>
      <c r="F1286" s="5">
        <v>0</v>
      </c>
      <c r="G1286" s="7">
        <v>0</v>
      </c>
      <c r="H1286" s="5">
        <v>215</v>
      </c>
      <c r="I1286" s="7">
        <v>25723.949999999997</v>
      </c>
      <c r="J1286" s="7">
        <v>0</v>
      </c>
      <c r="K1286" s="5">
        <v>0</v>
      </c>
      <c r="L1286" s="5">
        <v>0</v>
      </c>
      <c r="M1286" s="5">
        <v>0</v>
      </c>
      <c r="N1286" s="7">
        <f t="shared" si="105"/>
        <v>0</v>
      </c>
      <c r="O1286" s="7">
        <v>0</v>
      </c>
      <c r="P1286" s="7">
        <v>0</v>
      </c>
      <c r="Q1286" s="5">
        <v>0</v>
      </c>
      <c r="S1286" s="7">
        <v>0</v>
      </c>
      <c r="T1286" s="12">
        <v>43318</v>
      </c>
      <c r="U1286" s="4">
        <v>7</v>
      </c>
      <c r="V1286" s="4">
        <v>9</v>
      </c>
      <c r="W1286" s="4">
        <v>9</v>
      </c>
      <c r="X1286" s="45">
        <f t="shared" si="106"/>
        <v>83307.049999999988</v>
      </c>
      <c r="Y1286" s="14" t="s">
        <v>56</v>
      </c>
      <c r="Z1286" s="14" t="s">
        <v>1355</v>
      </c>
      <c r="AA1286" s="14" t="str">
        <f>IFERROR(VLOOKUP(A1286,'[2]UPDATE BILL 2018'!$B:$P,15,0),IFERROR(VLOOKUP(A1286,'[2]UPDATE BILL 2018'!$C:$P,14,0),IFERROR(VLOOKUP(A1286,'[2]UPDATE BILL 2018'!$D:$P,13,0),IFERROR(VLOOKUP(A1286,'[2]UPDATE BILL 2018'!$E:$P,12,0),IFERROR(VLOOKUP(A1286,'[2]UPDATE BILL 2018'!$F:$P,11,0),IFERROR(VLOOKUP(A1286,'[2]UPDATE BILL 2018'!$G:$P,10,0),IFERROR(VLOOKUP(A1286,'[2]UPDATE BILL 2018'!$H:$P,9,0),IFERROR(VLOOKUP(A1286,'[2]UPDATE BILL 2018'!$I:$P,8,0),VLOOKUP(A1286,'[2]UPDATE BILL 2018'!$B:$P,15,0)))))))))</f>
        <v>1008X04278</v>
      </c>
      <c r="AB1286" s="44">
        <f>IFERROR(VLOOKUP(A1286,'[2]UPDATE BILL 2018'!$B:$T,19,0),IFERROR(VLOOKUP(A1286,'[2]UPDATE BILL 2018'!$C:$T,18,0),IFERROR(VLOOKUP(A1286,'[2]UPDATE BILL 2018'!$D:$T,17,0),IFERROR(VLOOKUP(A1286,'[2]UPDATE BILL 2018'!$E:$T,16,0),IFERROR(VLOOKUP(A1286,'[2]UPDATE BILL 2018'!$F:$T,15,0),IFERROR(VLOOKUP(A1286,'[2]UPDATE BILL 2018'!$G:$T,14,0),IFERROR(VLOOKUP(A1286,'[2]UPDATE BILL 2018'!$H:$T,13,0),IFERROR(VLOOKUP(A1286,'[2]UPDATE BILL 2018'!$I:$T,12,0),VLOOKUP(A1286,'[2]UPDATE BILL 2018'!$B:$T,19,0)))))))))</f>
        <v>43327</v>
      </c>
      <c r="AC1286" s="44" t="str">
        <f>IFERROR(VLOOKUP(A1286,'[2]UPDATE BILL 2018'!$B:$V,21,0),IFERROR(VLOOKUP(A1286,'[2]UPDATE BILL 2018'!$C:$V,20,0),IFERROR(VLOOKUP(A1286,'[2]UPDATE BILL 2018'!$D:$V,19,0),IFERROR(VLOOKUP(A1286,'[2]UPDATE BILL 2018'!$E:$V,18,0),IFERROR(VLOOKUP(A1286,'[2]UPDATE BILL 2018'!$F:$V,17,0),IFERROR(VLOOKUP(A1286,'[2]UPDATE BILL 2018'!$G:$V,16,0),IFERROR(VLOOKUP(A1286,'[2]UPDATE BILL 2018'!$H:$V,15,0),IFERROR(VLOOKUP(A1286,'[2]UPDATE BILL 2018'!$I:$V,14,0),VLOOKUP(A1286,'[2]UPDATE BILL 2018'!$B:$V,21,0)))))))))</f>
        <v>AS FIONA N008</v>
      </c>
      <c r="AD1286" s="14" t="s">
        <v>51</v>
      </c>
      <c r="AE1286" s="24" t="s">
        <v>3350</v>
      </c>
      <c r="AF1286" s="25" t="str">
        <f t="shared" si="100"/>
        <v>VS</v>
      </c>
      <c r="AG1286" t="e">
        <f t="shared" si="88"/>
        <v>#REF!</v>
      </c>
      <c r="AI1286" s="58"/>
    </row>
    <row r="1287" spans="1:35" ht="15.75" customHeight="1">
      <c r="A1287" s="6" t="s">
        <v>3341</v>
      </c>
      <c r="B1287" s="5">
        <v>776</v>
      </c>
      <c r="C1287" s="7">
        <v>93240.1</v>
      </c>
      <c r="D1287" s="7">
        <f t="shared" si="104"/>
        <v>0</v>
      </c>
      <c r="E1287" s="7">
        <v>0</v>
      </c>
      <c r="F1287" s="5">
        <v>0</v>
      </c>
      <c r="G1287" s="7">
        <v>0</v>
      </c>
      <c r="H1287" s="5">
        <v>0</v>
      </c>
      <c r="I1287" s="7">
        <v>0</v>
      </c>
      <c r="J1287" s="7">
        <v>0</v>
      </c>
      <c r="K1287" s="5">
        <v>0</v>
      </c>
      <c r="L1287" s="5">
        <v>0</v>
      </c>
      <c r="M1287" s="5">
        <v>116</v>
      </c>
      <c r="N1287" s="7">
        <f t="shared" si="105"/>
        <v>116</v>
      </c>
      <c r="O1287" s="7">
        <v>22111.899999999994</v>
      </c>
      <c r="P1287" s="7">
        <v>0</v>
      </c>
      <c r="Q1287" s="5">
        <v>0</v>
      </c>
      <c r="S1287" s="7">
        <v>0</v>
      </c>
      <c r="T1287" s="12">
        <v>43318</v>
      </c>
      <c r="U1287" s="4">
        <v>10</v>
      </c>
      <c r="V1287" s="4">
        <v>9</v>
      </c>
      <c r="W1287" s="4">
        <v>9</v>
      </c>
      <c r="X1287" s="45">
        <f t="shared" si="106"/>
        <v>115352</v>
      </c>
      <c r="Y1287" s="14" t="s">
        <v>54</v>
      </c>
      <c r="Z1287" s="14" t="s">
        <v>57</v>
      </c>
      <c r="AA1287" s="14" t="str">
        <f>IFERROR(VLOOKUP(A1287,'[2]UPDATE BILL 2018'!$B:$P,15,0),IFERROR(VLOOKUP(A1287,'[2]UPDATE BILL 2018'!$C:$P,14,0),IFERROR(VLOOKUP(A1287,'[2]UPDATE BILL 2018'!$D:$P,13,0),IFERROR(VLOOKUP(A1287,'[2]UPDATE BILL 2018'!$E:$P,12,0),IFERROR(VLOOKUP(A1287,'[2]UPDATE BILL 2018'!$F:$P,11,0),IFERROR(VLOOKUP(A1287,'[2]UPDATE BILL 2018'!$G:$P,10,0),IFERROR(VLOOKUP(A1287,'[2]UPDATE BILL 2018'!$H:$P,9,0),IFERROR(VLOOKUP(A1287,'[2]UPDATE BILL 2018'!$I:$P,8,0),VLOOKUP(A1287,'[2]UPDATE BILL 2018'!$B:$P,15,0)))))))))</f>
        <v>SITWHPKW173447</v>
      </c>
      <c r="AB1287" s="44">
        <f>IFERROR(VLOOKUP(A1287,'[2]UPDATE BILL 2018'!$B:$T,19,0),IFERROR(VLOOKUP(A1287,'[2]UPDATE BILL 2018'!$C:$T,18,0),IFERROR(VLOOKUP(A1287,'[2]UPDATE BILL 2018'!$D:$T,17,0),IFERROR(VLOOKUP(A1287,'[2]UPDATE BILL 2018'!$E:$T,16,0),IFERROR(VLOOKUP(A1287,'[2]UPDATE BILL 2018'!$F:$T,15,0),IFERROR(VLOOKUP(A1287,'[2]UPDATE BILL 2018'!$G:$T,14,0),IFERROR(VLOOKUP(A1287,'[2]UPDATE BILL 2018'!$H:$T,13,0),IFERROR(VLOOKUP(A1287,'[2]UPDATE BILL 2018'!$I:$T,12,0),VLOOKUP(A1287,'[2]UPDATE BILL 2018'!$B:$T,19,0)))))))))</f>
        <v>43322</v>
      </c>
      <c r="AC1287" s="44" t="str">
        <f>IFERROR(VLOOKUP(A1287,'[2]UPDATE BILL 2018'!$B:$V,21,0),IFERROR(VLOOKUP(A1287,'[2]UPDATE BILL 2018'!$C:$V,20,0),IFERROR(VLOOKUP(A1287,'[2]UPDATE BILL 2018'!$D:$V,19,0),IFERROR(VLOOKUP(A1287,'[2]UPDATE BILL 2018'!$E:$V,18,0),IFERROR(VLOOKUP(A1287,'[2]UPDATE BILL 2018'!$F:$V,17,0),IFERROR(VLOOKUP(A1287,'[2]UPDATE BILL 2018'!$G:$V,16,0),IFERROR(VLOOKUP(A1287,'[2]UPDATE BILL 2018'!$H:$V,15,0),IFERROR(VLOOKUP(A1287,'[2]UPDATE BILL 2018'!$I:$V,14,0),VLOOKUP(A1287,'[2]UPDATE BILL 2018'!$B:$V,21,0)))))))))</f>
        <v xml:space="preserve">HYUNDAI HARMONY 1831N </v>
      </c>
      <c r="AD1287" s="14" t="s">
        <v>50</v>
      </c>
      <c r="AE1287" s="24" t="s">
        <v>3351</v>
      </c>
      <c r="AF1287" s="25" t="str">
        <f t="shared" si="100"/>
        <v>VW</v>
      </c>
      <c r="AG1287" t="e">
        <f t="shared" si="88"/>
        <v>#REF!</v>
      </c>
      <c r="AI1287" s="58"/>
    </row>
    <row r="1288" spans="1:35" ht="15.75" customHeight="1">
      <c r="A1288" s="6" t="s">
        <v>3342</v>
      </c>
      <c r="D1288" s="7">
        <f t="shared" si="104"/>
        <v>0</v>
      </c>
      <c r="E1288" s="7">
        <v>0</v>
      </c>
      <c r="F1288" s="5">
        <v>0</v>
      </c>
      <c r="G1288" s="7">
        <v>0</v>
      </c>
      <c r="H1288" s="5">
        <v>95</v>
      </c>
      <c r="I1288" s="7">
        <v>12156.2</v>
      </c>
      <c r="J1288" s="7">
        <v>0</v>
      </c>
      <c r="K1288" s="5">
        <v>0</v>
      </c>
      <c r="L1288" s="5">
        <v>0</v>
      </c>
      <c r="M1288" s="5">
        <v>95</v>
      </c>
      <c r="N1288" s="7">
        <f t="shared" si="105"/>
        <v>95</v>
      </c>
      <c r="O1288" s="7">
        <v>16679.599999999999</v>
      </c>
      <c r="P1288" s="7">
        <v>0</v>
      </c>
      <c r="Q1288" s="5">
        <v>0</v>
      </c>
      <c r="S1288" s="7">
        <v>0</v>
      </c>
      <c r="T1288" s="12">
        <v>43318</v>
      </c>
      <c r="U1288" s="4">
        <v>3</v>
      </c>
      <c r="V1288" s="4">
        <v>9</v>
      </c>
      <c r="W1288" s="4">
        <v>9</v>
      </c>
      <c r="X1288" s="45">
        <f t="shared" si="106"/>
        <v>28835.8</v>
      </c>
      <c r="Y1288" s="14" t="s">
        <v>54</v>
      </c>
      <c r="Z1288" s="14" t="s">
        <v>2525</v>
      </c>
      <c r="AA1288" s="14" t="str">
        <f>IFERROR(VLOOKUP(A1288,'[2]UPDATE BILL 2018'!$B:$P,15,0),IFERROR(VLOOKUP(A1288,'[2]UPDATE BILL 2018'!$C:$P,14,0),IFERROR(VLOOKUP(A1288,'[2]UPDATE BILL 2018'!$D:$P,13,0),IFERROR(VLOOKUP(A1288,'[2]UPDATE BILL 2018'!$E:$P,12,0),IFERROR(VLOOKUP(A1288,'[2]UPDATE BILL 2018'!$F:$P,11,0),IFERROR(VLOOKUP(A1288,'[2]UPDATE BILL 2018'!$G:$P,10,0),IFERROR(VLOOKUP(A1288,'[2]UPDATE BILL 2018'!$H:$P,9,0),IFERROR(VLOOKUP(A1288,'[2]UPDATE BILL 2018'!$I:$P,8,0),VLOOKUP(A1288,'[2]UPDATE BILL 2018'!$B:$P,15,0)))))))))</f>
        <v>SITWHPTK174203</v>
      </c>
      <c r="AB1288" s="44">
        <f>IFERROR(VLOOKUP(A1288,'[2]UPDATE BILL 2018'!$B:$T,19,0),IFERROR(VLOOKUP(A1288,'[2]UPDATE BILL 2018'!$C:$T,18,0),IFERROR(VLOOKUP(A1288,'[2]UPDATE BILL 2018'!$D:$T,17,0),IFERROR(VLOOKUP(A1288,'[2]UPDATE BILL 2018'!$E:$T,16,0),IFERROR(VLOOKUP(A1288,'[2]UPDATE BILL 2018'!$F:$T,15,0),IFERROR(VLOOKUP(A1288,'[2]UPDATE BILL 2018'!$G:$T,14,0),IFERROR(VLOOKUP(A1288,'[2]UPDATE BILL 2018'!$H:$T,13,0),IFERROR(VLOOKUP(A1288,'[2]UPDATE BILL 2018'!$I:$T,12,0),VLOOKUP(A1288,'[2]UPDATE BILL 2018'!$B:$T,19,0)))))))))</f>
        <v>43322</v>
      </c>
      <c r="AC1288" s="44" t="str">
        <f>IFERROR(VLOOKUP(A1288,'[2]UPDATE BILL 2018'!$B:$V,21,0),IFERROR(VLOOKUP(A1288,'[2]UPDATE BILL 2018'!$C:$V,20,0),IFERROR(VLOOKUP(A1288,'[2]UPDATE BILL 2018'!$D:$V,19,0),IFERROR(VLOOKUP(A1288,'[2]UPDATE BILL 2018'!$E:$V,18,0),IFERROR(VLOOKUP(A1288,'[2]UPDATE BILL 2018'!$F:$V,17,0),IFERROR(VLOOKUP(A1288,'[2]UPDATE BILL 2018'!$G:$V,16,0),IFERROR(VLOOKUP(A1288,'[2]UPDATE BILL 2018'!$H:$V,15,0),IFERROR(VLOOKUP(A1288,'[2]UPDATE BILL 2018'!$I:$V,14,0),VLOOKUP(A1288,'[2]UPDATE BILL 2018'!$B:$V,21,0)))))))))</f>
        <v xml:space="preserve">HYUNDAI HARMONY 1831N </v>
      </c>
      <c r="AD1288" s="14" t="s">
        <v>49</v>
      </c>
      <c r="AE1288" s="24" t="s">
        <v>3352</v>
      </c>
      <c r="AF1288" s="25" t="str">
        <f t="shared" si="100"/>
        <v>VZ</v>
      </c>
      <c r="AG1288" t="e">
        <f t="shared" si="88"/>
        <v>#REF!</v>
      </c>
      <c r="AI1288" s="58"/>
    </row>
    <row r="1289" spans="1:35" ht="15.75" customHeight="1">
      <c r="A1289" s="6" t="s">
        <v>3343</v>
      </c>
      <c r="D1289" s="7">
        <f t="shared" si="104"/>
        <v>0</v>
      </c>
      <c r="E1289" s="7">
        <v>0</v>
      </c>
      <c r="F1289" s="5">
        <v>0</v>
      </c>
      <c r="G1289" s="7">
        <v>0</v>
      </c>
      <c r="H1289" s="5">
        <v>0</v>
      </c>
      <c r="I1289" s="7">
        <v>0</v>
      </c>
      <c r="J1289" s="7">
        <v>0</v>
      </c>
      <c r="K1289" s="5">
        <v>0</v>
      </c>
      <c r="L1289" s="5">
        <v>0</v>
      </c>
      <c r="M1289" s="5">
        <v>0</v>
      </c>
      <c r="N1289" s="7">
        <f t="shared" si="105"/>
        <v>0</v>
      </c>
      <c r="O1289" s="7">
        <v>0</v>
      </c>
      <c r="P1289" s="7">
        <v>0</v>
      </c>
      <c r="Q1289" s="5">
        <v>0</v>
      </c>
      <c r="R1289" s="5">
        <v>105</v>
      </c>
      <c r="S1289" s="7">
        <v>14596</v>
      </c>
      <c r="T1289" s="12">
        <v>43318</v>
      </c>
      <c r="U1289" s="4">
        <v>1</v>
      </c>
      <c r="V1289" s="4">
        <v>9</v>
      </c>
      <c r="W1289" s="4">
        <v>9</v>
      </c>
      <c r="X1289" s="45">
        <f t="shared" si="106"/>
        <v>14596</v>
      </c>
      <c r="Y1289" s="14" t="s">
        <v>1633</v>
      </c>
      <c r="Z1289" s="14" t="s">
        <v>1492</v>
      </c>
      <c r="AA1289" s="14" t="str">
        <f>IFERROR(VLOOKUP(A1289,'[2]UPDATE BILL 2018'!$B:$P,15,0),IFERROR(VLOOKUP(A1289,'[2]UPDATE BILL 2018'!$C:$P,14,0),IFERROR(VLOOKUP(A1289,'[2]UPDATE BILL 2018'!$D:$P,13,0),IFERROR(VLOOKUP(A1289,'[2]UPDATE BILL 2018'!$E:$P,12,0),IFERROR(VLOOKUP(A1289,'[2]UPDATE BILL 2018'!$F:$P,11,0),IFERROR(VLOOKUP(A1289,'[2]UPDATE BILL 2018'!$G:$P,10,0),IFERROR(VLOOKUP(A1289,'[2]UPDATE BILL 2018'!$H:$P,9,0),IFERROR(VLOOKUP(A1289,'[2]UPDATE BILL 2018'!$I:$P,8,0),VLOOKUP(A1289,'[2]UPDATE BILL 2018'!$B:$P,15,0)))))))))</f>
        <v>KMTCHPH0576297</v>
      </c>
      <c r="AB1289" s="44">
        <f>IFERROR(VLOOKUP(A1289,'[2]UPDATE BILL 2018'!$B:$T,19,0),IFERROR(VLOOKUP(A1289,'[2]UPDATE BILL 2018'!$C:$T,18,0),IFERROR(VLOOKUP(A1289,'[2]UPDATE BILL 2018'!$D:$T,17,0),IFERROR(VLOOKUP(A1289,'[2]UPDATE BILL 2018'!$E:$T,16,0),IFERROR(VLOOKUP(A1289,'[2]UPDATE BILL 2018'!$F:$T,15,0),IFERROR(VLOOKUP(A1289,'[2]UPDATE BILL 2018'!$G:$T,14,0),IFERROR(VLOOKUP(A1289,'[2]UPDATE BILL 2018'!$H:$T,13,0),IFERROR(VLOOKUP(A1289,'[2]UPDATE BILL 2018'!$I:$T,12,0),VLOOKUP(A1289,'[2]UPDATE BILL 2018'!$B:$T,19,0)))))))))</f>
        <v>43327</v>
      </c>
      <c r="AC1289" s="44" t="str">
        <f>IFERROR(VLOOKUP(A1289,'[2]UPDATE BILL 2018'!$B:$V,21,0),IFERROR(VLOOKUP(A1289,'[2]UPDATE BILL 2018'!$C:$V,20,0),IFERROR(VLOOKUP(A1289,'[2]UPDATE BILL 2018'!$D:$V,19,0),IFERROR(VLOOKUP(A1289,'[2]UPDATE BILL 2018'!$E:$V,18,0),IFERROR(VLOOKUP(A1289,'[2]UPDATE BILL 2018'!$F:$V,17,0),IFERROR(VLOOKUP(A1289,'[2]UPDATE BILL 2018'!$G:$V,16,0),IFERROR(VLOOKUP(A1289,'[2]UPDATE BILL 2018'!$H:$V,15,0),IFERROR(VLOOKUP(A1289,'[2]UPDATE BILL 2018'!$I:$V,14,0),VLOOKUP(A1289,'[2]UPDATE BILL 2018'!$B:$V,21,0)))))))))</f>
        <v>KOTA WANGSA 015N</v>
      </c>
      <c r="AD1289" s="14" t="s">
        <v>70</v>
      </c>
      <c r="AE1289" s="24" t="s">
        <v>3353</v>
      </c>
      <c r="AF1289" s="25" t="s">
        <v>2177</v>
      </c>
      <c r="AG1289" t="e">
        <f t="shared" si="88"/>
        <v>#N/A</v>
      </c>
      <c r="AI1289" s="58"/>
    </row>
    <row r="1290" spans="1:35" ht="15.75" customHeight="1">
      <c r="A1290" s="6" t="s">
        <v>3344</v>
      </c>
      <c r="D1290" s="7">
        <f t="shared" si="104"/>
        <v>0</v>
      </c>
      <c r="E1290" s="7">
        <v>0</v>
      </c>
      <c r="F1290" s="5">
        <v>0</v>
      </c>
      <c r="G1290" s="7">
        <v>0</v>
      </c>
      <c r="H1290" s="5">
        <v>0</v>
      </c>
      <c r="I1290" s="7">
        <v>0</v>
      </c>
      <c r="J1290" s="7">
        <v>0</v>
      </c>
      <c r="K1290" s="5">
        <v>0</v>
      </c>
      <c r="L1290" s="5">
        <v>0</v>
      </c>
      <c r="M1290" s="5">
        <v>0</v>
      </c>
      <c r="N1290" s="7">
        <f t="shared" si="105"/>
        <v>0</v>
      </c>
      <c r="O1290" s="7">
        <v>0</v>
      </c>
      <c r="P1290" s="7">
        <v>0</v>
      </c>
      <c r="Q1290" s="5">
        <v>0</v>
      </c>
      <c r="R1290" s="5">
        <v>783</v>
      </c>
      <c r="S1290" s="7">
        <v>77916.799999999988</v>
      </c>
      <c r="T1290" s="12">
        <v>43318</v>
      </c>
      <c r="U1290" s="4">
        <v>3</v>
      </c>
      <c r="V1290" s="4">
        <v>9</v>
      </c>
      <c r="W1290" s="4">
        <v>9</v>
      </c>
      <c r="X1290" s="45">
        <f t="shared" si="106"/>
        <v>77916.799999999988</v>
      </c>
      <c r="Y1290" s="14" t="s">
        <v>85</v>
      </c>
      <c r="Z1290" s="14" t="s">
        <v>57</v>
      </c>
      <c r="AA1290" s="14">
        <f>IFERROR(VLOOKUP(A1290,'[2]UPDATE BILL 2018'!$B:$P,15,0),IFERROR(VLOOKUP(A1290,'[2]UPDATE BILL 2018'!$C:$P,14,0),IFERROR(VLOOKUP(A1290,'[2]UPDATE BILL 2018'!$D:$P,13,0),IFERROR(VLOOKUP(A1290,'[2]UPDATE BILL 2018'!$E:$P,12,0),IFERROR(VLOOKUP(A1290,'[2]UPDATE BILL 2018'!$F:$P,11,0),IFERROR(VLOOKUP(A1290,'[2]UPDATE BILL 2018'!$G:$P,10,0),IFERROR(VLOOKUP(A1290,'[2]UPDATE BILL 2018'!$H:$P,9,0),IFERROR(VLOOKUP(A1290,'[2]UPDATE BILL 2018'!$I:$P,8,0),VLOOKUP(A1290,'[2]UPDATE BILL 2018'!$B:$P,15,0)))))))))</f>
        <v>350810091188</v>
      </c>
      <c r="AB1290" s="44">
        <f>IFERROR(VLOOKUP(A1290,'[2]UPDATE BILL 2018'!$B:$T,19,0),IFERROR(VLOOKUP(A1290,'[2]UPDATE BILL 2018'!$C:$T,18,0),IFERROR(VLOOKUP(A1290,'[2]UPDATE BILL 2018'!$D:$T,17,0),IFERROR(VLOOKUP(A1290,'[2]UPDATE BILL 2018'!$E:$T,16,0),IFERROR(VLOOKUP(A1290,'[2]UPDATE BILL 2018'!$F:$T,15,0),IFERROR(VLOOKUP(A1290,'[2]UPDATE BILL 2018'!$G:$T,14,0),IFERROR(VLOOKUP(A1290,'[2]UPDATE BILL 2018'!$H:$T,13,0),IFERROR(VLOOKUP(A1290,'[2]UPDATE BILL 2018'!$I:$T,12,0),VLOOKUP(A1290,'[2]UPDATE BILL 2018'!$B:$T,19,0)))))))))</f>
        <v>43325</v>
      </c>
      <c r="AC1290" s="44" t="str">
        <f>IFERROR(VLOOKUP(A1290,'[2]UPDATE BILL 2018'!$B:$V,21,0),IFERROR(VLOOKUP(A1290,'[2]UPDATE BILL 2018'!$C:$V,20,0),IFERROR(VLOOKUP(A1290,'[2]UPDATE BILL 2018'!$D:$V,19,0),IFERROR(VLOOKUP(A1290,'[2]UPDATE BILL 2018'!$E:$V,18,0),IFERROR(VLOOKUP(A1290,'[2]UPDATE BILL 2018'!$F:$V,17,0),IFERROR(VLOOKUP(A1290,'[2]UPDATE BILL 2018'!$G:$V,16,0),IFERROR(VLOOKUP(A1290,'[2]UPDATE BILL 2018'!$H:$V,15,0),IFERROR(VLOOKUP(A1290,'[2]UPDATE BILL 2018'!$I:$V,14,0),VLOOKUP(A1290,'[2]UPDATE BILL 2018'!$B:$V,21,0)))))))))</f>
        <v>LANTAU BEE 18011N</v>
      </c>
      <c r="AD1290" s="14" t="s">
        <v>52</v>
      </c>
      <c r="AE1290" s="24" t="s">
        <v>3354</v>
      </c>
      <c r="AF1290" s="25" t="s">
        <v>2173</v>
      </c>
      <c r="AG1290" t="e">
        <f t="shared" si="88"/>
        <v>#N/A</v>
      </c>
      <c r="AI1290" s="58"/>
    </row>
    <row r="1291" spans="1:35" ht="15.75" customHeight="1">
      <c r="A1291" s="6" t="s">
        <v>3345</v>
      </c>
      <c r="D1291" s="7">
        <f t="shared" si="104"/>
        <v>0</v>
      </c>
      <c r="E1291" s="7">
        <v>0</v>
      </c>
      <c r="F1291" s="5">
        <v>0</v>
      </c>
      <c r="G1291" s="7">
        <v>0</v>
      </c>
      <c r="H1291" s="5">
        <v>0</v>
      </c>
      <c r="I1291" s="7">
        <v>0</v>
      </c>
      <c r="J1291" s="7">
        <v>0</v>
      </c>
      <c r="K1291" s="5">
        <v>0</v>
      </c>
      <c r="L1291" s="5">
        <v>0</v>
      </c>
      <c r="M1291" s="5">
        <v>0</v>
      </c>
      <c r="N1291" s="7">
        <f t="shared" si="105"/>
        <v>0</v>
      </c>
      <c r="O1291" s="7">
        <v>0</v>
      </c>
      <c r="P1291" s="7">
        <v>0</v>
      </c>
      <c r="Q1291" s="5">
        <v>0</v>
      </c>
      <c r="R1291" s="5">
        <v>265</v>
      </c>
      <c r="S1291" s="7">
        <v>51422</v>
      </c>
      <c r="T1291" s="12">
        <v>43318</v>
      </c>
      <c r="U1291" s="4">
        <v>2</v>
      </c>
      <c r="V1291" s="4">
        <v>9</v>
      </c>
      <c r="W1291" s="4">
        <v>9</v>
      </c>
      <c r="X1291" s="45">
        <f t="shared" si="106"/>
        <v>51422</v>
      </c>
      <c r="Y1291" s="14" t="s">
        <v>56</v>
      </c>
      <c r="Z1291" s="14" t="s">
        <v>1281</v>
      </c>
      <c r="AA1291" s="14" t="str">
        <f>IFERROR(VLOOKUP(A1291,'[2]UPDATE BILL 2018'!$B:$P,15,0),IFERROR(VLOOKUP(A1291,'[2]UPDATE BILL 2018'!$C:$P,14,0),IFERROR(VLOOKUP(A1291,'[2]UPDATE BILL 2018'!$D:$P,13,0),IFERROR(VLOOKUP(A1291,'[2]UPDATE BILL 2018'!$E:$P,12,0),IFERROR(VLOOKUP(A1291,'[2]UPDATE BILL 2018'!$F:$P,11,0),IFERROR(VLOOKUP(A1291,'[2]UPDATE BILL 2018'!$G:$P,10,0),IFERROR(VLOOKUP(A1291,'[2]UPDATE BILL 2018'!$H:$P,9,0),IFERROR(VLOOKUP(A1291,'[2]UPDATE BILL 2018'!$I:$P,8,0),VLOOKUP(A1291,'[2]UPDATE BILL 2018'!$B:$P,15,0)))))))))</f>
        <v>1008X04285</v>
      </c>
      <c r="AB1291" s="44">
        <f>IFERROR(VLOOKUP(A1291,'[2]UPDATE BILL 2018'!$B:$T,19,0),IFERROR(VLOOKUP(A1291,'[2]UPDATE BILL 2018'!$C:$T,18,0),IFERROR(VLOOKUP(A1291,'[2]UPDATE BILL 2018'!$D:$T,17,0),IFERROR(VLOOKUP(A1291,'[2]UPDATE BILL 2018'!$E:$T,16,0),IFERROR(VLOOKUP(A1291,'[2]UPDATE BILL 2018'!$F:$T,15,0),IFERROR(VLOOKUP(A1291,'[2]UPDATE BILL 2018'!$G:$T,14,0),IFERROR(VLOOKUP(A1291,'[2]UPDATE BILL 2018'!$H:$T,13,0),IFERROR(VLOOKUP(A1291,'[2]UPDATE BILL 2018'!$I:$T,12,0),VLOOKUP(A1291,'[2]UPDATE BILL 2018'!$B:$T,19,0)))))))))</f>
        <v>43323</v>
      </c>
      <c r="AC1291" s="44" t="str">
        <f>IFERROR(VLOOKUP(A1291,'[2]UPDATE BILL 2018'!$B:$V,21,0),IFERROR(VLOOKUP(A1291,'[2]UPDATE BILL 2018'!$C:$V,20,0),IFERROR(VLOOKUP(A1291,'[2]UPDATE BILL 2018'!$D:$V,19,0),IFERROR(VLOOKUP(A1291,'[2]UPDATE BILL 2018'!$E:$V,18,0),IFERROR(VLOOKUP(A1291,'[2]UPDATE BILL 2018'!$F:$V,17,0),IFERROR(VLOOKUP(A1291,'[2]UPDATE BILL 2018'!$G:$V,16,0),IFERROR(VLOOKUP(A1291,'[2]UPDATE BILL 2018'!$H:$V,15,0),IFERROR(VLOOKUP(A1291,'[2]UPDATE BILL 2018'!$I:$V,14,0),VLOOKUP(A1291,'[2]UPDATE BILL 2018'!$B:$V,21,0)))))))))</f>
        <v>PAOLA N025</v>
      </c>
      <c r="AD1291" s="14" t="s">
        <v>51</v>
      </c>
      <c r="AE1291" s="24" t="s">
        <v>3355</v>
      </c>
      <c r="AF1291" s="25" t="s">
        <v>2150</v>
      </c>
      <c r="AG1291" t="e">
        <f t="shared" si="88"/>
        <v>#N/A</v>
      </c>
      <c r="AI1291" s="58"/>
    </row>
    <row r="1292" spans="1:35" ht="15.75" customHeight="1">
      <c r="A1292" s="6" t="s">
        <v>3346</v>
      </c>
      <c r="D1292" s="7">
        <f t="shared" si="104"/>
        <v>0</v>
      </c>
      <c r="E1292" s="7">
        <v>0</v>
      </c>
      <c r="F1292" s="5">
        <v>0</v>
      </c>
      <c r="G1292" s="7">
        <v>0</v>
      </c>
      <c r="H1292" s="5">
        <v>0</v>
      </c>
      <c r="I1292" s="7">
        <v>0</v>
      </c>
      <c r="J1292" s="7">
        <v>0</v>
      </c>
      <c r="K1292" s="5">
        <v>0</v>
      </c>
      <c r="L1292" s="5">
        <v>0</v>
      </c>
      <c r="M1292" s="5">
        <v>0</v>
      </c>
      <c r="N1292" s="7">
        <f t="shared" si="105"/>
        <v>0</v>
      </c>
      <c r="O1292" s="7">
        <v>0</v>
      </c>
      <c r="P1292" s="7">
        <v>0</v>
      </c>
      <c r="Q1292" s="5">
        <v>0</v>
      </c>
      <c r="R1292" s="5">
        <v>638</v>
      </c>
      <c r="S1292" s="7">
        <v>116339.9</v>
      </c>
      <c r="T1292" s="12">
        <v>43318</v>
      </c>
      <c r="U1292" s="4">
        <v>4</v>
      </c>
      <c r="V1292" s="4">
        <v>9</v>
      </c>
      <c r="W1292" s="4">
        <v>9</v>
      </c>
      <c r="X1292" s="45">
        <f t="shared" si="106"/>
        <v>116339.9</v>
      </c>
      <c r="Y1292" s="14" t="s">
        <v>54</v>
      </c>
      <c r="Z1292" s="14" t="s">
        <v>1281</v>
      </c>
      <c r="AA1292" s="14" t="str">
        <f>IFERROR(VLOOKUP(A1292,'[2]UPDATE BILL 2018'!$B:$P,15,0),IFERROR(VLOOKUP(A1292,'[2]UPDATE BILL 2018'!$C:$P,14,0),IFERROR(VLOOKUP(A1292,'[2]UPDATE BILL 2018'!$D:$P,13,0),IFERROR(VLOOKUP(A1292,'[2]UPDATE BILL 2018'!$E:$P,12,0),IFERROR(VLOOKUP(A1292,'[2]UPDATE BILL 2018'!$F:$P,11,0),IFERROR(VLOOKUP(A1292,'[2]UPDATE BILL 2018'!$G:$P,10,0),IFERROR(VLOOKUP(A1292,'[2]UPDATE BILL 2018'!$H:$P,9,0),IFERROR(VLOOKUP(A1292,'[2]UPDATE BILL 2018'!$I:$P,8,0),VLOOKUP(A1292,'[2]UPDATE BILL 2018'!$B:$P,15,0)))))))))</f>
        <v>SITWHPKW174196</v>
      </c>
      <c r="AB1292" s="44">
        <f>IFERROR(VLOOKUP(A1292,'[2]UPDATE BILL 2018'!$B:$T,19,0),IFERROR(VLOOKUP(A1292,'[2]UPDATE BILL 2018'!$C:$T,18,0),IFERROR(VLOOKUP(A1292,'[2]UPDATE BILL 2018'!$D:$T,17,0),IFERROR(VLOOKUP(A1292,'[2]UPDATE BILL 2018'!$E:$T,16,0),IFERROR(VLOOKUP(A1292,'[2]UPDATE BILL 2018'!$F:$T,15,0),IFERROR(VLOOKUP(A1292,'[2]UPDATE BILL 2018'!$G:$T,14,0),IFERROR(VLOOKUP(A1292,'[2]UPDATE BILL 2018'!$H:$T,13,0),IFERROR(VLOOKUP(A1292,'[2]UPDATE BILL 2018'!$I:$T,12,0),VLOOKUP(A1292,'[2]UPDATE BILL 2018'!$B:$T,19,0)))))))))</f>
        <v>43324</v>
      </c>
      <c r="AC1292" s="44" t="str">
        <f>IFERROR(VLOOKUP(A1292,'[2]UPDATE BILL 2018'!$B:$V,21,0),IFERROR(VLOOKUP(A1292,'[2]UPDATE BILL 2018'!$C:$V,20,0),IFERROR(VLOOKUP(A1292,'[2]UPDATE BILL 2018'!$D:$V,19,0),IFERROR(VLOOKUP(A1292,'[2]UPDATE BILL 2018'!$E:$V,18,0),IFERROR(VLOOKUP(A1292,'[2]UPDATE BILL 2018'!$F:$V,17,0),IFERROR(VLOOKUP(A1292,'[2]UPDATE BILL 2018'!$G:$V,16,0),IFERROR(VLOOKUP(A1292,'[2]UPDATE BILL 2018'!$H:$V,15,0),IFERROR(VLOOKUP(A1292,'[2]UPDATE BILL 2018'!$I:$V,14,0),VLOOKUP(A1292,'[2]UPDATE BILL 2018'!$B:$V,21,0)))))))))</f>
        <v>SITC OSAKA 1823N</v>
      </c>
      <c r="AD1292" s="14" t="s">
        <v>50</v>
      </c>
      <c r="AE1292" s="24" t="s">
        <v>3356</v>
      </c>
      <c r="AF1292" s="25" t="s">
        <v>2151</v>
      </c>
      <c r="AG1292" t="e">
        <f t="shared" si="88"/>
        <v>#N/A</v>
      </c>
      <c r="AI1292" s="58"/>
    </row>
    <row r="1293" spans="1:35" ht="15.75" customHeight="1">
      <c r="A1293" s="6" t="s">
        <v>3357</v>
      </c>
      <c r="D1293" s="7">
        <f t="shared" si="104"/>
        <v>0</v>
      </c>
      <c r="E1293" s="7">
        <v>0</v>
      </c>
      <c r="F1293" s="5">
        <v>0</v>
      </c>
      <c r="G1293" s="7">
        <v>0</v>
      </c>
      <c r="H1293" s="5">
        <v>15</v>
      </c>
      <c r="I1293" s="7">
        <v>1374.4499999999998</v>
      </c>
      <c r="J1293" s="7">
        <v>0</v>
      </c>
      <c r="K1293" s="5">
        <v>0</v>
      </c>
      <c r="L1293" s="5">
        <v>0</v>
      </c>
      <c r="M1293" s="5">
        <v>0</v>
      </c>
      <c r="N1293" s="7">
        <f t="shared" si="105"/>
        <v>0</v>
      </c>
      <c r="O1293" s="7">
        <v>0</v>
      </c>
      <c r="P1293" s="7">
        <v>0</v>
      </c>
      <c r="Q1293" s="5">
        <v>0</v>
      </c>
      <c r="R1293" s="5">
        <v>62</v>
      </c>
      <c r="S1293" s="7">
        <v>10719.9</v>
      </c>
      <c r="T1293" s="12">
        <v>43319</v>
      </c>
      <c r="U1293" s="4">
        <v>1</v>
      </c>
      <c r="V1293" s="4">
        <v>9</v>
      </c>
      <c r="W1293" s="4">
        <v>9</v>
      </c>
      <c r="X1293" s="45">
        <f t="shared" si="106"/>
        <v>12094.349999999999</v>
      </c>
      <c r="Y1293" s="14" t="s">
        <v>1608</v>
      </c>
      <c r="Z1293" s="14" t="s">
        <v>1492</v>
      </c>
      <c r="AA1293" s="14" t="str">
        <f>IFERROR(VLOOKUP(A1293,'[2]UPDATE BILL 2018'!$B:$P,15,0),IFERROR(VLOOKUP(A1293,'[2]UPDATE BILL 2018'!$C:$P,14,0),IFERROR(VLOOKUP(A1293,'[2]UPDATE BILL 2018'!$D:$P,13,0),IFERROR(VLOOKUP(A1293,'[2]UPDATE BILL 2018'!$E:$P,12,0),IFERROR(VLOOKUP(A1293,'[2]UPDATE BILL 2018'!$F:$P,11,0),IFERROR(VLOOKUP(A1293,'[2]UPDATE BILL 2018'!$G:$P,10,0),IFERROR(VLOOKUP(A1293,'[2]UPDATE BILL 2018'!$H:$P,9,0),IFERROR(VLOOKUP(A1293,'[2]UPDATE BILL 2018'!$I:$P,8,0),VLOOKUP(A1293,'[2]UPDATE BILL 2018'!$B:$P,15,0)))))))))</f>
        <v>SNL8HPCL001348</v>
      </c>
      <c r="AB1293" s="44">
        <f>IFERROR(VLOOKUP(A1293,'[2]UPDATE BILL 2018'!$B:$T,19,0),IFERROR(VLOOKUP(A1293,'[2]UPDATE BILL 2018'!$C:$T,18,0),IFERROR(VLOOKUP(A1293,'[2]UPDATE BILL 2018'!$D:$T,17,0),IFERROR(VLOOKUP(A1293,'[2]UPDATE BILL 2018'!$E:$T,16,0),IFERROR(VLOOKUP(A1293,'[2]UPDATE BILL 2018'!$F:$T,15,0),IFERROR(VLOOKUP(A1293,'[2]UPDATE BILL 2018'!$G:$T,14,0),IFERROR(VLOOKUP(A1293,'[2]UPDATE BILL 2018'!$H:$T,13,0),IFERROR(VLOOKUP(A1293,'[2]UPDATE BILL 2018'!$I:$T,12,0),VLOOKUP(A1293,'[2]UPDATE BILL 2018'!$B:$T,19,0)))))))))</f>
        <v>43330</v>
      </c>
      <c r="AC1293" s="44" t="str">
        <f>IFERROR(VLOOKUP(A1293,'[2]UPDATE BILL 2018'!$B:$V,21,0),IFERROR(VLOOKUP(A1293,'[2]UPDATE BILL 2018'!$C:$V,20,0),IFERROR(VLOOKUP(A1293,'[2]UPDATE BILL 2018'!$D:$V,19,0),IFERROR(VLOOKUP(A1293,'[2]UPDATE BILL 2018'!$E:$V,18,0),IFERROR(VLOOKUP(A1293,'[2]UPDATE BILL 2018'!$F:$V,17,0),IFERROR(VLOOKUP(A1293,'[2]UPDATE BILL 2018'!$G:$V,16,0),IFERROR(VLOOKUP(A1293,'[2]UPDATE BILL 2018'!$H:$V,15,0),IFERROR(VLOOKUP(A1293,'[2]UPDATE BILL 2018'!$I:$V,14,0),VLOOKUP(A1293,'[2]UPDATE BILL 2018'!$B:$V,21,0)))))))))</f>
        <v>KUO LUNG 1830N</v>
      </c>
      <c r="AD1293" s="14" t="s">
        <v>1602</v>
      </c>
      <c r="AE1293" s="14">
        <v>2500000040602</v>
      </c>
      <c r="AF1293" s="25" t="s">
        <v>1602</v>
      </c>
      <c r="AG1293" t="e">
        <f t="shared" si="88"/>
        <v>#N/A</v>
      </c>
      <c r="AI1293" s="58"/>
    </row>
    <row r="1294" spans="1:35" ht="15.75" customHeight="1">
      <c r="A1294" s="6" t="s">
        <v>3358</v>
      </c>
      <c r="D1294" s="7">
        <f t="shared" si="104"/>
        <v>0</v>
      </c>
      <c r="E1294" s="7">
        <v>0</v>
      </c>
      <c r="F1294" s="5">
        <v>0</v>
      </c>
      <c r="G1294" s="7">
        <v>0</v>
      </c>
      <c r="H1294" s="5">
        <v>630</v>
      </c>
      <c r="I1294" s="7">
        <v>78313.750000000029</v>
      </c>
      <c r="J1294" s="7">
        <v>0</v>
      </c>
      <c r="K1294" s="5">
        <v>0</v>
      </c>
      <c r="L1294" s="5">
        <v>0</v>
      </c>
      <c r="M1294" s="5">
        <v>0</v>
      </c>
      <c r="N1294" s="7">
        <f t="shared" si="105"/>
        <v>0</v>
      </c>
      <c r="O1294" s="7">
        <v>0</v>
      </c>
      <c r="P1294" s="7">
        <v>0</v>
      </c>
      <c r="Q1294" s="5">
        <v>0</v>
      </c>
      <c r="S1294" s="7">
        <v>0</v>
      </c>
      <c r="T1294" s="12">
        <v>43319</v>
      </c>
      <c r="U1294" s="4">
        <v>6</v>
      </c>
      <c r="V1294" s="4">
        <v>9</v>
      </c>
      <c r="W1294" s="4">
        <v>9</v>
      </c>
      <c r="X1294" s="45">
        <f t="shared" si="106"/>
        <v>78313.750000000029</v>
      </c>
      <c r="Y1294" s="14" t="s">
        <v>56</v>
      </c>
      <c r="Z1294" s="14" t="s">
        <v>3376</v>
      </c>
      <c r="AA1294" s="14" t="str">
        <f>IFERROR(VLOOKUP(A1294,'[2]UPDATE BILL 2018'!$B:$P,15,0),IFERROR(VLOOKUP(A1294,'[2]UPDATE BILL 2018'!$C:$P,14,0),IFERROR(VLOOKUP(A1294,'[2]UPDATE BILL 2018'!$D:$P,13,0),IFERROR(VLOOKUP(A1294,'[2]UPDATE BILL 2018'!$E:$P,12,0),IFERROR(VLOOKUP(A1294,'[2]UPDATE BILL 2018'!$F:$P,11,0),IFERROR(VLOOKUP(A1294,'[2]UPDATE BILL 2018'!$G:$P,10,0),IFERROR(VLOOKUP(A1294,'[2]UPDATE BILL 2018'!$H:$P,9,0),IFERROR(VLOOKUP(A1294,'[2]UPDATE BILL 2018'!$I:$P,8,0),VLOOKUP(A1294,'[2]UPDATE BILL 2018'!$B:$P,15,0)))))))))</f>
        <v>1008X04461</v>
      </c>
      <c r="AB1294" s="44">
        <f>IFERROR(VLOOKUP(A1294,'[2]UPDATE BILL 2018'!$B:$T,19,0),IFERROR(VLOOKUP(A1294,'[2]UPDATE BILL 2018'!$C:$T,18,0),IFERROR(VLOOKUP(A1294,'[2]UPDATE BILL 2018'!$D:$T,17,0),IFERROR(VLOOKUP(A1294,'[2]UPDATE BILL 2018'!$E:$T,16,0),IFERROR(VLOOKUP(A1294,'[2]UPDATE BILL 2018'!$F:$T,15,0),IFERROR(VLOOKUP(A1294,'[2]UPDATE BILL 2018'!$G:$T,14,0),IFERROR(VLOOKUP(A1294,'[2]UPDATE BILL 2018'!$H:$T,13,0),IFERROR(VLOOKUP(A1294,'[2]UPDATE BILL 2018'!$I:$T,12,0),VLOOKUP(A1294,'[2]UPDATE BILL 2018'!$B:$T,19,0)))))))))</f>
        <v>43328</v>
      </c>
      <c r="AC1294" s="44" t="str">
        <f>IFERROR(VLOOKUP(A1294,'[2]UPDATE BILL 2018'!$B:$V,21,0),IFERROR(VLOOKUP(A1294,'[2]UPDATE BILL 2018'!$C:$V,20,0),IFERROR(VLOOKUP(A1294,'[2]UPDATE BILL 2018'!$D:$V,19,0),IFERROR(VLOOKUP(A1294,'[2]UPDATE BILL 2018'!$E:$V,18,0),IFERROR(VLOOKUP(A1294,'[2]UPDATE BILL 2018'!$F:$V,17,0),IFERROR(VLOOKUP(A1294,'[2]UPDATE BILL 2018'!$G:$V,16,0),IFERROR(VLOOKUP(A1294,'[2]UPDATE BILL 2018'!$H:$V,15,0),IFERROR(VLOOKUP(A1294,'[2]UPDATE BILL 2018'!$I:$V,14,0),VLOOKUP(A1294,'[2]UPDATE BILL 2018'!$B:$V,21,0)))))))))</f>
        <v>WAN HAI 267  N270</v>
      </c>
      <c r="AD1294" s="14" t="s">
        <v>49</v>
      </c>
      <c r="AE1294" s="24" t="s">
        <v>3367</v>
      </c>
      <c r="AF1294" s="25" t="str">
        <f t="shared" si="100"/>
        <v>VK</v>
      </c>
      <c r="AG1294" t="e">
        <f t="shared" si="88"/>
        <v>#REF!</v>
      </c>
      <c r="AI1294" s="58"/>
    </row>
    <row r="1295" spans="1:35" ht="15.75" customHeight="1">
      <c r="A1295" s="6" t="s">
        <v>3359</v>
      </c>
      <c r="B1295" s="5">
        <v>98</v>
      </c>
      <c r="C1295" s="7">
        <v>10640.2</v>
      </c>
      <c r="D1295" s="7">
        <f t="shared" si="104"/>
        <v>0</v>
      </c>
      <c r="E1295" s="7">
        <v>0</v>
      </c>
      <c r="F1295" s="5">
        <v>0</v>
      </c>
      <c r="G1295" s="7">
        <v>0</v>
      </c>
      <c r="H1295" s="5">
        <v>70</v>
      </c>
      <c r="I1295" s="7">
        <v>8957.2000000000007</v>
      </c>
      <c r="J1295" s="7">
        <v>0</v>
      </c>
      <c r="K1295" s="5">
        <v>0</v>
      </c>
      <c r="L1295" s="5">
        <v>0</v>
      </c>
      <c r="M1295" s="5">
        <v>16</v>
      </c>
      <c r="N1295" s="7">
        <f t="shared" si="105"/>
        <v>16</v>
      </c>
      <c r="O1295" s="7">
        <v>2446.1000000000004</v>
      </c>
      <c r="P1295" s="7">
        <v>0</v>
      </c>
      <c r="Q1295" s="5">
        <v>0</v>
      </c>
      <c r="S1295" s="7">
        <v>0</v>
      </c>
      <c r="T1295" s="12">
        <v>43319</v>
      </c>
      <c r="U1295" s="4">
        <v>2</v>
      </c>
      <c r="V1295" s="4">
        <v>9</v>
      </c>
      <c r="W1295" s="4">
        <v>9</v>
      </c>
      <c r="X1295" s="45">
        <f t="shared" si="106"/>
        <v>22043.5</v>
      </c>
      <c r="Y1295" s="14" t="s">
        <v>58</v>
      </c>
      <c r="Z1295" s="14" t="s">
        <v>1492</v>
      </c>
      <c r="AA1295" s="14" t="str">
        <f>IFERROR(VLOOKUP(A1295,'[2]UPDATE BILL 2018'!$B:$P,15,0),IFERROR(VLOOKUP(A1295,'[2]UPDATE BILL 2018'!$C:$P,14,0),IFERROR(VLOOKUP(A1295,'[2]UPDATE BILL 2018'!$D:$P,13,0),IFERROR(VLOOKUP(A1295,'[2]UPDATE BILL 2018'!$E:$P,12,0),IFERROR(VLOOKUP(A1295,'[2]UPDATE BILL 2018'!$F:$P,11,0),IFERROR(VLOOKUP(A1295,'[2]UPDATE BILL 2018'!$G:$P,10,0),IFERROR(VLOOKUP(A1295,'[2]UPDATE BILL 2018'!$H:$P,9,0),IFERROR(VLOOKUP(A1295,'[2]UPDATE BILL 2018'!$I:$P,8,0),VLOOKUP(A1295,'[2]UPDATE BILL 2018'!$B:$P,15,0)))))))))</f>
        <v>EGLV237800240466</v>
      </c>
      <c r="AB1295" s="44">
        <f>IFERROR(VLOOKUP(A1295,'[2]UPDATE BILL 2018'!$B:$T,19,0),IFERROR(VLOOKUP(A1295,'[2]UPDATE BILL 2018'!$C:$T,18,0),IFERROR(VLOOKUP(A1295,'[2]UPDATE BILL 2018'!$D:$T,17,0),IFERROR(VLOOKUP(A1295,'[2]UPDATE BILL 2018'!$E:$T,16,0),IFERROR(VLOOKUP(A1295,'[2]UPDATE BILL 2018'!$F:$T,15,0),IFERROR(VLOOKUP(A1295,'[2]UPDATE BILL 2018'!$G:$T,14,0),IFERROR(VLOOKUP(A1295,'[2]UPDATE BILL 2018'!$H:$T,13,0),IFERROR(VLOOKUP(A1295,'[2]UPDATE BILL 2018'!$I:$T,12,0),VLOOKUP(A1295,'[2]UPDATE BILL 2018'!$B:$T,19,0)))))))))</f>
        <v>43323</v>
      </c>
      <c r="AC1295" s="44" t="str">
        <f>IFERROR(VLOOKUP(A1295,'[2]UPDATE BILL 2018'!$B:$V,21,0),IFERROR(VLOOKUP(A1295,'[2]UPDATE BILL 2018'!$C:$V,20,0),IFERROR(VLOOKUP(A1295,'[2]UPDATE BILL 2018'!$D:$V,19,0),IFERROR(VLOOKUP(A1295,'[2]UPDATE BILL 2018'!$E:$V,18,0),IFERROR(VLOOKUP(A1295,'[2]UPDATE BILL 2018'!$F:$V,17,0),IFERROR(VLOOKUP(A1295,'[2]UPDATE BILL 2018'!$G:$V,16,0),IFERROR(VLOOKUP(A1295,'[2]UPDATE BILL 2018'!$H:$V,15,0),IFERROR(VLOOKUP(A1295,'[2]UPDATE BILL 2018'!$I:$V,14,0),VLOOKUP(A1295,'[2]UPDATE BILL 2018'!$B:$V,21,0)))))))))</f>
        <v>UNI-ACCORD 0594-563N</v>
      </c>
      <c r="AD1295" s="14" t="s">
        <v>49</v>
      </c>
      <c r="AE1295" s="24" t="s">
        <v>3368</v>
      </c>
      <c r="AF1295" s="25" t="str">
        <f t="shared" si="100"/>
        <v>VN</v>
      </c>
      <c r="AG1295" t="e">
        <f t="shared" si="88"/>
        <v>#REF!</v>
      </c>
      <c r="AI1295" s="58"/>
    </row>
    <row r="1296" spans="1:35" ht="15.75" customHeight="1">
      <c r="A1296" s="6" t="s">
        <v>3360</v>
      </c>
      <c r="D1296" s="7">
        <f t="shared" si="104"/>
        <v>0</v>
      </c>
      <c r="E1296" s="7">
        <v>0</v>
      </c>
      <c r="F1296" s="5">
        <v>0</v>
      </c>
      <c r="G1296" s="7">
        <v>0</v>
      </c>
      <c r="H1296" s="5">
        <v>0</v>
      </c>
      <c r="I1296" s="7">
        <v>0</v>
      </c>
      <c r="J1296" s="7">
        <v>0</v>
      </c>
      <c r="K1296" s="5">
        <v>0</v>
      </c>
      <c r="L1296" s="5">
        <v>0</v>
      </c>
      <c r="M1296" s="5">
        <v>111</v>
      </c>
      <c r="N1296" s="7">
        <f t="shared" si="105"/>
        <v>111</v>
      </c>
      <c r="O1296" s="7">
        <v>9600.8000000000011</v>
      </c>
      <c r="P1296" s="7">
        <v>0</v>
      </c>
      <c r="Q1296" s="5">
        <v>0</v>
      </c>
      <c r="S1296" s="7">
        <v>0</v>
      </c>
      <c r="T1296" s="12">
        <v>43319</v>
      </c>
      <c r="U1296" s="4">
        <v>1</v>
      </c>
      <c r="V1296" s="4">
        <v>9</v>
      </c>
      <c r="W1296" s="4">
        <v>9</v>
      </c>
      <c r="X1296" s="45">
        <f t="shared" si="106"/>
        <v>9600.8000000000011</v>
      </c>
      <c r="Y1296" s="14" t="s">
        <v>54</v>
      </c>
      <c r="Z1296" s="14" t="s">
        <v>1355</v>
      </c>
      <c r="AA1296" s="14" t="str">
        <f>IFERROR(VLOOKUP(A1296,'[2]UPDATE BILL 2018'!$B:$P,15,0),IFERROR(VLOOKUP(A1296,'[2]UPDATE BILL 2018'!$C:$P,14,0),IFERROR(VLOOKUP(A1296,'[2]UPDATE BILL 2018'!$D:$P,13,0),IFERROR(VLOOKUP(A1296,'[2]UPDATE BILL 2018'!$E:$P,12,0),IFERROR(VLOOKUP(A1296,'[2]UPDATE BILL 2018'!$F:$P,11,0),IFERROR(VLOOKUP(A1296,'[2]UPDATE BILL 2018'!$G:$P,10,0),IFERROR(VLOOKUP(A1296,'[2]UPDATE BILL 2018'!$H:$P,9,0),IFERROR(VLOOKUP(A1296,'[2]UPDATE BILL 2018'!$I:$P,8,0),VLOOKUP(A1296,'[2]UPDATE BILL 2018'!$B:$P,15,0)))))))))</f>
        <v>SITWHPHT174215</v>
      </c>
      <c r="AB1296" s="44">
        <f>IFERROR(VLOOKUP(A1296,'[2]UPDATE BILL 2018'!$B:$T,19,0),IFERROR(VLOOKUP(A1296,'[2]UPDATE BILL 2018'!$C:$T,18,0),IFERROR(VLOOKUP(A1296,'[2]UPDATE BILL 2018'!$D:$T,17,0),IFERROR(VLOOKUP(A1296,'[2]UPDATE BILL 2018'!$E:$T,16,0),IFERROR(VLOOKUP(A1296,'[2]UPDATE BILL 2018'!$F:$T,15,0),IFERROR(VLOOKUP(A1296,'[2]UPDATE BILL 2018'!$G:$T,14,0),IFERROR(VLOOKUP(A1296,'[2]UPDATE BILL 2018'!$H:$T,13,0),IFERROR(VLOOKUP(A1296,'[2]UPDATE BILL 2018'!$I:$T,12,0),VLOOKUP(A1296,'[2]UPDATE BILL 2018'!$B:$T,19,0)))))))))</f>
        <v>43325</v>
      </c>
      <c r="AC1296" s="44" t="str">
        <f>IFERROR(VLOOKUP(A1296,'[2]UPDATE BILL 2018'!$B:$V,21,0),IFERROR(VLOOKUP(A1296,'[2]UPDATE BILL 2018'!$C:$V,20,0),IFERROR(VLOOKUP(A1296,'[2]UPDATE BILL 2018'!$D:$V,19,0),IFERROR(VLOOKUP(A1296,'[2]UPDATE BILL 2018'!$E:$V,18,0),IFERROR(VLOOKUP(A1296,'[2]UPDATE BILL 2018'!$F:$V,17,0),IFERROR(VLOOKUP(A1296,'[2]UPDATE BILL 2018'!$G:$V,16,0),IFERROR(VLOOKUP(A1296,'[2]UPDATE BILL 2018'!$H:$V,15,0),IFERROR(VLOOKUP(A1296,'[2]UPDATE BILL 2018'!$I:$V,14,0),VLOOKUP(A1296,'[2]UPDATE BILL 2018'!$B:$V,21,0)))))))))</f>
        <v>EPONYMA 1821N</v>
      </c>
      <c r="AD1296" s="14" t="s">
        <v>52</v>
      </c>
      <c r="AE1296" s="24" t="s">
        <v>3369</v>
      </c>
      <c r="AF1296" s="25" t="str">
        <f t="shared" si="100"/>
        <v>VQ</v>
      </c>
      <c r="AG1296" t="e">
        <f t="shared" si="88"/>
        <v>#REF!</v>
      </c>
      <c r="AI1296" s="58"/>
    </row>
    <row r="1297" spans="1:35" ht="15.75" customHeight="1">
      <c r="A1297" s="6" t="s">
        <v>3361</v>
      </c>
      <c r="D1297" s="7">
        <f t="shared" si="104"/>
        <v>0</v>
      </c>
      <c r="E1297" s="7">
        <v>0</v>
      </c>
      <c r="F1297" s="5">
        <v>0</v>
      </c>
      <c r="G1297" s="7">
        <v>0</v>
      </c>
      <c r="H1297" s="5">
        <v>115</v>
      </c>
      <c r="I1297" s="7">
        <v>12992.7</v>
      </c>
      <c r="J1297" s="7">
        <v>0</v>
      </c>
      <c r="K1297" s="5">
        <v>0</v>
      </c>
      <c r="L1297" s="5">
        <v>0</v>
      </c>
      <c r="M1297" s="5">
        <v>256</v>
      </c>
      <c r="N1297" s="7">
        <f t="shared" si="105"/>
        <v>256</v>
      </c>
      <c r="O1297" s="7">
        <v>30902.2</v>
      </c>
      <c r="P1297" s="7">
        <v>0</v>
      </c>
      <c r="Q1297" s="5">
        <v>0</v>
      </c>
      <c r="S1297" s="7">
        <v>0</v>
      </c>
      <c r="T1297" s="12">
        <v>43319</v>
      </c>
      <c r="U1297" s="4">
        <v>4</v>
      </c>
      <c r="V1297" s="4">
        <v>9</v>
      </c>
      <c r="W1297" s="4">
        <v>9</v>
      </c>
      <c r="X1297" s="45">
        <f t="shared" si="106"/>
        <v>43894.9</v>
      </c>
      <c r="Y1297" s="14" t="s">
        <v>54</v>
      </c>
      <c r="Z1297" s="14" t="s">
        <v>1281</v>
      </c>
      <c r="AA1297" s="14" t="str">
        <f>IFERROR(VLOOKUP(A1297,'[2]UPDATE BILL 2018'!$B:$P,15,0),IFERROR(VLOOKUP(A1297,'[2]UPDATE BILL 2018'!$C:$P,14,0),IFERROR(VLOOKUP(A1297,'[2]UPDATE BILL 2018'!$D:$P,13,0),IFERROR(VLOOKUP(A1297,'[2]UPDATE BILL 2018'!$E:$P,12,0),IFERROR(VLOOKUP(A1297,'[2]UPDATE BILL 2018'!$F:$P,11,0),IFERROR(VLOOKUP(A1297,'[2]UPDATE BILL 2018'!$G:$P,10,0),IFERROR(VLOOKUP(A1297,'[2]UPDATE BILL 2018'!$H:$P,9,0),IFERROR(VLOOKUP(A1297,'[2]UPDATE BILL 2018'!$I:$P,8,0),VLOOKUP(A1297,'[2]UPDATE BILL 2018'!$B:$P,15,0)))))))))</f>
        <v>SITWHPOS174213</v>
      </c>
      <c r="AB1297" s="44">
        <f>IFERROR(VLOOKUP(A1297,'[2]UPDATE BILL 2018'!$B:$T,19,0),IFERROR(VLOOKUP(A1297,'[2]UPDATE BILL 2018'!$C:$T,18,0),IFERROR(VLOOKUP(A1297,'[2]UPDATE BILL 2018'!$D:$T,17,0),IFERROR(VLOOKUP(A1297,'[2]UPDATE BILL 2018'!$E:$T,16,0),IFERROR(VLOOKUP(A1297,'[2]UPDATE BILL 2018'!$F:$T,15,0),IFERROR(VLOOKUP(A1297,'[2]UPDATE BILL 2018'!$G:$T,14,0),IFERROR(VLOOKUP(A1297,'[2]UPDATE BILL 2018'!$H:$T,13,0),IFERROR(VLOOKUP(A1297,'[2]UPDATE BILL 2018'!$I:$T,12,0),VLOOKUP(A1297,'[2]UPDATE BILL 2018'!$B:$T,19,0)))))))))</f>
        <v>43325</v>
      </c>
      <c r="AC1297" s="44" t="str">
        <f>IFERROR(VLOOKUP(A1297,'[2]UPDATE BILL 2018'!$B:$V,21,0),IFERROR(VLOOKUP(A1297,'[2]UPDATE BILL 2018'!$C:$V,20,0),IFERROR(VLOOKUP(A1297,'[2]UPDATE BILL 2018'!$D:$V,19,0),IFERROR(VLOOKUP(A1297,'[2]UPDATE BILL 2018'!$E:$V,18,0),IFERROR(VLOOKUP(A1297,'[2]UPDATE BILL 2018'!$F:$V,17,0),IFERROR(VLOOKUP(A1297,'[2]UPDATE BILL 2018'!$G:$V,16,0),IFERROR(VLOOKUP(A1297,'[2]UPDATE BILL 2018'!$H:$V,15,0),IFERROR(VLOOKUP(A1297,'[2]UPDATE BILL 2018'!$I:$V,14,0),VLOOKUP(A1297,'[2]UPDATE BILL 2018'!$B:$V,21,0)))))))))</f>
        <v>EPONYMA 1821N</v>
      </c>
      <c r="AD1297" s="14" t="s">
        <v>51</v>
      </c>
      <c r="AE1297" s="24" t="s">
        <v>3370</v>
      </c>
      <c r="AF1297" s="25" t="str">
        <f t="shared" si="100"/>
        <v>VS</v>
      </c>
      <c r="AG1297" t="e">
        <f t="shared" si="88"/>
        <v>#REF!</v>
      </c>
      <c r="AI1297" s="58"/>
    </row>
    <row r="1298" spans="1:35" ht="15.75" customHeight="1">
      <c r="A1298" s="6" t="s">
        <v>3362</v>
      </c>
      <c r="B1298" s="5">
        <v>672</v>
      </c>
      <c r="C1298" s="7">
        <v>74010.870000000024</v>
      </c>
      <c r="D1298" s="7">
        <f t="shared" si="104"/>
        <v>0</v>
      </c>
      <c r="E1298" s="7">
        <v>0</v>
      </c>
      <c r="F1298" s="5">
        <v>0</v>
      </c>
      <c r="G1298" s="7">
        <v>0</v>
      </c>
      <c r="H1298" s="5">
        <v>120</v>
      </c>
      <c r="I1298" s="7">
        <v>14459.550000000001</v>
      </c>
      <c r="J1298" s="7">
        <v>0</v>
      </c>
      <c r="K1298" s="5">
        <v>0</v>
      </c>
      <c r="L1298" s="5">
        <v>0</v>
      </c>
      <c r="M1298" s="5">
        <v>48</v>
      </c>
      <c r="N1298" s="7">
        <f t="shared" si="105"/>
        <v>48</v>
      </c>
      <c r="O1298" s="7">
        <v>8944.4000000000015</v>
      </c>
      <c r="P1298" s="7">
        <v>0</v>
      </c>
      <c r="Q1298" s="5">
        <v>0</v>
      </c>
      <c r="S1298" s="7">
        <v>0</v>
      </c>
      <c r="T1298" s="12">
        <v>43319</v>
      </c>
      <c r="U1298" s="4">
        <v>8</v>
      </c>
      <c r="V1298" s="4">
        <v>9</v>
      </c>
      <c r="W1298" s="4">
        <v>9</v>
      </c>
      <c r="X1298" s="45">
        <f t="shared" si="106"/>
        <v>97414.820000000036</v>
      </c>
      <c r="Y1298" s="14" t="s">
        <v>56</v>
      </c>
      <c r="Z1298" s="14" t="s">
        <v>59</v>
      </c>
      <c r="AA1298" s="14" t="str">
        <f>IFERROR(VLOOKUP(A1298,'[2]UPDATE BILL 2018'!$B:$P,15,0),IFERROR(VLOOKUP(A1298,'[2]UPDATE BILL 2018'!$C:$P,14,0),IFERROR(VLOOKUP(A1298,'[2]UPDATE BILL 2018'!$D:$P,13,0),IFERROR(VLOOKUP(A1298,'[2]UPDATE BILL 2018'!$E:$P,12,0),IFERROR(VLOOKUP(A1298,'[2]UPDATE BILL 2018'!$F:$P,11,0),IFERROR(VLOOKUP(A1298,'[2]UPDATE BILL 2018'!$G:$P,10,0),IFERROR(VLOOKUP(A1298,'[2]UPDATE BILL 2018'!$H:$P,9,0),IFERROR(VLOOKUP(A1298,'[2]UPDATE BILL 2018'!$I:$P,8,0),VLOOKUP(A1298,'[2]UPDATE BILL 2018'!$B:$P,15,0)))))))))</f>
        <v>1008X04278</v>
      </c>
      <c r="AB1298" s="44">
        <f>IFERROR(VLOOKUP(A1298,'[2]UPDATE BILL 2018'!$B:$T,19,0),IFERROR(VLOOKUP(A1298,'[2]UPDATE BILL 2018'!$C:$T,18,0),IFERROR(VLOOKUP(A1298,'[2]UPDATE BILL 2018'!$D:$T,17,0),IFERROR(VLOOKUP(A1298,'[2]UPDATE BILL 2018'!$E:$T,16,0),IFERROR(VLOOKUP(A1298,'[2]UPDATE BILL 2018'!$F:$T,15,0),IFERROR(VLOOKUP(A1298,'[2]UPDATE BILL 2018'!$G:$T,14,0),IFERROR(VLOOKUP(A1298,'[2]UPDATE BILL 2018'!$H:$T,13,0),IFERROR(VLOOKUP(A1298,'[2]UPDATE BILL 2018'!$I:$T,12,0),VLOOKUP(A1298,'[2]UPDATE BILL 2018'!$B:$T,19,0)))))))))</f>
        <v>43327</v>
      </c>
      <c r="AC1298" s="44" t="str">
        <f>IFERROR(VLOOKUP(A1298,'[2]UPDATE BILL 2018'!$B:$V,21,0),IFERROR(VLOOKUP(A1298,'[2]UPDATE BILL 2018'!$C:$V,20,0),IFERROR(VLOOKUP(A1298,'[2]UPDATE BILL 2018'!$D:$V,19,0),IFERROR(VLOOKUP(A1298,'[2]UPDATE BILL 2018'!$E:$V,18,0),IFERROR(VLOOKUP(A1298,'[2]UPDATE BILL 2018'!$F:$V,17,0),IFERROR(VLOOKUP(A1298,'[2]UPDATE BILL 2018'!$G:$V,16,0),IFERROR(VLOOKUP(A1298,'[2]UPDATE BILL 2018'!$H:$V,15,0),IFERROR(VLOOKUP(A1298,'[2]UPDATE BILL 2018'!$I:$V,14,0),VLOOKUP(A1298,'[2]UPDATE BILL 2018'!$B:$V,21,0)))))))))</f>
        <v>AS FIONA N008</v>
      </c>
      <c r="AD1298" s="14" t="s">
        <v>51</v>
      </c>
      <c r="AE1298" s="24" t="s">
        <v>3371</v>
      </c>
      <c r="AF1298" s="25" t="str">
        <f t="shared" si="100"/>
        <v>VS</v>
      </c>
      <c r="AG1298" t="e">
        <f t="shared" si="88"/>
        <v>#REF!</v>
      </c>
      <c r="AI1298" s="58"/>
    </row>
    <row r="1299" spans="1:35" ht="15.75" customHeight="1">
      <c r="A1299" s="6" t="s">
        <v>3363</v>
      </c>
      <c r="B1299" s="5">
        <v>486</v>
      </c>
      <c r="C1299" s="7">
        <v>45824.7</v>
      </c>
      <c r="D1299" s="7">
        <f t="shared" si="104"/>
        <v>0</v>
      </c>
      <c r="E1299" s="7">
        <v>0</v>
      </c>
      <c r="F1299" s="5">
        <v>0</v>
      </c>
      <c r="G1299" s="7">
        <v>0</v>
      </c>
      <c r="H1299" s="5">
        <v>0</v>
      </c>
      <c r="I1299" s="7">
        <v>0</v>
      </c>
      <c r="J1299" s="7">
        <v>0</v>
      </c>
      <c r="K1299" s="5">
        <v>0</v>
      </c>
      <c r="L1299" s="5">
        <v>0</v>
      </c>
      <c r="M1299" s="5">
        <v>105</v>
      </c>
      <c r="N1299" s="7">
        <f t="shared" si="105"/>
        <v>105</v>
      </c>
      <c r="O1299" s="7">
        <v>20849.199999999997</v>
      </c>
      <c r="P1299" s="7">
        <v>0</v>
      </c>
      <c r="Q1299" s="5">
        <v>0</v>
      </c>
      <c r="S1299" s="7">
        <v>0</v>
      </c>
      <c r="T1299" s="12">
        <v>43319</v>
      </c>
      <c r="U1299" s="4">
        <v>5</v>
      </c>
      <c r="V1299" s="4">
        <v>9</v>
      </c>
      <c r="W1299" s="4">
        <v>9</v>
      </c>
      <c r="X1299" s="45">
        <f t="shared" si="106"/>
        <v>66673.899999999994</v>
      </c>
      <c r="Y1299" s="14" t="s">
        <v>54</v>
      </c>
      <c r="Z1299" s="14" t="s">
        <v>2525</v>
      </c>
      <c r="AA1299" s="14" t="str">
        <f>IFERROR(VLOOKUP(A1299,'[2]UPDATE BILL 2018'!$B:$P,15,0),IFERROR(VLOOKUP(A1299,'[2]UPDATE BILL 2018'!$C:$P,14,0),IFERROR(VLOOKUP(A1299,'[2]UPDATE BILL 2018'!$D:$P,13,0),IFERROR(VLOOKUP(A1299,'[2]UPDATE BILL 2018'!$E:$P,12,0),IFERROR(VLOOKUP(A1299,'[2]UPDATE BILL 2018'!$F:$P,11,0),IFERROR(VLOOKUP(A1299,'[2]UPDATE BILL 2018'!$G:$P,10,0),IFERROR(VLOOKUP(A1299,'[2]UPDATE BILL 2018'!$H:$P,9,0),IFERROR(VLOOKUP(A1299,'[2]UPDATE BILL 2018'!$I:$P,8,0),VLOOKUP(A1299,'[2]UPDATE BILL 2018'!$B:$P,15,0)))))))))</f>
        <v>SITWHPKW174196</v>
      </c>
      <c r="AB1299" s="44">
        <f>IFERROR(VLOOKUP(A1299,'[2]UPDATE BILL 2018'!$B:$T,19,0),IFERROR(VLOOKUP(A1299,'[2]UPDATE BILL 2018'!$C:$T,18,0),IFERROR(VLOOKUP(A1299,'[2]UPDATE BILL 2018'!$D:$T,17,0),IFERROR(VLOOKUP(A1299,'[2]UPDATE BILL 2018'!$E:$T,16,0),IFERROR(VLOOKUP(A1299,'[2]UPDATE BILL 2018'!$F:$T,15,0),IFERROR(VLOOKUP(A1299,'[2]UPDATE BILL 2018'!$G:$T,14,0),IFERROR(VLOOKUP(A1299,'[2]UPDATE BILL 2018'!$H:$T,13,0),IFERROR(VLOOKUP(A1299,'[2]UPDATE BILL 2018'!$I:$T,12,0),VLOOKUP(A1299,'[2]UPDATE BILL 2018'!$B:$T,19,0)))))))))</f>
        <v>43324</v>
      </c>
      <c r="AC1299" s="44" t="str">
        <f>IFERROR(VLOOKUP(A1299,'[2]UPDATE BILL 2018'!$B:$V,21,0),IFERROR(VLOOKUP(A1299,'[2]UPDATE BILL 2018'!$C:$V,20,0),IFERROR(VLOOKUP(A1299,'[2]UPDATE BILL 2018'!$D:$V,19,0),IFERROR(VLOOKUP(A1299,'[2]UPDATE BILL 2018'!$E:$V,18,0),IFERROR(VLOOKUP(A1299,'[2]UPDATE BILL 2018'!$F:$V,17,0),IFERROR(VLOOKUP(A1299,'[2]UPDATE BILL 2018'!$G:$V,16,0),IFERROR(VLOOKUP(A1299,'[2]UPDATE BILL 2018'!$H:$V,15,0),IFERROR(VLOOKUP(A1299,'[2]UPDATE BILL 2018'!$I:$V,14,0),VLOOKUP(A1299,'[2]UPDATE BILL 2018'!$B:$V,21,0)))))))))</f>
        <v>SITC OSAKA 1823N</v>
      </c>
      <c r="AD1299" s="14" t="s">
        <v>50</v>
      </c>
      <c r="AE1299" s="24" t="s">
        <v>3372</v>
      </c>
      <c r="AF1299" s="25" t="str">
        <f t="shared" si="100"/>
        <v>VW</v>
      </c>
      <c r="AG1299" t="e">
        <f t="shared" si="88"/>
        <v>#REF!</v>
      </c>
      <c r="AI1299" s="58"/>
    </row>
    <row r="1300" spans="1:35" ht="15.75" customHeight="1">
      <c r="A1300" s="6" t="s">
        <v>3364</v>
      </c>
      <c r="B1300" s="5">
        <v>545</v>
      </c>
      <c r="C1300" s="7">
        <v>59303.05</v>
      </c>
      <c r="D1300" s="7">
        <f t="shared" si="104"/>
        <v>0</v>
      </c>
      <c r="E1300" s="7">
        <v>0</v>
      </c>
      <c r="F1300" s="5">
        <v>0</v>
      </c>
      <c r="G1300" s="7">
        <v>0</v>
      </c>
      <c r="H1300" s="5">
        <v>0</v>
      </c>
      <c r="I1300" s="7">
        <v>0</v>
      </c>
      <c r="J1300" s="7">
        <v>0</v>
      </c>
      <c r="K1300" s="5">
        <v>0</v>
      </c>
      <c r="L1300" s="5">
        <v>0</v>
      </c>
      <c r="M1300" s="5">
        <v>99</v>
      </c>
      <c r="N1300" s="7">
        <f t="shared" si="105"/>
        <v>99</v>
      </c>
      <c r="O1300" s="7">
        <v>19175.3</v>
      </c>
      <c r="P1300" s="7">
        <v>0</v>
      </c>
      <c r="Q1300" s="5">
        <v>0</v>
      </c>
      <c r="S1300" s="7">
        <v>0</v>
      </c>
      <c r="T1300" s="12">
        <v>43319</v>
      </c>
      <c r="U1300" s="4">
        <v>7</v>
      </c>
      <c r="V1300" s="4">
        <v>9</v>
      </c>
      <c r="W1300" s="4">
        <v>9</v>
      </c>
      <c r="X1300" s="45">
        <f t="shared" si="106"/>
        <v>78478.350000000006</v>
      </c>
      <c r="Y1300" s="14" t="s">
        <v>54</v>
      </c>
      <c r="Z1300" s="14" t="s">
        <v>1355</v>
      </c>
      <c r="AA1300" s="14" t="str">
        <f>IFERROR(VLOOKUP(A1300,'[2]UPDATE BILL 2018'!$B:$P,15,0),IFERROR(VLOOKUP(A1300,'[2]UPDATE BILL 2018'!$C:$P,14,0),IFERROR(VLOOKUP(A1300,'[2]UPDATE BILL 2018'!$D:$P,13,0),IFERROR(VLOOKUP(A1300,'[2]UPDATE BILL 2018'!$E:$P,12,0),IFERROR(VLOOKUP(A1300,'[2]UPDATE BILL 2018'!$F:$P,11,0),IFERROR(VLOOKUP(A1300,'[2]UPDATE BILL 2018'!$G:$P,10,0),IFERROR(VLOOKUP(A1300,'[2]UPDATE BILL 2018'!$H:$P,9,0),IFERROR(VLOOKUP(A1300,'[2]UPDATE BILL 2018'!$I:$P,8,0),VLOOKUP(A1300,'[2]UPDATE BILL 2018'!$B:$P,15,0)))))))))</f>
        <v>SITWHPKW174198</v>
      </c>
      <c r="AB1300" s="44">
        <f>IFERROR(VLOOKUP(A1300,'[2]UPDATE BILL 2018'!$B:$T,19,0),IFERROR(VLOOKUP(A1300,'[2]UPDATE BILL 2018'!$C:$T,18,0),IFERROR(VLOOKUP(A1300,'[2]UPDATE BILL 2018'!$D:$T,17,0),IFERROR(VLOOKUP(A1300,'[2]UPDATE BILL 2018'!$E:$T,16,0),IFERROR(VLOOKUP(A1300,'[2]UPDATE BILL 2018'!$F:$T,15,0),IFERROR(VLOOKUP(A1300,'[2]UPDATE BILL 2018'!$G:$T,14,0),IFERROR(VLOOKUP(A1300,'[2]UPDATE BILL 2018'!$H:$T,13,0),IFERROR(VLOOKUP(A1300,'[2]UPDATE BILL 2018'!$I:$T,12,0),VLOOKUP(A1300,'[2]UPDATE BILL 2018'!$B:$T,19,0)))))))))</f>
        <v>43328</v>
      </c>
      <c r="AC1300" s="44" t="str">
        <f>IFERROR(VLOOKUP(A1300,'[2]UPDATE BILL 2018'!$B:$V,21,0),IFERROR(VLOOKUP(A1300,'[2]UPDATE BILL 2018'!$C:$V,20,0),IFERROR(VLOOKUP(A1300,'[2]UPDATE BILL 2018'!$D:$V,19,0),IFERROR(VLOOKUP(A1300,'[2]UPDATE BILL 2018'!$E:$V,18,0),IFERROR(VLOOKUP(A1300,'[2]UPDATE BILL 2018'!$F:$V,17,0),IFERROR(VLOOKUP(A1300,'[2]UPDATE BILL 2018'!$G:$V,16,0),IFERROR(VLOOKUP(A1300,'[2]UPDATE BILL 2018'!$H:$V,15,0),IFERROR(VLOOKUP(A1300,'[2]UPDATE BILL 2018'!$I:$V,14,0),VLOOKUP(A1300,'[2]UPDATE BILL 2018'!$B:$V,21,0)))))))))</f>
        <v>AVRA C 1823N</v>
      </c>
      <c r="AD1300" s="14" t="s">
        <v>50</v>
      </c>
      <c r="AE1300" s="24" t="s">
        <v>3373</v>
      </c>
      <c r="AF1300" s="25" t="str">
        <f t="shared" si="100"/>
        <v>VW</v>
      </c>
      <c r="AG1300" t="e">
        <f t="shared" si="88"/>
        <v>#REF!</v>
      </c>
      <c r="AI1300" s="58"/>
    </row>
    <row r="1301" spans="1:35" ht="15.75" customHeight="1">
      <c r="A1301" s="6" t="s">
        <v>3365</v>
      </c>
      <c r="D1301" s="7">
        <f t="shared" si="104"/>
        <v>0</v>
      </c>
      <c r="E1301" s="7">
        <v>0</v>
      </c>
      <c r="F1301" s="5">
        <v>0</v>
      </c>
      <c r="G1301" s="7">
        <v>0</v>
      </c>
      <c r="H1301" s="5">
        <v>0</v>
      </c>
      <c r="I1301" s="7">
        <v>0</v>
      </c>
      <c r="J1301" s="7">
        <v>0</v>
      </c>
      <c r="K1301" s="5">
        <v>0</v>
      </c>
      <c r="L1301" s="5">
        <v>0</v>
      </c>
      <c r="M1301" s="5">
        <v>0</v>
      </c>
      <c r="N1301" s="7">
        <f t="shared" si="105"/>
        <v>0</v>
      </c>
      <c r="O1301" s="7">
        <v>0</v>
      </c>
      <c r="P1301" s="7">
        <v>0</v>
      </c>
      <c r="Q1301" s="5">
        <v>0</v>
      </c>
      <c r="R1301" s="5">
        <v>545</v>
      </c>
      <c r="S1301" s="7">
        <v>84104.2</v>
      </c>
      <c r="T1301" s="12">
        <v>43319</v>
      </c>
      <c r="U1301" s="4">
        <v>3</v>
      </c>
      <c r="V1301" s="4">
        <v>9</v>
      </c>
      <c r="W1301" s="4">
        <v>9</v>
      </c>
      <c r="X1301" s="45">
        <f t="shared" si="106"/>
        <v>84104.2</v>
      </c>
      <c r="Y1301" s="14" t="s">
        <v>58</v>
      </c>
      <c r="Z1301" s="14" t="s">
        <v>1492</v>
      </c>
      <c r="AA1301" s="14" t="str">
        <f>IFERROR(VLOOKUP(A1301,'[2]UPDATE BILL 2018'!$B:$P,15,0),IFERROR(VLOOKUP(A1301,'[2]UPDATE BILL 2018'!$C:$P,14,0),IFERROR(VLOOKUP(A1301,'[2]UPDATE BILL 2018'!$D:$P,13,0),IFERROR(VLOOKUP(A1301,'[2]UPDATE BILL 2018'!$E:$P,12,0),IFERROR(VLOOKUP(A1301,'[2]UPDATE BILL 2018'!$F:$P,11,0),IFERROR(VLOOKUP(A1301,'[2]UPDATE BILL 2018'!$G:$P,10,0),IFERROR(VLOOKUP(A1301,'[2]UPDATE BILL 2018'!$H:$P,9,0),IFERROR(VLOOKUP(A1301,'[2]UPDATE BILL 2018'!$I:$P,8,0),VLOOKUP(A1301,'[2]UPDATE BILL 2018'!$B:$P,15,0)))))))))</f>
        <v>EGLV237800244950</v>
      </c>
      <c r="AB1301" s="44">
        <f>IFERROR(VLOOKUP(A1301,'[2]UPDATE BILL 2018'!$B:$T,19,0),IFERROR(VLOOKUP(A1301,'[2]UPDATE BILL 2018'!$C:$T,18,0),IFERROR(VLOOKUP(A1301,'[2]UPDATE BILL 2018'!$D:$T,17,0),IFERROR(VLOOKUP(A1301,'[2]UPDATE BILL 2018'!$E:$T,16,0),IFERROR(VLOOKUP(A1301,'[2]UPDATE BILL 2018'!$F:$T,15,0),IFERROR(VLOOKUP(A1301,'[2]UPDATE BILL 2018'!$G:$T,14,0),IFERROR(VLOOKUP(A1301,'[2]UPDATE BILL 2018'!$H:$T,13,0),IFERROR(VLOOKUP(A1301,'[2]UPDATE BILL 2018'!$I:$T,12,0),VLOOKUP(A1301,'[2]UPDATE BILL 2018'!$B:$T,19,0)))))))))</f>
        <v>43323</v>
      </c>
      <c r="AC1301" s="44" t="str">
        <f>IFERROR(VLOOKUP(A1301,'[2]UPDATE BILL 2018'!$B:$V,21,0),IFERROR(VLOOKUP(A1301,'[2]UPDATE BILL 2018'!$C:$V,20,0),IFERROR(VLOOKUP(A1301,'[2]UPDATE BILL 2018'!$D:$V,19,0),IFERROR(VLOOKUP(A1301,'[2]UPDATE BILL 2018'!$E:$V,18,0),IFERROR(VLOOKUP(A1301,'[2]UPDATE BILL 2018'!$F:$V,17,0),IFERROR(VLOOKUP(A1301,'[2]UPDATE BILL 2018'!$G:$V,16,0),IFERROR(VLOOKUP(A1301,'[2]UPDATE BILL 2018'!$H:$V,15,0),IFERROR(VLOOKUP(A1301,'[2]UPDATE BILL 2018'!$I:$V,14,0),VLOOKUP(A1301,'[2]UPDATE BILL 2018'!$B:$V,21,0)))))))))</f>
        <v>UNI-ACCORD 0594-563N</v>
      </c>
      <c r="AD1301" s="14" t="s">
        <v>51</v>
      </c>
      <c r="AE1301" s="24" t="s">
        <v>3374</v>
      </c>
      <c r="AF1301" s="25" t="s">
        <v>2150</v>
      </c>
      <c r="AG1301" t="e">
        <f t="shared" si="88"/>
        <v>#N/A</v>
      </c>
      <c r="AI1301" s="58"/>
    </row>
    <row r="1302" spans="1:35" ht="15.75" customHeight="1">
      <c r="A1302" s="6" t="s">
        <v>3366</v>
      </c>
      <c r="D1302" s="7">
        <f t="shared" si="104"/>
        <v>0</v>
      </c>
      <c r="E1302" s="7">
        <v>0</v>
      </c>
      <c r="F1302" s="5">
        <v>0</v>
      </c>
      <c r="G1302" s="7">
        <v>0</v>
      </c>
      <c r="H1302" s="5">
        <v>0</v>
      </c>
      <c r="I1302" s="7">
        <v>0</v>
      </c>
      <c r="J1302" s="7">
        <v>0</v>
      </c>
      <c r="K1302" s="5">
        <v>0</v>
      </c>
      <c r="L1302" s="5">
        <v>0</v>
      </c>
      <c r="M1302" s="5">
        <v>0</v>
      </c>
      <c r="N1302" s="7">
        <f t="shared" si="105"/>
        <v>0</v>
      </c>
      <c r="O1302" s="7">
        <v>0</v>
      </c>
      <c r="P1302" s="7">
        <v>0</v>
      </c>
      <c r="Q1302" s="5">
        <v>0</v>
      </c>
      <c r="R1302" s="5">
        <v>74</v>
      </c>
      <c r="S1302" s="7">
        <v>19284.400000000001</v>
      </c>
      <c r="T1302" s="12">
        <v>43319</v>
      </c>
      <c r="U1302" s="4">
        <v>1</v>
      </c>
      <c r="V1302" s="4">
        <v>9</v>
      </c>
      <c r="W1302" s="4">
        <v>9</v>
      </c>
      <c r="X1302" s="45">
        <f t="shared" si="106"/>
        <v>19284.400000000001</v>
      </c>
      <c r="Y1302" s="14" t="s">
        <v>54</v>
      </c>
      <c r="Z1302" s="14" t="s">
        <v>1637</v>
      </c>
      <c r="AA1302" s="14" t="str">
        <f>IFERROR(VLOOKUP(A1302,'[2]UPDATE BILL 2018'!$B:$P,15,0),IFERROR(VLOOKUP(A1302,'[2]UPDATE BILL 2018'!$C:$P,14,0),IFERROR(VLOOKUP(A1302,'[2]UPDATE BILL 2018'!$D:$P,13,0),IFERROR(VLOOKUP(A1302,'[2]UPDATE BILL 2018'!$E:$P,12,0),IFERROR(VLOOKUP(A1302,'[2]UPDATE BILL 2018'!$F:$P,11,0),IFERROR(VLOOKUP(A1302,'[2]UPDATE BILL 2018'!$G:$P,10,0),IFERROR(VLOOKUP(A1302,'[2]UPDATE BILL 2018'!$H:$P,9,0),IFERROR(VLOOKUP(A1302,'[2]UPDATE BILL 2018'!$I:$P,8,0),VLOOKUP(A1302,'[2]UPDATE BILL 2018'!$B:$P,15,0)))))))))</f>
        <v>SITWHPKW174196</v>
      </c>
      <c r="AB1302" s="44">
        <f>IFERROR(VLOOKUP(A1302,'[2]UPDATE BILL 2018'!$B:$T,19,0),IFERROR(VLOOKUP(A1302,'[2]UPDATE BILL 2018'!$C:$T,18,0),IFERROR(VLOOKUP(A1302,'[2]UPDATE BILL 2018'!$D:$T,17,0),IFERROR(VLOOKUP(A1302,'[2]UPDATE BILL 2018'!$E:$T,16,0),IFERROR(VLOOKUP(A1302,'[2]UPDATE BILL 2018'!$F:$T,15,0),IFERROR(VLOOKUP(A1302,'[2]UPDATE BILL 2018'!$G:$T,14,0),IFERROR(VLOOKUP(A1302,'[2]UPDATE BILL 2018'!$H:$T,13,0),IFERROR(VLOOKUP(A1302,'[2]UPDATE BILL 2018'!$I:$T,12,0),VLOOKUP(A1302,'[2]UPDATE BILL 2018'!$B:$T,19,0)))))))))</f>
        <v>43324</v>
      </c>
      <c r="AC1302" s="44" t="str">
        <f>IFERROR(VLOOKUP(A1302,'[2]UPDATE BILL 2018'!$B:$V,21,0),IFERROR(VLOOKUP(A1302,'[2]UPDATE BILL 2018'!$C:$V,20,0),IFERROR(VLOOKUP(A1302,'[2]UPDATE BILL 2018'!$D:$V,19,0),IFERROR(VLOOKUP(A1302,'[2]UPDATE BILL 2018'!$E:$V,18,0),IFERROR(VLOOKUP(A1302,'[2]UPDATE BILL 2018'!$F:$V,17,0),IFERROR(VLOOKUP(A1302,'[2]UPDATE BILL 2018'!$G:$V,16,0),IFERROR(VLOOKUP(A1302,'[2]UPDATE BILL 2018'!$H:$V,15,0),IFERROR(VLOOKUP(A1302,'[2]UPDATE BILL 2018'!$I:$V,14,0),VLOOKUP(A1302,'[2]UPDATE BILL 2018'!$B:$V,21,0)))))))))</f>
        <v>SITC OSAKA 1823N</v>
      </c>
      <c r="AD1302" s="14" t="s">
        <v>50</v>
      </c>
      <c r="AE1302" s="24" t="s">
        <v>3375</v>
      </c>
      <c r="AF1302" s="25" t="s">
        <v>2151</v>
      </c>
      <c r="AG1302" t="e">
        <f t="shared" si="88"/>
        <v>#N/A</v>
      </c>
      <c r="AI1302" s="58"/>
    </row>
    <row r="1303" spans="1:35" ht="15.75" customHeight="1">
      <c r="A1303" s="6" t="s">
        <v>3377</v>
      </c>
      <c r="D1303" s="7">
        <f t="shared" si="104"/>
        <v>0</v>
      </c>
      <c r="E1303" s="7">
        <v>0</v>
      </c>
      <c r="F1303" s="5">
        <v>0</v>
      </c>
      <c r="G1303" s="7">
        <v>0</v>
      </c>
      <c r="H1303" s="5">
        <v>353</v>
      </c>
      <c r="I1303" s="7">
        <v>39161.590000000004</v>
      </c>
      <c r="J1303" s="7">
        <v>0</v>
      </c>
      <c r="K1303" s="5">
        <v>0</v>
      </c>
      <c r="L1303" s="5">
        <v>0</v>
      </c>
      <c r="M1303" s="5">
        <v>0</v>
      </c>
      <c r="N1303" s="7">
        <f t="shared" si="105"/>
        <v>0</v>
      </c>
      <c r="O1303" s="7">
        <v>0</v>
      </c>
      <c r="P1303" s="7">
        <v>0</v>
      </c>
      <c r="Q1303" s="5">
        <v>0</v>
      </c>
      <c r="S1303" s="7">
        <v>0</v>
      </c>
      <c r="T1303" s="12">
        <v>43320</v>
      </c>
      <c r="U1303" s="4">
        <v>3</v>
      </c>
      <c r="V1303" s="4">
        <v>9</v>
      </c>
      <c r="W1303" s="4">
        <v>9</v>
      </c>
      <c r="X1303" s="45">
        <f t="shared" si="106"/>
        <v>39161.590000000004</v>
      </c>
      <c r="Y1303" s="14" t="s">
        <v>54</v>
      </c>
      <c r="Z1303" s="14" t="s">
        <v>1281</v>
      </c>
      <c r="AA1303" s="14" t="str">
        <f>IFERROR(VLOOKUP(A1303,'[2]UPDATE BILL 2018'!$B:$P,15,0),IFERROR(VLOOKUP(A1303,'[2]UPDATE BILL 2018'!$C:$P,14,0),IFERROR(VLOOKUP(A1303,'[2]UPDATE BILL 2018'!$D:$P,13,0),IFERROR(VLOOKUP(A1303,'[2]UPDATE BILL 2018'!$E:$P,12,0),IFERROR(VLOOKUP(A1303,'[2]UPDATE BILL 2018'!$F:$P,11,0),IFERROR(VLOOKUP(A1303,'[2]UPDATE BILL 2018'!$G:$P,10,0),IFERROR(VLOOKUP(A1303,'[2]UPDATE BILL 2018'!$H:$P,9,0),IFERROR(VLOOKUP(A1303,'[2]UPDATE BILL 2018'!$I:$P,8,0),VLOOKUP(A1303,'[2]UPDATE BILL 2018'!$B:$P,15,0)))))))))</f>
        <v>SITWHPTK174209</v>
      </c>
      <c r="AB1303" s="44">
        <f>IFERROR(VLOOKUP(A1303,'[2]UPDATE BILL 2018'!$B:$T,19,0),IFERROR(VLOOKUP(A1303,'[2]UPDATE BILL 2018'!$C:$T,18,0),IFERROR(VLOOKUP(A1303,'[2]UPDATE BILL 2018'!$D:$T,17,0),IFERROR(VLOOKUP(A1303,'[2]UPDATE BILL 2018'!$E:$T,16,0),IFERROR(VLOOKUP(A1303,'[2]UPDATE BILL 2018'!$F:$T,15,0),IFERROR(VLOOKUP(A1303,'[2]UPDATE BILL 2018'!$G:$T,14,0),IFERROR(VLOOKUP(A1303,'[2]UPDATE BILL 2018'!$H:$T,13,0),IFERROR(VLOOKUP(A1303,'[2]UPDATE BILL 2018'!$I:$T,12,0),VLOOKUP(A1303,'[2]UPDATE BILL 2018'!$B:$T,19,0)))))))))</f>
        <v>43324</v>
      </c>
      <c r="AC1303" s="44" t="str">
        <f>IFERROR(VLOOKUP(A1303,'[2]UPDATE BILL 2018'!$B:$V,21,0),IFERROR(VLOOKUP(A1303,'[2]UPDATE BILL 2018'!$C:$V,20,0),IFERROR(VLOOKUP(A1303,'[2]UPDATE BILL 2018'!$D:$V,19,0),IFERROR(VLOOKUP(A1303,'[2]UPDATE BILL 2018'!$E:$V,18,0),IFERROR(VLOOKUP(A1303,'[2]UPDATE BILL 2018'!$F:$V,17,0),IFERROR(VLOOKUP(A1303,'[2]UPDATE BILL 2018'!$G:$V,16,0),IFERROR(VLOOKUP(A1303,'[2]UPDATE BILL 2018'!$H:$V,15,0),IFERROR(VLOOKUP(A1303,'[2]UPDATE BILL 2018'!$I:$V,14,0),VLOOKUP(A1303,'[2]UPDATE BILL 2018'!$B:$V,21,0)))))))))</f>
        <v>SITC OSAKA 1823N</v>
      </c>
      <c r="AD1303" s="14" t="s">
        <v>49</v>
      </c>
      <c r="AE1303" s="24" t="s">
        <v>3388</v>
      </c>
      <c r="AF1303" s="25" t="str">
        <f t="shared" ref="AF1303:AF1306" si="107">+LEFT(AE1303,2)</f>
        <v>VK</v>
      </c>
      <c r="AG1303" t="e">
        <f t="shared" si="88"/>
        <v>#REF!</v>
      </c>
      <c r="AI1303" s="58"/>
    </row>
    <row r="1304" spans="1:35" ht="15.75" customHeight="1">
      <c r="A1304" s="6" t="s">
        <v>3378</v>
      </c>
      <c r="B1304" s="5">
        <v>446</v>
      </c>
      <c r="C1304" s="7">
        <v>28951.5</v>
      </c>
      <c r="D1304" s="7">
        <f t="shared" si="104"/>
        <v>0</v>
      </c>
      <c r="E1304" s="7">
        <v>0</v>
      </c>
      <c r="F1304" s="5">
        <v>0</v>
      </c>
      <c r="G1304" s="7">
        <v>0</v>
      </c>
      <c r="H1304" s="5">
        <v>95</v>
      </c>
      <c r="I1304" s="7">
        <v>12156.2</v>
      </c>
      <c r="J1304" s="7">
        <v>0</v>
      </c>
      <c r="K1304" s="5">
        <v>0</v>
      </c>
      <c r="L1304" s="5">
        <v>0</v>
      </c>
      <c r="M1304" s="5">
        <v>79</v>
      </c>
      <c r="N1304" s="7">
        <f t="shared" si="105"/>
        <v>79</v>
      </c>
      <c r="O1304" s="7">
        <v>9481.2000000000007</v>
      </c>
      <c r="P1304" s="7">
        <v>0</v>
      </c>
      <c r="Q1304" s="5">
        <v>0</v>
      </c>
      <c r="S1304" s="7">
        <v>0</v>
      </c>
      <c r="T1304" s="12">
        <v>43320</v>
      </c>
      <c r="U1304" s="4">
        <v>4</v>
      </c>
      <c r="V1304" s="4">
        <v>9</v>
      </c>
      <c r="W1304" s="4">
        <v>9</v>
      </c>
      <c r="X1304" s="45">
        <f t="shared" si="106"/>
        <v>50588.899999999994</v>
      </c>
      <c r="Y1304" s="14" t="s">
        <v>54</v>
      </c>
      <c r="Z1304" s="14" t="s">
        <v>59</v>
      </c>
      <c r="AA1304" s="14" t="str">
        <f>IFERROR(VLOOKUP(A1304,'[2]UPDATE BILL 2018'!$B:$P,15,0),IFERROR(VLOOKUP(A1304,'[2]UPDATE BILL 2018'!$C:$P,14,0),IFERROR(VLOOKUP(A1304,'[2]UPDATE BILL 2018'!$D:$P,13,0),IFERROR(VLOOKUP(A1304,'[2]UPDATE BILL 2018'!$E:$P,12,0),IFERROR(VLOOKUP(A1304,'[2]UPDATE BILL 2018'!$F:$P,11,0),IFERROR(VLOOKUP(A1304,'[2]UPDATE BILL 2018'!$G:$P,10,0),IFERROR(VLOOKUP(A1304,'[2]UPDATE BILL 2018'!$H:$P,9,0),IFERROR(VLOOKUP(A1304,'[2]UPDATE BILL 2018'!$I:$P,8,0),VLOOKUP(A1304,'[2]UPDATE BILL 2018'!$B:$P,15,0)))))))))</f>
        <v>SITWHPOS174213</v>
      </c>
      <c r="AB1304" s="44">
        <f>IFERROR(VLOOKUP(A1304,'[2]UPDATE BILL 2018'!$B:$T,19,0),IFERROR(VLOOKUP(A1304,'[2]UPDATE BILL 2018'!$C:$T,18,0),IFERROR(VLOOKUP(A1304,'[2]UPDATE BILL 2018'!$D:$T,17,0),IFERROR(VLOOKUP(A1304,'[2]UPDATE BILL 2018'!$E:$T,16,0),IFERROR(VLOOKUP(A1304,'[2]UPDATE BILL 2018'!$F:$T,15,0),IFERROR(VLOOKUP(A1304,'[2]UPDATE BILL 2018'!$G:$T,14,0),IFERROR(VLOOKUP(A1304,'[2]UPDATE BILL 2018'!$H:$T,13,0),IFERROR(VLOOKUP(A1304,'[2]UPDATE BILL 2018'!$I:$T,12,0),VLOOKUP(A1304,'[2]UPDATE BILL 2018'!$B:$T,19,0)))))))))</f>
        <v>43325</v>
      </c>
      <c r="AC1304" s="44" t="str">
        <f>IFERROR(VLOOKUP(A1304,'[2]UPDATE BILL 2018'!$B:$V,21,0),IFERROR(VLOOKUP(A1304,'[2]UPDATE BILL 2018'!$C:$V,20,0),IFERROR(VLOOKUP(A1304,'[2]UPDATE BILL 2018'!$D:$V,19,0),IFERROR(VLOOKUP(A1304,'[2]UPDATE BILL 2018'!$E:$V,18,0),IFERROR(VLOOKUP(A1304,'[2]UPDATE BILL 2018'!$F:$V,17,0),IFERROR(VLOOKUP(A1304,'[2]UPDATE BILL 2018'!$G:$V,16,0),IFERROR(VLOOKUP(A1304,'[2]UPDATE BILL 2018'!$H:$V,15,0),IFERROR(VLOOKUP(A1304,'[2]UPDATE BILL 2018'!$I:$V,14,0),VLOOKUP(A1304,'[2]UPDATE BILL 2018'!$B:$V,21,0)))))))))</f>
        <v>EPONYMA 1821N</v>
      </c>
      <c r="AD1304" s="14" t="s">
        <v>51</v>
      </c>
      <c r="AE1304" s="24" t="s">
        <v>3389</v>
      </c>
      <c r="AF1304" s="25" t="str">
        <f t="shared" si="107"/>
        <v>VS</v>
      </c>
      <c r="AG1304" t="e">
        <f t="shared" si="88"/>
        <v>#REF!</v>
      </c>
      <c r="AI1304" s="58"/>
    </row>
    <row r="1305" spans="1:35" ht="15.75" customHeight="1">
      <c r="A1305" s="6" t="s">
        <v>3379</v>
      </c>
      <c r="B1305" s="5">
        <v>165</v>
      </c>
      <c r="C1305" s="7">
        <v>13871.5</v>
      </c>
      <c r="D1305" s="7">
        <f t="shared" si="104"/>
        <v>0</v>
      </c>
      <c r="E1305" s="7">
        <v>0</v>
      </c>
      <c r="F1305" s="5">
        <v>0</v>
      </c>
      <c r="G1305" s="7">
        <v>0</v>
      </c>
      <c r="H1305" s="5">
        <v>0</v>
      </c>
      <c r="I1305" s="7">
        <v>0</v>
      </c>
      <c r="J1305" s="7">
        <v>0</v>
      </c>
      <c r="K1305" s="5">
        <v>0</v>
      </c>
      <c r="L1305" s="5">
        <v>0</v>
      </c>
      <c r="M1305" s="5">
        <v>105</v>
      </c>
      <c r="N1305" s="7">
        <f t="shared" si="105"/>
        <v>105</v>
      </c>
      <c r="O1305" s="7">
        <v>18955.899999999998</v>
      </c>
      <c r="P1305" s="7">
        <v>0</v>
      </c>
      <c r="Q1305" s="5">
        <v>0</v>
      </c>
      <c r="S1305" s="7">
        <v>0</v>
      </c>
      <c r="T1305" s="12">
        <v>43320</v>
      </c>
      <c r="U1305" s="4">
        <v>3</v>
      </c>
      <c r="V1305" s="4">
        <v>9</v>
      </c>
      <c r="W1305" s="4">
        <v>9</v>
      </c>
      <c r="X1305" s="45">
        <f t="shared" si="106"/>
        <v>32827.399999999994</v>
      </c>
      <c r="Y1305" s="14" t="s">
        <v>54</v>
      </c>
      <c r="Z1305" s="14" t="s">
        <v>57</v>
      </c>
      <c r="AA1305" s="14" t="str">
        <f>IFERROR(VLOOKUP(A1305,'[2]UPDATE BILL 2018'!$B:$P,15,0),IFERROR(VLOOKUP(A1305,'[2]UPDATE BILL 2018'!$C:$P,14,0),IFERROR(VLOOKUP(A1305,'[2]UPDATE BILL 2018'!$D:$P,13,0),IFERROR(VLOOKUP(A1305,'[2]UPDATE BILL 2018'!$E:$P,12,0),IFERROR(VLOOKUP(A1305,'[2]UPDATE BILL 2018'!$F:$P,11,0),IFERROR(VLOOKUP(A1305,'[2]UPDATE BILL 2018'!$G:$P,10,0),IFERROR(VLOOKUP(A1305,'[2]UPDATE BILL 2018'!$H:$P,9,0),IFERROR(VLOOKUP(A1305,'[2]UPDATE BILL 2018'!$I:$P,8,0),VLOOKUP(A1305,'[2]UPDATE BILL 2018'!$B:$P,15,0)))))))))</f>
        <v>SITWHPKW174196</v>
      </c>
      <c r="AB1305" s="44">
        <f>IFERROR(VLOOKUP(A1305,'[2]UPDATE BILL 2018'!$B:$T,19,0),IFERROR(VLOOKUP(A1305,'[2]UPDATE BILL 2018'!$C:$T,18,0),IFERROR(VLOOKUP(A1305,'[2]UPDATE BILL 2018'!$D:$T,17,0),IFERROR(VLOOKUP(A1305,'[2]UPDATE BILL 2018'!$E:$T,16,0),IFERROR(VLOOKUP(A1305,'[2]UPDATE BILL 2018'!$F:$T,15,0),IFERROR(VLOOKUP(A1305,'[2]UPDATE BILL 2018'!$G:$T,14,0),IFERROR(VLOOKUP(A1305,'[2]UPDATE BILL 2018'!$H:$T,13,0),IFERROR(VLOOKUP(A1305,'[2]UPDATE BILL 2018'!$I:$T,12,0),VLOOKUP(A1305,'[2]UPDATE BILL 2018'!$B:$T,19,0)))))))))</f>
        <v>43324</v>
      </c>
      <c r="AC1305" s="44" t="str">
        <f>IFERROR(VLOOKUP(A1305,'[2]UPDATE BILL 2018'!$B:$V,21,0),IFERROR(VLOOKUP(A1305,'[2]UPDATE BILL 2018'!$C:$V,20,0),IFERROR(VLOOKUP(A1305,'[2]UPDATE BILL 2018'!$D:$V,19,0),IFERROR(VLOOKUP(A1305,'[2]UPDATE BILL 2018'!$E:$V,18,0),IFERROR(VLOOKUP(A1305,'[2]UPDATE BILL 2018'!$F:$V,17,0),IFERROR(VLOOKUP(A1305,'[2]UPDATE BILL 2018'!$G:$V,16,0),IFERROR(VLOOKUP(A1305,'[2]UPDATE BILL 2018'!$H:$V,15,0),IFERROR(VLOOKUP(A1305,'[2]UPDATE BILL 2018'!$I:$V,14,0),VLOOKUP(A1305,'[2]UPDATE BILL 2018'!$B:$V,21,0)))))))))</f>
        <v>SITC OSAKA 1823N</v>
      </c>
      <c r="AD1305" s="14" t="s">
        <v>50</v>
      </c>
      <c r="AE1305" s="24" t="s">
        <v>3390</v>
      </c>
      <c r="AF1305" s="25" t="str">
        <f t="shared" si="107"/>
        <v>VW</v>
      </c>
      <c r="AG1305" t="e">
        <f t="shared" si="88"/>
        <v>#REF!</v>
      </c>
      <c r="AI1305" s="58"/>
    </row>
    <row r="1306" spans="1:35" ht="15.75" customHeight="1">
      <c r="A1306" s="6" t="s">
        <v>3380</v>
      </c>
      <c r="B1306" s="5">
        <v>1193</v>
      </c>
      <c r="C1306" s="7">
        <v>140719.65999999995</v>
      </c>
      <c r="D1306" s="7">
        <f t="shared" si="104"/>
        <v>0</v>
      </c>
      <c r="E1306" s="7">
        <v>0</v>
      </c>
      <c r="F1306" s="5">
        <v>0</v>
      </c>
      <c r="G1306" s="7">
        <v>0</v>
      </c>
      <c r="H1306" s="5">
        <v>0</v>
      </c>
      <c r="I1306" s="7">
        <v>0</v>
      </c>
      <c r="J1306" s="7">
        <v>0</v>
      </c>
      <c r="K1306" s="5">
        <v>0</v>
      </c>
      <c r="L1306" s="5">
        <v>0</v>
      </c>
      <c r="M1306" s="5">
        <v>200</v>
      </c>
      <c r="N1306" s="7">
        <f t="shared" si="105"/>
        <v>200</v>
      </c>
      <c r="O1306" s="7">
        <v>36827.200000000004</v>
      </c>
      <c r="P1306" s="7">
        <v>0</v>
      </c>
      <c r="Q1306" s="5">
        <v>0</v>
      </c>
      <c r="S1306" s="7">
        <v>0</v>
      </c>
      <c r="T1306" s="12">
        <v>43320</v>
      </c>
      <c r="U1306" s="4">
        <v>15</v>
      </c>
      <c r="V1306" s="4">
        <v>9</v>
      </c>
      <c r="W1306" s="4">
        <v>9</v>
      </c>
      <c r="X1306" s="45">
        <f t="shared" si="106"/>
        <v>177546.85999999996</v>
      </c>
      <c r="Y1306" s="14" t="s">
        <v>54</v>
      </c>
      <c r="Z1306" s="14" t="s">
        <v>1355</v>
      </c>
      <c r="AA1306" s="14" t="str">
        <f>IFERROR(VLOOKUP(A1306,'[2]UPDATE BILL 2018'!$B:$P,15,0),IFERROR(VLOOKUP(A1306,'[2]UPDATE BILL 2018'!$C:$P,14,0),IFERROR(VLOOKUP(A1306,'[2]UPDATE BILL 2018'!$D:$P,13,0),IFERROR(VLOOKUP(A1306,'[2]UPDATE BILL 2018'!$E:$P,12,0),IFERROR(VLOOKUP(A1306,'[2]UPDATE BILL 2018'!$F:$P,11,0),IFERROR(VLOOKUP(A1306,'[2]UPDATE BILL 2018'!$G:$P,10,0),IFERROR(VLOOKUP(A1306,'[2]UPDATE BILL 2018'!$H:$P,9,0),IFERROR(VLOOKUP(A1306,'[2]UPDATE BILL 2018'!$I:$P,8,0),VLOOKUP(A1306,'[2]UPDATE BILL 2018'!$B:$P,15,0)))))))))</f>
        <v>SITWHPKW174198</v>
      </c>
      <c r="AB1306" s="44">
        <f>IFERROR(VLOOKUP(A1306,'[2]UPDATE BILL 2018'!$B:$T,19,0),IFERROR(VLOOKUP(A1306,'[2]UPDATE BILL 2018'!$C:$T,18,0),IFERROR(VLOOKUP(A1306,'[2]UPDATE BILL 2018'!$D:$T,17,0),IFERROR(VLOOKUP(A1306,'[2]UPDATE BILL 2018'!$E:$T,16,0),IFERROR(VLOOKUP(A1306,'[2]UPDATE BILL 2018'!$F:$T,15,0),IFERROR(VLOOKUP(A1306,'[2]UPDATE BILL 2018'!$G:$T,14,0),IFERROR(VLOOKUP(A1306,'[2]UPDATE BILL 2018'!$H:$T,13,0),IFERROR(VLOOKUP(A1306,'[2]UPDATE BILL 2018'!$I:$T,12,0),VLOOKUP(A1306,'[2]UPDATE BILL 2018'!$B:$T,19,0)))))))))</f>
        <v>43328</v>
      </c>
      <c r="AC1306" s="44" t="str">
        <f>IFERROR(VLOOKUP(A1306,'[2]UPDATE BILL 2018'!$B:$V,21,0),IFERROR(VLOOKUP(A1306,'[2]UPDATE BILL 2018'!$C:$V,20,0),IFERROR(VLOOKUP(A1306,'[2]UPDATE BILL 2018'!$D:$V,19,0),IFERROR(VLOOKUP(A1306,'[2]UPDATE BILL 2018'!$E:$V,18,0),IFERROR(VLOOKUP(A1306,'[2]UPDATE BILL 2018'!$F:$V,17,0),IFERROR(VLOOKUP(A1306,'[2]UPDATE BILL 2018'!$G:$V,16,0),IFERROR(VLOOKUP(A1306,'[2]UPDATE BILL 2018'!$H:$V,15,0),IFERROR(VLOOKUP(A1306,'[2]UPDATE BILL 2018'!$I:$V,14,0),VLOOKUP(A1306,'[2]UPDATE BILL 2018'!$B:$V,21,0)))))))))</f>
        <v>AVRA C 1823N</v>
      </c>
      <c r="AD1306" s="14" t="s">
        <v>50</v>
      </c>
      <c r="AE1306" s="24" t="s">
        <v>3391</v>
      </c>
      <c r="AF1306" s="25" t="str">
        <f t="shared" si="107"/>
        <v>VW</v>
      </c>
      <c r="AG1306" t="e">
        <f t="shared" si="88"/>
        <v>#REF!</v>
      </c>
      <c r="AI1306" s="58"/>
    </row>
    <row r="1307" spans="1:35" ht="15.75" customHeight="1">
      <c r="A1307" s="6" t="s">
        <v>3381</v>
      </c>
      <c r="D1307" s="7">
        <f t="shared" si="104"/>
        <v>0</v>
      </c>
      <c r="E1307" s="7">
        <v>0</v>
      </c>
      <c r="F1307" s="5">
        <v>0</v>
      </c>
      <c r="G1307" s="7">
        <v>0</v>
      </c>
      <c r="H1307" s="5">
        <v>0</v>
      </c>
      <c r="I1307" s="7">
        <v>0</v>
      </c>
      <c r="J1307" s="7">
        <v>0</v>
      </c>
      <c r="K1307" s="5">
        <v>0</v>
      </c>
      <c r="L1307" s="5">
        <v>0</v>
      </c>
      <c r="M1307" s="5">
        <v>0</v>
      </c>
      <c r="N1307" s="7">
        <f t="shared" si="105"/>
        <v>0</v>
      </c>
      <c r="O1307" s="7">
        <v>0</v>
      </c>
      <c r="P1307" s="7">
        <v>0</v>
      </c>
      <c r="Q1307" s="5">
        <v>0</v>
      </c>
      <c r="R1307" s="5">
        <v>300</v>
      </c>
      <c r="S1307" s="7">
        <v>31751</v>
      </c>
      <c r="T1307" s="12">
        <v>43320</v>
      </c>
      <c r="U1307" s="4">
        <v>1</v>
      </c>
      <c r="V1307" s="4">
        <v>9</v>
      </c>
      <c r="W1307" s="4">
        <v>9</v>
      </c>
      <c r="X1307" s="45">
        <f t="shared" si="106"/>
        <v>31751</v>
      </c>
      <c r="Y1307" s="14" t="s">
        <v>1633</v>
      </c>
      <c r="Z1307" s="14" t="s">
        <v>1492</v>
      </c>
      <c r="AA1307" s="14" t="str">
        <f>IFERROR(VLOOKUP(A1307,'[2]UPDATE BILL 2018'!$B:$P,15,0),IFERROR(VLOOKUP(A1307,'[2]UPDATE BILL 2018'!$C:$P,14,0),IFERROR(VLOOKUP(A1307,'[2]UPDATE BILL 2018'!$D:$P,13,0),IFERROR(VLOOKUP(A1307,'[2]UPDATE BILL 2018'!$E:$P,12,0),IFERROR(VLOOKUP(A1307,'[2]UPDATE BILL 2018'!$F:$P,11,0),IFERROR(VLOOKUP(A1307,'[2]UPDATE BILL 2018'!$G:$P,10,0),IFERROR(VLOOKUP(A1307,'[2]UPDATE BILL 2018'!$H:$P,9,0),IFERROR(VLOOKUP(A1307,'[2]UPDATE BILL 2018'!$I:$P,8,0),VLOOKUP(A1307,'[2]UPDATE BILL 2018'!$B:$P,15,0)))))))))</f>
        <v>KMTCHPH0571510</v>
      </c>
      <c r="AB1307" s="44">
        <f>IFERROR(VLOOKUP(A1307,'[2]UPDATE BILL 2018'!$B:$T,19,0),IFERROR(VLOOKUP(A1307,'[2]UPDATE BILL 2018'!$C:$T,18,0),IFERROR(VLOOKUP(A1307,'[2]UPDATE BILL 2018'!$D:$T,17,0),IFERROR(VLOOKUP(A1307,'[2]UPDATE BILL 2018'!$E:$T,16,0),IFERROR(VLOOKUP(A1307,'[2]UPDATE BILL 2018'!$F:$T,15,0),IFERROR(VLOOKUP(A1307,'[2]UPDATE BILL 2018'!$G:$T,14,0),IFERROR(VLOOKUP(A1307,'[2]UPDATE BILL 2018'!$H:$T,13,0),IFERROR(VLOOKUP(A1307,'[2]UPDATE BILL 2018'!$I:$T,12,0),VLOOKUP(A1307,'[2]UPDATE BILL 2018'!$B:$T,19,0)))))))))</f>
        <v>43330</v>
      </c>
      <c r="AC1307" s="44" t="str">
        <f>IFERROR(VLOOKUP(A1307,'[2]UPDATE BILL 2018'!$B:$V,21,0),IFERROR(VLOOKUP(A1307,'[2]UPDATE BILL 2018'!$C:$V,20,0),IFERROR(VLOOKUP(A1307,'[2]UPDATE BILL 2018'!$D:$V,19,0),IFERROR(VLOOKUP(A1307,'[2]UPDATE BILL 2018'!$E:$V,18,0),IFERROR(VLOOKUP(A1307,'[2]UPDATE BILL 2018'!$F:$V,17,0),IFERROR(VLOOKUP(A1307,'[2]UPDATE BILL 2018'!$G:$V,16,0),IFERROR(VLOOKUP(A1307,'[2]UPDATE BILL 2018'!$H:$V,15,0),IFERROR(VLOOKUP(A1307,'[2]UPDATE BILL 2018'!$I:$V,14,0),VLOOKUP(A1307,'[2]UPDATE BILL 2018'!$B:$V,21,0)))))))))</f>
        <v>SUNNY CAMELLIA 1817N</v>
      </c>
      <c r="AD1307" s="14" t="s">
        <v>70</v>
      </c>
      <c r="AE1307" s="24" t="s">
        <v>3392</v>
      </c>
      <c r="AF1307" s="25" t="s">
        <v>2177</v>
      </c>
      <c r="AG1307" t="e">
        <f t="shared" si="88"/>
        <v>#N/A</v>
      </c>
      <c r="AI1307" s="58"/>
    </row>
    <row r="1308" spans="1:35" ht="15.75" customHeight="1">
      <c r="A1308" s="6" t="s">
        <v>3382</v>
      </c>
      <c r="D1308" s="7">
        <f t="shared" si="104"/>
        <v>0</v>
      </c>
      <c r="E1308" s="7">
        <v>0</v>
      </c>
      <c r="F1308" s="5">
        <v>0</v>
      </c>
      <c r="G1308" s="7">
        <v>0</v>
      </c>
      <c r="H1308" s="5">
        <v>0</v>
      </c>
      <c r="I1308" s="7">
        <v>0</v>
      </c>
      <c r="J1308" s="7">
        <v>0</v>
      </c>
      <c r="K1308" s="5">
        <v>0</v>
      </c>
      <c r="L1308" s="5">
        <v>0</v>
      </c>
      <c r="M1308" s="5">
        <v>0</v>
      </c>
      <c r="N1308" s="7">
        <f t="shared" si="105"/>
        <v>0</v>
      </c>
      <c r="O1308" s="7">
        <v>0</v>
      </c>
      <c r="P1308" s="7">
        <v>0</v>
      </c>
      <c r="Q1308" s="5">
        <v>0</v>
      </c>
      <c r="R1308" s="5">
        <v>276</v>
      </c>
      <c r="S1308" s="7">
        <v>35381.9</v>
      </c>
      <c r="T1308" s="12">
        <v>43320</v>
      </c>
      <c r="U1308" s="4">
        <v>1</v>
      </c>
      <c r="V1308" s="4">
        <v>9</v>
      </c>
      <c r="W1308" s="4">
        <v>9</v>
      </c>
      <c r="X1308" s="45">
        <f t="shared" si="106"/>
        <v>35381.9</v>
      </c>
      <c r="Y1308" s="14" t="s">
        <v>85</v>
      </c>
      <c r="Z1308" s="14" t="s">
        <v>1492</v>
      </c>
      <c r="AA1308" s="14">
        <f>IFERROR(VLOOKUP(A1308,'[2]UPDATE BILL 2018'!$B:$P,15,0),IFERROR(VLOOKUP(A1308,'[2]UPDATE BILL 2018'!$C:$P,14,0),IFERROR(VLOOKUP(A1308,'[2]UPDATE BILL 2018'!$D:$P,13,0),IFERROR(VLOOKUP(A1308,'[2]UPDATE BILL 2018'!$E:$P,12,0),IFERROR(VLOOKUP(A1308,'[2]UPDATE BILL 2018'!$F:$P,11,0),IFERROR(VLOOKUP(A1308,'[2]UPDATE BILL 2018'!$G:$P,10,0),IFERROR(VLOOKUP(A1308,'[2]UPDATE BILL 2018'!$H:$P,9,0),IFERROR(VLOOKUP(A1308,'[2]UPDATE BILL 2018'!$I:$P,8,0),VLOOKUP(A1308,'[2]UPDATE BILL 2018'!$B:$P,15,0)))))))))</f>
        <v>350810096503</v>
      </c>
      <c r="AB1308" s="44">
        <f>IFERROR(VLOOKUP(A1308,'[2]UPDATE BILL 2018'!$B:$T,19,0),IFERROR(VLOOKUP(A1308,'[2]UPDATE BILL 2018'!$C:$T,18,0),IFERROR(VLOOKUP(A1308,'[2]UPDATE BILL 2018'!$D:$T,17,0),IFERROR(VLOOKUP(A1308,'[2]UPDATE BILL 2018'!$E:$T,16,0),IFERROR(VLOOKUP(A1308,'[2]UPDATE BILL 2018'!$F:$T,15,0),IFERROR(VLOOKUP(A1308,'[2]UPDATE BILL 2018'!$G:$T,14,0),IFERROR(VLOOKUP(A1308,'[2]UPDATE BILL 2018'!$H:$T,13,0),IFERROR(VLOOKUP(A1308,'[2]UPDATE BILL 2018'!$I:$T,12,0),VLOOKUP(A1308,'[2]UPDATE BILL 2018'!$B:$T,19,0)))))))))</f>
        <v>43325</v>
      </c>
      <c r="AC1308" s="44" t="str">
        <f>IFERROR(VLOOKUP(A1308,'[2]UPDATE BILL 2018'!$B:$V,21,0),IFERROR(VLOOKUP(A1308,'[2]UPDATE BILL 2018'!$C:$V,20,0),IFERROR(VLOOKUP(A1308,'[2]UPDATE BILL 2018'!$D:$V,19,0),IFERROR(VLOOKUP(A1308,'[2]UPDATE BILL 2018'!$E:$V,18,0),IFERROR(VLOOKUP(A1308,'[2]UPDATE BILL 2018'!$F:$V,17,0),IFERROR(VLOOKUP(A1308,'[2]UPDATE BILL 2018'!$G:$V,16,0),IFERROR(VLOOKUP(A1308,'[2]UPDATE BILL 2018'!$H:$V,15,0),IFERROR(VLOOKUP(A1308,'[2]UPDATE BILL 2018'!$I:$V,14,0),VLOOKUP(A1308,'[2]UPDATE BILL 2018'!$B:$V,21,0)))))))))</f>
        <v>LANTAU BEE 18011N</v>
      </c>
      <c r="AD1308" s="14" t="s">
        <v>49</v>
      </c>
      <c r="AE1308" s="24" t="s">
        <v>3393</v>
      </c>
      <c r="AF1308" s="25" t="s">
        <v>2175</v>
      </c>
      <c r="AG1308" t="e">
        <f t="shared" si="88"/>
        <v>#N/A</v>
      </c>
      <c r="AI1308" s="58"/>
    </row>
    <row r="1309" spans="1:35" ht="15.75" customHeight="1">
      <c r="A1309" s="6" t="s">
        <v>3383</v>
      </c>
      <c r="D1309" s="7">
        <f t="shared" si="104"/>
        <v>0</v>
      </c>
      <c r="E1309" s="7">
        <v>0</v>
      </c>
      <c r="F1309" s="5">
        <v>0</v>
      </c>
      <c r="G1309" s="7">
        <v>0</v>
      </c>
      <c r="H1309" s="5">
        <v>0</v>
      </c>
      <c r="I1309" s="7">
        <v>0</v>
      </c>
      <c r="J1309" s="7">
        <v>0</v>
      </c>
      <c r="K1309" s="5">
        <v>0</v>
      </c>
      <c r="L1309" s="5">
        <v>0</v>
      </c>
      <c r="M1309" s="5">
        <v>0</v>
      </c>
      <c r="N1309" s="7">
        <f t="shared" si="105"/>
        <v>0</v>
      </c>
      <c r="O1309" s="7">
        <v>0</v>
      </c>
      <c r="P1309" s="7">
        <v>0</v>
      </c>
      <c r="Q1309" s="5">
        <v>0</v>
      </c>
      <c r="R1309" s="5">
        <v>553</v>
      </c>
      <c r="S1309" s="7">
        <v>36221.5</v>
      </c>
      <c r="T1309" s="12">
        <v>43320</v>
      </c>
      <c r="U1309" s="4">
        <v>1</v>
      </c>
      <c r="V1309" s="4">
        <v>9</v>
      </c>
      <c r="W1309" s="4">
        <v>9</v>
      </c>
      <c r="X1309" s="45">
        <f t="shared" si="106"/>
        <v>36221.5</v>
      </c>
      <c r="Y1309" s="14" t="s">
        <v>56</v>
      </c>
      <c r="Z1309" s="14" t="s">
        <v>1637</v>
      </c>
      <c r="AA1309" s="14" t="str">
        <f>IFERROR(VLOOKUP(A1309,'[2]UPDATE BILL 2018'!$B:$P,15,0),IFERROR(VLOOKUP(A1309,'[2]UPDATE BILL 2018'!$C:$P,14,0),IFERROR(VLOOKUP(A1309,'[2]UPDATE BILL 2018'!$D:$P,13,0),IFERROR(VLOOKUP(A1309,'[2]UPDATE BILL 2018'!$E:$P,12,0),IFERROR(VLOOKUP(A1309,'[2]UPDATE BILL 2018'!$F:$P,11,0),IFERROR(VLOOKUP(A1309,'[2]UPDATE BILL 2018'!$G:$P,10,0),IFERROR(VLOOKUP(A1309,'[2]UPDATE BILL 2018'!$H:$P,9,0),IFERROR(VLOOKUP(A1309,'[2]UPDATE BILL 2018'!$I:$P,8,0),VLOOKUP(A1309,'[2]UPDATE BILL 2018'!$B:$P,15,0)))))))))</f>
        <v>1008X04461</v>
      </c>
      <c r="AB1309" s="44">
        <f>IFERROR(VLOOKUP(A1309,'[2]UPDATE BILL 2018'!$B:$T,19,0),IFERROR(VLOOKUP(A1309,'[2]UPDATE BILL 2018'!$C:$T,18,0),IFERROR(VLOOKUP(A1309,'[2]UPDATE BILL 2018'!$D:$T,17,0),IFERROR(VLOOKUP(A1309,'[2]UPDATE BILL 2018'!$E:$T,16,0),IFERROR(VLOOKUP(A1309,'[2]UPDATE BILL 2018'!$F:$T,15,0),IFERROR(VLOOKUP(A1309,'[2]UPDATE BILL 2018'!$G:$T,14,0),IFERROR(VLOOKUP(A1309,'[2]UPDATE BILL 2018'!$H:$T,13,0),IFERROR(VLOOKUP(A1309,'[2]UPDATE BILL 2018'!$I:$T,12,0),VLOOKUP(A1309,'[2]UPDATE BILL 2018'!$B:$T,19,0)))))))))</f>
        <v>43328</v>
      </c>
      <c r="AC1309" s="44" t="str">
        <f>IFERROR(VLOOKUP(A1309,'[2]UPDATE BILL 2018'!$B:$V,21,0),IFERROR(VLOOKUP(A1309,'[2]UPDATE BILL 2018'!$C:$V,20,0),IFERROR(VLOOKUP(A1309,'[2]UPDATE BILL 2018'!$D:$V,19,0),IFERROR(VLOOKUP(A1309,'[2]UPDATE BILL 2018'!$E:$V,18,0),IFERROR(VLOOKUP(A1309,'[2]UPDATE BILL 2018'!$F:$V,17,0),IFERROR(VLOOKUP(A1309,'[2]UPDATE BILL 2018'!$G:$V,16,0),IFERROR(VLOOKUP(A1309,'[2]UPDATE BILL 2018'!$H:$V,15,0),IFERROR(VLOOKUP(A1309,'[2]UPDATE BILL 2018'!$I:$V,14,0),VLOOKUP(A1309,'[2]UPDATE BILL 2018'!$B:$V,21,0)))))))))</f>
        <v>WAN HAI 267  N270</v>
      </c>
      <c r="AD1309" s="14" t="s">
        <v>49</v>
      </c>
      <c r="AE1309" s="24" t="s">
        <v>3394</v>
      </c>
      <c r="AF1309" s="25" t="s">
        <v>2175</v>
      </c>
      <c r="AG1309" t="e">
        <f t="shared" si="88"/>
        <v>#N/A</v>
      </c>
      <c r="AI1309" s="58"/>
    </row>
    <row r="1310" spans="1:35" ht="15.75" customHeight="1">
      <c r="A1310" s="6" t="s">
        <v>3384</v>
      </c>
      <c r="D1310" s="7">
        <f t="shared" si="104"/>
        <v>0</v>
      </c>
      <c r="E1310" s="7">
        <v>0</v>
      </c>
      <c r="F1310" s="5">
        <v>0</v>
      </c>
      <c r="G1310" s="7">
        <v>0</v>
      </c>
      <c r="H1310" s="5">
        <v>0</v>
      </c>
      <c r="I1310" s="7">
        <v>0</v>
      </c>
      <c r="J1310" s="7">
        <v>0</v>
      </c>
      <c r="K1310" s="5">
        <v>0</v>
      </c>
      <c r="L1310" s="5">
        <v>0</v>
      </c>
      <c r="M1310" s="5">
        <v>0</v>
      </c>
      <c r="N1310" s="7">
        <f t="shared" si="105"/>
        <v>0</v>
      </c>
      <c r="O1310" s="7">
        <v>0</v>
      </c>
      <c r="P1310" s="7">
        <v>0</v>
      </c>
      <c r="Q1310" s="5">
        <v>0</v>
      </c>
      <c r="R1310" s="5">
        <v>794</v>
      </c>
      <c r="S1310" s="7">
        <v>106105.09999999999</v>
      </c>
      <c r="T1310" s="12">
        <v>43320</v>
      </c>
      <c r="U1310" s="4">
        <v>4</v>
      </c>
      <c r="V1310" s="4">
        <v>9</v>
      </c>
      <c r="W1310" s="4">
        <v>9</v>
      </c>
      <c r="X1310" s="45">
        <f t="shared" si="106"/>
        <v>106105.09999999999</v>
      </c>
      <c r="Y1310" s="14" t="s">
        <v>56</v>
      </c>
      <c r="Z1310" s="14" t="s">
        <v>1281</v>
      </c>
      <c r="AA1310" s="14" t="str">
        <f>IFERROR(VLOOKUP(A1310,'[2]UPDATE BILL 2018'!$B:$P,15,0),IFERROR(VLOOKUP(A1310,'[2]UPDATE BILL 2018'!$C:$P,14,0),IFERROR(VLOOKUP(A1310,'[2]UPDATE BILL 2018'!$D:$P,13,0),IFERROR(VLOOKUP(A1310,'[2]UPDATE BILL 2018'!$E:$P,12,0),IFERROR(VLOOKUP(A1310,'[2]UPDATE BILL 2018'!$F:$P,11,0),IFERROR(VLOOKUP(A1310,'[2]UPDATE BILL 2018'!$G:$P,10,0),IFERROR(VLOOKUP(A1310,'[2]UPDATE BILL 2018'!$H:$P,9,0),IFERROR(VLOOKUP(A1310,'[2]UPDATE BILL 2018'!$I:$P,8,0),VLOOKUP(A1310,'[2]UPDATE BILL 2018'!$B:$P,15,0)))))))))</f>
        <v>1008X04285</v>
      </c>
      <c r="AB1310" s="44">
        <f>IFERROR(VLOOKUP(A1310,'[2]UPDATE BILL 2018'!$B:$T,19,0),IFERROR(VLOOKUP(A1310,'[2]UPDATE BILL 2018'!$C:$T,18,0),IFERROR(VLOOKUP(A1310,'[2]UPDATE BILL 2018'!$D:$T,17,0),IFERROR(VLOOKUP(A1310,'[2]UPDATE BILL 2018'!$E:$T,16,0),IFERROR(VLOOKUP(A1310,'[2]UPDATE BILL 2018'!$F:$T,15,0),IFERROR(VLOOKUP(A1310,'[2]UPDATE BILL 2018'!$G:$T,14,0),IFERROR(VLOOKUP(A1310,'[2]UPDATE BILL 2018'!$H:$T,13,0),IFERROR(VLOOKUP(A1310,'[2]UPDATE BILL 2018'!$I:$T,12,0),VLOOKUP(A1310,'[2]UPDATE BILL 2018'!$B:$T,19,0)))))))))</f>
        <v>43323</v>
      </c>
      <c r="AC1310" s="44" t="str">
        <f>IFERROR(VLOOKUP(A1310,'[2]UPDATE BILL 2018'!$B:$V,21,0),IFERROR(VLOOKUP(A1310,'[2]UPDATE BILL 2018'!$C:$V,20,0),IFERROR(VLOOKUP(A1310,'[2]UPDATE BILL 2018'!$D:$V,19,0),IFERROR(VLOOKUP(A1310,'[2]UPDATE BILL 2018'!$E:$V,18,0),IFERROR(VLOOKUP(A1310,'[2]UPDATE BILL 2018'!$F:$V,17,0),IFERROR(VLOOKUP(A1310,'[2]UPDATE BILL 2018'!$G:$V,16,0),IFERROR(VLOOKUP(A1310,'[2]UPDATE BILL 2018'!$H:$V,15,0),IFERROR(VLOOKUP(A1310,'[2]UPDATE BILL 2018'!$I:$V,14,0),VLOOKUP(A1310,'[2]UPDATE BILL 2018'!$B:$V,21,0)))))))))</f>
        <v>PAOLA N025</v>
      </c>
      <c r="AD1310" s="14" t="s">
        <v>51</v>
      </c>
      <c r="AE1310" s="24" t="s">
        <v>3395</v>
      </c>
      <c r="AF1310" s="25" t="s">
        <v>2150</v>
      </c>
      <c r="AG1310" t="e">
        <f t="shared" si="88"/>
        <v>#N/A</v>
      </c>
      <c r="AI1310" s="58"/>
    </row>
    <row r="1311" spans="1:35" ht="15.75" customHeight="1">
      <c r="A1311" s="6" t="s">
        <v>3385</v>
      </c>
      <c r="D1311" s="7">
        <f t="shared" si="104"/>
        <v>0</v>
      </c>
      <c r="E1311" s="7">
        <v>0</v>
      </c>
      <c r="F1311" s="5">
        <v>0</v>
      </c>
      <c r="G1311" s="7">
        <v>0</v>
      </c>
      <c r="H1311" s="5">
        <v>0</v>
      </c>
      <c r="I1311" s="7">
        <v>0</v>
      </c>
      <c r="J1311" s="7">
        <v>0</v>
      </c>
      <c r="K1311" s="5">
        <v>0</v>
      </c>
      <c r="L1311" s="5">
        <v>0</v>
      </c>
      <c r="M1311" s="5">
        <v>0</v>
      </c>
      <c r="N1311" s="7">
        <f t="shared" si="105"/>
        <v>0</v>
      </c>
      <c r="O1311" s="7">
        <v>0</v>
      </c>
      <c r="P1311" s="7">
        <v>0</v>
      </c>
      <c r="Q1311" s="5">
        <v>0</v>
      </c>
      <c r="R1311" s="5">
        <v>637</v>
      </c>
      <c r="S1311" s="7">
        <v>47729.5</v>
      </c>
      <c r="T1311" s="12">
        <v>43320</v>
      </c>
      <c r="U1311" s="4">
        <v>2</v>
      </c>
      <c r="V1311" s="4">
        <v>9</v>
      </c>
      <c r="W1311" s="4">
        <v>9</v>
      </c>
      <c r="X1311" s="45">
        <f t="shared" si="106"/>
        <v>47729.5</v>
      </c>
      <c r="Y1311" s="14" t="s">
        <v>56</v>
      </c>
      <c r="Z1311" s="14" t="s">
        <v>59</v>
      </c>
      <c r="AA1311" s="14" t="str">
        <f>IFERROR(VLOOKUP(A1311,'[2]UPDATE BILL 2018'!$B:$P,15,0),IFERROR(VLOOKUP(A1311,'[2]UPDATE BILL 2018'!$C:$P,14,0),IFERROR(VLOOKUP(A1311,'[2]UPDATE BILL 2018'!$D:$P,13,0),IFERROR(VLOOKUP(A1311,'[2]UPDATE BILL 2018'!$E:$P,12,0),IFERROR(VLOOKUP(A1311,'[2]UPDATE BILL 2018'!$F:$P,11,0),IFERROR(VLOOKUP(A1311,'[2]UPDATE BILL 2018'!$G:$P,10,0),IFERROR(VLOOKUP(A1311,'[2]UPDATE BILL 2018'!$H:$P,9,0),IFERROR(VLOOKUP(A1311,'[2]UPDATE BILL 2018'!$I:$P,8,0),VLOOKUP(A1311,'[2]UPDATE BILL 2018'!$B:$P,15,0)))))))))</f>
        <v>1008X04278</v>
      </c>
      <c r="AB1311" s="44">
        <f>IFERROR(VLOOKUP(A1311,'[2]UPDATE BILL 2018'!$B:$T,19,0),IFERROR(VLOOKUP(A1311,'[2]UPDATE BILL 2018'!$C:$T,18,0),IFERROR(VLOOKUP(A1311,'[2]UPDATE BILL 2018'!$D:$T,17,0),IFERROR(VLOOKUP(A1311,'[2]UPDATE BILL 2018'!$E:$T,16,0),IFERROR(VLOOKUP(A1311,'[2]UPDATE BILL 2018'!$F:$T,15,0),IFERROR(VLOOKUP(A1311,'[2]UPDATE BILL 2018'!$G:$T,14,0),IFERROR(VLOOKUP(A1311,'[2]UPDATE BILL 2018'!$H:$T,13,0),IFERROR(VLOOKUP(A1311,'[2]UPDATE BILL 2018'!$I:$T,12,0),VLOOKUP(A1311,'[2]UPDATE BILL 2018'!$B:$T,19,0)))))))))</f>
        <v>43327</v>
      </c>
      <c r="AC1311" s="44" t="str">
        <f>IFERROR(VLOOKUP(A1311,'[2]UPDATE BILL 2018'!$B:$V,21,0),IFERROR(VLOOKUP(A1311,'[2]UPDATE BILL 2018'!$C:$V,20,0),IFERROR(VLOOKUP(A1311,'[2]UPDATE BILL 2018'!$D:$V,19,0),IFERROR(VLOOKUP(A1311,'[2]UPDATE BILL 2018'!$E:$V,18,0),IFERROR(VLOOKUP(A1311,'[2]UPDATE BILL 2018'!$F:$V,17,0),IFERROR(VLOOKUP(A1311,'[2]UPDATE BILL 2018'!$G:$V,16,0),IFERROR(VLOOKUP(A1311,'[2]UPDATE BILL 2018'!$H:$V,15,0),IFERROR(VLOOKUP(A1311,'[2]UPDATE BILL 2018'!$I:$V,14,0),VLOOKUP(A1311,'[2]UPDATE BILL 2018'!$B:$V,21,0)))))))))</f>
        <v>AS FIONA N008</v>
      </c>
      <c r="AD1311" s="14" t="s">
        <v>51</v>
      </c>
      <c r="AE1311" s="24" t="s">
        <v>3396</v>
      </c>
      <c r="AF1311" s="25" t="s">
        <v>2150</v>
      </c>
      <c r="AG1311" t="e">
        <f t="shared" si="88"/>
        <v>#N/A</v>
      </c>
      <c r="AI1311" s="58"/>
    </row>
    <row r="1312" spans="1:35" ht="15.75" customHeight="1">
      <c r="A1312" s="6" t="s">
        <v>3386</v>
      </c>
      <c r="D1312" s="7">
        <f t="shared" si="104"/>
        <v>0</v>
      </c>
      <c r="E1312" s="7">
        <v>0</v>
      </c>
      <c r="F1312" s="5">
        <v>0</v>
      </c>
      <c r="G1312" s="7">
        <v>0</v>
      </c>
      <c r="H1312" s="5">
        <v>0</v>
      </c>
      <c r="I1312" s="7">
        <v>0</v>
      </c>
      <c r="J1312" s="7">
        <v>0</v>
      </c>
      <c r="K1312" s="5">
        <v>0</v>
      </c>
      <c r="L1312" s="5">
        <v>0</v>
      </c>
      <c r="M1312" s="5">
        <v>0</v>
      </c>
      <c r="N1312" s="7">
        <f t="shared" si="105"/>
        <v>0</v>
      </c>
      <c r="O1312" s="7">
        <v>0</v>
      </c>
      <c r="P1312" s="7">
        <v>0</v>
      </c>
      <c r="Q1312" s="5">
        <v>0</v>
      </c>
      <c r="R1312" s="5">
        <v>76</v>
      </c>
      <c r="S1312" s="7">
        <v>16735.2</v>
      </c>
      <c r="T1312" s="12">
        <v>43320</v>
      </c>
      <c r="U1312" s="4">
        <v>1</v>
      </c>
      <c r="V1312" s="4">
        <v>9</v>
      </c>
      <c r="W1312" s="4">
        <v>9</v>
      </c>
      <c r="X1312" s="45">
        <f t="shared" si="106"/>
        <v>16735.2</v>
      </c>
      <c r="Y1312" s="14" t="s">
        <v>54</v>
      </c>
      <c r="Z1312" s="14" t="s">
        <v>1281</v>
      </c>
      <c r="AA1312" s="14" t="str">
        <f>IFERROR(VLOOKUP(A1312,'[2]UPDATE BILL 2018'!$B:$P,15,0),IFERROR(VLOOKUP(A1312,'[2]UPDATE BILL 2018'!$C:$P,14,0),IFERROR(VLOOKUP(A1312,'[2]UPDATE BILL 2018'!$D:$P,13,0),IFERROR(VLOOKUP(A1312,'[2]UPDATE BILL 2018'!$E:$P,12,0),IFERROR(VLOOKUP(A1312,'[2]UPDATE BILL 2018'!$F:$P,11,0),IFERROR(VLOOKUP(A1312,'[2]UPDATE BILL 2018'!$G:$P,10,0),IFERROR(VLOOKUP(A1312,'[2]UPDATE BILL 2018'!$H:$P,9,0),IFERROR(VLOOKUP(A1312,'[2]UPDATE BILL 2018'!$I:$P,8,0),VLOOKUP(A1312,'[2]UPDATE BILL 2018'!$B:$P,15,0)))))))))</f>
        <v>SITWHPKW174196</v>
      </c>
      <c r="AB1312" s="44">
        <f>IFERROR(VLOOKUP(A1312,'[2]UPDATE BILL 2018'!$B:$T,19,0),IFERROR(VLOOKUP(A1312,'[2]UPDATE BILL 2018'!$C:$T,18,0),IFERROR(VLOOKUP(A1312,'[2]UPDATE BILL 2018'!$D:$T,17,0),IFERROR(VLOOKUP(A1312,'[2]UPDATE BILL 2018'!$E:$T,16,0),IFERROR(VLOOKUP(A1312,'[2]UPDATE BILL 2018'!$F:$T,15,0),IFERROR(VLOOKUP(A1312,'[2]UPDATE BILL 2018'!$G:$T,14,0),IFERROR(VLOOKUP(A1312,'[2]UPDATE BILL 2018'!$H:$T,13,0),IFERROR(VLOOKUP(A1312,'[2]UPDATE BILL 2018'!$I:$T,12,0),VLOOKUP(A1312,'[2]UPDATE BILL 2018'!$B:$T,19,0)))))))))</f>
        <v>43324</v>
      </c>
      <c r="AC1312" s="44" t="str">
        <f>IFERROR(VLOOKUP(A1312,'[2]UPDATE BILL 2018'!$B:$V,21,0),IFERROR(VLOOKUP(A1312,'[2]UPDATE BILL 2018'!$C:$V,20,0),IFERROR(VLOOKUP(A1312,'[2]UPDATE BILL 2018'!$D:$V,19,0),IFERROR(VLOOKUP(A1312,'[2]UPDATE BILL 2018'!$E:$V,18,0),IFERROR(VLOOKUP(A1312,'[2]UPDATE BILL 2018'!$F:$V,17,0),IFERROR(VLOOKUP(A1312,'[2]UPDATE BILL 2018'!$G:$V,16,0),IFERROR(VLOOKUP(A1312,'[2]UPDATE BILL 2018'!$H:$V,15,0),IFERROR(VLOOKUP(A1312,'[2]UPDATE BILL 2018'!$I:$V,14,0),VLOOKUP(A1312,'[2]UPDATE BILL 2018'!$B:$V,21,0)))))))))</f>
        <v>SITC OSAKA 1823N</v>
      </c>
      <c r="AD1312" s="14" t="s">
        <v>50</v>
      </c>
      <c r="AE1312" s="24" t="s">
        <v>3397</v>
      </c>
      <c r="AF1312" s="25" t="s">
        <v>2151</v>
      </c>
      <c r="AG1312" t="e">
        <f t="shared" si="88"/>
        <v>#N/A</v>
      </c>
      <c r="AI1312" s="58"/>
    </row>
    <row r="1313" spans="1:35" ht="15.75" customHeight="1">
      <c r="A1313" s="6" t="s">
        <v>3387</v>
      </c>
      <c r="D1313" s="7">
        <f t="shared" si="104"/>
        <v>0</v>
      </c>
      <c r="E1313" s="7">
        <v>0</v>
      </c>
      <c r="F1313" s="5">
        <v>0</v>
      </c>
      <c r="G1313" s="7">
        <v>0</v>
      </c>
      <c r="H1313" s="5">
        <v>0</v>
      </c>
      <c r="I1313" s="7">
        <v>0</v>
      </c>
      <c r="J1313" s="7">
        <v>0</v>
      </c>
      <c r="K1313" s="5">
        <v>0</v>
      </c>
      <c r="L1313" s="5">
        <v>0</v>
      </c>
      <c r="M1313" s="5">
        <v>0</v>
      </c>
      <c r="N1313" s="7">
        <f t="shared" si="105"/>
        <v>0</v>
      </c>
      <c r="O1313" s="7">
        <v>0</v>
      </c>
      <c r="P1313" s="7">
        <v>0</v>
      </c>
      <c r="Q1313" s="5">
        <v>0</v>
      </c>
      <c r="R1313" s="5">
        <v>130</v>
      </c>
      <c r="S1313" s="7">
        <v>16109</v>
      </c>
      <c r="T1313" s="12">
        <v>43320</v>
      </c>
      <c r="U1313" s="4">
        <v>1</v>
      </c>
      <c r="V1313" s="4">
        <v>9</v>
      </c>
      <c r="W1313" s="4">
        <v>9</v>
      </c>
      <c r="X1313" s="45">
        <f t="shared" si="106"/>
        <v>16109</v>
      </c>
      <c r="Y1313" s="14" t="s">
        <v>54</v>
      </c>
      <c r="Z1313" s="14" t="s">
        <v>59</v>
      </c>
      <c r="AA1313" s="14" t="str">
        <f>IFERROR(VLOOKUP(A1313,'[2]UPDATE BILL 2018'!$B:$P,15,0),IFERROR(VLOOKUP(A1313,'[2]UPDATE BILL 2018'!$C:$P,14,0),IFERROR(VLOOKUP(A1313,'[2]UPDATE BILL 2018'!$D:$P,13,0),IFERROR(VLOOKUP(A1313,'[2]UPDATE BILL 2018'!$E:$P,12,0),IFERROR(VLOOKUP(A1313,'[2]UPDATE BILL 2018'!$F:$P,11,0),IFERROR(VLOOKUP(A1313,'[2]UPDATE BILL 2018'!$G:$P,10,0),IFERROR(VLOOKUP(A1313,'[2]UPDATE BILL 2018'!$H:$P,9,0),IFERROR(VLOOKUP(A1313,'[2]UPDATE BILL 2018'!$I:$P,8,0),VLOOKUP(A1313,'[2]UPDATE BILL 2018'!$B:$P,15,0)))))))))</f>
        <v>SITWHPTK174876</v>
      </c>
      <c r="AB1313" s="44">
        <f>IFERROR(VLOOKUP(A1313,'[2]UPDATE BILL 2018'!$B:$T,19,0),IFERROR(VLOOKUP(A1313,'[2]UPDATE BILL 2018'!$C:$T,18,0),IFERROR(VLOOKUP(A1313,'[2]UPDATE BILL 2018'!$D:$T,17,0),IFERROR(VLOOKUP(A1313,'[2]UPDATE BILL 2018'!$E:$T,16,0),IFERROR(VLOOKUP(A1313,'[2]UPDATE BILL 2018'!$F:$T,15,0),IFERROR(VLOOKUP(A1313,'[2]UPDATE BILL 2018'!$G:$T,14,0),IFERROR(VLOOKUP(A1313,'[2]UPDATE BILL 2018'!$H:$T,13,0),IFERROR(VLOOKUP(A1313,'[2]UPDATE BILL 2018'!$I:$T,12,0),VLOOKUP(A1313,'[2]UPDATE BILL 2018'!$B:$T,19,0)))))))))</f>
        <v>43328</v>
      </c>
      <c r="AC1313" s="44" t="str">
        <f>IFERROR(VLOOKUP(A1313,'[2]UPDATE BILL 2018'!$B:$V,21,0),IFERROR(VLOOKUP(A1313,'[2]UPDATE BILL 2018'!$C:$V,20,0),IFERROR(VLOOKUP(A1313,'[2]UPDATE BILL 2018'!$D:$V,19,0),IFERROR(VLOOKUP(A1313,'[2]UPDATE BILL 2018'!$E:$V,18,0),IFERROR(VLOOKUP(A1313,'[2]UPDATE BILL 2018'!$F:$V,17,0),IFERROR(VLOOKUP(A1313,'[2]UPDATE BILL 2018'!$G:$V,16,0),IFERROR(VLOOKUP(A1313,'[2]UPDATE BILL 2018'!$H:$V,15,0),IFERROR(VLOOKUP(A1313,'[2]UPDATE BILL 2018'!$I:$V,14,0),VLOOKUP(A1313,'[2]UPDATE BILL 2018'!$B:$V,21,0)))))))))</f>
        <v>AVRA C 1823N</v>
      </c>
      <c r="AD1313" s="14" t="s">
        <v>49</v>
      </c>
      <c r="AE1313" s="24" t="s">
        <v>3398</v>
      </c>
      <c r="AF1313" s="25" t="s">
        <v>2174</v>
      </c>
      <c r="AG1313" t="e">
        <f t="shared" si="88"/>
        <v>#N/A</v>
      </c>
      <c r="AI1313" s="58"/>
    </row>
    <row r="1314" spans="1:35" ht="15.75" customHeight="1">
      <c r="A1314" s="6" t="s">
        <v>3399</v>
      </c>
      <c r="B1314" s="5">
        <v>152</v>
      </c>
      <c r="C1314" s="7">
        <v>20185.399999999994</v>
      </c>
      <c r="D1314" s="7">
        <f t="shared" si="104"/>
        <v>0</v>
      </c>
      <c r="E1314" s="7">
        <v>0</v>
      </c>
      <c r="F1314" s="5">
        <v>0</v>
      </c>
      <c r="G1314" s="7">
        <v>0</v>
      </c>
      <c r="H1314" s="5">
        <v>12</v>
      </c>
      <c r="I1314" s="7">
        <v>1985.0800000000002</v>
      </c>
      <c r="J1314" s="7">
        <v>0</v>
      </c>
      <c r="K1314" s="5">
        <v>0</v>
      </c>
      <c r="L1314" s="5">
        <v>0</v>
      </c>
      <c r="M1314" s="5">
        <v>0</v>
      </c>
      <c r="N1314" s="7">
        <f t="shared" si="105"/>
        <v>0</v>
      </c>
      <c r="O1314" s="7">
        <v>0</v>
      </c>
      <c r="P1314" s="7">
        <v>0</v>
      </c>
      <c r="Q1314" s="5">
        <v>0</v>
      </c>
      <c r="S1314" s="7">
        <v>0</v>
      </c>
      <c r="T1314" s="12">
        <v>43321</v>
      </c>
      <c r="U1314" s="4">
        <v>2</v>
      </c>
      <c r="V1314" s="4">
        <v>9</v>
      </c>
      <c r="W1314" s="4">
        <v>9</v>
      </c>
      <c r="X1314" s="45">
        <f t="shared" si="106"/>
        <v>22170.479999999996</v>
      </c>
      <c r="Y1314" s="14" t="s">
        <v>1633</v>
      </c>
      <c r="Z1314" s="14" t="s">
        <v>1492</v>
      </c>
      <c r="AA1314" s="14" t="str">
        <f>IFERROR(VLOOKUP(A1314,'[2]UPDATE BILL 2018'!$B:$P,15,0),IFERROR(VLOOKUP(A1314,'[2]UPDATE BILL 2018'!$C:$P,14,0),IFERROR(VLOOKUP(A1314,'[2]UPDATE BILL 2018'!$D:$P,13,0),IFERROR(VLOOKUP(A1314,'[2]UPDATE BILL 2018'!$E:$P,12,0),IFERROR(VLOOKUP(A1314,'[2]UPDATE BILL 2018'!$F:$P,11,0),IFERROR(VLOOKUP(A1314,'[2]UPDATE BILL 2018'!$G:$P,10,0),IFERROR(VLOOKUP(A1314,'[2]UPDATE BILL 2018'!$H:$P,9,0),IFERROR(VLOOKUP(A1314,'[2]UPDATE BILL 2018'!$I:$P,8,0),VLOOKUP(A1314,'[2]UPDATE BILL 2018'!$B:$P,15,0)))))))))</f>
        <v>KMTCHPH0571510</v>
      </c>
      <c r="AB1314" s="44">
        <f>IFERROR(VLOOKUP(A1314,'[2]UPDATE BILL 2018'!$B:$T,19,0),IFERROR(VLOOKUP(A1314,'[2]UPDATE BILL 2018'!$C:$T,18,0),IFERROR(VLOOKUP(A1314,'[2]UPDATE BILL 2018'!$D:$T,17,0),IFERROR(VLOOKUP(A1314,'[2]UPDATE BILL 2018'!$E:$T,16,0),IFERROR(VLOOKUP(A1314,'[2]UPDATE BILL 2018'!$F:$T,15,0),IFERROR(VLOOKUP(A1314,'[2]UPDATE BILL 2018'!$G:$T,14,0),IFERROR(VLOOKUP(A1314,'[2]UPDATE BILL 2018'!$H:$T,13,0),IFERROR(VLOOKUP(A1314,'[2]UPDATE BILL 2018'!$I:$T,12,0),VLOOKUP(A1314,'[2]UPDATE BILL 2018'!$B:$T,19,0)))))))))</f>
        <v>43330</v>
      </c>
      <c r="AC1314" s="44" t="str">
        <f>IFERROR(VLOOKUP(A1314,'[2]UPDATE BILL 2018'!$B:$V,21,0),IFERROR(VLOOKUP(A1314,'[2]UPDATE BILL 2018'!$C:$V,20,0),IFERROR(VLOOKUP(A1314,'[2]UPDATE BILL 2018'!$D:$V,19,0),IFERROR(VLOOKUP(A1314,'[2]UPDATE BILL 2018'!$E:$V,18,0),IFERROR(VLOOKUP(A1314,'[2]UPDATE BILL 2018'!$F:$V,17,0),IFERROR(VLOOKUP(A1314,'[2]UPDATE BILL 2018'!$G:$V,16,0),IFERROR(VLOOKUP(A1314,'[2]UPDATE BILL 2018'!$H:$V,15,0),IFERROR(VLOOKUP(A1314,'[2]UPDATE BILL 2018'!$I:$V,14,0),VLOOKUP(A1314,'[2]UPDATE BILL 2018'!$B:$V,21,0)))))))))</f>
        <v>SUNNY CAMELLIA 1817N</v>
      </c>
      <c r="AD1314" s="14" t="s">
        <v>70</v>
      </c>
      <c r="AE1314" s="24" t="s">
        <v>3407</v>
      </c>
      <c r="AF1314" s="25" t="str">
        <f t="shared" ref="AF1314:AF1329" si="108">+LEFT(AE1314,2)</f>
        <v>VH</v>
      </c>
      <c r="AG1314" t="e">
        <f t="shared" si="88"/>
        <v>#REF!</v>
      </c>
      <c r="AI1314" s="58"/>
    </row>
    <row r="1315" spans="1:35" ht="15.75" customHeight="1">
      <c r="A1315" s="6" t="s">
        <v>3400</v>
      </c>
      <c r="D1315" s="7">
        <f t="shared" si="104"/>
        <v>0</v>
      </c>
      <c r="E1315" s="7">
        <v>0</v>
      </c>
      <c r="F1315" s="5">
        <v>0</v>
      </c>
      <c r="G1315" s="7">
        <v>0</v>
      </c>
      <c r="H1315" s="5">
        <v>640</v>
      </c>
      <c r="I1315" s="7">
        <v>68922.95</v>
      </c>
      <c r="J1315" s="7">
        <v>0</v>
      </c>
      <c r="K1315" s="5">
        <v>0</v>
      </c>
      <c r="L1315" s="5">
        <v>0</v>
      </c>
      <c r="M1315" s="5">
        <v>0</v>
      </c>
      <c r="N1315" s="7">
        <f t="shared" si="105"/>
        <v>0</v>
      </c>
      <c r="O1315" s="7">
        <v>0</v>
      </c>
      <c r="P1315" s="7">
        <v>0</v>
      </c>
      <c r="Q1315" s="5">
        <v>0</v>
      </c>
      <c r="S1315" s="7">
        <v>0</v>
      </c>
      <c r="T1315" s="12">
        <v>43321</v>
      </c>
      <c r="U1315" s="4">
        <v>5</v>
      </c>
      <c r="V1315" s="4">
        <v>9</v>
      </c>
      <c r="W1315" s="4">
        <v>9</v>
      </c>
      <c r="X1315" s="45">
        <f t="shared" si="106"/>
        <v>68922.95</v>
      </c>
      <c r="Y1315" s="14" t="s">
        <v>85</v>
      </c>
      <c r="Z1315" s="14" t="s">
        <v>1637</v>
      </c>
      <c r="AA1315" s="14">
        <f>IFERROR(VLOOKUP(A1315,'[2]UPDATE BILL 2018'!$B:$P,15,0),IFERROR(VLOOKUP(A1315,'[2]UPDATE BILL 2018'!$C:$P,14,0),IFERROR(VLOOKUP(A1315,'[2]UPDATE BILL 2018'!$D:$P,13,0),IFERROR(VLOOKUP(A1315,'[2]UPDATE BILL 2018'!$E:$P,12,0),IFERROR(VLOOKUP(A1315,'[2]UPDATE BILL 2018'!$F:$P,11,0),IFERROR(VLOOKUP(A1315,'[2]UPDATE BILL 2018'!$G:$P,10,0),IFERROR(VLOOKUP(A1315,'[2]UPDATE BILL 2018'!$H:$P,9,0),IFERROR(VLOOKUP(A1315,'[2]UPDATE BILL 2018'!$I:$P,8,0),VLOOKUP(A1315,'[2]UPDATE BILL 2018'!$B:$P,15,0)))))))))</f>
        <v>350810094875</v>
      </c>
      <c r="AB1315" s="44">
        <f>IFERROR(VLOOKUP(A1315,'[2]UPDATE BILL 2018'!$B:$T,19,0),IFERROR(VLOOKUP(A1315,'[2]UPDATE BILL 2018'!$C:$T,18,0),IFERROR(VLOOKUP(A1315,'[2]UPDATE BILL 2018'!$D:$T,17,0),IFERROR(VLOOKUP(A1315,'[2]UPDATE BILL 2018'!$E:$T,16,0),IFERROR(VLOOKUP(A1315,'[2]UPDATE BILL 2018'!$F:$T,15,0),IFERROR(VLOOKUP(A1315,'[2]UPDATE BILL 2018'!$G:$T,14,0),IFERROR(VLOOKUP(A1315,'[2]UPDATE BILL 2018'!$H:$T,13,0),IFERROR(VLOOKUP(A1315,'[2]UPDATE BILL 2018'!$I:$T,12,0),VLOOKUP(A1315,'[2]UPDATE BILL 2018'!$B:$T,19,0)))))))))</f>
        <v>43327</v>
      </c>
      <c r="AC1315" s="44" t="str">
        <f>IFERROR(VLOOKUP(A1315,'[2]UPDATE BILL 2018'!$B:$V,21,0),IFERROR(VLOOKUP(A1315,'[2]UPDATE BILL 2018'!$C:$V,20,0),IFERROR(VLOOKUP(A1315,'[2]UPDATE BILL 2018'!$D:$V,19,0),IFERROR(VLOOKUP(A1315,'[2]UPDATE BILL 2018'!$E:$V,18,0),IFERROR(VLOOKUP(A1315,'[2]UPDATE BILL 2018'!$F:$V,17,0),IFERROR(VLOOKUP(A1315,'[2]UPDATE BILL 2018'!$G:$V,16,0),IFERROR(VLOOKUP(A1315,'[2]UPDATE BILL 2018'!$H:$V,15,0),IFERROR(VLOOKUP(A1315,'[2]UPDATE BILL 2018'!$I:$V,14,0),VLOOKUP(A1315,'[2]UPDATE BILL 2018'!$B:$V,21,0)))))))))</f>
        <v>MARCARRIER 18014N</v>
      </c>
      <c r="AD1315" s="14" t="s">
        <v>49</v>
      </c>
      <c r="AE1315" s="24" t="s">
        <v>3408</v>
      </c>
      <c r="AF1315" s="25" t="str">
        <f t="shared" si="108"/>
        <v>VK</v>
      </c>
      <c r="AG1315" t="e">
        <f t="shared" si="88"/>
        <v>#REF!</v>
      </c>
      <c r="AI1315" s="58"/>
    </row>
    <row r="1316" spans="1:35" ht="15.75" customHeight="1">
      <c r="A1316" s="6" t="s">
        <v>3401</v>
      </c>
      <c r="B1316" s="5">
        <v>104</v>
      </c>
      <c r="C1316" s="7">
        <v>12469.560000000001</v>
      </c>
      <c r="D1316" s="7">
        <f t="shared" si="104"/>
        <v>0</v>
      </c>
      <c r="E1316" s="7">
        <v>0</v>
      </c>
      <c r="F1316" s="5">
        <v>0</v>
      </c>
      <c r="G1316" s="7">
        <v>0</v>
      </c>
      <c r="H1316" s="5">
        <v>0</v>
      </c>
      <c r="I1316" s="7">
        <v>0</v>
      </c>
      <c r="J1316" s="7">
        <v>0</v>
      </c>
      <c r="K1316" s="5">
        <v>0</v>
      </c>
      <c r="L1316" s="5">
        <v>0</v>
      </c>
      <c r="M1316" s="5">
        <v>0</v>
      </c>
      <c r="N1316" s="7">
        <f t="shared" si="105"/>
        <v>0</v>
      </c>
      <c r="O1316" s="7">
        <v>0</v>
      </c>
      <c r="P1316" s="7">
        <v>0</v>
      </c>
      <c r="Q1316" s="5">
        <v>0</v>
      </c>
      <c r="S1316" s="7">
        <v>0</v>
      </c>
      <c r="T1316" s="12">
        <v>43321</v>
      </c>
      <c r="U1316" s="4">
        <v>1</v>
      </c>
      <c r="V1316" s="4">
        <v>9</v>
      </c>
      <c r="W1316" s="4">
        <v>9</v>
      </c>
      <c r="X1316" s="45">
        <f t="shared" si="106"/>
        <v>12469.560000000001</v>
      </c>
      <c r="Y1316" s="14" t="s">
        <v>85</v>
      </c>
      <c r="Z1316" s="14" t="s">
        <v>1492</v>
      </c>
      <c r="AA1316" s="14">
        <f>IFERROR(VLOOKUP(A1316,'[2]UPDATE BILL 2018'!$B:$P,15,0),IFERROR(VLOOKUP(A1316,'[2]UPDATE BILL 2018'!$C:$P,14,0),IFERROR(VLOOKUP(A1316,'[2]UPDATE BILL 2018'!$D:$P,13,0),IFERROR(VLOOKUP(A1316,'[2]UPDATE BILL 2018'!$E:$P,12,0),IFERROR(VLOOKUP(A1316,'[2]UPDATE BILL 2018'!$F:$P,11,0),IFERROR(VLOOKUP(A1316,'[2]UPDATE BILL 2018'!$G:$P,10,0),IFERROR(VLOOKUP(A1316,'[2]UPDATE BILL 2018'!$H:$P,9,0),IFERROR(VLOOKUP(A1316,'[2]UPDATE BILL 2018'!$I:$P,8,0),VLOOKUP(A1316,'[2]UPDATE BILL 2018'!$B:$P,15,0)))))))))</f>
        <v>350810096503</v>
      </c>
      <c r="AB1316" s="44">
        <f>IFERROR(VLOOKUP(A1316,'[2]UPDATE BILL 2018'!$B:$T,19,0),IFERROR(VLOOKUP(A1316,'[2]UPDATE BILL 2018'!$C:$T,18,0),IFERROR(VLOOKUP(A1316,'[2]UPDATE BILL 2018'!$D:$T,17,0),IFERROR(VLOOKUP(A1316,'[2]UPDATE BILL 2018'!$E:$T,16,0),IFERROR(VLOOKUP(A1316,'[2]UPDATE BILL 2018'!$F:$T,15,0),IFERROR(VLOOKUP(A1316,'[2]UPDATE BILL 2018'!$G:$T,14,0),IFERROR(VLOOKUP(A1316,'[2]UPDATE BILL 2018'!$H:$T,13,0),IFERROR(VLOOKUP(A1316,'[2]UPDATE BILL 2018'!$I:$T,12,0),VLOOKUP(A1316,'[2]UPDATE BILL 2018'!$B:$T,19,0)))))))))</f>
        <v>43325</v>
      </c>
      <c r="AC1316" s="44" t="str">
        <f>IFERROR(VLOOKUP(A1316,'[2]UPDATE BILL 2018'!$B:$V,21,0),IFERROR(VLOOKUP(A1316,'[2]UPDATE BILL 2018'!$C:$V,20,0),IFERROR(VLOOKUP(A1316,'[2]UPDATE BILL 2018'!$D:$V,19,0),IFERROR(VLOOKUP(A1316,'[2]UPDATE BILL 2018'!$E:$V,18,0),IFERROR(VLOOKUP(A1316,'[2]UPDATE BILL 2018'!$F:$V,17,0),IFERROR(VLOOKUP(A1316,'[2]UPDATE BILL 2018'!$G:$V,16,0),IFERROR(VLOOKUP(A1316,'[2]UPDATE BILL 2018'!$H:$V,15,0),IFERROR(VLOOKUP(A1316,'[2]UPDATE BILL 2018'!$I:$V,14,0),VLOOKUP(A1316,'[2]UPDATE BILL 2018'!$B:$V,21,0)))))))))</f>
        <v>LANTAU BEE 18011N</v>
      </c>
      <c r="AD1316" s="14" t="s">
        <v>49</v>
      </c>
      <c r="AE1316" s="24" t="s">
        <v>3409</v>
      </c>
      <c r="AF1316" s="25" t="str">
        <f t="shared" si="108"/>
        <v>VN</v>
      </c>
      <c r="AG1316" t="e">
        <f t="shared" si="88"/>
        <v>#REF!</v>
      </c>
      <c r="AI1316" s="58"/>
    </row>
    <row r="1317" spans="1:35" ht="15.75" customHeight="1">
      <c r="A1317" s="6" t="s">
        <v>3402</v>
      </c>
      <c r="D1317" s="7">
        <f t="shared" si="104"/>
        <v>0</v>
      </c>
      <c r="E1317" s="7">
        <v>0</v>
      </c>
      <c r="F1317" s="5">
        <v>0</v>
      </c>
      <c r="G1317" s="7">
        <v>0</v>
      </c>
      <c r="H1317" s="5">
        <v>0</v>
      </c>
      <c r="I1317" s="7">
        <v>0</v>
      </c>
      <c r="J1317" s="7">
        <v>0</v>
      </c>
      <c r="K1317" s="5">
        <v>0</v>
      </c>
      <c r="L1317" s="5">
        <v>0</v>
      </c>
      <c r="M1317" s="5">
        <v>110</v>
      </c>
      <c r="N1317" s="7">
        <f t="shared" si="105"/>
        <v>110</v>
      </c>
      <c r="O1317" s="7">
        <v>18599.400000000001</v>
      </c>
      <c r="P1317" s="7">
        <v>0</v>
      </c>
      <c r="Q1317" s="5">
        <v>0</v>
      </c>
      <c r="S1317" s="7">
        <v>0</v>
      </c>
      <c r="T1317" s="12">
        <v>43321</v>
      </c>
      <c r="U1317" s="4">
        <v>2</v>
      </c>
      <c r="V1317" s="4">
        <v>9</v>
      </c>
      <c r="W1317" s="4">
        <v>9</v>
      </c>
      <c r="X1317" s="45">
        <f t="shared" si="106"/>
        <v>18599.400000000001</v>
      </c>
      <c r="Y1317" s="14" t="s">
        <v>54</v>
      </c>
      <c r="Z1317" s="14" t="s">
        <v>2525</v>
      </c>
      <c r="AA1317" s="14" t="str">
        <f>IFERROR(VLOOKUP(A1317,'[2]UPDATE BILL 2018'!$B:$P,15,0),IFERROR(VLOOKUP(A1317,'[2]UPDATE BILL 2018'!$C:$P,14,0),IFERROR(VLOOKUP(A1317,'[2]UPDATE BILL 2018'!$D:$P,13,0),IFERROR(VLOOKUP(A1317,'[2]UPDATE BILL 2018'!$E:$P,12,0),IFERROR(VLOOKUP(A1317,'[2]UPDATE BILL 2018'!$F:$P,11,0),IFERROR(VLOOKUP(A1317,'[2]UPDATE BILL 2018'!$G:$P,10,0),IFERROR(VLOOKUP(A1317,'[2]UPDATE BILL 2018'!$H:$P,9,0),IFERROR(VLOOKUP(A1317,'[2]UPDATE BILL 2018'!$I:$P,8,0),VLOOKUP(A1317,'[2]UPDATE BILL 2018'!$B:$P,15,0)))))))))</f>
        <v>SITWHPTK174876</v>
      </c>
      <c r="AB1317" s="44">
        <f>IFERROR(VLOOKUP(A1317,'[2]UPDATE BILL 2018'!$B:$T,19,0),IFERROR(VLOOKUP(A1317,'[2]UPDATE BILL 2018'!$C:$T,18,0),IFERROR(VLOOKUP(A1317,'[2]UPDATE BILL 2018'!$D:$T,17,0),IFERROR(VLOOKUP(A1317,'[2]UPDATE BILL 2018'!$E:$T,16,0),IFERROR(VLOOKUP(A1317,'[2]UPDATE BILL 2018'!$F:$T,15,0),IFERROR(VLOOKUP(A1317,'[2]UPDATE BILL 2018'!$G:$T,14,0),IFERROR(VLOOKUP(A1317,'[2]UPDATE BILL 2018'!$H:$T,13,0),IFERROR(VLOOKUP(A1317,'[2]UPDATE BILL 2018'!$I:$T,12,0),VLOOKUP(A1317,'[2]UPDATE BILL 2018'!$B:$T,19,0)))))))))</f>
        <v>43328</v>
      </c>
      <c r="AC1317" s="44" t="str">
        <f>IFERROR(VLOOKUP(A1317,'[2]UPDATE BILL 2018'!$B:$V,21,0),IFERROR(VLOOKUP(A1317,'[2]UPDATE BILL 2018'!$C:$V,20,0),IFERROR(VLOOKUP(A1317,'[2]UPDATE BILL 2018'!$D:$V,19,0),IFERROR(VLOOKUP(A1317,'[2]UPDATE BILL 2018'!$E:$V,18,0),IFERROR(VLOOKUP(A1317,'[2]UPDATE BILL 2018'!$F:$V,17,0),IFERROR(VLOOKUP(A1317,'[2]UPDATE BILL 2018'!$G:$V,16,0),IFERROR(VLOOKUP(A1317,'[2]UPDATE BILL 2018'!$H:$V,15,0),IFERROR(VLOOKUP(A1317,'[2]UPDATE BILL 2018'!$I:$V,14,0),VLOOKUP(A1317,'[2]UPDATE BILL 2018'!$B:$V,21,0)))))))))</f>
        <v>AVRA C 1823N</v>
      </c>
      <c r="AD1317" s="14" t="s">
        <v>49</v>
      </c>
      <c r="AE1317" s="24" t="s">
        <v>3410</v>
      </c>
      <c r="AF1317" s="25" t="str">
        <f t="shared" si="108"/>
        <v>VN</v>
      </c>
      <c r="AG1317" t="e">
        <f t="shared" si="88"/>
        <v>#REF!</v>
      </c>
      <c r="AI1317" s="58"/>
    </row>
    <row r="1318" spans="1:35" ht="15.75" customHeight="1">
      <c r="A1318" s="6" t="s">
        <v>3403</v>
      </c>
      <c r="B1318" s="5">
        <v>451</v>
      </c>
      <c r="C1318" s="7">
        <v>59948.12000000001</v>
      </c>
      <c r="D1318" s="7">
        <f t="shared" si="104"/>
        <v>0</v>
      </c>
      <c r="E1318" s="7">
        <v>0</v>
      </c>
      <c r="F1318" s="5">
        <v>0</v>
      </c>
      <c r="G1318" s="7">
        <v>0</v>
      </c>
      <c r="H1318" s="5">
        <v>130</v>
      </c>
      <c r="I1318" s="7">
        <v>14219.199999999999</v>
      </c>
      <c r="J1318" s="7">
        <v>0</v>
      </c>
      <c r="K1318" s="5">
        <v>0</v>
      </c>
      <c r="L1318" s="5">
        <v>0</v>
      </c>
      <c r="M1318" s="5">
        <v>91</v>
      </c>
      <c r="N1318" s="7">
        <f t="shared" si="105"/>
        <v>91</v>
      </c>
      <c r="O1318" s="7">
        <v>8216.2999999999993</v>
      </c>
      <c r="P1318" s="7">
        <v>0</v>
      </c>
      <c r="Q1318" s="5">
        <v>0</v>
      </c>
      <c r="S1318" s="7">
        <v>0</v>
      </c>
      <c r="T1318" s="12">
        <v>43321</v>
      </c>
      <c r="U1318" s="4">
        <v>7</v>
      </c>
      <c r="V1318" s="4">
        <v>9</v>
      </c>
      <c r="W1318" s="4">
        <v>9</v>
      </c>
      <c r="X1318" s="45">
        <f t="shared" si="106"/>
        <v>82383.62000000001</v>
      </c>
      <c r="Y1318" s="14" t="s">
        <v>85</v>
      </c>
      <c r="Z1318" s="14" t="s">
        <v>1355</v>
      </c>
      <c r="AA1318" s="14">
        <f>IFERROR(VLOOKUP(A1318,'[2]UPDATE BILL 2018'!$B:$P,15,0),IFERROR(VLOOKUP(A1318,'[2]UPDATE BILL 2018'!$C:$P,14,0),IFERROR(VLOOKUP(A1318,'[2]UPDATE BILL 2018'!$D:$P,13,0),IFERROR(VLOOKUP(A1318,'[2]UPDATE BILL 2018'!$E:$P,12,0),IFERROR(VLOOKUP(A1318,'[2]UPDATE BILL 2018'!$F:$P,11,0),IFERROR(VLOOKUP(A1318,'[2]UPDATE BILL 2018'!$G:$P,10,0),IFERROR(VLOOKUP(A1318,'[2]UPDATE BILL 2018'!$H:$P,9,0),IFERROR(VLOOKUP(A1318,'[2]UPDATE BILL 2018'!$I:$P,8,0),VLOOKUP(A1318,'[2]UPDATE BILL 2018'!$B:$P,15,0)))))))))</f>
        <v>350810094882</v>
      </c>
      <c r="AB1318" s="44">
        <f>IFERROR(VLOOKUP(A1318,'[2]UPDATE BILL 2018'!$B:$T,19,0),IFERROR(VLOOKUP(A1318,'[2]UPDATE BILL 2018'!$C:$T,18,0),IFERROR(VLOOKUP(A1318,'[2]UPDATE BILL 2018'!$D:$T,17,0),IFERROR(VLOOKUP(A1318,'[2]UPDATE BILL 2018'!$E:$T,16,0),IFERROR(VLOOKUP(A1318,'[2]UPDATE BILL 2018'!$F:$T,15,0),IFERROR(VLOOKUP(A1318,'[2]UPDATE BILL 2018'!$G:$T,14,0),IFERROR(VLOOKUP(A1318,'[2]UPDATE BILL 2018'!$H:$T,13,0),IFERROR(VLOOKUP(A1318,'[2]UPDATE BILL 2018'!$I:$T,12,0),VLOOKUP(A1318,'[2]UPDATE BILL 2018'!$B:$T,19,0)))))))))</f>
        <v>43327</v>
      </c>
      <c r="AC1318" s="44" t="str">
        <f>IFERROR(VLOOKUP(A1318,'[2]UPDATE BILL 2018'!$B:$V,21,0),IFERROR(VLOOKUP(A1318,'[2]UPDATE BILL 2018'!$C:$V,20,0),IFERROR(VLOOKUP(A1318,'[2]UPDATE BILL 2018'!$D:$V,19,0),IFERROR(VLOOKUP(A1318,'[2]UPDATE BILL 2018'!$E:$V,18,0),IFERROR(VLOOKUP(A1318,'[2]UPDATE BILL 2018'!$F:$V,17,0),IFERROR(VLOOKUP(A1318,'[2]UPDATE BILL 2018'!$G:$V,16,0),IFERROR(VLOOKUP(A1318,'[2]UPDATE BILL 2018'!$H:$V,15,0),IFERROR(VLOOKUP(A1318,'[2]UPDATE BILL 2018'!$I:$V,14,0),VLOOKUP(A1318,'[2]UPDATE BILL 2018'!$B:$V,21,0)))))))))</f>
        <v>MARCARRIER 18014N</v>
      </c>
      <c r="AD1318" s="14" t="s">
        <v>52</v>
      </c>
      <c r="AE1318" s="24" t="s">
        <v>3411</v>
      </c>
      <c r="AF1318" s="25" t="str">
        <f t="shared" si="108"/>
        <v>VQ</v>
      </c>
      <c r="AG1318" t="e">
        <f t="shared" si="88"/>
        <v>#REF!</v>
      </c>
      <c r="AI1318" s="58"/>
    </row>
    <row r="1319" spans="1:35" ht="15.75" customHeight="1">
      <c r="A1319" s="6" t="s">
        <v>3404</v>
      </c>
      <c r="D1319" s="7">
        <f t="shared" si="104"/>
        <v>0</v>
      </c>
      <c r="E1319" s="7">
        <v>0</v>
      </c>
      <c r="F1319" s="5">
        <v>0</v>
      </c>
      <c r="G1319" s="7">
        <v>0</v>
      </c>
      <c r="H1319" s="5">
        <v>185</v>
      </c>
      <c r="I1319" s="7">
        <v>25425.399999999998</v>
      </c>
      <c r="J1319" s="7">
        <v>0</v>
      </c>
      <c r="K1319" s="5">
        <v>0</v>
      </c>
      <c r="L1319" s="5">
        <v>0</v>
      </c>
      <c r="M1319" s="5">
        <v>70</v>
      </c>
      <c r="N1319" s="7">
        <f t="shared" si="105"/>
        <v>70</v>
      </c>
      <c r="O1319" s="7">
        <v>11070</v>
      </c>
      <c r="P1319" s="7">
        <v>0</v>
      </c>
      <c r="Q1319" s="5">
        <v>0</v>
      </c>
      <c r="S1319" s="7">
        <v>0</v>
      </c>
      <c r="T1319" s="12">
        <v>43321</v>
      </c>
      <c r="U1319" s="4">
        <v>3</v>
      </c>
      <c r="V1319" s="4">
        <v>9</v>
      </c>
      <c r="W1319" s="4">
        <v>9</v>
      </c>
      <c r="X1319" s="45">
        <f t="shared" si="106"/>
        <v>36495.399999999994</v>
      </c>
      <c r="Y1319" s="14" t="s">
        <v>54</v>
      </c>
      <c r="Z1319" s="14" t="s">
        <v>1281</v>
      </c>
      <c r="AA1319" s="14" t="str">
        <f>IFERROR(VLOOKUP(A1319,'[2]UPDATE BILL 2018'!$B:$P,15,0),IFERROR(VLOOKUP(A1319,'[2]UPDATE BILL 2018'!$C:$P,14,0),IFERROR(VLOOKUP(A1319,'[2]UPDATE BILL 2018'!$D:$P,13,0),IFERROR(VLOOKUP(A1319,'[2]UPDATE BILL 2018'!$E:$P,12,0),IFERROR(VLOOKUP(A1319,'[2]UPDATE BILL 2018'!$F:$P,11,0),IFERROR(VLOOKUP(A1319,'[2]UPDATE BILL 2018'!$G:$P,10,0),IFERROR(VLOOKUP(A1319,'[2]UPDATE BILL 2018'!$H:$P,9,0),IFERROR(VLOOKUP(A1319,'[2]UPDATE BILL 2018'!$I:$P,8,0),VLOOKUP(A1319,'[2]UPDATE BILL 2018'!$B:$P,15,0)))))))))</f>
        <v>SITWHPOS174213</v>
      </c>
      <c r="AB1319" s="44">
        <f>IFERROR(VLOOKUP(A1319,'[2]UPDATE BILL 2018'!$B:$T,19,0),IFERROR(VLOOKUP(A1319,'[2]UPDATE BILL 2018'!$C:$T,18,0),IFERROR(VLOOKUP(A1319,'[2]UPDATE BILL 2018'!$D:$T,17,0),IFERROR(VLOOKUP(A1319,'[2]UPDATE BILL 2018'!$E:$T,16,0),IFERROR(VLOOKUP(A1319,'[2]UPDATE BILL 2018'!$F:$T,15,0),IFERROR(VLOOKUP(A1319,'[2]UPDATE BILL 2018'!$G:$T,14,0),IFERROR(VLOOKUP(A1319,'[2]UPDATE BILL 2018'!$H:$T,13,0),IFERROR(VLOOKUP(A1319,'[2]UPDATE BILL 2018'!$I:$T,12,0),VLOOKUP(A1319,'[2]UPDATE BILL 2018'!$B:$T,19,0)))))))))</f>
        <v>43325</v>
      </c>
      <c r="AC1319" s="44" t="str">
        <f>IFERROR(VLOOKUP(A1319,'[2]UPDATE BILL 2018'!$B:$V,21,0),IFERROR(VLOOKUP(A1319,'[2]UPDATE BILL 2018'!$C:$V,20,0),IFERROR(VLOOKUP(A1319,'[2]UPDATE BILL 2018'!$D:$V,19,0),IFERROR(VLOOKUP(A1319,'[2]UPDATE BILL 2018'!$E:$V,18,0),IFERROR(VLOOKUP(A1319,'[2]UPDATE BILL 2018'!$F:$V,17,0),IFERROR(VLOOKUP(A1319,'[2]UPDATE BILL 2018'!$G:$V,16,0),IFERROR(VLOOKUP(A1319,'[2]UPDATE BILL 2018'!$H:$V,15,0),IFERROR(VLOOKUP(A1319,'[2]UPDATE BILL 2018'!$I:$V,14,0),VLOOKUP(A1319,'[2]UPDATE BILL 2018'!$B:$V,21,0)))))))))</f>
        <v>EPONYMA 1821N</v>
      </c>
      <c r="AD1319" s="14" t="s">
        <v>51</v>
      </c>
      <c r="AE1319" s="24" t="s">
        <v>3412</v>
      </c>
      <c r="AF1319" s="25" t="str">
        <f t="shared" si="108"/>
        <v>VS</v>
      </c>
      <c r="AG1319" t="e">
        <f t="shared" si="88"/>
        <v>#REF!</v>
      </c>
      <c r="AI1319" s="58"/>
    </row>
    <row r="1320" spans="1:35" ht="15.75" customHeight="1">
      <c r="A1320" s="6" t="s">
        <v>3405</v>
      </c>
      <c r="B1320" s="5">
        <v>886</v>
      </c>
      <c r="C1320" s="7">
        <v>107776.9</v>
      </c>
      <c r="D1320" s="7">
        <f t="shared" si="104"/>
        <v>0</v>
      </c>
      <c r="E1320" s="7">
        <v>0</v>
      </c>
      <c r="F1320" s="5">
        <v>0</v>
      </c>
      <c r="G1320" s="7">
        <v>0</v>
      </c>
      <c r="H1320" s="5">
        <v>242</v>
      </c>
      <c r="I1320" s="7">
        <v>26544.44</v>
      </c>
      <c r="J1320" s="7">
        <v>0</v>
      </c>
      <c r="K1320" s="5">
        <v>0</v>
      </c>
      <c r="L1320" s="5">
        <v>0</v>
      </c>
      <c r="M1320" s="5">
        <v>215</v>
      </c>
      <c r="N1320" s="7">
        <f t="shared" si="105"/>
        <v>215</v>
      </c>
      <c r="O1320" s="7">
        <v>23531.200000000004</v>
      </c>
      <c r="P1320" s="7">
        <v>0</v>
      </c>
      <c r="Q1320" s="5">
        <v>0</v>
      </c>
      <c r="S1320" s="7">
        <v>0</v>
      </c>
      <c r="T1320" s="12">
        <v>43321</v>
      </c>
      <c r="U1320" s="4">
        <v>13</v>
      </c>
      <c r="V1320" s="4">
        <v>9</v>
      </c>
      <c r="W1320" s="4">
        <v>9</v>
      </c>
      <c r="X1320" s="45">
        <f t="shared" si="106"/>
        <v>157852.54</v>
      </c>
      <c r="Y1320" s="14" t="s">
        <v>56</v>
      </c>
      <c r="Z1320" s="14" t="s">
        <v>59</v>
      </c>
      <c r="AA1320" s="14" t="str">
        <f>IFERROR(VLOOKUP(A1320,'[2]UPDATE BILL 2018'!$B:$P,15,0),IFERROR(VLOOKUP(A1320,'[2]UPDATE BILL 2018'!$C:$P,14,0),IFERROR(VLOOKUP(A1320,'[2]UPDATE BILL 2018'!$D:$P,13,0),IFERROR(VLOOKUP(A1320,'[2]UPDATE BILL 2018'!$E:$P,12,0),IFERROR(VLOOKUP(A1320,'[2]UPDATE BILL 2018'!$F:$P,11,0),IFERROR(VLOOKUP(A1320,'[2]UPDATE BILL 2018'!$G:$P,10,0),IFERROR(VLOOKUP(A1320,'[2]UPDATE BILL 2018'!$H:$P,9,0),IFERROR(VLOOKUP(A1320,'[2]UPDATE BILL 2018'!$I:$P,8,0),VLOOKUP(A1320,'[2]UPDATE BILL 2018'!$B:$P,15,0)))))))))</f>
        <v>1008X04278</v>
      </c>
      <c r="AB1320" s="44">
        <f>IFERROR(VLOOKUP(A1320,'[2]UPDATE BILL 2018'!$B:$T,19,0),IFERROR(VLOOKUP(A1320,'[2]UPDATE BILL 2018'!$C:$T,18,0),IFERROR(VLOOKUP(A1320,'[2]UPDATE BILL 2018'!$D:$T,17,0),IFERROR(VLOOKUP(A1320,'[2]UPDATE BILL 2018'!$E:$T,16,0),IFERROR(VLOOKUP(A1320,'[2]UPDATE BILL 2018'!$F:$T,15,0),IFERROR(VLOOKUP(A1320,'[2]UPDATE BILL 2018'!$G:$T,14,0),IFERROR(VLOOKUP(A1320,'[2]UPDATE BILL 2018'!$H:$T,13,0),IFERROR(VLOOKUP(A1320,'[2]UPDATE BILL 2018'!$I:$T,12,0),VLOOKUP(A1320,'[2]UPDATE BILL 2018'!$B:$T,19,0)))))))))</f>
        <v>43327</v>
      </c>
      <c r="AC1320" s="44" t="str">
        <f>IFERROR(VLOOKUP(A1320,'[2]UPDATE BILL 2018'!$B:$V,21,0),IFERROR(VLOOKUP(A1320,'[2]UPDATE BILL 2018'!$C:$V,20,0),IFERROR(VLOOKUP(A1320,'[2]UPDATE BILL 2018'!$D:$V,19,0),IFERROR(VLOOKUP(A1320,'[2]UPDATE BILL 2018'!$E:$V,18,0),IFERROR(VLOOKUP(A1320,'[2]UPDATE BILL 2018'!$F:$V,17,0),IFERROR(VLOOKUP(A1320,'[2]UPDATE BILL 2018'!$G:$V,16,0),IFERROR(VLOOKUP(A1320,'[2]UPDATE BILL 2018'!$H:$V,15,0),IFERROR(VLOOKUP(A1320,'[2]UPDATE BILL 2018'!$I:$V,14,0),VLOOKUP(A1320,'[2]UPDATE BILL 2018'!$B:$V,21,0)))))))))</f>
        <v>AS FIONA N008</v>
      </c>
      <c r="AD1320" s="14" t="s">
        <v>51</v>
      </c>
      <c r="AE1320" s="24" t="s">
        <v>3413</v>
      </c>
      <c r="AF1320" s="25" t="str">
        <f t="shared" si="108"/>
        <v>VS</v>
      </c>
      <c r="AG1320" t="e">
        <f t="shared" ref="AG1320:AG1383" si="109">+VLOOKUP(AF1320,AH:AH,2,0)</f>
        <v>#REF!</v>
      </c>
      <c r="AI1320" s="58"/>
    </row>
    <row r="1321" spans="1:35" ht="15.75" customHeight="1">
      <c r="A1321" s="6" t="s">
        <v>3406</v>
      </c>
      <c r="B1321" s="5">
        <v>104</v>
      </c>
      <c r="C1321" s="7">
        <v>13483.2</v>
      </c>
      <c r="D1321" s="7">
        <f t="shared" si="104"/>
        <v>0</v>
      </c>
      <c r="E1321" s="7">
        <v>0</v>
      </c>
      <c r="F1321" s="5">
        <v>0</v>
      </c>
      <c r="G1321" s="7">
        <v>0</v>
      </c>
      <c r="H1321" s="5">
        <v>45</v>
      </c>
      <c r="I1321" s="7">
        <v>5278.35</v>
      </c>
      <c r="J1321" s="7">
        <v>0</v>
      </c>
      <c r="K1321" s="5">
        <v>0</v>
      </c>
      <c r="L1321" s="5">
        <v>0</v>
      </c>
      <c r="M1321" s="5">
        <v>81</v>
      </c>
      <c r="N1321" s="7">
        <f t="shared" si="105"/>
        <v>81</v>
      </c>
      <c r="O1321" s="7">
        <v>13879.699999999999</v>
      </c>
      <c r="P1321" s="7">
        <v>0</v>
      </c>
      <c r="Q1321" s="5">
        <v>0</v>
      </c>
      <c r="S1321" s="7">
        <v>0</v>
      </c>
      <c r="T1321" s="12">
        <v>43321</v>
      </c>
      <c r="U1321" s="4">
        <v>3</v>
      </c>
      <c r="V1321" s="4">
        <v>9</v>
      </c>
      <c r="W1321" s="4">
        <v>9</v>
      </c>
      <c r="X1321" s="45">
        <f t="shared" si="106"/>
        <v>32641.25</v>
      </c>
      <c r="Y1321" s="14" t="s">
        <v>58</v>
      </c>
      <c r="Z1321" s="14" t="s">
        <v>1492</v>
      </c>
      <c r="AA1321" s="14" t="str">
        <f>IFERROR(VLOOKUP(A1321,'[2]UPDATE BILL 2018'!$B:$P,15,0),IFERROR(VLOOKUP(A1321,'[2]UPDATE BILL 2018'!$C:$P,14,0),IFERROR(VLOOKUP(A1321,'[2]UPDATE BILL 2018'!$D:$P,13,0),IFERROR(VLOOKUP(A1321,'[2]UPDATE BILL 2018'!$E:$P,12,0),IFERROR(VLOOKUP(A1321,'[2]UPDATE BILL 2018'!$F:$P,11,0),IFERROR(VLOOKUP(A1321,'[2]UPDATE BILL 2018'!$G:$P,10,0),IFERROR(VLOOKUP(A1321,'[2]UPDATE BILL 2018'!$H:$P,9,0),IFERROR(VLOOKUP(A1321,'[2]UPDATE BILL 2018'!$I:$P,8,0),VLOOKUP(A1321,'[2]UPDATE BILL 2018'!$B:$P,15,0)))))))))</f>
        <v>EGLV237800249374</v>
      </c>
      <c r="AB1321" s="44">
        <f>IFERROR(VLOOKUP(A1321,'[2]UPDATE BILL 2018'!$B:$T,19,0),IFERROR(VLOOKUP(A1321,'[2]UPDATE BILL 2018'!$C:$T,18,0),IFERROR(VLOOKUP(A1321,'[2]UPDATE BILL 2018'!$D:$T,17,0),IFERROR(VLOOKUP(A1321,'[2]UPDATE BILL 2018'!$E:$T,16,0),IFERROR(VLOOKUP(A1321,'[2]UPDATE BILL 2018'!$F:$T,15,0),IFERROR(VLOOKUP(A1321,'[2]UPDATE BILL 2018'!$G:$T,14,0),IFERROR(VLOOKUP(A1321,'[2]UPDATE BILL 2018'!$H:$T,13,0),IFERROR(VLOOKUP(A1321,'[2]UPDATE BILL 2018'!$I:$T,12,0),VLOOKUP(A1321,'[2]UPDATE BILL 2018'!$B:$T,19,0)))))))))</f>
        <v>43328</v>
      </c>
      <c r="AC1321" s="44" t="str">
        <f>IFERROR(VLOOKUP(A1321,'[2]UPDATE BILL 2018'!$B:$V,21,0),IFERROR(VLOOKUP(A1321,'[2]UPDATE BILL 2018'!$C:$V,20,0),IFERROR(VLOOKUP(A1321,'[2]UPDATE BILL 2018'!$D:$V,19,0),IFERROR(VLOOKUP(A1321,'[2]UPDATE BILL 2018'!$E:$V,18,0),IFERROR(VLOOKUP(A1321,'[2]UPDATE BILL 2018'!$F:$V,17,0),IFERROR(VLOOKUP(A1321,'[2]UPDATE BILL 2018'!$G:$V,16,0),IFERROR(VLOOKUP(A1321,'[2]UPDATE BILL 2018'!$H:$V,15,0),IFERROR(VLOOKUP(A1321,'[2]UPDATE BILL 2018'!$I:$V,14,0),VLOOKUP(A1321,'[2]UPDATE BILL 2018'!$B:$V,21,0)))))))))</f>
        <v>WAN HAI 267 N270</v>
      </c>
      <c r="AD1321" s="14" t="s">
        <v>49</v>
      </c>
      <c r="AE1321" s="24" t="s">
        <v>3414</v>
      </c>
      <c r="AF1321" s="25" t="str">
        <f t="shared" si="108"/>
        <v>VZ</v>
      </c>
      <c r="AG1321" t="e">
        <f t="shared" si="109"/>
        <v>#REF!</v>
      </c>
      <c r="AI1321" s="58"/>
    </row>
    <row r="1322" spans="1:35" ht="15.75" customHeight="1">
      <c r="A1322" s="6" t="s">
        <v>3415</v>
      </c>
      <c r="B1322" s="5">
        <v>133</v>
      </c>
      <c r="C1322" s="7">
        <v>16508.34</v>
      </c>
      <c r="D1322" s="7">
        <f t="shared" si="104"/>
        <v>0</v>
      </c>
      <c r="E1322" s="7">
        <v>0</v>
      </c>
      <c r="F1322" s="5">
        <v>0</v>
      </c>
      <c r="G1322" s="7">
        <v>0</v>
      </c>
      <c r="H1322" s="5">
        <v>230</v>
      </c>
      <c r="I1322" s="7">
        <v>7588.3999999999987</v>
      </c>
      <c r="J1322" s="7">
        <v>0</v>
      </c>
      <c r="K1322" s="5">
        <v>0</v>
      </c>
      <c r="L1322" s="5">
        <v>0</v>
      </c>
      <c r="M1322" s="5">
        <v>99</v>
      </c>
      <c r="N1322" s="7">
        <f t="shared" si="105"/>
        <v>99</v>
      </c>
      <c r="O1322" s="7">
        <v>9922.0000000000018</v>
      </c>
      <c r="P1322" s="7">
        <v>0</v>
      </c>
      <c r="Q1322" s="5">
        <v>0</v>
      </c>
      <c r="R1322" s="5">
        <v>30</v>
      </c>
      <c r="S1322" s="7">
        <v>1507.35</v>
      </c>
      <c r="T1322" s="12">
        <v>43322</v>
      </c>
      <c r="U1322" s="4">
        <v>3</v>
      </c>
      <c r="V1322" s="4">
        <v>9</v>
      </c>
      <c r="W1322" s="4">
        <v>9</v>
      </c>
      <c r="X1322" s="45">
        <f t="shared" si="106"/>
        <v>35526.089999999997</v>
      </c>
      <c r="Y1322" s="14" t="s">
        <v>1633</v>
      </c>
      <c r="Z1322" s="14" t="s">
        <v>1492</v>
      </c>
      <c r="AA1322" s="14" t="str">
        <f>IFERROR(VLOOKUP(A1322,'[2]UPDATE BILL 2018'!$B:$P,15,0),IFERROR(VLOOKUP(A1322,'[2]UPDATE BILL 2018'!$C:$P,14,0),IFERROR(VLOOKUP(A1322,'[2]UPDATE BILL 2018'!$D:$P,13,0),IFERROR(VLOOKUP(A1322,'[2]UPDATE BILL 2018'!$E:$P,12,0),IFERROR(VLOOKUP(A1322,'[2]UPDATE BILL 2018'!$F:$P,11,0),IFERROR(VLOOKUP(A1322,'[2]UPDATE BILL 2018'!$G:$P,10,0),IFERROR(VLOOKUP(A1322,'[2]UPDATE BILL 2018'!$H:$P,9,0),IFERROR(VLOOKUP(A1322,'[2]UPDATE BILL 2018'!$I:$P,8,0),VLOOKUP(A1322,'[2]UPDATE BILL 2018'!$B:$P,15,0)))))))))</f>
        <v>KMTCHPH0576297</v>
      </c>
      <c r="AB1322" s="44">
        <f>IFERROR(VLOOKUP(A1322,'[2]UPDATE BILL 2018'!$B:$T,19,0),IFERROR(VLOOKUP(A1322,'[2]UPDATE BILL 2018'!$C:$T,18,0),IFERROR(VLOOKUP(A1322,'[2]UPDATE BILL 2018'!$D:$T,17,0),IFERROR(VLOOKUP(A1322,'[2]UPDATE BILL 2018'!$E:$T,16,0),IFERROR(VLOOKUP(A1322,'[2]UPDATE BILL 2018'!$F:$T,15,0),IFERROR(VLOOKUP(A1322,'[2]UPDATE BILL 2018'!$G:$T,14,0),IFERROR(VLOOKUP(A1322,'[2]UPDATE BILL 2018'!$H:$T,13,0),IFERROR(VLOOKUP(A1322,'[2]UPDATE BILL 2018'!$I:$T,12,0),VLOOKUP(A1322,'[2]UPDATE BILL 2018'!$B:$T,19,0)))))))))</f>
        <v>43327</v>
      </c>
      <c r="AC1322" s="44" t="str">
        <f>IFERROR(VLOOKUP(A1322,'[2]UPDATE BILL 2018'!$B:$V,21,0),IFERROR(VLOOKUP(A1322,'[2]UPDATE BILL 2018'!$C:$V,20,0),IFERROR(VLOOKUP(A1322,'[2]UPDATE BILL 2018'!$D:$V,19,0),IFERROR(VLOOKUP(A1322,'[2]UPDATE BILL 2018'!$E:$V,18,0),IFERROR(VLOOKUP(A1322,'[2]UPDATE BILL 2018'!$F:$V,17,0),IFERROR(VLOOKUP(A1322,'[2]UPDATE BILL 2018'!$G:$V,16,0),IFERROR(VLOOKUP(A1322,'[2]UPDATE BILL 2018'!$H:$V,15,0),IFERROR(VLOOKUP(A1322,'[2]UPDATE BILL 2018'!$I:$V,14,0),VLOOKUP(A1322,'[2]UPDATE BILL 2018'!$B:$V,21,0)))))))))</f>
        <v>KOTA WANGSA 015N</v>
      </c>
      <c r="AD1322" s="14" t="s">
        <v>70</v>
      </c>
      <c r="AE1322" s="24" t="s">
        <v>3428</v>
      </c>
      <c r="AF1322" s="25" t="str">
        <f t="shared" si="108"/>
        <v>VH</v>
      </c>
      <c r="AG1322" t="e">
        <f t="shared" si="109"/>
        <v>#REF!</v>
      </c>
      <c r="AI1322" s="58"/>
    </row>
    <row r="1323" spans="1:35" ht="15.75" customHeight="1">
      <c r="A1323" s="6" t="s">
        <v>3416</v>
      </c>
      <c r="B1323" s="5">
        <v>342</v>
      </c>
      <c r="C1323" s="7">
        <v>11030.96</v>
      </c>
      <c r="D1323" s="7">
        <f t="shared" si="104"/>
        <v>0</v>
      </c>
      <c r="E1323" s="7">
        <v>0</v>
      </c>
      <c r="F1323" s="5">
        <v>0</v>
      </c>
      <c r="G1323" s="7">
        <v>0</v>
      </c>
      <c r="H1323" s="5">
        <v>503</v>
      </c>
      <c r="I1323" s="7">
        <v>63096.399999999994</v>
      </c>
      <c r="J1323" s="7">
        <v>0</v>
      </c>
      <c r="K1323" s="5">
        <v>0</v>
      </c>
      <c r="L1323" s="5">
        <v>0</v>
      </c>
      <c r="M1323" s="5">
        <v>328</v>
      </c>
      <c r="N1323" s="7">
        <f t="shared" si="105"/>
        <v>328</v>
      </c>
      <c r="O1323" s="7">
        <v>10757.750000000002</v>
      </c>
      <c r="P1323" s="7">
        <v>0</v>
      </c>
      <c r="Q1323" s="5">
        <v>0</v>
      </c>
      <c r="S1323" s="7">
        <v>0</v>
      </c>
      <c r="T1323" s="12">
        <v>43322</v>
      </c>
      <c r="U1323" s="4">
        <v>6</v>
      </c>
      <c r="V1323" s="4">
        <v>9</v>
      </c>
      <c r="W1323" s="4">
        <v>9</v>
      </c>
      <c r="X1323" s="45">
        <f t="shared" si="106"/>
        <v>84885.109999999986</v>
      </c>
      <c r="Y1323" s="14" t="s">
        <v>54</v>
      </c>
      <c r="Z1323" s="14" t="s">
        <v>1355</v>
      </c>
      <c r="AA1323" s="14" t="str">
        <f>IFERROR(VLOOKUP(A1323,'[2]UPDATE BILL 2018'!$B:$P,15,0),IFERROR(VLOOKUP(A1323,'[2]UPDATE BILL 2018'!$C:$P,14,0),IFERROR(VLOOKUP(A1323,'[2]UPDATE BILL 2018'!$D:$P,13,0),IFERROR(VLOOKUP(A1323,'[2]UPDATE BILL 2018'!$E:$P,12,0),IFERROR(VLOOKUP(A1323,'[2]UPDATE BILL 2018'!$F:$P,11,0),IFERROR(VLOOKUP(A1323,'[2]UPDATE BILL 2018'!$G:$P,10,0),IFERROR(VLOOKUP(A1323,'[2]UPDATE BILL 2018'!$H:$P,9,0),IFERROR(VLOOKUP(A1323,'[2]UPDATE BILL 2018'!$I:$P,8,0),VLOOKUP(A1323,'[2]UPDATE BILL 2018'!$B:$P,15,0)))))))))</f>
        <v>SITWHPTK174209</v>
      </c>
      <c r="AB1323" s="44">
        <f>IFERROR(VLOOKUP(A1323,'[2]UPDATE BILL 2018'!$B:$T,19,0),IFERROR(VLOOKUP(A1323,'[2]UPDATE BILL 2018'!$C:$T,18,0),IFERROR(VLOOKUP(A1323,'[2]UPDATE BILL 2018'!$D:$T,17,0),IFERROR(VLOOKUP(A1323,'[2]UPDATE BILL 2018'!$E:$T,16,0),IFERROR(VLOOKUP(A1323,'[2]UPDATE BILL 2018'!$F:$T,15,0),IFERROR(VLOOKUP(A1323,'[2]UPDATE BILL 2018'!$G:$T,14,0),IFERROR(VLOOKUP(A1323,'[2]UPDATE BILL 2018'!$H:$T,13,0),IFERROR(VLOOKUP(A1323,'[2]UPDATE BILL 2018'!$I:$T,12,0),VLOOKUP(A1323,'[2]UPDATE BILL 2018'!$B:$T,19,0)))))))))</f>
        <v>43324</v>
      </c>
      <c r="AC1323" s="44" t="str">
        <f>IFERROR(VLOOKUP(A1323,'[2]UPDATE BILL 2018'!$B:$V,21,0),IFERROR(VLOOKUP(A1323,'[2]UPDATE BILL 2018'!$C:$V,20,0),IFERROR(VLOOKUP(A1323,'[2]UPDATE BILL 2018'!$D:$V,19,0),IFERROR(VLOOKUP(A1323,'[2]UPDATE BILL 2018'!$E:$V,18,0),IFERROR(VLOOKUP(A1323,'[2]UPDATE BILL 2018'!$F:$V,17,0),IFERROR(VLOOKUP(A1323,'[2]UPDATE BILL 2018'!$G:$V,16,0),IFERROR(VLOOKUP(A1323,'[2]UPDATE BILL 2018'!$H:$V,15,0),IFERROR(VLOOKUP(A1323,'[2]UPDATE BILL 2018'!$I:$V,14,0),VLOOKUP(A1323,'[2]UPDATE BILL 2018'!$B:$V,21,0)))))))))</f>
        <v>SITC OSAKA 1823N</v>
      </c>
      <c r="AD1323" s="14" t="s">
        <v>49</v>
      </c>
      <c r="AE1323" s="24" t="s">
        <v>3429</v>
      </c>
      <c r="AF1323" s="25" t="str">
        <f t="shared" si="108"/>
        <v>VK</v>
      </c>
      <c r="AG1323" t="e">
        <f t="shared" si="109"/>
        <v>#REF!</v>
      </c>
      <c r="AI1323" s="58"/>
    </row>
    <row r="1324" spans="1:35" ht="15.75" customHeight="1">
      <c r="A1324" s="6" t="s">
        <v>3417</v>
      </c>
      <c r="B1324" s="5">
        <v>77</v>
      </c>
      <c r="C1324" s="7">
        <v>6403.3</v>
      </c>
      <c r="D1324" s="7">
        <f t="shared" si="104"/>
        <v>0</v>
      </c>
      <c r="E1324" s="7">
        <v>0</v>
      </c>
      <c r="F1324" s="5">
        <v>0</v>
      </c>
      <c r="G1324" s="7">
        <v>0</v>
      </c>
      <c r="H1324" s="5">
        <v>144</v>
      </c>
      <c r="I1324" s="7">
        <v>15960.160000000002</v>
      </c>
      <c r="J1324" s="7">
        <v>0</v>
      </c>
      <c r="K1324" s="5">
        <v>0</v>
      </c>
      <c r="L1324" s="5">
        <v>0</v>
      </c>
      <c r="M1324" s="5">
        <v>17</v>
      </c>
      <c r="N1324" s="7">
        <f t="shared" si="105"/>
        <v>17</v>
      </c>
      <c r="O1324" s="7">
        <v>1890.3999999999999</v>
      </c>
      <c r="P1324" s="7">
        <v>0</v>
      </c>
      <c r="Q1324" s="5">
        <v>0</v>
      </c>
      <c r="R1324" s="5">
        <v>8</v>
      </c>
      <c r="S1324" s="7">
        <v>400.8</v>
      </c>
      <c r="T1324" s="12">
        <v>43322</v>
      </c>
      <c r="U1324" s="4">
        <v>2</v>
      </c>
      <c r="V1324" s="4">
        <v>9</v>
      </c>
      <c r="W1324" s="4">
        <v>9</v>
      </c>
      <c r="X1324" s="45">
        <f t="shared" si="106"/>
        <v>24654.660000000003</v>
      </c>
      <c r="Y1324" s="14" t="s">
        <v>54</v>
      </c>
      <c r="Z1324" s="14" t="s">
        <v>1355</v>
      </c>
      <c r="AA1324" s="14" t="str">
        <f>IFERROR(VLOOKUP(A1324,'[2]UPDATE BILL 2018'!$B:$P,15,0),IFERROR(VLOOKUP(A1324,'[2]UPDATE BILL 2018'!$C:$P,14,0),IFERROR(VLOOKUP(A1324,'[2]UPDATE BILL 2018'!$D:$P,13,0),IFERROR(VLOOKUP(A1324,'[2]UPDATE BILL 2018'!$E:$P,12,0),IFERROR(VLOOKUP(A1324,'[2]UPDATE BILL 2018'!$F:$P,11,0),IFERROR(VLOOKUP(A1324,'[2]UPDATE BILL 2018'!$G:$P,10,0),IFERROR(VLOOKUP(A1324,'[2]UPDATE BILL 2018'!$H:$P,9,0),IFERROR(VLOOKUP(A1324,'[2]UPDATE BILL 2018'!$I:$P,8,0),VLOOKUP(A1324,'[2]UPDATE BILL 2018'!$B:$P,15,0)))))))))</f>
        <v>SITWHPHT174215</v>
      </c>
      <c r="AB1324" s="44">
        <f>IFERROR(VLOOKUP(A1324,'[2]UPDATE BILL 2018'!$B:$T,19,0),IFERROR(VLOOKUP(A1324,'[2]UPDATE BILL 2018'!$C:$T,18,0),IFERROR(VLOOKUP(A1324,'[2]UPDATE BILL 2018'!$D:$T,17,0),IFERROR(VLOOKUP(A1324,'[2]UPDATE BILL 2018'!$E:$T,16,0),IFERROR(VLOOKUP(A1324,'[2]UPDATE BILL 2018'!$F:$T,15,0),IFERROR(VLOOKUP(A1324,'[2]UPDATE BILL 2018'!$G:$T,14,0),IFERROR(VLOOKUP(A1324,'[2]UPDATE BILL 2018'!$H:$T,13,0),IFERROR(VLOOKUP(A1324,'[2]UPDATE BILL 2018'!$I:$T,12,0),VLOOKUP(A1324,'[2]UPDATE BILL 2018'!$B:$T,19,0)))))))))</f>
        <v>43325</v>
      </c>
      <c r="AC1324" s="44" t="str">
        <f>IFERROR(VLOOKUP(A1324,'[2]UPDATE BILL 2018'!$B:$V,21,0),IFERROR(VLOOKUP(A1324,'[2]UPDATE BILL 2018'!$C:$V,20,0),IFERROR(VLOOKUP(A1324,'[2]UPDATE BILL 2018'!$D:$V,19,0),IFERROR(VLOOKUP(A1324,'[2]UPDATE BILL 2018'!$E:$V,18,0),IFERROR(VLOOKUP(A1324,'[2]UPDATE BILL 2018'!$F:$V,17,0),IFERROR(VLOOKUP(A1324,'[2]UPDATE BILL 2018'!$G:$V,16,0),IFERROR(VLOOKUP(A1324,'[2]UPDATE BILL 2018'!$H:$V,15,0),IFERROR(VLOOKUP(A1324,'[2]UPDATE BILL 2018'!$I:$V,14,0),VLOOKUP(A1324,'[2]UPDATE BILL 2018'!$B:$V,21,0)))))))))</f>
        <v>EPONYMA 1821N</v>
      </c>
      <c r="AD1324" s="14" t="s">
        <v>52</v>
      </c>
      <c r="AE1324" s="24" t="s">
        <v>3430</v>
      </c>
      <c r="AF1324" s="25" t="str">
        <f t="shared" si="108"/>
        <v>VQ</v>
      </c>
      <c r="AG1324" t="e">
        <f t="shared" si="109"/>
        <v>#REF!</v>
      </c>
      <c r="AI1324" s="58"/>
    </row>
    <row r="1325" spans="1:35" ht="15.75" customHeight="1">
      <c r="A1325" s="6" t="s">
        <v>3418</v>
      </c>
      <c r="B1325" s="5">
        <v>465</v>
      </c>
      <c r="C1325" s="7">
        <v>35894</v>
      </c>
      <c r="D1325" s="7">
        <f t="shared" si="104"/>
        <v>0</v>
      </c>
      <c r="E1325" s="7">
        <v>0</v>
      </c>
      <c r="F1325" s="5">
        <v>0</v>
      </c>
      <c r="G1325" s="7">
        <v>0</v>
      </c>
      <c r="H1325" s="5">
        <v>393</v>
      </c>
      <c r="I1325" s="7">
        <v>24347.000000000004</v>
      </c>
      <c r="J1325" s="7">
        <v>0</v>
      </c>
      <c r="K1325" s="5">
        <v>0</v>
      </c>
      <c r="L1325" s="5">
        <v>0</v>
      </c>
      <c r="M1325" s="5">
        <v>154</v>
      </c>
      <c r="N1325" s="7">
        <f t="shared" si="105"/>
        <v>154</v>
      </c>
      <c r="O1325" s="7">
        <v>12800.199999999999</v>
      </c>
      <c r="P1325" s="7">
        <v>0</v>
      </c>
      <c r="Q1325" s="5">
        <v>0</v>
      </c>
      <c r="R1325" s="5">
        <v>60</v>
      </c>
      <c r="S1325" s="7">
        <v>2998.95</v>
      </c>
      <c r="T1325" s="12">
        <v>43322</v>
      </c>
      <c r="U1325" s="4">
        <v>5</v>
      </c>
      <c r="V1325" s="4">
        <v>9</v>
      </c>
      <c r="W1325" s="4">
        <v>9</v>
      </c>
      <c r="X1325" s="45">
        <f t="shared" si="106"/>
        <v>76040.149999999994</v>
      </c>
      <c r="Y1325" s="14" t="s">
        <v>54</v>
      </c>
      <c r="Z1325" s="14" t="s">
        <v>1281</v>
      </c>
      <c r="AA1325" s="14" t="str">
        <f>IFERROR(VLOOKUP(A1325,'[2]UPDATE BILL 2018'!$B:$P,15,0),IFERROR(VLOOKUP(A1325,'[2]UPDATE BILL 2018'!$C:$P,14,0),IFERROR(VLOOKUP(A1325,'[2]UPDATE BILL 2018'!$D:$P,13,0),IFERROR(VLOOKUP(A1325,'[2]UPDATE BILL 2018'!$E:$P,12,0),IFERROR(VLOOKUP(A1325,'[2]UPDATE BILL 2018'!$F:$P,11,0),IFERROR(VLOOKUP(A1325,'[2]UPDATE BILL 2018'!$G:$P,10,0),IFERROR(VLOOKUP(A1325,'[2]UPDATE BILL 2018'!$H:$P,9,0),IFERROR(VLOOKUP(A1325,'[2]UPDATE BILL 2018'!$I:$P,8,0),VLOOKUP(A1325,'[2]UPDATE BILL 2018'!$B:$P,15,0)))))))))</f>
        <v>SITWHPOS174213</v>
      </c>
      <c r="AB1325" s="44">
        <f>IFERROR(VLOOKUP(A1325,'[2]UPDATE BILL 2018'!$B:$T,19,0),IFERROR(VLOOKUP(A1325,'[2]UPDATE BILL 2018'!$C:$T,18,0),IFERROR(VLOOKUP(A1325,'[2]UPDATE BILL 2018'!$D:$T,17,0),IFERROR(VLOOKUP(A1325,'[2]UPDATE BILL 2018'!$E:$T,16,0),IFERROR(VLOOKUP(A1325,'[2]UPDATE BILL 2018'!$F:$T,15,0),IFERROR(VLOOKUP(A1325,'[2]UPDATE BILL 2018'!$G:$T,14,0),IFERROR(VLOOKUP(A1325,'[2]UPDATE BILL 2018'!$H:$T,13,0),IFERROR(VLOOKUP(A1325,'[2]UPDATE BILL 2018'!$I:$T,12,0),VLOOKUP(A1325,'[2]UPDATE BILL 2018'!$B:$T,19,0)))))))))</f>
        <v>43325</v>
      </c>
      <c r="AC1325" s="44" t="str">
        <f>IFERROR(VLOOKUP(A1325,'[2]UPDATE BILL 2018'!$B:$V,21,0),IFERROR(VLOOKUP(A1325,'[2]UPDATE BILL 2018'!$C:$V,20,0),IFERROR(VLOOKUP(A1325,'[2]UPDATE BILL 2018'!$D:$V,19,0),IFERROR(VLOOKUP(A1325,'[2]UPDATE BILL 2018'!$E:$V,18,0),IFERROR(VLOOKUP(A1325,'[2]UPDATE BILL 2018'!$F:$V,17,0),IFERROR(VLOOKUP(A1325,'[2]UPDATE BILL 2018'!$G:$V,16,0),IFERROR(VLOOKUP(A1325,'[2]UPDATE BILL 2018'!$H:$V,15,0),IFERROR(VLOOKUP(A1325,'[2]UPDATE BILL 2018'!$I:$V,14,0),VLOOKUP(A1325,'[2]UPDATE BILL 2018'!$B:$V,21,0)))))))))</f>
        <v>EPONYMA 1821N</v>
      </c>
      <c r="AD1325" s="14" t="s">
        <v>51</v>
      </c>
      <c r="AE1325" s="24" t="s">
        <v>3431</v>
      </c>
      <c r="AF1325" s="25" t="str">
        <f t="shared" si="108"/>
        <v>VS</v>
      </c>
      <c r="AG1325" t="e">
        <f t="shared" si="109"/>
        <v>#REF!</v>
      </c>
      <c r="AI1325" s="58"/>
    </row>
    <row r="1326" spans="1:35" ht="15" customHeight="1">
      <c r="A1326" s="6" t="s">
        <v>3419</v>
      </c>
      <c r="B1326" s="5">
        <v>548</v>
      </c>
      <c r="C1326" s="7">
        <v>49361.2</v>
      </c>
      <c r="D1326" s="7">
        <f t="shared" si="104"/>
        <v>0</v>
      </c>
      <c r="E1326" s="7">
        <v>0</v>
      </c>
      <c r="F1326" s="5">
        <v>0</v>
      </c>
      <c r="G1326" s="7">
        <v>0</v>
      </c>
      <c r="H1326" s="5">
        <v>0</v>
      </c>
      <c r="I1326" s="7">
        <v>0</v>
      </c>
      <c r="J1326" s="7">
        <v>0</v>
      </c>
      <c r="K1326" s="5">
        <v>0</v>
      </c>
      <c r="L1326" s="5">
        <v>0</v>
      </c>
      <c r="M1326" s="5">
        <v>0</v>
      </c>
      <c r="N1326" s="7">
        <f t="shared" si="105"/>
        <v>0</v>
      </c>
      <c r="O1326" s="7">
        <v>0</v>
      </c>
      <c r="P1326" s="7">
        <v>0</v>
      </c>
      <c r="Q1326" s="5">
        <v>0</v>
      </c>
      <c r="S1326" s="7">
        <v>0</v>
      </c>
      <c r="T1326" s="12">
        <v>43322</v>
      </c>
      <c r="U1326" s="4">
        <v>4</v>
      </c>
      <c r="V1326" s="4">
        <v>9</v>
      </c>
      <c r="W1326" s="4">
        <v>9</v>
      </c>
      <c r="X1326" s="45">
        <f t="shared" si="106"/>
        <v>49361.2</v>
      </c>
      <c r="Y1326" s="14" t="s">
        <v>54</v>
      </c>
      <c r="Z1326" s="14" t="s">
        <v>2525</v>
      </c>
      <c r="AA1326" s="14" t="str">
        <f>IFERROR(VLOOKUP(A1326,'[2]UPDATE BILL 2018'!$B:$P,15,0),IFERROR(VLOOKUP(A1326,'[2]UPDATE BILL 2018'!$C:$P,14,0),IFERROR(VLOOKUP(A1326,'[2]UPDATE BILL 2018'!$D:$P,13,0),IFERROR(VLOOKUP(A1326,'[2]UPDATE BILL 2018'!$E:$P,12,0),IFERROR(VLOOKUP(A1326,'[2]UPDATE BILL 2018'!$F:$P,11,0),IFERROR(VLOOKUP(A1326,'[2]UPDATE BILL 2018'!$G:$P,10,0),IFERROR(VLOOKUP(A1326,'[2]UPDATE BILL 2018'!$H:$P,9,0),IFERROR(VLOOKUP(A1326,'[2]UPDATE BILL 2018'!$I:$P,8,0),VLOOKUP(A1326,'[2]UPDATE BILL 2018'!$B:$P,15,0)))))))))</f>
        <v>SITWHPOS174963</v>
      </c>
      <c r="AB1326" s="44">
        <f>IFERROR(VLOOKUP(A1326,'[2]UPDATE BILL 2018'!$B:$T,19,0),IFERROR(VLOOKUP(A1326,'[2]UPDATE BILL 2018'!$C:$T,18,0),IFERROR(VLOOKUP(A1326,'[2]UPDATE BILL 2018'!$D:$T,17,0),IFERROR(VLOOKUP(A1326,'[2]UPDATE BILL 2018'!$E:$T,16,0),IFERROR(VLOOKUP(A1326,'[2]UPDATE BILL 2018'!$F:$T,15,0),IFERROR(VLOOKUP(A1326,'[2]UPDATE BILL 2018'!$G:$T,14,0),IFERROR(VLOOKUP(A1326,'[2]UPDATE BILL 2018'!$H:$T,13,0),IFERROR(VLOOKUP(A1326,'[2]UPDATE BILL 2018'!$I:$T,12,0),VLOOKUP(A1326,'[2]UPDATE BILL 2018'!$B:$T,19,0)))))))))</f>
        <v>43331</v>
      </c>
      <c r="AC1326" s="44" t="str">
        <f>IFERROR(VLOOKUP(A1326,'[2]UPDATE BILL 2018'!$B:$V,21,0),IFERROR(VLOOKUP(A1326,'[2]UPDATE BILL 2018'!$C:$V,20,0),IFERROR(VLOOKUP(A1326,'[2]UPDATE BILL 2018'!$D:$V,19,0),IFERROR(VLOOKUP(A1326,'[2]UPDATE BILL 2018'!$E:$V,18,0),IFERROR(VLOOKUP(A1326,'[2]UPDATE BILL 2018'!$F:$V,17,0),IFERROR(VLOOKUP(A1326,'[2]UPDATE BILL 2018'!$G:$V,16,0),IFERROR(VLOOKUP(A1326,'[2]UPDATE BILL 2018'!$H:$V,15,0),IFERROR(VLOOKUP(A1326,'[2]UPDATE BILL 2018'!$I:$V,14,0),VLOOKUP(A1326,'[2]UPDATE BILL 2018'!$B:$V,21,0)))))))))</f>
        <v>SITC NAGOYA 1823N</v>
      </c>
      <c r="AD1326" s="14" t="s">
        <v>51</v>
      </c>
      <c r="AE1326" s="24" t="s">
        <v>3432</v>
      </c>
      <c r="AF1326" s="25" t="str">
        <f t="shared" si="108"/>
        <v>VS</v>
      </c>
      <c r="AG1326" t="e">
        <f t="shared" si="109"/>
        <v>#REF!</v>
      </c>
      <c r="AI1326" s="58"/>
    </row>
    <row r="1327" spans="1:35" ht="15.75" customHeight="1">
      <c r="A1327" s="6" t="s">
        <v>3420</v>
      </c>
      <c r="B1327" s="5">
        <v>101</v>
      </c>
      <c r="C1327" s="7">
        <v>11104.200000000003</v>
      </c>
      <c r="D1327" s="7">
        <f t="shared" si="104"/>
        <v>0</v>
      </c>
      <c r="E1327" s="7">
        <v>0</v>
      </c>
      <c r="F1327" s="5">
        <v>0</v>
      </c>
      <c r="G1327" s="7">
        <v>0</v>
      </c>
      <c r="H1327" s="5">
        <v>40</v>
      </c>
      <c r="I1327" s="7">
        <v>1629.5</v>
      </c>
      <c r="J1327" s="7">
        <v>0</v>
      </c>
      <c r="K1327" s="5">
        <v>0</v>
      </c>
      <c r="L1327" s="5">
        <v>0</v>
      </c>
      <c r="M1327" s="5">
        <v>1</v>
      </c>
      <c r="N1327" s="7">
        <f t="shared" si="105"/>
        <v>1</v>
      </c>
      <c r="O1327" s="7">
        <v>5.0999999999999996</v>
      </c>
      <c r="P1327" s="7">
        <v>0</v>
      </c>
      <c r="Q1327" s="5">
        <v>0</v>
      </c>
      <c r="R1327" s="5">
        <v>222</v>
      </c>
      <c r="S1327" s="7">
        <v>23645.600000000002</v>
      </c>
      <c r="T1327" s="12">
        <v>43322</v>
      </c>
      <c r="U1327" s="4">
        <v>3</v>
      </c>
      <c r="V1327" s="4">
        <v>9</v>
      </c>
      <c r="W1327" s="4">
        <v>9</v>
      </c>
      <c r="X1327" s="45">
        <f t="shared" si="106"/>
        <v>36384.400000000009</v>
      </c>
      <c r="Y1327" s="14" t="s">
        <v>85</v>
      </c>
      <c r="Z1327" s="14" t="s">
        <v>57</v>
      </c>
      <c r="AA1327" s="14">
        <f>IFERROR(VLOOKUP(A1327,'[2]UPDATE BILL 2018'!$B:$P,15,0),IFERROR(VLOOKUP(A1327,'[2]UPDATE BILL 2018'!$C:$P,14,0),IFERROR(VLOOKUP(A1327,'[2]UPDATE BILL 2018'!$D:$P,13,0),IFERROR(VLOOKUP(A1327,'[2]UPDATE BILL 2018'!$E:$P,12,0),IFERROR(VLOOKUP(A1327,'[2]UPDATE BILL 2018'!$F:$P,11,0),IFERROR(VLOOKUP(A1327,'[2]UPDATE BILL 2018'!$G:$P,10,0),IFERROR(VLOOKUP(A1327,'[2]UPDATE BILL 2018'!$H:$P,9,0),IFERROR(VLOOKUP(A1327,'[2]UPDATE BILL 2018'!$I:$P,8,0),VLOOKUP(A1327,'[2]UPDATE BILL 2018'!$B:$P,15,0)))))))))</f>
        <v>350810091218</v>
      </c>
      <c r="AB1327" s="44">
        <f>IFERROR(VLOOKUP(A1327,'[2]UPDATE BILL 2018'!$B:$T,19,0),IFERROR(VLOOKUP(A1327,'[2]UPDATE BILL 2018'!$C:$T,18,0),IFERROR(VLOOKUP(A1327,'[2]UPDATE BILL 2018'!$D:$T,17,0),IFERROR(VLOOKUP(A1327,'[2]UPDATE BILL 2018'!$E:$T,16,0),IFERROR(VLOOKUP(A1327,'[2]UPDATE BILL 2018'!$F:$T,15,0),IFERROR(VLOOKUP(A1327,'[2]UPDATE BILL 2018'!$G:$T,14,0),IFERROR(VLOOKUP(A1327,'[2]UPDATE BILL 2018'!$H:$T,13,0),IFERROR(VLOOKUP(A1327,'[2]UPDATE BILL 2018'!$I:$T,12,0),VLOOKUP(A1327,'[2]UPDATE BILL 2018'!$B:$T,19,0)))))))))</f>
        <v>43325</v>
      </c>
      <c r="AC1327" s="44" t="str">
        <f>IFERROR(VLOOKUP(A1327,'[2]UPDATE BILL 2018'!$B:$V,21,0),IFERROR(VLOOKUP(A1327,'[2]UPDATE BILL 2018'!$C:$V,20,0),IFERROR(VLOOKUP(A1327,'[2]UPDATE BILL 2018'!$D:$V,19,0),IFERROR(VLOOKUP(A1327,'[2]UPDATE BILL 2018'!$E:$V,18,0),IFERROR(VLOOKUP(A1327,'[2]UPDATE BILL 2018'!$F:$V,17,0),IFERROR(VLOOKUP(A1327,'[2]UPDATE BILL 2018'!$G:$V,16,0),IFERROR(VLOOKUP(A1327,'[2]UPDATE BILL 2018'!$H:$V,15,0),IFERROR(VLOOKUP(A1327,'[2]UPDATE BILL 2018'!$I:$V,14,0),VLOOKUP(A1327,'[2]UPDATE BILL 2018'!$B:$V,21,0)))))))))</f>
        <v>LANTAU BEE 18011N</v>
      </c>
      <c r="AD1327" s="14" t="s">
        <v>600</v>
      </c>
      <c r="AE1327" s="24" t="s">
        <v>3433</v>
      </c>
      <c r="AF1327" s="25" t="s">
        <v>2373</v>
      </c>
      <c r="AG1327" t="e">
        <f t="shared" si="109"/>
        <v>#N/A</v>
      </c>
      <c r="AI1327" s="58"/>
    </row>
    <row r="1328" spans="1:35" ht="15.75" customHeight="1">
      <c r="A1328" s="6" t="s">
        <v>3421</v>
      </c>
      <c r="B1328" s="5">
        <v>908</v>
      </c>
      <c r="C1328" s="7">
        <v>55226.7</v>
      </c>
      <c r="D1328" s="7">
        <f t="shared" si="104"/>
        <v>0</v>
      </c>
      <c r="E1328" s="7">
        <v>0</v>
      </c>
      <c r="F1328" s="5">
        <v>0</v>
      </c>
      <c r="G1328" s="7">
        <v>0</v>
      </c>
      <c r="H1328" s="5">
        <v>370</v>
      </c>
      <c r="I1328" s="7">
        <v>11545.5</v>
      </c>
      <c r="J1328" s="7">
        <v>0</v>
      </c>
      <c r="K1328" s="5">
        <v>0</v>
      </c>
      <c r="L1328" s="5">
        <v>0</v>
      </c>
      <c r="M1328" s="5">
        <v>238</v>
      </c>
      <c r="N1328" s="7">
        <f t="shared" si="105"/>
        <v>238</v>
      </c>
      <c r="O1328" s="7">
        <v>26942.9</v>
      </c>
      <c r="P1328" s="7">
        <v>0</v>
      </c>
      <c r="Q1328" s="5">
        <v>0</v>
      </c>
      <c r="R1328" s="5">
        <v>105</v>
      </c>
      <c r="S1328" s="7">
        <v>5256</v>
      </c>
      <c r="T1328" s="12">
        <v>43322</v>
      </c>
      <c r="U1328" s="4">
        <v>8</v>
      </c>
      <c r="V1328" s="4">
        <v>9</v>
      </c>
      <c r="W1328" s="4">
        <v>9</v>
      </c>
      <c r="X1328" s="45">
        <f t="shared" si="106"/>
        <v>98971.1</v>
      </c>
      <c r="Y1328" s="14" t="s">
        <v>54</v>
      </c>
      <c r="Z1328" s="14" t="s">
        <v>3441</v>
      </c>
      <c r="AA1328" s="14" t="str">
        <f>IFERROR(VLOOKUP(A1328,'[2]UPDATE BILL 2018'!$B:$P,15,0),IFERROR(VLOOKUP(A1328,'[2]UPDATE BILL 2018'!$C:$P,14,0),IFERROR(VLOOKUP(A1328,'[2]UPDATE BILL 2018'!$D:$P,13,0),IFERROR(VLOOKUP(A1328,'[2]UPDATE BILL 2018'!$E:$P,12,0),IFERROR(VLOOKUP(A1328,'[2]UPDATE BILL 2018'!$F:$P,11,0),IFERROR(VLOOKUP(A1328,'[2]UPDATE BILL 2018'!$G:$P,10,0),IFERROR(VLOOKUP(A1328,'[2]UPDATE BILL 2018'!$H:$P,9,0),IFERROR(VLOOKUP(A1328,'[2]UPDATE BILL 2018'!$I:$P,8,0),VLOOKUP(A1328,'[2]UPDATE BILL 2018'!$B:$P,15,0)))))))))</f>
        <v>SITWHPKW174196</v>
      </c>
      <c r="AB1328" s="44">
        <f>IFERROR(VLOOKUP(A1328,'[2]UPDATE BILL 2018'!$B:$T,19,0),IFERROR(VLOOKUP(A1328,'[2]UPDATE BILL 2018'!$C:$T,18,0),IFERROR(VLOOKUP(A1328,'[2]UPDATE BILL 2018'!$D:$T,17,0),IFERROR(VLOOKUP(A1328,'[2]UPDATE BILL 2018'!$E:$T,16,0),IFERROR(VLOOKUP(A1328,'[2]UPDATE BILL 2018'!$F:$T,15,0),IFERROR(VLOOKUP(A1328,'[2]UPDATE BILL 2018'!$G:$T,14,0),IFERROR(VLOOKUP(A1328,'[2]UPDATE BILL 2018'!$H:$T,13,0),IFERROR(VLOOKUP(A1328,'[2]UPDATE BILL 2018'!$I:$T,12,0),VLOOKUP(A1328,'[2]UPDATE BILL 2018'!$B:$T,19,0)))))))))</f>
        <v>43324</v>
      </c>
      <c r="AC1328" s="44" t="str">
        <f>IFERROR(VLOOKUP(A1328,'[2]UPDATE BILL 2018'!$B:$V,21,0),IFERROR(VLOOKUP(A1328,'[2]UPDATE BILL 2018'!$C:$V,20,0),IFERROR(VLOOKUP(A1328,'[2]UPDATE BILL 2018'!$D:$V,19,0),IFERROR(VLOOKUP(A1328,'[2]UPDATE BILL 2018'!$E:$V,18,0),IFERROR(VLOOKUP(A1328,'[2]UPDATE BILL 2018'!$F:$V,17,0),IFERROR(VLOOKUP(A1328,'[2]UPDATE BILL 2018'!$G:$V,16,0),IFERROR(VLOOKUP(A1328,'[2]UPDATE BILL 2018'!$H:$V,15,0),IFERROR(VLOOKUP(A1328,'[2]UPDATE BILL 2018'!$I:$V,14,0),VLOOKUP(A1328,'[2]UPDATE BILL 2018'!$B:$V,21,0)))))))))</f>
        <v>SITC OSAKA 1823N</v>
      </c>
      <c r="AD1328" s="14" t="s">
        <v>50</v>
      </c>
      <c r="AE1328" s="24" t="s">
        <v>3434</v>
      </c>
      <c r="AF1328" s="25" t="str">
        <f t="shared" si="108"/>
        <v>VW</v>
      </c>
      <c r="AG1328" t="e">
        <f t="shared" si="109"/>
        <v>#REF!</v>
      </c>
      <c r="AI1328" s="58"/>
    </row>
    <row r="1329" spans="1:35" ht="15.75" customHeight="1">
      <c r="A1329" s="6" t="s">
        <v>3422</v>
      </c>
      <c r="B1329" s="5">
        <v>164</v>
      </c>
      <c r="C1329" s="7">
        <v>15739.899999999998</v>
      </c>
      <c r="D1329" s="7">
        <f t="shared" si="104"/>
        <v>0</v>
      </c>
      <c r="E1329" s="7">
        <v>0</v>
      </c>
      <c r="F1329" s="5">
        <v>0</v>
      </c>
      <c r="G1329" s="7">
        <v>0</v>
      </c>
      <c r="H1329" s="5">
        <v>0</v>
      </c>
      <c r="I1329" s="7">
        <v>0</v>
      </c>
      <c r="J1329" s="7">
        <v>0</v>
      </c>
      <c r="K1329" s="5">
        <v>0</v>
      </c>
      <c r="L1329" s="5">
        <v>0</v>
      </c>
      <c r="M1329" s="5">
        <v>28</v>
      </c>
      <c r="N1329" s="7">
        <f t="shared" si="105"/>
        <v>28</v>
      </c>
      <c r="O1329" s="7">
        <v>4502.2</v>
      </c>
      <c r="P1329" s="7">
        <v>0</v>
      </c>
      <c r="Q1329" s="5">
        <v>0</v>
      </c>
      <c r="S1329" s="7">
        <v>0</v>
      </c>
      <c r="T1329" s="12">
        <v>43322</v>
      </c>
      <c r="U1329" s="4">
        <v>2</v>
      </c>
      <c r="V1329" s="4">
        <v>9</v>
      </c>
      <c r="W1329" s="4">
        <v>9</v>
      </c>
      <c r="X1329" s="45">
        <f t="shared" si="106"/>
        <v>20242.099999999999</v>
      </c>
      <c r="Y1329" s="14" t="s">
        <v>54</v>
      </c>
      <c r="Z1329" s="14" t="s">
        <v>57</v>
      </c>
      <c r="AA1329" s="14" t="str">
        <f>IFERROR(VLOOKUP(A1329,'[2]UPDATE BILL 2018'!$B:$P,15,0),IFERROR(VLOOKUP(A1329,'[2]UPDATE BILL 2018'!$C:$P,14,0),IFERROR(VLOOKUP(A1329,'[2]UPDATE BILL 2018'!$D:$P,13,0),IFERROR(VLOOKUP(A1329,'[2]UPDATE BILL 2018'!$E:$P,12,0),IFERROR(VLOOKUP(A1329,'[2]UPDATE BILL 2018'!$F:$P,11,0),IFERROR(VLOOKUP(A1329,'[2]UPDATE BILL 2018'!$G:$P,10,0),IFERROR(VLOOKUP(A1329,'[2]UPDATE BILL 2018'!$H:$P,9,0),IFERROR(VLOOKUP(A1329,'[2]UPDATE BILL 2018'!$I:$P,8,0),VLOOKUP(A1329,'[2]UPDATE BILL 2018'!$B:$P,15,0)))))))))</f>
        <v>SITWHPTK174209</v>
      </c>
      <c r="AB1329" s="44">
        <f>IFERROR(VLOOKUP(A1329,'[2]UPDATE BILL 2018'!$B:$T,19,0),IFERROR(VLOOKUP(A1329,'[2]UPDATE BILL 2018'!$C:$T,18,0),IFERROR(VLOOKUP(A1329,'[2]UPDATE BILL 2018'!$D:$T,17,0),IFERROR(VLOOKUP(A1329,'[2]UPDATE BILL 2018'!$E:$T,16,0),IFERROR(VLOOKUP(A1329,'[2]UPDATE BILL 2018'!$F:$T,15,0),IFERROR(VLOOKUP(A1329,'[2]UPDATE BILL 2018'!$G:$T,14,0),IFERROR(VLOOKUP(A1329,'[2]UPDATE BILL 2018'!$H:$T,13,0),IFERROR(VLOOKUP(A1329,'[2]UPDATE BILL 2018'!$I:$T,12,0),VLOOKUP(A1329,'[2]UPDATE BILL 2018'!$B:$T,19,0)))))))))</f>
        <v>43324</v>
      </c>
      <c r="AC1329" s="44" t="str">
        <f>IFERROR(VLOOKUP(A1329,'[2]UPDATE BILL 2018'!$B:$V,21,0),IFERROR(VLOOKUP(A1329,'[2]UPDATE BILL 2018'!$C:$V,20,0),IFERROR(VLOOKUP(A1329,'[2]UPDATE BILL 2018'!$D:$V,19,0),IFERROR(VLOOKUP(A1329,'[2]UPDATE BILL 2018'!$E:$V,18,0),IFERROR(VLOOKUP(A1329,'[2]UPDATE BILL 2018'!$F:$V,17,0),IFERROR(VLOOKUP(A1329,'[2]UPDATE BILL 2018'!$G:$V,16,0),IFERROR(VLOOKUP(A1329,'[2]UPDATE BILL 2018'!$H:$V,15,0),IFERROR(VLOOKUP(A1329,'[2]UPDATE BILL 2018'!$I:$V,14,0),VLOOKUP(A1329,'[2]UPDATE BILL 2018'!$B:$V,21,0)))))))))</f>
        <v>SITC OSAKA 1823N</v>
      </c>
      <c r="AD1329" s="14" t="s">
        <v>49</v>
      </c>
      <c r="AE1329" s="24" t="s">
        <v>3435</v>
      </c>
      <c r="AF1329" s="25" t="str">
        <f t="shared" si="108"/>
        <v>VZ</v>
      </c>
      <c r="AG1329" t="e">
        <f t="shared" si="109"/>
        <v>#REF!</v>
      </c>
      <c r="AI1329" s="58"/>
    </row>
    <row r="1330" spans="1:35" ht="15.75" customHeight="1">
      <c r="A1330" s="6" t="s">
        <v>3423</v>
      </c>
      <c r="D1330" s="7">
        <f t="shared" si="104"/>
        <v>0</v>
      </c>
      <c r="E1330" s="7">
        <v>0</v>
      </c>
      <c r="F1330" s="5">
        <v>0</v>
      </c>
      <c r="G1330" s="7">
        <v>0</v>
      </c>
      <c r="H1330" s="5">
        <v>0</v>
      </c>
      <c r="I1330" s="7">
        <v>0</v>
      </c>
      <c r="J1330" s="7">
        <v>0</v>
      </c>
      <c r="K1330" s="5">
        <v>0</v>
      </c>
      <c r="L1330" s="5">
        <v>0</v>
      </c>
      <c r="M1330" s="5">
        <v>0</v>
      </c>
      <c r="N1330" s="7">
        <f t="shared" si="105"/>
        <v>0</v>
      </c>
      <c r="O1330" s="7">
        <v>0</v>
      </c>
      <c r="P1330" s="7">
        <v>0</v>
      </c>
      <c r="Q1330" s="5">
        <v>0</v>
      </c>
      <c r="R1330" s="5">
        <v>320</v>
      </c>
      <c r="S1330" s="7">
        <v>34753</v>
      </c>
      <c r="T1330" s="12">
        <v>43322</v>
      </c>
      <c r="U1330" s="4">
        <v>1</v>
      </c>
      <c r="V1330" s="4">
        <v>9</v>
      </c>
      <c r="W1330" s="4">
        <v>9</v>
      </c>
      <c r="X1330" s="45">
        <f t="shared" si="106"/>
        <v>34753</v>
      </c>
      <c r="Y1330" s="14" t="s">
        <v>1633</v>
      </c>
      <c r="Z1330" s="14" t="s">
        <v>1492</v>
      </c>
      <c r="AA1330" s="14" t="str">
        <f>IFERROR(VLOOKUP(A1330,'[2]UPDATE BILL 2018'!$B:$P,15,0),IFERROR(VLOOKUP(A1330,'[2]UPDATE BILL 2018'!$C:$P,14,0),IFERROR(VLOOKUP(A1330,'[2]UPDATE BILL 2018'!$D:$P,13,0),IFERROR(VLOOKUP(A1330,'[2]UPDATE BILL 2018'!$E:$P,12,0),IFERROR(VLOOKUP(A1330,'[2]UPDATE BILL 2018'!$F:$P,11,0),IFERROR(VLOOKUP(A1330,'[2]UPDATE BILL 2018'!$G:$P,10,0),IFERROR(VLOOKUP(A1330,'[2]UPDATE BILL 2018'!$H:$P,9,0),IFERROR(VLOOKUP(A1330,'[2]UPDATE BILL 2018'!$I:$P,8,0),VLOOKUP(A1330,'[2]UPDATE BILL 2018'!$B:$P,15,0)))))))))</f>
        <v>KMTCHPH0577295</v>
      </c>
      <c r="AB1330" s="44">
        <f>IFERROR(VLOOKUP(A1330,'[2]UPDATE BILL 2018'!$B:$T,19,0),IFERROR(VLOOKUP(A1330,'[2]UPDATE BILL 2018'!$C:$T,18,0),IFERROR(VLOOKUP(A1330,'[2]UPDATE BILL 2018'!$D:$T,17,0),IFERROR(VLOOKUP(A1330,'[2]UPDATE BILL 2018'!$E:$T,16,0),IFERROR(VLOOKUP(A1330,'[2]UPDATE BILL 2018'!$F:$T,15,0),IFERROR(VLOOKUP(A1330,'[2]UPDATE BILL 2018'!$G:$T,14,0),IFERROR(VLOOKUP(A1330,'[2]UPDATE BILL 2018'!$H:$T,13,0),IFERROR(VLOOKUP(A1330,'[2]UPDATE BILL 2018'!$I:$T,12,0),VLOOKUP(A1330,'[2]UPDATE BILL 2018'!$B:$T,19,0)))))))))</f>
        <v>43325</v>
      </c>
      <c r="AC1330" s="44" t="str">
        <f>IFERROR(VLOOKUP(A1330,'[2]UPDATE BILL 2018'!$B:$V,21,0),IFERROR(VLOOKUP(A1330,'[2]UPDATE BILL 2018'!$C:$V,20,0),IFERROR(VLOOKUP(A1330,'[2]UPDATE BILL 2018'!$D:$V,19,0),IFERROR(VLOOKUP(A1330,'[2]UPDATE BILL 2018'!$E:$V,18,0),IFERROR(VLOOKUP(A1330,'[2]UPDATE BILL 2018'!$F:$V,17,0),IFERROR(VLOOKUP(A1330,'[2]UPDATE BILL 2018'!$G:$V,16,0),IFERROR(VLOOKUP(A1330,'[2]UPDATE BILL 2018'!$H:$V,15,0),IFERROR(VLOOKUP(A1330,'[2]UPDATE BILL 2018'!$I:$V,14,0),VLOOKUP(A1330,'[2]UPDATE BILL 2018'!$B:$V,21,0)))))))))</f>
        <v>HONGKONG VOYAGER 0081N</v>
      </c>
      <c r="AD1330" s="14" t="s">
        <v>70</v>
      </c>
      <c r="AE1330" s="24" t="s">
        <v>3436</v>
      </c>
      <c r="AF1330" s="25" t="s">
        <v>2177</v>
      </c>
      <c r="AG1330" t="e">
        <f t="shared" si="109"/>
        <v>#N/A</v>
      </c>
      <c r="AI1330" s="58"/>
    </row>
    <row r="1331" spans="1:35" ht="15.75" customHeight="1">
      <c r="A1331" s="6" t="s">
        <v>3424</v>
      </c>
      <c r="D1331" s="7">
        <f t="shared" si="104"/>
        <v>0</v>
      </c>
      <c r="E1331" s="7">
        <v>0</v>
      </c>
      <c r="F1331" s="5">
        <v>0</v>
      </c>
      <c r="G1331" s="7">
        <v>0</v>
      </c>
      <c r="H1331" s="5">
        <v>0</v>
      </c>
      <c r="I1331" s="7">
        <v>0</v>
      </c>
      <c r="J1331" s="7">
        <v>0</v>
      </c>
      <c r="K1331" s="5">
        <v>0</v>
      </c>
      <c r="L1331" s="5">
        <v>0</v>
      </c>
      <c r="M1331" s="5">
        <v>0</v>
      </c>
      <c r="N1331" s="7">
        <f t="shared" si="105"/>
        <v>0</v>
      </c>
      <c r="O1331" s="7">
        <v>0</v>
      </c>
      <c r="P1331" s="7">
        <v>0</v>
      </c>
      <c r="Q1331" s="5">
        <v>0</v>
      </c>
      <c r="R1331" s="5">
        <v>248</v>
      </c>
      <c r="S1331" s="7">
        <v>37373.599999999999</v>
      </c>
      <c r="T1331" s="12">
        <v>43322</v>
      </c>
      <c r="U1331" s="4">
        <v>1</v>
      </c>
      <c r="V1331" s="4">
        <v>9</v>
      </c>
      <c r="W1331" s="4">
        <v>9</v>
      </c>
      <c r="X1331" s="45">
        <f t="shared" si="106"/>
        <v>37373.599999999999</v>
      </c>
      <c r="Y1331" s="14" t="s">
        <v>54</v>
      </c>
      <c r="Z1331" s="14" t="s">
        <v>1355</v>
      </c>
      <c r="AA1331" s="14" t="str">
        <f>IFERROR(VLOOKUP(A1331,'[2]UPDATE BILL 2018'!$B:$P,15,0),IFERROR(VLOOKUP(A1331,'[2]UPDATE BILL 2018'!$C:$P,14,0),IFERROR(VLOOKUP(A1331,'[2]UPDATE BILL 2018'!$D:$P,13,0),IFERROR(VLOOKUP(A1331,'[2]UPDATE BILL 2018'!$E:$P,12,0),IFERROR(VLOOKUP(A1331,'[2]UPDATE BILL 2018'!$F:$P,11,0),IFERROR(VLOOKUP(A1331,'[2]UPDATE BILL 2018'!$G:$P,10,0),IFERROR(VLOOKUP(A1331,'[2]UPDATE BILL 2018'!$H:$P,9,0),IFERROR(VLOOKUP(A1331,'[2]UPDATE BILL 2018'!$I:$P,8,0),VLOOKUP(A1331,'[2]UPDATE BILL 2018'!$B:$P,15,0)))))))))</f>
        <v>SITWHPTK174209</v>
      </c>
      <c r="AB1331" s="44">
        <f>IFERROR(VLOOKUP(A1331,'[2]UPDATE BILL 2018'!$B:$T,19,0),IFERROR(VLOOKUP(A1331,'[2]UPDATE BILL 2018'!$C:$T,18,0),IFERROR(VLOOKUP(A1331,'[2]UPDATE BILL 2018'!$D:$T,17,0),IFERROR(VLOOKUP(A1331,'[2]UPDATE BILL 2018'!$E:$T,16,0),IFERROR(VLOOKUP(A1331,'[2]UPDATE BILL 2018'!$F:$T,15,0),IFERROR(VLOOKUP(A1331,'[2]UPDATE BILL 2018'!$G:$T,14,0),IFERROR(VLOOKUP(A1331,'[2]UPDATE BILL 2018'!$H:$T,13,0),IFERROR(VLOOKUP(A1331,'[2]UPDATE BILL 2018'!$I:$T,12,0),VLOOKUP(A1331,'[2]UPDATE BILL 2018'!$B:$T,19,0)))))))))</f>
        <v>43324</v>
      </c>
      <c r="AC1331" s="44" t="str">
        <f>IFERROR(VLOOKUP(A1331,'[2]UPDATE BILL 2018'!$B:$V,21,0),IFERROR(VLOOKUP(A1331,'[2]UPDATE BILL 2018'!$C:$V,20,0),IFERROR(VLOOKUP(A1331,'[2]UPDATE BILL 2018'!$D:$V,19,0),IFERROR(VLOOKUP(A1331,'[2]UPDATE BILL 2018'!$E:$V,18,0),IFERROR(VLOOKUP(A1331,'[2]UPDATE BILL 2018'!$F:$V,17,0),IFERROR(VLOOKUP(A1331,'[2]UPDATE BILL 2018'!$G:$V,16,0),IFERROR(VLOOKUP(A1331,'[2]UPDATE BILL 2018'!$H:$V,15,0),IFERROR(VLOOKUP(A1331,'[2]UPDATE BILL 2018'!$I:$V,14,0),VLOOKUP(A1331,'[2]UPDATE BILL 2018'!$B:$V,21,0)))))))))</f>
        <v>SITC OSAKA 1823N</v>
      </c>
      <c r="AD1331" s="14" t="s">
        <v>49</v>
      </c>
      <c r="AE1331" s="24" t="s">
        <v>3437</v>
      </c>
      <c r="AF1331" s="25" t="s">
        <v>2175</v>
      </c>
      <c r="AG1331" t="e">
        <f t="shared" si="109"/>
        <v>#N/A</v>
      </c>
      <c r="AI1331" s="58"/>
    </row>
    <row r="1332" spans="1:35" ht="15.75" customHeight="1">
      <c r="A1332" s="6" t="s">
        <v>3425</v>
      </c>
      <c r="D1332" s="7">
        <f t="shared" si="104"/>
        <v>0</v>
      </c>
      <c r="E1332" s="7">
        <v>0</v>
      </c>
      <c r="F1332" s="5">
        <v>0</v>
      </c>
      <c r="G1332" s="7">
        <v>0</v>
      </c>
      <c r="H1332" s="5">
        <v>0</v>
      </c>
      <c r="I1332" s="7">
        <v>0</v>
      </c>
      <c r="J1332" s="7">
        <v>0</v>
      </c>
      <c r="K1332" s="5">
        <v>0</v>
      </c>
      <c r="L1332" s="5">
        <v>0</v>
      </c>
      <c r="M1332" s="5">
        <v>0</v>
      </c>
      <c r="N1332" s="7">
        <f t="shared" si="105"/>
        <v>0</v>
      </c>
      <c r="O1332" s="7">
        <v>0</v>
      </c>
      <c r="P1332" s="7">
        <v>0</v>
      </c>
      <c r="Q1332" s="5">
        <v>0</v>
      </c>
      <c r="R1332" s="5">
        <v>500</v>
      </c>
      <c r="S1332" s="7">
        <v>35840</v>
      </c>
      <c r="T1332" s="12">
        <v>43322</v>
      </c>
      <c r="U1332" s="4">
        <v>1</v>
      </c>
      <c r="V1332" s="4">
        <v>9</v>
      </c>
      <c r="W1332" s="4">
        <v>9</v>
      </c>
      <c r="X1332" s="45">
        <f t="shared" si="106"/>
        <v>35840</v>
      </c>
      <c r="Y1332" s="14" t="s">
        <v>54</v>
      </c>
      <c r="Z1332" s="14" t="s">
        <v>1355</v>
      </c>
      <c r="AA1332" s="14" t="str">
        <f>IFERROR(VLOOKUP(A1332,'[2]UPDATE BILL 2018'!$B:$P,15,0),IFERROR(VLOOKUP(A1332,'[2]UPDATE BILL 2018'!$C:$P,14,0),IFERROR(VLOOKUP(A1332,'[2]UPDATE BILL 2018'!$D:$P,13,0),IFERROR(VLOOKUP(A1332,'[2]UPDATE BILL 2018'!$E:$P,12,0),IFERROR(VLOOKUP(A1332,'[2]UPDATE BILL 2018'!$F:$P,11,0),IFERROR(VLOOKUP(A1332,'[2]UPDATE BILL 2018'!$G:$P,10,0),IFERROR(VLOOKUP(A1332,'[2]UPDATE BILL 2018'!$H:$P,9,0),IFERROR(VLOOKUP(A1332,'[2]UPDATE BILL 2018'!$I:$P,8,0),VLOOKUP(A1332,'[2]UPDATE BILL 2018'!$B:$P,15,0)))))))))</f>
        <v>SITWHPHT174215</v>
      </c>
      <c r="AB1332" s="44">
        <f>IFERROR(VLOOKUP(A1332,'[2]UPDATE BILL 2018'!$B:$T,19,0),IFERROR(VLOOKUP(A1332,'[2]UPDATE BILL 2018'!$C:$T,18,0),IFERROR(VLOOKUP(A1332,'[2]UPDATE BILL 2018'!$D:$T,17,0),IFERROR(VLOOKUP(A1332,'[2]UPDATE BILL 2018'!$E:$T,16,0),IFERROR(VLOOKUP(A1332,'[2]UPDATE BILL 2018'!$F:$T,15,0),IFERROR(VLOOKUP(A1332,'[2]UPDATE BILL 2018'!$G:$T,14,0),IFERROR(VLOOKUP(A1332,'[2]UPDATE BILL 2018'!$H:$T,13,0),IFERROR(VLOOKUP(A1332,'[2]UPDATE BILL 2018'!$I:$T,12,0),VLOOKUP(A1332,'[2]UPDATE BILL 2018'!$B:$T,19,0)))))))))</f>
        <v>43325</v>
      </c>
      <c r="AC1332" s="44" t="str">
        <f>IFERROR(VLOOKUP(A1332,'[2]UPDATE BILL 2018'!$B:$V,21,0),IFERROR(VLOOKUP(A1332,'[2]UPDATE BILL 2018'!$C:$V,20,0),IFERROR(VLOOKUP(A1332,'[2]UPDATE BILL 2018'!$D:$V,19,0),IFERROR(VLOOKUP(A1332,'[2]UPDATE BILL 2018'!$E:$V,18,0),IFERROR(VLOOKUP(A1332,'[2]UPDATE BILL 2018'!$F:$V,17,0),IFERROR(VLOOKUP(A1332,'[2]UPDATE BILL 2018'!$G:$V,16,0),IFERROR(VLOOKUP(A1332,'[2]UPDATE BILL 2018'!$H:$V,15,0),IFERROR(VLOOKUP(A1332,'[2]UPDATE BILL 2018'!$I:$V,14,0),VLOOKUP(A1332,'[2]UPDATE BILL 2018'!$B:$V,21,0)))))))))</f>
        <v>EPONYMA 1821N</v>
      </c>
      <c r="AD1332" s="14" t="s">
        <v>52</v>
      </c>
      <c r="AE1332" s="24" t="s">
        <v>3438</v>
      </c>
      <c r="AF1332" s="25" t="s">
        <v>2173</v>
      </c>
      <c r="AG1332" t="e">
        <f t="shared" si="109"/>
        <v>#N/A</v>
      </c>
      <c r="AI1332" s="58"/>
    </row>
    <row r="1333" spans="1:35" ht="15.75" customHeight="1">
      <c r="A1333" s="6" t="s">
        <v>3426</v>
      </c>
      <c r="D1333" s="7">
        <f t="shared" si="104"/>
        <v>0</v>
      </c>
      <c r="E1333" s="7">
        <v>0</v>
      </c>
      <c r="F1333" s="5">
        <v>0</v>
      </c>
      <c r="G1333" s="7">
        <v>0</v>
      </c>
      <c r="H1333" s="5">
        <v>0</v>
      </c>
      <c r="I1333" s="7">
        <v>0</v>
      </c>
      <c r="J1333" s="7">
        <v>0</v>
      </c>
      <c r="K1333" s="5">
        <v>0</v>
      </c>
      <c r="L1333" s="5">
        <v>0</v>
      </c>
      <c r="M1333" s="5">
        <v>0</v>
      </c>
      <c r="N1333" s="7">
        <f t="shared" si="105"/>
        <v>0</v>
      </c>
      <c r="O1333" s="7">
        <v>0</v>
      </c>
      <c r="P1333" s="7">
        <v>0</v>
      </c>
      <c r="Q1333" s="5">
        <v>0</v>
      </c>
      <c r="R1333" s="5">
        <v>220</v>
      </c>
      <c r="S1333" s="7">
        <v>30251</v>
      </c>
      <c r="T1333" s="12">
        <v>43322</v>
      </c>
      <c r="U1333" s="4">
        <v>2</v>
      </c>
      <c r="V1333" s="4">
        <v>9</v>
      </c>
      <c r="W1333" s="4">
        <v>9</v>
      </c>
      <c r="X1333" s="45">
        <f t="shared" si="106"/>
        <v>30251</v>
      </c>
      <c r="Y1333" s="14" t="s">
        <v>54</v>
      </c>
      <c r="Z1333" s="14" t="s">
        <v>59</v>
      </c>
      <c r="AA1333" s="14" t="str">
        <f>IFERROR(VLOOKUP(A1333,'[2]UPDATE BILL 2018'!$B:$P,15,0),IFERROR(VLOOKUP(A1333,'[2]UPDATE BILL 2018'!$C:$P,14,0),IFERROR(VLOOKUP(A1333,'[2]UPDATE BILL 2018'!$D:$P,13,0),IFERROR(VLOOKUP(A1333,'[2]UPDATE BILL 2018'!$E:$P,12,0),IFERROR(VLOOKUP(A1333,'[2]UPDATE BILL 2018'!$F:$P,11,0),IFERROR(VLOOKUP(A1333,'[2]UPDATE BILL 2018'!$G:$P,10,0),IFERROR(VLOOKUP(A1333,'[2]UPDATE BILL 2018'!$H:$P,9,0),IFERROR(VLOOKUP(A1333,'[2]UPDATE BILL 2018'!$I:$P,8,0),VLOOKUP(A1333,'[2]UPDATE BILL 2018'!$B:$P,15,0)))))))))</f>
        <v>SITWHPOS174213</v>
      </c>
      <c r="AB1333" s="44">
        <f>IFERROR(VLOOKUP(A1333,'[2]UPDATE BILL 2018'!$B:$T,19,0),IFERROR(VLOOKUP(A1333,'[2]UPDATE BILL 2018'!$C:$T,18,0),IFERROR(VLOOKUP(A1333,'[2]UPDATE BILL 2018'!$D:$T,17,0),IFERROR(VLOOKUP(A1333,'[2]UPDATE BILL 2018'!$E:$T,16,0),IFERROR(VLOOKUP(A1333,'[2]UPDATE BILL 2018'!$F:$T,15,0),IFERROR(VLOOKUP(A1333,'[2]UPDATE BILL 2018'!$G:$T,14,0),IFERROR(VLOOKUP(A1333,'[2]UPDATE BILL 2018'!$H:$T,13,0),IFERROR(VLOOKUP(A1333,'[2]UPDATE BILL 2018'!$I:$T,12,0),VLOOKUP(A1333,'[2]UPDATE BILL 2018'!$B:$T,19,0)))))))))</f>
        <v>43325</v>
      </c>
      <c r="AC1333" s="44" t="str">
        <f>IFERROR(VLOOKUP(A1333,'[2]UPDATE BILL 2018'!$B:$V,21,0),IFERROR(VLOOKUP(A1333,'[2]UPDATE BILL 2018'!$C:$V,20,0),IFERROR(VLOOKUP(A1333,'[2]UPDATE BILL 2018'!$D:$V,19,0),IFERROR(VLOOKUP(A1333,'[2]UPDATE BILL 2018'!$E:$V,18,0),IFERROR(VLOOKUP(A1333,'[2]UPDATE BILL 2018'!$F:$V,17,0),IFERROR(VLOOKUP(A1333,'[2]UPDATE BILL 2018'!$G:$V,16,0),IFERROR(VLOOKUP(A1333,'[2]UPDATE BILL 2018'!$H:$V,15,0),IFERROR(VLOOKUP(A1333,'[2]UPDATE BILL 2018'!$I:$V,14,0),VLOOKUP(A1333,'[2]UPDATE BILL 2018'!$B:$V,21,0)))))))))</f>
        <v>EPONYMA 1821N</v>
      </c>
      <c r="AD1333" s="14" t="s">
        <v>51</v>
      </c>
      <c r="AE1333" s="24" t="s">
        <v>3439</v>
      </c>
      <c r="AF1333" s="25" t="s">
        <v>2150</v>
      </c>
      <c r="AG1333" t="e">
        <f t="shared" si="109"/>
        <v>#N/A</v>
      </c>
      <c r="AI1333" s="58"/>
    </row>
    <row r="1334" spans="1:35" ht="15.75" customHeight="1">
      <c r="A1334" s="6" t="s">
        <v>3427</v>
      </c>
      <c r="D1334" s="7">
        <f t="shared" si="104"/>
        <v>0</v>
      </c>
      <c r="E1334" s="7">
        <v>0</v>
      </c>
      <c r="F1334" s="5">
        <v>0</v>
      </c>
      <c r="G1334" s="7">
        <v>0</v>
      </c>
      <c r="H1334" s="5">
        <v>0</v>
      </c>
      <c r="I1334" s="7">
        <v>0</v>
      </c>
      <c r="J1334" s="7">
        <v>0</v>
      </c>
      <c r="K1334" s="5">
        <v>0</v>
      </c>
      <c r="L1334" s="5">
        <v>0</v>
      </c>
      <c r="M1334" s="5">
        <v>0</v>
      </c>
      <c r="N1334" s="7">
        <f t="shared" si="105"/>
        <v>0</v>
      </c>
      <c r="O1334" s="7">
        <v>0</v>
      </c>
      <c r="P1334" s="7">
        <v>0</v>
      </c>
      <c r="Q1334" s="5">
        <v>0</v>
      </c>
      <c r="R1334" s="5">
        <v>96</v>
      </c>
      <c r="S1334" s="7">
        <v>17801</v>
      </c>
      <c r="T1334" s="12">
        <v>43322</v>
      </c>
      <c r="U1334" s="4">
        <v>1</v>
      </c>
      <c r="V1334" s="4">
        <v>9</v>
      </c>
      <c r="W1334" s="4">
        <v>9</v>
      </c>
      <c r="X1334" s="45">
        <f t="shared" si="106"/>
        <v>17801</v>
      </c>
      <c r="Y1334" s="14" t="s">
        <v>54</v>
      </c>
      <c r="Z1334" s="14" t="s">
        <v>57</v>
      </c>
      <c r="AA1334" s="14" t="str">
        <f>IFERROR(VLOOKUP(A1334,'[2]UPDATE BILL 2018'!$B:$P,15,0),IFERROR(VLOOKUP(A1334,'[2]UPDATE BILL 2018'!$C:$P,14,0),IFERROR(VLOOKUP(A1334,'[2]UPDATE BILL 2018'!$D:$P,13,0),IFERROR(VLOOKUP(A1334,'[2]UPDATE BILL 2018'!$E:$P,12,0),IFERROR(VLOOKUP(A1334,'[2]UPDATE BILL 2018'!$F:$P,11,0),IFERROR(VLOOKUP(A1334,'[2]UPDATE BILL 2018'!$G:$P,10,0),IFERROR(VLOOKUP(A1334,'[2]UPDATE BILL 2018'!$H:$P,9,0),IFERROR(VLOOKUP(A1334,'[2]UPDATE BILL 2018'!$I:$P,8,0),VLOOKUP(A1334,'[2]UPDATE BILL 2018'!$B:$P,15,0)))))))))</f>
        <v>SITWHPKW174196</v>
      </c>
      <c r="AB1334" s="44">
        <f>IFERROR(VLOOKUP(A1334,'[2]UPDATE BILL 2018'!$B:$T,19,0),IFERROR(VLOOKUP(A1334,'[2]UPDATE BILL 2018'!$C:$T,18,0),IFERROR(VLOOKUP(A1334,'[2]UPDATE BILL 2018'!$D:$T,17,0),IFERROR(VLOOKUP(A1334,'[2]UPDATE BILL 2018'!$E:$T,16,0),IFERROR(VLOOKUP(A1334,'[2]UPDATE BILL 2018'!$F:$T,15,0),IFERROR(VLOOKUP(A1334,'[2]UPDATE BILL 2018'!$G:$T,14,0),IFERROR(VLOOKUP(A1334,'[2]UPDATE BILL 2018'!$H:$T,13,0),IFERROR(VLOOKUP(A1334,'[2]UPDATE BILL 2018'!$I:$T,12,0),VLOOKUP(A1334,'[2]UPDATE BILL 2018'!$B:$T,19,0)))))))))</f>
        <v>43324</v>
      </c>
      <c r="AC1334" s="44" t="str">
        <f>IFERROR(VLOOKUP(A1334,'[2]UPDATE BILL 2018'!$B:$V,21,0),IFERROR(VLOOKUP(A1334,'[2]UPDATE BILL 2018'!$C:$V,20,0),IFERROR(VLOOKUP(A1334,'[2]UPDATE BILL 2018'!$D:$V,19,0),IFERROR(VLOOKUP(A1334,'[2]UPDATE BILL 2018'!$E:$V,18,0),IFERROR(VLOOKUP(A1334,'[2]UPDATE BILL 2018'!$F:$V,17,0),IFERROR(VLOOKUP(A1334,'[2]UPDATE BILL 2018'!$G:$V,16,0),IFERROR(VLOOKUP(A1334,'[2]UPDATE BILL 2018'!$H:$V,15,0),IFERROR(VLOOKUP(A1334,'[2]UPDATE BILL 2018'!$I:$V,14,0),VLOOKUP(A1334,'[2]UPDATE BILL 2018'!$B:$V,21,0)))))))))</f>
        <v>SITC OSAKA 1823N</v>
      </c>
      <c r="AD1334" s="14" t="s">
        <v>50</v>
      </c>
      <c r="AE1334" s="24" t="s">
        <v>3440</v>
      </c>
      <c r="AF1334" s="25" t="s">
        <v>2151</v>
      </c>
      <c r="AG1334" t="e">
        <f t="shared" si="109"/>
        <v>#N/A</v>
      </c>
      <c r="AI1334" s="58"/>
    </row>
    <row r="1335" spans="1:35" ht="15.75" customHeight="1">
      <c r="A1335" s="6" t="s">
        <v>3442</v>
      </c>
      <c r="D1335" s="7">
        <f t="shared" si="104"/>
        <v>0</v>
      </c>
      <c r="E1335" s="7">
        <v>0</v>
      </c>
      <c r="F1335" s="5">
        <v>0</v>
      </c>
      <c r="G1335" s="7">
        <v>0</v>
      </c>
      <c r="H1335" s="5">
        <v>429</v>
      </c>
      <c r="I1335" s="7">
        <v>55007.140000000014</v>
      </c>
      <c r="J1335" s="7">
        <v>0</v>
      </c>
      <c r="K1335" s="5">
        <v>0</v>
      </c>
      <c r="L1335" s="5">
        <v>0</v>
      </c>
      <c r="M1335" s="5">
        <v>0</v>
      </c>
      <c r="N1335" s="7">
        <f t="shared" si="105"/>
        <v>0</v>
      </c>
      <c r="O1335" s="7">
        <v>0</v>
      </c>
      <c r="P1335" s="7">
        <v>0</v>
      </c>
      <c r="Q1335" s="5">
        <v>0</v>
      </c>
      <c r="S1335" s="7">
        <v>0</v>
      </c>
      <c r="T1335" s="12">
        <v>43325</v>
      </c>
      <c r="U1335" s="4">
        <v>4</v>
      </c>
      <c r="V1335" s="4">
        <v>9</v>
      </c>
      <c r="W1335" s="4">
        <v>9</v>
      </c>
      <c r="X1335" s="45">
        <f t="shared" si="106"/>
        <v>55007.140000000014</v>
      </c>
      <c r="Y1335" s="14" t="s">
        <v>54</v>
      </c>
      <c r="Z1335" s="14" t="s">
        <v>2525</v>
      </c>
      <c r="AA1335" s="14" t="str">
        <f>IFERROR(VLOOKUP(A1335,'[2]UPDATE BILL 2018'!$B:$P,15,0),IFERROR(VLOOKUP(A1335,'[2]UPDATE BILL 2018'!$C:$P,14,0),IFERROR(VLOOKUP(A1335,'[2]UPDATE BILL 2018'!$D:$P,13,0),IFERROR(VLOOKUP(A1335,'[2]UPDATE BILL 2018'!$E:$P,12,0),IFERROR(VLOOKUP(A1335,'[2]UPDATE BILL 2018'!$F:$P,11,0),IFERROR(VLOOKUP(A1335,'[2]UPDATE BILL 2018'!$G:$P,10,0),IFERROR(VLOOKUP(A1335,'[2]UPDATE BILL 2018'!$H:$P,9,0),IFERROR(VLOOKUP(A1335,'[2]UPDATE BILL 2018'!$I:$P,8,0),VLOOKUP(A1335,'[2]UPDATE BILL 2018'!$B:$P,15,0)))))))))</f>
        <v>SITWHPTK174876</v>
      </c>
      <c r="AB1335" s="44">
        <f>IFERROR(VLOOKUP(A1335,'[2]UPDATE BILL 2018'!$B:$T,19,0),IFERROR(VLOOKUP(A1335,'[2]UPDATE BILL 2018'!$C:$T,18,0),IFERROR(VLOOKUP(A1335,'[2]UPDATE BILL 2018'!$D:$T,17,0),IFERROR(VLOOKUP(A1335,'[2]UPDATE BILL 2018'!$E:$T,16,0),IFERROR(VLOOKUP(A1335,'[2]UPDATE BILL 2018'!$F:$T,15,0),IFERROR(VLOOKUP(A1335,'[2]UPDATE BILL 2018'!$G:$T,14,0),IFERROR(VLOOKUP(A1335,'[2]UPDATE BILL 2018'!$H:$T,13,0),IFERROR(VLOOKUP(A1335,'[2]UPDATE BILL 2018'!$I:$T,12,0),VLOOKUP(A1335,'[2]UPDATE BILL 2018'!$B:$T,19,0)))))))))</f>
        <v>43328</v>
      </c>
      <c r="AC1335" s="44" t="str">
        <f>IFERROR(VLOOKUP(A1335,'[2]UPDATE BILL 2018'!$B:$V,21,0),IFERROR(VLOOKUP(A1335,'[2]UPDATE BILL 2018'!$C:$V,20,0),IFERROR(VLOOKUP(A1335,'[2]UPDATE BILL 2018'!$D:$V,19,0),IFERROR(VLOOKUP(A1335,'[2]UPDATE BILL 2018'!$E:$V,18,0),IFERROR(VLOOKUP(A1335,'[2]UPDATE BILL 2018'!$F:$V,17,0),IFERROR(VLOOKUP(A1335,'[2]UPDATE BILL 2018'!$G:$V,16,0),IFERROR(VLOOKUP(A1335,'[2]UPDATE BILL 2018'!$H:$V,15,0),IFERROR(VLOOKUP(A1335,'[2]UPDATE BILL 2018'!$I:$V,14,0),VLOOKUP(A1335,'[2]UPDATE BILL 2018'!$B:$V,21,0)))))))))</f>
        <v>AVRA C 1823N</v>
      </c>
      <c r="AD1335" s="14" t="s">
        <v>49</v>
      </c>
      <c r="AE1335" s="24" t="s">
        <v>3453</v>
      </c>
      <c r="AF1335" s="25" t="str">
        <f t="shared" ref="AF1335:AF1343" si="110">+LEFT(AE1335,2)</f>
        <v>VK</v>
      </c>
      <c r="AG1335" t="e">
        <f t="shared" si="109"/>
        <v>#REF!</v>
      </c>
      <c r="AI1335" s="58"/>
    </row>
    <row r="1336" spans="1:35" ht="15.75" customHeight="1">
      <c r="A1336" s="6" t="s">
        <v>3443</v>
      </c>
      <c r="D1336" s="7">
        <f t="shared" si="104"/>
        <v>0</v>
      </c>
      <c r="E1336" s="7">
        <v>0</v>
      </c>
      <c r="F1336" s="5">
        <v>0</v>
      </c>
      <c r="G1336" s="7">
        <v>0</v>
      </c>
      <c r="H1336" s="5">
        <v>384</v>
      </c>
      <c r="I1336" s="7">
        <v>44118.3</v>
      </c>
      <c r="J1336" s="7">
        <v>0</v>
      </c>
      <c r="K1336" s="5">
        <v>0</v>
      </c>
      <c r="L1336" s="5">
        <v>0</v>
      </c>
      <c r="M1336" s="5">
        <v>0</v>
      </c>
      <c r="N1336" s="7">
        <f t="shared" si="105"/>
        <v>0</v>
      </c>
      <c r="O1336" s="7">
        <v>0</v>
      </c>
      <c r="P1336" s="7">
        <v>0</v>
      </c>
      <c r="Q1336" s="5">
        <v>0</v>
      </c>
      <c r="S1336" s="7">
        <v>0</v>
      </c>
      <c r="T1336" s="12">
        <v>43325</v>
      </c>
      <c r="U1336" s="4">
        <v>3</v>
      </c>
      <c r="V1336" s="4">
        <v>9</v>
      </c>
      <c r="W1336" s="4">
        <v>9</v>
      </c>
      <c r="X1336" s="45">
        <f t="shared" si="106"/>
        <v>44118.3</v>
      </c>
      <c r="Y1336" s="14" t="s">
        <v>56</v>
      </c>
      <c r="Z1336" s="14" t="s">
        <v>59</v>
      </c>
      <c r="AA1336" s="14" t="str">
        <f>IFERROR(VLOOKUP(A1336,'[2]UPDATE BILL 2018'!$B:$P,15,0),IFERROR(VLOOKUP(A1336,'[2]UPDATE BILL 2018'!$C:$P,14,0),IFERROR(VLOOKUP(A1336,'[2]UPDATE BILL 2018'!$D:$P,13,0),IFERROR(VLOOKUP(A1336,'[2]UPDATE BILL 2018'!$E:$P,12,0),IFERROR(VLOOKUP(A1336,'[2]UPDATE BILL 2018'!$F:$P,11,0),IFERROR(VLOOKUP(A1336,'[2]UPDATE BILL 2018'!$G:$P,10,0),IFERROR(VLOOKUP(A1336,'[2]UPDATE BILL 2018'!$H:$P,9,0),IFERROR(VLOOKUP(A1336,'[2]UPDATE BILL 2018'!$I:$P,8,0),VLOOKUP(A1336,'[2]UPDATE BILL 2018'!$B:$P,15,0)))))))))</f>
        <v>1008X04559</v>
      </c>
      <c r="AB1336" s="44">
        <f>IFERROR(VLOOKUP(A1336,'[2]UPDATE BILL 2018'!$B:$T,19,0),IFERROR(VLOOKUP(A1336,'[2]UPDATE BILL 2018'!$C:$T,18,0),IFERROR(VLOOKUP(A1336,'[2]UPDATE BILL 2018'!$D:$T,17,0),IFERROR(VLOOKUP(A1336,'[2]UPDATE BILL 2018'!$E:$T,16,0),IFERROR(VLOOKUP(A1336,'[2]UPDATE BILL 2018'!$F:$T,15,0),IFERROR(VLOOKUP(A1336,'[2]UPDATE BILL 2018'!$G:$T,14,0),IFERROR(VLOOKUP(A1336,'[2]UPDATE BILL 2018'!$H:$T,13,0),IFERROR(VLOOKUP(A1336,'[2]UPDATE BILL 2018'!$I:$T,12,0),VLOOKUP(A1336,'[2]UPDATE BILL 2018'!$B:$T,19,0)))))))))</f>
        <v>43335</v>
      </c>
      <c r="AC1336" s="44" t="str">
        <f>IFERROR(VLOOKUP(A1336,'[2]UPDATE BILL 2018'!$B:$V,21,0),IFERROR(VLOOKUP(A1336,'[2]UPDATE BILL 2018'!$C:$V,20,0),IFERROR(VLOOKUP(A1336,'[2]UPDATE BILL 2018'!$D:$V,19,0),IFERROR(VLOOKUP(A1336,'[2]UPDATE BILL 2018'!$E:$V,18,0),IFERROR(VLOOKUP(A1336,'[2]UPDATE BILL 2018'!$F:$V,17,0),IFERROR(VLOOKUP(A1336,'[2]UPDATE BILL 2018'!$G:$V,16,0),IFERROR(VLOOKUP(A1336,'[2]UPDATE BILL 2018'!$H:$V,15,0),IFERROR(VLOOKUP(A1336,'[2]UPDATE BILL 2018'!$I:$V,14,0),VLOOKUP(A1336,'[2]UPDATE BILL 2018'!$B:$V,21,0)))))))))</f>
        <v>WAN HAI 266 N397</v>
      </c>
      <c r="AD1336" s="14" t="s">
        <v>49</v>
      </c>
      <c r="AE1336" s="24" t="s">
        <v>3454</v>
      </c>
      <c r="AF1336" s="25" t="str">
        <f t="shared" si="110"/>
        <v>VK</v>
      </c>
      <c r="AG1336" t="e">
        <f t="shared" si="109"/>
        <v>#REF!</v>
      </c>
      <c r="AI1336" s="58"/>
    </row>
    <row r="1337" spans="1:35" ht="15.75" customHeight="1">
      <c r="A1337" s="6" t="s">
        <v>3444</v>
      </c>
      <c r="D1337" s="7">
        <f t="shared" si="104"/>
        <v>0</v>
      </c>
      <c r="E1337" s="7">
        <v>0</v>
      </c>
      <c r="F1337" s="5">
        <v>0</v>
      </c>
      <c r="G1337" s="7">
        <v>0</v>
      </c>
      <c r="H1337" s="5">
        <v>95</v>
      </c>
      <c r="I1337" s="7">
        <v>12156.2</v>
      </c>
      <c r="J1337" s="7">
        <v>0</v>
      </c>
      <c r="K1337" s="5">
        <v>0</v>
      </c>
      <c r="L1337" s="5">
        <v>0</v>
      </c>
      <c r="M1337" s="5">
        <v>0</v>
      </c>
      <c r="N1337" s="7">
        <f t="shared" si="105"/>
        <v>0</v>
      </c>
      <c r="O1337" s="7">
        <v>0</v>
      </c>
      <c r="P1337" s="7">
        <v>0</v>
      </c>
      <c r="Q1337" s="5">
        <v>0</v>
      </c>
      <c r="S1337" s="7">
        <v>0</v>
      </c>
      <c r="T1337" s="12">
        <v>43325</v>
      </c>
      <c r="U1337" s="4">
        <v>1</v>
      </c>
      <c r="V1337" s="4">
        <v>9</v>
      </c>
      <c r="W1337" s="4">
        <v>9</v>
      </c>
      <c r="X1337" s="45">
        <f t="shared" si="106"/>
        <v>12156.2</v>
      </c>
      <c r="Y1337" s="14" t="s">
        <v>54</v>
      </c>
      <c r="Z1337" s="14" t="s">
        <v>1637</v>
      </c>
      <c r="AA1337" s="14" t="str">
        <f>IFERROR(VLOOKUP(A1337,'[2]UPDATE BILL 2018'!$B:$P,15,0),IFERROR(VLOOKUP(A1337,'[2]UPDATE BILL 2018'!$C:$P,14,0),IFERROR(VLOOKUP(A1337,'[2]UPDATE BILL 2018'!$D:$P,13,0),IFERROR(VLOOKUP(A1337,'[2]UPDATE BILL 2018'!$E:$P,12,0),IFERROR(VLOOKUP(A1337,'[2]UPDATE BILL 2018'!$F:$P,11,0),IFERROR(VLOOKUP(A1337,'[2]UPDATE BILL 2018'!$G:$P,10,0),IFERROR(VLOOKUP(A1337,'[2]UPDATE BILL 2018'!$H:$P,9,0),IFERROR(VLOOKUP(A1337,'[2]UPDATE BILL 2018'!$I:$P,8,0),VLOOKUP(A1337,'[2]UPDATE BILL 2018'!$B:$P,15,0)))))))))</f>
        <v>SITWHPTK174956</v>
      </c>
      <c r="AB1337" s="44">
        <f>IFERROR(VLOOKUP(A1337,'[2]UPDATE BILL 2018'!$B:$T,19,0),IFERROR(VLOOKUP(A1337,'[2]UPDATE BILL 2018'!$C:$T,18,0),IFERROR(VLOOKUP(A1337,'[2]UPDATE BILL 2018'!$D:$T,17,0),IFERROR(VLOOKUP(A1337,'[2]UPDATE BILL 2018'!$E:$T,16,0),IFERROR(VLOOKUP(A1337,'[2]UPDATE BILL 2018'!$F:$T,15,0),IFERROR(VLOOKUP(A1337,'[2]UPDATE BILL 2018'!$G:$T,14,0),IFERROR(VLOOKUP(A1337,'[2]UPDATE BILL 2018'!$H:$T,13,0),IFERROR(VLOOKUP(A1337,'[2]UPDATE BILL 2018'!$I:$T,12,0),VLOOKUP(A1337,'[2]UPDATE BILL 2018'!$B:$T,19,0)))))))))</f>
        <v>43331</v>
      </c>
      <c r="AC1337" s="44" t="str">
        <f>IFERROR(VLOOKUP(A1337,'[2]UPDATE BILL 2018'!$B:$V,21,0),IFERROR(VLOOKUP(A1337,'[2]UPDATE BILL 2018'!$C:$V,20,0),IFERROR(VLOOKUP(A1337,'[2]UPDATE BILL 2018'!$D:$V,19,0),IFERROR(VLOOKUP(A1337,'[2]UPDATE BILL 2018'!$E:$V,18,0),IFERROR(VLOOKUP(A1337,'[2]UPDATE BILL 2018'!$F:$V,17,0),IFERROR(VLOOKUP(A1337,'[2]UPDATE BILL 2018'!$G:$V,16,0),IFERROR(VLOOKUP(A1337,'[2]UPDATE BILL 2018'!$H:$V,15,0),IFERROR(VLOOKUP(A1337,'[2]UPDATE BILL 2018'!$I:$V,14,0),VLOOKUP(A1337,'[2]UPDATE BILL 2018'!$B:$V,21,0)))))))))</f>
        <v>REFLECTION 1823N</v>
      </c>
      <c r="AD1337" s="14" t="s">
        <v>49</v>
      </c>
      <c r="AE1337" s="24" t="s">
        <v>3455</v>
      </c>
      <c r="AF1337" s="25" t="str">
        <f t="shared" si="110"/>
        <v>VN</v>
      </c>
      <c r="AG1337" t="e">
        <f t="shared" si="109"/>
        <v>#REF!</v>
      </c>
      <c r="AI1337" s="58"/>
    </row>
    <row r="1338" spans="1:35" ht="15.75" customHeight="1">
      <c r="A1338" s="6" t="s">
        <v>3445</v>
      </c>
      <c r="B1338" s="5">
        <v>138</v>
      </c>
      <c r="C1338" s="7">
        <v>13727.300000000001</v>
      </c>
      <c r="D1338" s="7">
        <f t="shared" si="104"/>
        <v>0</v>
      </c>
      <c r="E1338" s="7">
        <v>0</v>
      </c>
      <c r="F1338" s="5">
        <v>0</v>
      </c>
      <c r="G1338" s="7">
        <v>0</v>
      </c>
      <c r="H1338" s="5">
        <v>0</v>
      </c>
      <c r="I1338" s="7">
        <v>0</v>
      </c>
      <c r="J1338" s="7">
        <v>0</v>
      </c>
      <c r="K1338" s="5">
        <v>0</v>
      </c>
      <c r="L1338" s="5">
        <v>0</v>
      </c>
      <c r="M1338" s="5">
        <v>123</v>
      </c>
      <c r="N1338" s="7">
        <f t="shared" si="105"/>
        <v>123</v>
      </c>
      <c r="O1338" s="7">
        <v>20574.7</v>
      </c>
      <c r="P1338" s="7">
        <v>0</v>
      </c>
      <c r="Q1338" s="5">
        <v>0</v>
      </c>
      <c r="S1338" s="7">
        <v>0</v>
      </c>
      <c r="T1338" s="12">
        <v>43325</v>
      </c>
      <c r="U1338" s="4">
        <v>3</v>
      </c>
      <c r="V1338" s="4">
        <v>9</v>
      </c>
      <c r="W1338" s="4">
        <v>9</v>
      </c>
      <c r="X1338" s="45">
        <f t="shared" si="106"/>
        <v>34302</v>
      </c>
      <c r="Y1338" s="14" t="s">
        <v>56</v>
      </c>
      <c r="Z1338" s="14" t="s">
        <v>1355</v>
      </c>
      <c r="AA1338" s="14" t="str">
        <f>IFERROR(VLOOKUP(A1338,'[2]UPDATE BILL 2018'!$B:$P,15,0),IFERROR(VLOOKUP(A1338,'[2]UPDATE BILL 2018'!$C:$P,14,0),IFERROR(VLOOKUP(A1338,'[2]UPDATE BILL 2018'!$D:$P,13,0),IFERROR(VLOOKUP(A1338,'[2]UPDATE BILL 2018'!$E:$P,12,0),IFERROR(VLOOKUP(A1338,'[2]UPDATE BILL 2018'!$F:$P,11,0),IFERROR(VLOOKUP(A1338,'[2]UPDATE BILL 2018'!$G:$P,10,0),IFERROR(VLOOKUP(A1338,'[2]UPDATE BILL 2018'!$H:$P,9,0),IFERROR(VLOOKUP(A1338,'[2]UPDATE BILL 2018'!$I:$P,8,0),VLOOKUP(A1338,'[2]UPDATE BILL 2018'!$B:$P,15,0)))))))))</f>
        <v>1008X04480</v>
      </c>
      <c r="AB1338" s="44">
        <f>IFERROR(VLOOKUP(A1338,'[2]UPDATE BILL 2018'!$B:$T,19,0),IFERROR(VLOOKUP(A1338,'[2]UPDATE BILL 2018'!$C:$T,18,0),IFERROR(VLOOKUP(A1338,'[2]UPDATE BILL 2018'!$D:$T,17,0),IFERROR(VLOOKUP(A1338,'[2]UPDATE BILL 2018'!$E:$T,16,0),IFERROR(VLOOKUP(A1338,'[2]UPDATE BILL 2018'!$F:$T,15,0),IFERROR(VLOOKUP(A1338,'[2]UPDATE BILL 2018'!$G:$T,14,0),IFERROR(VLOOKUP(A1338,'[2]UPDATE BILL 2018'!$H:$T,13,0),IFERROR(VLOOKUP(A1338,'[2]UPDATE BILL 2018'!$I:$T,12,0),VLOOKUP(A1338,'[2]UPDATE BILL 2018'!$B:$T,19,0)))))))))</f>
        <v>43330</v>
      </c>
      <c r="AC1338" s="44" t="str">
        <f>IFERROR(VLOOKUP(A1338,'[2]UPDATE BILL 2018'!$B:$V,21,0),IFERROR(VLOOKUP(A1338,'[2]UPDATE BILL 2018'!$C:$V,20,0),IFERROR(VLOOKUP(A1338,'[2]UPDATE BILL 2018'!$D:$V,19,0),IFERROR(VLOOKUP(A1338,'[2]UPDATE BILL 2018'!$E:$V,18,0),IFERROR(VLOOKUP(A1338,'[2]UPDATE BILL 2018'!$F:$V,17,0),IFERROR(VLOOKUP(A1338,'[2]UPDATE BILL 2018'!$G:$V,16,0),IFERROR(VLOOKUP(A1338,'[2]UPDATE BILL 2018'!$H:$V,15,0),IFERROR(VLOOKUP(A1338,'[2]UPDATE BILL 2018'!$I:$V,14,0),VLOOKUP(A1338,'[2]UPDATE BILL 2018'!$B:$V,21,0)))))))))</f>
        <v xml:space="preserve"> PAOLA N026</v>
      </c>
      <c r="AD1338" s="14" t="s">
        <v>52</v>
      </c>
      <c r="AE1338" s="24" t="s">
        <v>3456</v>
      </c>
      <c r="AF1338" s="25" t="str">
        <f t="shared" si="110"/>
        <v>VQ</v>
      </c>
      <c r="AG1338" t="e">
        <f t="shared" si="109"/>
        <v>#REF!</v>
      </c>
      <c r="AI1338" s="58"/>
    </row>
    <row r="1339" spans="1:35" ht="15.75" customHeight="1">
      <c r="A1339" s="6" t="s">
        <v>3446</v>
      </c>
      <c r="B1339" s="5">
        <v>417</v>
      </c>
      <c r="C1339" s="7">
        <v>39290.750000000007</v>
      </c>
      <c r="D1339" s="7">
        <f t="shared" si="104"/>
        <v>0</v>
      </c>
      <c r="E1339" s="7">
        <v>0</v>
      </c>
      <c r="F1339" s="5">
        <v>0</v>
      </c>
      <c r="G1339" s="7">
        <v>0</v>
      </c>
      <c r="H1339" s="5">
        <v>0</v>
      </c>
      <c r="I1339" s="7">
        <v>0</v>
      </c>
      <c r="J1339" s="7">
        <v>0</v>
      </c>
      <c r="K1339" s="5">
        <v>0</v>
      </c>
      <c r="L1339" s="5">
        <v>0</v>
      </c>
      <c r="M1339" s="5">
        <v>360</v>
      </c>
      <c r="N1339" s="7">
        <f t="shared" si="105"/>
        <v>360</v>
      </c>
      <c r="O1339" s="7">
        <v>53630</v>
      </c>
      <c r="P1339" s="7">
        <v>0</v>
      </c>
      <c r="Q1339" s="5">
        <v>0</v>
      </c>
      <c r="S1339" s="7">
        <v>0</v>
      </c>
      <c r="T1339" s="12">
        <v>43325</v>
      </c>
      <c r="U1339" s="4">
        <v>9</v>
      </c>
      <c r="V1339" s="4">
        <v>9</v>
      </c>
      <c r="W1339" s="4">
        <v>9</v>
      </c>
      <c r="X1339" s="45">
        <f t="shared" si="106"/>
        <v>92920.75</v>
      </c>
      <c r="Y1339" s="14" t="s">
        <v>56</v>
      </c>
      <c r="Z1339" s="14" t="s">
        <v>1281</v>
      </c>
      <c r="AA1339" s="14" t="str">
        <f>IFERROR(VLOOKUP(A1339,'[2]UPDATE BILL 2018'!$B:$P,15,0),IFERROR(VLOOKUP(A1339,'[2]UPDATE BILL 2018'!$C:$P,14,0),IFERROR(VLOOKUP(A1339,'[2]UPDATE BILL 2018'!$D:$P,13,0),IFERROR(VLOOKUP(A1339,'[2]UPDATE BILL 2018'!$E:$P,12,0),IFERROR(VLOOKUP(A1339,'[2]UPDATE BILL 2018'!$F:$P,11,0),IFERROR(VLOOKUP(A1339,'[2]UPDATE BILL 2018'!$G:$P,10,0),IFERROR(VLOOKUP(A1339,'[2]UPDATE BILL 2018'!$H:$P,9,0),IFERROR(VLOOKUP(A1339,'[2]UPDATE BILL 2018'!$I:$P,8,0),VLOOKUP(A1339,'[2]UPDATE BILL 2018'!$B:$P,15,0)))))))))</f>
        <v>1008X04481</v>
      </c>
      <c r="AB1339" s="44">
        <f>IFERROR(VLOOKUP(A1339,'[2]UPDATE BILL 2018'!$B:$T,19,0),IFERROR(VLOOKUP(A1339,'[2]UPDATE BILL 2018'!$C:$T,18,0),IFERROR(VLOOKUP(A1339,'[2]UPDATE BILL 2018'!$D:$T,17,0),IFERROR(VLOOKUP(A1339,'[2]UPDATE BILL 2018'!$E:$T,16,0),IFERROR(VLOOKUP(A1339,'[2]UPDATE BILL 2018'!$F:$T,15,0),IFERROR(VLOOKUP(A1339,'[2]UPDATE BILL 2018'!$G:$T,14,0),IFERROR(VLOOKUP(A1339,'[2]UPDATE BILL 2018'!$H:$T,13,0),IFERROR(VLOOKUP(A1339,'[2]UPDATE BILL 2018'!$I:$T,12,0),VLOOKUP(A1339,'[2]UPDATE BILL 2018'!$B:$T,19,0)))))))))</f>
        <v>43330</v>
      </c>
      <c r="AC1339" s="44" t="str">
        <f>IFERROR(VLOOKUP(A1339,'[2]UPDATE BILL 2018'!$B:$V,21,0),IFERROR(VLOOKUP(A1339,'[2]UPDATE BILL 2018'!$C:$V,20,0),IFERROR(VLOOKUP(A1339,'[2]UPDATE BILL 2018'!$D:$V,19,0),IFERROR(VLOOKUP(A1339,'[2]UPDATE BILL 2018'!$E:$V,18,0),IFERROR(VLOOKUP(A1339,'[2]UPDATE BILL 2018'!$F:$V,17,0),IFERROR(VLOOKUP(A1339,'[2]UPDATE BILL 2018'!$G:$V,16,0),IFERROR(VLOOKUP(A1339,'[2]UPDATE BILL 2018'!$H:$V,15,0),IFERROR(VLOOKUP(A1339,'[2]UPDATE BILL 2018'!$I:$V,14,0),VLOOKUP(A1339,'[2]UPDATE BILL 2018'!$B:$V,21,0)))))))))</f>
        <v xml:space="preserve"> PAOLA N026</v>
      </c>
      <c r="AD1339" s="14" t="s">
        <v>51</v>
      </c>
      <c r="AE1339" s="24" t="s">
        <v>3457</v>
      </c>
      <c r="AF1339" s="25" t="str">
        <f t="shared" si="110"/>
        <v>VS</v>
      </c>
      <c r="AG1339" t="e">
        <f t="shared" si="109"/>
        <v>#REF!</v>
      </c>
      <c r="AI1339" s="58"/>
    </row>
    <row r="1340" spans="1:35" ht="15.75" customHeight="1">
      <c r="A1340" s="6" t="s">
        <v>3447</v>
      </c>
      <c r="B1340" s="5">
        <v>481</v>
      </c>
      <c r="C1340" s="7">
        <v>59989.83</v>
      </c>
      <c r="D1340" s="7">
        <f t="shared" si="104"/>
        <v>0</v>
      </c>
      <c r="E1340" s="7">
        <v>0</v>
      </c>
      <c r="F1340" s="5">
        <v>0</v>
      </c>
      <c r="G1340" s="7">
        <v>0</v>
      </c>
      <c r="H1340" s="5">
        <v>123</v>
      </c>
      <c r="I1340" s="7">
        <v>13890.5</v>
      </c>
      <c r="J1340" s="7">
        <v>0</v>
      </c>
      <c r="K1340" s="5">
        <v>0</v>
      </c>
      <c r="L1340" s="5">
        <v>0</v>
      </c>
      <c r="M1340" s="5">
        <v>61</v>
      </c>
      <c r="N1340" s="7">
        <f t="shared" si="105"/>
        <v>61</v>
      </c>
      <c r="O1340" s="7">
        <v>9683.3000000000029</v>
      </c>
      <c r="P1340" s="7">
        <v>0</v>
      </c>
      <c r="Q1340" s="5">
        <v>0</v>
      </c>
      <c r="S1340" s="7">
        <v>0</v>
      </c>
      <c r="T1340" s="12">
        <v>43325</v>
      </c>
      <c r="U1340" s="4">
        <v>7</v>
      </c>
      <c r="V1340" s="4">
        <v>9</v>
      </c>
      <c r="W1340" s="4">
        <v>9</v>
      </c>
      <c r="X1340" s="45">
        <f t="shared" si="106"/>
        <v>83563.63</v>
      </c>
      <c r="Y1340" s="14" t="s">
        <v>56</v>
      </c>
      <c r="Z1340" s="14" t="s">
        <v>59</v>
      </c>
      <c r="AA1340" s="14" t="str">
        <f>IFERROR(VLOOKUP(A1340,'[2]UPDATE BILL 2018'!$B:$P,15,0),IFERROR(VLOOKUP(A1340,'[2]UPDATE BILL 2018'!$C:$P,14,0),IFERROR(VLOOKUP(A1340,'[2]UPDATE BILL 2018'!$D:$P,13,0),IFERROR(VLOOKUP(A1340,'[2]UPDATE BILL 2018'!$E:$P,12,0),IFERROR(VLOOKUP(A1340,'[2]UPDATE BILL 2018'!$F:$P,11,0),IFERROR(VLOOKUP(A1340,'[2]UPDATE BILL 2018'!$G:$P,10,0),IFERROR(VLOOKUP(A1340,'[2]UPDATE BILL 2018'!$H:$P,9,0),IFERROR(VLOOKUP(A1340,'[2]UPDATE BILL 2018'!$I:$P,8,0),VLOOKUP(A1340,'[2]UPDATE BILL 2018'!$B:$P,15,0)))))))))</f>
        <v>1008X04533</v>
      </c>
      <c r="AB1340" s="44">
        <f>IFERROR(VLOOKUP(A1340,'[2]UPDATE BILL 2018'!$B:$T,19,0),IFERROR(VLOOKUP(A1340,'[2]UPDATE BILL 2018'!$C:$T,18,0),IFERROR(VLOOKUP(A1340,'[2]UPDATE BILL 2018'!$D:$T,17,0),IFERROR(VLOOKUP(A1340,'[2]UPDATE BILL 2018'!$E:$T,16,0),IFERROR(VLOOKUP(A1340,'[2]UPDATE BILL 2018'!$F:$T,15,0),IFERROR(VLOOKUP(A1340,'[2]UPDATE BILL 2018'!$G:$T,14,0),IFERROR(VLOOKUP(A1340,'[2]UPDATE BILL 2018'!$H:$T,13,0),IFERROR(VLOOKUP(A1340,'[2]UPDATE BILL 2018'!$I:$T,12,0),VLOOKUP(A1340,'[2]UPDATE BILL 2018'!$B:$T,19,0)))))))))</f>
        <v>43334</v>
      </c>
      <c r="AC1340" s="44" t="str">
        <f>IFERROR(VLOOKUP(A1340,'[2]UPDATE BILL 2018'!$B:$V,21,0),IFERROR(VLOOKUP(A1340,'[2]UPDATE BILL 2018'!$C:$V,20,0),IFERROR(VLOOKUP(A1340,'[2]UPDATE BILL 2018'!$D:$V,19,0),IFERROR(VLOOKUP(A1340,'[2]UPDATE BILL 2018'!$E:$V,18,0),IFERROR(VLOOKUP(A1340,'[2]UPDATE BILL 2018'!$F:$V,17,0),IFERROR(VLOOKUP(A1340,'[2]UPDATE BILL 2018'!$G:$V,16,0),IFERROR(VLOOKUP(A1340,'[2]UPDATE BILL 2018'!$H:$V,15,0),IFERROR(VLOOKUP(A1340,'[2]UPDATE BILL 2018'!$I:$V,14,0),VLOOKUP(A1340,'[2]UPDATE BILL 2018'!$B:$V,21,0)))))))))</f>
        <v>AS RAFAELA N002</v>
      </c>
      <c r="AD1340" s="14" t="s">
        <v>51</v>
      </c>
      <c r="AE1340" s="24" t="s">
        <v>3458</v>
      </c>
      <c r="AF1340" s="25" t="str">
        <f t="shared" si="110"/>
        <v>VS</v>
      </c>
      <c r="AG1340" t="e">
        <f t="shared" si="109"/>
        <v>#REF!</v>
      </c>
      <c r="AI1340" s="58"/>
    </row>
    <row r="1341" spans="1:35" ht="15.75" customHeight="1">
      <c r="A1341" s="6" t="s">
        <v>3448</v>
      </c>
      <c r="B1341" s="5">
        <v>497</v>
      </c>
      <c r="C1341" s="7">
        <v>46200.800000000003</v>
      </c>
      <c r="D1341" s="7">
        <f t="shared" si="104"/>
        <v>0</v>
      </c>
      <c r="E1341" s="7">
        <v>0</v>
      </c>
      <c r="F1341" s="5">
        <v>0</v>
      </c>
      <c r="G1341" s="7">
        <v>0</v>
      </c>
      <c r="H1341" s="5">
        <v>0</v>
      </c>
      <c r="I1341" s="7">
        <v>0</v>
      </c>
      <c r="J1341" s="7">
        <v>0</v>
      </c>
      <c r="K1341" s="5">
        <v>0</v>
      </c>
      <c r="L1341" s="5">
        <v>0</v>
      </c>
      <c r="M1341" s="5">
        <v>269</v>
      </c>
      <c r="N1341" s="7">
        <f t="shared" si="105"/>
        <v>269</v>
      </c>
      <c r="O1341" s="7">
        <v>28528.100000000002</v>
      </c>
      <c r="P1341" s="7">
        <v>0</v>
      </c>
      <c r="Q1341" s="5">
        <v>0</v>
      </c>
      <c r="S1341" s="7">
        <v>0</v>
      </c>
      <c r="T1341" s="12">
        <v>43325</v>
      </c>
      <c r="U1341" s="4">
        <v>7</v>
      </c>
      <c r="V1341" s="4">
        <v>9</v>
      </c>
      <c r="W1341" s="4">
        <v>9</v>
      </c>
      <c r="X1341" s="45">
        <f t="shared" si="106"/>
        <v>74728.900000000009</v>
      </c>
      <c r="Y1341" s="14" t="s">
        <v>54</v>
      </c>
      <c r="Z1341" s="14" t="s">
        <v>57</v>
      </c>
      <c r="AA1341" s="14" t="str">
        <f>IFERROR(VLOOKUP(A1341,'[2]UPDATE BILL 2018'!$B:$P,15,0),IFERROR(VLOOKUP(A1341,'[2]UPDATE BILL 2018'!$C:$P,14,0),IFERROR(VLOOKUP(A1341,'[2]UPDATE BILL 2018'!$D:$P,13,0),IFERROR(VLOOKUP(A1341,'[2]UPDATE BILL 2018'!$E:$P,12,0),IFERROR(VLOOKUP(A1341,'[2]UPDATE BILL 2018'!$F:$P,11,0),IFERROR(VLOOKUP(A1341,'[2]UPDATE BILL 2018'!$G:$P,10,0),IFERROR(VLOOKUP(A1341,'[2]UPDATE BILL 2018'!$H:$P,9,0),IFERROR(VLOOKUP(A1341,'[2]UPDATE BILL 2018'!$I:$P,8,0),VLOOKUP(A1341,'[2]UPDATE BILL 2018'!$B:$P,15,0)))))))))</f>
        <v>SITWHPKW174198</v>
      </c>
      <c r="AB1341" s="44">
        <f>IFERROR(VLOOKUP(A1341,'[2]UPDATE BILL 2018'!$B:$T,19,0),IFERROR(VLOOKUP(A1341,'[2]UPDATE BILL 2018'!$C:$T,18,0),IFERROR(VLOOKUP(A1341,'[2]UPDATE BILL 2018'!$D:$T,17,0),IFERROR(VLOOKUP(A1341,'[2]UPDATE BILL 2018'!$E:$T,16,0),IFERROR(VLOOKUP(A1341,'[2]UPDATE BILL 2018'!$F:$T,15,0),IFERROR(VLOOKUP(A1341,'[2]UPDATE BILL 2018'!$G:$T,14,0),IFERROR(VLOOKUP(A1341,'[2]UPDATE BILL 2018'!$H:$T,13,0),IFERROR(VLOOKUP(A1341,'[2]UPDATE BILL 2018'!$I:$T,12,0),VLOOKUP(A1341,'[2]UPDATE BILL 2018'!$B:$T,19,0)))))))))</f>
        <v>43328</v>
      </c>
      <c r="AC1341" s="44" t="str">
        <f>IFERROR(VLOOKUP(A1341,'[2]UPDATE BILL 2018'!$B:$V,21,0),IFERROR(VLOOKUP(A1341,'[2]UPDATE BILL 2018'!$C:$V,20,0),IFERROR(VLOOKUP(A1341,'[2]UPDATE BILL 2018'!$D:$V,19,0),IFERROR(VLOOKUP(A1341,'[2]UPDATE BILL 2018'!$E:$V,18,0),IFERROR(VLOOKUP(A1341,'[2]UPDATE BILL 2018'!$F:$V,17,0),IFERROR(VLOOKUP(A1341,'[2]UPDATE BILL 2018'!$G:$V,16,0),IFERROR(VLOOKUP(A1341,'[2]UPDATE BILL 2018'!$H:$V,15,0),IFERROR(VLOOKUP(A1341,'[2]UPDATE BILL 2018'!$I:$V,14,0),VLOOKUP(A1341,'[2]UPDATE BILL 2018'!$B:$V,21,0)))))))))</f>
        <v>AVRA C 1823N</v>
      </c>
      <c r="AD1341" s="14" t="s">
        <v>50</v>
      </c>
      <c r="AE1341" s="24" t="s">
        <v>3459</v>
      </c>
      <c r="AF1341" s="25" t="str">
        <f t="shared" si="110"/>
        <v>VW</v>
      </c>
      <c r="AG1341" t="e">
        <f t="shared" si="109"/>
        <v>#REF!</v>
      </c>
      <c r="AI1341" s="58"/>
    </row>
    <row r="1342" spans="1:35" ht="15.75" customHeight="1">
      <c r="A1342" s="6" t="s">
        <v>3449</v>
      </c>
      <c r="B1342" s="5">
        <v>435</v>
      </c>
      <c r="C1342" s="7">
        <v>44949.97</v>
      </c>
      <c r="D1342" s="7">
        <f t="shared" si="104"/>
        <v>0</v>
      </c>
      <c r="E1342" s="7">
        <v>0</v>
      </c>
      <c r="F1342" s="5">
        <v>0</v>
      </c>
      <c r="G1342" s="7">
        <v>0</v>
      </c>
      <c r="H1342" s="5">
        <v>0</v>
      </c>
      <c r="I1342" s="7">
        <v>0</v>
      </c>
      <c r="J1342" s="7">
        <v>0</v>
      </c>
      <c r="K1342" s="5">
        <v>0</v>
      </c>
      <c r="L1342" s="5">
        <v>0</v>
      </c>
      <c r="M1342" s="5">
        <v>46</v>
      </c>
      <c r="N1342" s="7">
        <f t="shared" si="105"/>
        <v>46</v>
      </c>
      <c r="O1342" s="7">
        <v>10009.300000000001</v>
      </c>
      <c r="P1342" s="7">
        <v>0</v>
      </c>
      <c r="Q1342" s="5">
        <v>0</v>
      </c>
      <c r="S1342" s="7">
        <v>0</v>
      </c>
      <c r="T1342" s="12">
        <v>43325</v>
      </c>
      <c r="U1342" s="4">
        <v>5</v>
      </c>
      <c r="V1342" s="4">
        <v>9</v>
      </c>
      <c r="W1342" s="4">
        <v>9</v>
      </c>
      <c r="X1342" s="45">
        <f t="shared" si="106"/>
        <v>54959.270000000004</v>
      </c>
      <c r="Y1342" s="14" t="s">
        <v>54</v>
      </c>
      <c r="Z1342" s="14" t="s">
        <v>1281</v>
      </c>
      <c r="AA1342" s="14" t="str">
        <f>IFERROR(VLOOKUP(A1342,'[2]UPDATE BILL 2018'!$B:$P,15,0),IFERROR(VLOOKUP(A1342,'[2]UPDATE BILL 2018'!$C:$P,14,0),IFERROR(VLOOKUP(A1342,'[2]UPDATE BILL 2018'!$D:$P,13,0),IFERROR(VLOOKUP(A1342,'[2]UPDATE BILL 2018'!$E:$P,12,0),IFERROR(VLOOKUP(A1342,'[2]UPDATE BILL 2018'!$F:$P,11,0),IFERROR(VLOOKUP(A1342,'[2]UPDATE BILL 2018'!$G:$P,10,0),IFERROR(VLOOKUP(A1342,'[2]UPDATE BILL 2018'!$H:$P,9,0),IFERROR(VLOOKUP(A1342,'[2]UPDATE BILL 2018'!$I:$P,8,0),VLOOKUP(A1342,'[2]UPDATE BILL 2018'!$B:$P,15,0)))))))))</f>
        <v>SITWHPKW175201</v>
      </c>
      <c r="AB1342" s="44">
        <f>IFERROR(VLOOKUP(A1342,'[2]UPDATE BILL 2018'!$B:$T,19,0),IFERROR(VLOOKUP(A1342,'[2]UPDATE BILL 2018'!$C:$T,18,0),IFERROR(VLOOKUP(A1342,'[2]UPDATE BILL 2018'!$D:$T,17,0),IFERROR(VLOOKUP(A1342,'[2]UPDATE BILL 2018'!$E:$T,16,0),IFERROR(VLOOKUP(A1342,'[2]UPDATE BILL 2018'!$F:$T,15,0),IFERROR(VLOOKUP(A1342,'[2]UPDATE BILL 2018'!$G:$T,14,0),IFERROR(VLOOKUP(A1342,'[2]UPDATE BILL 2018'!$H:$T,13,0),IFERROR(VLOOKUP(A1342,'[2]UPDATE BILL 2018'!$I:$T,12,0),VLOOKUP(A1342,'[2]UPDATE BILL 2018'!$B:$T,19,0)))))))))</f>
        <v>43337</v>
      </c>
      <c r="AC1342" s="44" t="str">
        <f>IFERROR(VLOOKUP(A1342,'[2]UPDATE BILL 2018'!$B:$V,21,0),IFERROR(VLOOKUP(A1342,'[2]UPDATE BILL 2018'!$C:$V,20,0),IFERROR(VLOOKUP(A1342,'[2]UPDATE BILL 2018'!$D:$V,19,0),IFERROR(VLOOKUP(A1342,'[2]UPDATE BILL 2018'!$E:$V,18,0),IFERROR(VLOOKUP(A1342,'[2]UPDATE BILL 2018'!$F:$V,17,0),IFERROR(VLOOKUP(A1342,'[2]UPDATE BILL 2018'!$G:$V,16,0),IFERROR(VLOOKUP(A1342,'[2]UPDATE BILL 2018'!$H:$V,15,0),IFERROR(VLOOKUP(A1342,'[2]UPDATE BILL 2018'!$I:$V,14,0),VLOOKUP(A1342,'[2]UPDATE BILL 2018'!$B:$V,21,0)))))))))</f>
        <v>SITC YOKKAICHI 1821N</v>
      </c>
      <c r="AD1342" s="14" t="s">
        <v>50</v>
      </c>
      <c r="AE1342" s="24" t="s">
        <v>3460</v>
      </c>
      <c r="AF1342" s="25" t="str">
        <f t="shared" si="110"/>
        <v>VW</v>
      </c>
      <c r="AG1342" t="e">
        <f t="shared" si="109"/>
        <v>#REF!</v>
      </c>
      <c r="AI1342" s="58"/>
    </row>
    <row r="1343" spans="1:35" ht="15.75" customHeight="1">
      <c r="A1343" s="6" t="s">
        <v>3450</v>
      </c>
      <c r="D1343" s="7">
        <f t="shared" si="104"/>
        <v>0</v>
      </c>
      <c r="E1343" s="7">
        <v>0</v>
      </c>
      <c r="F1343" s="5">
        <v>0</v>
      </c>
      <c r="G1343" s="7">
        <v>0</v>
      </c>
      <c r="H1343" s="5">
        <v>95</v>
      </c>
      <c r="I1343" s="7">
        <v>12156.2</v>
      </c>
      <c r="J1343" s="7">
        <v>0</v>
      </c>
      <c r="K1343" s="5">
        <v>0</v>
      </c>
      <c r="L1343" s="5">
        <v>0</v>
      </c>
      <c r="M1343" s="5">
        <v>0</v>
      </c>
      <c r="N1343" s="7">
        <f t="shared" si="105"/>
        <v>0</v>
      </c>
      <c r="O1343" s="7">
        <v>0</v>
      </c>
      <c r="P1343" s="7">
        <v>0</v>
      </c>
      <c r="Q1343" s="5">
        <v>0</v>
      </c>
      <c r="S1343" s="7">
        <v>0</v>
      </c>
      <c r="T1343" s="12">
        <v>43325</v>
      </c>
      <c r="U1343" s="4">
        <v>1</v>
      </c>
      <c r="V1343" s="4">
        <v>9</v>
      </c>
      <c r="W1343" s="4">
        <v>9</v>
      </c>
      <c r="X1343" s="45">
        <f t="shared" si="106"/>
        <v>12156.2</v>
      </c>
      <c r="Y1343" s="14" t="s">
        <v>54</v>
      </c>
      <c r="Z1343" s="14" t="s">
        <v>2525</v>
      </c>
      <c r="AA1343" s="14" t="str">
        <f>IFERROR(VLOOKUP(A1343,'[2]UPDATE BILL 2018'!$B:$P,15,0),IFERROR(VLOOKUP(A1343,'[2]UPDATE BILL 2018'!$C:$P,14,0),IFERROR(VLOOKUP(A1343,'[2]UPDATE BILL 2018'!$D:$P,13,0),IFERROR(VLOOKUP(A1343,'[2]UPDATE BILL 2018'!$E:$P,12,0),IFERROR(VLOOKUP(A1343,'[2]UPDATE BILL 2018'!$F:$P,11,0),IFERROR(VLOOKUP(A1343,'[2]UPDATE BILL 2018'!$G:$P,10,0),IFERROR(VLOOKUP(A1343,'[2]UPDATE BILL 2018'!$H:$P,9,0),IFERROR(VLOOKUP(A1343,'[2]UPDATE BILL 2018'!$I:$P,8,0),VLOOKUP(A1343,'[2]UPDATE BILL 2018'!$B:$P,15,0)))))))))</f>
        <v>SITWHPTK174956</v>
      </c>
      <c r="AB1343" s="44">
        <f>IFERROR(VLOOKUP(A1343,'[2]UPDATE BILL 2018'!$B:$T,19,0),IFERROR(VLOOKUP(A1343,'[2]UPDATE BILL 2018'!$C:$T,18,0),IFERROR(VLOOKUP(A1343,'[2]UPDATE BILL 2018'!$D:$T,17,0),IFERROR(VLOOKUP(A1343,'[2]UPDATE BILL 2018'!$E:$T,16,0),IFERROR(VLOOKUP(A1343,'[2]UPDATE BILL 2018'!$F:$T,15,0),IFERROR(VLOOKUP(A1343,'[2]UPDATE BILL 2018'!$G:$T,14,0),IFERROR(VLOOKUP(A1343,'[2]UPDATE BILL 2018'!$H:$T,13,0),IFERROR(VLOOKUP(A1343,'[2]UPDATE BILL 2018'!$I:$T,12,0),VLOOKUP(A1343,'[2]UPDATE BILL 2018'!$B:$T,19,0)))))))))</f>
        <v>43331</v>
      </c>
      <c r="AC1343" s="44" t="str">
        <f>IFERROR(VLOOKUP(A1343,'[2]UPDATE BILL 2018'!$B:$V,21,0),IFERROR(VLOOKUP(A1343,'[2]UPDATE BILL 2018'!$C:$V,20,0),IFERROR(VLOOKUP(A1343,'[2]UPDATE BILL 2018'!$D:$V,19,0),IFERROR(VLOOKUP(A1343,'[2]UPDATE BILL 2018'!$E:$V,18,0),IFERROR(VLOOKUP(A1343,'[2]UPDATE BILL 2018'!$F:$V,17,0),IFERROR(VLOOKUP(A1343,'[2]UPDATE BILL 2018'!$G:$V,16,0),IFERROR(VLOOKUP(A1343,'[2]UPDATE BILL 2018'!$H:$V,15,0),IFERROR(VLOOKUP(A1343,'[2]UPDATE BILL 2018'!$I:$V,14,0),VLOOKUP(A1343,'[2]UPDATE BILL 2018'!$B:$V,21,0)))))))))</f>
        <v>REFLECTION 1823N</v>
      </c>
      <c r="AD1343" s="14" t="s">
        <v>49</v>
      </c>
      <c r="AE1343" s="24" t="s">
        <v>3461</v>
      </c>
      <c r="AF1343" s="25" t="str">
        <f t="shared" si="110"/>
        <v>VZ</v>
      </c>
      <c r="AG1343" t="e">
        <f t="shared" si="109"/>
        <v>#REF!</v>
      </c>
      <c r="AI1343" s="58"/>
    </row>
    <row r="1344" spans="1:35" ht="15.75" customHeight="1">
      <c r="A1344" s="6" t="s">
        <v>3451</v>
      </c>
      <c r="D1344" s="7">
        <f t="shared" ref="D1344:D1356" si="111">E1344+F1344</f>
        <v>0</v>
      </c>
      <c r="E1344" s="7">
        <v>0</v>
      </c>
      <c r="F1344" s="5">
        <v>0</v>
      </c>
      <c r="G1344" s="7">
        <v>0</v>
      </c>
      <c r="H1344" s="5">
        <v>0</v>
      </c>
      <c r="I1344" s="7">
        <v>0</v>
      </c>
      <c r="J1344" s="7">
        <v>0</v>
      </c>
      <c r="K1344" s="5">
        <v>0</v>
      </c>
      <c r="L1344" s="5">
        <v>0</v>
      </c>
      <c r="M1344" s="5">
        <v>0</v>
      </c>
      <c r="N1344" s="7">
        <f t="shared" ref="N1344:N1356" si="112">M1344-K1344</f>
        <v>0</v>
      </c>
      <c r="O1344" s="7">
        <v>0</v>
      </c>
      <c r="P1344" s="7">
        <v>0</v>
      </c>
      <c r="Q1344" s="5">
        <v>0</v>
      </c>
      <c r="R1344" s="5">
        <v>165</v>
      </c>
      <c r="S1344" s="7">
        <v>32801</v>
      </c>
      <c r="T1344" s="12">
        <v>43325</v>
      </c>
      <c r="U1344" s="4">
        <v>2</v>
      </c>
      <c r="V1344" s="4">
        <v>9</v>
      </c>
      <c r="W1344" s="4">
        <v>9</v>
      </c>
      <c r="X1344" s="45">
        <f t="shared" ref="X1344:X1356" si="113">+C1344+G1344+I1344+O1344+S1344</f>
        <v>32801</v>
      </c>
      <c r="Y1344" s="14" t="s">
        <v>56</v>
      </c>
      <c r="Z1344" s="14" t="s">
        <v>1355</v>
      </c>
      <c r="AA1344" s="14" t="str">
        <f>IFERROR(VLOOKUP(A1344,'[2]UPDATE BILL 2018'!$B:$P,15,0),IFERROR(VLOOKUP(A1344,'[2]UPDATE BILL 2018'!$C:$P,14,0),IFERROR(VLOOKUP(A1344,'[2]UPDATE BILL 2018'!$D:$P,13,0),IFERROR(VLOOKUP(A1344,'[2]UPDATE BILL 2018'!$E:$P,12,0),IFERROR(VLOOKUP(A1344,'[2]UPDATE BILL 2018'!$F:$P,11,0),IFERROR(VLOOKUP(A1344,'[2]UPDATE BILL 2018'!$G:$P,10,0),IFERROR(VLOOKUP(A1344,'[2]UPDATE BILL 2018'!$H:$P,9,0),IFERROR(VLOOKUP(A1344,'[2]UPDATE BILL 2018'!$I:$P,8,0),VLOOKUP(A1344,'[2]UPDATE BILL 2018'!$B:$P,15,0)))))))))</f>
        <v>1008X04480</v>
      </c>
      <c r="AB1344" s="44">
        <f>IFERROR(VLOOKUP(A1344,'[2]UPDATE BILL 2018'!$B:$T,19,0),IFERROR(VLOOKUP(A1344,'[2]UPDATE BILL 2018'!$C:$T,18,0),IFERROR(VLOOKUP(A1344,'[2]UPDATE BILL 2018'!$D:$T,17,0),IFERROR(VLOOKUP(A1344,'[2]UPDATE BILL 2018'!$E:$T,16,0),IFERROR(VLOOKUP(A1344,'[2]UPDATE BILL 2018'!$F:$T,15,0),IFERROR(VLOOKUP(A1344,'[2]UPDATE BILL 2018'!$G:$T,14,0),IFERROR(VLOOKUP(A1344,'[2]UPDATE BILL 2018'!$H:$T,13,0),IFERROR(VLOOKUP(A1344,'[2]UPDATE BILL 2018'!$I:$T,12,0),VLOOKUP(A1344,'[2]UPDATE BILL 2018'!$B:$T,19,0)))))))))</f>
        <v>43330</v>
      </c>
      <c r="AC1344" s="44" t="str">
        <f>IFERROR(VLOOKUP(A1344,'[2]UPDATE BILL 2018'!$B:$V,21,0),IFERROR(VLOOKUP(A1344,'[2]UPDATE BILL 2018'!$C:$V,20,0),IFERROR(VLOOKUP(A1344,'[2]UPDATE BILL 2018'!$D:$V,19,0),IFERROR(VLOOKUP(A1344,'[2]UPDATE BILL 2018'!$E:$V,18,0),IFERROR(VLOOKUP(A1344,'[2]UPDATE BILL 2018'!$F:$V,17,0),IFERROR(VLOOKUP(A1344,'[2]UPDATE BILL 2018'!$G:$V,16,0),IFERROR(VLOOKUP(A1344,'[2]UPDATE BILL 2018'!$H:$V,15,0),IFERROR(VLOOKUP(A1344,'[2]UPDATE BILL 2018'!$I:$V,14,0),VLOOKUP(A1344,'[2]UPDATE BILL 2018'!$B:$V,21,0)))))))))</f>
        <v xml:space="preserve"> PAOLA N026</v>
      </c>
      <c r="AD1344" s="14" t="s">
        <v>52</v>
      </c>
      <c r="AE1344" s="24" t="s">
        <v>3462</v>
      </c>
      <c r="AF1344" s="25" t="s">
        <v>2173</v>
      </c>
      <c r="AG1344" t="e">
        <f t="shared" si="109"/>
        <v>#N/A</v>
      </c>
      <c r="AI1344" s="58"/>
    </row>
    <row r="1345" spans="1:35" ht="15.75" customHeight="1">
      <c r="A1345" s="6" t="s">
        <v>3452</v>
      </c>
      <c r="D1345" s="7">
        <f t="shared" si="111"/>
        <v>0</v>
      </c>
      <c r="E1345" s="7">
        <v>0</v>
      </c>
      <c r="F1345" s="5">
        <v>0</v>
      </c>
      <c r="G1345" s="7">
        <v>0</v>
      </c>
      <c r="H1345" s="5">
        <v>0</v>
      </c>
      <c r="I1345" s="7">
        <v>0</v>
      </c>
      <c r="J1345" s="7">
        <v>0</v>
      </c>
      <c r="K1345" s="5">
        <v>0</v>
      </c>
      <c r="L1345" s="5">
        <v>0</v>
      </c>
      <c r="M1345" s="5">
        <v>0</v>
      </c>
      <c r="N1345" s="7">
        <f t="shared" si="112"/>
        <v>0</v>
      </c>
      <c r="O1345" s="7">
        <v>0</v>
      </c>
      <c r="P1345" s="7">
        <v>0</v>
      </c>
      <c r="Q1345" s="5">
        <v>0</v>
      </c>
      <c r="R1345" s="5">
        <v>360</v>
      </c>
      <c r="S1345" s="7">
        <v>44655.6</v>
      </c>
      <c r="T1345" s="12">
        <v>43325</v>
      </c>
      <c r="U1345" s="4">
        <v>2</v>
      </c>
      <c r="V1345" s="4">
        <v>9</v>
      </c>
      <c r="W1345" s="4">
        <v>9</v>
      </c>
      <c r="X1345" s="45">
        <f t="shared" si="113"/>
        <v>44655.6</v>
      </c>
      <c r="Y1345" s="14" t="s">
        <v>54</v>
      </c>
      <c r="Z1345" s="14" t="s">
        <v>57</v>
      </c>
      <c r="AA1345" s="14" t="str">
        <f>IFERROR(VLOOKUP(A1345,'[2]UPDATE BILL 2018'!$B:$P,15,0),IFERROR(VLOOKUP(A1345,'[2]UPDATE BILL 2018'!$C:$P,14,0),IFERROR(VLOOKUP(A1345,'[2]UPDATE BILL 2018'!$D:$P,13,0),IFERROR(VLOOKUP(A1345,'[2]UPDATE BILL 2018'!$E:$P,12,0),IFERROR(VLOOKUP(A1345,'[2]UPDATE BILL 2018'!$F:$P,11,0),IFERROR(VLOOKUP(A1345,'[2]UPDATE BILL 2018'!$G:$P,10,0),IFERROR(VLOOKUP(A1345,'[2]UPDATE BILL 2018'!$H:$P,9,0),IFERROR(VLOOKUP(A1345,'[2]UPDATE BILL 2018'!$I:$P,8,0),VLOOKUP(A1345,'[2]UPDATE BILL 2018'!$B:$P,15,0)))))))))</f>
        <v>SITWHPKW174198</v>
      </c>
      <c r="AB1345" s="44">
        <f>IFERROR(VLOOKUP(A1345,'[2]UPDATE BILL 2018'!$B:$T,19,0),IFERROR(VLOOKUP(A1345,'[2]UPDATE BILL 2018'!$C:$T,18,0),IFERROR(VLOOKUP(A1345,'[2]UPDATE BILL 2018'!$D:$T,17,0),IFERROR(VLOOKUP(A1345,'[2]UPDATE BILL 2018'!$E:$T,16,0),IFERROR(VLOOKUP(A1345,'[2]UPDATE BILL 2018'!$F:$T,15,0),IFERROR(VLOOKUP(A1345,'[2]UPDATE BILL 2018'!$G:$T,14,0),IFERROR(VLOOKUP(A1345,'[2]UPDATE BILL 2018'!$H:$T,13,0),IFERROR(VLOOKUP(A1345,'[2]UPDATE BILL 2018'!$I:$T,12,0),VLOOKUP(A1345,'[2]UPDATE BILL 2018'!$B:$T,19,0)))))))))</f>
        <v>43328</v>
      </c>
      <c r="AC1345" s="44" t="str">
        <f>IFERROR(VLOOKUP(A1345,'[2]UPDATE BILL 2018'!$B:$V,21,0),IFERROR(VLOOKUP(A1345,'[2]UPDATE BILL 2018'!$C:$V,20,0),IFERROR(VLOOKUP(A1345,'[2]UPDATE BILL 2018'!$D:$V,19,0),IFERROR(VLOOKUP(A1345,'[2]UPDATE BILL 2018'!$E:$V,18,0),IFERROR(VLOOKUP(A1345,'[2]UPDATE BILL 2018'!$F:$V,17,0),IFERROR(VLOOKUP(A1345,'[2]UPDATE BILL 2018'!$G:$V,16,0),IFERROR(VLOOKUP(A1345,'[2]UPDATE BILL 2018'!$H:$V,15,0),IFERROR(VLOOKUP(A1345,'[2]UPDATE BILL 2018'!$I:$V,14,0),VLOOKUP(A1345,'[2]UPDATE BILL 2018'!$B:$V,21,0)))))))))</f>
        <v>AVRA C 1823N</v>
      </c>
      <c r="AD1345" s="14" t="s">
        <v>50</v>
      </c>
      <c r="AE1345" s="24" t="s">
        <v>3463</v>
      </c>
      <c r="AF1345" s="25" t="s">
        <v>2151</v>
      </c>
      <c r="AG1345" t="e">
        <f t="shared" si="109"/>
        <v>#N/A</v>
      </c>
      <c r="AI1345" s="58"/>
    </row>
    <row r="1346" spans="1:35" ht="15.75" customHeight="1">
      <c r="A1346" s="6" t="s">
        <v>3464</v>
      </c>
      <c r="D1346" s="7">
        <f t="shared" si="111"/>
        <v>0</v>
      </c>
      <c r="E1346" s="7">
        <v>0</v>
      </c>
      <c r="F1346" s="5">
        <v>0</v>
      </c>
      <c r="G1346" s="7">
        <v>0</v>
      </c>
      <c r="H1346" s="5">
        <v>100</v>
      </c>
      <c r="I1346" s="7">
        <v>12411.599999999999</v>
      </c>
      <c r="J1346" s="7">
        <v>0</v>
      </c>
      <c r="K1346" s="5">
        <v>0</v>
      </c>
      <c r="L1346" s="5">
        <v>0</v>
      </c>
      <c r="M1346" s="5">
        <v>0</v>
      </c>
      <c r="N1346" s="7">
        <f t="shared" si="112"/>
        <v>0</v>
      </c>
      <c r="O1346" s="7">
        <v>0</v>
      </c>
      <c r="P1346" s="7">
        <v>0</v>
      </c>
      <c r="Q1346" s="5">
        <v>0</v>
      </c>
      <c r="S1346" s="7">
        <v>0</v>
      </c>
      <c r="T1346" s="12">
        <v>43326</v>
      </c>
      <c r="U1346" s="4">
        <v>1</v>
      </c>
      <c r="V1346" s="4">
        <v>9</v>
      </c>
      <c r="W1346" s="4">
        <v>9</v>
      </c>
      <c r="X1346" s="45">
        <f t="shared" si="113"/>
        <v>12411.599999999999</v>
      </c>
      <c r="Y1346" s="14" t="s">
        <v>1633</v>
      </c>
      <c r="Z1346" s="14" t="s">
        <v>1492</v>
      </c>
      <c r="AA1346" s="14" t="str">
        <f>IFERROR(VLOOKUP(A1346,'[2]UPDATE BILL 2018'!$B:$P,15,0),IFERROR(VLOOKUP(A1346,'[2]UPDATE BILL 2018'!$C:$P,14,0),IFERROR(VLOOKUP(A1346,'[2]UPDATE BILL 2018'!$D:$P,13,0),IFERROR(VLOOKUP(A1346,'[2]UPDATE BILL 2018'!$E:$P,12,0),IFERROR(VLOOKUP(A1346,'[2]UPDATE BILL 2018'!$F:$P,11,0),IFERROR(VLOOKUP(A1346,'[2]UPDATE BILL 2018'!$G:$P,10,0),IFERROR(VLOOKUP(A1346,'[2]UPDATE BILL 2018'!$H:$P,9,0),IFERROR(VLOOKUP(A1346,'[2]UPDATE BILL 2018'!$I:$P,8,0),VLOOKUP(A1346,'[2]UPDATE BILL 2018'!$B:$P,15,0)))))))))</f>
        <v>KMTCHPH0579593</v>
      </c>
      <c r="AB1346" s="44">
        <f>IFERROR(VLOOKUP(A1346,'[2]UPDATE BILL 2018'!$B:$T,19,0),IFERROR(VLOOKUP(A1346,'[2]UPDATE BILL 2018'!$C:$T,18,0),IFERROR(VLOOKUP(A1346,'[2]UPDATE BILL 2018'!$D:$T,17,0),IFERROR(VLOOKUP(A1346,'[2]UPDATE BILL 2018'!$E:$T,16,0),IFERROR(VLOOKUP(A1346,'[2]UPDATE BILL 2018'!$F:$T,15,0),IFERROR(VLOOKUP(A1346,'[2]UPDATE BILL 2018'!$G:$T,14,0),IFERROR(VLOOKUP(A1346,'[2]UPDATE BILL 2018'!$H:$T,13,0),IFERROR(VLOOKUP(A1346,'[2]UPDATE BILL 2018'!$I:$T,12,0),VLOOKUP(A1346,'[2]UPDATE BILL 2018'!$B:$T,19,0)))))))))</f>
        <v>43336</v>
      </c>
      <c r="AC1346" s="44" t="str">
        <f>IFERROR(VLOOKUP(A1346,'[2]UPDATE BILL 2018'!$B:$V,21,0),IFERROR(VLOOKUP(A1346,'[2]UPDATE BILL 2018'!$C:$V,20,0),IFERROR(VLOOKUP(A1346,'[2]UPDATE BILL 2018'!$D:$V,19,0),IFERROR(VLOOKUP(A1346,'[2]UPDATE BILL 2018'!$E:$V,18,0),IFERROR(VLOOKUP(A1346,'[2]UPDATE BILL 2018'!$F:$V,17,0),IFERROR(VLOOKUP(A1346,'[2]UPDATE BILL 2018'!$G:$V,16,0),IFERROR(VLOOKUP(A1346,'[2]UPDATE BILL 2018'!$H:$V,15,0),IFERROR(VLOOKUP(A1346,'[2]UPDATE BILL 2018'!$I:$V,14,0),VLOOKUP(A1346,'[2]UPDATE BILL 2018'!$B:$V,21,0)))))))))</f>
        <v>SUNNY IRIS 1823N</v>
      </c>
      <c r="AD1346" s="14" t="s">
        <v>70</v>
      </c>
      <c r="AE1346" s="24" t="s">
        <v>3474</v>
      </c>
      <c r="AF1346" s="25" t="str">
        <f t="shared" ref="AF1346:AF1352" si="114">+LEFT(AE1346,2)</f>
        <v>VH</v>
      </c>
      <c r="AG1346" t="e">
        <f t="shared" si="109"/>
        <v>#REF!</v>
      </c>
      <c r="AI1346" s="58"/>
    </row>
    <row r="1347" spans="1:35" ht="15.75" customHeight="1">
      <c r="A1347" s="6" t="s">
        <v>3465</v>
      </c>
      <c r="D1347" s="7">
        <f t="shared" si="111"/>
        <v>0</v>
      </c>
      <c r="E1347" s="7">
        <v>0</v>
      </c>
      <c r="F1347" s="5">
        <v>0</v>
      </c>
      <c r="G1347" s="7">
        <v>0</v>
      </c>
      <c r="H1347" s="5">
        <v>93</v>
      </c>
      <c r="I1347" s="7">
        <v>12344.989999999998</v>
      </c>
      <c r="J1347" s="7">
        <v>0</v>
      </c>
      <c r="K1347" s="5">
        <v>0</v>
      </c>
      <c r="L1347" s="5">
        <v>0</v>
      </c>
      <c r="M1347" s="5">
        <v>0</v>
      </c>
      <c r="N1347" s="7">
        <f t="shared" si="112"/>
        <v>0</v>
      </c>
      <c r="O1347" s="7">
        <v>0</v>
      </c>
      <c r="P1347" s="7">
        <v>0</v>
      </c>
      <c r="Q1347" s="5">
        <v>0</v>
      </c>
      <c r="S1347" s="7">
        <v>0</v>
      </c>
      <c r="T1347" s="12">
        <v>43326</v>
      </c>
      <c r="U1347" s="4">
        <v>1</v>
      </c>
      <c r="V1347" s="4">
        <v>9</v>
      </c>
      <c r="W1347" s="4">
        <v>9</v>
      </c>
      <c r="X1347" s="45">
        <f t="shared" si="113"/>
        <v>12344.989999999998</v>
      </c>
      <c r="Y1347" s="14" t="s">
        <v>54</v>
      </c>
      <c r="Z1347" s="14" t="s">
        <v>1355</v>
      </c>
      <c r="AA1347" s="14" t="str">
        <f>IFERROR(VLOOKUP(A1347,'[2]UPDATE BILL 2018'!$B:$P,15,0),IFERROR(VLOOKUP(A1347,'[2]UPDATE BILL 2018'!$C:$P,14,0),IFERROR(VLOOKUP(A1347,'[2]UPDATE BILL 2018'!$D:$P,13,0),IFERROR(VLOOKUP(A1347,'[2]UPDATE BILL 2018'!$E:$P,12,0),IFERROR(VLOOKUP(A1347,'[2]UPDATE BILL 2018'!$F:$P,11,0),IFERROR(VLOOKUP(A1347,'[2]UPDATE BILL 2018'!$G:$P,10,0),IFERROR(VLOOKUP(A1347,'[2]UPDATE BILL 2018'!$H:$P,9,0),IFERROR(VLOOKUP(A1347,'[2]UPDATE BILL 2018'!$I:$P,8,0),VLOOKUP(A1347,'[2]UPDATE BILL 2018'!$B:$P,15,0)))))))))</f>
        <v>SITWHPTK174961</v>
      </c>
      <c r="AB1347" s="44">
        <f>IFERROR(VLOOKUP(A1347,'[2]UPDATE BILL 2018'!$B:$T,19,0),IFERROR(VLOOKUP(A1347,'[2]UPDATE BILL 2018'!$C:$T,18,0),IFERROR(VLOOKUP(A1347,'[2]UPDATE BILL 2018'!$D:$T,17,0),IFERROR(VLOOKUP(A1347,'[2]UPDATE BILL 2018'!$E:$T,16,0),IFERROR(VLOOKUP(A1347,'[2]UPDATE BILL 2018'!$F:$T,15,0),IFERROR(VLOOKUP(A1347,'[2]UPDATE BILL 2018'!$G:$T,14,0),IFERROR(VLOOKUP(A1347,'[2]UPDATE BILL 2018'!$H:$T,13,0),IFERROR(VLOOKUP(A1347,'[2]UPDATE BILL 2018'!$I:$T,12,0),VLOOKUP(A1347,'[2]UPDATE BILL 2018'!$B:$T,19,0)))))))))</f>
        <v>43331</v>
      </c>
      <c r="AC1347" s="44" t="str">
        <f>IFERROR(VLOOKUP(A1347,'[2]UPDATE BILL 2018'!$B:$V,21,0),IFERROR(VLOOKUP(A1347,'[2]UPDATE BILL 2018'!$C:$V,20,0),IFERROR(VLOOKUP(A1347,'[2]UPDATE BILL 2018'!$D:$V,19,0),IFERROR(VLOOKUP(A1347,'[2]UPDATE BILL 2018'!$E:$V,18,0),IFERROR(VLOOKUP(A1347,'[2]UPDATE BILL 2018'!$F:$V,17,0),IFERROR(VLOOKUP(A1347,'[2]UPDATE BILL 2018'!$G:$V,16,0),IFERROR(VLOOKUP(A1347,'[2]UPDATE BILL 2018'!$H:$V,15,0),IFERROR(VLOOKUP(A1347,'[2]UPDATE BILL 2018'!$I:$V,14,0),VLOOKUP(A1347,'[2]UPDATE BILL 2018'!$B:$V,21,0)))))))))</f>
        <v>REFLECTION 1823N</v>
      </c>
      <c r="AD1347" s="14" t="s">
        <v>49</v>
      </c>
      <c r="AE1347" s="24" t="s">
        <v>3475</v>
      </c>
      <c r="AF1347" s="25" t="str">
        <f t="shared" si="114"/>
        <v>VK</v>
      </c>
      <c r="AG1347" t="e">
        <f t="shared" si="109"/>
        <v>#REF!</v>
      </c>
      <c r="AI1347" s="58"/>
    </row>
    <row r="1348" spans="1:35" ht="15.75" customHeight="1">
      <c r="A1348" s="6" t="s">
        <v>3466</v>
      </c>
      <c r="D1348" s="7">
        <f t="shared" si="111"/>
        <v>0</v>
      </c>
      <c r="E1348" s="7">
        <v>0</v>
      </c>
      <c r="F1348" s="5">
        <v>0</v>
      </c>
      <c r="G1348" s="7">
        <v>0</v>
      </c>
      <c r="H1348" s="5">
        <v>100</v>
      </c>
      <c r="I1348" s="7">
        <v>12307.05</v>
      </c>
      <c r="J1348" s="7">
        <v>0</v>
      </c>
      <c r="K1348" s="5">
        <v>0</v>
      </c>
      <c r="L1348" s="5">
        <v>0</v>
      </c>
      <c r="M1348" s="5">
        <v>0</v>
      </c>
      <c r="N1348" s="7">
        <f t="shared" si="112"/>
        <v>0</v>
      </c>
      <c r="O1348" s="7">
        <v>0</v>
      </c>
      <c r="P1348" s="7">
        <v>0</v>
      </c>
      <c r="Q1348" s="5">
        <v>0</v>
      </c>
      <c r="S1348" s="7">
        <v>0</v>
      </c>
      <c r="T1348" s="12">
        <v>43326</v>
      </c>
      <c r="U1348" s="4">
        <v>1</v>
      </c>
      <c r="V1348" s="4">
        <v>9</v>
      </c>
      <c r="W1348" s="4">
        <v>9</v>
      </c>
      <c r="X1348" s="45">
        <f t="shared" si="113"/>
        <v>12307.05</v>
      </c>
      <c r="Y1348" s="14" t="s">
        <v>56</v>
      </c>
      <c r="Z1348" s="14" t="s">
        <v>1355</v>
      </c>
      <c r="AA1348" s="14" t="str">
        <f>IFERROR(VLOOKUP(A1348,'[2]UPDATE BILL 2018'!$B:$P,15,0),IFERROR(VLOOKUP(A1348,'[2]UPDATE BILL 2018'!$C:$P,14,0),IFERROR(VLOOKUP(A1348,'[2]UPDATE BILL 2018'!$D:$P,13,0),IFERROR(VLOOKUP(A1348,'[2]UPDATE BILL 2018'!$E:$P,12,0),IFERROR(VLOOKUP(A1348,'[2]UPDATE BILL 2018'!$F:$P,11,0),IFERROR(VLOOKUP(A1348,'[2]UPDATE BILL 2018'!$G:$P,10,0),IFERROR(VLOOKUP(A1348,'[2]UPDATE BILL 2018'!$H:$P,9,0),IFERROR(VLOOKUP(A1348,'[2]UPDATE BILL 2018'!$I:$P,8,0),VLOOKUP(A1348,'[2]UPDATE BILL 2018'!$B:$P,15,0)))))))))</f>
        <v>1008X04480</v>
      </c>
      <c r="AB1348" s="44">
        <f>IFERROR(VLOOKUP(A1348,'[2]UPDATE BILL 2018'!$B:$T,19,0),IFERROR(VLOOKUP(A1348,'[2]UPDATE BILL 2018'!$C:$T,18,0),IFERROR(VLOOKUP(A1348,'[2]UPDATE BILL 2018'!$D:$T,17,0),IFERROR(VLOOKUP(A1348,'[2]UPDATE BILL 2018'!$E:$T,16,0),IFERROR(VLOOKUP(A1348,'[2]UPDATE BILL 2018'!$F:$T,15,0),IFERROR(VLOOKUP(A1348,'[2]UPDATE BILL 2018'!$G:$T,14,0),IFERROR(VLOOKUP(A1348,'[2]UPDATE BILL 2018'!$H:$T,13,0),IFERROR(VLOOKUP(A1348,'[2]UPDATE BILL 2018'!$I:$T,12,0),VLOOKUP(A1348,'[2]UPDATE BILL 2018'!$B:$T,19,0)))))))))</f>
        <v>43330</v>
      </c>
      <c r="AC1348" s="44" t="str">
        <f>IFERROR(VLOOKUP(A1348,'[2]UPDATE BILL 2018'!$B:$V,21,0),IFERROR(VLOOKUP(A1348,'[2]UPDATE BILL 2018'!$C:$V,20,0),IFERROR(VLOOKUP(A1348,'[2]UPDATE BILL 2018'!$D:$V,19,0),IFERROR(VLOOKUP(A1348,'[2]UPDATE BILL 2018'!$E:$V,18,0),IFERROR(VLOOKUP(A1348,'[2]UPDATE BILL 2018'!$F:$V,17,0),IFERROR(VLOOKUP(A1348,'[2]UPDATE BILL 2018'!$G:$V,16,0),IFERROR(VLOOKUP(A1348,'[2]UPDATE BILL 2018'!$H:$V,15,0),IFERROR(VLOOKUP(A1348,'[2]UPDATE BILL 2018'!$I:$V,14,0),VLOOKUP(A1348,'[2]UPDATE BILL 2018'!$B:$V,21,0)))))))))</f>
        <v xml:space="preserve"> PAOLA N026</v>
      </c>
      <c r="AD1348" s="14" t="s">
        <v>52</v>
      </c>
      <c r="AE1348" s="24" t="s">
        <v>3476</v>
      </c>
      <c r="AF1348" s="25" t="str">
        <f t="shared" si="114"/>
        <v>VQ</v>
      </c>
      <c r="AG1348" t="e">
        <f t="shared" si="109"/>
        <v>#REF!</v>
      </c>
      <c r="AI1348" s="58"/>
    </row>
    <row r="1349" spans="1:35" ht="15.75" customHeight="1">
      <c r="A1349" s="6" t="s">
        <v>3467</v>
      </c>
      <c r="B1349" s="5">
        <v>117</v>
      </c>
      <c r="C1349" s="7">
        <v>22445.300000000003</v>
      </c>
      <c r="D1349" s="7">
        <f t="shared" si="111"/>
        <v>0</v>
      </c>
      <c r="E1349" s="7">
        <v>0</v>
      </c>
      <c r="F1349" s="5">
        <v>0</v>
      </c>
      <c r="G1349" s="7">
        <v>0</v>
      </c>
      <c r="H1349" s="5">
        <v>240</v>
      </c>
      <c r="I1349" s="7">
        <v>28284.410000000003</v>
      </c>
      <c r="J1349" s="7">
        <v>0</v>
      </c>
      <c r="K1349" s="5">
        <v>0</v>
      </c>
      <c r="L1349" s="5">
        <v>0</v>
      </c>
      <c r="M1349" s="5">
        <v>106</v>
      </c>
      <c r="N1349" s="7">
        <f t="shared" si="112"/>
        <v>106</v>
      </c>
      <c r="O1349" s="7">
        <v>19985.899999999994</v>
      </c>
      <c r="P1349" s="7">
        <v>0</v>
      </c>
      <c r="Q1349" s="5">
        <v>0</v>
      </c>
      <c r="S1349" s="7">
        <v>0</v>
      </c>
      <c r="T1349" s="12">
        <v>43326</v>
      </c>
      <c r="U1349" s="4">
        <v>6</v>
      </c>
      <c r="V1349" s="4">
        <v>9</v>
      </c>
      <c r="W1349" s="4">
        <v>9</v>
      </c>
      <c r="X1349" s="45">
        <f t="shared" si="113"/>
        <v>70715.61</v>
      </c>
      <c r="Y1349" s="14" t="s">
        <v>56</v>
      </c>
      <c r="Z1349" s="14" t="s">
        <v>1281</v>
      </c>
      <c r="AA1349" s="14" t="str">
        <f>IFERROR(VLOOKUP(A1349,'[2]UPDATE BILL 2018'!$B:$P,15,0),IFERROR(VLOOKUP(A1349,'[2]UPDATE BILL 2018'!$C:$P,14,0),IFERROR(VLOOKUP(A1349,'[2]UPDATE BILL 2018'!$D:$P,13,0),IFERROR(VLOOKUP(A1349,'[2]UPDATE BILL 2018'!$E:$P,12,0),IFERROR(VLOOKUP(A1349,'[2]UPDATE BILL 2018'!$F:$P,11,0),IFERROR(VLOOKUP(A1349,'[2]UPDATE BILL 2018'!$G:$P,10,0),IFERROR(VLOOKUP(A1349,'[2]UPDATE BILL 2018'!$H:$P,9,0),IFERROR(VLOOKUP(A1349,'[2]UPDATE BILL 2018'!$I:$P,8,0),VLOOKUP(A1349,'[2]UPDATE BILL 2018'!$B:$P,15,0)))))))))</f>
        <v>1008X04481</v>
      </c>
      <c r="AB1349" s="44">
        <f>IFERROR(VLOOKUP(A1349,'[2]UPDATE BILL 2018'!$B:$T,19,0),IFERROR(VLOOKUP(A1349,'[2]UPDATE BILL 2018'!$C:$T,18,0),IFERROR(VLOOKUP(A1349,'[2]UPDATE BILL 2018'!$D:$T,17,0),IFERROR(VLOOKUP(A1349,'[2]UPDATE BILL 2018'!$E:$T,16,0),IFERROR(VLOOKUP(A1349,'[2]UPDATE BILL 2018'!$F:$T,15,0),IFERROR(VLOOKUP(A1349,'[2]UPDATE BILL 2018'!$G:$T,14,0),IFERROR(VLOOKUP(A1349,'[2]UPDATE BILL 2018'!$H:$T,13,0),IFERROR(VLOOKUP(A1349,'[2]UPDATE BILL 2018'!$I:$T,12,0),VLOOKUP(A1349,'[2]UPDATE BILL 2018'!$B:$T,19,0)))))))))</f>
        <v>43330</v>
      </c>
      <c r="AC1349" s="44" t="str">
        <f>IFERROR(VLOOKUP(A1349,'[2]UPDATE BILL 2018'!$B:$V,21,0),IFERROR(VLOOKUP(A1349,'[2]UPDATE BILL 2018'!$C:$V,20,0),IFERROR(VLOOKUP(A1349,'[2]UPDATE BILL 2018'!$D:$V,19,0),IFERROR(VLOOKUP(A1349,'[2]UPDATE BILL 2018'!$E:$V,18,0),IFERROR(VLOOKUP(A1349,'[2]UPDATE BILL 2018'!$F:$V,17,0),IFERROR(VLOOKUP(A1349,'[2]UPDATE BILL 2018'!$G:$V,16,0),IFERROR(VLOOKUP(A1349,'[2]UPDATE BILL 2018'!$H:$V,15,0),IFERROR(VLOOKUP(A1349,'[2]UPDATE BILL 2018'!$I:$V,14,0),VLOOKUP(A1349,'[2]UPDATE BILL 2018'!$B:$V,21,0)))))))))</f>
        <v xml:space="preserve"> PAOLA N026</v>
      </c>
      <c r="AD1349" s="14" t="s">
        <v>51</v>
      </c>
      <c r="AE1349" s="24" t="s">
        <v>3477</v>
      </c>
      <c r="AF1349" s="25" t="str">
        <f t="shared" si="114"/>
        <v>VS</v>
      </c>
      <c r="AG1349" t="e">
        <f t="shared" si="109"/>
        <v>#REF!</v>
      </c>
      <c r="AI1349" s="58"/>
    </row>
    <row r="1350" spans="1:35" ht="15.75" customHeight="1">
      <c r="A1350" s="6" t="s">
        <v>3468</v>
      </c>
      <c r="B1350" s="5">
        <v>897</v>
      </c>
      <c r="C1350" s="7">
        <v>111121.28999999996</v>
      </c>
      <c r="D1350" s="7">
        <f t="shared" si="111"/>
        <v>0</v>
      </c>
      <c r="E1350" s="7">
        <v>0</v>
      </c>
      <c r="F1350" s="5">
        <v>0</v>
      </c>
      <c r="G1350" s="7">
        <v>0</v>
      </c>
      <c r="H1350" s="5">
        <v>140</v>
      </c>
      <c r="I1350" s="7">
        <v>15919.8</v>
      </c>
      <c r="J1350" s="7">
        <v>0</v>
      </c>
      <c r="K1350" s="5">
        <v>0</v>
      </c>
      <c r="L1350" s="5">
        <v>0</v>
      </c>
      <c r="M1350" s="5">
        <v>224</v>
      </c>
      <c r="N1350" s="7">
        <f t="shared" si="112"/>
        <v>224</v>
      </c>
      <c r="O1350" s="7">
        <v>28122.05</v>
      </c>
      <c r="P1350" s="7">
        <v>0</v>
      </c>
      <c r="Q1350" s="5">
        <v>0</v>
      </c>
      <c r="S1350" s="7">
        <v>0</v>
      </c>
      <c r="T1350" s="12">
        <v>43326</v>
      </c>
      <c r="U1350" s="4">
        <v>13</v>
      </c>
      <c r="V1350" s="4">
        <v>9</v>
      </c>
      <c r="W1350" s="4">
        <v>9</v>
      </c>
      <c r="X1350" s="45">
        <f t="shared" si="113"/>
        <v>155163.13999999996</v>
      </c>
      <c r="Y1350" s="14" t="s">
        <v>56</v>
      </c>
      <c r="Z1350" s="14" t="s">
        <v>57</v>
      </c>
      <c r="AA1350" s="14" t="str">
        <f>IFERROR(VLOOKUP(A1350,'[2]UPDATE BILL 2018'!$B:$P,15,0),IFERROR(VLOOKUP(A1350,'[2]UPDATE BILL 2018'!$C:$P,14,0),IFERROR(VLOOKUP(A1350,'[2]UPDATE BILL 2018'!$D:$P,13,0),IFERROR(VLOOKUP(A1350,'[2]UPDATE BILL 2018'!$E:$P,12,0),IFERROR(VLOOKUP(A1350,'[2]UPDATE BILL 2018'!$F:$P,11,0),IFERROR(VLOOKUP(A1350,'[2]UPDATE BILL 2018'!$G:$P,10,0),IFERROR(VLOOKUP(A1350,'[2]UPDATE BILL 2018'!$H:$P,9,0),IFERROR(VLOOKUP(A1350,'[2]UPDATE BILL 2018'!$I:$P,8,0),VLOOKUP(A1350,'[2]UPDATE BILL 2018'!$B:$P,15,0)))))))))</f>
        <v>1008X04533</v>
      </c>
      <c r="AB1350" s="44">
        <f>IFERROR(VLOOKUP(A1350,'[2]UPDATE BILL 2018'!$B:$T,19,0),IFERROR(VLOOKUP(A1350,'[2]UPDATE BILL 2018'!$C:$T,18,0),IFERROR(VLOOKUP(A1350,'[2]UPDATE BILL 2018'!$D:$T,17,0),IFERROR(VLOOKUP(A1350,'[2]UPDATE BILL 2018'!$E:$T,16,0),IFERROR(VLOOKUP(A1350,'[2]UPDATE BILL 2018'!$F:$T,15,0),IFERROR(VLOOKUP(A1350,'[2]UPDATE BILL 2018'!$G:$T,14,0),IFERROR(VLOOKUP(A1350,'[2]UPDATE BILL 2018'!$H:$T,13,0),IFERROR(VLOOKUP(A1350,'[2]UPDATE BILL 2018'!$I:$T,12,0),VLOOKUP(A1350,'[2]UPDATE BILL 2018'!$B:$T,19,0)))))))))</f>
        <v>43334</v>
      </c>
      <c r="AC1350" s="44" t="str">
        <f>IFERROR(VLOOKUP(A1350,'[2]UPDATE BILL 2018'!$B:$V,21,0),IFERROR(VLOOKUP(A1350,'[2]UPDATE BILL 2018'!$C:$V,20,0),IFERROR(VLOOKUP(A1350,'[2]UPDATE BILL 2018'!$D:$V,19,0),IFERROR(VLOOKUP(A1350,'[2]UPDATE BILL 2018'!$E:$V,18,0),IFERROR(VLOOKUP(A1350,'[2]UPDATE BILL 2018'!$F:$V,17,0),IFERROR(VLOOKUP(A1350,'[2]UPDATE BILL 2018'!$G:$V,16,0),IFERROR(VLOOKUP(A1350,'[2]UPDATE BILL 2018'!$H:$V,15,0),IFERROR(VLOOKUP(A1350,'[2]UPDATE BILL 2018'!$I:$V,14,0),VLOOKUP(A1350,'[2]UPDATE BILL 2018'!$B:$V,21,0)))))))))</f>
        <v>AS RAFAELA N002</v>
      </c>
      <c r="AD1350" s="14" t="s">
        <v>51</v>
      </c>
      <c r="AE1350" s="24" t="s">
        <v>3478</v>
      </c>
      <c r="AF1350" s="25" t="str">
        <f t="shared" si="114"/>
        <v>VS</v>
      </c>
      <c r="AG1350" t="e">
        <f t="shared" si="109"/>
        <v>#REF!</v>
      </c>
      <c r="AI1350" s="58"/>
    </row>
    <row r="1351" spans="1:35" ht="15.75" customHeight="1">
      <c r="A1351" s="6" t="s">
        <v>3469</v>
      </c>
      <c r="B1351" s="5">
        <v>294</v>
      </c>
      <c r="C1351" s="7">
        <v>37349.849999999991</v>
      </c>
      <c r="D1351" s="7">
        <f t="shared" si="111"/>
        <v>0</v>
      </c>
      <c r="E1351" s="7">
        <v>0</v>
      </c>
      <c r="F1351" s="5">
        <v>0</v>
      </c>
      <c r="G1351" s="7">
        <v>0</v>
      </c>
      <c r="H1351" s="5">
        <v>0</v>
      </c>
      <c r="I1351" s="7">
        <v>0</v>
      </c>
      <c r="J1351" s="7">
        <v>0</v>
      </c>
      <c r="K1351" s="5">
        <v>0</v>
      </c>
      <c r="L1351" s="5">
        <v>0</v>
      </c>
      <c r="M1351" s="5">
        <v>127</v>
      </c>
      <c r="N1351" s="7">
        <f t="shared" si="112"/>
        <v>127</v>
      </c>
      <c r="O1351" s="7">
        <v>20716.299999999992</v>
      </c>
      <c r="P1351" s="7">
        <v>0</v>
      </c>
      <c r="Q1351" s="5">
        <v>0</v>
      </c>
      <c r="S1351" s="7">
        <v>0</v>
      </c>
      <c r="T1351" s="12">
        <v>43326</v>
      </c>
      <c r="U1351" s="4">
        <v>5</v>
      </c>
      <c r="V1351" s="4">
        <v>9</v>
      </c>
      <c r="W1351" s="4">
        <v>9</v>
      </c>
      <c r="X1351" s="45">
        <f t="shared" si="113"/>
        <v>58066.14999999998</v>
      </c>
      <c r="Y1351" s="14" t="s">
        <v>54</v>
      </c>
      <c r="Z1351" s="14" t="s">
        <v>59</v>
      </c>
      <c r="AA1351" s="14" t="str">
        <f>IFERROR(VLOOKUP(A1351,'[2]UPDATE BILL 2018'!$B:$P,15,0),IFERROR(VLOOKUP(A1351,'[2]UPDATE BILL 2018'!$C:$P,14,0),IFERROR(VLOOKUP(A1351,'[2]UPDATE BILL 2018'!$D:$P,13,0),IFERROR(VLOOKUP(A1351,'[2]UPDATE BILL 2018'!$E:$P,12,0),IFERROR(VLOOKUP(A1351,'[2]UPDATE BILL 2018'!$F:$P,11,0),IFERROR(VLOOKUP(A1351,'[2]UPDATE BILL 2018'!$G:$P,10,0),IFERROR(VLOOKUP(A1351,'[2]UPDATE BILL 2018'!$H:$P,9,0),IFERROR(VLOOKUP(A1351,'[2]UPDATE BILL 2018'!$I:$P,8,0),VLOOKUP(A1351,'[2]UPDATE BILL 2018'!$B:$P,15,0)))))))))</f>
        <v>SITWHPKW174968</v>
      </c>
      <c r="AB1351" s="44">
        <f>IFERROR(VLOOKUP(A1351,'[2]UPDATE BILL 2018'!$B:$T,19,0),IFERROR(VLOOKUP(A1351,'[2]UPDATE BILL 2018'!$C:$T,18,0),IFERROR(VLOOKUP(A1351,'[2]UPDATE BILL 2018'!$D:$T,17,0),IFERROR(VLOOKUP(A1351,'[2]UPDATE BILL 2018'!$E:$T,16,0),IFERROR(VLOOKUP(A1351,'[2]UPDATE BILL 2018'!$F:$T,15,0),IFERROR(VLOOKUP(A1351,'[2]UPDATE BILL 2018'!$G:$T,14,0),IFERROR(VLOOKUP(A1351,'[2]UPDATE BILL 2018'!$H:$T,13,0),IFERROR(VLOOKUP(A1351,'[2]UPDATE BILL 2018'!$I:$T,12,0),VLOOKUP(A1351,'[2]UPDATE BILL 2018'!$B:$T,19,0)))))))))</f>
        <v>43331</v>
      </c>
      <c r="AC1351" s="44" t="str">
        <f>IFERROR(VLOOKUP(A1351,'[2]UPDATE BILL 2018'!$B:$V,21,0),IFERROR(VLOOKUP(A1351,'[2]UPDATE BILL 2018'!$C:$V,20,0),IFERROR(VLOOKUP(A1351,'[2]UPDATE BILL 2018'!$D:$V,19,0),IFERROR(VLOOKUP(A1351,'[2]UPDATE BILL 2018'!$E:$V,18,0),IFERROR(VLOOKUP(A1351,'[2]UPDATE BILL 2018'!$F:$V,17,0),IFERROR(VLOOKUP(A1351,'[2]UPDATE BILL 2018'!$G:$V,16,0),IFERROR(VLOOKUP(A1351,'[2]UPDATE BILL 2018'!$H:$V,15,0),IFERROR(VLOOKUP(A1351,'[2]UPDATE BILL 2018'!$I:$V,14,0),VLOOKUP(A1351,'[2]UPDATE BILL 2018'!$B:$V,21,0)))))))))</f>
        <v>REFLECTION 1823N</v>
      </c>
      <c r="AD1351" s="14" t="s">
        <v>50</v>
      </c>
      <c r="AE1351" s="24" t="s">
        <v>3479</v>
      </c>
      <c r="AF1351" s="25" t="str">
        <f t="shared" si="114"/>
        <v>VW</v>
      </c>
      <c r="AG1351" t="e">
        <f t="shared" si="109"/>
        <v>#REF!</v>
      </c>
      <c r="AI1351" s="58"/>
    </row>
    <row r="1352" spans="1:35" ht="15.75" customHeight="1">
      <c r="A1352" s="6" t="s">
        <v>3470</v>
      </c>
      <c r="B1352" s="5">
        <v>252</v>
      </c>
      <c r="C1352" s="7">
        <v>24548.3</v>
      </c>
      <c r="D1352" s="7">
        <f t="shared" si="111"/>
        <v>0</v>
      </c>
      <c r="E1352" s="7">
        <v>0</v>
      </c>
      <c r="F1352" s="5">
        <v>0</v>
      </c>
      <c r="G1352" s="7">
        <v>0</v>
      </c>
      <c r="H1352" s="5">
        <v>0</v>
      </c>
      <c r="I1352" s="7">
        <v>0</v>
      </c>
      <c r="J1352" s="7">
        <v>0</v>
      </c>
      <c r="K1352" s="5">
        <v>0</v>
      </c>
      <c r="L1352" s="5">
        <v>0</v>
      </c>
      <c r="M1352" s="5">
        <v>93</v>
      </c>
      <c r="N1352" s="7">
        <f t="shared" si="112"/>
        <v>93</v>
      </c>
      <c r="O1352" s="7">
        <v>17684.900000000001</v>
      </c>
      <c r="P1352" s="7">
        <v>0</v>
      </c>
      <c r="Q1352" s="5">
        <v>0</v>
      </c>
      <c r="S1352" s="7">
        <v>0</v>
      </c>
      <c r="T1352" s="12">
        <v>43326</v>
      </c>
      <c r="U1352" s="4">
        <v>4</v>
      </c>
      <c r="V1352" s="4">
        <v>9</v>
      </c>
      <c r="W1352" s="4">
        <v>9</v>
      </c>
      <c r="X1352" s="45">
        <f t="shared" si="113"/>
        <v>42233.2</v>
      </c>
      <c r="Y1352" s="14" t="s">
        <v>54</v>
      </c>
      <c r="Z1352" s="14" t="s">
        <v>59</v>
      </c>
      <c r="AA1352" s="14" t="str">
        <f>IFERROR(VLOOKUP(A1352,'[2]UPDATE BILL 2018'!$B:$P,15,0),IFERROR(VLOOKUP(A1352,'[2]UPDATE BILL 2018'!$C:$P,14,0),IFERROR(VLOOKUP(A1352,'[2]UPDATE BILL 2018'!$D:$P,13,0),IFERROR(VLOOKUP(A1352,'[2]UPDATE BILL 2018'!$E:$P,12,0),IFERROR(VLOOKUP(A1352,'[2]UPDATE BILL 2018'!$F:$P,11,0),IFERROR(VLOOKUP(A1352,'[2]UPDATE BILL 2018'!$G:$P,10,0),IFERROR(VLOOKUP(A1352,'[2]UPDATE BILL 2018'!$H:$P,9,0),IFERROR(VLOOKUP(A1352,'[2]UPDATE BILL 2018'!$I:$P,8,0),VLOOKUP(A1352,'[2]UPDATE BILL 2018'!$B:$P,15,0)))))))))</f>
        <v>SITWHPKW175201</v>
      </c>
      <c r="AB1352" s="44">
        <f>IFERROR(VLOOKUP(A1352,'[2]UPDATE BILL 2018'!$B:$T,19,0),IFERROR(VLOOKUP(A1352,'[2]UPDATE BILL 2018'!$C:$T,18,0),IFERROR(VLOOKUP(A1352,'[2]UPDATE BILL 2018'!$D:$T,17,0),IFERROR(VLOOKUP(A1352,'[2]UPDATE BILL 2018'!$E:$T,16,0),IFERROR(VLOOKUP(A1352,'[2]UPDATE BILL 2018'!$F:$T,15,0),IFERROR(VLOOKUP(A1352,'[2]UPDATE BILL 2018'!$G:$T,14,0),IFERROR(VLOOKUP(A1352,'[2]UPDATE BILL 2018'!$H:$T,13,0),IFERROR(VLOOKUP(A1352,'[2]UPDATE BILL 2018'!$I:$T,12,0),VLOOKUP(A1352,'[2]UPDATE BILL 2018'!$B:$T,19,0)))))))))</f>
        <v>43337</v>
      </c>
      <c r="AC1352" s="44" t="str">
        <f>IFERROR(VLOOKUP(A1352,'[2]UPDATE BILL 2018'!$B:$V,21,0),IFERROR(VLOOKUP(A1352,'[2]UPDATE BILL 2018'!$C:$V,20,0),IFERROR(VLOOKUP(A1352,'[2]UPDATE BILL 2018'!$D:$V,19,0),IFERROR(VLOOKUP(A1352,'[2]UPDATE BILL 2018'!$E:$V,18,0),IFERROR(VLOOKUP(A1352,'[2]UPDATE BILL 2018'!$F:$V,17,0),IFERROR(VLOOKUP(A1352,'[2]UPDATE BILL 2018'!$G:$V,16,0),IFERROR(VLOOKUP(A1352,'[2]UPDATE BILL 2018'!$H:$V,15,0),IFERROR(VLOOKUP(A1352,'[2]UPDATE BILL 2018'!$I:$V,14,0),VLOOKUP(A1352,'[2]UPDATE BILL 2018'!$B:$V,21,0)))))))))</f>
        <v>SITC YOKKAICHI 1821N</v>
      </c>
      <c r="AD1352" s="14" t="s">
        <v>50</v>
      </c>
      <c r="AE1352" s="24" t="s">
        <v>3480</v>
      </c>
      <c r="AF1352" s="25" t="str">
        <f t="shared" si="114"/>
        <v>VW</v>
      </c>
      <c r="AG1352" t="e">
        <f t="shared" si="109"/>
        <v>#REF!</v>
      </c>
      <c r="AI1352" s="58"/>
    </row>
    <row r="1353" spans="1:35" ht="15.75" customHeight="1">
      <c r="A1353" s="6" t="s">
        <v>3471</v>
      </c>
      <c r="D1353" s="7">
        <f t="shared" si="111"/>
        <v>0</v>
      </c>
      <c r="E1353" s="7">
        <v>0</v>
      </c>
      <c r="F1353" s="5">
        <v>0</v>
      </c>
      <c r="G1353" s="7">
        <v>0</v>
      </c>
      <c r="H1353" s="5">
        <v>0</v>
      </c>
      <c r="I1353" s="7">
        <v>0</v>
      </c>
      <c r="J1353" s="7">
        <v>0</v>
      </c>
      <c r="K1353" s="5">
        <v>0</v>
      </c>
      <c r="L1353" s="5">
        <v>0</v>
      </c>
      <c r="M1353" s="5">
        <v>0</v>
      </c>
      <c r="N1353" s="7">
        <f t="shared" si="112"/>
        <v>0</v>
      </c>
      <c r="O1353" s="7">
        <v>0</v>
      </c>
      <c r="P1353" s="7">
        <v>0</v>
      </c>
      <c r="Q1353" s="5">
        <v>0</v>
      </c>
      <c r="R1353" s="5">
        <v>484</v>
      </c>
      <c r="S1353" s="7">
        <v>34078.400000000001</v>
      </c>
      <c r="T1353" s="12">
        <v>43326</v>
      </c>
      <c r="U1353" s="4">
        <v>1</v>
      </c>
      <c r="V1353" s="4">
        <v>9</v>
      </c>
      <c r="W1353" s="4">
        <v>9</v>
      </c>
      <c r="X1353" s="45">
        <f t="shared" si="113"/>
        <v>34078.400000000001</v>
      </c>
      <c r="Y1353" s="14" t="s">
        <v>85</v>
      </c>
      <c r="Z1353" s="14" t="s">
        <v>1355</v>
      </c>
      <c r="AA1353" s="14">
        <f>IFERROR(VLOOKUP(A1353,'[2]UPDATE BILL 2018'!$B:$P,15,0),IFERROR(VLOOKUP(A1353,'[2]UPDATE BILL 2018'!$C:$P,14,0),IFERROR(VLOOKUP(A1353,'[2]UPDATE BILL 2018'!$D:$P,13,0),IFERROR(VLOOKUP(A1353,'[2]UPDATE BILL 2018'!$E:$P,12,0),IFERROR(VLOOKUP(A1353,'[2]UPDATE BILL 2018'!$F:$P,11,0),IFERROR(VLOOKUP(A1353,'[2]UPDATE BILL 2018'!$G:$P,10,0),IFERROR(VLOOKUP(A1353,'[2]UPDATE BILL 2018'!$H:$P,9,0),IFERROR(VLOOKUP(A1353,'[2]UPDATE BILL 2018'!$I:$P,8,0),VLOOKUP(A1353,'[2]UPDATE BILL 2018'!$B:$P,15,0)))))))))</f>
        <v>350810094875</v>
      </c>
      <c r="AB1353" s="44">
        <f>IFERROR(VLOOKUP(A1353,'[2]UPDATE BILL 2018'!$B:$T,19,0),IFERROR(VLOOKUP(A1353,'[2]UPDATE BILL 2018'!$C:$T,18,0),IFERROR(VLOOKUP(A1353,'[2]UPDATE BILL 2018'!$D:$T,17,0),IFERROR(VLOOKUP(A1353,'[2]UPDATE BILL 2018'!$E:$T,16,0),IFERROR(VLOOKUP(A1353,'[2]UPDATE BILL 2018'!$F:$T,15,0),IFERROR(VLOOKUP(A1353,'[2]UPDATE BILL 2018'!$G:$T,14,0),IFERROR(VLOOKUP(A1353,'[2]UPDATE BILL 2018'!$H:$T,13,0),IFERROR(VLOOKUP(A1353,'[2]UPDATE BILL 2018'!$I:$T,12,0),VLOOKUP(A1353,'[2]UPDATE BILL 2018'!$B:$T,19,0)))))))))</f>
        <v>43327</v>
      </c>
      <c r="AC1353" s="44" t="str">
        <f>IFERROR(VLOOKUP(A1353,'[2]UPDATE BILL 2018'!$B:$V,21,0),IFERROR(VLOOKUP(A1353,'[2]UPDATE BILL 2018'!$C:$V,20,0),IFERROR(VLOOKUP(A1353,'[2]UPDATE BILL 2018'!$D:$V,19,0),IFERROR(VLOOKUP(A1353,'[2]UPDATE BILL 2018'!$E:$V,18,0),IFERROR(VLOOKUP(A1353,'[2]UPDATE BILL 2018'!$F:$V,17,0),IFERROR(VLOOKUP(A1353,'[2]UPDATE BILL 2018'!$G:$V,16,0),IFERROR(VLOOKUP(A1353,'[2]UPDATE BILL 2018'!$H:$V,15,0),IFERROR(VLOOKUP(A1353,'[2]UPDATE BILL 2018'!$I:$V,14,0),VLOOKUP(A1353,'[2]UPDATE BILL 2018'!$B:$V,21,0)))))))))</f>
        <v>MARCARRIER 18014N</v>
      </c>
      <c r="AD1353" s="14" t="s">
        <v>49</v>
      </c>
      <c r="AE1353" s="24" t="s">
        <v>3481</v>
      </c>
      <c r="AF1353" s="25" t="s">
        <v>2175</v>
      </c>
      <c r="AG1353" t="e">
        <f t="shared" si="109"/>
        <v>#N/A</v>
      </c>
      <c r="AI1353" s="58"/>
    </row>
    <row r="1354" spans="1:35" ht="15.75" customHeight="1">
      <c r="A1354" s="6" t="s">
        <v>3472</v>
      </c>
      <c r="D1354" s="7">
        <f t="shared" si="111"/>
        <v>0</v>
      </c>
      <c r="E1354" s="7">
        <v>0</v>
      </c>
      <c r="F1354" s="5">
        <v>0</v>
      </c>
      <c r="G1354" s="7">
        <v>0</v>
      </c>
      <c r="H1354" s="5">
        <v>0</v>
      </c>
      <c r="I1354" s="7">
        <v>0</v>
      </c>
      <c r="J1354" s="7">
        <v>0</v>
      </c>
      <c r="K1354" s="5">
        <v>0</v>
      </c>
      <c r="L1354" s="5">
        <v>0</v>
      </c>
      <c r="M1354" s="5">
        <v>0</v>
      </c>
      <c r="N1354" s="7">
        <f t="shared" si="112"/>
        <v>0</v>
      </c>
      <c r="O1354" s="7">
        <v>0</v>
      </c>
      <c r="P1354" s="7">
        <v>0</v>
      </c>
      <c r="Q1354" s="5">
        <v>0</v>
      </c>
      <c r="R1354" s="5">
        <v>284</v>
      </c>
      <c r="S1354" s="7">
        <v>30353.699999999997</v>
      </c>
      <c r="T1354" s="12">
        <v>43326</v>
      </c>
      <c r="U1354" s="4">
        <v>1</v>
      </c>
      <c r="V1354" s="4">
        <v>9</v>
      </c>
      <c r="W1354" s="4">
        <v>9</v>
      </c>
      <c r="X1354" s="45">
        <f t="shared" si="113"/>
        <v>30353.699999999997</v>
      </c>
      <c r="Y1354" s="14" t="s">
        <v>54</v>
      </c>
      <c r="Z1354" s="14" t="s">
        <v>1355</v>
      </c>
      <c r="AA1354" s="14" t="str">
        <f>IFERROR(VLOOKUP(A1354,'[2]UPDATE BILL 2018'!$B:$P,15,0),IFERROR(VLOOKUP(A1354,'[2]UPDATE BILL 2018'!$C:$P,14,0),IFERROR(VLOOKUP(A1354,'[2]UPDATE BILL 2018'!$D:$P,13,0),IFERROR(VLOOKUP(A1354,'[2]UPDATE BILL 2018'!$E:$P,12,0),IFERROR(VLOOKUP(A1354,'[2]UPDATE BILL 2018'!$F:$P,11,0),IFERROR(VLOOKUP(A1354,'[2]UPDATE BILL 2018'!$G:$P,10,0),IFERROR(VLOOKUP(A1354,'[2]UPDATE BILL 2018'!$H:$P,9,0),IFERROR(VLOOKUP(A1354,'[2]UPDATE BILL 2018'!$I:$P,8,0),VLOOKUP(A1354,'[2]UPDATE BILL 2018'!$B:$P,15,0)))))))))</f>
        <v>SITWHPTK174961</v>
      </c>
      <c r="AB1354" s="44">
        <f>IFERROR(VLOOKUP(A1354,'[2]UPDATE BILL 2018'!$B:$T,19,0),IFERROR(VLOOKUP(A1354,'[2]UPDATE BILL 2018'!$C:$T,18,0),IFERROR(VLOOKUP(A1354,'[2]UPDATE BILL 2018'!$D:$T,17,0),IFERROR(VLOOKUP(A1354,'[2]UPDATE BILL 2018'!$E:$T,16,0),IFERROR(VLOOKUP(A1354,'[2]UPDATE BILL 2018'!$F:$T,15,0),IFERROR(VLOOKUP(A1354,'[2]UPDATE BILL 2018'!$G:$T,14,0),IFERROR(VLOOKUP(A1354,'[2]UPDATE BILL 2018'!$H:$T,13,0),IFERROR(VLOOKUP(A1354,'[2]UPDATE BILL 2018'!$I:$T,12,0),VLOOKUP(A1354,'[2]UPDATE BILL 2018'!$B:$T,19,0)))))))))</f>
        <v>43331</v>
      </c>
      <c r="AC1354" s="44" t="str">
        <f>IFERROR(VLOOKUP(A1354,'[2]UPDATE BILL 2018'!$B:$V,21,0),IFERROR(VLOOKUP(A1354,'[2]UPDATE BILL 2018'!$C:$V,20,0),IFERROR(VLOOKUP(A1354,'[2]UPDATE BILL 2018'!$D:$V,19,0),IFERROR(VLOOKUP(A1354,'[2]UPDATE BILL 2018'!$E:$V,18,0),IFERROR(VLOOKUP(A1354,'[2]UPDATE BILL 2018'!$F:$V,17,0),IFERROR(VLOOKUP(A1354,'[2]UPDATE BILL 2018'!$G:$V,16,0),IFERROR(VLOOKUP(A1354,'[2]UPDATE BILL 2018'!$H:$V,15,0),IFERROR(VLOOKUP(A1354,'[2]UPDATE BILL 2018'!$I:$V,14,0),VLOOKUP(A1354,'[2]UPDATE BILL 2018'!$B:$V,21,0)))))))))</f>
        <v>REFLECTION 1823N</v>
      </c>
      <c r="AD1354" s="14" t="s">
        <v>49</v>
      </c>
      <c r="AE1354" s="24" t="s">
        <v>3482</v>
      </c>
      <c r="AF1354" s="25" t="s">
        <v>2175</v>
      </c>
      <c r="AG1354" t="e">
        <f t="shared" si="109"/>
        <v>#N/A</v>
      </c>
      <c r="AI1354" s="58"/>
    </row>
    <row r="1355" spans="1:35" ht="15.75" customHeight="1">
      <c r="A1355" s="6" t="s">
        <v>3473</v>
      </c>
      <c r="D1355" s="7">
        <f t="shared" si="111"/>
        <v>0</v>
      </c>
      <c r="E1355" s="7">
        <v>0</v>
      </c>
      <c r="F1355" s="5">
        <v>0</v>
      </c>
      <c r="G1355" s="7">
        <v>0</v>
      </c>
      <c r="H1355" s="5">
        <v>0</v>
      </c>
      <c r="I1355" s="7">
        <v>0</v>
      </c>
      <c r="J1355" s="7">
        <v>0</v>
      </c>
      <c r="K1355" s="5">
        <v>0</v>
      </c>
      <c r="L1355" s="5">
        <v>0</v>
      </c>
      <c r="M1355" s="5">
        <v>0</v>
      </c>
      <c r="N1355" s="7">
        <f t="shared" si="112"/>
        <v>0</v>
      </c>
      <c r="O1355" s="7">
        <v>0</v>
      </c>
      <c r="P1355" s="7">
        <v>0</v>
      </c>
      <c r="Q1355" s="5">
        <v>0</v>
      </c>
      <c r="R1355" s="5">
        <v>425</v>
      </c>
      <c r="S1355" s="7">
        <v>84979.199999999997</v>
      </c>
      <c r="T1355" s="12">
        <v>43326</v>
      </c>
      <c r="U1355" s="4">
        <v>4</v>
      </c>
      <c r="V1355" s="4">
        <v>9</v>
      </c>
      <c r="W1355" s="4">
        <v>9</v>
      </c>
      <c r="X1355" s="45">
        <f t="shared" si="113"/>
        <v>84979.199999999997</v>
      </c>
      <c r="Y1355" s="14" t="s">
        <v>54</v>
      </c>
      <c r="Z1355" s="14" t="s">
        <v>3376</v>
      </c>
      <c r="AA1355" s="14" t="str">
        <f>IFERROR(VLOOKUP(A1355,'[2]UPDATE BILL 2018'!$B:$P,15,0),IFERROR(VLOOKUP(A1355,'[2]UPDATE BILL 2018'!$C:$P,14,0),IFERROR(VLOOKUP(A1355,'[2]UPDATE BILL 2018'!$D:$P,13,0),IFERROR(VLOOKUP(A1355,'[2]UPDATE BILL 2018'!$E:$P,12,0),IFERROR(VLOOKUP(A1355,'[2]UPDATE BILL 2018'!$F:$P,11,0),IFERROR(VLOOKUP(A1355,'[2]UPDATE BILL 2018'!$G:$P,10,0),IFERROR(VLOOKUP(A1355,'[2]UPDATE BILL 2018'!$H:$P,9,0),IFERROR(VLOOKUP(A1355,'[2]UPDATE BILL 2018'!$I:$P,8,0),VLOOKUP(A1355,'[2]UPDATE BILL 2018'!$B:$P,15,0)))))))))</f>
        <v>SITWHPKW174968</v>
      </c>
      <c r="AB1355" s="44">
        <f>IFERROR(VLOOKUP(A1355,'[2]UPDATE BILL 2018'!$B:$T,19,0),IFERROR(VLOOKUP(A1355,'[2]UPDATE BILL 2018'!$C:$T,18,0),IFERROR(VLOOKUP(A1355,'[2]UPDATE BILL 2018'!$D:$T,17,0),IFERROR(VLOOKUP(A1355,'[2]UPDATE BILL 2018'!$E:$T,16,0),IFERROR(VLOOKUP(A1355,'[2]UPDATE BILL 2018'!$F:$T,15,0),IFERROR(VLOOKUP(A1355,'[2]UPDATE BILL 2018'!$G:$T,14,0),IFERROR(VLOOKUP(A1355,'[2]UPDATE BILL 2018'!$H:$T,13,0),IFERROR(VLOOKUP(A1355,'[2]UPDATE BILL 2018'!$I:$T,12,0),VLOOKUP(A1355,'[2]UPDATE BILL 2018'!$B:$T,19,0)))))))))</f>
        <v>43331</v>
      </c>
      <c r="AC1355" s="44" t="str">
        <f>IFERROR(VLOOKUP(A1355,'[2]UPDATE BILL 2018'!$B:$V,21,0),IFERROR(VLOOKUP(A1355,'[2]UPDATE BILL 2018'!$C:$V,20,0),IFERROR(VLOOKUP(A1355,'[2]UPDATE BILL 2018'!$D:$V,19,0),IFERROR(VLOOKUP(A1355,'[2]UPDATE BILL 2018'!$E:$V,18,0),IFERROR(VLOOKUP(A1355,'[2]UPDATE BILL 2018'!$F:$V,17,0),IFERROR(VLOOKUP(A1355,'[2]UPDATE BILL 2018'!$G:$V,16,0),IFERROR(VLOOKUP(A1355,'[2]UPDATE BILL 2018'!$H:$V,15,0),IFERROR(VLOOKUP(A1355,'[2]UPDATE BILL 2018'!$I:$V,14,0),VLOOKUP(A1355,'[2]UPDATE BILL 2018'!$B:$V,21,0)))))))))</f>
        <v>REFLECTION 1823N</v>
      </c>
      <c r="AD1355" s="14" t="s">
        <v>50</v>
      </c>
      <c r="AE1355" s="24" t="s">
        <v>3483</v>
      </c>
      <c r="AF1355" s="25" t="s">
        <v>2151</v>
      </c>
      <c r="AG1355" t="e">
        <f t="shared" si="109"/>
        <v>#N/A</v>
      </c>
      <c r="AI1355" s="58"/>
    </row>
    <row r="1356" spans="1:35" ht="15.75" customHeight="1">
      <c r="A1356" s="6" t="s">
        <v>3484</v>
      </c>
      <c r="D1356" s="7">
        <f t="shared" si="111"/>
        <v>0</v>
      </c>
      <c r="E1356" s="7">
        <v>0</v>
      </c>
      <c r="F1356" s="5">
        <v>0</v>
      </c>
      <c r="G1356" s="7">
        <v>0</v>
      </c>
      <c r="H1356" s="5">
        <v>135</v>
      </c>
      <c r="I1356" s="7">
        <v>14139.5</v>
      </c>
      <c r="J1356" s="7">
        <v>0</v>
      </c>
      <c r="K1356" s="5">
        <v>0</v>
      </c>
      <c r="L1356" s="5">
        <v>0</v>
      </c>
      <c r="M1356" s="5">
        <v>0</v>
      </c>
      <c r="N1356" s="7">
        <f t="shared" si="112"/>
        <v>0</v>
      </c>
      <c r="O1356" s="7">
        <v>0</v>
      </c>
      <c r="P1356" s="7">
        <v>0</v>
      </c>
      <c r="Q1356" s="5">
        <v>0</v>
      </c>
      <c r="S1356" s="7">
        <v>0</v>
      </c>
      <c r="T1356" s="12">
        <v>43327</v>
      </c>
      <c r="U1356" s="4">
        <v>1</v>
      </c>
      <c r="V1356" s="4">
        <v>9</v>
      </c>
      <c r="W1356" s="4">
        <v>9</v>
      </c>
      <c r="X1356" s="45">
        <f t="shared" si="113"/>
        <v>14139.5</v>
      </c>
      <c r="Y1356" s="14" t="s">
        <v>54</v>
      </c>
      <c r="Z1356" s="14" t="s">
        <v>1355</v>
      </c>
      <c r="AA1356" s="14" t="str">
        <f>IFERROR(VLOOKUP(A1356,'[2]UPDATE BILL 2018'!$B:$P,15,0),IFERROR(VLOOKUP(A1356,'[2]UPDATE BILL 2018'!$C:$P,14,0),IFERROR(VLOOKUP(A1356,'[2]UPDATE BILL 2018'!$D:$P,13,0),IFERROR(VLOOKUP(A1356,'[2]UPDATE BILL 2018'!$E:$P,12,0),IFERROR(VLOOKUP(A1356,'[2]UPDATE BILL 2018'!$F:$P,11,0),IFERROR(VLOOKUP(A1356,'[2]UPDATE BILL 2018'!$G:$P,10,0),IFERROR(VLOOKUP(A1356,'[2]UPDATE BILL 2018'!$H:$P,9,0),IFERROR(VLOOKUP(A1356,'[2]UPDATE BILL 2018'!$I:$P,8,0),VLOOKUP(A1356,'[2]UPDATE BILL 2018'!$B:$P,15,0)))))))))</f>
        <v>SITWHPTK174961</v>
      </c>
      <c r="AB1356" s="44">
        <f>IFERROR(VLOOKUP(A1356,'[2]UPDATE BILL 2018'!$B:$T,19,0),IFERROR(VLOOKUP(A1356,'[2]UPDATE BILL 2018'!$C:$T,18,0),IFERROR(VLOOKUP(A1356,'[2]UPDATE BILL 2018'!$D:$T,17,0),IFERROR(VLOOKUP(A1356,'[2]UPDATE BILL 2018'!$E:$T,16,0),IFERROR(VLOOKUP(A1356,'[2]UPDATE BILL 2018'!$F:$T,15,0),IFERROR(VLOOKUP(A1356,'[2]UPDATE BILL 2018'!$G:$T,14,0),IFERROR(VLOOKUP(A1356,'[2]UPDATE BILL 2018'!$H:$T,13,0),IFERROR(VLOOKUP(A1356,'[2]UPDATE BILL 2018'!$I:$T,12,0),VLOOKUP(A1356,'[2]UPDATE BILL 2018'!$B:$T,19,0)))))))))</f>
        <v>43331</v>
      </c>
      <c r="AC1356" s="44" t="str">
        <f>IFERROR(VLOOKUP(A1356,'[2]UPDATE BILL 2018'!$B:$V,21,0),IFERROR(VLOOKUP(A1356,'[2]UPDATE BILL 2018'!$C:$V,20,0),IFERROR(VLOOKUP(A1356,'[2]UPDATE BILL 2018'!$D:$V,19,0),IFERROR(VLOOKUP(A1356,'[2]UPDATE BILL 2018'!$E:$V,18,0),IFERROR(VLOOKUP(A1356,'[2]UPDATE BILL 2018'!$F:$V,17,0),IFERROR(VLOOKUP(A1356,'[2]UPDATE BILL 2018'!$G:$V,16,0),IFERROR(VLOOKUP(A1356,'[2]UPDATE BILL 2018'!$H:$V,15,0),IFERROR(VLOOKUP(A1356,'[2]UPDATE BILL 2018'!$I:$V,14,0),VLOOKUP(A1356,'[2]UPDATE BILL 2018'!$B:$V,21,0)))))))))</f>
        <v>REFLECTION 1823N</v>
      </c>
      <c r="AD1356" s="14" t="s">
        <v>49</v>
      </c>
      <c r="AE1356" s="24" t="s">
        <v>3496</v>
      </c>
      <c r="AF1356" s="25" t="str">
        <f t="shared" ref="AF1356:AF1363" si="115">+LEFT(AE1356,2)</f>
        <v>VK</v>
      </c>
      <c r="AG1356" t="e">
        <f t="shared" si="109"/>
        <v>#REF!</v>
      </c>
      <c r="AI1356" s="58"/>
    </row>
    <row r="1357" spans="1:35" ht="15.75" customHeight="1">
      <c r="A1357" s="6" t="s">
        <v>3485</v>
      </c>
      <c r="D1357" s="7">
        <f t="shared" ref="D1357:D1420" si="116">E1357+F1357</f>
        <v>0</v>
      </c>
      <c r="E1357" s="7">
        <v>0</v>
      </c>
      <c r="F1357" s="5">
        <v>0</v>
      </c>
      <c r="G1357" s="7">
        <v>0</v>
      </c>
      <c r="H1357" s="5">
        <v>325</v>
      </c>
      <c r="I1357" s="7">
        <v>38512.949999999997</v>
      </c>
      <c r="J1357" s="7">
        <v>0</v>
      </c>
      <c r="K1357" s="5">
        <v>0</v>
      </c>
      <c r="L1357" s="5">
        <v>0</v>
      </c>
      <c r="M1357" s="5">
        <v>0</v>
      </c>
      <c r="N1357" s="7">
        <f t="shared" ref="N1357:N1420" si="117">M1357-K1357</f>
        <v>0</v>
      </c>
      <c r="O1357" s="7">
        <v>0</v>
      </c>
      <c r="P1357" s="7">
        <v>0</v>
      </c>
      <c r="Q1357" s="5">
        <v>0</v>
      </c>
      <c r="S1357" s="7">
        <v>0</v>
      </c>
      <c r="T1357" s="12">
        <v>43327</v>
      </c>
      <c r="U1357" s="4">
        <v>3</v>
      </c>
      <c r="V1357" s="4">
        <v>9</v>
      </c>
      <c r="W1357" s="4">
        <v>9</v>
      </c>
      <c r="X1357" s="45">
        <f t="shared" ref="X1357:X1420" si="118">+C1357+G1357+I1357+O1357+S1357</f>
        <v>38512.949999999997</v>
      </c>
      <c r="Y1357" s="14" t="s">
        <v>54</v>
      </c>
      <c r="Z1357" s="14" t="s">
        <v>59</v>
      </c>
      <c r="AA1357" s="14" t="str">
        <f>IFERROR(VLOOKUP(A1357,'[2]UPDATE BILL 2018'!$B:$P,15,0),IFERROR(VLOOKUP(A1357,'[2]UPDATE BILL 2018'!$C:$P,14,0),IFERROR(VLOOKUP(A1357,'[2]UPDATE BILL 2018'!$D:$P,13,0),IFERROR(VLOOKUP(A1357,'[2]UPDATE BILL 2018'!$E:$P,12,0),IFERROR(VLOOKUP(A1357,'[2]UPDATE BILL 2018'!$F:$P,11,0),IFERROR(VLOOKUP(A1357,'[2]UPDATE BILL 2018'!$G:$P,10,0),IFERROR(VLOOKUP(A1357,'[2]UPDATE BILL 2018'!$H:$P,9,0),IFERROR(VLOOKUP(A1357,'[2]UPDATE BILL 2018'!$I:$P,8,0),VLOOKUP(A1357,'[2]UPDATE BILL 2018'!$B:$P,15,0)))))))))</f>
        <v>SITWHPTK175290</v>
      </c>
      <c r="AB1357" s="44">
        <f>IFERROR(VLOOKUP(A1357,'[2]UPDATE BILL 2018'!$B:$T,19,0),IFERROR(VLOOKUP(A1357,'[2]UPDATE BILL 2018'!$C:$T,18,0),IFERROR(VLOOKUP(A1357,'[2]UPDATE BILL 2018'!$D:$T,17,0),IFERROR(VLOOKUP(A1357,'[2]UPDATE BILL 2018'!$E:$T,16,0),IFERROR(VLOOKUP(A1357,'[2]UPDATE BILL 2018'!$F:$T,15,0),IFERROR(VLOOKUP(A1357,'[2]UPDATE BILL 2018'!$G:$T,14,0),IFERROR(VLOOKUP(A1357,'[2]UPDATE BILL 2018'!$H:$T,13,0),IFERROR(VLOOKUP(A1357,'[2]UPDATE BILL 2018'!$I:$T,12,0),VLOOKUP(A1357,'[2]UPDATE BILL 2018'!$B:$T,19,0)))))))))</f>
        <v>43337</v>
      </c>
      <c r="AC1357" s="44" t="str">
        <f>IFERROR(VLOOKUP(A1357,'[2]UPDATE BILL 2018'!$B:$V,21,0),IFERROR(VLOOKUP(A1357,'[2]UPDATE BILL 2018'!$C:$V,20,0),IFERROR(VLOOKUP(A1357,'[2]UPDATE BILL 2018'!$D:$V,19,0),IFERROR(VLOOKUP(A1357,'[2]UPDATE BILL 2018'!$E:$V,18,0),IFERROR(VLOOKUP(A1357,'[2]UPDATE BILL 2018'!$F:$V,17,0),IFERROR(VLOOKUP(A1357,'[2]UPDATE BILL 2018'!$G:$V,16,0),IFERROR(VLOOKUP(A1357,'[2]UPDATE BILL 2018'!$H:$V,15,0),IFERROR(VLOOKUP(A1357,'[2]UPDATE BILL 2018'!$I:$V,14,0),VLOOKUP(A1357,'[2]UPDATE BILL 2018'!$B:$V,21,0)))))))))</f>
        <v>SITC YOKKAICHI 1821N</v>
      </c>
      <c r="AD1357" s="14" t="s">
        <v>49</v>
      </c>
      <c r="AE1357" s="24" t="s">
        <v>3497</v>
      </c>
      <c r="AF1357" s="25" t="str">
        <f t="shared" si="115"/>
        <v>VK</v>
      </c>
      <c r="AG1357" t="e">
        <f t="shared" si="109"/>
        <v>#REF!</v>
      </c>
      <c r="AI1357" s="58"/>
    </row>
    <row r="1358" spans="1:35" ht="15.75" customHeight="1">
      <c r="A1358" s="6" t="s">
        <v>3486</v>
      </c>
      <c r="B1358" s="5">
        <v>46</v>
      </c>
      <c r="C1358" s="7">
        <v>6031.52</v>
      </c>
      <c r="D1358" s="7">
        <f t="shared" si="116"/>
        <v>0</v>
      </c>
      <c r="E1358" s="7">
        <v>0</v>
      </c>
      <c r="F1358" s="5">
        <v>0</v>
      </c>
      <c r="G1358" s="7">
        <v>0</v>
      </c>
      <c r="H1358" s="5">
        <v>20</v>
      </c>
      <c r="I1358" s="7">
        <v>1919.4</v>
      </c>
      <c r="J1358" s="7">
        <v>0</v>
      </c>
      <c r="K1358" s="5">
        <v>0</v>
      </c>
      <c r="L1358" s="5">
        <v>0</v>
      </c>
      <c r="M1358" s="5">
        <v>18</v>
      </c>
      <c r="N1358" s="7">
        <f t="shared" si="117"/>
        <v>18</v>
      </c>
      <c r="O1358" s="7">
        <v>2929</v>
      </c>
      <c r="P1358" s="7">
        <v>0</v>
      </c>
      <c r="Q1358" s="5">
        <v>0</v>
      </c>
      <c r="S1358" s="7">
        <v>0</v>
      </c>
      <c r="T1358" s="12">
        <v>43327</v>
      </c>
      <c r="U1358" s="4">
        <v>1</v>
      </c>
      <c r="V1358" s="4">
        <v>9</v>
      </c>
      <c r="W1358" s="4">
        <v>9</v>
      </c>
      <c r="X1358" s="45">
        <f t="shared" si="118"/>
        <v>10879.92</v>
      </c>
      <c r="Y1358" s="14" t="s">
        <v>54</v>
      </c>
      <c r="Z1358" s="14" t="s">
        <v>2525</v>
      </c>
      <c r="AA1358" s="14" t="str">
        <f>IFERROR(VLOOKUP(A1358,'[2]UPDATE BILL 2018'!$B:$P,15,0),IFERROR(VLOOKUP(A1358,'[2]UPDATE BILL 2018'!$C:$P,14,0),IFERROR(VLOOKUP(A1358,'[2]UPDATE BILL 2018'!$D:$P,13,0),IFERROR(VLOOKUP(A1358,'[2]UPDATE BILL 2018'!$E:$P,12,0),IFERROR(VLOOKUP(A1358,'[2]UPDATE BILL 2018'!$F:$P,11,0),IFERROR(VLOOKUP(A1358,'[2]UPDATE BILL 2018'!$G:$P,10,0),IFERROR(VLOOKUP(A1358,'[2]UPDATE BILL 2018'!$H:$P,9,0),IFERROR(VLOOKUP(A1358,'[2]UPDATE BILL 2018'!$I:$P,8,0),VLOOKUP(A1358,'[2]UPDATE BILL 2018'!$B:$P,15,0)))))))))</f>
        <v>SITWHPTK174956</v>
      </c>
      <c r="AB1358" s="44">
        <f>IFERROR(VLOOKUP(A1358,'[2]UPDATE BILL 2018'!$B:$T,19,0),IFERROR(VLOOKUP(A1358,'[2]UPDATE BILL 2018'!$C:$T,18,0),IFERROR(VLOOKUP(A1358,'[2]UPDATE BILL 2018'!$D:$T,17,0),IFERROR(VLOOKUP(A1358,'[2]UPDATE BILL 2018'!$E:$T,16,0),IFERROR(VLOOKUP(A1358,'[2]UPDATE BILL 2018'!$F:$T,15,0),IFERROR(VLOOKUP(A1358,'[2]UPDATE BILL 2018'!$G:$T,14,0),IFERROR(VLOOKUP(A1358,'[2]UPDATE BILL 2018'!$H:$T,13,0),IFERROR(VLOOKUP(A1358,'[2]UPDATE BILL 2018'!$I:$T,12,0),VLOOKUP(A1358,'[2]UPDATE BILL 2018'!$B:$T,19,0)))))))))</f>
        <v>43331</v>
      </c>
      <c r="AC1358" s="44" t="str">
        <f>IFERROR(VLOOKUP(A1358,'[2]UPDATE BILL 2018'!$B:$V,21,0),IFERROR(VLOOKUP(A1358,'[2]UPDATE BILL 2018'!$C:$V,20,0),IFERROR(VLOOKUP(A1358,'[2]UPDATE BILL 2018'!$D:$V,19,0),IFERROR(VLOOKUP(A1358,'[2]UPDATE BILL 2018'!$E:$V,18,0),IFERROR(VLOOKUP(A1358,'[2]UPDATE BILL 2018'!$F:$V,17,0),IFERROR(VLOOKUP(A1358,'[2]UPDATE BILL 2018'!$G:$V,16,0),IFERROR(VLOOKUP(A1358,'[2]UPDATE BILL 2018'!$H:$V,15,0),IFERROR(VLOOKUP(A1358,'[2]UPDATE BILL 2018'!$I:$V,14,0),VLOOKUP(A1358,'[2]UPDATE BILL 2018'!$B:$V,21,0)))))))))</f>
        <v>REFLECTION 1823N</v>
      </c>
      <c r="AD1358" s="14" t="s">
        <v>49</v>
      </c>
      <c r="AE1358" s="24" t="s">
        <v>3498</v>
      </c>
      <c r="AF1358" s="25" t="str">
        <f t="shared" si="115"/>
        <v>VN</v>
      </c>
      <c r="AG1358" t="e">
        <f t="shared" si="109"/>
        <v>#REF!</v>
      </c>
      <c r="AI1358" s="58"/>
    </row>
    <row r="1359" spans="1:35" ht="15.75" customHeight="1">
      <c r="A1359" s="6" t="s">
        <v>3487</v>
      </c>
      <c r="B1359" s="5">
        <v>259</v>
      </c>
      <c r="C1359" s="7">
        <v>24496.750000000007</v>
      </c>
      <c r="D1359" s="7">
        <f t="shared" si="116"/>
        <v>0</v>
      </c>
      <c r="E1359" s="7">
        <v>0</v>
      </c>
      <c r="F1359" s="5">
        <v>0</v>
      </c>
      <c r="G1359" s="7">
        <v>0</v>
      </c>
      <c r="H1359" s="5">
        <v>0</v>
      </c>
      <c r="I1359" s="7">
        <v>0</v>
      </c>
      <c r="J1359" s="7">
        <v>0</v>
      </c>
      <c r="K1359" s="5">
        <v>0</v>
      </c>
      <c r="L1359" s="5">
        <v>0</v>
      </c>
      <c r="M1359" s="5">
        <v>0</v>
      </c>
      <c r="N1359" s="7">
        <f t="shared" si="117"/>
        <v>0</v>
      </c>
      <c r="O1359" s="7">
        <v>0</v>
      </c>
      <c r="P1359" s="7">
        <v>0</v>
      </c>
      <c r="Q1359" s="5">
        <v>0</v>
      </c>
      <c r="S1359" s="7">
        <v>0</v>
      </c>
      <c r="T1359" s="12">
        <v>43327</v>
      </c>
      <c r="U1359" s="4">
        <v>2</v>
      </c>
      <c r="V1359" s="4">
        <v>9</v>
      </c>
      <c r="W1359" s="4">
        <v>9</v>
      </c>
      <c r="X1359" s="45">
        <f t="shared" si="118"/>
        <v>24496.750000000007</v>
      </c>
      <c r="Y1359" s="14" t="s">
        <v>56</v>
      </c>
      <c r="Z1359" s="14" t="s">
        <v>1281</v>
      </c>
      <c r="AA1359" s="14" t="str">
        <f>IFERROR(VLOOKUP(A1359,'[2]UPDATE BILL 2018'!$B:$P,15,0),IFERROR(VLOOKUP(A1359,'[2]UPDATE BILL 2018'!$C:$P,14,0),IFERROR(VLOOKUP(A1359,'[2]UPDATE BILL 2018'!$D:$P,13,0),IFERROR(VLOOKUP(A1359,'[2]UPDATE BILL 2018'!$E:$P,12,0),IFERROR(VLOOKUP(A1359,'[2]UPDATE BILL 2018'!$F:$P,11,0),IFERROR(VLOOKUP(A1359,'[2]UPDATE BILL 2018'!$G:$P,10,0),IFERROR(VLOOKUP(A1359,'[2]UPDATE BILL 2018'!$H:$P,9,0),IFERROR(VLOOKUP(A1359,'[2]UPDATE BILL 2018'!$I:$P,8,0),VLOOKUP(A1359,'[2]UPDATE BILL 2018'!$B:$P,15,0)))))))))</f>
        <v>1008X04622</v>
      </c>
      <c r="AB1359" s="44">
        <f>IFERROR(VLOOKUP(A1359,'[2]UPDATE BILL 2018'!$B:$T,19,0),IFERROR(VLOOKUP(A1359,'[2]UPDATE BILL 2018'!$C:$T,18,0),IFERROR(VLOOKUP(A1359,'[2]UPDATE BILL 2018'!$D:$T,17,0),IFERROR(VLOOKUP(A1359,'[2]UPDATE BILL 2018'!$E:$T,16,0),IFERROR(VLOOKUP(A1359,'[2]UPDATE BILL 2018'!$F:$T,15,0),IFERROR(VLOOKUP(A1359,'[2]UPDATE BILL 2018'!$G:$T,14,0),IFERROR(VLOOKUP(A1359,'[2]UPDATE BILL 2018'!$H:$T,13,0),IFERROR(VLOOKUP(A1359,'[2]UPDATE BILL 2018'!$I:$T,12,0),VLOOKUP(A1359,'[2]UPDATE BILL 2018'!$B:$T,19,0)))))))))</f>
        <v>43335</v>
      </c>
      <c r="AC1359" s="44" t="str">
        <f>IFERROR(VLOOKUP(A1359,'[2]UPDATE BILL 2018'!$B:$V,21,0),IFERROR(VLOOKUP(A1359,'[2]UPDATE BILL 2018'!$C:$V,20,0),IFERROR(VLOOKUP(A1359,'[2]UPDATE BILL 2018'!$D:$V,19,0),IFERROR(VLOOKUP(A1359,'[2]UPDATE BILL 2018'!$E:$V,18,0),IFERROR(VLOOKUP(A1359,'[2]UPDATE BILL 2018'!$F:$V,17,0),IFERROR(VLOOKUP(A1359,'[2]UPDATE BILL 2018'!$G:$V,16,0),IFERROR(VLOOKUP(A1359,'[2]UPDATE BILL 2018'!$H:$V,15,0),IFERROR(VLOOKUP(A1359,'[2]UPDATE BILL 2018'!$I:$V,14,0),VLOOKUP(A1359,'[2]UPDATE BILL 2018'!$B:$V,21,0)))))))))</f>
        <v>WAN HAI 205 N475</v>
      </c>
      <c r="AD1359" s="14" t="s">
        <v>52</v>
      </c>
      <c r="AE1359" s="24" t="s">
        <v>3499</v>
      </c>
      <c r="AF1359" s="25" t="str">
        <f t="shared" si="115"/>
        <v>VQ</v>
      </c>
      <c r="AG1359" t="e">
        <f t="shared" si="109"/>
        <v>#REF!</v>
      </c>
      <c r="AI1359" s="58"/>
    </row>
    <row r="1360" spans="1:35" ht="15.75" customHeight="1">
      <c r="A1360" s="6" t="s">
        <v>3488</v>
      </c>
      <c r="B1360" s="5">
        <v>411</v>
      </c>
      <c r="C1360" s="7">
        <v>31459.800000000003</v>
      </c>
      <c r="D1360" s="7">
        <f t="shared" si="116"/>
        <v>0</v>
      </c>
      <c r="E1360" s="7">
        <v>0</v>
      </c>
      <c r="F1360" s="5">
        <v>0</v>
      </c>
      <c r="G1360" s="7">
        <v>0</v>
      </c>
      <c r="H1360" s="5">
        <v>408</v>
      </c>
      <c r="I1360" s="7">
        <v>53151.56</v>
      </c>
      <c r="J1360" s="7">
        <v>0</v>
      </c>
      <c r="K1360" s="5">
        <v>0</v>
      </c>
      <c r="L1360" s="5">
        <v>0</v>
      </c>
      <c r="M1360" s="5">
        <v>98</v>
      </c>
      <c r="N1360" s="7">
        <f t="shared" si="117"/>
        <v>98</v>
      </c>
      <c r="O1360" s="7">
        <v>17254.3</v>
      </c>
      <c r="P1360" s="7">
        <v>0</v>
      </c>
      <c r="Q1360" s="5">
        <v>0</v>
      </c>
      <c r="S1360" s="7">
        <v>0</v>
      </c>
      <c r="T1360" s="12">
        <v>43327</v>
      </c>
      <c r="U1360" s="4">
        <v>8</v>
      </c>
      <c r="V1360" s="4">
        <v>9</v>
      </c>
      <c r="W1360" s="4">
        <v>9</v>
      </c>
      <c r="X1360" s="45">
        <f t="shared" si="118"/>
        <v>101865.66</v>
      </c>
      <c r="Y1360" s="14" t="s">
        <v>54</v>
      </c>
      <c r="Z1360" s="14" t="s">
        <v>1492</v>
      </c>
      <c r="AA1360" s="14" t="str">
        <f>IFERROR(VLOOKUP(A1360,'[2]UPDATE BILL 2018'!$B:$P,15,0),IFERROR(VLOOKUP(A1360,'[2]UPDATE BILL 2018'!$C:$P,14,0),IFERROR(VLOOKUP(A1360,'[2]UPDATE BILL 2018'!$D:$P,13,0),IFERROR(VLOOKUP(A1360,'[2]UPDATE BILL 2018'!$E:$P,12,0),IFERROR(VLOOKUP(A1360,'[2]UPDATE BILL 2018'!$F:$P,11,0),IFERROR(VLOOKUP(A1360,'[2]UPDATE BILL 2018'!$G:$P,10,0),IFERROR(VLOOKUP(A1360,'[2]UPDATE BILL 2018'!$H:$P,9,0),IFERROR(VLOOKUP(A1360,'[2]UPDATE BILL 2018'!$I:$P,8,0),VLOOKUP(A1360,'[2]UPDATE BILL 2018'!$B:$P,15,0)))))))))</f>
        <v>SITWHPOS174962</v>
      </c>
      <c r="AB1360" s="44">
        <f>IFERROR(VLOOKUP(A1360,'[2]UPDATE BILL 2018'!$B:$T,19,0),IFERROR(VLOOKUP(A1360,'[2]UPDATE BILL 2018'!$C:$T,18,0),IFERROR(VLOOKUP(A1360,'[2]UPDATE BILL 2018'!$D:$T,17,0),IFERROR(VLOOKUP(A1360,'[2]UPDATE BILL 2018'!$E:$T,16,0),IFERROR(VLOOKUP(A1360,'[2]UPDATE BILL 2018'!$F:$T,15,0),IFERROR(VLOOKUP(A1360,'[2]UPDATE BILL 2018'!$G:$T,14,0),IFERROR(VLOOKUP(A1360,'[2]UPDATE BILL 2018'!$H:$T,13,0),IFERROR(VLOOKUP(A1360,'[2]UPDATE BILL 2018'!$I:$T,12,0),VLOOKUP(A1360,'[2]UPDATE BILL 2018'!$B:$T,19,0)))))))))</f>
        <v>43331</v>
      </c>
      <c r="AC1360" s="44" t="str">
        <f>IFERROR(VLOOKUP(A1360,'[2]UPDATE BILL 2018'!$B:$V,21,0),IFERROR(VLOOKUP(A1360,'[2]UPDATE BILL 2018'!$C:$V,20,0),IFERROR(VLOOKUP(A1360,'[2]UPDATE BILL 2018'!$D:$V,19,0),IFERROR(VLOOKUP(A1360,'[2]UPDATE BILL 2018'!$E:$V,18,0),IFERROR(VLOOKUP(A1360,'[2]UPDATE BILL 2018'!$F:$V,17,0),IFERROR(VLOOKUP(A1360,'[2]UPDATE BILL 2018'!$G:$V,16,0),IFERROR(VLOOKUP(A1360,'[2]UPDATE BILL 2018'!$H:$V,15,0),IFERROR(VLOOKUP(A1360,'[2]UPDATE BILL 2018'!$I:$V,14,0),VLOOKUP(A1360,'[2]UPDATE BILL 2018'!$B:$V,21,0)))))))))</f>
        <v>SITC NAGOYA 1823N</v>
      </c>
      <c r="AD1360" s="14" t="s">
        <v>51</v>
      </c>
      <c r="AE1360" s="24" t="s">
        <v>3500</v>
      </c>
      <c r="AF1360" s="25" t="str">
        <f t="shared" si="115"/>
        <v>VS</v>
      </c>
      <c r="AG1360" t="e">
        <f t="shared" si="109"/>
        <v>#REF!</v>
      </c>
      <c r="AI1360" s="58"/>
    </row>
    <row r="1361" spans="1:35" ht="15.75" customHeight="1">
      <c r="A1361" s="6" t="s">
        <v>3489</v>
      </c>
      <c r="D1361" s="7">
        <f t="shared" si="116"/>
        <v>0</v>
      </c>
      <c r="E1361" s="7">
        <v>0</v>
      </c>
      <c r="F1361" s="5">
        <v>0</v>
      </c>
      <c r="G1361" s="7">
        <v>0</v>
      </c>
      <c r="H1361" s="5">
        <v>237</v>
      </c>
      <c r="I1361" s="7">
        <v>27440.5</v>
      </c>
      <c r="J1361" s="7">
        <v>0</v>
      </c>
      <c r="K1361" s="5">
        <v>0</v>
      </c>
      <c r="L1361" s="5">
        <v>0</v>
      </c>
      <c r="M1361" s="5">
        <v>168</v>
      </c>
      <c r="N1361" s="7">
        <f t="shared" si="117"/>
        <v>168</v>
      </c>
      <c r="O1361" s="7">
        <v>11129.300000000001</v>
      </c>
      <c r="P1361" s="7">
        <v>0</v>
      </c>
      <c r="Q1361" s="5">
        <v>0</v>
      </c>
      <c r="S1361" s="7">
        <v>0</v>
      </c>
      <c r="T1361" s="12">
        <v>43327</v>
      </c>
      <c r="U1361" s="4">
        <v>3</v>
      </c>
      <c r="V1361" s="4">
        <v>9</v>
      </c>
      <c r="W1361" s="4">
        <v>9</v>
      </c>
      <c r="X1361" s="45">
        <f t="shared" si="118"/>
        <v>38569.800000000003</v>
      </c>
      <c r="Y1361" s="14" t="s">
        <v>56</v>
      </c>
      <c r="Z1361" s="14" t="s">
        <v>1281</v>
      </c>
      <c r="AA1361" s="14" t="str">
        <f>IFERROR(VLOOKUP(A1361,'[2]UPDATE BILL 2018'!$B:$P,15,0),IFERROR(VLOOKUP(A1361,'[2]UPDATE BILL 2018'!$C:$P,14,0),IFERROR(VLOOKUP(A1361,'[2]UPDATE BILL 2018'!$D:$P,13,0),IFERROR(VLOOKUP(A1361,'[2]UPDATE BILL 2018'!$E:$P,12,0),IFERROR(VLOOKUP(A1361,'[2]UPDATE BILL 2018'!$F:$P,11,0),IFERROR(VLOOKUP(A1361,'[2]UPDATE BILL 2018'!$G:$P,10,0),IFERROR(VLOOKUP(A1361,'[2]UPDATE BILL 2018'!$H:$P,9,0),IFERROR(VLOOKUP(A1361,'[2]UPDATE BILL 2018'!$I:$P,8,0),VLOOKUP(A1361,'[2]UPDATE BILL 2018'!$B:$P,15,0)))))))))</f>
        <v>1008X04533</v>
      </c>
      <c r="AB1361" s="44">
        <f>IFERROR(VLOOKUP(A1361,'[2]UPDATE BILL 2018'!$B:$T,19,0),IFERROR(VLOOKUP(A1361,'[2]UPDATE BILL 2018'!$C:$T,18,0),IFERROR(VLOOKUP(A1361,'[2]UPDATE BILL 2018'!$D:$T,17,0),IFERROR(VLOOKUP(A1361,'[2]UPDATE BILL 2018'!$E:$T,16,0),IFERROR(VLOOKUP(A1361,'[2]UPDATE BILL 2018'!$F:$T,15,0),IFERROR(VLOOKUP(A1361,'[2]UPDATE BILL 2018'!$G:$T,14,0),IFERROR(VLOOKUP(A1361,'[2]UPDATE BILL 2018'!$H:$T,13,0),IFERROR(VLOOKUP(A1361,'[2]UPDATE BILL 2018'!$I:$T,12,0),VLOOKUP(A1361,'[2]UPDATE BILL 2018'!$B:$T,19,0)))))))))</f>
        <v>43334</v>
      </c>
      <c r="AC1361" s="44" t="str">
        <f>IFERROR(VLOOKUP(A1361,'[2]UPDATE BILL 2018'!$B:$V,21,0),IFERROR(VLOOKUP(A1361,'[2]UPDATE BILL 2018'!$C:$V,20,0),IFERROR(VLOOKUP(A1361,'[2]UPDATE BILL 2018'!$D:$V,19,0),IFERROR(VLOOKUP(A1361,'[2]UPDATE BILL 2018'!$E:$V,18,0),IFERROR(VLOOKUP(A1361,'[2]UPDATE BILL 2018'!$F:$V,17,0),IFERROR(VLOOKUP(A1361,'[2]UPDATE BILL 2018'!$G:$V,16,0),IFERROR(VLOOKUP(A1361,'[2]UPDATE BILL 2018'!$H:$V,15,0),IFERROR(VLOOKUP(A1361,'[2]UPDATE BILL 2018'!$I:$V,14,0),VLOOKUP(A1361,'[2]UPDATE BILL 2018'!$B:$V,21,0)))))))))</f>
        <v>AS RAFAELA N002</v>
      </c>
      <c r="AD1361" s="14" t="s">
        <v>51</v>
      </c>
      <c r="AE1361" s="24" t="s">
        <v>3501</v>
      </c>
      <c r="AF1361" s="25" t="str">
        <f t="shared" si="115"/>
        <v>VS</v>
      </c>
      <c r="AG1361" t="e">
        <f t="shared" si="109"/>
        <v>#REF!</v>
      </c>
      <c r="AI1361" s="58"/>
    </row>
    <row r="1362" spans="1:35" ht="15.75" customHeight="1">
      <c r="A1362" s="6" t="s">
        <v>3490</v>
      </c>
      <c r="B1362" s="5">
        <v>377</v>
      </c>
      <c r="C1362" s="7">
        <v>19760.900000000001</v>
      </c>
      <c r="D1362" s="7">
        <f t="shared" si="116"/>
        <v>0</v>
      </c>
      <c r="E1362" s="7">
        <v>0</v>
      </c>
      <c r="F1362" s="5">
        <v>0</v>
      </c>
      <c r="G1362" s="7">
        <v>0</v>
      </c>
      <c r="H1362" s="5">
        <v>0</v>
      </c>
      <c r="I1362" s="7">
        <v>0</v>
      </c>
      <c r="J1362" s="7">
        <v>0</v>
      </c>
      <c r="K1362" s="5">
        <v>0</v>
      </c>
      <c r="L1362" s="5">
        <v>0</v>
      </c>
      <c r="M1362" s="5">
        <v>45</v>
      </c>
      <c r="N1362" s="7">
        <f t="shared" si="117"/>
        <v>45</v>
      </c>
      <c r="O1362" s="7">
        <v>9587.4</v>
      </c>
      <c r="P1362" s="7">
        <v>0</v>
      </c>
      <c r="Q1362" s="5">
        <v>0</v>
      </c>
      <c r="S1362" s="7">
        <v>0</v>
      </c>
      <c r="T1362" s="12">
        <v>43327</v>
      </c>
      <c r="U1362" s="4">
        <v>2</v>
      </c>
      <c r="V1362" s="4">
        <v>9</v>
      </c>
      <c r="W1362" s="4">
        <v>9</v>
      </c>
      <c r="X1362" s="45">
        <f t="shared" si="118"/>
        <v>29348.300000000003</v>
      </c>
      <c r="Y1362" s="14" t="s">
        <v>54</v>
      </c>
      <c r="Z1362" s="14" t="s">
        <v>3376</v>
      </c>
      <c r="AA1362" s="14" t="str">
        <f>IFERROR(VLOOKUP(A1362,'[2]UPDATE BILL 2018'!$B:$P,15,0),IFERROR(VLOOKUP(A1362,'[2]UPDATE BILL 2018'!$C:$P,14,0),IFERROR(VLOOKUP(A1362,'[2]UPDATE BILL 2018'!$D:$P,13,0),IFERROR(VLOOKUP(A1362,'[2]UPDATE BILL 2018'!$E:$P,12,0),IFERROR(VLOOKUP(A1362,'[2]UPDATE BILL 2018'!$F:$P,11,0),IFERROR(VLOOKUP(A1362,'[2]UPDATE BILL 2018'!$G:$P,10,0),IFERROR(VLOOKUP(A1362,'[2]UPDATE BILL 2018'!$H:$P,9,0),IFERROR(VLOOKUP(A1362,'[2]UPDATE BILL 2018'!$I:$P,8,0),VLOOKUP(A1362,'[2]UPDATE BILL 2018'!$B:$P,15,0)))))))))</f>
        <v>SITWHPKW174968</v>
      </c>
      <c r="AB1362" s="44">
        <f>IFERROR(VLOOKUP(A1362,'[2]UPDATE BILL 2018'!$B:$T,19,0),IFERROR(VLOOKUP(A1362,'[2]UPDATE BILL 2018'!$C:$T,18,0),IFERROR(VLOOKUP(A1362,'[2]UPDATE BILL 2018'!$D:$T,17,0),IFERROR(VLOOKUP(A1362,'[2]UPDATE BILL 2018'!$E:$T,16,0),IFERROR(VLOOKUP(A1362,'[2]UPDATE BILL 2018'!$F:$T,15,0),IFERROR(VLOOKUP(A1362,'[2]UPDATE BILL 2018'!$G:$T,14,0),IFERROR(VLOOKUP(A1362,'[2]UPDATE BILL 2018'!$H:$T,13,0),IFERROR(VLOOKUP(A1362,'[2]UPDATE BILL 2018'!$I:$T,12,0),VLOOKUP(A1362,'[2]UPDATE BILL 2018'!$B:$T,19,0)))))))))</f>
        <v>43331</v>
      </c>
      <c r="AC1362" s="44" t="str">
        <f>IFERROR(VLOOKUP(A1362,'[2]UPDATE BILL 2018'!$B:$V,21,0),IFERROR(VLOOKUP(A1362,'[2]UPDATE BILL 2018'!$C:$V,20,0),IFERROR(VLOOKUP(A1362,'[2]UPDATE BILL 2018'!$D:$V,19,0),IFERROR(VLOOKUP(A1362,'[2]UPDATE BILL 2018'!$E:$V,18,0),IFERROR(VLOOKUP(A1362,'[2]UPDATE BILL 2018'!$F:$V,17,0),IFERROR(VLOOKUP(A1362,'[2]UPDATE BILL 2018'!$G:$V,16,0),IFERROR(VLOOKUP(A1362,'[2]UPDATE BILL 2018'!$H:$V,15,0),IFERROR(VLOOKUP(A1362,'[2]UPDATE BILL 2018'!$I:$V,14,0),VLOOKUP(A1362,'[2]UPDATE BILL 2018'!$B:$V,21,0)))))))))</f>
        <v>REFLECTION 1823N</v>
      </c>
      <c r="AD1362" s="14" t="s">
        <v>50</v>
      </c>
      <c r="AE1362" s="24" t="s">
        <v>3502</v>
      </c>
      <c r="AF1362" s="25" t="str">
        <f t="shared" si="115"/>
        <v>VW</v>
      </c>
      <c r="AG1362" t="e">
        <f t="shared" si="109"/>
        <v>#REF!</v>
      </c>
      <c r="AI1362" s="58"/>
    </row>
    <row r="1363" spans="1:35" ht="15.75" customHeight="1">
      <c r="A1363" s="6" t="s">
        <v>3491</v>
      </c>
      <c r="B1363" s="5">
        <v>669</v>
      </c>
      <c r="C1363" s="7">
        <v>80297.62</v>
      </c>
      <c r="D1363" s="7">
        <f t="shared" si="116"/>
        <v>0</v>
      </c>
      <c r="E1363" s="7">
        <v>0</v>
      </c>
      <c r="F1363" s="5">
        <v>0</v>
      </c>
      <c r="G1363" s="7">
        <v>0</v>
      </c>
      <c r="H1363" s="5">
        <v>0</v>
      </c>
      <c r="I1363" s="7">
        <v>0</v>
      </c>
      <c r="J1363" s="7">
        <v>0</v>
      </c>
      <c r="K1363" s="5">
        <v>0</v>
      </c>
      <c r="L1363" s="5">
        <v>0</v>
      </c>
      <c r="M1363" s="5">
        <v>99</v>
      </c>
      <c r="N1363" s="7">
        <f t="shared" si="117"/>
        <v>99</v>
      </c>
      <c r="O1363" s="7">
        <v>17748.8</v>
      </c>
      <c r="P1363" s="7">
        <v>0</v>
      </c>
      <c r="Q1363" s="5">
        <v>0</v>
      </c>
      <c r="S1363" s="7">
        <v>0</v>
      </c>
      <c r="T1363" s="12">
        <v>43327</v>
      </c>
      <c r="U1363" s="4">
        <v>9</v>
      </c>
      <c r="V1363" s="4">
        <v>9</v>
      </c>
      <c r="W1363" s="4">
        <v>9</v>
      </c>
      <c r="X1363" s="45">
        <f t="shared" si="118"/>
        <v>98046.42</v>
      </c>
      <c r="Y1363" s="14" t="s">
        <v>54</v>
      </c>
      <c r="Z1363" s="14" t="s">
        <v>59</v>
      </c>
      <c r="AA1363" s="14" t="str">
        <f>IFERROR(VLOOKUP(A1363,'[2]UPDATE BILL 2018'!$B:$P,15,0),IFERROR(VLOOKUP(A1363,'[2]UPDATE BILL 2018'!$C:$P,14,0),IFERROR(VLOOKUP(A1363,'[2]UPDATE BILL 2018'!$D:$P,13,0),IFERROR(VLOOKUP(A1363,'[2]UPDATE BILL 2018'!$E:$P,12,0),IFERROR(VLOOKUP(A1363,'[2]UPDATE BILL 2018'!$F:$P,11,0),IFERROR(VLOOKUP(A1363,'[2]UPDATE BILL 2018'!$G:$P,10,0),IFERROR(VLOOKUP(A1363,'[2]UPDATE BILL 2018'!$H:$P,9,0),IFERROR(VLOOKUP(A1363,'[2]UPDATE BILL 2018'!$I:$P,8,0),VLOOKUP(A1363,'[2]UPDATE BILL 2018'!$B:$P,15,0)))))))))</f>
        <v>SITWHPKW175201</v>
      </c>
      <c r="AB1363" s="44">
        <f>IFERROR(VLOOKUP(A1363,'[2]UPDATE BILL 2018'!$B:$T,19,0),IFERROR(VLOOKUP(A1363,'[2]UPDATE BILL 2018'!$C:$T,18,0),IFERROR(VLOOKUP(A1363,'[2]UPDATE BILL 2018'!$D:$T,17,0),IFERROR(VLOOKUP(A1363,'[2]UPDATE BILL 2018'!$E:$T,16,0),IFERROR(VLOOKUP(A1363,'[2]UPDATE BILL 2018'!$F:$T,15,0),IFERROR(VLOOKUP(A1363,'[2]UPDATE BILL 2018'!$G:$T,14,0),IFERROR(VLOOKUP(A1363,'[2]UPDATE BILL 2018'!$H:$T,13,0),IFERROR(VLOOKUP(A1363,'[2]UPDATE BILL 2018'!$I:$T,12,0),VLOOKUP(A1363,'[2]UPDATE BILL 2018'!$B:$T,19,0)))))))))</f>
        <v>43337</v>
      </c>
      <c r="AC1363" s="44" t="str">
        <f>IFERROR(VLOOKUP(A1363,'[2]UPDATE BILL 2018'!$B:$V,21,0),IFERROR(VLOOKUP(A1363,'[2]UPDATE BILL 2018'!$C:$V,20,0),IFERROR(VLOOKUP(A1363,'[2]UPDATE BILL 2018'!$D:$V,19,0),IFERROR(VLOOKUP(A1363,'[2]UPDATE BILL 2018'!$E:$V,18,0),IFERROR(VLOOKUP(A1363,'[2]UPDATE BILL 2018'!$F:$V,17,0),IFERROR(VLOOKUP(A1363,'[2]UPDATE BILL 2018'!$G:$V,16,0),IFERROR(VLOOKUP(A1363,'[2]UPDATE BILL 2018'!$H:$V,15,0),IFERROR(VLOOKUP(A1363,'[2]UPDATE BILL 2018'!$I:$V,14,0),VLOOKUP(A1363,'[2]UPDATE BILL 2018'!$B:$V,21,0)))))))))</f>
        <v>SITC YOKKAICHI 1821N</v>
      </c>
      <c r="AD1363" s="14" t="s">
        <v>50</v>
      </c>
      <c r="AE1363" s="24" t="s">
        <v>3503</v>
      </c>
      <c r="AF1363" s="25" t="str">
        <f t="shared" si="115"/>
        <v>VW</v>
      </c>
      <c r="AG1363" t="e">
        <f t="shared" si="109"/>
        <v>#REF!</v>
      </c>
      <c r="AI1363" s="58"/>
    </row>
    <row r="1364" spans="1:35" ht="15.75" customHeight="1">
      <c r="A1364" s="6" t="s">
        <v>3492</v>
      </c>
      <c r="D1364" s="7">
        <f t="shared" si="116"/>
        <v>0</v>
      </c>
      <c r="E1364" s="7">
        <v>0</v>
      </c>
      <c r="F1364" s="5">
        <v>0</v>
      </c>
      <c r="G1364" s="7">
        <v>0</v>
      </c>
      <c r="H1364" s="5">
        <v>0</v>
      </c>
      <c r="I1364" s="7">
        <v>0</v>
      </c>
      <c r="J1364" s="7">
        <v>0</v>
      </c>
      <c r="K1364" s="5">
        <v>0</v>
      </c>
      <c r="L1364" s="5">
        <v>0</v>
      </c>
      <c r="M1364" s="5">
        <v>0</v>
      </c>
      <c r="N1364" s="7">
        <f t="shared" si="117"/>
        <v>0</v>
      </c>
      <c r="O1364" s="7">
        <v>0</v>
      </c>
      <c r="P1364" s="7">
        <v>0</v>
      </c>
      <c r="Q1364" s="5">
        <v>0</v>
      </c>
      <c r="R1364" s="5">
        <v>86</v>
      </c>
      <c r="S1364" s="7">
        <v>12039</v>
      </c>
      <c r="T1364" s="12">
        <v>43327</v>
      </c>
      <c r="U1364" s="4">
        <v>1</v>
      </c>
      <c r="V1364" s="4">
        <v>9</v>
      </c>
      <c r="W1364" s="4">
        <v>9</v>
      </c>
      <c r="X1364" s="45">
        <f t="shared" si="118"/>
        <v>12039</v>
      </c>
      <c r="Y1364" s="14" t="s">
        <v>54</v>
      </c>
      <c r="Z1364" s="14" t="s">
        <v>1281</v>
      </c>
      <c r="AA1364" s="14" t="str">
        <f>IFERROR(VLOOKUP(A1364,'[2]UPDATE BILL 2018'!$B:$P,15,0),IFERROR(VLOOKUP(A1364,'[2]UPDATE BILL 2018'!$C:$P,14,0),IFERROR(VLOOKUP(A1364,'[2]UPDATE BILL 2018'!$D:$P,13,0),IFERROR(VLOOKUP(A1364,'[2]UPDATE BILL 2018'!$E:$P,12,0),IFERROR(VLOOKUP(A1364,'[2]UPDATE BILL 2018'!$F:$P,11,0),IFERROR(VLOOKUP(A1364,'[2]UPDATE BILL 2018'!$G:$P,10,0),IFERROR(VLOOKUP(A1364,'[2]UPDATE BILL 2018'!$H:$P,9,0),IFERROR(VLOOKUP(A1364,'[2]UPDATE BILL 2018'!$I:$P,8,0),VLOOKUP(A1364,'[2]UPDATE BILL 2018'!$B:$P,15,0)))))))))</f>
        <v>SITWHPTK174956</v>
      </c>
      <c r="AB1364" s="44">
        <f>IFERROR(VLOOKUP(A1364,'[2]UPDATE BILL 2018'!$B:$T,19,0),IFERROR(VLOOKUP(A1364,'[2]UPDATE BILL 2018'!$C:$T,18,0),IFERROR(VLOOKUP(A1364,'[2]UPDATE BILL 2018'!$D:$T,17,0),IFERROR(VLOOKUP(A1364,'[2]UPDATE BILL 2018'!$E:$T,16,0),IFERROR(VLOOKUP(A1364,'[2]UPDATE BILL 2018'!$F:$T,15,0),IFERROR(VLOOKUP(A1364,'[2]UPDATE BILL 2018'!$G:$T,14,0),IFERROR(VLOOKUP(A1364,'[2]UPDATE BILL 2018'!$H:$T,13,0),IFERROR(VLOOKUP(A1364,'[2]UPDATE BILL 2018'!$I:$T,12,0),VLOOKUP(A1364,'[2]UPDATE BILL 2018'!$B:$T,19,0)))))))))</f>
        <v>43331</v>
      </c>
      <c r="AC1364" s="44" t="str">
        <f>IFERROR(VLOOKUP(A1364,'[2]UPDATE BILL 2018'!$B:$V,21,0),IFERROR(VLOOKUP(A1364,'[2]UPDATE BILL 2018'!$C:$V,20,0),IFERROR(VLOOKUP(A1364,'[2]UPDATE BILL 2018'!$D:$V,19,0),IFERROR(VLOOKUP(A1364,'[2]UPDATE BILL 2018'!$E:$V,18,0),IFERROR(VLOOKUP(A1364,'[2]UPDATE BILL 2018'!$F:$V,17,0),IFERROR(VLOOKUP(A1364,'[2]UPDATE BILL 2018'!$G:$V,16,0),IFERROR(VLOOKUP(A1364,'[2]UPDATE BILL 2018'!$H:$V,15,0),IFERROR(VLOOKUP(A1364,'[2]UPDATE BILL 2018'!$I:$V,14,0),VLOOKUP(A1364,'[2]UPDATE BILL 2018'!$B:$V,21,0)))))))))</f>
        <v>REFLECTION 1823N</v>
      </c>
      <c r="AD1364" s="14" t="s">
        <v>49</v>
      </c>
      <c r="AE1364" s="24" t="s">
        <v>3504</v>
      </c>
      <c r="AF1364" s="25" t="s">
        <v>2172</v>
      </c>
      <c r="AG1364" t="e">
        <f t="shared" si="109"/>
        <v>#N/A</v>
      </c>
      <c r="AI1364" s="58"/>
    </row>
    <row r="1365" spans="1:35" ht="15.75" customHeight="1">
      <c r="A1365" s="6" t="s">
        <v>3493</v>
      </c>
      <c r="D1365" s="7">
        <f t="shared" si="116"/>
        <v>0</v>
      </c>
      <c r="E1365" s="7">
        <v>0</v>
      </c>
      <c r="F1365" s="5">
        <v>0</v>
      </c>
      <c r="G1365" s="7">
        <v>0</v>
      </c>
      <c r="H1365" s="5">
        <v>0</v>
      </c>
      <c r="I1365" s="7">
        <v>0</v>
      </c>
      <c r="J1365" s="7">
        <v>0</v>
      </c>
      <c r="K1365" s="5">
        <v>0</v>
      </c>
      <c r="L1365" s="5">
        <v>0</v>
      </c>
      <c r="M1365" s="5">
        <v>0</v>
      </c>
      <c r="N1365" s="7">
        <f t="shared" si="117"/>
        <v>0</v>
      </c>
      <c r="O1365" s="7">
        <v>0</v>
      </c>
      <c r="P1365" s="7">
        <v>0</v>
      </c>
      <c r="Q1365" s="5">
        <v>0</v>
      </c>
      <c r="R1365" s="5">
        <v>224</v>
      </c>
      <c r="S1365" s="7">
        <v>54629.700000000004</v>
      </c>
      <c r="T1365" s="12">
        <v>43327</v>
      </c>
      <c r="U1365" s="4">
        <v>3</v>
      </c>
      <c r="V1365" s="4">
        <v>9</v>
      </c>
      <c r="W1365" s="4">
        <v>9</v>
      </c>
      <c r="X1365" s="45">
        <f t="shared" si="118"/>
        <v>54629.700000000004</v>
      </c>
      <c r="Y1365" s="14" t="s">
        <v>54</v>
      </c>
      <c r="Z1365" s="14" t="s">
        <v>1355</v>
      </c>
      <c r="AA1365" s="14" t="str">
        <f>IFERROR(VLOOKUP(A1365,'[2]UPDATE BILL 2018'!$B:$P,15,0),IFERROR(VLOOKUP(A1365,'[2]UPDATE BILL 2018'!$C:$P,14,0),IFERROR(VLOOKUP(A1365,'[2]UPDATE BILL 2018'!$D:$P,13,0),IFERROR(VLOOKUP(A1365,'[2]UPDATE BILL 2018'!$E:$P,12,0),IFERROR(VLOOKUP(A1365,'[2]UPDATE BILL 2018'!$F:$P,11,0),IFERROR(VLOOKUP(A1365,'[2]UPDATE BILL 2018'!$G:$P,10,0),IFERROR(VLOOKUP(A1365,'[2]UPDATE BILL 2018'!$H:$P,9,0),IFERROR(VLOOKUP(A1365,'[2]UPDATE BILL 2018'!$I:$P,8,0),VLOOKUP(A1365,'[2]UPDATE BILL 2018'!$B:$P,15,0)))))))))</f>
        <v>SITWHPOS174962</v>
      </c>
      <c r="AB1365" s="44">
        <f>IFERROR(VLOOKUP(A1365,'[2]UPDATE BILL 2018'!$B:$T,19,0),IFERROR(VLOOKUP(A1365,'[2]UPDATE BILL 2018'!$C:$T,18,0),IFERROR(VLOOKUP(A1365,'[2]UPDATE BILL 2018'!$D:$T,17,0),IFERROR(VLOOKUP(A1365,'[2]UPDATE BILL 2018'!$E:$T,16,0),IFERROR(VLOOKUP(A1365,'[2]UPDATE BILL 2018'!$F:$T,15,0),IFERROR(VLOOKUP(A1365,'[2]UPDATE BILL 2018'!$G:$T,14,0),IFERROR(VLOOKUP(A1365,'[2]UPDATE BILL 2018'!$H:$T,13,0),IFERROR(VLOOKUP(A1365,'[2]UPDATE BILL 2018'!$I:$T,12,0),VLOOKUP(A1365,'[2]UPDATE BILL 2018'!$B:$T,19,0)))))))))</f>
        <v>43331</v>
      </c>
      <c r="AC1365" s="44" t="str">
        <f>IFERROR(VLOOKUP(A1365,'[2]UPDATE BILL 2018'!$B:$V,21,0),IFERROR(VLOOKUP(A1365,'[2]UPDATE BILL 2018'!$C:$V,20,0),IFERROR(VLOOKUP(A1365,'[2]UPDATE BILL 2018'!$D:$V,19,0),IFERROR(VLOOKUP(A1365,'[2]UPDATE BILL 2018'!$E:$V,18,0),IFERROR(VLOOKUP(A1365,'[2]UPDATE BILL 2018'!$F:$V,17,0),IFERROR(VLOOKUP(A1365,'[2]UPDATE BILL 2018'!$G:$V,16,0),IFERROR(VLOOKUP(A1365,'[2]UPDATE BILL 2018'!$H:$V,15,0),IFERROR(VLOOKUP(A1365,'[2]UPDATE BILL 2018'!$I:$V,14,0),VLOOKUP(A1365,'[2]UPDATE BILL 2018'!$B:$V,21,0)))))))))</f>
        <v>SITC NAGOYA 1823N</v>
      </c>
      <c r="AD1365" s="14" t="s">
        <v>51</v>
      </c>
      <c r="AE1365" s="24" t="s">
        <v>3505</v>
      </c>
      <c r="AF1365" s="25" t="s">
        <v>2150</v>
      </c>
      <c r="AG1365" t="e">
        <f t="shared" si="109"/>
        <v>#N/A</v>
      </c>
      <c r="AI1365" s="58"/>
    </row>
    <row r="1366" spans="1:35" ht="15.75" customHeight="1">
      <c r="A1366" s="6" t="s">
        <v>3494</v>
      </c>
      <c r="D1366" s="7">
        <f t="shared" si="116"/>
        <v>0</v>
      </c>
      <c r="E1366" s="7">
        <v>0</v>
      </c>
      <c r="F1366" s="5">
        <v>0</v>
      </c>
      <c r="G1366" s="7">
        <v>0</v>
      </c>
      <c r="H1366" s="5">
        <v>0</v>
      </c>
      <c r="I1366" s="7">
        <v>0</v>
      </c>
      <c r="J1366" s="7">
        <v>0</v>
      </c>
      <c r="K1366" s="5">
        <v>0</v>
      </c>
      <c r="L1366" s="5">
        <v>0</v>
      </c>
      <c r="M1366" s="5">
        <v>0</v>
      </c>
      <c r="N1366" s="7">
        <f t="shared" si="117"/>
        <v>0</v>
      </c>
      <c r="O1366" s="7">
        <v>0</v>
      </c>
      <c r="P1366" s="7">
        <v>0</v>
      </c>
      <c r="Q1366" s="5">
        <v>0</v>
      </c>
      <c r="R1366" s="5">
        <v>628</v>
      </c>
      <c r="S1366" s="7">
        <v>48499</v>
      </c>
      <c r="T1366" s="12">
        <v>43327</v>
      </c>
      <c r="U1366" s="4">
        <v>2</v>
      </c>
      <c r="V1366" s="4">
        <v>9</v>
      </c>
      <c r="W1366" s="4">
        <v>9</v>
      </c>
      <c r="X1366" s="45">
        <f t="shared" si="118"/>
        <v>48499</v>
      </c>
      <c r="Y1366" s="14" t="s">
        <v>56</v>
      </c>
      <c r="Z1366" s="14" t="s">
        <v>1281</v>
      </c>
      <c r="AA1366" s="14" t="str">
        <f>IFERROR(VLOOKUP(A1366,'[2]UPDATE BILL 2018'!$B:$P,15,0),IFERROR(VLOOKUP(A1366,'[2]UPDATE BILL 2018'!$C:$P,14,0),IFERROR(VLOOKUP(A1366,'[2]UPDATE BILL 2018'!$D:$P,13,0),IFERROR(VLOOKUP(A1366,'[2]UPDATE BILL 2018'!$E:$P,12,0),IFERROR(VLOOKUP(A1366,'[2]UPDATE BILL 2018'!$F:$P,11,0),IFERROR(VLOOKUP(A1366,'[2]UPDATE BILL 2018'!$G:$P,10,0),IFERROR(VLOOKUP(A1366,'[2]UPDATE BILL 2018'!$H:$P,9,0),IFERROR(VLOOKUP(A1366,'[2]UPDATE BILL 2018'!$I:$P,8,0),VLOOKUP(A1366,'[2]UPDATE BILL 2018'!$B:$P,15,0)))))))))</f>
        <v>1008X04533</v>
      </c>
      <c r="AB1366" s="44">
        <f>IFERROR(VLOOKUP(A1366,'[2]UPDATE BILL 2018'!$B:$T,19,0),IFERROR(VLOOKUP(A1366,'[2]UPDATE BILL 2018'!$C:$T,18,0),IFERROR(VLOOKUP(A1366,'[2]UPDATE BILL 2018'!$D:$T,17,0),IFERROR(VLOOKUP(A1366,'[2]UPDATE BILL 2018'!$E:$T,16,0),IFERROR(VLOOKUP(A1366,'[2]UPDATE BILL 2018'!$F:$T,15,0),IFERROR(VLOOKUP(A1366,'[2]UPDATE BILL 2018'!$G:$T,14,0),IFERROR(VLOOKUP(A1366,'[2]UPDATE BILL 2018'!$H:$T,13,0),IFERROR(VLOOKUP(A1366,'[2]UPDATE BILL 2018'!$I:$T,12,0),VLOOKUP(A1366,'[2]UPDATE BILL 2018'!$B:$T,19,0)))))))))</f>
        <v>43334</v>
      </c>
      <c r="AC1366" s="44" t="str">
        <f>IFERROR(VLOOKUP(A1366,'[2]UPDATE BILL 2018'!$B:$V,21,0),IFERROR(VLOOKUP(A1366,'[2]UPDATE BILL 2018'!$C:$V,20,0),IFERROR(VLOOKUP(A1366,'[2]UPDATE BILL 2018'!$D:$V,19,0),IFERROR(VLOOKUP(A1366,'[2]UPDATE BILL 2018'!$E:$V,18,0),IFERROR(VLOOKUP(A1366,'[2]UPDATE BILL 2018'!$F:$V,17,0),IFERROR(VLOOKUP(A1366,'[2]UPDATE BILL 2018'!$G:$V,16,0),IFERROR(VLOOKUP(A1366,'[2]UPDATE BILL 2018'!$H:$V,15,0),IFERROR(VLOOKUP(A1366,'[2]UPDATE BILL 2018'!$I:$V,14,0),VLOOKUP(A1366,'[2]UPDATE BILL 2018'!$B:$V,21,0)))))))))</f>
        <v>AS RAFAELA N002</v>
      </c>
      <c r="AD1366" s="14" t="s">
        <v>51</v>
      </c>
      <c r="AE1366" s="24" t="s">
        <v>3506</v>
      </c>
      <c r="AF1366" s="25" t="s">
        <v>2150</v>
      </c>
      <c r="AG1366" t="e">
        <f t="shared" si="109"/>
        <v>#N/A</v>
      </c>
      <c r="AI1366" s="58"/>
    </row>
    <row r="1367" spans="1:35" ht="15.75" customHeight="1">
      <c r="A1367" s="6" t="s">
        <v>3495</v>
      </c>
      <c r="D1367" s="7">
        <f t="shared" si="116"/>
        <v>0</v>
      </c>
      <c r="E1367" s="7">
        <v>0</v>
      </c>
      <c r="F1367" s="5">
        <v>0</v>
      </c>
      <c r="G1367" s="7">
        <v>0</v>
      </c>
      <c r="H1367" s="5">
        <v>0</v>
      </c>
      <c r="I1367" s="7">
        <v>0</v>
      </c>
      <c r="J1367" s="7">
        <v>0</v>
      </c>
      <c r="K1367" s="5">
        <v>0</v>
      </c>
      <c r="L1367" s="5">
        <v>0</v>
      </c>
      <c r="M1367" s="5">
        <v>0</v>
      </c>
      <c r="N1367" s="7">
        <f t="shared" si="117"/>
        <v>0</v>
      </c>
      <c r="O1367" s="7">
        <v>0</v>
      </c>
      <c r="P1367" s="7">
        <v>0</v>
      </c>
      <c r="Q1367" s="5">
        <v>0</v>
      </c>
      <c r="R1367" s="5">
        <v>248</v>
      </c>
      <c r="S1367" s="7">
        <v>36654.400000000001</v>
      </c>
      <c r="T1367" s="12">
        <v>43327</v>
      </c>
      <c r="U1367" s="4">
        <v>1</v>
      </c>
      <c r="V1367" s="4">
        <v>9</v>
      </c>
      <c r="W1367" s="4">
        <v>9</v>
      </c>
      <c r="X1367" s="45">
        <f t="shared" si="118"/>
        <v>36654.400000000001</v>
      </c>
      <c r="Y1367" s="14" t="s">
        <v>54</v>
      </c>
      <c r="Z1367" s="14" t="s">
        <v>57</v>
      </c>
      <c r="AA1367" s="14" t="str">
        <f>IFERROR(VLOOKUP(A1367,'[2]UPDATE BILL 2018'!$B:$P,15,0),IFERROR(VLOOKUP(A1367,'[2]UPDATE BILL 2018'!$C:$P,14,0),IFERROR(VLOOKUP(A1367,'[2]UPDATE BILL 2018'!$D:$P,13,0),IFERROR(VLOOKUP(A1367,'[2]UPDATE BILL 2018'!$E:$P,12,0),IFERROR(VLOOKUP(A1367,'[2]UPDATE BILL 2018'!$F:$P,11,0),IFERROR(VLOOKUP(A1367,'[2]UPDATE BILL 2018'!$G:$P,10,0),IFERROR(VLOOKUP(A1367,'[2]UPDATE BILL 2018'!$H:$P,9,0),IFERROR(VLOOKUP(A1367,'[2]UPDATE BILL 2018'!$I:$P,8,0),VLOOKUP(A1367,'[2]UPDATE BILL 2018'!$B:$P,15,0)))))))))</f>
        <v>SITWHPKW174968</v>
      </c>
      <c r="AB1367" s="44">
        <f>IFERROR(VLOOKUP(A1367,'[2]UPDATE BILL 2018'!$B:$T,19,0),IFERROR(VLOOKUP(A1367,'[2]UPDATE BILL 2018'!$C:$T,18,0),IFERROR(VLOOKUP(A1367,'[2]UPDATE BILL 2018'!$D:$T,17,0),IFERROR(VLOOKUP(A1367,'[2]UPDATE BILL 2018'!$E:$T,16,0),IFERROR(VLOOKUP(A1367,'[2]UPDATE BILL 2018'!$F:$T,15,0),IFERROR(VLOOKUP(A1367,'[2]UPDATE BILL 2018'!$G:$T,14,0),IFERROR(VLOOKUP(A1367,'[2]UPDATE BILL 2018'!$H:$T,13,0),IFERROR(VLOOKUP(A1367,'[2]UPDATE BILL 2018'!$I:$T,12,0),VLOOKUP(A1367,'[2]UPDATE BILL 2018'!$B:$T,19,0)))))))))</f>
        <v>43331</v>
      </c>
      <c r="AC1367" s="44" t="str">
        <f>IFERROR(VLOOKUP(A1367,'[2]UPDATE BILL 2018'!$B:$V,21,0),IFERROR(VLOOKUP(A1367,'[2]UPDATE BILL 2018'!$C:$V,20,0),IFERROR(VLOOKUP(A1367,'[2]UPDATE BILL 2018'!$D:$V,19,0),IFERROR(VLOOKUP(A1367,'[2]UPDATE BILL 2018'!$E:$V,18,0),IFERROR(VLOOKUP(A1367,'[2]UPDATE BILL 2018'!$F:$V,17,0),IFERROR(VLOOKUP(A1367,'[2]UPDATE BILL 2018'!$G:$V,16,0),IFERROR(VLOOKUP(A1367,'[2]UPDATE BILL 2018'!$H:$V,15,0),IFERROR(VLOOKUP(A1367,'[2]UPDATE BILL 2018'!$I:$V,14,0),VLOOKUP(A1367,'[2]UPDATE BILL 2018'!$B:$V,21,0)))))))))</f>
        <v>REFLECTION 1823N</v>
      </c>
      <c r="AD1367" s="14" t="s">
        <v>50</v>
      </c>
      <c r="AE1367" s="24" t="s">
        <v>3507</v>
      </c>
      <c r="AF1367" s="25" t="s">
        <v>2151</v>
      </c>
      <c r="AG1367" t="e">
        <f t="shared" si="109"/>
        <v>#N/A</v>
      </c>
      <c r="AI1367" s="58"/>
    </row>
    <row r="1368" spans="1:35" ht="15.75" customHeight="1">
      <c r="A1368" s="6" t="s">
        <v>3508</v>
      </c>
      <c r="B1368" s="5">
        <v>37</v>
      </c>
      <c r="C1368" s="7">
        <v>4608.8</v>
      </c>
      <c r="D1368" s="7">
        <f t="shared" si="116"/>
        <v>0</v>
      </c>
      <c r="E1368" s="7">
        <v>0</v>
      </c>
      <c r="F1368" s="5">
        <v>0</v>
      </c>
      <c r="G1368" s="7">
        <v>0</v>
      </c>
      <c r="H1368" s="5">
        <v>25</v>
      </c>
      <c r="I1368" s="7">
        <v>2791.95</v>
      </c>
      <c r="J1368" s="7">
        <v>0</v>
      </c>
      <c r="K1368" s="5">
        <v>0</v>
      </c>
      <c r="L1368" s="5">
        <v>0</v>
      </c>
      <c r="M1368" s="5">
        <v>25</v>
      </c>
      <c r="N1368" s="7">
        <f t="shared" si="117"/>
        <v>25</v>
      </c>
      <c r="O1368" s="7">
        <v>3190.7</v>
      </c>
      <c r="P1368" s="7">
        <v>0</v>
      </c>
      <c r="Q1368" s="5">
        <v>0</v>
      </c>
      <c r="S1368" s="7">
        <v>0</v>
      </c>
      <c r="T1368" s="12">
        <v>43328</v>
      </c>
      <c r="U1368" s="4">
        <v>1</v>
      </c>
      <c r="V1368" s="4">
        <v>9</v>
      </c>
      <c r="W1368" s="4">
        <v>9</v>
      </c>
      <c r="X1368" s="45">
        <f t="shared" si="118"/>
        <v>10591.45</v>
      </c>
      <c r="Y1368" s="14" t="s">
        <v>1633</v>
      </c>
      <c r="Z1368" s="14" t="s">
        <v>1492</v>
      </c>
      <c r="AA1368" s="14" t="str">
        <f>IFERROR(VLOOKUP(A1368,'[2]UPDATE BILL 2018'!$B:$P,15,0),IFERROR(VLOOKUP(A1368,'[2]UPDATE BILL 2018'!$C:$P,14,0),IFERROR(VLOOKUP(A1368,'[2]UPDATE BILL 2018'!$D:$P,13,0),IFERROR(VLOOKUP(A1368,'[2]UPDATE BILL 2018'!$E:$P,12,0),IFERROR(VLOOKUP(A1368,'[2]UPDATE BILL 2018'!$F:$P,11,0),IFERROR(VLOOKUP(A1368,'[2]UPDATE BILL 2018'!$G:$P,10,0),IFERROR(VLOOKUP(A1368,'[2]UPDATE BILL 2018'!$H:$P,9,0),IFERROR(VLOOKUP(A1368,'[2]UPDATE BILL 2018'!$I:$P,8,0),VLOOKUP(A1368,'[2]UPDATE BILL 2018'!$B:$P,15,0)))))))))</f>
        <v>KMTCHPH0579593</v>
      </c>
      <c r="AB1368" s="44">
        <f>IFERROR(VLOOKUP(A1368,'[2]UPDATE BILL 2018'!$B:$T,19,0),IFERROR(VLOOKUP(A1368,'[2]UPDATE BILL 2018'!$C:$T,18,0),IFERROR(VLOOKUP(A1368,'[2]UPDATE BILL 2018'!$D:$T,17,0),IFERROR(VLOOKUP(A1368,'[2]UPDATE BILL 2018'!$E:$T,16,0),IFERROR(VLOOKUP(A1368,'[2]UPDATE BILL 2018'!$F:$T,15,0),IFERROR(VLOOKUP(A1368,'[2]UPDATE BILL 2018'!$G:$T,14,0),IFERROR(VLOOKUP(A1368,'[2]UPDATE BILL 2018'!$H:$T,13,0),IFERROR(VLOOKUP(A1368,'[2]UPDATE BILL 2018'!$I:$T,12,0),VLOOKUP(A1368,'[2]UPDATE BILL 2018'!$B:$T,19,0)))))))))</f>
        <v>43336</v>
      </c>
      <c r="AC1368" s="44" t="str">
        <f>IFERROR(VLOOKUP(A1368,'[2]UPDATE BILL 2018'!$B:$V,21,0),IFERROR(VLOOKUP(A1368,'[2]UPDATE BILL 2018'!$C:$V,20,0),IFERROR(VLOOKUP(A1368,'[2]UPDATE BILL 2018'!$D:$V,19,0),IFERROR(VLOOKUP(A1368,'[2]UPDATE BILL 2018'!$E:$V,18,0),IFERROR(VLOOKUP(A1368,'[2]UPDATE BILL 2018'!$F:$V,17,0),IFERROR(VLOOKUP(A1368,'[2]UPDATE BILL 2018'!$G:$V,16,0),IFERROR(VLOOKUP(A1368,'[2]UPDATE BILL 2018'!$H:$V,15,0),IFERROR(VLOOKUP(A1368,'[2]UPDATE BILL 2018'!$I:$V,14,0),VLOOKUP(A1368,'[2]UPDATE BILL 2018'!$B:$V,21,0)))))))))</f>
        <v>SUNNY IRIS 1823N</v>
      </c>
      <c r="AD1368" s="14" t="s">
        <v>70</v>
      </c>
      <c r="AE1368" s="24" t="s">
        <v>3519</v>
      </c>
      <c r="AF1368" s="25" t="str">
        <f t="shared" ref="AF1368:AF1375" si="119">+LEFT(AE1368,2)</f>
        <v>VH</v>
      </c>
      <c r="AG1368" t="e">
        <f t="shared" si="109"/>
        <v>#REF!</v>
      </c>
      <c r="AI1368" s="58"/>
    </row>
    <row r="1369" spans="1:35" ht="15.75" customHeight="1">
      <c r="A1369" s="6" t="s">
        <v>3509</v>
      </c>
      <c r="D1369" s="7">
        <f t="shared" si="116"/>
        <v>0</v>
      </c>
      <c r="E1369" s="7">
        <v>0</v>
      </c>
      <c r="F1369" s="5">
        <v>0</v>
      </c>
      <c r="G1369" s="7">
        <v>0</v>
      </c>
      <c r="H1369" s="5">
        <v>120</v>
      </c>
      <c r="I1369" s="7">
        <v>14500.050000000001</v>
      </c>
      <c r="J1369" s="7">
        <v>0</v>
      </c>
      <c r="K1369" s="5">
        <v>0</v>
      </c>
      <c r="L1369" s="5">
        <v>0</v>
      </c>
      <c r="M1369" s="5">
        <v>0</v>
      </c>
      <c r="N1369" s="7">
        <f t="shared" si="117"/>
        <v>0</v>
      </c>
      <c r="O1369" s="7">
        <v>0</v>
      </c>
      <c r="P1369" s="7">
        <v>0</v>
      </c>
      <c r="Q1369" s="5">
        <v>0</v>
      </c>
      <c r="S1369" s="7">
        <v>0</v>
      </c>
      <c r="T1369" s="12">
        <v>43328</v>
      </c>
      <c r="U1369" s="4">
        <v>1</v>
      </c>
      <c r="V1369" s="4">
        <v>9</v>
      </c>
      <c r="W1369" s="4">
        <v>9</v>
      </c>
      <c r="X1369" s="45">
        <f t="shared" si="118"/>
        <v>14500.050000000001</v>
      </c>
      <c r="Y1369" s="14" t="s">
        <v>54</v>
      </c>
      <c r="Z1369" s="14" t="s">
        <v>2525</v>
      </c>
      <c r="AA1369" s="14" t="str">
        <f>IFERROR(VLOOKUP(A1369,'[2]UPDATE BILL 2018'!$B:$P,15,0),IFERROR(VLOOKUP(A1369,'[2]UPDATE BILL 2018'!$C:$P,14,0),IFERROR(VLOOKUP(A1369,'[2]UPDATE BILL 2018'!$D:$P,13,0),IFERROR(VLOOKUP(A1369,'[2]UPDATE BILL 2018'!$E:$P,12,0),IFERROR(VLOOKUP(A1369,'[2]UPDATE BILL 2018'!$F:$P,11,0),IFERROR(VLOOKUP(A1369,'[2]UPDATE BILL 2018'!$G:$P,10,0),IFERROR(VLOOKUP(A1369,'[2]UPDATE BILL 2018'!$H:$P,9,0),IFERROR(VLOOKUP(A1369,'[2]UPDATE BILL 2018'!$I:$P,8,0),VLOOKUP(A1369,'[2]UPDATE BILL 2018'!$B:$P,15,0)))))))))</f>
        <v>SITWHPTK174956</v>
      </c>
      <c r="AB1369" s="44">
        <f>IFERROR(VLOOKUP(A1369,'[2]UPDATE BILL 2018'!$B:$T,19,0),IFERROR(VLOOKUP(A1369,'[2]UPDATE BILL 2018'!$C:$T,18,0),IFERROR(VLOOKUP(A1369,'[2]UPDATE BILL 2018'!$D:$T,17,0),IFERROR(VLOOKUP(A1369,'[2]UPDATE BILL 2018'!$E:$T,16,0),IFERROR(VLOOKUP(A1369,'[2]UPDATE BILL 2018'!$F:$T,15,0),IFERROR(VLOOKUP(A1369,'[2]UPDATE BILL 2018'!$G:$T,14,0),IFERROR(VLOOKUP(A1369,'[2]UPDATE BILL 2018'!$H:$T,13,0),IFERROR(VLOOKUP(A1369,'[2]UPDATE BILL 2018'!$I:$T,12,0),VLOOKUP(A1369,'[2]UPDATE BILL 2018'!$B:$T,19,0)))))))))</f>
        <v>43331</v>
      </c>
      <c r="AC1369" s="44" t="str">
        <f>IFERROR(VLOOKUP(A1369,'[2]UPDATE BILL 2018'!$B:$V,21,0),IFERROR(VLOOKUP(A1369,'[2]UPDATE BILL 2018'!$C:$V,20,0),IFERROR(VLOOKUP(A1369,'[2]UPDATE BILL 2018'!$D:$V,19,0),IFERROR(VLOOKUP(A1369,'[2]UPDATE BILL 2018'!$E:$V,18,0),IFERROR(VLOOKUP(A1369,'[2]UPDATE BILL 2018'!$F:$V,17,0),IFERROR(VLOOKUP(A1369,'[2]UPDATE BILL 2018'!$G:$V,16,0),IFERROR(VLOOKUP(A1369,'[2]UPDATE BILL 2018'!$H:$V,15,0),IFERROR(VLOOKUP(A1369,'[2]UPDATE BILL 2018'!$I:$V,14,0),VLOOKUP(A1369,'[2]UPDATE BILL 2018'!$B:$V,21,0)))))))))</f>
        <v>REFLECTION 1823N</v>
      </c>
      <c r="AD1369" s="14" t="s">
        <v>49</v>
      </c>
      <c r="AE1369" s="24" t="s">
        <v>3520</v>
      </c>
      <c r="AF1369" s="25" t="str">
        <f t="shared" si="119"/>
        <v>VK</v>
      </c>
      <c r="AG1369" t="e">
        <f t="shared" si="109"/>
        <v>#REF!</v>
      </c>
      <c r="AI1369" s="58"/>
    </row>
    <row r="1370" spans="1:35" ht="15.75" customHeight="1">
      <c r="A1370" s="6" t="s">
        <v>3510</v>
      </c>
      <c r="D1370" s="7">
        <f t="shared" si="116"/>
        <v>0</v>
      </c>
      <c r="E1370" s="7">
        <v>0</v>
      </c>
      <c r="F1370" s="5">
        <v>0</v>
      </c>
      <c r="G1370" s="7">
        <v>0</v>
      </c>
      <c r="H1370" s="5">
        <v>195</v>
      </c>
      <c r="I1370" s="7">
        <v>25017.600000000002</v>
      </c>
      <c r="J1370" s="7">
        <v>0</v>
      </c>
      <c r="K1370" s="5">
        <v>0</v>
      </c>
      <c r="L1370" s="5">
        <v>0</v>
      </c>
      <c r="M1370" s="5">
        <v>0</v>
      </c>
      <c r="N1370" s="7">
        <f t="shared" si="117"/>
        <v>0</v>
      </c>
      <c r="O1370" s="7">
        <v>0</v>
      </c>
      <c r="P1370" s="7">
        <v>0</v>
      </c>
      <c r="Q1370" s="5">
        <v>0</v>
      </c>
      <c r="S1370" s="7">
        <v>0</v>
      </c>
      <c r="T1370" s="12">
        <v>43328</v>
      </c>
      <c r="U1370" s="4">
        <v>2</v>
      </c>
      <c r="V1370" s="4">
        <v>9</v>
      </c>
      <c r="W1370" s="4">
        <v>9</v>
      </c>
      <c r="X1370" s="45">
        <f t="shared" si="118"/>
        <v>25017.600000000002</v>
      </c>
      <c r="Y1370" s="14" t="s">
        <v>85</v>
      </c>
      <c r="Z1370" s="14" t="s">
        <v>1637</v>
      </c>
      <c r="AA1370" s="14">
        <f>IFERROR(VLOOKUP(A1370,'[2]UPDATE BILL 2018'!$B:$P,15,0),IFERROR(VLOOKUP(A1370,'[2]UPDATE BILL 2018'!$C:$P,14,0),IFERROR(VLOOKUP(A1370,'[2]UPDATE BILL 2018'!$D:$P,13,0),IFERROR(VLOOKUP(A1370,'[2]UPDATE BILL 2018'!$E:$P,12,0),IFERROR(VLOOKUP(A1370,'[2]UPDATE BILL 2018'!$F:$P,11,0),IFERROR(VLOOKUP(A1370,'[2]UPDATE BILL 2018'!$G:$P,10,0),IFERROR(VLOOKUP(A1370,'[2]UPDATE BILL 2018'!$H:$P,9,0),IFERROR(VLOOKUP(A1370,'[2]UPDATE BILL 2018'!$I:$P,8,0),VLOOKUP(A1370,'[2]UPDATE BILL 2018'!$B:$P,15,0)))))))))</f>
        <v>350810098323</v>
      </c>
      <c r="AB1370" s="44">
        <f>IFERROR(VLOOKUP(A1370,'[2]UPDATE BILL 2018'!$B:$T,19,0),IFERROR(VLOOKUP(A1370,'[2]UPDATE BILL 2018'!$C:$T,18,0),IFERROR(VLOOKUP(A1370,'[2]UPDATE BILL 2018'!$D:$T,17,0),IFERROR(VLOOKUP(A1370,'[2]UPDATE BILL 2018'!$E:$T,16,0),IFERROR(VLOOKUP(A1370,'[2]UPDATE BILL 2018'!$F:$T,15,0),IFERROR(VLOOKUP(A1370,'[2]UPDATE BILL 2018'!$G:$T,14,0),IFERROR(VLOOKUP(A1370,'[2]UPDATE BILL 2018'!$H:$T,13,0),IFERROR(VLOOKUP(A1370,'[2]UPDATE BILL 2018'!$I:$T,12,0),VLOOKUP(A1370,'[2]UPDATE BILL 2018'!$B:$T,19,0)))))))))</f>
        <v>43334</v>
      </c>
      <c r="AC1370" s="44" t="str">
        <f>IFERROR(VLOOKUP(A1370,'[2]UPDATE BILL 2018'!$B:$V,21,0),IFERROR(VLOOKUP(A1370,'[2]UPDATE BILL 2018'!$C:$V,20,0),IFERROR(VLOOKUP(A1370,'[2]UPDATE BILL 2018'!$D:$V,19,0),IFERROR(VLOOKUP(A1370,'[2]UPDATE BILL 2018'!$E:$V,18,0),IFERROR(VLOOKUP(A1370,'[2]UPDATE BILL 2018'!$F:$V,17,0),IFERROR(VLOOKUP(A1370,'[2]UPDATE BILL 2018'!$G:$V,16,0),IFERROR(VLOOKUP(A1370,'[2]UPDATE BILL 2018'!$H:$V,15,0),IFERROR(VLOOKUP(A1370,'[2]UPDATE BILL 2018'!$I:$V,14,0),VLOOKUP(A1370,'[2]UPDATE BILL 2018'!$B:$V,21,0)))))))))</f>
        <v>MARCLIFF 18014N</v>
      </c>
      <c r="AD1370" s="14" t="s">
        <v>49</v>
      </c>
      <c r="AE1370" s="24" t="s">
        <v>3521</v>
      </c>
      <c r="AF1370" s="25" t="str">
        <f t="shared" si="119"/>
        <v>VK</v>
      </c>
      <c r="AG1370" t="e">
        <f t="shared" si="109"/>
        <v>#REF!</v>
      </c>
      <c r="AI1370" s="58"/>
    </row>
    <row r="1371" spans="1:35" ht="15.75" customHeight="1">
      <c r="A1371" s="6" t="s">
        <v>3511</v>
      </c>
      <c r="B1371" s="5">
        <v>77</v>
      </c>
      <c r="C1371" s="7">
        <v>11194.500000000002</v>
      </c>
      <c r="D1371" s="7">
        <f t="shared" si="116"/>
        <v>0</v>
      </c>
      <c r="E1371" s="7">
        <v>0</v>
      </c>
      <c r="F1371" s="5">
        <v>0</v>
      </c>
      <c r="G1371" s="7">
        <v>0</v>
      </c>
      <c r="H1371" s="5">
        <v>0</v>
      </c>
      <c r="I1371" s="7">
        <v>0</v>
      </c>
      <c r="J1371" s="7">
        <v>0</v>
      </c>
      <c r="K1371" s="5">
        <v>0</v>
      </c>
      <c r="L1371" s="5">
        <v>0</v>
      </c>
      <c r="M1371" s="5">
        <v>0</v>
      </c>
      <c r="N1371" s="7">
        <f t="shared" si="117"/>
        <v>0</v>
      </c>
      <c r="O1371" s="7">
        <v>0</v>
      </c>
      <c r="P1371" s="7">
        <v>0</v>
      </c>
      <c r="Q1371" s="5">
        <v>0</v>
      </c>
      <c r="S1371" s="7">
        <v>0</v>
      </c>
      <c r="T1371" s="12">
        <v>43328</v>
      </c>
      <c r="U1371" s="4">
        <v>1</v>
      </c>
      <c r="V1371" s="4">
        <v>9</v>
      </c>
      <c r="W1371" s="4">
        <v>9</v>
      </c>
      <c r="X1371" s="45">
        <f t="shared" si="118"/>
        <v>11194.500000000002</v>
      </c>
      <c r="Y1371" s="14" t="s">
        <v>85</v>
      </c>
      <c r="Z1371" s="14" t="s">
        <v>1355</v>
      </c>
      <c r="AA1371" s="14">
        <f>IFERROR(VLOOKUP(A1371,'[2]UPDATE BILL 2018'!$B:$P,15,0),IFERROR(VLOOKUP(A1371,'[2]UPDATE BILL 2018'!$C:$P,14,0),IFERROR(VLOOKUP(A1371,'[2]UPDATE BILL 2018'!$D:$P,13,0),IFERROR(VLOOKUP(A1371,'[2]UPDATE BILL 2018'!$E:$P,12,0),IFERROR(VLOOKUP(A1371,'[2]UPDATE BILL 2018'!$F:$P,11,0),IFERROR(VLOOKUP(A1371,'[2]UPDATE BILL 2018'!$G:$P,10,0),IFERROR(VLOOKUP(A1371,'[2]UPDATE BILL 2018'!$H:$P,9,0),IFERROR(VLOOKUP(A1371,'[2]UPDATE BILL 2018'!$I:$P,8,0),VLOOKUP(A1371,'[2]UPDATE BILL 2018'!$B:$P,15,0)))))))))</f>
        <v>350810098330</v>
      </c>
      <c r="AB1371" s="44">
        <f>IFERROR(VLOOKUP(A1371,'[2]UPDATE BILL 2018'!$B:$T,19,0),IFERROR(VLOOKUP(A1371,'[2]UPDATE BILL 2018'!$C:$T,18,0),IFERROR(VLOOKUP(A1371,'[2]UPDATE BILL 2018'!$D:$T,17,0),IFERROR(VLOOKUP(A1371,'[2]UPDATE BILL 2018'!$E:$T,16,0),IFERROR(VLOOKUP(A1371,'[2]UPDATE BILL 2018'!$F:$T,15,0),IFERROR(VLOOKUP(A1371,'[2]UPDATE BILL 2018'!$G:$T,14,0),IFERROR(VLOOKUP(A1371,'[2]UPDATE BILL 2018'!$H:$T,13,0),IFERROR(VLOOKUP(A1371,'[2]UPDATE BILL 2018'!$I:$T,12,0),VLOOKUP(A1371,'[2]UPDATE BILL 2018'!$B:$T,19,0)))))))))</f>
        <v>43334</v>
      </c>
      <c r="AC1371" s="44" t="str">
        <f>IFERROR(VLOOKUP(A1371,'[2]UPDATE BILL 2018'!$B:$V,21,0),IFERROR(VLOOKUP(A1371,'[2]UPDATE BILL 2018'!$C:$V,20,0),IFERROR(VLOOKUP(A1371,'[2]UPDATE BILL 2018'!$D:$V,19,0),IFERROR(VLOOKUP(A1371,'[2]UPDATE BILL 2018'!$E:$V,18,0),IFERROR(VLOOKUP(A1371,'[2]UPDATE BILL 2018'!$F:$V,17,0),IFERROR(VLOOKUP(A1371,'[2]UPDATE BILL 2018'!$G:$V,16,0),IFERROR(VLOOKUP(A1371,'[2]UPDATE BILL 2018'!$H:$V,15,0),IFERROR(VLOOKUP(A1371,'[2]UPDATE BILL 2018'!$I:$V,14,0),VLOOKUP(A1371,'[2]UPDATE BILL 2018'!$B:$V,21,0)))))))))</f>
        <v>MARCLIFF 18014N</v>
      </c>
      <c r="AD1371" s="14" t="s">
        <v>52</v>
      </c>
      <c r="AE1371" s="24" t="s">
        <v>3522</v>
      </c>
      <c r="AF1371" s="25" t="str">
        <f t="shared" si="119"/>
        <v>VQ</v>
      </c>
      <c r="AG1371" t="e">
        <f t="shared" si="109"/>
        <v>#REF!</v>
      </c>
      <c r="AI1371" s="58"/>
    </row>
    <row r="1372" spans="1:35" ht="15.75" customHeight="1">
      <c r="A1372" s="6" t="s">
        <v>3512</v>
      </c>
      <c r="B1372" s="5">
        <v>386</v>
      </c>
      <c r="C1372" s="7">
        <v>40392.6</v>
      </c>
      <c r="D1372" s="7">
        <f t="shared" si="116"/>
        <v>0</v>
      </c>
      <c r="E1372" s="7">
        <v>0</v>
      </c>
      <c r="F1372" s="5">
        <v>0</v>
      </c>
      <c r="G1372" s="7">
        <v>0</v>
      </c>
      <c r="H1372" s="5">
        <v>95</v>
      </c>
      <c r="I1372" s="7">
        <v>12156.2</v>
      </c>
      <c r="J1372" s="7">
        <v>0</v>
      </c>
      <c r="K1372" s="5">
        <v>0</v>
      </c>
      <c r="L1372" s="5">
        <v>0</v>
      </c>
      <c r="M1372" s="5">
        <v>335</v>
      </c>
      <c r="N1372" s="7">
        <f t="shared" si="117"/>
        <v>335</v>
      </c>
      <c r="O1372" s="7">
        <v>32688.100000000002</v>
      </c>
      <c r="P1372" s="7">
        <v>0</v>
      </c>
      <c r="Q1372" s="5">
        <v>0</v>
      </c>
      <c r="S1372" s="7">
        <v>0</v>
      </c>
      <c r="T1372" s="12">
        <v>43328</v>
      </c>
      <c r="U1372" s="4">
        <v>7</v>
      </c>
      <c r="V1372" s="4">
        <v>9</v>
      </c>
      <c r="W1372" s="4">
        <v>9</v>
      </c>
      <c r="X1372" s="45">
        <f t="shared" si="118"/>
        <v>85236.900000000009</v>
      </c>
      <c r="Y1372" s="14" t="s">
        <v>56</v>
      </c>
      <c r="Z1372" s="14" t="s">
        <v>59</v>
      </c>
      <c r="AA1372" s="14" t="str">
        <f>IFERROR(VLOOKUP(A1372,'[2]UPDATE BILL 2018'!$B:$P,15,0),IFERROR(VLOOKUP(A1372,'[2]UPDATE BILL 2018'!$C:$P,14,0),IFERROR(VLOOKUP(A1372,'[2]UPDATE BILL 2018'!$D:$P,13,0),IFERROR(VLOOKUP(A1372,'[2]UPDATE BILL 2018'!$E:$P,12,0),IFERROR(VLOOKUP(A1372,'[2]UPDATE BILL 2018'!$F:$P,11,0),IFERROR(VLOOKUP(A1372,'[2]UPDATE BILL 2018'!$G:$P,10,0),IFERROR(VLOOKUP(A1372,'[2]UPDATE BILL 2018'!$H:$P,9,0),IFERROR(VLOOKUP(A1372,'[2]UPDATE BILL 2018'!$I:$P,8,0),VLOOKUP(A1372,'[2]UPDATE BILL 2018'!$B:$P,15,0)))))))))</f>
        <v>1008X04481</v>
      </c>
      <c r="AB1372" s="44">
        <f>IFERROR(VLOOKUP(A1372,'[2]UPDATE BILL 2018'!$B:$T,19,0),IFERROR(VLOOKUP(A1372,'[2]UPDATE BILL 2018'!$C:$T,18,0),IFERROR(VLOOKUP(A1372,'[2]UPDATE BILL 2018'!$D:$T,17,0),IFERROR(VLOOKUP(A1372,'[2]UPDATE BILL 2018'!$E:$T,16,0),IFERROR(VLOOKUP(A1372,'[2]UPDATE BILL 2018'!$F:$T,15,0),IFERROR(VLOOKUP(A1372,'[2]UPDATE BILL 2018'!$G:$T,14,0),IFERROR(VLOOKUP(A1372,'[2]UPDATE BILL 2018'!$H:$T,13,0),IFERROR(VLOOKUP(A1372,'[2]UPDATE BILL 2018'!$I:$T,12,0),VLOOKUP(A1372,'[2]UPDATE BILL 2018'!$B:$T,19,0)))))))))</f>
        <v>43330</v>
      </c>
      <c r="AC1372" s="44" t="str">
        <f>IFERROR(VLOOKUP(A1372,'[2]UPDATE BILL 2018'!$B:$V,21,0),IFERROR(VLOOKUP(A1372,'[2]UPDATE BILL 2018'!$C:$V,20,0),IFERROR(VLOOKUP(A1372,'[2]UPDATE BILL 2018'!$D:$V,19,0),IFERROR(VLOOKUP(A1372,'[2]UPDATE BILL 2018'!$E:$V,18,0),IFERROR(VLOOKUP(A1372,'[2]UPDATE BILL 2018'!$F:$V,17,0),IFERROR(VLOOKUP(A1372,'[2]UPDATE BILL 2018'!$G:$V,16,0),IFERROR(VLOOKUP(A1372,'[2]UPDATE BILL 2018'!$H:$V,15,0),IFERROR(VLOOKUP(A1372,'[2]UPDATE BILL 2018'!$I:$V,14,0),VLOOKUP(A1372,'[2]UPDATE BILL 2018'!$B:$V,21,0)))))))))</f>
        <v xml:space="preserve"> PAOLA N026</v>
      </c>
      <c r="AD1372" s="14" t="s">
        <v>51</v>
      </c>
      <c r="AE1372" s="24" t="s">
        <v>3523</v>
      </c>
      <c r="AF1372" s="25" t="str">
        <f t="shared" si="119"/>
        <v>VS</v>
      </c>
      <c r="AG1372" t="e">
        <f t="shared" si="109"/>
        <v>#REF!</v>
      </c>
      <c r="AI1372" s="58"/>
    </row>
    <row r="1373" spans="1:35" ht="15.75" customHeight="1">
      <c r="A1373" s="6" t="s">
        <v>3513</v>
      </c>
      <c r="B1373" s="5">
        <v>314</v>
      </c>
      <c r="C1373" s="7">
        <v>27183.11</v>
      </c>
      <c r="D1373" s="7">
        <f t="shared" si="116"/>
        <v>0</v>
      </c>
      <c r="E1373" s="7">
        <v>0</v>
      </c>
      <c r="F1373" s="5">
        <v>0</v>
      </c>
      <c r="G1373" s="7">
        <v>0</v>
      </c>
      <c r="H1373" s="5">
        <v>205</v>
      </c>
      <c r="I1373" s="7">
        <v>25243.300000000003</v>
      </c>
      <c r="J1373" s="7">
        <v>0</v>
      </c>
      <c r="K1373" s="5">
        <v>0</v>
      </c>
      <c r="L1373" s="5">
        <v>0</v>
      </c>
      <c r="M1373" s="5">
        <v>80</v>
      </c>
      <c r="N1373" s="7">
        <f t="shared" si="117"/>
        <v>80</v>
      </c>
      <c r="O1373" s="7">
        <v>10863</v>
      </c>
      <c r="P1373" s="7">
        <v>0</v>
      </c>
      <c r="Q1373" s="5">
        <v>0</v>
      </c>
      <c r="S1373" s="7">
        <v>0</v>
      </c>
      <c r="T1373" s="12">
        <v>43328</v>
      </c>
      <c r="U1373" s="4">
        <v>5</v>
      </c>
      <c r="V1373" s="4">
        <v>9</v>
      </c>
      <c r="W1373" s="4">
        <v>9</v>
      </c>
      <c r="X1373" s="45">
        <f t="shared" si="118"/>
        <v>63289.41</v>
      </c>
      <c r="Y1373" s="14" t="s">
        <v>56</v>
      </c>
      <c r="Z1373" s="14" t="s">
        <v>1281</v>
      </c>
      <c r="AA1373" s="14" t="str">
        <f>IFERROR(VLOOKUP(A1373,'[2]UPDATE BILL 2018'!$B:$P,15,0),IFERROR(VLOOKUP(A1373,'[2]UPDATE BILL 2018'!$C:$P,14,0),IFERROR(VLOOKUP(A1373,'[2]UPDATE BILL 2018'!$D:$P,13,0),IFERROR(VLOOKUP(A1373,'[2]UPDATE BILL 2018'!$E:$P,12,0),IFERROR(VLOOKUP(A1373,'[2]UPDATE BILL 2018'!$F:$P,11,0),IFERROR(VLOOKUP(A1373,'[2]UPDATE BILL 2018'!$G:$P,10,0),IFERROR(VLOOKUP(A1373,'[2]UPDATE BILL 2018'!$H:$P,9,0),IFERROR(VLOOKUP(A1373,'[2]UPDATE BILL 2018'!$I:$P,8,0),VLOOKUP(A1373,'[2]UPDATE BILL 2018'!$B:$P,15,0)))))))))</f>
        <v>1008X04533</v>
      </c>
      <c r="AB1373" s="44">
        <f>IFERROR(VLOOKUP(A1373,'[2]UPDATE BILL 2018'!$B:$T,19,0),IFERROR(VLOOKUP(A1373,'[2]UPDATE BILL 2018'!$C:$T,18,0),IFERROR(VLOOKUP(A1373,'[2]UPDATE BILL 2018'!$D:$T,17,0),IFERROR(VLOOKUP(A1373,'[2]UPDATE BILL 2018'!$E:$T,16,0),IFERROR(VLOOKUP(A1373,'[2]UPDATE BILL 2018'!$F:$T,15,0),IFERROR(VLOOKUP(A1373,'[2]UPDATE BILL 2018'!$G:$T,14,0),IFERROR(VLOOKUP(A1373,'[2]UPDATE BILL 2018'!$H:$T,13,0),IFERROR(VLOOKUP(A1373,'[2]UPDATE BILL 2018'!$I:$T,12,0),VLOOKUP(A1373,'[2]UPDATE BILL 2018'!$B:$T,19,0)))))))))</f>
        <v>43334</v>
      </c>
      <c r="AC1373" s="44" t="str">
        <f>IFERROR(VLOOKUP(A1373,'[2]UPDATE BILL 2018'!$B:$V,21,0),IFERROR(VLOOKUP(A1373,'[2]UPDATE BILL 2018'!$C:$V,20,0),IFERROR(VLOOKUP(A1373,'[2]UPDATE BILL 2018'!$D:$V,19,0),IFERROR(VLOOKUP(A1373,'[2]UPDATE BILL 2018'!$E:$V,18,0),IFERROR(VLOOKUP(A1373,'[2]UPDATE BILL 2018'!$F:$V,17,0),IFERROR(VLOOKUP(A1373,'[2]UPDATE BILL 2018'!$G:$V,16,0),IFERROR(VLOOKUP(A1373,'[2]UPDATE BILL 2018'!$H:$V,15,0),IFERROR(VLOOKUP(A1373,'[2]UPDATE BILL 2018'!$I:$V,14,0),VLOOKUP(A1373,'[2]UPDATE BILL 2018'!$B:$V,21,0)))))))))</f>
        <v>AS RAFAELA N002</v>
      </c>
      <c r="AD1373" s="14" t="s">
        <v>51</v>
      </c>
      <c r="AE1373" s="24" t="s">
        <v>3524</v>
      </c>
      <c r="AF1373" s="25" t="str">
        <f t="shared" si="119"/>
        <v>VS</v>
      </c>
      <c r="AG1373" t="e">
        <f t="shared" si="109"/>
        <v>#REF!</v>
      </c>
      <c r="AI1373" s="58"/>
    </row>
    <row r="1374" spans="1:35" ht="15.75" customHeight="1">
      <c r="A1374" s="6" t="s">
        <v>3514</v>
      </c>
      <c r="B1374" s="5">
        <v>243</v>
      </c>
      <c r="C1374" s="7">
        <v>18386.2</v>
      </c>
      <c r="D1374" s="7">
        <f t="shared" si="116"/>
        <v>0</v>
      </c>
      <c r="E1374" s="7">
        <v>0</v>
      </c>
      <c r="F1374" s="5">
        <v>0</v>
      </c>
      <c r="G1374" s="7">
        <v>0</v>
      </c>
      <c r="H1374" s="5">
        <v>0</v>
      </c>
      <c r="I1374" s="7">
        <v>0</v>
      </c>
      <c r="J1374" s="7">
        <v>0</v>
      </c>
      <c r="K1374" s="5">
        <v>0</v>
      </c>
      <c r="L1374" s="5">
        <v>0</v>
      </c>
      <c r="M1374" s="5">
        <v>195</v>
      </c>
      <c r="N1374" s="7">
        <f t="shared" si="117"/>
        <v>195</v>
      </c>
      <c r="O1374" s="7">
        <v>36819.9</v>
      </c>
      <c r="P1374" s="7">
        <v>0</v>
      </c>
      <c r="Q1374" s="5">
        <v>0</v>
      </c>
      <c r="S1374" s="7">
        <v>0</v>
      </c>
      <c r="T1374" s="12">
        <v>43328</v>
      </c>
      <c r="U1374" s="4">
        <v>5</v>
      </c>
      <c r="V1374" s="4">
        <v>9</v>
      </c>
      <c r="W1374" s="4">
        <v>9</v>
      </c>
      <c r="X1374" s="45">
        <f t="shared" si="118"/>
        <v>55206.100000000006</v>
      </c>
      <c r="Y1374" s="14" t="s">
        <v>54</v>
      </c>
      <c r="Z1374" s="14" t="s">
        <v>57</v>
      </c>
      <c r="AA1374" s="14" t="str">
        <f>IFERROR(VLOOKUP(A1374,'[2]UPDATE BILL 2018'!$B:$P,15,0),IFERROR(VLOOKUP(A1374,'[2]UPDATE BILL 2018'!$C:$P,14,0),IFERROR(VLOOKUP(A1374,'[2]UPDATE BILL 2018'!$D:$P,13,0),IFERROR(VLOOKUP(A1374,'[2]UPDATE BILL 2018'!$E:$P,12,0),IFERROR(VLOOKUP(A1374,'[2]UPDATE BILL 2018'!$F:$P,11,0),IFERROR(VLOOKUP(A1374,'[2]UPDATE BILL 2018'!$G:$P,10,0),IFERROR(VLOOKUP(A1374,'[2]UPDATE BILL 2018'!$H:$P,9,0),IFERROR(VLOOKUP(A1374,'[2]UPDATE BILL 2018'!$I:$P,8,0),VLOOKUP(A1374,'[2]UPDATE BILL 2018'!$B:$P,15,0)))))))))</f>
        <v>SITWHPKW174968</v>
      </c>
      <c r="AB1374" s="44">
        <f>IFERROR(VLOOKUP(A1374,'[2]UPDATE BILL 2018'!$B:$T,19,0),IFERROR(VLOOKUP(A1374,'[2]UPDATE BILL 2018'!$C:$T,18,0),IFERROR(VLOOKUP(A1374,'[2]UPDATE BILL 2018'!$D:$T,17,0),IFERROR(VLOOKUP(A1374,'[2]UPDATE BILL 2018'!$E:$T,16,0),IFERROR(VLOOKUP(A1374,'[2]UPDATE BILL 2018'!$F:$T,15,0),IFERROR(VLOOKUP(A1374,'[2]UPDATE BILL 2018'!$G:$T,14,0),IFERROR(VLOOKUP(A1374,'[2]UPDATE BILL 2018'!$H:$T,13,0),IFERROR(VLOOKUP(A1374,'[2]UPDATE BILL 2018'!$I:$T,12,0),VLOOKUP(A1374,'[2]UPDATE BILL 2018'!$B:$T,19,0)))))))))</f>
        <v>43331</v>
      </c>
      <c r="AC1374" s="44" t="str">
        <f>IFERROR(VLOOKUP(A1374,'[2]UPDATE BILL 2018'!$B:$V,21,0),IFERROR(VLOOKUP(A1374,'[2]UPDATE BILL 2018'!$C:$V,20,0),IFERROR(VLOOKUP(A1374,'[2]UPDATE BILL 2018'!$D:$V,19,0),IFERROR(VLOOKUP(A1374,'[2]UPDATE BILL 2018'!$E:$V,18,0),IFERROR(VLOOKUP(A1374,'[2]UPDATE BILL 2018'!$F:$V,17,0),IFERROR(VLOOKUP(A1374,'[2]UPDATE BILL 2018'!$G:$V,16,0),IFERROR(VLOOKUP(A1374,'[2]UPDATE BILL 2018'!$H:$V,15,0),IFERROR(VLOOKUP(A1374,'[2]UPDATE BILL 2018'!$I:$V,14,0),VLOOKUP(A1374,'[2]UPDATE BILL 2018'!$B:$V,21,0)))))))))</f>
        <v>REFLECTION 1823N</v>
      </c>
      <c r="AD1374" s="14" t="s">
        <v>50</v>
      </c>
      <c r="AE1374" s="24" t="s">
        <v>3525</v>
      </c>
      <c r="AF1374" s="25" t="str">
        <f t="shared" si="119"/>
        <v>VW</v>
      </c>
      <c r="AG1374" t="e">
        <f t="shared" si="109"/>
        <v>#REF!</v>
      </c>
      <c r="AI1374" s="58"/>
    </row>
    <row r="1375" spans="1:35" ht="15.75" customHeight="1">
      <c r="A1375" s="6" t="s">
        <v>3515</v>
      </c>
      <c r="B1375" s="5">
        <v>344</v>
      </c>
      <c r="C1375" s="7">
        <v>49296.439999999995</v>
      </c>
      <c r="D1375" s="7">
        <f t="shared" si="116"/>
        <v>0</v>
      </c>
      <c r="E1375" s="7">
        <v>0</v>
      </c>
      <c r="F1375" s="5">
        <v>0</v>
      </c>
      <c r="G1375" s="7">
        <v>0</v>
      </c>
      <c r="H1375" s="5">
        <v>0</v>
      </c>
      <c r="I1375" s="7">
        <v>0</v>
      </c>
      <c r="J1375" s="7">
        <v>0</v>
      </c>
      <c r="K1375" s="5">
        <v>0</v>
      </c>
      <c r="L1375" s="5">
        <v>0</v>
      </c>
      <c r="M1375" s="5">
        <v>235</v>
      </c>
      <c r="N1375" s="7">
        <f t="shared" si="117"/>
        <v>235</v>
      </c>
      <c r="O1375" s="7">
        <v>27106.1</v>
      </c>
      <c r="P1375" s="7">
        <v>0</v>
      </c>
      <c r="Q1375" s="5">
        <v>0</v>
      </c>
      <c r="S1375" s="7">
        <v>0</v>
      </c>
      <c r="T1375" s="12">
        <v>43328</v>
      </c>
      <c r="U1375" s="4">
        <v>7</v>
      </c>
      <c r="V1375" s="4">
        <v>9</v>
      </c>
      <c r="W1375" s="4">
        <v>9</v>
      </c>
      <c r="X1375" s="45">
        <f t="shared" si="118"/>
        <v>76402.539999999994</v>
      </c>
      <c r="Y1375" s="14" t="s">
        <v>54</v>
      </c>
      <c r="Z1375" s="14" t="s">
        <v>1355</v>
      </c>
      <c r="AA1375" s="14" t="str">
        <f>IFERROR(VLOOKUP(A1375,'[2]UPDATE BILL 2018'!$B:$P,15,0),IFERROR(VLOOKUP(A1375,'[2]UPDATE BILL 2018'!$C:$P,14,0),IFERROR(VLOOKUP(A1375,'[2]UPDATE BILL 2018'!$D:$P,13,0),IFERROR(VLOOKUP(A1375,'[2]UPDATE BILL 2018'!$E:$P,12,0),IFERROR(VLOOKUP(A1375,'[2]UPDATE BILL 2018'!$F:$P,11,0),IFERROR(VLOOKUP(A1375,'[2]UPDATE BILL 2018'!$G:$P,10,0),IFERROR(VLOOKUP(A1375,'[2]UPDATE BILL 2018'!$H:$P,9,0),IFERROR(VLOOKUP(A1375,'[2]UPDATE BILL 2018'!$I:$P,8,0),VLOOKUP(A1375,'[2]UPDATE BILL 2018'!$B:$P,15,0)))))))))</f>
        <v>SITWHPKW175201</v>
      </c>
      <c r="AB1375" s="44">
        <f>IFERROR(VLOOKUP(A1375,'[2]UPDATE BILL 2018'!$B:$T,19,0),IFERROR(VLOOKUP(A1375,'[2]UPDATE BILL 2018'!$C:$T,18,0),IFERROR(VLOOKUP(A1375,'[2]UPDATE BILL 2018'!$D:$T,17,0),IFERROR(VLOOKUP(A1375,'[2]UPDATE BILL 2018'!$E:$T,16,0),IFERROR(VLOOKUP(A1375,'[2]UPDATE BILL 2018'!$F:$T,15,0),IFERROR(VLOOKUP(A1375,'[2]UPDATE BILL 2018'!$G:$T,14,0),IFERROR(VLOOKUP(A1375,'[2]UPDATE BILL 2018'!$H:$T,13,0),IFERROR(VLOOKUP(A1375,'[2]UPDATE BILL 2018'!$I:$T,12,0),VLOOKUP(A1375,'[2]UPDATE BILL 2018'!$B:$T,19,0)))))))))</f>
        <v>43337</v>
      </c>
      <c r="AC1375" s="44" t="str">
        <f>IFERROR(VLOOKUP(A1375,'[2]UPDATE BILL 2018'!$B:$V,21,0),IFERROR(VLOOKUP(A1375,'[2]UPDATE BILL 2018'!$C:$V,20,0),IFERROR(VLOOKUP(A1375,'[2]UPDATE BILL 2018'!$D:$V,19,0),IFERROR(VLOOKUP(A1375,'[2]UPDATE BILL 2018'!$E:$V,18,0),IFERROR(VLOOKUP(A1375,'[2]UPDATE BILL 2018'!$F:$V,17,0),IFERROR(VLOOKUP(A1375,'[2]UPDATE BILL 2018'!$G:$V,16,0),IFERROR(VLOOKUP(A1375,'[2]UPDATE BILL 2018'!$H:$V,15,0),IFERROR(VLOOKUP(A1375,'[2]UPDATE BILL 2018'!$I:$V,14,0),VLOOKUP(A1375,'[2]UPDATE BILL 2018'!$B:$V,21,0)))))))))</f>
        <v>SITC YOKKAICHI 1821N</v>
      </c>
      <c r="AD1375" s="14" t="s">
        <v>50</v>
      </c>
      <c r="AE1375" s="24" t="s">
        <v>3526</v>
      </c>
      <c r="AF1375" s="25" t="str">
        <f t="shared" si="119"/>
        <v>VW</v>
      </c>
      <c r="AG1375" t="e">
        <f t="shared" si="109"/>
        <v>#REF!</v>
      </c>
      <c r="AI1375" s="58"/>
    </row>
    <row r="1376" spans="1:35" ht="15.75" customHeight="1">
      <c r="A1376" s="6" t="s">
        <v>3516</v>
      </c>
      <c r="D1376" s="7">
        <f t="shared" si="116"/>
        <v>0</v>
      </c>
      <c r="E1376" s="7">
        <v>0</v>
      </c>
      <c r="F1376" s="5">
        <v>0</v>
      </c>
      <c r="G1376" s="7">
        <v>0</v>
      </c>
      <c r="H1376" s="5">
        <v>0</v>
      </c>
      <c r="I1376" s="7">
        <v>0</v>
      </c>
      <c r="J1376" s="7">
        <v>0</v>
      </c>
      <c r="K1376" s="5">
        <v>0</v>
      </c>
      <c r="L1376" s="5">
        <v>0</v>
      </c>
      <c r="M1376" s="5">
        <v>0</v>
      </c>
      <c r="N1376" s="7">
        <f t="shared" si="117"/>
        <v>0</v>
      </c>
      <c r="O1376" s="7">
        <v>0</v>
      </c>
      <c r="P1376" s="7">
        <v>0</v>
      </c>
      <c r="Q1376" s="5">
        <v>0</v>
      </c>
      <c r="R1376" s="5">
        <v>1241</v>
      </c>
      <c r="S1376" s="7">
        <v>206514.4</v>
      </c>
      <c r="T1376" s="12">
        <v>43328</v>
      </c>
      <c r="U1376" s="4">
        <v>7</v>
      </c>
      <c r="V1376" s="4">
        <v>9</v>
      </c>
      <c r="W1376" s="4">
        <v>9</v>
      </c>
      <c r="X1376" s="45">
        <f t="shared" si="118"/>
        <v>206514.4</v>
      </c>
      <c r="Y1376" s="14" t="s">
        <v>54</v>
      </c>
      <c r="Z1376" s="14" t="s">
        <v>1281</v>
      </c>
      <c r="AA1376" s="14" t="str">
        <f>IFERROR(VLOOKUP(A1376,'[2]UPDATE BILL 2018'!$B:$P,15,0),IFERROR(VLOOKUP(A1376,'[2]UPDATE BILL 2018'!$C:$P,14,0),IFERROR(VLOOKUP(A1376,'[2]UPDATE BILL 2018'!$D:$P,13,0),IFERROR(VLOOKUP(A1376,'[2]UPDATE BILL 2018'!$E:$P,12,0),IFERROR(VLOOKUP(A1376,'[2]UPDATE BILL 2018'!$F:$P,11,0),IFERROR(VLOOKUP(A1376,'[2]UPDATE BILL 2018'!$G:$P,10,0),IFERROR(VLOOKUP(A1376,'[2]UPDATE BILL 2018'!$H:$P,9,0),IFERROR(VLOOKUP(A1376,'[2]UPDATE BILL 2018'!$I:$P,8,0),VLOOKUP(A1376,'[2]UPDATE BILL 2018'!$B:$P,15,0)))))))))</f>
        <v>SITWHPOS174962</v>
      </c>
      <c r="AB1376" s="44">
        <f>IFERROR(VLOOKUP(A1376,'[2]UPDATE BILL 2018'!$B:$T,19,0),IFERROR(VLOOKUP(A1376,'[2]UPDATE BILL 2018'!$C:$T,18,0),IFERROR(VLOOKUP(A1376,'[2]UPDATE BILL 2018'!$D:$T,17,0),IFERROR(VLOOKUP(A1376,'[2]UPDATE BILL 2018'!$E:$T,16,0),IFERROR(VLOOKUP(A1376,'[2]UPDATE BILL 2018'!$F:$T,15,0),IFERROR(VLOOKUP(A1376,'[2]UPDATE BILL 2018'!$G:$T,14,0),IFERROR(VLOOKUP(A1376,'[2]UPDATE BILL 2018'!$H:$T,13,0),IFERROR(VLOOKUP(A1376,'[2]UPDATE BILL 2018'!$I:$T,12,0),VLOOKUP(A1376,'[2]UPDATE BILL 2018'!$B:$T,19,0)))))))))</f>
        <v>43331</v>
      </c>
      <c r="AC1376" s="44" t="str">
        <f>IFERROR(VLOOKUP(A1376,'[2]UPDATE BILL 2018'!$B:$V,21,0),IFERROR(VLOOKUP(A1376,'[2]UPDATE BILL 2018'!$C:$V,20,0),IFERROR(VLOOKUP(A1376,'[2]UPDATE BILL 2018'!$D:$V,19,0),IFERROR(VLOOKUP(A1376,'[2]UPDATE BILL 2018'!$E:$V,18,0),IFERROR(VLOOKUP(A1376,'[2]UPDATE BILL 2018'!$F:$V,17,0),IFERROR(VLOOKUP(A1376,'[2]UPDATE BILL 2018'!$G:$V,16,0),IFERROR(VLOOKUP(A1376,'[2]UPDATE BILL 2018'!$H:$V,15,0),IFERROR(VLOOKUP(A1376,'[2]UPDATE BILL 2018'!$I:$V,14,0),VLOOKUP(A1376,'[2]UPDATE BILL 2018'!$B:$V,21,0)))))))))</f>
        <v>SITC NAGOYA 1823N</v>
      </c>
      <c r="AD1376" s="14" t="s">
        <v>51</v>
      </c>
      <c r="AE1376" s="24" t="s">
        <v>3527</v>
      </c>
      <c r="AF1376" s="25" t="s">
        <v>2150</v>
      </c>
      <c r="AG1376" t="e">
        <f t="shared" si="109"/>
        <v>#N/A</v>
      </c>
      <c r="AI1376" s="58"/>
    </row>
    <row r="1377" spans="1:35" ht="15.75" customHeight="1">
      <c r="A1377" s="6" t="s">
        <v>3517</v>
      </c>
      <c r="D1377" s="7">
        <f t="shared" si="116"/>
        <v>0</v>
      </c>
      <c r="E1377" s="7">
        <v>0</v>
      </c>
      <c r="F1377" s="5">
        <v>0</v>
      </c>
      <c r="G1377" s="7">
        <v>0</v>
      </c>
      <c r="H1377" s="5">
        <v>0</v>
      </c>
      <c r="I1377" s="7">
        <v>0</v>
      </c>
      <c r="J1377" s="7">
        <v>0</v>
      </c>
      <c r="K1377" s="5">
        <v>0</v>
      </c>
      <c r="L1377" s="5">
        <v>0</v>
      </c>
      <c r="M1377" s="5">
        <v>0</v>
      </c>
      <c r="N1377" s="7">
        <f t="shared" si="117"/>
        <v>0</v>
      </c>
      <c r="O1377" s="7">
        <v>0</v>
      </c>
      <c r="P1377" s="7">
        <v>0</v>
      </c>
      <c r="Q1377" s="5">
        <v>0</v>
      </c>
      <c r="R1377" s="5">
        <v>100</v>
      </c>
      <c r="S1377" s="7">
        <v>17075</v>
      </c>
      <c r="T1377" s="12">
        <v>43328</v>
      </c>
      <c r="U1377" s="4">
        <v>1</v>
      </c>
      <c r="V1377" s="4">
        <v>9</v>
      </c>
      <c r="W1377" s="4">
        <v>9</v>
      </c>
      <c r="X1377" s="45">
        <f t="shared" si="118"/>
        <v>17075</v>
      </c>
      <c r="Y1377" s="14" t="s">
        <v>54</v>
      </c>
      <c r="Z1377" s="14" t="s">
        <v>57</v>
      </c>
      <c r="AA1377" s="14" t="str">
        <f>IFERROR(VLOOKUP(A1377,'[2]UPDATE BILL 2018'!$B:$P,15,0),IFERROR(VLOOKUP(A1377,'[2]UPDATE BILL 2018'!$C:$P,14,0),IFERROR(VLOOKUP(A1377,'[2]UPDATE BILL 2018'!$D:$P,13,0),IFERROR(VLOOKUP(A1377,'[2]UPDATE BILL 2018'!$E:$P,12,0),IFERROR(VLOOKUP(A1377,'[2]UPDATE BILL 2018'!$F:$P,11,0),IFERROR(VLOOKUP(A1377,'[2]UPDATE BILL 2018'!$G:$P,10,0),IFERROR(VLOOKUP(A1377,'[2]UPDATE BILL 2018'!$H:$P,9,0),IFERROR(VLOOKUP(A1377,'[2]UPDATE BILL 2018'!$I:$P,8,0),VLOOKUP(A1377,'[2]UPDATE BILL 2018'!$B:$P,15,0)))))))))</f>
        <v>SITWHPKW174968</v>
      </c>
      <c r="AB1377" s="44">
        <f>IFERROR(VLOOKUP(A1377,'[2]UPDATE BILL 2018'!$B:$T,19,0),IFERROR(VLOOKUP(A1377,'[2]UPDATE BILL 2018'!$C:$T,18,0),IFERROR(VLOOKUP(A1377,'[2]UPDATE BILL 2018'!$D:$T,17,0),IFERROR(VLOOKUP(A1377,'[2]UPDATE BILL 2018'!$E:$T,16,0),IFERROR(VLOOKUP(A1377,'[2]UPDATE BILL 2018'!$F:$T,15,0),IFERROR(VLOOKUP(A1377,'[2]UPDATE BILL 2018'!$G:$T,14,0),IFERROR(VLOOKUP(A1377,'[2]UPDATE BILL 2018'!$H:$T,13,0),IFERROR(VLOOKUP(A1377,'[2]UPDATE BILL 2018'!$I:$T,12,0),VLOOKUP(A1377,'[2]UPDATE BILL 2018'!$B:$T,19,0)))))))))</f>
        <v>43331</v>
      </c>
      <c r="AC1377" s="44" t="str">
        <f>IFERROR(VLOOKUP(A1377,'[2]UPDATE BILL 2018'!$B:$V,21,0),IFERROR(VLOOKUP(A1377,'[2]UPDATE BILL 2018'!$C:$V,20,0),IFERROR(VLOOKUP(A1377,'[2]UPDATE BILL 2018'!$D:$V,19,0),IFERROR(VLOOKUP(A1377,'[2]UPDATE BILL 2018'!$E:$V,18,0),IFERROR(VLOOKUP(A1377,'[2]UPDATE BILL 2018'!$F:$V,17,0),IFERROR(VLOOKUP(A1377,'[2]UPDATE BILL 2018'!$G:$V,16,0),IFERROR(VLOOKUP(A1377,'[2]UPDATE BILL 2018'!$H:$V,15,0),IFERROR(VLOOKUP(A1377,'[2]UPDATE BILL 2018'!$I:$V,14,0),VLOOKUP(A1377,'[2]UPDATE BILL 2018'!$B:$V,21,0)))))))))</f>
        <v>REFLECTION 1823N</v>
      </c>
      <c r="AD1377" s="14" t="s">
        <v>50</v>
      </c>
      <c r="AE1377" s="24" t="s">
        <v>3528</v>
      </c>
      <c r="AF1377" s="25" t="s">
        <v>2151</v>
      </c>
      <c r="AG1377" t="e">
        <f t="shared" si="109"/>
        <v>#N/A</v>
      </c>
      <c r="AI1377" s="58"/>
    </row>
    <row r="1378" spans="1:35" ht="15.75" customHeight="1">
      <c r="A1378" s="6" t="s">
        <v>3518</v>
      </c>
      <c r="D1378" s="7">
        <f t="shared" si="116"/>
        <v>0</v>
      </c>
      <c r="E1378" s="7">
        <v>0</v>
      </c>
      <c r="F1378" s="5">
        <v>0</v>
      </c>
      <c r="G1378" s="7">
        <v>0</v>
      </c>
      <c r="H1378" s="5">
        <v>0</v>
      </c>
      <c r="I1378" s="7">
        <v>0</v>
      </c>
      <c r="J1378" s="7">
        <v>0</v>
      </c>
      <c r="K1378" s="5">
        <v>0</v>
      </c>
      <c r="L1378" s="5">
        <v>0</v>
      </c>
      <c r="M1378" s="5">
        <v>0</v>
      </c>
      <c r="N1378" s="7">
        <f t="shared" si="117"/>
        <v>0</v>
      </c>
      <c r="O1378" s="7">
        <v>0</v>
      </c>
      <c r="P1378" s="7">
        <v>0</v>
      </c>
      <c r="Q1378" s="5">
        <v>0</v>
      </c>
      <c r="R1378" s="5">
        <v>75</v>
      </c>
      <c r="S1378" s="7">
        <v>12277.5</v>
      </c>
      <c r="T1378" s="12">
        <v>43328</v>
      </c>
      <c r="U1378" s="4">
        <v>1</v>
      </c>
      <c r="V1378" s="4">
        <v>9</v>
      </c>
      <c r="W1378" s="4">
        <v>9</v>
      </c>
      <c r="X1378" s="45">
        <f t="shared" si="118"/>
        <v>12277.5</v>
      </c>
      <c r="Y1378" s="14" t="s">
        <v>54</v>
      </c>
      <c r="Z1378" s="14" t="s">
        <v>1355</v>
      </c>
      <c r="AA1378" s="14" t="str">
        <f>IFERROR(VLOOKUP(A1378,'[2]UPDATE BILL 2018'!$B:$P,15,0),IFERROR(VLOOKUP(A1378,'[2]UPDATE BILL 2018'!$C:$P,14,0),IFERROR(VLOOKUP(A1378,'[2]UPDATE BILL 2018'!$D:$P,13,0),IFERROR(VLOOKUP(A1378,'[2]UPDATE BILL 2018'!$E:$P,12,0),IFERROR(VLOOKUP(A1378,'[2]UPDATE BILL 2018'!$F:$P,11,0),IFERROR(VLOOKUP(A1378,'[2]UPDATE BILL 2018'!$G:$P,10,0),IFERROR(VLOOKUP(A1378,'[2]UPDATE BILL 2018'!$H:$P,9,0),IFERROR(VLOOKUP(A1378,'[2]UPDATE BILL 2018'!$I:$P,8,0),VLOOKUP(A1378,'[2]UPDATE BILL 2018'!$B:$P,15,0)))))))))</f>
        <v>SITWHPKW175201</v>
      </c>
      <c r="AB1378" s="44">
        <f>IFERROR(VLOOKUP(A1378,'[2]UPDATE BILL 2018'!$B:$T,19,0),IFERROR(VLOOKUP(A1378,'[2]UPDATE BILL 2018'!$C:$T,18,0),IFERROR(VLOOKUP(A1378,'[2]UPDATE BILL 2018'!$D:$T,17,0),IFERROR(VLOOKUP(A1378,'[2]UPDATE BILL 2018'!$E:$T,16,0),IFERROR(VLOOKUP(A1378,'[2]UPDATE BILL 2018'!$F:$T,15,0),IFERROR(VLOOKUP(A1378,'[2]UPDATE BILL 2018'!$G:$T,14,0),IFERROR(VLOOKUP(A1378,'[2]UPDATE BILL 2018'!$H:$T,13,0),IFERROR(VLOOKUP(A1378,'[2]UPDATE BILL 2018'!$I:$T,12,0),VLOOKUP(A1378,'[2]UPDATE BILL 2018'!$B:$T,19,0)))))))))</f>
        <v>43337</v>
      </c>
      <c r="AC1378" s="44" t="str">
        <f>IFERROR(VLOOKUP(A1378,'[2]UPDATE BILL 2018'!$B:$V,21,0),IFERROR(VLOOKUP(A1378,'[2]UPDATE BILL 2018'!$C:$V,20,0),IFERROR(VLOOKUP(A1378,'[2]UPDATE BILL 2018'!$D:$V,19,0),IFERROR(VLOOKUP(A1378,'[2]UPDATE BILL 2018'!$E:$V,18,0),IFERROR(VLOOKUP(A1378,'[2]UPDATE BILL 2018'!$F:$V,17,0),IFERROR(VLOOKUP(A1378,'[2]UPDATE BILL 2018'!$G:$V,16,0),IFERROR(VLOOKUP(A1378,'[2]UPDATE BILL 2018'!$H:$V,15,0),IFERROR(VLOOKUP(A1378,'[2]UPDATE BILL 2018'!$I:$V,14,0),VLOOKUP(A1378,'[2]UPDATE BILL 2018'!$B:$V,21,0)))))))))</f>
        <v>SITC YOKKAICHI 1821N</v>
      </c>
      <c r="AD1378" s="14" t="s">
        <v>50</v>
      </c>
      <c r="AE1378" s="24" t="s">
        <v>3529</v>
      </c>
      <c r="AF1378" s="25" t="s">
        <v>2151</v>
      </c>
      <c r="AG1378" t="e">
        <f t="shared" si="109"/>
        <v>#N/A</v>
      </c>
      <c r="AI1378" s="58"/>
    </row>
    <row r="1379" spans="1:35" ht="15.75" customHeight="1">
      <c r="A1379" s="6" t="s">
        <v>3534</v>
      </c>
      <c r="B1379" s="5">
        <v>176</v>
      </c>
      <c r="C1379" s="7">
        <v>10075.999999999998</v>
      </c>
      <c r="D1379" s="7">
        <f t="shared" si="116"/>
        <v>0</v>
      </c>
      <c r="E1379" s="7">
        <v>0</v>
      </c>
      <c r="F1379" s="5">
        <v>0</v>
      </c>
      <c r="G1379" s="7">
        <v>0</v>
      </c>
      <c r="H1379" s="5">
        <v>133</v>
      </c>
      <c r="I1379" s="7">
        <v>17452.120000000003</v>
      </c>
      <c r="J1379" s="7">
        <v>0</v>
      </c>
      <c r="K1379" s="5">
        <v>0</v>
      </c>
      <c r="L1379" s="5">
        <v>0</v>
      </c>
      <c r="M1379" s="5">
        <v>284</v>
      </c>
      <c r="N1379" s="7">
        <f t="shared" si="117"/>
        <v>284</v>
      </c>
      <c r="O1379" s="7">
        <v>8698.4000000000015</v>
      </c>
      <c r="P1379" s="7">
        <v>0</v>
      </c>
      <c r="Q1379" s="5">
        <v>0</v>
      </c>
      <c r="S1379" s="7">
        <v>0</v>
      </c>
      <c r="T1379" s="12">
        <v>43329</v>
      </c>
      <c r="U1379" s="4">
        <v>2</v>
      </c>
      <c r="V1379" s="4">
        <v>9</v>
      </c>
      <c r="W1379" s="4">
        <v>9</v>
      </c>
      <c r="X1379" s="45">
        <f t="shared" si="118"/>
        <v>36226.520000000004</v>
      </c>
      <c r="Y1379" s="14" t="s">
        <v>54</v>
      </c>
      <c r="Z1379" s="14" t="s">
        <v>2525</v>
      </c>
      <c r="AA1379" s="14" t="str">
        <f>IFERROR(VLOOKUP(A1379,'[2]UPDATE BILL 2018'!$B:$P,15,0),IFERROR(VLOOKUP(A1379,'[2]UPDATE BILL 2018'!$C:$P,14,0),IFERROR(VLOOKUP(A1379,'[2]UPDATE BILL 2018'!$D:$P,13,0),IFERROR(VLOOKUP(A1379,'[2]UPDATE BILL 2018'!$E:$P,12,0),IFERROR(VLOOKUP(A1379,'[2]UPDATE BILL 2018'!$F:$P,11,0),IFERROR(VLOOKUP(A1379,'[2]UPDATE BILL 2018'!$G:$P,10,0),IFERROR(VLOOKUP(A1379,'[2]UPDATE BILL 2018'!$H:$P,9,0),IFERROR(VLOOKUP(A1379,'[2]UPDATE BILL 2018'!$I:$P,8,0),VLOOKUP(A1379,'[2]UPDATE BILL 2018'!$B:$P,15,0)))))))))</f>
        <v>SITWHPTK174956</v>
      </c>
      <c r="AB1379" s="44">
        <f>IFERROR(VLOOKUP(A1379,'[2]UPDATE BILL 2018'!$B:$T,19,0),IFERROR(VLOOKUP(A1379,'[2]UPDATE BILL 2018'!$C:$T,18,0),IFERROR(VLOOKUP(A1379,'[2]UPDATE BILL 2018'!$D:$T,17,0),IFERROR(VLOOKUP(A1379,'[2]UPDATE BILL 2018'!$E:$T,16,0),IFERROR(VLOOKUP(A1379,'[2]UPDATE BILL 2018'!$F:$T,15,0),IFERROR(VLOOKUP(A1379,'[2]UPDATE BILL 2018'!$G:$T,14,0),IFERROR(VLOOKUP(A1379,'[2]UPDATE BILL 2018'!$H:$T,13,0),IFERROR(VLOOKUP(A1379,'[2]UPDATE BILL 2018'!$I:$T,12,0),VLOOKUP(A1379,'[2]UPDATE BILL 2018'!$B:$T,19,0)))))))))</f>
        <v>43331</v>
      </c>
      <c r="AC1379" s="44" t="str">
        <f>IFERROR(VLOOKUP(A1379,'[2]UPDATE BILL 2018'!$B:$V,21,0),IFERROR(VLOOKUP(A1379,'[2]UPDATE BILL 2018'!$C:$V,20,0),IFERROR(VLOOKUP(A1379,'[2]UPDATE BILL 2018'!$D:$V,19,0),IFERROR(VLOOKUP(A1379,'[2]UPDATE BILL 2018'!$E:$V,18,0),IFERROR(VLOOKUP(A1379,'[2]UPDATE BILL 2018'!$F:$V,17,0),IFERROR(VLOOKUP(A1379,'[2]UPDATE BILL 2018'!$G:$V,16,0),IFERROR(VLOOKUP(A1379,'[2]UPDATE BILL 2018'!$H:$V,15,0),IFERROR(VLOOKUP(A1379,'[2]UPDATE BILL 2018'!$I:$V,14,0),VLOOKUP(A1379,'[2]UPDATE BILL 2018'!$B:$V,21,0)))))))))</f>
        <v>REFLECTION 1823N</v>
      </c>
      <c r="AD1379" s="14" t="s">
        <v>49</v>
      </c>
      <c r="AE1379" s="24" t="s">
        <v>3540</v>
      </c>
      <c r="AF1379" s="25" t="str">
        <f t="shared" ref="AF1379:AF1385" si="120">+LEFT(AE1379,2)</f>
        <v>VK</v>
      </c>
      <c r="AG1379" t="e">
        <f t="shared" si="109"/>
        <v>#REF!</v>
      </c>
      <c r="AI1379" s="58"/>
    </row>
    <row r="1380" spans="1:35" ht="15.75" customHeight="1">
      <c r="A1380" s="6" t="s">
        <v>3538</v>
      </c>
      <c r="D1380" s="7">
        <f t="shared" si="116"/>
        <v>0</v>
      </c>
      <c r="E1380" s="7">
        <v>0</v>
      </c>
      <c r="F1380" s="5">
        <v>0</v>
      </c>
      <c r="G1380" s="7">
        <v>0</v>
      </c>
      <c r="H1380" s="5">
        <v>207</v>
      </c>
      <c r="I1380" s="7">
        <v>24765.020000000004</v>
      </c>
      <c r="J1380" s="7">
        <v>0</v>
      </c>
      <c r="K1380" s="5">
        <v>0</v>
      </c>
      <c r="L1380" s="5">
        <v>0</v>
      </c>
      <c r="M1380" s="5">
        <v>0</v>
      </c>
      <c r="N1380" s="7">
        <f t="shared" si="117"/>
        <v>0</v>
      </c>
      <c r="O1380" s="7">
        <v>0</v>
      </c>
      <c r="P1380" s="7">
        <v>0</v>
      </c>
      <c r="Q1380" s="5">
        <v>0</v>
      </c>
      <c r="S1380" s="7">
        <v>0</v>
      </c>
      <c r="T1380" s="12">
        <v>43329</v>
      </c>
      <c r="U1380" s="4">
        <v>2</v>
      </c>
      <c r="V1380" s="4">
        <v>9</v>
      </c>
      <c r="W1380" s="4">
        <v>9</v>
      </c>
      <c r="X1380" s="45">
        <f t="shared" si="118"/>
        <v>24765.020000000004</v>
      </c>
      <c r="Y1380" s="14" t="s">
        <v>85</v>
      </c>
      <c r="Z1380" s="14" t="s">
        <v>1637</v>
      </c>
      <c r="AA1380" s="14">
        <f>IFERROR(VLOOKUP(A1380,'[2]UPDATE BILL 2018'!$B:$P,15,0),IFERROR(VLOOKUP(A1380,'[2]UPDATE BILL 2018'!$C:$P,14,0),IFERROR(VLOOKUP(A1380,'[2]UPDATE BILL 2018'!$D:$P,13,0),IFERROR(VLOOKUP(A1380,'[2]UPDATE BILL 2018'!$E:$P,12,0),IFERROR(VLOOKUP(A1380,'[2]UPDATE BILL 2018'!$F:$P,11,0),IFERROR(VLOOKUP(A1380,'[2]UPDATE BILL 2018'!$G:$P,10,0),IFERROR(VLOOKUP(A1380,'[2]UPDATE BILL 2018'!$H:$P,9,0),IFERROR(VLOOKUP(A1380,'[2]UPDATE BILL 2018'!$I:$P,8,0),VLOOKUP(A1380,'[2]UPDATE BILL 2018'!$B:$P,15,0)))))))))</f>
        <v>350810098323</v>
      </c>
      <c r="AB1380" s="44">
        <f>IFERROR(VLOOKUP(A1380,'[2]UPDATE BILL 2018'!$B:$T,19,0),IFERROR(VLOOKUP(A1380,'[2]UPDATE BILL 2018'!$C:$T,18,0),IFERROR(VLOOKUP(A1380,'[2]UPDATE BILL 2018'!$D:$T,17,0),IFERROR(VLOOKUP(A1380,'[2]UPDATE BILL 2018'!$E:$T,16,0),IFERROR(VLOOKUP(A1380,'[2]UPDATE BILL 2018'!$F:$T,15,0),IFERROR(VLOOKUP(A1380,'[2]UPDATE BILL 2018'!$G:$T,14,0),IFERROR(VLOOKUP(A1380,'[2]UPDATE BILL 2018'!$H:$T,13,0),IFERROR(VLOOKUP(A1380,'[2]UPDATE BILL 2018'!$I:$T,12,0),VLOOKUP(A1380,'[2]UPDATE BILL 2018'!$B:$T,19,0)))))))))</f>
        <v>43334</v>
      </c>
      <c r="AC1380" s="44" t="str">
        <f>IFERROR(VLOOKUP(A1380,'[2]UPDATE BILL 2018'!$B:$V,21,0),IFERROR(VLOOKUP(A1380,'[2]UPDATE BILL 2018'!$C:$V,20,0),IFERROR(VLOOKUP(A1380,'[2]UPDATE BILL 2018'!$D:$V,19,0),IFERROR(VLOOKUP(A1380,'[2]UPDATE BILL 2018'!$E:$V,18,0),IFERROR(VLOOKUP(A1380,'[2]UPDATE BILL 2018'!$F:$V,17,0),IFERROR(VLOOKUP(A1380,'[2]UPDATE BILL 2018'!$G:$V,16,0),IFERROR(VLOOKUP(A1380,'[2]UPDATE BILL 2018'!$H:$V,15,0),IFERROR(VLOOKUP(A1380,'[2]UPDATE BILL 2018'!$I:$V,14,0),VLOOKUP(A1380,'[2]UPDATE BILL 2018'!$B:$V,21,0)))))))))</f>
        <v>MARCLIFF 18014N</v>
      </c>
      <c r="AD1380" s="14" t="s">
        <v>49</v>
      </c>
      <c r="AE1380" s="24" t="s">
        <v>3541</v>
      </c>
      <c r="AF1380" s="25" t="str">
        <f t="shared" si="120"/>
        <v>VK</v>
      </c>
      <c r="AG1380" t="e">
        <f t="shared" si="109"/>
        <v>#REF!</v>
      </c>
      <c r="AI1380" s="58"/>
    </row>
    <row r="1381" spans="1:35" ht="15.75" customHeight="1">
      <c r="A1381" s="6" t="s">
        <v>3533</v>
      </c>
      <c r="B1381" s="5">
        <v>55</v>
      </c>
      <c r="C1381" s="7">
        <v>4830.1000000000004</v>
      </c>
      <c r="D1381" s="7">
        <f t="shared" si="116"/>
        <v>0</v>
      </c>
      <c r="E1381" s="7">
        <v>0</v>
      </c>
      <c r="F1381" s="5">
        <v>0</v>
      </c>
      <c r="G1381" s="7">
        <v>0</v>
      </c>
      <c r="H1381" s="5">
        <v>89</v>
      </c>
      <c r="I1381" s="7">
        <v>8133.92</v>
      </c>
      <c r="J1381" s="7">
        <v>0</v>
      </c>
      <c r="K1381" s="5">
        <v>0</v>
      </c>
      <c r="L1381" s="5">
        <v>0</v>
      </c>
      <c r="M1381" s="5">
        <v>75</v>
      </c>
      <c r="N1381" s="7">
        <f t="shared" si="117"/>
        <v>75</v>
      </c>
      <c r="O1381" s="7">
        <v>10430.600000000002</v>
      </c>
      <c r="P1381" s="7">
        <v>0</v>
      </c>
      <c r="Q1381" s="5">
        <v>0</v>
      </c>
      <c r="R1381" s="5">
        <v>15</v>
      </c>
      <c r="S1381" s="7">
        <v>755.85</v>
      </c>
      <c r="T1381" s="12">
        <v>43329</v>
      </c>
      <c r="U1381" s="4">
        <v>2</v>
      </c>
      <c r="V1381" s="4">
        <v>9</v>
      </c>
      <c r="W1381" s="4">
        <v>9</v>
      </c>
      <c r="X1381" s="45">
        <f t="shared" si="118"/>
        <v>24150.47</v>
      </c>
      <c r="Y1381" s="14" t="s">
        <v>54</v>
      </c>
      <c r="Z1381" s="14" t="s">
        <v>1355</v>
      </c>
      <c r="AA1381" s="14" t="str">
        <f>IFERROR(VLOOKUP(A1381,'[2]UPDATE BILL 2018'!$B:$P,15,0),IFERROR(VLOOKUP(A1381,'[2]UPDATE BILL 2018'!$C:$P,14,0),IFERROR(VLOOKUP(A1381,'[2]UPDATE BILL 2018'!$D:$P,13,0),IFERROR(VLOOKUP(A1381,'[2]UPDATE BILL 2018'!$E:$P,12,0),IFERROR(VLOOKUP(A1381,'[2]UPDATE BILL 2018'!$F:$P,11,0),IFERROR(VLOOKUP(A1381,'[2]UPDATE BILL 2018'!$G:$P,10,0),IFERROR(VLOOKUP(A1381,'[2]UPDATE BILL 2018'!$H:$P,9,0),IFERROR(VLOOKUP(A1381,'[2]UPDATE BILL 2018'!$I:$P,8,0),VLOOKUP(A1381,'[2]UPDATE BILL 2018'!$B:$P,15,0)))))))))</f>
        <v>SITWHPHT175611</v>
      </c>
      <c r="AB1381" s="44">
        <f>IFERROR(VLOOKUP(A1381,'[2]UPDATE BILL 2018'!$B:$T,19,0),IFERROR(VLOOKUP(A1381,'[2]UPDATE BILL 2018'!$C:$T,18,0),IFERROR(VLOOKUP(A1381,'[2]UPDATE BILL 2018'!$D:$T,17,0),IFERROR(VLOOKUP(A1381,'[2]UPDATE BILL 2018'!$E:$T,16,0),IFERROR(VLOOKUP(A1381,'[2]UPDATE BILL 2018'!$F:$T,15,0),IFERROR(VLOOKUP(A1381,'[2]UPDATE BILL 2018'!$G:$T,14,0),IFERROR(VLOOKUP(A1381,'[2]UPDATE BILL 2018'!$H:$T,13,0),IFERROR(VLOOKUP(A1381,'[2]UPDATE BILL 2018'!$I:$T,12,0),VLOOKUP(A1381,'[2]UPDATE BILL 2018'!$B:$T,19,0)))))))))</f>
        <v>43331</v>
      </c>
      <c r="AC1381" s="44" t="str">
        <f>IFERROR(VLOOKUP(A1381,'[2]UPDATE BILL 2018'!$B:$V,21,0),IFERROR(VLOOKUP(A1381,'[2]UPDATE BILL 2018'!$C:$V,20,0),IFERROR(VLOOKUP(A1381,'[2]UPDATE BILL 2018'!$D:$V,19,0),IFERROR(VLOOKUP(A1381,'[2]UPDATE BILL 2018'!$E:$V,18,0),IFERROR(VLOOKUP(A1381,'[2]UPDATE BILL 2018'!$F:$V,17,0),IFERROR(VLOOKUP(A1381,'[2]UPDATE BILL 2018'!$G:$V,16,0),IFERROR(VLOOKUP(A1381,'[2]UPDATE BILL 2018'!$H:$V,15,0),IFERROR(VLOOKUP(A1381,'[2]UPDATE BILL 2018'!$I:$V,14,0),VLOOKUP(A1381,'[2]UPDATE BILL 2018'!$B:$V,21,0)))))))))</f>
        <v>SITC NAGOYA 1823N</v>
      </c>
      <c r="AD1381" s="14" t="s">
        <v>52</v>
      </c>
      <c r="AE1381" s="24" t="s">
        <v>3542</v>
      </c>
      <c r="AF1381" s="25" t="str">
        <f t="shared" si="120"/>
        <v>VQ</v>
      </c>
      <c r="AG1381" t="e">
        <f t="shared" si="109"/>
        <v>#REF!</v>
      </c>
      <c r="AI1381" s="58"/>
    </row>
    <row r="1382" spans="1:35" ht="15.75" customHeight="1">
      <c r="A1382" s="6" t="s">
        <v>3532</v>
      </c>
      <c r="B1382" s="5">
        <v>425</v>
      </c>
      <c r="C1382" s="7">
        <v>32794.22</v>
      </c>
      <c r="D1382" s="7">
        <f t="shared" si="116"/>
        <v>0</v>
      </c>
      <c r="E1382" s="7">
        <v>0</v>
      </c>
      <c r="F1382" s="5">
        <v>0</v>
      </c>
      <c r="G1382" s="7">
        <v>0</v>
      </c>
      <c r="H1382" s="5">
        <v>530</v>
      </c>
      <c r="I1382" s="7">
        <v>38257.030000000006</v>
      </c>
      <c r="J1382" s="7">
        <v>0</v>
      </c>
      <c r="K1382" s="5">
        <v>0</v>
      </c>
      <c r="L1382" s="5">
        <v>0</v>
      </c>
      <c r="M1382" s="5">
        <v>136</v>
      </c>
      <c r="N1382" s="7">
        <f t="shared" si="117"/>
        <v>136</v>
      </c>
      <c r="O1382" s="7">
        <v>12138.300000000001</v>
      </c>
      <c r="P1382" s="7">
        <v>0</v>
      </c>
      <c r="Q1382" s="5">
        <v>0</v>
      </c>
      <c r="R1382" s="5">
        <v>87</v>
      </c>
      <c r="S1382" s="7">
        <v>4360.1099999999997</v>
      </c>
      <c r="T1382" s="12">
        <v>43329</v>
      </c>
      <c r="U1382" s="4">
        <v>6</v>
      </c>
      <c r="V1382" s="4">
        <v>9</v>
      </c>
      <c r="W1382" s="4">
        <v>9</v>
      </c>
      <c r="X1382" s="45">
        <f t="shared" si="118"/>
        <v>87549.66</v>
      </c>
      <c r="Y1382" s="14" t="s">
        <v>54</v>
      </c>
      <c r="Z1382" s="14" t="s">
        <v>59</v>
      </c>
      <c r="AA1382" s="14" t="str">
        <f>IFERROR(VLOOKUP(A1382,'[2]UPDATE BILL 2018'!$B:$P,15,0),IFERROR(VLOOKUP(A1382,'[2]UPDATE BILL 2018'!$C:$P,14,0),IFERROR(VLOOKUP(A1382,'[2]UPDATE BILL 2018'!$D:$P,13,0),IFERROR(VLOOKUP(A1382,'[2]UPDATE BILL 2018'!$E:$P,12,0),IFERROR(VLOOKUP(A1382,'[2]UPDATE BILL 2018'!$F:$P,11,0),IFERROR(VLOOKUP(A1382,'[2]UPDATE BILL 2018'!$G:$P,10,0),IFERROR(VLOOKUP(A1382,'[2]UPDATE BILL 2018'!$H:$P,9,0),IFERROR(VLOOKUP(A1382,'[2]UPDATE BILL 2018'!$I:$P,8,0),VLOOKUP(A1382,'[2]UPDATE BILL 2018'!$B:$P,15,0)))))))))</f>
        <v>SITWHPOS174962</v>
      </c>
      <c r="AB1382" s="44">
        <f>IFERROR(VLOOKUP(A1382,'[2]UPDATE BILL 2018'!$B:$T,19,0),IFERROR(VLOOKUP(A1382,'[2]UPDATE BILL 2018'!$C:$T,18,0),IFERROR(VLOOKUP(A1382,'[2]UPDATE BILL 2018'!$D:$T,17,0),IFERROR(VLOOKUP(A1382,'[2]UPDATE BILL 2018'!$E:$T,16,0),IFERROR(VLOOKUP(A1382,'[2]UPDATE BILL 2018'!$F:$T,15,0),IFERROR(VLOOKUP(A1382,'[2]UPDATE BILL 2018'!$G:$T,14,0),IFERROR(VLOOKUP(A1382,'[2]UPDATE BILL 2018'!$H:$T,13,0),IFERROR(VLOOKUP(A1382,'[2]UPDATE BILL 2018'!$I:$T,12,0),VLOOKUP(A1382,'[2]UPDATE BILL 2018'!$B:$T,19,0)))))))))</f>
        <v>43331</v>
      </c>
      <c r="AC1382" s="44" t="str">
        <f>IFERROR(VLOOKUP(A1382,'[2]UPDATE BILL 2018'!$B:$V,21,0),IFERROR(VLOOKUP(A1382,'[2]UPDATE BILL 2018'!$C:$V,20,0),IFERROR(VLOOKUP(A1382,'[2]UPDATE BILL 2018'!$D:$V,19,0),IFERROR(VLOOKUP(A1382,'[2]UPDATE BILL 2018'!$E:$V,18,0),IFERROR(VLOOKUP(A1382,'[2]UPDATE BILL 2018'!$F:$V,17,0),IFERROR(VLOOKUP(A1382,'[2]UPDATE BILL 2018'!$G:$V,16,0),IFERROR(VLOOKUP(A1382,'[2]UPDATE BILL 2018'!$H:$V,15,0),IFERROR(VLOOKUP(A1382,'[2]UPDATE BILL 2018'!$I:$V,14,0),VLOOKUP(A1382,'[2]UPDATE BILL 2018'!$B:$V,21,0)))))))))</f>
        <v>SITC NAGOYA 1823N</v>
      </c>
      <c r="AD1382" s="14" t="s">
        <v>51</v>
      </c>
      <c r="AE1382" s="24" t="s">
        <v>3543</v>
      </c>
      <c r="AF1382" s="25" t="str">
        <f t="shared" si="120"/>
        <v>VS</v>
      </c>
      <c r="AG1382" t="e">
        <f t="shared" si="109"/>
        <v>#REF!</v>
      </c>
      <c r="AI1382" s="58"/>
    </row>
    <row r="1383" spans="1:35" ht="15.75" customHeight="1">
      <c r="A1383" s="6" t="s">
        <v>3539</v>
      </c>
      <c r="B1383" s="5">
        <v>514</v>
      </c>
      <c r="C1383" s="7">
        <v>52090.8</v>
      </c>
      <c r="D1383" s="7">
        <f t="shared" si="116"/>
        <v>0</v>
      </c>
      <c r="E1383" s="7">
        <v>0</v>
      </c>
      <c r="F1383" s="5">
        <v>0</v>
      </c>
      <c r="G1383" s="7">
        <v>0</v>
      </c>
      <c r="H1383" s="5">
        <v>195</v>
      </c>
      <c r="I1383" s="7">
        <v>23354.2</v>
      </c>
      <c r="J1383" s="7">
        <v>0</v>
      </c>
      <c r="K1383" s="5">
        <v>0</v>
      </c>
      <c r="L1383" s="5">
        <v>0</v>
      </c>
      <c r="M1383" s="5">
        <v>0</v>
      </c>
      <c r="N1383" s="7">
        <f t="shared" si="117"/>
        <v>0</v>
      </c>
      <c r="O1383" s="7">
        <v>0</v>
      </c>
      <c r="P1383" s="7">
        <v>0</v>
      </c>
      <c r="Q1383" s="5">
        <v>0</v>
      </c>
      <c r="S1383" s="7">
        <v>0</v>
      </c>
      <c r="T1383" s="12">
        <v>43329</v>
      </c>
      <c r="U1383" s="4">
        <v>6</v>
      </c>
      <c r="V1383" s="4">
        <v>9</v>
      </c>
      <c r="W1383" s="4">
        <v>9</v>
      </c>
      <c r="X1383" s="45">
        <f t="shared" si="118"/>
        <v>75445</v>
      </c>
      <c r="Y1383" s="14" t="s">
        <v>56</v>
      </c>
      <c r="Z1383" s="14" t="s">
        <v>1281</v>
      </c>
      <c r="AA1383" s="14" t="str">
        <f>IFERROR(VLOOKUP(A1383,'[2]UPDATE BILL 2018'!$B:$P,15,0),IFERROR(VLOOKUP(A1383,'[2]UPDATE BILL 2018'!$C:$P,14,0),IFERROR(VLOOKUP(A1383,'[2]UPDATE BILL 2018'!$D:$P,13,0),IFERROR(VLOOKUP(A1383,'[2]UPDATE BILL 2018'!$E:$P,12,0),IFERROR(VLOOKUP(A1383,'[2]UPDATE BILL 2018'!$F:$P,11,0),IFERROR(VLOOKUP(A1383,'[2]UPDATE BILL 2018'!$G:$P,10,0),IFERROR(VLOOKUP(A1383,'[2]UPDATE BILL 2018'!$H:$P,9,0),IFERROR(VLOOKUP(A1383,'[2]UPDATE BILL 2018'!$I:$P,8,0),VLOOKUP(A1383,'[2]UPDATE BILL 2018'!$B:$P,15,0)))))))))</f>
        <v>1008X04533</v>
      </c>
      <c r="AB1383" s="44">
        <f>IFERROR(VLOOKUP(A1383,'[2]UPDATE BILL 2018'!$B:$T,19,0),IFERROR(VLOOKUP(A1383,'[2]UPDATE BILL 2018'!$C:$T,18,0),IFERROR(VLOOKUP(A1383,'[2]UPDATE BILL 2018'!$D:$T,17,0),IFERROR(VLOOKUP(A1383,'[2]UPDATE BILL 2018'!$E:$T,16,0),IFERROR(VLOOKUP(A1383,'[2]UPDATE BILL 2018'!$F:$T,15,0),IFERROR(VLOOKUP(A1383,'[2]UPDATE BILL 2018'!$G:$T,14,0),IFERROR(VLOOKUP(A1383,'[2]UPDATE BILL 2018'!$H:$T,13,0),IFERROR(VLOOKUP(A1383,'[2]UPDATE BILL 2018'!$I:$T,12,0),VLOOKUP(A1383,'[2]UPDATE BILL 2018'!$B:$T,19,0)))))))))</f>
        <v>43334</v>
      </c>
      <c r="AC1383" s="44" t="str">
        <f>IFERROR(VLOOKUP(A1383,'[2]UPDATE BILL 2018'!$B:$V,21,0),IFERROR(VLOOKUP(A1383,'[2]UPDATE BILL 2018'!$C:$V,20,0),IFERROR(VLOOKUP(A1383,'[2]UPDATE BILL 2018'!$D:$V,19,0),IFERROR(VLOOKUP(A1383,'[2]UPDATE BILL 2018'!$E:$V,18,0),IFERROR(VLOOKUP(A1383,'[2]UPDATE BILL 2018'!$F:$V,17,0),IFERROR(VLOOKUP(A1383,'[2]UPDATE BILL 2018'!$G:$V,16,0),IFERROR(VLOOKUP(A1383,'[2]UPDATE BILL 2018'!$H:$V,15,0),IFERROR(VLOOKUP(A1383,'[2]UPDATE BILL 2018'!$I:$V,14,0),VLOOKUP(A1383,'[2]UPDATE BILL 2018'!$B:$V,21,0)))))))))</f>
        <v>AS RAFAELA N002</v>
      </c>
      <c r="AD1383" s="14" t="s">
        <v>51</v>
      </c>
      <c r="AE1383" s="24" t="s">
        <v>3547</v>
      </c>
      <c r="AF1383" s="25" t="str">
        <f t="shared" si="120"/>
        <v>VS</v>
      </c>
      <c r="AG1383" t="e">
        <f t="shared" si="109"/>
        <v>#REF!</v>
      </c>
      <c r="AI1383" s="58"/>
    </row>
    <row r="1384" spans="1:35" ht="15.75" customHeight="1">
      <c r="A1384" s="6" t="s">
        <v>3531</v>
      </c>
      <c r="B1384" s="5">
        <v>249</v>
      </c>
      <c r="C1384" s="7">
        <v>30478.9</v>
      </c>
      <c r="D1384" s="7">
        <f t="shared" si="116"/>
        <v>0</v>
      </c>
      <c r="E1384" s="7">
        <v>0</v>
      </c>
      <c r="F1384" s="5">
        <v>0</v>
      </c>
      <c r="G1384" s="7">
        <v>0</v>
      </c>
      <c r="H1384" s="5">
        <v>292</v>
      </c>
      <c r="I1384" s="7">
        <v>9517.9</v>
      </c>
      <c r="J1384" s="7">
        <v>0</v>
      </c>
      <c r="K1384" s="5">
        <v>0</v>
      </c>
      <c r="L1384" s="5">
        <v>0</v>
      </c>
      <c r="M1384" s="5">
        <v>147</v>
      </c>
      <c r="N1384" s="7">
        <f t="shared" si="117"/>
        <v>147</v>
      </c>
      <c r="O1384" s="7">
        <v>15857.7</v>
      </c>
      <c r="P1384" s="7">
        <v>0</v>
      </c>
      <c r="Q1384" s="5">
        <v>0</v>
      </c>
      <c r="R1384" s="5">
        <v>85</v>
      </c>
      <c r="S1384" s="7">
        <v>4257.34</v>
      </c>
      <c r="T1384" s="12">
        <v>43329</v>
      </c>
      <c r="U1384" s="4">
        <v>5</v>
      </c>
      <c r="V1384" s="4">
        <v>9</v>
      </c>
      <c r="W1384" s="4">
        <v>9</v>
      </c>
      <c r="X1384" s="45">
        <f t="shared" si="118"/>
        <v>60111.839999999997</v>
      </c>
      <c r="Y1384" s="14" t="s">
        <v>54</v>
      </c>
      <c r="Z1384" s="14" t="s">
        <v>57</v>
      </c>
      <c r="AA1384" s="14" t="str">
        <f>IFERROR(VLOOKUP(A1384,'[2]UPDATE BILL 2018'!$B:$P,15,0),IFERROR(VLOOKUP(A1384,'[2]UPDATE BILL 2018'!$C:$P,14,0),IFERROR(VLOOKUP(A1384,'[2]UPDATE BILL 2018'!$D:$P,13,0),IFERROR(VLOOKUP(A1384,'[2]UPDATE BILL 2018'!$E:$P,12,0),IFERROR(VLOOKUP(A1384,'[2]UPDATE BILL 2018'!$F:$P,11,0),IFERROR(VLOOKUP(A1384,'[2]UPDATE BILL 2018'!$G:$P,10,0),IFERROR(VLOOKUP(A1384,'[2]UPDATE BILL 2018'!$H:$P,9,0),IFERROR(VLOOKUP(A1384,'[2]UPDATE BILL 2018'!$I:$P,8,0),VLOOKUP(A1384,'[2]UPDATE BILL 2018'!$B:$P,15,0)))))))))</f>
        <v>SITWHPKW174968</v>
      </c>
      <c r="AB1384" s="44">
        <f>IFERROR(VLOOKUP(A1384,'[2]UPDATE BILL 2018'!$B:$T,19,0),IFERROR(VLOOKUP(A1384,'[2]UPDATE BILL 2018'!$C:$T,18,0),IFERROR(VLOOKUP(A1384,'[2]UPDATE BILL 2018'!$D:$T,17,0),IFERROR(VLOOKUP(A1384,'[2]UPDATE BILL 2018'!$E:$T,16,0),IFERROR(VLOOKUP(A1384,'[2]UPDATE BILL 2018'!$F:$T,15,0),IFERROR(VLOOKUP(A1384,'[2]UPDATE BILL 2018'!$G:$T,14,0),IFERROR(VLOOKUP(A1384,'[2]UPDATE BILL 2018'!$H:$T,13,0),IFERROR(VLOOKUP(A1384,'[2]UPDATE BILL 2018'!$I:$T,12,0),VLOOKUP(A1384,'[2]UPDATE BILL 2018'!$B:$T,19,0)))))))))</f>
        <v>43331</v>
      </c>
      <c r="AC1384" s="44" t="str">
        <f>IFERROR(VLOOKUP(A1384,'[2]UPDATE BILL 2018'!$B:$V,21,0),IFERROR(VLOOKUP(A1384,'[2]UPDATE BILL 2018'!$C:$V,20,0),IFERROR(VLOOKUP(A1384,'[2]UPDATE BILL 2018'!$D:$V,19,0),IFERROR(VLOOKUP(A1384,'[2]UPDATE BILL 2018'!$E:$V,18,0),IFERROR(VLOOKUP(A1384,'[2]UPDATE BILL 2018'!$F:$V,17,0),IFERROR(VLOOKUP(A1384,'[2]UPDATE BILL 2018'!$G:$V,16,0),IFERROR(VLOOKUP(A1384,'[2]UPDATE BILL 2018'!$H:$V,15,0),IFERROR(VLOOKUP(A1384,'[2]UPDATE BILL 2018'!$I:$V,14,0),VLOOKUP(A1384,'[2]UPDATE BILL 2018'!$B:$V,21,0)))))))))</f>
        <v>REFLECTION 1823N</v>
      </c>
      <c r="AD1384" s="14" t="s">
        <v>50</v>
      </c>
      <c r="AE1384" s="24" t="s">
        <v>3549</v>
      </c>
      <c r="AF1384" s="25" t="str">
        <f t="shared" si="120"/>
        <v>VW</v>
      </c>
      <c r="AG1384" t="e">
        <f t="shared" ref="AG1384:AG1447" si="121">+VLOOKUP(AF1384,AH:AH,2,0)</f>
        <v>#REF!</v>
      </c>
      <c r="AI1384" s="58"/>
    </row>
    <row r="1385" spans="1:35" ht="15.75" customHeight="1">
      <c r="A1385" s="6" t="s">
        <v>3530</v>
      </c>
      <c r="B1385" s="5">
        <v>12</v>
      </c>
      <c r="C1385" s="7">
        <v>916.80000000000007</v>
      </c>
      <c r="D1385" s="7">
        <f t="shared" si="116"/>
        <v>0</v>
      </c>
      <c r="E1385" s="7">
        <v>0</v>
      </c>
      <c r="F1385" s="5">
        <v>0</v>
      </c>
      <c r="G1385" s="7">
        <v>0</v>
      </c>
      <c r="H1385" s="5">
        <v>0</v>
      </c>
      <c r="I1385" s="7">
        <v>0</v>
      </c>
      <c r="J1385" s="7">
        <v>0</v>
      </c>
      <c r="K1385" s="5">
        <v>0</v>
      </c>
      <c r="L1385" s="5">
        <v>0</v>
      </c>
      <c r="M1385" s="5">
        <v>45</v>
      </c>
      <c r="N1385" s="7">
        <f t="shared" si="117"/>
        <v>45</v>
      </c>
      <c r="O1385" s="7">
        <v>7936.7</v>
      </c>
      <c r="P1385" s="7">
        <v>0</v>
      </c>
      <c r="Q1385" s="5">
        <v>0</v>
      </c>
      <c r="S1385" s="7">
        <v>0</v>
      </c>
      <c r="T1385" s="12">
        <v>43329</v>
      </c>
      <c r="U1385" s="4">
        <v>1</v>
      </c>
      <c r="V1385" s="4">
        <v>9</v>
      </c>
      <c r="W1385" s="4">
        <v>9</v>
      </c>
      <c r="X1385" s="45">
        <f t="shared" si="118"/>
        <v>8853.5</v>
      </c>
      <c r="Y1385" s="14" t="s">
        <v>54</v>
      </c>
      <c r="Z1385" s="14" t="s">
        <v>57</v>
      </c>
      <c r="AA1385" s="14" t="str">
        <f>IFERROR(VLOOKUP(A1385,'[2]UPDATE BILL 2018'!$B:$P,15,0),IFERROR(VLOOKUP(A1385,'[2]UPDATE BILL 2018'!$C:$P,14,0),IFERROR(VLOOKUP(A1385,'[2]UPDATE BILL 2018'!$D:$P,13,0),IFERROR(VLOOKUP(A1385,'[2]UPDATE BILL 2018'!$E:$P,12,0),IFERROR(VLOOKUP(A1385,'[2]UPDATE BILL 2018'!$F:$P,11,0),IFERROR(VLOOKUP(A1385,'[2]UPDATE BILL 2018'!$G:$P,10,0),IFERROR(VLOOKUP(A1385,'[2]UPDATE BILL 2018'!$H:$P,9,0),IFERROR(VLOOKUP(A1385,'[2]UPDATE BILL 2018'!$I:$P,8,0),VLOOKUP(A1385,'[2]UPDATE BILL 2018'!$B:$P,15,0)))))))))</f>
        <v>SITWHPTK174956</v>
      </c>
      <c r="AB1385" s="44">
        <f>IFERROR(VLOOKUP(A1385,'[2]UPDATE BILL 2018'!$B:$T,19,0),IFERROR(VLOOKUP(A1385,'[2]UPDATE BILL 2018'!$C:$T,18,0),IFERROR(VLOOKUP(A1385,'[2]UPDATE BILL 2018'!$D:$T,17,0),IFERROR(VLOOKUP(A1385,'[2]UPDATE BILL 2018'!$E:$T,16,0),IFERROR(VLOOKUP(A1385,'[2]UPDATE BILL 2018'!$F:$T,15,0),IFERROR(VLOOKUP(A1385,'[2]UPDATE BILL 2018'!$G:$T,14,0),IFERROR(VLOOKUP(A1385,'[2]UPDATE BILL 2018'!$H:$T,13,0),IFERROR(VLOOKUP(A1385,'[2]UPDATE BILL 2018'!$I:$T,12,0),VLOOKUP(A1385,'[2]UPDATE BILL 2018'!$B:$T,19,0)))))))))</f>
        <v>43331</v>
      </c>
      <c r="AC1385" s="44" t="str">
        <f>IFERROR(VLOOKUP(A1385,'[2]UPDATE BILL 2018'!$B:$V,21,0),IFERROR(VLOOKUP(A1385,'[2]UPDATE BILL 2018'!$C:$V,20,0),IFERROR(VLOOKUP(A1385,'[2]UPDATE BILL 2018'!$D:$V,19,0),IFERROR(VLOOKUP(A1385,'[2]UPDATE BILL 2018'!$E:$V,18,0),IFERROR(VLOOKUP(A1385,'[2]UPDATE BILL 2018'!$F:$V,17,0),IFERROR(VLOOKUP(A1385,'[2]UPDATE BILL 2018'!$G:$V,16,0),IFERROR(VLOOKUP(A1385,'[2]UPDATE BILL 2018'!$H:$V,15,0),IFERROR(VLOOKUP(A1385,'[2]UPDATE BILL 2018'!$I:$V,14,0),VLOOKUP(A1385,'[2]UPDATE BILL 2018'!$B:$V,21,0)))))))))</f>
        <v>REFLECTION 1823N</v>
      </c>
      <c r="AD1385" s="14" t="s">
        <v>49</v>
      </c>
      <c r="AE1385" s="24" t="s">
        <v>3544</v>
      </c>
      <c r="AF1385" s="25" t="str">
        <f t="shared" si="120"/>
        <v>VZ</v>
      </c>
      <c r="AG1385" t="e">
        <f t="shared" si="121"/>
        <v>#REF!</v>
      </c>
      <c r="AI1385" s="58"/>
    </row>
    <row r="1386" spans="1:35" ht="15.75" customHeight="1">
      <c r="A1386" s="6" t="s">
        <v>3537</v>
      </c>
      <c r="D1386" s="7">
        <f t="shared" si="116"/>
        <v>0</v>
      </c>
      <c r="E1386" s="7">
        <v>0</v>
      </c>
      <c r="F1386" s="5">
        <v>0</v>
      </c>
      <c r="G1386" s="7">
        <v>0</v>
      </c>
      <c r="H1386" s="5">
        <v>0</v>
      </c>
      <c r="I1386" s="7">
        <v>0</v>
      </c>
      <c r="J1386" s="7">
        <v>0</v>
      </c>
      <c r="K1386" s="5">
        <v>0</v>
      </c>
      <c r="L1386" s="5">
        <v>0</v>
      </c>
      <c r="M1386" s="5">
        <v>0</v>
      </c>
      <c r="N1386" s="7">
        <f t="shared" si="117"/>
        <v>0</v>
      </c>
      <c r="O1386" s="7">
        <v>0</v>
      </c>
      <c r="P1386" s="7">
        <v>0</v>
      </c>
      <c r="Q1386" s="5">
        <v>0</v>
      </c>
      <c r="R1386" s="5">
        <v>273</v>
      </c>
      <c r="S1386" s="7">
        <v>31883.100000000002</v>
      </c>
      <c r="T1386" s="12">
        <v>43329</v>
      </c>
      <c r="U1386" s="4">
        <v>1</v>
      </c>
      <c r="V1386" s="4">
        <v>9</v>
      </c>
      <c r="W1386" s="4">
        <v>9</v>
      </c>
      <c r="X1386" s="45">
        <f t="shared" si="118"/>
        <v>31883.100000000002</v>
      </c>
      <c r="Y1386" s="14" t="s">
        <v>54</v>
      </c>
      <c r="Z1386" s="14" t="s">
        <v>1492</v>
      </c>
      <c r="AA1386" s="14" t="str">
        <f>IFERROR(VLOOKUP(A1386,'[2]UPDATE BILL 2018'!$B:$P,15,0),IFERROR(VLOOKUP(A1386,'[2]UPDATE BILL 2018'!$C:$P,14,0),IFERROR(VLOOKUP(A1386,'[2]UPDATE BILL 2018'!$D:$P,13,0),IFERROR(VLOOKUP(A1386,'[2]UPDATE BILL 2018'!$E:$P,12,0),IFERROR(VLOOKUP(A1386,'[2]UPDATE BILL 2018'!$F:$P,11,0),IFERROR(VLOOKUP(A1386,'[2]UPDATE BILL 2018'!$G:$P,10,0),IFERROR(VLOOKUP(A1386,'[2]UPDATE BILL 2018'!$H:$P,9,0),IFERROR(VLOOKUP(A1386,'[2]UPDATE BILL 2018'!$I:$P,8,0),VLOOKUP(A1386,'[2]UPDATE BILL 2018'!$B:$P,15,0)))))))))</f>
        <v>SITWHPHT175611</v>
      </c>
      <c r="AB1386" s="44">
        <f>IFERROR(VLOOKUP(A1386,'[2]UPDATE BILL 2018'!$B:$T,19,0),IFERROR(VLOOKUP(A1386,'[2]UPDATE BILL 2018'!$C:$T,18,0),IFERROR(VLOOKUP(A1386,'[2]UPDATE BILL 2018'!$D:$T,17,0),IFERROR(VLOOKUP(A1386,'[2]UPDATE BILL 2018'!$E:$T,16,0),IFERROR(VLOOKUP(A1386,'[2]UPDATE BILL 2018'!$F:$T,15,0),IFERROR(VLOOKUP(A1386,'[2]UPDATE BILL 2018'!$G:$T,14,0),IFERROR(VLOOKUP(A1386,'[2]UPDATE BILL 2018'!$H:$T,13,0),IFERROR(VLOOKUP(A1386,'[2]UPDATE BILL 2018'!$I:$T,12,0),VLOOKUP(A1386,'[2]UPDATE BILL 2018'!$B:$T,19,0)))))))))</f>
        <v>43331</v>
      </c>
      <c r="AC1386" s="44" t="str">
        <f>IFERROR(VLOOKUP(A1386,'[2]UPDATE BILL 2018'!$B:$V,21,0),IFERROR(VLOOKUP(A1386,'[2]UPDATE BILL 2018'!$C:$V,20,0),IFERROR(VLOOKUP(A1386,'[2]UPDATE BILL 2018'!$D:$V,19,0),IFERROR(VLOOKUP(A1386,'[2]UPDATE BILL 2018'!$E:$V,18,0),IFERROR(VLOOKUP(A1386,'[2]UPDATE BILL 2018'!$F:$V,17,0),IFERROR(VLOOKUP(A1386,'[2]UPDATE BILL 2018'!$G:$V,16,0),IFERROR(VLOOKUP(A1386,'[2]UPDATE BILL 2018'!$H:$V,15,0),IFERROR(VLOOKUP(A1386,'[2]UPDATE BILL 2018'!$I:$V,14,0),VLOOKUP(A1386,'[2]UPDATE BILL 2018'!$B:$V,21,0)))))))))</f>
        <v>SITC NAGOYA 1823N</v>
      </c>
      <c r="AD1386" s="14" t="s">
        <v>52</v>
      </c>
      <c r="AE1386" s="24" t="s">
        <v>3545</v>
      </c>
      <c r="AF1386" s="25" t="s">
        <v>2173</v>
      </c>
      <c r="AG1386" t="e">
        <f t="shared" si="121"/>
        <v>#N/A</v>
      </c>
      <c r="AI1386" s="58"/>
    </row>
    <row r="1387" spans="1:35" ht="15.75" customHeight="1">
      <c r="A1387" s="6" t="s">
        <v>3535</v>
      </c>
      <c r="D1387" s="7">
        <f t="shared" si="116"/>
        <v>0</v>
      </c>
      <c r="E1387" s="7">
        <v>0</v>
      </c>
      <c r="F1387" s="5">
        <v>0</v>
      </c>
      <c r="G1387" s="7">
        <v>0</v>
      </c>
      <c r="H1387" s="5">
        <v>0</v>
      </c>
      <c r="I1387" s="7">
        <v>0</v>
      </c>
      <c r="J1387" s="7">
        <v>0</v>
      </c>
      <c r="K1387" s="5">
        <v>0</v>
      </c>
      <c r="L1387" s="5">
        <v>0</v>
      </c>
      <c r="M1387" s="5">
        <v>0</v>
      </c>
      <c r="N1387" s="7">
        <f t="shared" si="117"/>
        <v>0</v>
      </c>
      <c r="O1387" s="7">
        <v>0</v>
      </c>
      <c r="P1387" s="7">
        <v>0</v>
      </c>
      <c r="Q1387" s="5">
        <v>0</v>
      </c>
      <c r="R1387" s="5">
        <v>588</v>
      </c>
      <c r="S1387" s="7">
        <v>94407</v>
      </c>
      <c r="T1387" s="12">
        <v>43329</v>
      </c>
      <c r="U1387" s="4">
        <v>4</v>
      </c>
      <c r="V1387" s="4">
        <v>9</v>
      </c>
      <c r="W1387" s="4">
        <v>9</v>
      </c>
      <c r="X1387" s="45">
        <f t="shared" si="118"/>
        <v>94407</v>
      </c>
      <c r="Y1387" s="14" t="s">
        <v>54</v>
      </c>
      <c r="Z1387" s="14" t="s">
        <v>59</v>
      </c>
      <c r="AA1387" s="14" t="str">
        <f>IFERROR(VLOOKUP(A1387,'[2]UPDATE BILL 2018'!$B:$P,15,0),IFERROR(VLOOKUP(A1387,'[2]UPDATE BILL 2018'!$C:$P,14,0),IFERROR(VLOOKUP(A1387,'[2]UPDATE BILL 2018'!$D:$P,13,0),IFERROR(VLOOKUP(A1387,'[2]UPDATE BILL 2018'!$E:$P,12,0),IFERROR(VLOOKUP(A1387,'[2]UPDATE BILL 2018'!$F:$P,11,0),IFERROR(VLOOKUP(A1387,'[2]UPDATE BILL 2018'!$G:$P,10,0),IFERROR(VLOOKUP(A1387,'[2]UPDATE BILL 2018'!$H:$P,9,0),IFERROR(VLOOKUP(A1387,'[2]UPDATE BILL 2018'!$I:$P,8,0),VLOOKUP(A1387,'[2]UPDATE BILL 2018'!$B:$P,15,0)))))))))</f>
        <v>SITWHPOS174962</v>
      </c>
      <c r="AB1387" s="44">
        <f>IFERROR(VLOOKUP(A1387,'[2]UPDATE BILL 2018'!$B:$T,19,0),IFERROR(VLOOKUP(A1387,'[2]UPDATE BILL 2018'!$C:$T,18,0),IFERROR(VLOOKUP(A1387,'[2]UPDATE BILL 2018'!$D:$T,17,0),IFERROR(VLOOKUP(A1387,'[2]UPDATE BILL 2018'!$E:$T,16,0),IFERROR(VLOOKUP(A1387,'[2]UPDATE BILL 2018'!$F:$T,15,0),IFERROR(VLOOKUP(A1387,'[2]UPDATE BILL 2018'!$G:$T,14,0),IFERROR(VLOOKUP(A1387,'[2]UPDATE BILL 2018'!$H:$T,13,0),IFERROR(VLOOKUP(A1387,'[2]UPDATE BILL 2018'!$I:$T,12,0),VLOOKUP(A1387,'[2]UPDATE BILL 2018'!$B:$T,19,0)))))))))</f>
        <v>43331</v>
      </c>
      <c r="AC1387" s="44" t="str">
        <f>IFERROR(VLOOKUP(A1387,'[2]UPDATE BILL 2018'!$B:$V,21,0),IFERROR(VLOOKUP(A1387,'[2]UPDATE BILL 2018'!$C:$V,20,0),IFERROR(VLOOKUP(A1387,'[2]UPDATE BILL 2018'!$D:$V,19,0),IFERROR(VLOOKUP(A1387,'[2]UPDATE BILL 2018'!$E:$V,18,0),IFERROR(VLOOKUP(A1387,'[2]UPDATE BILL 2018'!$F:$V,17,0),IFERROR(VLOOKUP(A1387,'[2]UPDATE BILL 2018'!$G:$V,16,0),IFERROR(VLOOKUP(A1387,'[2]UPDATE BILL 2018'!$H:$V,15,0),IFERROR(VLOOKUP(A1387,'[2]UPDATE BILL 2018'!$I:$V,14,0),VLOOKUP(A1387,'[2]UPDATE BILL 2018'!$B:$V,21,0)))))))))</f>
        <v>SITC NAGOYA 1823N</v>
      </c>
      <c r="AD1387" s="14" t="s">
        <v>51</v>
      </c>
      <c r="AE1387" s="24" t="s">
        <v>3546</v>
      </c>
      <c r="AF1387" s="25" t="s">
        <v>2150</v>
      </c>
      <c r="AG1387" t="e">
        <f t="shared" si="121"/>
        <v>#N/A</v>
      </c>
      <c r="AI1387" s="58"/>
    </row>
    <row r="1388" spans="1:35" ht="15.75" customHeight="1">
      <c r="A1388" s="6" t="s">
        <v>3536</v>
      </c>
      <c r="D1388" s="7">
        <f t="shared" si="116"/>
        <v>0</v>
      </c>
      <c r="E1388" s="7">
        <v>0</v>
      </c>
      <c r="F1388" s="5">
        <v>0</v>
      </c>
      <c r="G1388" s="7">
        <v>0</v>
      </c>
      <c r="H1388" s="5">
        <v>0</v>
      </c>
      <c r="I1388" s="7">
        <v>0</v>
      </c>
      <c r="J1388" s="7">
        <v>0</v>
      </c>
      <c r="K1388" s="5">
        <v>0</v>
      </c>
      <c r="L1388" s="5">
        <v>0</v>
      </c>
      <c r="M1388" s="5">
        <v>0</v>
      </c>
      <c r="N1388" s="7">
        <f t="shared" si="117"/>
        <v>0</v>
      </c>
      <c r="O1388" s="7">
        <v>0</v>
      </c>
      <c r="P1388" s="7">
        <v>0</v>
      </c>
      <c r="Q1388" s="5">
        <v>0</v>
      </c>
      <c r="R1388" s="5">
        <v>1101</v>
      </c>
      <c r="S1388" s="7">
        <v>211621.30000000002</v>
      </c>
      <c r="T1388" s="12">
        <v>43329</v>
      </c>
      <c r="U1388" s="4">
        <v>9</v>
      </c>
      <c r="V1388" s="4">
        <v>9</v>
      </c>
      <c r="W1388" s="4">
        <v>9</v>
      </c>
      <c r="X1388" s="45">
        <f t="shared" si="118"/>
        <v>211621.30000000002</v>
      </c>
      <c r="Y1388" s="14" t="s">
        <v>54</v>
      </c>
      <c r="Z1388" s="14" t="s">
        <v>1355</v>
      </c>
      <c r="AA1388" s="14" t="str">
        <f>IFERROR(VLOOKUP(A1388,'[2]UPDATE BILL 2018'!$B:$P,15,0),IFERROR(VLOOKUP(A1388,'[2]UPDATE BILL 2018'!$C:$P,14,0),IFERROR(VLOOKUP(A1388,'[2]UPDATE BILL 2018'!$D:$P,13,0),IFERROR(VLOOKUP(A1388,'[2]UPDATE BILL 2018'!$E:$P,12,0),IFERROR(VLOOKUP(A1388,'[2]UPDATE BILL 2018'!$F:$P,11,0),IFERROR(VLOOKUP(A1388,'[2]UPDATE BILL 2018'!$G:$P,10,0),IFERROR(VLOOKUP(A1388,'[2]UPDATE BILL 2018'!$H:$P,9,0),IFERROR(VLOOKUP(A1388,'[2]UPDATE BILL 2018'!$I:$P,8,0),VLOOKUP(A1388,'[2]UPDATE BILL 2018'!$B:$P,15,0)))))))))</f>
        <v>SITWHPKW174968</v>
      </c>
      <c r="AB1388" s="44">
        <f>IFERROR(VLOOKUP(A1388,'[2]UPDATE BILL 2018'!$B:$T,19,0),IFERROR(VLOOKUP(A1388,'[2]UPDATE BILL 2018'!$C:$T,18,0),IFERROR(VLOOKUP(A1388,'[2]UPDATE BILL 2018'!$D:$T,17,0),IFERROR(VLOOKUP(A1388,'[2]UPDATE BILL 2018'!$E:$T,16,0),IFERROR(VLOOKUP(A1388,'[2]UPDATE BILL 2018'!$F:$T,15,0),IFERROR(VLOOKUP(A1388,'[2]UPDATE BILL 2018'!$G:$T,14,0),IFERROR(VLOOKUP(A1388,'[2]UPDATE BILL 2018'!$H:$T,13,0),IFERROR(VLOOKUP(A1388,'[2]UPDATE BILL 2018'!$I:$T,12,0),VLOOKUP(A1388,'[2]UPDATE BILL 2018'!$B:$T,19,0)))))))))</f>
        <v>43331</v>
      </c>
      <c r="AC1388" s="44" t="str">
        <f>IFERROR(VLOOKUP(A1388,'[2]UPDATE BILL 2018'!$B:$V,21,0),IFERROR(VLOOKUP(A1388,'[2]UPDATE BILL 2018'!$C:$V,20,0),IFERROR(VLOOKUP(A1388,'[2]UPDATE BILL 2018'!$D:$V,19,0),IFERROR(VLOOKUP(A1388,'[2]UPDATE BILL 2018'!$E:$V,18,0),IFERROR(VLOOKUP(A1388,'[2]UPDATE BILL 2018'!$F:$V,17,0),IFERROR(VLOOKUP(A1388,'[2]UPDATE BILL 2018'!$G:$V,16,0),IFERROR(VLOOKUP(A1388,'[2]UPDATE BILL 2018'!$H:$V,15,0),IFERROR(VLOOKUP(A1388,'[2]UPDATE BILL 2018'!$I:$V,14,0),VLOOKUP(A1388,'[2]UPDATE BILL 2018'!$B:$V,21,0)))))))))</f>
        <v>REFLECTION 1823N</v>
      </c>
      <c r="AD1388" s="14" t="s">
        <v>50</v>
      </c>
      <c r="AE1388" s="24" t="s">
        <v>3548</v>
      </c>
      <c r="AF1388" s="25" t="s">
        <v>2151</v>
      </c>
      <c r="AG1388" t="e">
        <f t="shared" si="121"/>
        <v>#N/A</v>
      </c>
      <c r="AI1388" s="58"/>
    </row>
    <row r="1389" spans="1:35" ht="15.75" customHeight="1">
      <c r="A1389" s="6" t="s">
        <v>3550</v>
      </c>
      <c r="D1389" s="7">
        <f t="shared" si="116"/>
        <v>0</v>
      </c>
      <c r="E1389" s="7">
        <v>0</v>
      </c>
      <c r="F1389" s="5">
        <v>0</v>
      </c>
      <c r="G1389" s="7">
        <v>0</v>
      </c>
      <c r="H1389" s="5">
        <v>349</v>
      </c>
      <c r="I1389" s="7">
        <v>34054.28</v>
      </c>
      <c r="J1389" s="7">
        <v>0</v>
      </c>
      <c r="K1389" s="5">
        <v>0</v>
      </c>
      <c r="L1389" s="5">
        <v>0</v>
      </c>
      <c r="M1389" s="5">
        <v>0</v>
      </c>
      <c r="N1389" s="7">
        <f t="shared" si="117"/>
        <v>0</v>
      </c>
      <c r="O1389" s="7">
        <v>0</v>
      </c>
      <c r="P1389" s="7">
        <v>0</v>
      </c>
      <c r="Q1389" s="5">
        <v>0</v>
      </c>
      <c r="S1389" s="7">
        <v>0</v>
      </c>
      <c r="T1389" s="12">
        <v>43332</v>
      </c>
      <c r="U1389" s="4">
        <v>2</v>
      </c>
      <c r="V1389" s="4">
        <v>9</v>
      </c>
      <c r="W1389" s="4">
        <v>9</v>
      </c>
      <c r="X1389" s="45">
        <f t="shared" si="118"/>
        <v>34054.28</v>
      </c>
      <c r="Y1389" s="14" t="s">
        <v>54</v>
      </c>
      <c r="Z1389" s="14" t="s">
        <v>2525</v>
      </c>
      <c r="AA1389" s="14" t="str">
        <f>IFERROR(VLOOKUP(A1389,'[2]UPDATE BILL 2018'!$B:$P,15,0),IFERROR(VLOOKUP(A1389,'[2]UPDATE BILL 2018'!$C:$P,14,0),IFERROR(VLOOKUP(A1389,'[2]UPDATE BILL 2018'!$D:$P,13,0),IFERROR(VLOOKUP(A1389,'[2]UPDATE BILL 2018'!$E:$P,12,0),IFERROR(VLOOKUP(A1389,'[2]UPDATE BILL 2018'!$F:$P,11,0),IFERROR(VLOOKUP(A1389,'[2]UPDATE BILL 2018'!$G:$P,10,0),IFERROR(VLOOKUP(A1389,'[2]UPDATE BILL 2018'!$H:$P,9,0),IFERROR(VLOOKUP(A1389,'[2]UPDATE BILL 2018'!$I:$P,8,0),VLOOKUP(A1389,'[2]UPDATE BILL 2018'!$B:$P,15,0)))))))))</f>
        <v>SITWHPTK175290</v>
      </c>
      <c r="AB1389" s="44">
        <f>IFERROR(VLOOKUP(A1389,'[2]UPDATE BILL 2018'!$B:$T,19,0),IFERROR(VLOOKUP(A1389,'[2]UPDATE BILL 2018'!$C:$T,18,0),IFERROR(VLOOKUP(A1389,'[2]UPDATE BILL 2018'!$D:$T,17,0),IFERROR(VLOOKUP(A1389,'[2]UPDATE BILL 2018'!$E:$T,16,0),IFERROR(VLOOKUP(A1389,'[2]UPDATE BILL 2018'!$F:$T,15,0),IFERROR(VLOOKUP(A1389,'[2]UPDATE BILL 2018'!$G:$T,14,0),IFERROR(VLOOKUP(A1389,'[2]UPDATE BILL 2018'!$H:$T,13,0),IFERROR(VLOOKUP(A1389,'[2]UPDATE BILL 2018'!$I:$T,12,0),VLOOKUP(A1389,'[2]UPDATE BILL 2018'!$B:$T,19,0)))))))))</f>
        <v>43337</v>
      </c>
      <c r="AC1389" s="44" t="str">
        <f>IFERROR(VLOOKUP(A1389,'[2]UPDATE BILL 2018'!$B:$V,21,0),IFERROR(VLOOKUP(A1389,'[2]UPDATE BILL 2018'!$C:$V,20,0),IFERROR(VLOOKUP(A1389,'[2]UPDATE BILL 2018'!$D:$V,19,0),IFERROR(VLOOKUP(A1389,'[2]UPDATE BILL 2018'!$E:$V,18,0),IFERROR(VLOOKUP(A1389,'[2]UPDATE BILL 2018'!$F:$V,17,0),IFERROR(VLOOKUP(A1389,'[2]UPDATE BILL 2018'!$G:$V,16,0),IFERROR(VLOOKUP(A1389,'[2]UPDATE BILL 2018'!$H:$V,15,0),IFERROR(VLOOKUP(A1389,'[2]UPDATE BILL 2018'!$I:$V,14,0),VLOOKUP(A1389,'[2]UPDATE BILL 2018'!$B:$V,21,0)))))))))</f>
        <v>SITC YOKKAICHI 1821N</v>
      </c>
      <c r="AD1389" s="14" t="s">
        <v>49</v>
      </c>
      <c r="AE1389" s="24" t="s">
        <v>3559</v>
      </c>
      <c r="AF1389" s="25" t="str">
        <f t="shared" ref="AF1389:AF1406" si="122">+LEFT(AE1389,2)</f>
        <v>VK</v>
      </c>
      <c r="AG1389" t="e">
        <f t="shared" si="121"/>
        <v>#REF!</v>
      </c>
      <c r="AI1389" s="58"/>
    </row>
    <row r="1390" spans="1:35" ht="15.75" customHeight="1">
      <c r="A1390" s="6" t="s">
        <v>3551</v>
      </c>
      <c r="D1390" s="7">
        <f t="shared" si="116"/>
        <v>0</v>
      </c>
      <c r="E1390" s="7">
        <v>0</v>
      </c>
      <c r="F1390" s="5">
        <v>0</v>
      </c>
      <c r="G1390" s="7">
        <v>0</v>
      </c>
      <c r="H1390" s="5">
        <v>425</v>
      </c>
      <c r="I1390" s="7">
        <v>49475.5</v>
      </c>
      <c r="J1390" s="7">
        <v>0</v>
      </c>
      <c r="K1390" s="5">
        <v>0</v>
      </c>
      <c r="L1390" s="5">
        <v>0</v>
      </c>
      <c r="M1390" s="5">
        <v>0</v>
      </c>
      <c r="N1390" s="7">
        <f t="shared" si="117"/>
        <v>0</v>
      </c>
      <c r="O1390" s="7">
        <v>0</v>
      </c>
      <c r="P1390" s="7">
        <v>0</v>
      </c>
      <c r="Q1390" s="5">
        <v>0</v>
      </c>
      <c r="S1390" s="7">
        <v>0</v>
      </c>
      <c r="T1390" s="12">
        <v>43332</v>
      </c>
      <c r="U1390" s="4">
        <v>4</v>
      </c>
      <c r="V1390" s="4">
        <v>9</v>
      </c>
      <c r="W1390" s="4">
        <v>9</v>
      </c>
      <c r="X1390" s="45">
        <f t="shared" si="118"/>
        <v>49475.5</v>
      </c>
      <c r="Y1390" s="14" t="s">
        <v>56</v>
      </c>
      <c r="Z1390" s="14" t="s">
        <v>3376</v>
      </c>
      <c r="AA1390" s="14" t="str">
        <f>IFERROR(VLOOKUP(A1390,'[2]UPDATE BILL 2018'!$B:$P,15,0),IFERROR(VLOOKUP(A1390,'[2]UPDATE BILL 2018'!$C:$P,14,0),IFERROR(VLOOKUP(A1390,'[2]UPDATE BILL 2018'!$D:$P,13,0),IFERROR(VLOOKUP(A1390,'[2]UPDATE BILL 2018'!$E:$P,12,0),IFERROR(VLOOKUP(A1390,'[2]UPDATE BILL 2018'!$F:$P,11,0),IFERROR(VLOOKUP(A1390,'[2]UPDATE BILL 2018'!$G:$P,10,0),IFERROR(VLOOKUP(A1390,'[2]UPDATE BILL 2018'!$H:$P,9,0),IFERROR(VLOOKUP(A1390,'[2]UPDATE BILL 2018'!$I:$P,8,0),VLOOKUP(A1390,'[2]UPDATE BILL 2018'!$B:$P,15,0)))))))))</f>
        <v>1008X04647</v>
      </c>
      <c r="AB1390" s="44">
        <f>IFERROR(VLOOKUP(A1390,'[2]UPDATE BILL 2018'!$B:$T,19,0),IFERROR(VLOOKUP(A1390,'[2]UPDATE BILL 2018'!$C:$T,18,0),IFERROR(VLOOKUP(A1390,'[2]UPDATE BILL 2018'!$D:$T,17,0),IFERROR(VLOOKUP(A1390,'[2]UPDATE BILL 2018'!$E:$T,16,0),IFERROR(VLOOKUP(A1390,'[2]UPDATE BILL 2018'!$F:$T,15,0),IFERROR(VLOOKUP(A1390,'[2]UPDATE BILL 2018'!$G:$T,14,0),IFERROR(VLOOKUP(A1390,'[2]UPDATE BILL 2018'!$H:$T,13,0),IFERROR(VLOOKUP(A1390,'[2]UPDATE BILL 2018'!$I:$T,12,0),VLOOKUP(A1390,'[2]UPDATE BILL 2018'!$B:$T,19,0)))))))))</f>
        <v>43341</v>
      </c>
      <c r="AC1390" s="44" t="str">
        <f>IFERROR(VLOOKUP(A1390,'[2]UPDATE BILL 2018'!$B:$V,21,0),IFERROR(VLOOKUP(A1390,'[2]UPDATE BILL 2018'!$C:$V,20,0),IFERROR(VLOOKUP(A1390,'[2]UPDATE BILL 2018'!$D:$V,19,0),IFERROR(VLOOKUP(A1390,'[2]UPDATE BILL 2018'!$E:$V,18,0),IFERROR(VLOOKUP(A1390,'[2]UPDATE BILL 2018'!$F:$V,17,0),IFERROR(VLOOKUP(A1390,'[2]UPDATE BILL 2018'!$G:$V,16,0),IFERROR(VLOOKUP(A1390,'[2]UPDATE BILL 2018'!$H:$V,15,0),IFERROR(VLOOKUP(A1390,'[2]UPDATE BILL 2018'!$I:$V,14,0),VLOOKUP(A1390,'[2]UPDATE BILL 2018'!$B:$V,21,0)))))))))</f>
        <v>WAN HAI 165 N300</v>
      </c>
      <c r="AD1390" s="14" t="s">
        <v>49</v>
      </c>
      <c r="AE1390" s="24" t="s">
        <v>3560</v>
      </c>
      <c r="AF1390" s="25" t="str">
        <f t="shared" si="122"/>
        <v>VK</v>
      </c>
      <c r="AG1390" t="e">
        <f t="shared" si="121"/>
        <v>#REF!</v>
      </c>
      <c r="AI1390" s="58"/>
    </row>
    <row r="1391" spans="1:35" ht="15.75" customHeight="1">
      <c r="A1391" s="6" t="s">
        <v>3552</v>
      </c>
      <c r="B1391" s="5">
        <v>105</v>
      </c>
      <c r="C1391" s="7">
        <v>11499</v>
      </c>
      <c r="D1391" s="7">
        <f t="shared" si="116"/>
        <v>0</v>
      </c>
      <c r="E1391" s="7">
        <v>0</v>
      </c>
      <c r="F1391" s="5">
        <v>0</v>
      </c>
      <c r="G1391" s="7">
        <v>0</v>
      </c>
      <c r="H1391" s="5">
        <v>0</v>
      </c>
      <c r="I1391" s="7">
        <v>0</v>
      </c>
      <c r="J1391" s="7">
        <v>0</v>
      </c>
      <c r="K1391" s="5">
        <v>0</v>
      </c>
      <c r="L1391" s="5">
        <v>0</v>
      </c>
      <c r="M1391" s="5">
        <v>0</v>
      </c>
      <c r="N1391" s="7">
        <f t="shared" si="117"/>
        <v>0</v>
      </c>
      <c r="O1391" s="7">
        <v>0</v>
      </c>
      <c r="P1391" s="7">
        <v>0</v>
      </c>
      <c r="Q1391" s="5">
        <v>0</v>
      </c>
      <c r="S1391" s="7">
        <v>0</v>
      </c>
      <c r="T1391" s="12">
        <v>43332</v>
      </c>
      <c r="U1391" s="4">
        <v>1</v>
      </c>
      <c r="V1391" s="4">
        <v>9</v>
      </c>
      <c r="W1391" s="4">
        <v>9</v>
      </c>
      <c r="X1391" s="45">
        <f t="shared" si="118"/>
        <v>11499</v>
      </c>
      <c r="Y1391" s="14" t="s">
        <v>54</v>
      </c>
      <c r="Z1391" s="14" t="s">
        <v>2525</v>
      </c>
      <c r="AA1391" s="14" t="str">
        <f>IFERROR(VLOOKUP(A1391,'[2]UPDATE BILL 2018'!$B:$P,15,0),IFERROR(VLOOKUP(A1391,'[2]UPDATE BILL 2018'!$C:$P,14,0),IFERROR(VLOOKUP(A1391,'[2]UPDATE BILL 2018'!$D:$P,13,0),IFERROR(VLOOKUP(A1391,'[2]UPDATE BILL 2018'!$E:$P,12,0),IFERROR(VLOOKUP(A1391,'[2]UPDATE BILL 2018'!$F:$P,11,0),IFERROR(VLOOKUP(A1391,'[2]UPDATE BILL 2018'!$G:$P,10,0),IFERROR(VLOOKUP(A1391,'[2]UPDATE BILL 2018'!$H:$P,9,0),IFERROR(VLOOKUP(A1391,'[2]UPDATE BILL 2018'!$I:$P,8,0),VLOOKUP(A1391,'[2]UPDATE BILL 2018'!$B:$P,15,0)))))))))</f>
        <v>SITWHPTK175290</v>
      </c>
      <c r="AB1391" s="44">
        <f>IFERROR(VLOOKUP(A1391,'[2]UPDATE BILL 2018'!$B:$T,19,0),IFERROR(VLOOKUP(A1391,'[2]UPDATE BILL 2018'!$C:$T,18,0),IFERROR(VLOOKUP(A1391,'[2]UPDATE BILL 2018'!$D:$T,17,0),IFERROR(VLOOKUP(A1391,'[2]UPDATE BILL 2018'!$E:$T,16,0),IFERROR(VLOOKUP(A1391,'[2]UPDATE BILL 2018'!$F:$T,15,0),IFERROR(VLOOKUP(A1391,'[2]UPDATE BILL 2018'!$G:$T,14,0),IFERROR(VLOOKUP(A1391,'[2]UPDATE BILL 2018'!$H:$T,13,0),IFERROR(VLOOKUP(A1391,'[2]UPDATE BILL 2018'!$I:$T,12,0),VLOOKUP(A1391,'[2]UPDATE BILL 2018'!$B:$T,19,0)))))))))</f>
        <v>43337</v>
      </c>
      <c r="AC1391" s="44" t="str">
        <f>IFERROR(VLOOKUP(A1391,'[2]UPDATE BILL 2018'!$B:$V,21,0),IFERROR(VLOOKUP(A1391,'[2]UPDATE BILL 2018'!$C:$V,20,0),IFERROR(VLOOKUP(A1391,'[2]UPDATE BILL 2018'!$D:$V,19,0),IFERROR(VLOOKUP(A1391,'[2]UPDATE BILL 2018'!$E:$V,18,0),IFERROR(VLOOKUP(A1391,'[2]UPDATE BILL 2018'!$F:$V,17,0),IFERROR(VLOOKUP(A1391,'[2]UPDATE BILL 2018'!$G:$V,16,0),IFERROR(VLOOKUP(A1391,'[2]UPDATE BILL 2018'!$H:$V,15,0),IFERROR(VLOOKUP(A1391,'[2]UPDATE BILL 2018'!$I:$V,14,0),VLOOKUP(A1391,'[2]UPDATE BILL 2018'!$B:$V,21,0)))))))))</f>
        <v>SITC YOKKAICHI 1821N</v>
      </c>
      <c r="AD1391" s="14" t="s">
        <v>49</v>
      </c>
      <c r="AE1391" s="24" t="s">
        <v>3561</v>
      </c>
      <c r="AF1391" s="25" t="str">
        <f t="shared" si="122"/>
        <v>VN</v>
      </c>
      <c r="AG1391" t="e">
        <f t="shared" si="121"/>
        <v>#REF!</v>
      </c>
      <c r="AI1391" s="58"/>
    </row>
    <row r="1392" spans="1:35" ht="15.75" customHeight="1">
      <c r="A1392" s="6" t="s">
        <v>3553</v>
      </c>
      <c r="D1392" s="7">
        <f t="shared" si="116"/>
        <v>0</v>
      </c>
      <c r="E1392" s="7">
        <v>0</v>
      </c>
      <c r="F1392" s="5">
        <v>0</v>
      </c>
      <c r="G1392" s="7">
        <v>0</v>
      </c>
      <c r="H1392" s="5">
        <v>120</v>
      </c>
      <c r="I1392" s="7">
        <v>13321.4</v>
      </c>
      <c r="J1392" s="7">
        <v>0</v>
      </c>
      <c r="K1392" s="5">
        <v>0</v>
      </c>
      <c r="L1392" s="5">
        <v>0</v>
      </c>
      <c r="M1392" s="5">
        <v>65</v>
      </c>
      <c r="N1392" s="7">
        <f t="shared" si="117"/>
        <v>65</v>
      </c>
      <c r="O1392" s="7">
        <v>8073</v>
      </c>
      <c r="P1392" s="7">
        <v>0</v>
      </c>
      <c r="Q1392" s="5">
        <v>0</v>
      </c>
      <c r="S1392" s="7">
        <v>0</v>
      </c>
      <c r="T1392" s="12">
        <v>43332</v>
      </c>
      <c r="U1392" s="4">
        <v>2</v>
      </c>
      <c r="V1392" s="4">
        <v>9</v>
      </c>
      <c r="W1392" s="4">
        <v>9</v>
      </c>
      <c r="X1392" s="45">
        <f t="shared" si="118"/>
        <v>21394.400000000001</v>
      </c>
      <c r="Y1392" s="14" t="s">
        <v>56</v>
      </c>
      <c r="Z1392" s="14" t="s">
        <v>1355</v>
      </c>
      <c r="AA1392" s="14" t="str">
        <f>IFERROR(VLOOKUP(A1392,'[2]UPDATE BILL 2018'!$B:$P,15,0),IFERROR(VLOOKUP(A1392,'[2]UPDATE BILL 2018'!$C:$P,14,0),IFERROR(VLOOKUP(A1392,'[2]UPDATE BILL 2018'!$D:$P,13,0),IFERROR(VLOOKUP(A1392,'[2]UPDATE BILL 2018'!$E:$P,12,0),IFERROR(VLOOKUP(A1392,'[2]UPDATE BILL 2018'!$F:$P,11,0),IFERROR(VLOOKUP(A1392,'[2]UPDATE BILL 2018'!$G:$P,10,0),IFERROR(VLOOKUP(A1392,'[2]UPDATE BILL 2018'!$H:$P,9,0),IFERROR(VLOOKUP(A1392,'[2]UPDATE BILL 2018'!$I:$P,8,0),VLOOKUP(A1392,'[2]UPDATE BILL 2018'!$B:$P,15,0)))))))))</f>
        <v>1008X04643</v>
      </c>
      <c r="AB1392" s="44">
        <f>IFERROR(VLOOKUP(A1392,'[2]UPDATE BILL 2018'!$B:$T,19,0),IFERROR(VLOOKUP(A1392,'[2]UPDATE BILL 2018'!$C:$T,18,0),IFERROR(VLOOKUP(A1392,'[2]UPDATE BILL 2018'!$D:$T,17,0),IFERROR(VLOOKUP(A1392,'[2]UPDATE BILL 2018'!$E:$T,16,0),IFERROR(VLOOKUP(A1392,'[2]UPDATE BILL 2018'!$F:$T,15,0),IFERROR(VLOOKUP(A1392,'[2]UPDATE BILL 2018'!$G:$T,14,0),IFERROR(VLOOKUP(A1392,'[2]UPDATE BILL 2018'!$H:$T,13,0),IFERROR(VLOOKUP(A1392,'[2]UPDATE BILL 2018'!$I:$T,12,0),VLOOKUP(A1392,'[2]UPDATE BILL 2018'!$B:$T,19,0)))))))))</f>
        <v>43337</v>
      </c>
      <c r="AC1392" s="44" t="str">
        <f>IFERROR(VLOOKUP(A1392,'[2]UPDATE BILL 2018'!$B:$V,21,0),IFERROR(VLOOKUP(A1392,'[2]UPDATE BILL 2018'!$C:$V,20,0),IFERROR(VLOOKUP(A1392,'[2]UPDATE BILL 2018'!$D:$V,19,0),IFERROR(VLOOKUP(A1392,'[2]UPDATE BILL 2018'!$E:$V,18,0),IFERROR(VLOOKUP(A1392,'[2]UPDATE BILL 2018'!$F:$V,17,0),IFERROR(VLOOKUP(A1392,'[2]UPDATE BILL 2018'!$G:$V,16,0),IFERROR(VLOOKUP(A1392,'[2]UPDATE BILL 2018'!$H:$V,15,0),IFERROR(VLOOKUP(A1392,'[2]UPDATE BILL 2018'!$I:$V,14,0),VLOOKUP(A1392,'[2]UPDATE BILL 2018'!$B:$V,21,0)))))))))</f>
        <v>PAOLA N027</v>
      </c>
      <c r="AD1392" s="14" t="s">
        <v>52</v>
      </c>
      <c r="AE1392" s="24" t="s">
        <v>3562</v>
      </c>
      <c r="AF1392" s="25" t="str">
        <f t="shared" si="122"/>
        <v>VQ</v>
      </c>
      <c r="AG1392" t="e">
        <f t="shared" si="121"/>
        <v>#REF!</v>
      </c>
      <c r="AI1392" s="58"/>
    </row>
    <row r="1393" spans="1:35" ht="15.75" customHeight="1">
      <c r="A1393" s="6" t="s">
        <v>3554</v>
      </c>
      <c r="B1393" s="5">
        <v>716</v>
      </c>
      <c r="C1393" s="7">
        <v>63513.68</v>
      </c>
      <c r="D1393" s="7">
        <f t="shared" si="116"/>
        <v>0</v>
      </c>
      <c r="E1393" s="7">
        <v>0</v>
      </c>
      <c r="F1393" s="5">
        <v>0</v>
      </c>
      <c r="G1393" s="7">
        <v>0</v>
      </c>
      <c r="H1393" s="5">
        <v>201</v>
      </c>
      <c r="I1393" s="7">
        <v>27727.57</v>
      </c>
      <c r="J1393" s="7">
        <v>0</v>
      </c>
      <c r="K1393" s="5">
        <v>0</v>
      </c>
      <c r="L1393" s="5">
        <v>0</v>
      </c>
      <c r="M1393" s="5">
        <v>182</v>
      </c>
      <c r="N1393" s="7">
        <f t="shared" si="117"/>
        <v>182</v>
      </c>
      <c r="O1393" s="7">
        <v>24505.4</v>
      </c>
      <c r="P1393" s="7">
        <v>0</v>
      </c>
      <c r="Q1393" s="5">
        <v>0</v>
      </c>
      <c r="S1393" s="7">
        <v>0</v>
      </c>
      <c r="T1393" s="12">
        <v>43332</v>
      </c>
      <c r="U1393" s="4">
        <v>10</v>
      </c>
      <c r="V1393" s="4">
        <v>9</v>
      </c>
      <c r="W1393" s="4">
        <v>9</v>
      </c>
      <c r="X1393" s="45">
        <f t="shared" si="118"/>
        <v>115746.65</v>
      </c>
      <c r="Y1393" s="14" t="s">
        <v>85</v>
      </c>
      <c r="Z1393" s="14" t="s">
        <v>57</v>
      </c>
      <c r="AA1393" s="14">
        <f>IFERROR(VLOOKUP(A1393,'[2]UPDATE BILL 2018'!$B:$P,15,0),IFERROR(VLOOKUP(A1393,'[2]UPDATE BILL 2018'!$C:$P,14,0),IFERROR(VLOOKUP(A1393,'[2]UPDATE BILL 2018'!$D:$P,13,0),IFERROR(VLOOKUP(A1393,'[2]UPDATE BILL 2018'!$E:$P,12,0),IFERROR(VLOOKUP(A1393,'[2]UPDATE BILL 2018'!$F:$P,11,0),IFERROR(VLOOKUP(A1393,'[2]UPDATE BILL 2018'!$G:$P,10,0),IFERROR(VLOOKUP(A1393,'[2]UPDATE BILL 2018'!$H:$P,9,0),IFERROR(VLOOKUP(A1393,'[2]UPDATE BILL 2018'!$I:$P,8,0),VLOOKUP(A1393,'[2]UPDATE BILL 2018'!$B:$P,15,0)))))))))</f>
        <v>350810098354</v>
      </c>
      <c r="AB1393" s="44">
        <f>IFERROR(VLOOKUP(A1393,'[2]UPDATE BILL 2018'!$B:$T,19,0),IFERROR(VLOOKUP(A1393,'[2]UPDATE BILL 2018'!$C:$T,18,0),IFERROR(VLOOKUP(A1393,'[2]UPDATE BILL 2018'!$D:$T,17,0),IFERROR(VLOOKUP(A1393,'[2]UPDATE BILL 2018'!$E:$T,16,0),IFERROR(VLOOKUP(A1393,'[2]UPDATE BILL 2018'!$F:$T,15,0),IFERROR(VLOOKUP(A1393,'[2]UPDATE BILL 2018'!$G:$T,14,0),IFERROR(VLOOKUP(A1393,'[2]UPDATE BILL 2018'!$H:$T,13,0),IFERROR(VLOOKUP(A1393,'[2]UPDATE BILL 2018'!$I:$T,12,0),VLOOKUP(A1393,'[2]UPDATE BILL 2018'!$B:$T,19,0)))))))))</f>
        <v>43334</v>
      </c>
      <c r="AC1393" s="44" t="str">
        <f>IFERROR(VLOOKUP(A1393,'[2]UPDATE BILL 2018'!$B:$V,21,0),IFERROR(VLOOKUP(A1393,'[2]UPDATE BILL 2018'!$C:$V,20,0),IFERROR(VLOOKUP(A1393,'[2]UPDATE BILL 2018'!$D:$V,19,0),IFERROR(VLOOKUP(A1393,'[2]UPDATE BILL 2018'!$E:$V,18,0),IFERROR(VLOOKUP(A1393,'[2]UPDATE BILL 2018'!$F:$V,17,0),IFERROR(VLOOKUP(A1393,'[2]UPDATE BILL 2018'!$G:$V,16,0),IFERROR(VLOOKUP(A1393,'[2]UPDATE BILL 2018'!$H:$V,15,0),IFERROR(VLOOKUP(A1393,'[2]UPDATE BILL 2018'!$I:$V,14,0),VLOOKUP(A1393,'[2]UPDATE BILL 2018'!$B:$V,21,0)))))))))</f>
        <v>MARCLIFF 18014N</v>
      </c>
      <c r="AD1393" s="14" t="s">
        <v>51</v>
      </c>
      <c r="AE1393" s="24" t="s">
        <v>3563</v>
      </c>
      <c r="AF1393" s="25" t="str">
        <f t="shared" si="122"/>
        <v>VS</v>
      </c>
      <c r="AG1393" t="e">
        <f t="shared" si="121"/>
        <v>#REF!</v>
      </c>
      <c r="AI1393" s="58"/>
    </row>
    <row r="1394" spans="1:35" ht="15.75" customHeight="1">
      <c r="A1394" s="6" t="s">
        <v>3555</v>
      </c>
      <c r="B1394" s="5">
        <v>281</v>
      </c>
      <c r="C1394" s="7">
        <v>25238.84</v>
      </c>
      <c r="D1394" s="7">
        <f t="shared" si="116"/>
        <v>0</v>
      </c>
      <c r="E1394" s="7">
        <v>0</v>
      </c>
      <c r="F1394" s="5">
        <v>0</v>
      </c>
      <c r="G1394" s="7">
        <v>0</v>
      </c>
      <c r="H1394" s="5">
        <v>390</v>
      </c>
      <c r="I1394" s="7">
        <v>46432.799999999996</v>
      </c>
      <c r="J1394" s="7">
        <v>0</v>
      </c>
      <c r="K1394" s="5">
        <v>0</v>
      </c>
      <c r="L1394" s="5">
        <v>0</v>
      </c>
      <c r="M1394" s="5">
        <v>85</v>
      </c>
      <c r="N1394" s="7">
        <f t="shared" si="117"/>
        <v>85</v>
      </c>
      <c r="O1394" s="7">
        <v>18855.099999999999</v>
      </c>
      <c r="P1394" s="7">
        <v>0</v>
      </c>
      <c r="Q1394" s="5">
        <v>0</v>
      </c>
      <c r="S1394" s="7">
        <v>0</v>
      </c>
      <c r="T1394" s="12">
        <v>43332</v>
      </c>
      <c r="U1394" s="4">
        <v>8</v>
      </c>
      <c r="V1394" s="4">
        <v>9</v>
      </c>
      <c r="W1394" s="4">
        <v>9</v>
      </c>
      <c r="X1394" s="45">
        <f t="shared" si="118"/>
        <v>90526.739999999991</v>
      </c>
      <c r="Y1394" s="14" t="s">
        <v>56</v>
      </c>
      <c r="Z1394" s="14" t="s">
        <v>1355</v>
      </c>
      <c r="AA1394" s="14" t="str">
        <f>IFERROR(VLOOKUP(A1394,'[2]UPDATE BILL 2018'!$B:$P,15,0),IFERROR(VLOOKUP(A1394,'[2]UPDATE BILL 2018'!$C:$P,14,0),IFERROR(VLOOKUP(A1394,'[2]UPDATE BILL 2018'!$D:$P,13,0),IFERROR(VLOOKUP(A1394,'[2]UPDATE BILL 2018'!$E:$P,12,0),IFERROR(VLOOKUP(A1394,'[2]UPDATE BILL 2018'!$F:$P,11,0),IFERROR(VLOOKUP(A1394,'[2]UPDATE BILL 2018'!$G:$P,10,0),IFERROR(VLOOKUP(A1394,'[2]UPDATE BILL 2018'!$H:$P,9,0),IFERROR(VLOOKUP(A1394,'[2]UPDATE BILL 2018'!$I:$P,8,0),VLOOKUP(A1394,'[2]UPDATE BILL 2018'!$B:$P,15,0)))))))))</f>
        <v>1008X04646</v>
      </c>
      <c r="AB1394" s="44">
        <f>IFERROR(VLOOKUP(A1394,'[2]UPDATE BILL 2018'!$B:$T,19,0),IFERROR(VLOOKUP(A1394,'[2]UPDATE BILL 2018'!$C:$T,18,0),IFERROR(VLOOKUP(A1394,'[2]UPDATE BILL 2018'!$D:$T,17,0),IFERROR(VLOOKUP(A1394,'[2]UPDATE BILL 2018'!$E:$T,16,0),IFERROR(VLOOKUP(A1394,'[2]UPDATE BILL 2018'!$F:$T,15,0),IFERROR(VLOOKUP(A1394,'[2]UPDATE BILL 2018'!$G:$T,14,0),IFERROR(VLOOKUP(A1394,'[2]UPDATE BILL 2018'!$H:$T,13,0),IFERROR(VLOOKUP(A1394,'[2]UPDATE BILL 2018'!$I:$T,12,0),VLOOKUP(A1394,'[2]UPDATE BILL 2018'!$B:$T,19,0)))))))))</f>
        <v>43341</v>
      </c>
      <c r="AC1394" s="44" t="str">
        <f>IFERROR(VLOOKUP(A1394,'[2]UPDATE BILL 2018'!$B:$V,21,0),IFERROR(VLOOKUP(A1394,'[2]UPDATE BILL 2018'!$C:$V,20,0),IFERROR(VLOOKUP(A1394,'[2]UPDATE BILL 2018'!$D:$V,19,0),IFERROR(VLOOKUP(A1394,'[2]UPDATE BILL 2018'!$E:$V,18,0),IFERROR(VLOOKUP(A1394,'[2]UPDATE BILL 2018'!$F:$V,17,0),IFERROR(VLOOKUP(A1394,'[2]UPDATE BILL 2018'!$G:$V,16,0),IFERROR(VLOOKUP(A1394,'[2]UPDATE BILL 2018'!$H:$V,15,0),IFERROR(VLOOKUP(A1394,'[2]UPDATE BILL 2018'!$I:$V,14,0),VLOOKUP(A1394,'[2]UPDATE BILL 2018'!$B:$V,21,0)))))))))</f>
        <v xml:space="preserve"> WAN HAI 165  N300</v>
      </c>
      <c r="AD1394" s="14" t="s">
        <v>51</v>
      </c>
      <c r="AE1394" s="24" t="s">
        <v>3564</v>
      </c>
      <c r="AF1394" s="25" t="str">
        <f t="shared" si="122"/>
        <v>VS</v>
      </c>
      <c r="AG1394" t="e">
        <f t="shared" si="121"/>
        <v>#REF!</v>
      </c>
      <c r="AI1394" s="58"/>
    </row>
    <row r="1395" spans="1:35" ht="15.75" customHeight="1">
      <c r="A1395" s="6" t="s">
        <v>3556</v>
      </c>
      <c r="B1395" s="5">
        <v>497</v>
      </c>
      <c r="C1395" s="7">
        <v>65889.260000000009</v>
      </c>
      <c r="D1395" s="7">
        <f t="shared" si="116"/>
        <v>0</v>
      </c>
      <c r="E1395" s="7">
        <v>0</v>
      </c>
      <c r="F1395" s="5">
        <v>0</v>
      </c>
      <c r="G1395" s="7">
        <v>0</v>
      </c>
      <c r="H1395" s="5">
        <v>0</v>
      </c>
      <c r="I1395" s="7">
        <v>0</v>
      </c>
      <c r="J1395" s="7">
        <v>0</v>
      </c>
      <c r="K1395" s="5">
        <v>0</v>
      </c>
      <c r="L1395" s="5">
        <v>0</v>
      </c>
      <c r="M1395" s="5">
        <v>149</v>
      </c>
      <c r="N1395" s="7">
        <f t="shared" si="117"/>
        <v>149</v>
      </c>
      <c r="O1395" s="7">
        <v>30427.000000000007</v>
      </c>
      <c r="P1395" s="7">
        <v>0</v>
      </c>
      <c r="Q1395" s="5">
        <v>0</v>
      </c>
      <c r="S1395" s="7">
        <v>0</v>
      </c>
      <c r="T1395" s="12">
        <v>43332</v>
      </c>
      <c r="U1395" s="4">
        <v>8</v>
      </c>
      <c r="V1395" s="4">
        <v>9</v>
      </c>
      <c r="W1395" s="4">
        <v>9</v>
      </c>
      <c r="X1395" s="45">
        <f t="shared" si="118"/>
        <v>96316.260000000009</v>
      </c>
      <c r="Y1395" s="14" t="s">
        <v>54</v>
      </c>
      <c r="Z1395" s="14" t="s">
        <v>59</v>
      </c>
      <c r="AA1395" s="14" t="str">
        <f>IFERROR(VLOOKUP(A1395,'[2]UPDATE BILL 2018'!$B:$P,15,0),IFERROR(VLOOKUP(A1395,'[2]UPDATE BILL 2018'!$C:$P,14,0),IFERROR(VLOOKUP(A1395,'[2]UPDATE BILL 2018'!$D:$P,13,0),IFERROR(VLOOKUP(A1395,'[2]UPDATE BILL 2018'!$E:$P,12,0),IFERROR(VLOOKUP(A1395,'[2]UPDATE BILL 2018'!$F:$P,11,0),IFERROR(VLOOKUP(A1395,'[2]UPDATE BILL 2018'!$G:$P,10,0),IFERROR(VLOOKUP(A1395,'[2]UPDATE BILL 2018'!$H:$P,9,0),IFERROR(VLOOKUP(A1395,'[2]UPDATE BILL 2018'!$I:$P,8,0),VLOOKUP(A1395,'[2]UPDATE BILL 2018'!$B:$P,15,0)))))))))</f>
        <v>SITWHPKW175201</v>
      </c>
      <c r="AB1395" s="44">
        <f>IFERROR(VLOOKUP(A1395,'[2]UPDATE BILL 2018'!$B:$T,19,0),IFERROR(VLOOKUP(A1395,'[2]UPDATE BILL 2018'!$C:$T,18,0),IFERROR(VLOOKUP(A1395,'[2]UPDATE BILL 2018'!$D:$T,17,0),IFERROR(VLOOKUP(A1395,'[2]UPDATE BILL 2018'!$E:$T,16,0),IFERROR(VLOOKUP(A1395,'[2]UPDATE BILL 2018'!$F:$T,15,0),IFERROR(VLOOKUP(A1395,'[2]UPDATE BILL 2018'!$G:$T,14,0),IFERROR(VLOOKUP(A1395,'[2]UPDATE BILL 2018'!$H:$T,13,0),IFERROR(VLOOKUP(A1395,'[2]UPDATE BILL 2018'!$I:$T,12,0),VLOOKUP(A1395,'[2]UPDATE BILL 2018'!$B:$T,19,0)))))))))</f>
        <v>43337</v>
      </c>
      <c r="AC1395" s="44" t="str">
        <f>IFERROR(VLOOKUP(A1395,'[2]UPDATE BILL 2018'!$B:$V,21,0),IFERROR(VLOOKUP(A1395,'[2]UPDATE BILL 2018'!$C:$V,20,0),IFERROR(VLOOKUP(A1395,'[2]UPDATE BILL 2018'!$D:$V,19,0),IFERROR(VLOOKUP(A1395,'[2]UPDATE BILL 2018'!$E:$V,18,0),IFERROR(VLOOKUP(A1395,'[2]UPDATE BILL 2018'!$F:$V,17,0),IFERROR(VLOOKUP(A1395,'[2]UPDATE BILL 2018'!$G:$V,16,0),IFERROR(VLOOKUP(A1395,'[2]UPDATE BILL 2018'!$H:$V,15,0),IFERROR(VLOOKUP(A1395,'[2]UPDATE BILL 2018'!$I:$V,14,0),VLOOKUP(A1395,'[2]UPDATE BILL 2018'!$B:$V,21,0)))))))))</f>
        <v>SITC YOKKAICHI 1821N</v>
      </c>
      <c r="AD1395" s="14" t="s">
        <v>50</v>
      </c>
      <c r="AE1395" s="24" t="s">
        <v>3565</v>
      </c>
      <c r="AF1395" s="25" t="str">
        <f t="shared" si="122"/>
        <v>VW</v>
      </c>
      <c r="AG1395" t="e">
        <f t="shared" si="121"/>
        <v>#REF!</v>
      </c>
      <c r="AI1395" s="58"/>
    </row>
    <row r="1396" spans="1:35" ht="15.75" customHeight="1">
      <c r="A1396" s="6" t="s">
        <v>3557</v>
      </c>
      <c r="B1396" s="5">
        <v>85</v>
      </c>
      <c r="C1396" s="7">
        <v>11535.7</v>
      </c>
      <c r="D1396" s="7">
        <f t="shared" si="116"/>
        <v>0</v>
      </c>
      <c r="E1396" s="7">
        <v>0</v>
      </c>
      <c r="F1396" s="5">
        <v>0</v>
      </c>
      <c r="G1396" s="7">
        <v>0</v>
      </c>
      <c r="H1396" s="5">
        <v>0</v>
      </c>
      <c r="I1396" s="7">
        <v>0</v>
      </c>
      <c r="J1396" s="7">
        <v>0</v>
      </c>
      <c r="K1396" s="5">
        <v>0</v>
      </c>
      <c r="L1396" s="5">
        <v>0</v>
      </c>
      <c r="M1396" s="5">
        <v>0</v>
      </c>
      <c r="N1396" s="7">
        <f t="shared" si="117"/>
        <v>0</v>
      </c>
      <c r="O1396" s="7">
        <v>0</v>
      </c>
      <c r="P1396" s="7">
        <v>0</v>
      </c>
      <c r="Q1396" s="5">
        <v>0</v>
      </c>
      <c r="S1396" s="7">
        <v>0</v>
      </c>
      <c r="T1396" s="12">
        <v>43332</v>
      </c>
      <c r="U1396" s="4">
        <v>1</v>
      </c>
      <c r="V1396" s="4">
        <v>9</v>
      </c>
      <c r="W1396" s="4">
        <v>9</v>
      </c>
      <c r="X1396" s="45">
        <f t="shared" si="118"/>
        <v>11535.7</v>
      </c>
      <c r="Y1396" s="14" t="s">
        <v>58</v>
      </c>
      <c r="Z1396" s="14" t="s">
        <v>1492</v>
      </c>
      <c r="AA1396" s="14" t="str">
        <f>IFERROR(VLOOKUP(A1396,'[2]UPDATE BILL 2018'!$B:$P,15,0),IFERROR(VLOOKUP(A1396,'[2]UPDATE BILL 2018'!$C:$P,14,0),IFERROR(VLOOKUP(A1396,'[2]UPDATE BILL 2018'!$D:$P,13,0),IFERROR(VLOOKUP(A1396,'[2]UPDATE BILL 2018'!$E:$P,12,0),IFERROR(VLOOKUP(A1396,'[2]UPDATE BILL 2018'!$F:$P,11,0),IFERROR(VLOOKUP(A1396,'[2]UPDATE BILL 2018'!$G:$P,10,0),IFERROR(VLOOKUP(A1396,'[2]UPDATE BILL 2018'!$H:$P,9,0),IFERROR(VLOOKUP(A1396,'[2]UPDATE BILL 2018'!$I:$P,8,0),VLOOKUP(A1396,'[2]UPDATE BILL 2018'!$B:$P,15,0)))))))))</f>
        <v>EGLV237800259027</v>
      </c>
      <c r="AB1396" s="44">
        <f>IFERROR(VLOOKUP(A1396,'[2]UPDATE BILL 2018'!$B:$T,19,0),IFERROR(VLOOKUP(A1396,'[2]UPDATE BILL 2018'!$C:$T,18,0),IFERROR(VLOOKUP(A1396,'[2]UPDATE BILL 2018'!$D:$T,17,0),IFERROR(VLOOKUP(A1396,'[2]UPDATE BILL 2018'!$E:$T,16,0),IFERROR(VLOOKUP(A1396,'[2]UPDATE BILL 2018'!$F:$T,15,0),IFERROR(VLOOKUP(A1396,'[2]UPDATE BILL 2018'!$G:$T,14,0),IFERROR(VLOOKUP(A1396,'[2]UPDATE BILL 2018'!$H:$T,13,0),IFERROR(VLOOKUP(A1396,'[2]UPDATE BILL 2018'!$I:$T,12,0),VLOOKUP(A1396,'[2]UPDATE BILL 2018'!$B:$T,19,0)))))))))</f>
        <v>43337</v>
      </c>
      <c r="AC1396" s="44" t="str">
        <f>IFERROR(VLOOKUP(A1396,'[2]UPDATE BILL 2018'!$B:$V,21,0),IFERROR(VLOOKUP(A1396,'[2]UPDATE BILL 2018'!$C:$V,20,0),IFERROR(VLOOKUP(A1396,'[2]UPDATE BILL 2018'!$D:$V,19,0),IFERROR(VLOOKUP(A1396,'[2]UPDATE BILL 2018'!$E:$V,18,0),IFERROR(VLOOKUP(A1396,'[2]UPDATE BILL 2018'!$F:$V,17,0),IFERROR(VLOOKUP(A1396,'[2]UPDATE BILL 2018'!$G:$V,16,0),IFERROR(VLOOKUP(A1396,'[2]UPDATE BILL 2018'!$H:$V,15,0),IFERROR(VLOOKUP(A1396,'[2]UPDATE BILL 2018'!$I:$V,14,0),VLOOKUP(A1396,'[2]UPDATE BILL 2018'!$B:$V,21,0)))))))))</f>
        <v>UNI-ACCORD 0598-565N</v>
      </c>
      <c r="AD1396" s="14" t="s">
        <v>49</v>
      </c>
      <c r="AE1396" s="24" t="s">
        <v>3566</v>
      </c>
      <c r="AF1396" s="25" t="str">
        <f t="shared" si="122"/>
        <v>VZ</v>
      </c>
      <c r="AG1396" t="e">
        <f t="shared" si="121"/>
        <v>#REF!</v>
      </c>
      <c r="AI1396" s="58"/>
    </row>
    <row r="1397" spans="1:35" ht="15.75" customHeight="1">
      <c r="A1397" s="6" t="s">
        <v>3558</v>
      </c>
      <c r="D1397" s="7">
        <f t="shared" si="116"/>
        <v>0</v>
      </c>
      <c r="E1397" s="7">
        <v>0</v>
      </c>
      <c r="F1397" s="5">
        <v>0</v>
      </c>
      <c r="G1397" s="7">
        <v>0</v>
      </c>
      <c r="H1397" s="5">
        <v>0</v>
      </c>
      <c r="I1397" s="7">
        <v>0</v>
      </c>
      <c r="J1397" s="7">
        <v>0</v>
      </c>
      <c r="K1397" s="5">
        <v>0</v>
      </c>
      <c r="L1397" s="5">
        <v>0</v>
      </c>
      <c r="M1397" s="5">
        <v>0</v>
      </c>
      <c r="N1397" s="7">
        <f t="shared" si="117"/>
        <v>0</v>
      </c>
      <c r="O1397" s="7">
        <v>0</v>
      </c>
      <c r="P1397" s="7">
        <v>0</v>
      </c>
      <c r="Q1397" s="5">
        <v>0</v>
      </c>
      <c r="R1397" s="5">
        <v>1003</v>
      </c>
      <c r="S1397" s="7">
        <v>74516.5</v>
      </c>
      <c r="T1397" s="12">
        <v>43332</v>
      </c>
      <c r="U1397" s="4">
        <v>2</v>
      </c>
      <c r="V1397" s="4">
        <v>9</v>
      </c>
      <c r="W1397" s="4">
        <v>9</v>
      </c>
      <c r="X1397" s="45">
        <f t="shared" si="118"/>
        <v>74516.5</v>
      </c>
      <c r="Y1397" s="14" t="s">
        <v>54</v>
      </c>
      <c r="Z1397" s="14" t="s">
        <v>1492</v>
      </c>
      <c r="AA1397" s="14" t="str">
        <f>IFERROR(VLOOKUP(A1397,'[2]UPDATE BILL 2018'!$B:$P,15,0),IFERROR(VLOOKUP(A1397,'[2]UPDATE BILL 2018'!$C:$P,14,0),IFERROR(VLOOKUP(A1397,'[2]UPDATE BILL 2018'!$D:$P,13,0),IFERROR(VLOOKUP(A1397,'[2]UPDATE BILL 2018'!$E:$P,12,0),IFERROR(VLOOKUP(A1397,'[2]UPDATE BILL 2018'!$F:$P,11,0),IFERROR(VLOOKUP(A1397,'[2]UPDATE BILL 2018'!$G:$P,10,0),IFERROR(VLOOKUP(A1397,'[2]UPDATE BILL 2018'!$H:$P,9,0),IFERROR(VLOOKUP(A1397,'[2]UPDATE BILL 2018'!$I:$P,8,0),VLOOKUP(A1397,'[2]UPDATE BILL 2018'!$B:$P,15,0)))))))))</f>
        <v>SITWHPTK175290</v>
      </c>
      <c r="AB1397" s="44">
        <f>IFERROR(VLOOKUP(A1397,'[2]UPDATE BILL 2018'!$B:$T,19,0),IFERROR(VLOOKUP(A1397,'[2]UPDATE BILL 2018'!$C:$T,18,0),IFERROR(VLOOKUP(A1397,'[2]UPDATE BILL 2018'!$D:$T,17,0),IFERROR(VLOOKUP(A1397,'[2]UPDATE BILL 2018'!$E:$T,16,0),IFERROR(VLOOKUP(A1397,'[2]UPDATE BILL 2018'!$F:$T,15,0),IFERROR(VLOOKUP(A1397,'[2]UPDATE BILL 2018'!$G:$T,14,0),IFERROR(VLOOKUP(A1397,'[2]UPDATE BILL 2018'!$H:$T,13,0),IFERROR(VLOOKUP(A1397,'[2]UPDATE BILL 2018'!$I:$T,12,0),VLOOKUP(A1397,'[2]UPDATE BILL 2018'!$B:$T,19,0)))))))))</f>
        <v>43337</v>
      </c>
      <c r="AC1397" s="44" t="str">
        <f>IFERROR(VLOOKUP(A1397,'[2]UPDATE BILL 2018'!$B:$V,21,0),IFERROR(VLOOKUP(A1397,'[2]UPDATE BILL 2018'!$C:$V,20,0),IFERROR(VLOOKUP(A1397,'[2]UPDATE BILL 2018'!$D:$V,19,0),IFERROR(VLOOKUP(A1397,'[2]UPDATE BILL 2018'!$E:$V,18,0),IFERROR(VLOOKUP(A1397,'[2]UPDATE BILL 2018'!$F:$V,17,0),IFERROR(VLOOKUP(A1397,'[2]UPDATE BILL 2018'!$G:$V,16,0),IFERROR(VLOOKUP(A1397,'[2]UPDATE BILL 2018'!$H:$V,15,0),IFERROR(VLOOKUP(A1397,'[2]UPDATE BILL 2018'!$I:$V,14,0),VLOOKUP(A1397,'[2]UPDATE BILL 2018'!$B:$V,21,0)))))))))</f>
        <v>SITC YOKKAICHI 1821N</v>
      </c>
      <c r="AD1397" s="14" t="s">
        <v>49</v>
      </c>
      <c r="AE1397" s="24" t="s">
        <v>3567</v>
      </c>
      <c r="AF1397" s="25" t="s">
        <v>2175</v>
      </c>
      <c r="AG1397" t="e">
        <f t="shared" si="121"/>
        <v>#N/A</v>
      </c>
      <c r="AI1397" s="58"/>
    </row>
    <row r="1398" spans="1:35" ht="15.75" customHeight="1">
      <c r="A1398" s="6" t="s">
        <v>3568</v>
      </c>
      <c r="B1398" s="5">
        <v>79</v>
      </c>
      <c r="C1398" s="7">
        <v>11063.3</v>
      </c>
      <c r="D1398" s="7">
        <f t="shared" si="116"/>
        <v>0</v>
      </c>
      <c r="E1398" s="7">
        <v>0</v>
      </c>
      <c r="F1398" s="5">
        <v>0</v>
      </c>
      <c r="G1398" s="7">
        <v>0</v>
      </c>
      <c r="H1398" s="5">
        <v>0</v>
      </c>
      <c r="I1398" s="7">
        <v>0</v>
      </c>
      <c r="J1398" s="7">
        <v>0</v>
      </c>
      <c r="K1398" s="5">
        <v>0</v>
      </c>
      <c r="L1398" s="5">
        <v>0</v>
      </c>
      <c r="M1398" s="5">
        <v>66</v>
      </c>
      <c r="N1398" s="7">
        <f t="shared" si="117"/>
        <v>66</v>
      </c>
      <c r="O1398" s="7">
        <v>8907.2999999999993</v>
      </c>
      <c r="P1398" s="7">
        <v>0</v>
      </c>
      <c r="Q1398" s="5">
        <v>0</v>
      </c>
      <c r="S1398" s="7">
        <v>0</v>
      </c>
      <c r="T1398" s="12">
        <v>43333</v>
      </c>
      <c r="U1398" s="4">
        <v>2</v>
      </c>
      <c r="V1398" s="4">
        <v>9</v>
      </c>
      <c r="W1398" s="4">
        <v>9</v>
      </c>
      <c r="X1398" s="45">
        <f t="shared" si="118"/>
        <v>19970.599999999999</v>
      </c>
      <c r="Y1398" s="14" t="s">
        <v>1633</v>
      </c>
      <c r="Z1398" s="14" t="s">
        <v>1492</v>
      </c>
      <c r="AA1398" s="14" t="str">
        <f>IFERROR(VLOOKUP(A1398,'[2]UPDATE BILL 2018'!$B:$P,15,0),IFERROR(VLOOKUP(A1398,'[2]UPDATE BILL 2018'!$C:$P,14,0),IFERROR(VLOOKUP(A1398,'[2]UPDATE BILL 2018'!$D:$P,13,0),IFERROR(VLOOKUP(A1398,'[2]UPDATE BILL 2018'!$E:$P,12,0),IFERROR(VLOOKUP(A1398,'[2]UPDATE BILL 2018'!$F:$P,11,0),IFERROR(VLOOKUP(A1398,'[2]UPDATE BILL 2018'!$G:$P,10,0),IFERROR(VLOOKUP(A1398,'[2]UPDATE BILL 2018'!$H:$P,9,0),IFERROR(VLOOKUP(A1398,'[2]UPDATE BILL 2018'!$I:$P,8,0),VLOOKUP(A1398,'[2]UPDATE BILL 2018'!$B:$P,15,0)))))))))</f>
        <v>KMTCHPH0574772</v>
      </c>
      <c r="AB1398" s="44">
        <f>IFERROR(VLOOKUP(A1398,'[2]UPDATE BILL 2018'!$B:$T,19,0),IFERROR(VLOOKUP(A1398,'[2]UPDATE BILL 2018'!$C:$T,18,0),IFERROR(VLOOKUP(A1398,'[2]UPDATE BILL 2018'!$D:$T,17,0),IFERROR(VLOOKUP(A1398,'[2]UPDATE BILL 2018'!$E:$T,16,0),IFERROR(VLOOKUP(A1398,'[2]UPDATE BILL 2018'!$F:$T,15,0),IFERROR(VLOOKUP(A1398,'[2]UPDATE BILL 2018'!$G:$T,14,0),IFERROR(VLOOKUP(A1398,'[2]UPDATE BILL 2018'!$H:$T,13,0),IFERROR(VLOOKUP(A1398,'[2]UPDATE BILL 2018'!$I:$T,12,0),VLOOKUP(A1398,'[2]UPDATE BILL 2018'!$B:$T,19,0)))))))))</f>
        <v>43335</v>
      </c>
      <c r="AC1398" s="44" t="str">
        <f>IFERROR(VLOOKUP(A1398,'[2]UPDATE BILL 2018'!$B:$V,21,0),IFERROR(VLOOKUP(A1398,'[2]UPDATE BILL 2018'!$C:$V,20,0),IFERROR(VLOOKUP(A1398,'[2]UPDATE BILL 2018'!$D:$V,19,0),IFERROR(VLOOKUP(A1398,'[2]UPDATE BILL 2018'!$E:$V,18,0),IFERROR(VLOOKUP(A1398,'[2]UPDATE BILL 2018'!$F:$V,17,0),IFERROR(VLOOKUP(A1398,'[2]UPDATE BILL 2018'!$G:$V,16,0),IFERROR(VLOOKUP(A1398,'[2]UPDATE BILL 2018'!$H:$V,15,0),IFERROR(VLOOKUP(A1398,'[2]UPDATE BILL 2018'!$I:$V,14,0),VLOOKUP(A1398,'[2]UPDATE BILL 2018'!$B:$V,21,0)))))))))</f>
        <v>SUNNY CALLA 1815N</v>
      </c>
      <c r="AD1398" s="14" t="s">
        <v>70</v>
      </c>
      <c r="AE1398" s="24" t="s">
        <v>3579</v>
      </c>
      <c r="AF1398" s="25" t="str">
        <f t="shared" si="122"/>
        <v>VH</v>
      </c>
      <c r="AG1398" t="e">
        <f t="shared" si="121"/>
        <v>#REF!</v>
      </c>
      <c r="AI1398" s="58"/>
    </row>
    <row r="1399" spans="1:35" ht="15.75" customHeight="1">
      <c r="A1399" s="6" t="s">
        <v>3569</v>
      </c>
      <c r="D1399" s="7">
        <f t="shared" si="116"/>
        <v>0</v>
      </c>
      <c r="E1399" s="7">
        <v>0</v>
      </c>
      <c r="F1399" s="5">
        <v>0</v>
      </c>
      <c r="G1399" s="7">
        <v>0</v>
      </c>
      <c r="H1399" s="5">
        <v>450</v>
      </c>
      <c r="I1399" s="7">
        <v>52566.8</v>
      </c>
      <c r="J1399" s="7">
        <v>0</v>
      </c>
      <c r="K1399" s="5">
        <v>0</v>
      </c>
      <c r="L1399" s="5">
        <v>0</v>
      </c>
      <c r="M1399" s="5">
        <v>0</v>
      </c>
      <c r="N1399" s="7">
        <f t="shared" si="117"/>
        <v>0</v>
      </c>
      <c r="O1399" s="7">
        <v>0</v>
      </c>
      <c r="P1399" s="7">
        <v>0</v>
      </c>
      <c r="Q1399" s="5">
        <v>0</v>
      </c>
      <c r="S1399" s="7">
        <v>0</v>
      </c>
      <c r="T1399" s="12">
        <v>43333</v>
      </c>
      <c r="U1399" s="4">
        <v>4</v>
      </c>
      <c r="V1399" s="4">
        <v>9</v>
      </c>
      <c r="W1399" s="4">
        <v>9</v>
      </c>
      <c r="X1399" s="45">
        <f t="shared" si="118"/>
        <v>52566.8</v>
      </c>
      <c r="Y1399" s="14" t="s">
        <v>56</v>
      </c>
      <c r="Z1399" s="14" t="s">
        <v>3376</v>
      </c>
      <c r="AA1399" s="14" t="str">
        <f>IFERROR(VLOOKUP(A1399,'[2]UPDATE BILL 2018'!$B:$P,15,0),IFERROR(VLOOKUP(A1399,'[2]UPDATE BILL 2018'!$C:$P,14,0),IFERROR(VLOOKUP(A1399,'[2]UPDATE BILL 2018'!$D:$P,13,0),IFERROR(VLOOKUP(A1399,'[2]UPDATE BILL 2018'!$E:$P,12,0),IFERROR(VLOOKUP(A1399,'[2]UPDATE BILL 2018'!$F:$P,11,0),IFERROR(VLOOKUP(A1399,'[2]UPDATE BILL 2018'!$G:$P,10,0),IFERROR(VLOOKUP(A1399,'[2]UPDATE BILL 2018'!$H:$P,9,0),IFERROR(VLOOKUP(A1399,'[2]UPDATE BILL 2018'!$I:$P,8,0),VLOOKUP(A1399,'[2]UPDATE BILL 2018'!$B:$P,15,0)))))))))</f>
        <v>1008X04647</v>
      </c>
      <c r="AB1399" s="44">
        <f>IFERROR(VLOOKUP(A1399,'[2]UPDATE BILL 2018'!$B:$T,19,0),IFERROR(VLOOKUP(A1399,'[2]UPDATE BILL 2018'!$C:$T,18,0),IFERROR(VLOOKUP(A1399,'[2]UPDATE BILL 2018'!$D:$T,17,0),IFERROR(VLOOKUP(A1399,'[2]UPDATE BILL 2018'!$E:$T,16,0),IFERROR(VLOOKUP(A1399,'[2]UPDATE BILL 2018'!$F:$T,15,0),IFERROR(VLOOKUP(A1399,'[2]UPDATE BILL 2018'!$G:$T,14,0),IFERROR(VLOOKUP(A1399,'[2]UPDATE BILL 2018'!$H:$T,13,0),IFERROR(VLOOKUP(A1399,'[2]UPDATE BILL 2018'!$I:$T,12,0),VLOOKUP(A1399,'[2]UPDATE BILL 2018'!$B:$T,19,0)))))))))</f>
        <v>43341</v>
      </c>
      <c r="AC1399" s="44" t="str">
        <f>IFERROR(VLOOKUP(A1399,'[2]UPDATE BILL 2018'!$B:$V,21,0),IFERROR(VLOOKUP(A1399,'[2]UPDATE BILL 2018'!$C:$V,20,0),IFERROR(VLOOKUP(A1399,'[2]UPDATE BILL 2018'!$D:$V,19,0),IFERROR(VLOOKUP(A1399,'[2]UPDATE BILL 2018'!$E:$V,18,0),IFERROR(VLOOKUP(A1399,'[2]UPDATE BILL 2018'!$F:$V,17,0),IFERROR(VLOOKUP(A1399,'[2]UPDATE BILL 2018'!$G:$V,16,0),IFERROR(VLOOKUP(A1399,'[2]UPDATE BILL 2018'!$H:$V,15,0),IFERROR(VLOOKUP(A1399,'[2]UPDATE BILL 2018'!$I:$V,14,0),VLOOKUP(A1399,'[2]UPDATE BILL 2018'!$B:$V,21,0)))))))))</f>
        <v>WAN HAI 165 N300</v>
      </c>
      <c r="AD1399" s="14" t="s">
        <v>49</v>
      </c>
      <c r="AE1399" s="24" t="s">
        <v>3580</v>
      </c>
      <c r="AF1399" s="25" t="str">
        <f t="shared" si="122"/>
        <v>VK</v>
      </c>
      <c r="AG1399" t="e">
        <f t="shared" si="121"/>
        <v>#REF!</v>
      </c>
      <c r="AI1399" s="58"/>
    </row>
    <row r="1400" spans="1:35" ht="15.75" customHeight="1">
      <c r="A1400" s="6" t="s">
        <v>3570</v>
      </c>
      <c r="B1400" s="5">
        <v>197</v>
      </c>
      <c r="C1400" s="7">
        <v>22919.199999999997</v>
      </c>
      <c r="D1400" s="7">
        <f t="shared" si="116"/>
        <v>0</v>
      </c>
      <c r="E1400" s="7">
        <v>0</v>
      </c>
      <c r="F1400" s="5">
        <v>0</v>
      </c>
      <c r="G1400" s="7">
        <v>0</v>
      </c>
      <c r="H1400" s="5">
        <v>0</v>
      </c>
      <c r="I1400" s="7">
        <v>0</v>
      </c>
      <c r="J1400" s="7">
        <v>0</v>
      </c>
      <c r="K1400" s="5">
        <v>0</v>
      </c>
      <c r="L1400" s="5">
        <v>0</v>
      </c>
      <c r="M1400" s="5">
        <v>0</v>
      </c>
      <c r="N1400" s="7">
        <f t="shared" si="117"/>
        <v>0</v>
      </c>
      <c r="O1400" s="7">
        <v>0</v>
      </c>
      <c r="P1400" s="7">
        <v>0</v>
      </c>
      <c r="Q1400" s="5">
        <v>0</v>
      </c>
      <c r="S1400" s="7">
        <v>0</v>
      </c>
      <c r="T1400" s="12">
        <v>43333</v>
      </c>
      <c r="U1400" s="4">
        <v>2</v>
      </c>
      <c r="V1400" s="4">
        <v>9</v>
      </c>
      <c r="W1400" s="4">
        <v>9</v>
      </c>
      <c r="X1400" s="45">
        <f t="shared" si="118"/>
        <v>22919.199999999997</v>
      </c>
      <c r="Y1400" s="14" t="s">
        <v>85</v>
      </c>
      <c r="Z1400" s="14" t="s">
        <v>1637</v>
      </c>
      <c r="AA1400" s="14">
        <f>IFERROR(VLOOKUP(A1400,'[2]UPDATE BILL 2018'!$B:$P,15,0),IFERROR(VLOOKUP(A1400,'[2]UPDATE BILL 2018'!$C:$P,14,0),IFERROR(VLOOKUP(A1400,'[2]UPDATE BILL 2018'!$D:$P,13,0),IFERROR(VLOOKUP(A1400,'[2]UPDATE BILL 2018'!$E:$P,12,0),IFERROR(VLOOKUP(A1400,'[2]UPDATE BILL 2018'!$F:$P,11,0),IFERROR(VLOOKUP(A1400,'[2]UPDATE BILL 2018'!$G:$P,10,0),IFERROR(VLOOKUP(A1400,'[2]UPDATE BILL 2018'!$H:$P,9,0),IFERROR(VLOOKUP(A1400,'[2]UPDATE BILL 2018'!$I:$P,8,0),VLOOKUP(A1400,'[2]UPDATE BILL 2018'!$B:$P,15,0)))))))))</f>
        <v>350810098378</v>
      </c>
      <c r="AB1400" s="44">
        <f>IFERROR(VLOOKUP(A1400,'[2]UPDATE BILL 2018'!$B:$T,19,0),IFERROR(VLOOKUP(A1400,'[2]UPDATE BILL 2018'!$C:$T,18,0),IFERROR(VLOOKUP(A1400,'[2]UPDATE BILL 2018'!$D:$T,17,0),IFERROR(VLOOKUP(A1400,'[2]UPDATE BILL 2018'!$E:$T,16,0),IFERROR(VLOOKUP(A1400,'[2]UPDATE BILL 2018'!$F:$T,15,0),IFERROR(VLOOKUP(A1400,'[2]UPDATE BILL 2018'!$G:$T,14,0),IFERROR(VLOOKUP(A1400,'[2]UPDATE BILL 2018'!$H:$T,13,0),IFERROR(VLOOKUP(A1400,'[2]UPDATE BILL 2018'!$I:$T,12,0),VLOOKUP(A1400,'[2]UPDATE BILL 2018'!$B:$T,19,0)))))))))</f>
        <v>43339</v>
      </c>
      <c r="AC1400" s="44" t="str">
        <f>IFERROR(VLOOKUP(A1400,'[2]UPDATE BILL 2018'!$B:$V,21,0),IFERROR(VLOOKUP(A1400,'[2]UPDATE BILL 2018'!$C:$V,20,0),IFERROR(VLOOKUP(A1400,'[2]UPDATE BILL 2018'!$D:$V,19,0),IFERROR(VLOOKUP(A1400,'[2]UPDATE BILL 2018'!$E:$V,18,0),IFERROR(VLOOKUP(A1400,'[2]UPDATE BILL 2018'!$F:$V,17,0),IFERROR(VLOOKUP(A1400,'[2]UPDATE BILL 2018'!$G:$V,16,0),IFERROR(VLOOKUP(A1400,'[2]UPDATE BILL 2018'!$H:$V,15,0),IFERROR(VLOOKUP(A1400,'[2]UPDATE BILL 2018'!$I:$V,14,0),VLOOKUP(A1400,'[2]UPDATE BILL 2018'!$B:$V,21,0)))))))))</f>
        <v>HANSE ENDURANCE 18013N</v>
      </c>
      <c r="AD1400" s="14" t="s">
        <v>49</v>
      </c>
      <c r="AE1400" s="24" t="s">
        <v>3581</v>
      </c>
      <c r="AF1400" s="25" t="str">
        <f t="shared" si="122"/>
        <v>VN</v>
      </c>
      <c r="AG1400" t="e">
        <f t="shared" si="121"/>
        <v>#REF!</v>
      </c>
      <c r="AI1400" s="58"/>
    </row>
    <row r="1401" spans="1:35" ht="15.75" customHeight="1">
      <c r="A1401" s="6" t="s">
        <v>3571</v>
      </c>
      <c r="B1401" s="5">
        <v>375</v>
      </c>
      <c r="C1401" s="7">
        <v>38276.160000000003</v>
      </c>
      <c r="D1401" s="7">
        <f t="shared" si="116"/>
        <v>0</v>
      </c>
      <c r="E1401" s="7">
        <v>0</v>
      </c>
      <c r="F1401" s="5">
        <v>0</v>
      </c>
      <c r="G1401" s="7">
        <v>0</v>
      </c>
      <c r="H1401" s="5">
        <v>0</v>
      </c>
      <c r="I1401" s="7">
        <v>0</v>
      </c>
      <c r="J1401" s="7">
        <v>0</v>
      </c>
      <c r="K1401" s="5">
        <v>0</v>
      </c>
      <c r="L1401" s="5">
        <v>0</v>
      </c>
      <c r="M1401" s="5">
        <v>58</v>
      </c>
      <c r="N1401" s="7">
        <f t="shared" si="117"/>
        <v>58</v>
      </c>
      <c r="O1401" s="7">
        <v>10358.799999999999</v>
      </c>
      <c r="P1401" s="7">
        <v>0</v>
      </c>
      <c r="Q1401" s="5">
        <v>0</v>
      </c>
      <c r="S1401" s="7">
        <v>0</v>
      </c>
      <c r="T1401" s="12">
        <v>43333</v>
      </c>
      <c r="U1401" s="4">
        <v>4</v>
      </c>
      <c r="V1401" s="4">
        <v>9</v>
      </c>
      <c r="W1401" s="4">
        <v>9</v>
      </c>
      <c r="X1401" s="45">
        <f t="shared" si="118"/>
        <v>48634.960000000006</v>
      </c>
      <c r="Y1401" s="14" t="s">
        <v>56</v>
      </c>
      <c r="Z1401" s="14" t="s">
        <v>1355</v>
      </c>
      <c r="AA1401" s="14" t="str">
        <f>IFERROR(VLOOKUP(A1401,'[2]UPDATE BILL 2018'!$B:$P,15,0),IFERROR(VLOOKUP(A1401,'[2]UPDATE BILL 2018'!$C:$P,14,0),IFERROR(VLOOKUP(A1401,'[2]UPDATE BILL 2018'!$D:$P,13,0),IFERROR(VLOOKUP(A1401,'[2]UPDATE BILL 2018'!$E:$P,12,0),IFERROR(VLOOKUP(A1401,'[2]UPDATE BILL 2018'!$F:$P,11,0),IFERROR(VLOOKUP(A1401,'[2]UPDATE BILL 2018'!$G:$P,10,0),IFERROR(VLOOKUP(A1401,'[2]UPDATE BILL 2018'!$H:$P,9,0),IFERROR(VLOOKUP(A1401,'[2]UPDATE BILL 2018'!$I:$P,8,0),VLOOKUP(A1401,'[2]UPDATE BILL 2018'!$B:$P,15,0)))))))))</f>
        <v>1008X04643</v>
      </c>
      <c r="AB1401" s="44">
        <f>IFERROR(VLOOKUP(A1401,'[2]UPDATE BILL 2018'!$B:$T,19,0),IFERROR(VLOOKUP(A1401,'[2]UPDATE BILL 2018'!$C:$T,18,0),IFERROR(VLOOKUP(A1401,'[2]UPDATE BILL 2018'!$D:$T,17,0),IFERROR(VLOOKUP(A1401,'[2]UPDATE BILL 2018'!$E:$T,16,0),IFERROR(VLOOKUP(A1401,'[2]UPDATE BILL 2018'!$F:$T,15,0),IFERROR(VLOOKUP(A1401,'[2]UPDATE BILL 2018'!$G:$T,14,0),IFERROR(VLOOKUP(A1401,'[2]UPDATE BILL 2018'!$H:$T,13,0),IFERROR(VLOOKUP(A1401,'[2]UPDATE BILL 2018'!$I:$T,12,0),VLOOKUP(A1401,'[2]UPDATE BILL 2018'!$B:$T,19,0)))))))))</f>
        <v>43337</v>
      </c>
      <c r="AC1401" s="44" t="str">
        <f>IFERROR(VLOOKUP(A1401,'[2]UPDATE BILL 2018'!$B:$V,21,0),IFERROR(VLOOKUP(A1401,'[2]UPDATE BILL 2018'!$C:$V,20,0),IFERROR(VLOOKUP(A1401,'[2]UPDATE BILL 2018'!$D:$V,19,0),IFERROR(VLOOKUP(A1401,'[2]UPDATE BILL 2018'!$E:$V,18,0),IFERROR(VLOOKUP(A1401,'[2]UPDATE BILL 2018'!$F:$V,17,0),IFERROR(VLOOKUP(A1401,'[2]UPDATE BILL 2018'!$G:$V,16,0),IFERROR(VLOOKUP(A1401,'[2]UPDATE BILL 2018'!$H:$V,15,0),IFERROR(VLOOKUP(A1401,'[2]UPDATE BILL 2018'!$I:$V,14,0),VLOOKUP(A1401,'[2]UPDATE BILL 2018'!$B:$V,21,0)))))))))</f>
        <v>PAOLA N027</v>
      </c>
      <c r="AD1401" s="14" t="s">
        <v>52</v>
      </c>
      <c r="AE1401" s="24" t="s">
        <v>3582</v>
      </c>
      <c r="AF1401" s="25" t="str">
        <f t="shared" si="122"/>
        <v>VQ</v>
      </c>
      <c r="AG1401" t="e">
        <f t="shared" si="121"/>
        <v>#REF!</v>
      </c>
      <c r="AI1401" s="58"/>
    </row>
    <row r="1402" spans="1:35" ht="15.75" customHeight="1">
      <c r="A1402" s="6" t="s">
        <v>3572</v>
      </c>
      <c r="B1402" s="5">
        <v>235</v>
      </c>
      <c r="C1402" s="7">
        <v>19563.14</v>
      </c>
      <c r="D1402" s="7">
        <f t="shared" si="116"/>
        <v>0</v>
      </c>
      <c r="E1402" s="7">
        <v>0</v>
      </c>
      <c r="F1402" s="5">
        <v>0</v>
      </c>
      <c r="G1402" s="7">
        <v>0</v>
      </c>
      <c r="H1402" s="5">
        <v>350</v>
      </c>
      <c r="I1402" s="7">
        <v>30388.449999999997</v>
      </c>
      <c r="J1402" s="7">
        <v>0</v>
      </c>
      <c r="K1402" s="5">
        <v>0</v>
      </c>
      <c r="L1402" s="5">
        <v>0</v>
      </c>
      <c r="M1402" s="5">
        <v>102</v>
      </c>
      <c r="N1402" s="7">
        <f t="shared" si="117"/>
        <v>102</v>
      </c>
      <c r="O1402" s="7">
        <v>10223.799999999999</v>
      </c>
      <c r="P1402" s="7">
        <v>0</v>
      </c>
      <c r="Q1402" s="5">
        <v>0</v>
      </c>
      <c r="R1402" s="5">
        <v>50</v>
      </c>
      <c r="S1402" s="7">
        <v>2511.5</v>
      </c>
      <c r="T1402" s="12">
        <v>43333</v>
      </c>
      <c r="U1402" s="4">
        <v>5</v>
      </c>
      <c r="V1402" s="4">
        <v>9</v>
      </c>
      <c r="W1402" s="4">
        <v>9</v>
      </c>
      <c r="X1402" s="45">
        <f t="shared" si="118"/>
        <v>62686.89</v>
      </c>
      <c r="Y1402" s="14" t="s">
        <v>56</v>
      </c>
      <c r="Z1402" s="14" t="s">
        <v>1281</v>
      </c>
      <c r="AA1402" s="14" t="str">
        <f>IFERROR(VLOOKUP(A1402,'[2]UPDATE BILL 2018'!$B:$P,15,0),IFERROR(VLOOKUP(A1402,'[2]UPDATE BILL 2018'!$C:$P,14,0),IFERROR(VLOOKUP(A1402,'[2]UPDATE BILL 2018'!$D:$P,13,0),IFERROR(VLOOKUP(A1402,'[2]UPDATE BILL 2018'!$E:$P,12,0),IFERROR(VLOOKUP(A1402,'[2]UPDATE BILL 2018'!$F:$P,11,0),IFERROR(VLOOKUP(A1402,'[2]UPDATE BILL 2018'!$G:$P,10,0),IFERROR(VLOOKUP(A1402,'[2]UPDATE BILL 2018'!$H:$P,9,0),IFERROR(VLOOKUP(A1402,'[2]UPDATE BILL 2018'!$I:$P,8,0),VLOOKUP(A1402,'[2]UPDATE BILL 2018'!$B:$P,15,0)))))))))</f>
        <v>1008X04644</v>
      </c>
      <c r="AB1402" s="44">
        <f>IFERROR(VLOOKUP(A1402,'[2]UPDATE BILL 2018'!$B:$T,19,0),IFERROR(VLOOKUP(A1402,'[2]UPDATE BILL 2018'!$C:$T,18,0),IFERROR(VLOOKUP(A1402,'[2]UPDATE BILL 2018'!$D:$T,17,0),IFERROR(VLOOKUP(A1402,'[2]UPDATE BILL 2018'!$E:$T,16,0),IFERROR(VLOOKUP(A1402,'[2]UPDATE BILL 2018'!$F:$T,15,0),IFERROR(VLOOKUP(A1402,'[2]UPDATE BILL 2018'!$G:$T,14,0),IFERROR(VLOOKUP(A1402,'[2]UPDATE BILL 2018'!$H:$T,13,0),IFERROR(VLOOKUP(A1402,'[2]UPDATE BILL 2018'!$I:$T,12,0),VLOOKUP(A1402,'[2]UPDATE BILL 2018'!$B:$T,19,0)))))))))</f>
        <v>43337</v>
      </c>
      <c r="AC1402" s="44" t="str">
        <f>IFERROR(VLOOKUP(A1402,'[2]UPDATE BILL 2018'!$B:$V,21,0),IFERROR(VLOOKUP(A1402,'[2]UPDATE BILL 2018'!$C:$V,20,0),IFERROR(VLOOKUP(A1402,'[2]UPDATE BILL 2018'!$D:$V,19,0),IFERROR(VLOOKUP(A1402,'[2]UPDATE BILL 2018'!$E:$V,18,0),IFERROR(VLOOKUP(A1402,'[2]UPDATE BILL 2018'!$F:$V,17,0),IFERROR(VLOOKUP(A1402,'[2]UPDATE BILL 2018'!$G:$V,16,0),IFERROR(VLOOKUP(A1402,'[2]UPDATE BILL 2018'!$H:$V,15,0),IFERROR(VLOOKUP(A1402,'[2]UPDATE BILL 2018'!$I:$V,14,0),VLOOKUP(A1402,'[2]UPDATE BILL 2018'!$B:$V,21,0)))))))))</f>
        <v>PAOLA N027</v>
      </c>
      <c r="AD1402" s="14" t="s">
        <v>51</v>
      </c>
      <c r="AE1402" s="24" t="s">
        <v>3583</v>
      </c>
      <c r="AF1402" s="25" t="str">
        <f t="shared" si="122"/>
        <v>VS</v>
      </c>
      <c r="AG1402" t="e">
        <f t="shared" si="121"/>
        <v>#REF!</v>
      </c>
      <c r="AI1402" s="58"/>
    </row>
    <row r="1403" spans="1:35" ht="15.75" customHeight="1">
      <c r="A1403" s="6" t="s">
        <v>3573</v>
      </c>
      <c r="B1403" s="5">
        <v>173</v>
      </c>
      <c r="C1403" s="7">
        <v>24155</v>
      </c>
      <c r="D1403" s="7">
        <f t="shared" si="116"/>
        <v>0</v>
      </c>
      <c r="E1403" s="7">
        <v>0</v>
      </c>
      <c r="F1403" s="5">
        <v>0</v>
      </c>
      <c r="G1403" s="7">
        <v>0</v>
      </c>
      <c r="H1403" s="5">
        <v>0</v>
      </c>
      <c r="I1403" s="7">
        <v>0</v>
      </c>
      <c r="J1403" s="7">
        <v>0</v>
      </c>
      <c r="K1403" s="5">
        <v>0</v>
      </c>
      <c r="L1403" s="5">
        <v>0</v>
      </c>
      <c r="M1403" s="5">
        <v>134</v>
      </c>
      <c r="N1403" s="7">
        <f t="shared" si="117"/>
        <v>134</v>
      </c>
      <c r="O1403" s="7">
        <v>27580.6</v>
      </c>
      <c r="P1403" s="7">
        <v>0</v>
      </c>
      <c r="Q1403" s="5">
        <v>0</v>
      </c>
      <c r="S1403" s="7">
        <v>0</v>
      </c>
      <c r="T1403" s="12">
        <v>43333</v>
      </c>
      <c r="U1403" s="4">
        <v>5</v>
      </c>
      <c r="V1403" s="4">
        <v>9</v>
      </c>
      <c r="W1403" s="4">
        <v>9</v>
      </c>
      <c r="X1403" s="45">
        <f t="shared" si="118"/>
        <v>51735.6</v>
      </c>
      <c r="Y1403" s="14" t="s">
        <v>56</v>
      </c>
      <c r="Z1403" s="14" t="s">
        <v>59</v>
      </c>
      <c r="AA1403" s="14" t="str">
        <f>IFERROR(VLOOKUP(A1403,'[2]UPDATE BILL 2018'!$B:$P,15,0),IFERROR(VLOOKUP(A1403,'[2]UPDATE BILL 2018'!$C:$P,14,0),IFERROR(VLOOKUP(A1403,'[2]UPDATE BILL 2018'!$D:$P,13,0),IFERROR(VLOOKUP(A1403,'[2]UPDATE BILL 2018'!$E:$P,12,0),IFERROR(VLOOKUP(A1403,'[2]UPDATE BILL 2018'!$F:$P,11,0),IFERROR(VLOOKUP(A1403,'[2]UPDATE BILL 2018'!$G:$P,10,0),IFERROR(VLOOKUP(A1403,'[2]UPDATE BILL 2018'!$H:$P,9,0),IFERROR(VLOOKUP(A1403,'[2]UPDATE BILL 2018'!$I:$P,8,0),VLOOKUP(A1403,'[2]UPDATE BILL 2018'!$B:$P,15,0)))))))))</f>
        <v>1008X04646</v>
      </c>
      <c r="AB1403" s="44">
        <f>IFERROR(VLOOKUP(A1403,'[2]UPDATE BILL 2018'!$B:$T,19,0),IFERROR(VLOOKUP(A1403,'[2]UPDATE BILL 2018'!$C:$T,18,0),IFERROR(VLOOKUP(A1403,'[2]UPDATE BILL 2018'!$D:$T,17,0),IFERROR(VLOOKUP(A1403,'[2]UPDATE BILL 2018'!$E:$T,16,0),IFERROR(VLOOKUP(A1403,'[2]UPDATE BILL 2018'!$F:$T,15,0),IFERROR(VLOOKUP(A1403,'[2]UPDATE BILL 2018'!$G:$T,14,0),IFERROR(VLOOKUP(A1403,'[2]UPDATE BILL 2018'!$H:$T,13,0),IFERROR(VLOOKUP(A1403,'[2]UPDATE BILL 2018'!$I:$T,12,0),VLOOKUP(A1403,'[2]UPDATE BILL 2018'!$B:$T,19,0)))))))))</f>
        <v>43341</v>
      </c>
      <c r="AC1403" s="44" t="str">
        <f>IFERROR(VLOOKUP(A1403,'[2]UPDATE BILL 2018'!$B:$V,21,0),IFERROR(VLOOKUP(A1403,'[2]UPDATE BILL 2018'!$C:$V,20,0),IFERROR(VLOOKUP(A1403,'[2]UPDATE BILL 2018'!$D:$V,19,0),IFERROR(VLOOKUP(A1403,'[2]UPDATE BILL 2018'!$E:$V,18,0),IFERROR(VLOOKUP(A1403,'[2]UPDATE BILL 2018'!$F:$V,17,0),IFERROR(VLOOKUP(A1403,'[2]UPDATE BILL 2018'!$G:$V,16,0),IFERROR(VLOOKUP(A1403,'[2]UPDATE BILL 2018'!$H:$V,15,0),IFERROR(VLOOKUP(A1403,'[2]UPDATE BILL 2018'!$I:$V,14,0),VLOOKUP(A1403,'[2]UPDATE BILL 2018'!$B:$V,21,0)))))))))</f>
        <v xml:space="preserve"> WAN HAI 165  N300</v>
      </c>
      <c r="AD1403" s="14" t="s">
        <v>51</v>
      </c>
      <c r="AE1403" s="24" t="s">
        <v>3584</v>
      </c>
      <c r="AF1403" s="25" t="str">
        <f t="shared" si="122"/>
        <v>VS</v>
      </c>
      <c r="AG1403" t="e">
        <f t="shared" si="121"/>
        <v>#REF!</v>
      </c>
      <c r="AI1403" s="58"/>
    </row>
    <row r="1404" spans="1:35" ht="15.75" customHeight="1">
      <c r="A1404" s="6" t="s">
        <v>3574</v>
      </c>
      <c r="B1404" s="5">
        <v>185</v>
      </c>
      <c r="C1404" s="7">
        <v>24545</v>
      </c>
      <c r="D1404" s="7">
        <f t="shared" si="116"/>
        <v>0</v>
      </c>
      <c r="E1404" s="7">
        <v>0</v>
      </c>
      <c r="F1404" s="5">
        <v>0</v>
      </c>
      <c r="G1404" s="7">
        <v>0</v>
      </c>
      <c r="H1404" s="5">
        <v>110</v>
      </c>
      <c r="I1404" s="7">
        <v>14016.900000000001</v>
      </c>
      <c r="J1404" s="7">
        <v>0</v>
      </c>
      <c r="K1404" s="5">
        <v>0</v>
      </c>
      <c r="L1404" s="5">
        <v>0</v>
      </c>
      <c r="M1404" s="5">
        <v>83</v>
      </c>
      <c r="N1404" s="7">
        <f t="shared" si="117"/>
        <v>83</v>
      </c>
      <c r="O1404" s="7">
        <v>12566.4</v>
      </c>
      <c r="P1404" s="7">
        <v>0</v>
      </c>
      <c r="Q1404" s="5">
        <v>0</v>
      </c>
      <c r="S1404" s="7">
        <v>0</v>
      </c>
      <c r="T1404" s="12">
        <v>43333</v>
      </c>
      <c r="U1404" s="4">
        <v>4</v>
      </c>
      <c r="V1404" s="4">
        <v>9</v>
      </c>
      <c r="W1404" s="4">
        <v>9</v>
      </c>
      <c r="X1404" s="45">
        <f t="shared" si="118"/>
        <v>51128.3</v>
      </c>
      <c r="Y1404" s="14" t="s">
        <v>56</v>
      </c>
      <c r="Z1404" s="14" t="s">
        <v>1281</v>
      </c>
      <c r="AA1404" s="14" t="str">
        <f>IFERROR(VLOOKUP(A1404,'[2]UPDATE BILL 2018'!$B:$P,15,0),IFERROR(VLOOKUP(A1404,'[2]UPDATE BILL 2018'!$C:$P,14,0),IFERROR(VLOOKUP(A1404,'[2]UPDATE BILL 2018'!$D:$P,13,0),IFERROR(VLOOKUP(A1404,'[2]UPDATE BILL 2018'!$E:$P,12,0),IFERROR(VLOOKUP(A1404,'[2]UPDATE BILL 2018'!$F:$P,11,0),IFERROR(VLOOKUP(A1404,'[2]UPDATE BILL 2018'!$G:$P,10,0),IFERROR(VLOOKUP(A1404,'[2]UPDATE BILL 2018'!$H:$P,9,0),IFERROR(VLOOKUP(A1404,'[2]UPDATE BILL 2018'!$I:$P,8,0),VLOOKUP(A1404,'[2]UPDATE BILL 2018'!$B:$P,15,0)))))))))</f>
        <v>1008X04646</v>
      </c>
      <c r="AB1404" s="44">
        <f>IFERROR(VLOOKUP(A1404,'[2]UPDATE BILL 2018'!$B:$T,19,0),IFERROR(VLOOKUP(A1404,'[2]UPDATE BILL 2018'!$C:$T,18,0),IFERROR(VLOOKUP(A1404,'[2]UPDATE BILL 2018'!$D:$T,17,0),IFERROR(VLOOKUP(A1404,'[2]UPDATE BILL 2018'!$E:$T,16,0),IFERROR(VLOOKUP(A1404,'[2]UPDATE BILL 2018'!$F:$T,15,0),IFERROR(VLOOKUP(A1404,'[2]UPDATE BILL 2018'!$G:$T,14,0),IFERROR(VLOOKUP(A1404,'[2]UPDATE BILL 2018'!$H:$T,13,0),IFERROR(VLOOKUP(A1404,'[2]UPDATE BILL 2018'!$I:$T,12,0),VLOOKUP(A1404,'[2]UPDATE BILL 2018'!$B:$T,19,0)))))))))</f>
        <v>43341</v>
      </c>
      <c r="AC1404" s="44" t="str">
        <f>IFERROR(VLOOKUP(A1404,'[2]UPDATE BILL 2018'!$B:$V,21,0),IFERROR(VLOOKUP(A1404,'[2]UPDATE BILL 2018'!$C:$V,20,0),IFERROR(VLOOKUP(A1404,'[2]UPDATE BILL 2018'!$D:$V,19,0),IFERROR(VLOOKUP(A1404,'[2]UPDATE BILL 2018'!$E:$V,18,0),IFERROR(VLOOKUP(A1404,'[2]UPDATE BILL 2018'!$F:$V,17,0),IFERROR(VLOOKUP(A1404,'[2]UPDATE BILL 2018'!$G:$V,16,0),IFERROR(VLOOKUP(A1404,'[2]UPDATE BILL 2018'!$H:$V,15,0),IFERROR(VLOOKUP(A1404,'[2]UPDATE BILL 2018'!$I:$V,14,0),VLOOKUP(A1404,'[2]UPDATE BILL 2018'!$B:$V,21,0)))))))))</f>
        <v xml:space="preserve"> WAN HAI 165  N300</v>
      </c>
      <c r="AD1404" s="14" t="s">
        <v>51</v>
      </c>
      <c r="AE1404" s="24" t="s">
        <v>3585</v>
      </c>
      <c r="AF1404" s="25" t="str">
        <f t="shared" si="122"/>
        <v>VS</v>
      </c>
      <c r="AG1404" t="e">
        <f t="shared" si="121"/>
        <v>#REF!</v>
      </c>
      <c r="AI1404" s="58"/>
    </row>
    <row r="1405" spans="1:35" ht="15.75" customHeight="1">
      <c r="A1405" s="6" t="s">
        <v>3575</v>
      </c>
      <c r="B1405" s="5">
        <v>112</v>
      </c>
      <c r="C1405" s="7">
        <v>11220.970000000001</v>
      </c>
      <c r="D1405" s="7">
        <f t="shared" si="116"/>
        <v>0</v>
      </c>
      <c r="E1405" s="7">
        <v>0</v>
      </c>
      <c r="F1405" s="5">
        <v>0</v>
      </c>
      <c r="G1405" s="7">
        <v>0</v>
      </c>
      <c r="H1405" s="5">
        <v>0</v>
      </c>
      <c r="I1405" s="7">
        <v>0</v>
      </c>
      <c r="J1405" s="7">
        <v>0</v>
      </c>
      <c r="K1405" s="5">
        <v>0</v>
      </c>
      <c r="L1405" s="5">
        <v>0</v>
      </c>
      <c r="M1405" s="5">
        <v>0</v>
      </c>
      <c r="N1405" s="7">
        <f t="shared" si="117"/>
        <v>0</v>
      </c>
      <c r="O1405" s="7">
        <v>0</v>
      </c>
      <c r="P1405" s="7">
        <v>0</v>
      </c>
      <c r="Q1405" s="5">
        <v>0</v>
      </c>
      <c r="R1405" s="5">
        <v>205</v>
      </c>
      <c r="S1405" s="7">
        <v>23342.7</v>
      </c>
      <c r="T1405" s="12">
        <v>43333</v>
      </c>
      <c r="U1405" s="4">
        <v>3</v>
      </c>
      <c r="V1405" s="4">
        <v>9</v>
      </c>
      <c r="W1405" s="4">
        <v>9</v>
      </c>
      <c r="X1405" s="45">
        <f t="shared" si="118"/>
        <v>34563.67</v>
      </c>
      <c r="Y1405" s="14" t="s">
        <v>85</v>
      </c>
      <c r="Z1405" s="14" t="s">
        <v>1492</v>
      </c>
      <c r="AA1405" s="14">
        <f>IFERROR(VLOOKUP(A1405,'[2]UPDATE BILL 2018'!$B:$P,15,0),IFERROR(VLOOKUP(A1405,'[2]UPDATE BILL 2018'!$C:$P,14,0),IFERROR(VLOOKUP(A1405,'[2]UPDATE BILL 2018'!$D:$P,13,0),IFERROR(VLOOKUP(A1405,'[2]UPDATE BILL 2018'!$E:$P,12,0),IFERROR(VLOOKUP(A1405,'[2]UPDATE BILL 2018'!$F:$P,11,0),IFERROR(VLOOKUP(A1405,'[2]UPDATE BILL 2018'!$G:$P,10,0),IFERROR(VLOOKUP(A1405,'[2]UPDATE BILL 2018'!$H:$P,9,0),IFERROR(VLOOKUP(A1405,'[2]UPDATE BILL 2018'!$I:$P,8,0),VLOOKUP(A1405,'[2]UPDATE BILL 2018'!$B:$P,15,0)))))))))</f>
        <v>350810098347</v>
      </c>
      <c r="AB1405" s="44">
        <f>IFERROR(VLOOKUP(A1405,'[2]UPDATE BILL 2018'!$B:$T,19,0),IFERROR(VLOOKUP(A1405,'[2]UPDATE BILL 2018'!$C:$T,18,0),IFERROR(VLOOKUP(A1405,'[2]UPDATE BILL 2018'!$D:$T,17,0),IFERROR(VLOOKUP(A1405,'[2]UPDATE BILL 2018'!$E:$T,16,0),IFERROR(VLOOKUP(A1405,'[2]UPDATE BILL 2018'!$F:$T,15,0),IFERROR(VLOOKUP(A1405,'[2]UPDATE BILL 2018'!$G:$T,14,0),IFERROR(VLOOKUP(A1405,'[2]UPDATE BILL 2018'!$H:$T,13,0),IFERROR(VLOOKUP(A1405,'[2]UPDATE BILL 2018'!$I:$T,12,0),VLOOKUP(A1405,'[2]UPDATE BILL 2018'!$B:$T,19,0)))))))))</f>
        <v>43335</v>
      </c>
      <c r="AC1405" s="44" t="str">
        <f>IFERROR(VLOOKUP(A1405,'[2]UPDATE BILL 2018'!$B:$V,21,0),IFERROR(VLOOKUP(A1405,'[2]UPDATE BILL 2018'!$C:$V,20,0),IFERROR(VLOOKUP(A1405,'[2]UPDATE BILL 2018'!$D:$V,19,0),IFERROR(VLOOKUP(A1405,'[2]UPDATE BILL 2018'!$E:$V,18,0),IFERROR(VLOOKUP(A1405,'[2]UPDATE BILL 2018'!$F:$V,17,0),IFERROR(VLOOKUP(A1405,'[2]UPDATE BILL 2018'!$G:$V,16,0),IFERROR(VLOOKUP(A1405,'[2]UPDATE BILL 2018'!$H:$V,15,0),IFERROR(VLOOKUP(A1405,'[2]UPDATE BILL 2018'!$I:$V,14,0),VLOOKUP(A1405,'[2]UPDATE BILL 2018'!$B:$V,21,0)))))))))</f>
        <v>BAOHANG 18003B</v>
      </c>
      <c r="AD1405" s="14" t="s">
        <v>600</v>
      </c>
      <c r="AE1405" s="24">
        <v>2500000041821</v>
      </c>
      <c r="AF1405" s="25" t="s">
        <v>2373</v>
      </c>
      <c r="AG1405" t="e">
        <f t="shared" si="121"/>
        <v>#N/A</v>
      </c>
      <c r="AI1405" s="58"/>
    </row>
    <row r="1406" spans="1:35" ht="15.75" customHeight="1">
      <c r="A1406" s="6" t="s">
        <v>3576</v>
      </c>
      <c r="B1406" s="5">
        <v>357</v>
      </c>
      <c r="C1406" s="7">
        <v>39617.599999999999</v>
      </c>
      <c r="D1406" s="7">
        <f t="shared" si="116"/>
        <v>0</v>
      </c>
      <c r="E1406" s="7">
        <v>0</v>
      </c>
      <c r="F1406" s="5">
        <v>0</v>
      </c>
      <c r="G1406" s="7">
        <v>0</v>
      </c>
      <c r="H1406" s="5">
        <v>0</v>
      </c>
      <c r="I1406" s="7">
        <v>0</v>
      </c>
      <c r="J1406" s="7">
        <v>0</v>
      </c>
      <c r="K1406" s="5">
        <v>0</v>
      </c>
      <c r="L1406" s="5">
        <v>0</v>
      </c>
      <c r="M1406" s="5">
        <v>44</v>
      </c>
      <c r="N1406" s="7">
        <f t="shared" si="117"/>
        <v>44</v>
      </c>
      <c r="O1406" s="7">
        <v>6960.2</v>
      </c>
      <c r="P1406" s="7">
        <v>0</v>
      </c>
      <c r="Q1406" s="5">
        <v>0</v>
      </c>
      <c r="S1406" s="7">
        <v>0</v>
      </c>
      <c r="T1406" s="12">
        <v>43333</v>
      </c>
      <c r="U1406" s="4">
        <v>4</v>
      </c>
      <c r="V1406" s="4">
        <v>9</v>
      </c>
      <c r="W1406" s="4">
        <v>9</v>
      </c>
      <c r="X1406" s="45">
        <f t="shared" si="118"/>
        <v>46577.799999999996</v>
      </c>
      <c r="Y1406" s="14" t="s">
        <v>54</v>
      </c>
      <c r="Z1406" s="14" t="s">
        <v>59</v>
      </c>
      <c r="AA1406" s="14" t="str">
        <f>IFERROR(VLOOKUP(A1406,'[2]UPDATE BILL 2018'!$B:$P,15,0),IFERROR(VLOOKUP(A1406,'[2]UPDATE BILL 2018'!$C:$P,14,0),IFERROR(VLOOKUP(A1406,'[2]UPDATE BILL 2018'!$D:$P,13,0),IFERROR(VLOOKUP(A1406,'[2]UPDATE BILL 2018'!$E:$P,12,0),IFERROR(VLOOKUP(A1406,'[2]UPDATE BILL 2018'!$F:$P,11,0),IFERROR(VLOOKUP(A1406,'[2]UPDATE BILL 2018'!$G:$P,10,0),IFERROR(VLOOKUP(A1406,'[2]UPDATE BILL 2018'!$H:$P,9,0),IFERROR(VLOOKUP(A1406,'[2]UPDATE BILL 2018'!$I:$P,8,0),VLOOKUP(A1406,'[2]UPDATE BILL 2018'!$B:$P,15,0)))))))))</f>
        <v>SITWHPKW175201</v>
      </c>
      <c r="AB1406" s="44">
        <f>IFERROR(VLOOKUP(A1406,'[2]UPDATE BILL 2018'!$B:$T,19,0),IFERROR(VLOOKUP(A1406,'[2]UPDATE BILL 2018'!$C:$T,18,0),IFERROR(VLOOKUP(A1406,'[2]UPDATE BILL 2018'!$D:$T,17,0),IFERROR(VLOOKUP(A1406,'[2]UPDATE BILL 2018'!$E:$T,16,0),IFERROR(VLOOKUP(A1406,'[2]UPDATE BILL 2018'!$F:$T,15,0),IFERROR(VLOOKUP(A1406,'[2]UPDATE BILL 2018'!$G:$T,14,0),IFERROR(VLOOKUP(A1406,'[2]UPDATE BILL 2018'!$H:$T,13,0),IFERROR(VLOOKUP(A1406,'[2]UPDATE BILL 2018'!$I:$T,12,0),VLOOKUP(A1406,'[2]UPDATE BILL 2018'!$B:$T,19,0)))))))))</f>
        <v>43337</v>
      </c>
      <c r="AC1406" s="44" t="str">
        <f>IFERROR(VLOOKUP(A1406,'[2]UPDATE BILL 2018'!$B:$V,21,0),IFERROR(VLOOKUP(A1406,'[2]UPDATE BILL 2018'!$C:$V,20,0),IFERROR(VLOOKUP(A1406,'[2]UPDATE BILL 2018'!$D:$V,19,0),IFERROR(VLOOKUP(A1406,'[2]UPDATE BILL 2018'!$E:$V,18,0),IFERROR(VLOOKUP(A1406,'[2]UPDATE BILL 2018'!$F:$V,17,0),IFERROR(VLOOKUP(A1406,'[2]UPDATE BILL 2018'!$G:$V,16,0),IFERROR(VLOOKUP(A1406,'[2]UPDATE BILL 2018'!$H:$V,15,0),IFERROR(VLOOKUP(A1406,'[2]UPDATE BILL 2018'!$I:$V,14,0),VLOOKUP(A1406,'[2]UPDATE BILL 2018'!$B:$V,21,0)))))))))</f>
        <v>SITC YOKKAICHI 1821N</v>
      </c>
      <c r="AD1406" s="14" t="s">
        <v>50</v>
      </c>
      <c r="AE1406" s="24" t="s">
        <v>3586</v>
      </c>
      <c r="AF1406" s="25" t="str">
        <f t="shared" si="122"/>
        <v>VW</v>
      </c>
      <c r="AG1406" t="e">
        <f t="shared" si="121"/>
        <v>#REF!</v>
      </c>
      <c r="AI1406" s="58"/>
    </row>
    <row r="1407" spans="1:35" ht="15.75" customHeight="1">
      <c r="A1407" s="6" t="s">
        <v>3577</v>
      </c>
      <c r="D1407" s="7">
        <f t="shared" si="116"/>
        <v>0</v>
      </c>
      <c r="E1407" s="7">
        <v>0</v>
      </c>
      <c r="F1407" s="5">
        <v>0</v>
      </c>
      <c r="G1407" s="7">
        <v>0</v>
      </c>
      <c r="H1407" s="5">
        <v>0</v>
      </c>
      <c r="I1407" s="7">
        <v>0</v>
      </c>
      <c r="J1407" s="7">
        <v>0</v>
      </c>
      <c r="K1407" s="5">
        <v>0</v>
      </c>
      <c r="L1407" s="5">
        <v>0</v>
      </c>
      <c r="M1407" s="5">
        <v>0</v>
      </c>
      <c r="N1407" s="7">
        <f t="shared" si="117"/>
        <v>0</v>
      </c>
      <c r="O1407" s="7">
        <v>0</v>
      </c>
      <c r="P1407" s="7">
        <v>0</v>
      </c>
      <c r="Q1407" s="5">
        <v>0</v>
      </c>
      <c r="R1407" s="5">
        <v>158</v>
      </c>
      <c r="S1407" s="7">
        <v>38814.400000000001</v>
      </c>
      <c r="T1407" s="12">
        <v>43333</v>
      </c>
      <c r="U1407" s="4">
        <v>2</v>
      </c>
      <c r="V1407" s="4">
        <v>9</v>
      </c>
      <c r="W1407" s="4">
        <v>9</v>
      </c>
      <c r="X1407" s="45">
        <f t="shared" si="118"/>
        <v>38814.400000000001</v>
      </c>
      <c r="Y1407" s="14" t="s">
        <v>56</v>
      </c>
      <c r="Z1407" s="14" t="s">
        <v>1281</v>
      </c>
      <c r="AA1407" s="14" t="str">
        <f>IFERROR(VLOOKUP(A1407,'[2]UPDATE BILL 2018'!$B:$P,15,0),IFERROR(VLOOKUP(A1407,'[2]UPDATE BILL 2018'!$C:$P,14,0),IFERROR(VLOOKUP(A1407,'[2]UPDATE BILL 2018'!$D:$P,13,0),IFERROR(VLOOKUP(A1407,'[2]UPDATE BILL 2018'!$E:$P,12,0),IFERROR(VLOOKUP(A1407,'[2]UPDATE BILL 2018'!$F:$P,11,0),IFERROR(VLOOKUP(A1407,'[2]UPDATE BILL 2018'!$G:$P,10,0),IFERROR(VLOOKUP(A1407,'[2]UPDATE BILL 2018'!$H:$P,9,0),IFERROR(VLOOKUP(A1407,'[2]UPDATE BILL 2018'!$I:$P,8,0),VLOOKUP(A1407,'[2]UPDATE BILL 2018'!$B:$P,15,0)))))))))</f>
        <v>1008X04644</v>
      </c>
      <c r="AB1407" s="44">
        <f>IFERROR(VLOOKUP(A1407,'[2]UPDATE BILL 2018'!$B:$T,19,0),IFERROR(VLOOKUP(A1407,'[2]UPDATE BILL 2018'!$C:$T,18,0),IFERROR(VLOOKUP(A1407,'[2]UPDATE BILL 2018'!$D:$T,17,0),IFERROR(VLOOKUP(A1407,'[2]UPDATE BILL 2018'!$E:$T,16,0),IFERROR(VLOOKUP(A1407,'[2]UPDATE BILL 2018'!$F:$T,15,0),IFERROR(VLOOKUP(A1407,'[2]UPDATE BILL 2018'!$G:$T,14,0),IFERROR(VLOOKUP(A1407,'[2]UPDATE BILL 2018'!$H:$T,13,0),IFERROR(VLOOKUP(A1407,'[2]UPDATE BILL 2018'!$I:$T,12,0),VLOOKUP(A1407,'[2]UPDATE BILL 2018'!$B:$T,19,0)))))))))</f>
        <v>43337</v>
      </c>
      <c r="AC1407" s="44" t="str">
        <f>IFERROR(VLOOKUP(A1407,'[2]UPDATE BILL 2018'!$B:$V,21,0),IFERROR(VLOOKUP(A1407,'[2]UPDATE BILL 2018'!$C:$V,20,0),IFERROR(VLOOKUP(A1407,'[2]UPDATE BILL 2018'!$D:$V,19,0),IFERROR(VLOOKUP(A1407,'[2]UPDATE BILL 2018'!$E:$V,18,0),IFERROR(VLOOKUP(A1407,'[2]UPDATE BILL 2018'!$F:$V,17,0),IFERROR(VLOOKUP(A1407,'[2]UPDATE BILL 2018'!$G:$V,16,0),IFERROR(VLOOKUP(A1407,'[2]UPDATE BILL 2018'!$H:$V,15,0),IFERROR(VLOOKUP(A1407,'[2]UPDATE BILL 2018'!$I:$V,14,0),VLOOKUP(A1407,'[2]UPDATE BILL 2018'!$B:$V,21,0)))))))))</f>
        <v>PAOLA N027</v>
      </c>
      <c r="AD1407" s="14" t="s">
        <v>51</v>
      </c>
      <c r="AE1407" s="24" t="s">
        <v>3587</v>
      </c>
      <c r="AF1407" s="25" t="s">
        <v>2150</v>
      </c>
      <c r="AG1407" t="e">
        <f t="shared" si="121"/>
        <v>#N/A</v>
      </c>
      <c r="AI1407" s="58"/>
    </row>
    <row r="1408" spans="1:35" ht="15.75" customHeight="1">
      <c r="A1408" s="6" t="s">
        <v>3578</v>
      </c>
      <c r="D1408" s="7">
        <f t="shared" si="116"/>
        <v>0</v>
      </c>
      <c r="E1408" s="7">
        <v>0</v>
      </c>
      <c r="F1408" s="5">
        <v>0</v>
      </c>
      <c r="G1408" s="7">
        <v>0</v>
      </c>
      <c r="H1408" s="5">
        <v>0</v>
      </c>
      <c r="I1408" s="7">
        <v>0</v>
      </c>
      <c r="J1408" s="7">
        <v>0</v>
      </c>
      <c r="K1408" s="5">
        <v>0</v>
      </c>
      <c r="L1408" s="5">
        <v>0</v>
      </c>
      <c r="M1408" s="5">
        <v>0</v>
      </c>
      <c r="N1408" s="7">
        <f t="shared" si="117"/>
        <v>0</v>
      </c>
      <c r="O1408" s="7">
        <v>0</v>
      </c>
      <c r="P1408" s="7">
        <v>0</v>
      </c>
      <c r="Q1408" s="5">
        <v>0</v>
      </c>
      <c r="R1408" s="5">
        <v>360</v>
      </c>
      <c r="S1408" s="7">
        <v>45014.400000000001</v>
      </c>
      <c r="T1408" s="12">
        <v>43333</v>
      </c>
      <c r="U1408" s="4">
        <v>2</v>
      </c>
      <c r="V1408" s="4">
        <v>9</v>
      </c>
      <c r="W1408" s="4">
        <v>9</v>
      </c>
      <c r="X1408" s="45">
        <f t="shared" si="118"/>
        <v>45014.400000000001</v>
      </c>
      <c r="Y1408" s="14" t="s">
        <v>54</v>
      </c>
      <c r="Z1408" s="14" t="s">
        <v>59</v>
      </c>
      <c r="AA1408" s="14" t="str">
        <f>IFERROR(VLOOKUP(A1408,'[2]UPDATE BILL 2018'!$B:$P,15,0),IFERROR(VLOOKUP(A1408,'[2]UPDATE BILL 2018'!$C:$P,14,0),IFERROR(VLOOKUP(A1408,'[2]UPDATE BILL 2018'!$D:$P,13,0),IFERROR(VLOOKUP(A1408,'[2]UPDATE BILL 2018'!$E:$P,12,0),IFERROR(VLOOKUP(A1408,'[2]UPDATE BILL 2018'!$F:$P,11,0),IFERROR(VLOOKUP(A1408,'[2]UPDATE BILL 2018'!$G:$P,10,0),IFERROR(VLOOKUP(A1408,'[2]UPDATE BILL 2018'!$H:$P,9,0),IFERROR(VLOOKUP(A1408,'[2]UPDATE BILL 2018'!$I:$P,8,0),VLOOKUP(A1408,'[2]UPDATE BILL 2018'!$B:$P,15,0)))))))))</f>
        <v>SITWHPKW175201</v>
      </c>
      <c r="AB1408" s="44">
        <f>IFERROR(VLOOKUP(A1408,'[2]UPDATE BILL 2018'!$B:$T,19,0),IFERROR(VLOOKUP(A1408,'[2]UPDATE BILL 2018'!$C:$T,18,0),IFERROR(VLOOKUP(A1408,'[2]UPDATE BILL 2018'!$D:$T,17,0),IFERROR(VLOOKUP(A1408,'[2]UPDATE BILL 2018'!$E:$T,16,0),IFERROR(VLOOKUP(A1408,'[2]UPDATE BILL 2018'!$F:$T,15,0),IFERROR(VLOOKUP(A1408,'[2]UPDATE BILL 2018'!$G:$T,14,0),IFERROR(VLOOKUP(A1408,'[2]UPDATE BILL 2018'!$H:$T,13,0),IFERROR(VLOOKUP(A1408,'[2]UPDATE BILL 2018'!$I:$T,12,0),VLOOKUP(A1408,'[2]UPDATE BILL 2018'!$B:$T,19,0)))))))))</f>
        <v>43337</v>
      </c>
      <c r="AC1408" s="44" t="str">
        <f>IFERROR(VLOOKUP(A1408,'[2]UPDATE BILL 2018'!$B:$V,21,0),IFERROR(VLOOKUP(A1408,'[2]UPDATE BILL 2018'!$C:$V,20,0),IFERROR(VLOOKUP(A1408,'[2]UPDATE BILL 2018'!$D:$V,19,0),IFERROR(VLOOKUP(A1408,'[2]UPDATE BILL 2018'!$E:$V,18,0),IFERROR(VLOOKUP(A1408,'[2]UPDATE BILL 2018'!$F:$V,17,0),IFERROR(VLOOKUP(A1408,'[2]UPDATE BILL 2018'!$G:$V,16,0),IFERROR(VLOOKUP(A1408,'[2]UPDATE BILL 2018'!$H:$V,15,0),IFERROR(VLOOKUP(A1408,'[2]UPDATE BILL 2018'!$I:$V,14,0),VLOOKUP(A1408,'[2]UPDATE BILL 2018'!$B:$V,21,0)))))))))</f>
        <v>SITC YOKKAICHI 1821N</v>
      </c>
      <c r="AD1408" s="14" t="s">
        <v>50</v>
      </c>
      <c r="AE1408" s="24" t="s">
        <v>3588</v>
      </c>
      <c r="AF1408" s="25" t="s">
        <v>2151</v>
      </c>
      <c r="AG1408" t="e">
        <f t="shared" si="121"/>
        <v>#N/A</v>
      </c>
      <c r="AI1408" s="58"/>
    </row>
    <row r="1409" spans="1:35" ht="15.75" customHeight="1">
      <c r="A1409" s="6" t="s">
        <v>3589</v>
      </c>
      <c r="D1409" s="7">
        <f t="shared" si="116"/>
        <v>0</v>
      </c>
      <c r="E1409" s="7">
        <v>0</v>
      </c>
      <c r="F1409" s="5">
        <v>0</v>
      </c>
      <c r="G1409" s="7">
        <v>0</v>
      </c>
      <c r="H1409" s="5">
        <v>340</v>
      </c>
      <c r="I1409" s="7">
        <v>37335.75</v>
      </c>
      <c r="J1409" s="7">
        <v>0</v>
      </c>
      <c r="K1409" s="5">
        <v>0</v>
      </c>
      <c r="L1409" s="5">
        <v>0</v>
      </c>
      <c r="M1409" s="5">
        <v>0</v>
      </c>
      <c r="N1409" s="7">
        <f t="shared" si="117"/>
        <v>0</v>
      </c>
      <c r="O1409" s="7">
        <v>0</v>
      </c>
      <c r="P1409" s="7">
        <v>0</v>
      </c>
      <c r="Q1409" s="5">
        <v>0</v>
      </c>
      <c r="S1409" s="7">
        <v>0</v>
      </c>
      <c r="T1409" s="12">
        <v>43334</v>
      </c>
      <c r="U1409" s="4">
        <v>3</v>
      </c>
      <c r="V1409" s="4">
        <v>9</v>
      </c>
      <c r="W1409" s="4">
        <v>9</v>
      </c>
      <c r="X1409" s="45">
        <f t="shared" si="118"/>
        <v>37335.75</v>
      </c>
      <c r="Y1409" s="14" t="s">
        <v>56</v>
      </c>
      <c r="Z1409" s="14" t="s">
        <v>3376</v>
      </c>
      <c r="AA1409" s="14" t="str">
        <f>IFERROR(VLOOKUP(A1409,'[2]UPDATE BILL 2018'!$B:$P,15,0),IFERROR(VLOOKUP(A1409,'[2]UPDATE BILL 2018'!$C:$P,14,0),IFERROR(VLOOKUP(A1409,'[2]UPDATE BILL 2018'!$D:$P,13,0),IFERROR(VLOOKUP(A1409,'[2]UPDATE BILL 2018'!$E:$P,12,0),IFERROR(VLOOKUP(A1409,'[2]UPDATE BILL 2018'!$F:$P,11,0),IFERROR(VLOOKUP(A1409,'[2]UPDATE BILL 2018'!$G:$P,10,0),IFERROR(VLOOKUP(A1409,'[2]UPDATE BILL 2018'!$H:$P,9,0),IFERROR(VLOOKUP(A1409,'[2]UPDATE BILL 2018'!$I:$P,8,0),VLOOKUP(A1409,'[2]UPDATE BILL 2018'!$B:$P,15,0)))))))))</f>
        <v>1008X04647</v>
      </c>
      <c r="AB1409" s="44">
        <f>IFERROR(VLOOKUP(A1409,'[2]UPDATE BILL 2018'!$B:$T,19,0),IFERROR(VLOOKUP(A1409,'[2]UPDATE BILL 2018'!$C:$T,18,0),IFERROR(VLOOKUP(A1409,'[2]UPDATE BILL 2018'!$D:$T,17,0),IFERROR(VLOOKUP(A1409,'[2]UPDATE BILL 2018'!$E:$T,16,0),IFERROR(VLOOKUP(A1409,'[2]UPDATE BILL 2018'!$F:$T,15,0),IFERROR(VLOOKUP(A1409,'[2]UPDATE BILL 2018'!$G:$T,14,0),IFERROR(VLOOKUP(A1409,'[2]UPDATE BILL 2018'!$H:$T,13,0),IFERROR(VLOOKUP(A1409,'[2]UPDATE BILL 2018'!$I:$T,12,0),VLOOKUP(A1409,'[2]UPDATE BILL 2018'!$B:$T,19,0)))))))))</f>
        <v>43341</v>
      </c>
      <c r="AC1409" s="44" t="str">
        <f>IFERROR(VLOOKUP(A1409,'[2]UPDATE BILL 2018'!$B:$V,21,0),IFERROR(VLOOKUP(A1409,'[2]UPDATE BILL 2018'!$C:$V,20,0),IFERROR(VLOOKUP(A1409,'[2]UPDATE BILL 2018'!$D:$V,19,0),IFERROR(VLOOKUP(A1409,'[2]UPDATE BILL 2018'!$E:$V,18,0),IFERROR(VLOOKUP(A1409,'[2]UPDATE BILL 2018'!$F:$V,17,0),IFERROR(VLOOKUP(A1409,'[2]UPDATE BILL 2018'!$G:$V,16,0),IFERROR(VLOOKUP(A1409,'[2]UPDATE BILL 2018'!$H:$V,15,0),IFERROR(VLOOKUP(A1409,'[2]UPDATE BILL 2018'!$I:$V,14,0),VLOOKUP(A1409,'[2]UPDATE BILL 2018'!$B:$V,21,0)))))))))</f>
        <v>WAN HAI 165 N300</v>
      </c>
      <c r="AD1409" s="14" t="s">
        <v>49</v>
      </c>
      <c r="AE1409" s="24" t="s">
        <v>3597</v>
      </c>
      <c r="AF1409" s="25" t="str">
        <f t="shared" ref="AF1409:AF1413" si="123">+LEFT(AE1409,2)</f>
        <v>VK</v>
      </c>
      <c r="AG1409" t="e">
        <f t="shared" si="121"/>
        <v>#REF!</v>
      </c>
      <c r="AI1409" s="58"/>
    </row>
    <row r="1410" spans="1:35" ht="15.75" customHeight="1">
      <c r="A1410" s="6" t="s">
        <v>3590</v>
      </c>
      <c r="B1410" s="5">
        <v>190</v>
      </c>
      <c r="C1410" s="7">
        <v>19109</v>
      </c>
      <c r="D1410" s="7">
        <f t="shared" si="116"/>
        <v>0</v>
      </c>
      <c r="E1410" s="7">
        <v>0</v>
      </c>
      <c r="F1410" s="5">
        <v>0</v>
      </c>
      <c r="G1410" s="7">
        <v>0</v>
      </c>
      <c r="H1410" s="5">
        <v>80</v>
      </c>
      <c r="I1410" s="7">
        <v>1982</v>
      </c>
      <c r="J1410" s="7">
        <v>0</v>
      </c>
      <c r="K1410" s="5">
        <v>0</v>
      </c>
      <c r="L1410" s="5">
        <v>0</v>
      </c>
      <c r="M1410" s="5">
        <v>128</v>
      </c>
      <c r="N1410" s="7">
        <f t="shared" si="117"/>
        <v>128</v>
      </c>
      <c r="O1410" s="7">
        <v>20415.599999999999</v>
      </c>
      <c r="P1410" s="7">
        <v>0</v>
      </c>
      <c r="Q1410" s="5">
        <v>0</v>
      </c>
      <c r="R1410" s="5">
        <v>20</v>
      </c>
      <c r="S1410" s="7">
        <v>998</v>
      </c>
      <c r="T1410" s="12">
        <v>43334</v>
      </c>
      <c r="U1410" s="4">
        <v>4</v>
      </c>
      <c r="V1410" s="4">
        <v>9</v>
      </c>
      <c r="W1410" s="4">
        <v>9</v>
      </c>
      <c r="X1410" s="45">
        <f t="shared" si="118"/>
        <v>42504.6</v>
      </c>
      <c r="Y1410" s="14" t="s">
        <v>54</v>
      </c>
      <c r="Z1410" s="14" t="s">
        <v>1281</v>
      </c>
      <c r="AA1410" s="14" t="str">
        <f>IFERROR(VLOOKUP(A1410,'[2]UPDATE BILL 2018'!$B:$P,15,0),IFERROR(VLOOKUP(A1410,'[2]UPDATE BILL 2018'!$C:$P,14,0),IFERROR(VLOOKUP(A1410,'[2]UPDATE BILL 2018'!$D:$P,13,0),IFERROR(VLOOKUP(A1410,'[2]UPDATE BILL 2018'!$E:$P,12,0),IFERROR(VLOOKUP(A1410,'[2]UPDATE BILL 2018'!$F:$P,11,0),IFERROR(VLOOKUP(A1410,'[2]UPDATE BILL 2018'!$G:$P,10,0),IFERROR(VLOOKUP(A1410,'[2]UPDATE BILL 2018'!$H:$P,9,0),IFERROR(VLOOKUP(A1410,'[2]UPDATE BILL 2018'!$I:$P,8,0),VLOOKUP(A1410,'[2]UPDATE BILL 2018'!$B:$P,15,0)))))))))</f>
        <v>SITWHPOS175614</v>
      </c>
      <c r="AB1410" s="44">
        <f>IFERROR(VLOOKUP(A1410,'[2]UPDATE BILL 2018'!$B:$T,19,0),IFERROR(VLOOKUP(A1410,'[2]UPDATE BILL 2018'!$C:$T,18,0),IFERROR(VLOOKUP(A1410,'[2]UPDATE BILL 2018'!$D:$T,17,0),IFERROR(VLOOKUP(A1410,'[2]UPDATE BILL 2018'!$E:$T,16,0),IFERROR(VLOOKUP(A1410,'[2]UPDATE BILL 2018'!$F:$T,15,0),IFERROR(VLOOKUP(A1410,'[2]UPDATE BILL 2018'!$G:$T,14,0),IFERROR(VLOOKUP(A1410,'[2]UPDATE BILL 2018'!$H:$T,13,0),IFERROR(VLOOKUP(A1410,'[2]UPDATE BILL 2018'!$I:$T,12,0),VLOOKUP(A1410,'[2]UPDATE BILL 2018'!$B:$T,19,0)))))))))</f>
        <v>43338</v>
      </c>
      <c r="AC1410" s="44" t="str">
        <f>IFERROR(VLOOKUP(A1410,'[2]UPDATE BILL 2018'!$B:$V,21,0),IFERROR(VLOOKUP(A1410,'[2]UPDATE BILL 2018'!$C:$V,20,0),IFERROR(VLOOKUP(A1410,'[2]UPDATE BILL 2018'!$D:$V,19,0),IFERROR(VLOOKUP(A1410,'[2]UPDATE BILL 2018'!$E:$V,18,0),IFERROR(VLOOKUP(A1410,'[2]UPDATE BILL 2018'!$F:$V,17,0),IFERROR(VLOOKUP(A1410,'[2]UPDATE BILL 2018'!$G:$V,16,0),IFERROR(VLOOKUP(A1410,'[2]UPDATE BILL 2018'!$H:$V,15,0),IFERROR(VLOOKUP(A1410,'[2]UPDATE BILL 2018'!$I:$V,14,0),VLOOKUP(A1410,'[2]UPDATE BILL 2018'!$B:$V,21,0)))))))))</f>
        <v>RESURGENCE 1821N</v>
      </c>
      <c r="AD1410" s="14" t="s">
        <v>51</v>
      </c>
      <c r="AE1410" s="24" t="s">
        <v>3598</v>
      </c>
      <c r="AF1410" s="25" t="str">
        <f t="shared" si="123"/>
        <v>VS</v>
      </c>
      <c r="AG1410" t="e">
        <f t="shared" si="121"/>
        <v>#REF!</v>
      </c>
      <c r="AI1410" s="58"/>
    </row>
    <row r="1411" spans="1:35" ht="15.75" customHeight="1">
      <c r="A1411" s="6" t="s">
        <v>3591</v>
      </c>
      <c r="B1411" s="5">
        <v>230</v>
      </c>
      <c r="C1411" s="7">
        <v>34986.399999999994</v>
      </c>
      <c r="D1411" s="7">
        <f t="shared" si="116"/>
        <v>0</v>
      </c>
      <c r="E1411" s="7">
        <v>0</v>
      </c>
      <c r="F1411" s="5">
        <v>0</v>
      </c>
      <c r="G1411" s="7">
        <v>0</v>
      </c>
      <c r="H1411" s="5">
        <v>215</v>
      </c>
      <c r="I1411" s="7">
        <v>24700.299999999996</v>
      </c>
      <c r="J1411" s="7">
        <v>0</v>
      </c>
      <c r="K1411" s="5">
        <v>0</v>
      </c>
      <c r="L1411" s="5">
        <v>0</v>
      </c>
      <c r="M1411" s="5">
        <v>189</v>
      </c>
      <c r="N1411" s="7">
        <f t="shared" si="117"/>
        <v>189</v>
      </c>
      <c r="O1411" s="7">
        <v>20314.400000000001</v>
      </c>
      <c r="P1411" s="7">
        <v>0</v>
      </c>
      <c r="Q1411" s="5">
        <v>0</v>
      </c>
      <c r="S1411" s="7">
        <v>0</v>
      </c>
      <c r="T1411" s="12">
        <v>43334</v>
      </c>
      <c r="U1411" s="4">
        <v>7</v>
      </c>
      <c r="V1411" s="4">
        <v>9</v>
      </c>
      <c r="W1411" s="4">
        <v>9</v>
      </c>
      <c r="X1411" s="45">
        <f t="shared" si="118"/>
        <v>80001.099999999991</v>
      </c>
      <c r="Y1411" s="14" t="s">
        <v>56</v>
      </c>
      <c r="Z1411" s="14" t="s">
        <v>1492</v>
      </c>
      <c r="AA1411" s="14" t="str">
        <f>IFERROR(VLOOKUP(A1411,'[2]UPDATE BILL 2018'!$B:$P,15,0),IFERROR(VLOOKUP(A1411,'[2]UPDATE BILL 2018'!$C:$P,14,0),IFERROR(VLOOKUP(A1411,'[2]UPDATE BILL 2018'!$D:$P,13,0),IFERROR(VLOOKUP(A1411,'[2]UPDATE BILL 2018'!$E:$P,12,0),IFERROR(VLOOKUP(A1411,'[2]UPDATE BILL 2018'!$F:$P,11,0),IFERROR(VLOOKUP(A1411,'[2]UPDATE BILL 2018'!$G:$P,10,0),IFERROR(VLOOKUP(A1411,'[2]UPDATE BILL 2018'!$H:$P,9,0),IFERROR(VLOOKUP(A1411,'[2]UPDATE BILL 2018'!$I:$P,8,0),VLOOKUP(A1411,'[2]UPDATE BILL 2018'!$B:$P,15,0)))))))))</f>
        <v>1008X04646</v>
      </c>
      <c r="AB1411" s="44">
        <f>IFERROR(VLOOKUP(A1411,'[2]UPDATE BILL 2018'!$B:$T,19,0),IFERROR(VLOOKUP(A1411,'[2]UPDATE BILL 2018'!$C:$T,18,0),IFERROR(VLOOKUP(A1411,'[2]UPDATE BILL 2018'!$D:$T,17,0),IFERROR(VLOOKUP(A1411,'[2]UPDATE BILL 2018'!$E:$T,16,0),IFERROR(VLOOKUP(A1411,'[2]UPDATE BILL 2018'!$F:$T,15,0),IFERROR(VLOOKUP(A1411,'[2]UPDATE BILL 2018'!$G:$T,14,0),IFERROR(VLOOKUP(A1411,'[2]UPDATE BILL 2018'!$H:$T,13,0),IFERROR(VLOOKUP(A1411,'[2]UPDATE BILL 2018'!$I:$T,12,0),VLOOKUP(A1411,'[2]UPDATE BILL 2018'!$B:$T,19,0)))))))))</f>
        <v>43341</v>
      </c>
      <c r="AC1411" s="44" t="str">
        <f>IFERROR(VLOOKUP(A1411,'[2]UPDATE BILL 2018'!$B:$V,21,0),IFERROR(VLOOKUP(A1411,'[2]UPDATE BILL 2018'!$C:$V,20,0),IFERROR(VLOOKUP(A1411,'[2]UPDATE BILL 2018'!$D:$V,19,0),IFERROR(VLOOKUP(A1411,'[2]UPDATE BILL 2018'!$E:$V,18,0),IFERROR(VLOOKUP(A1411,'[2]UPDATE BILL 2018'!$F:$V,17,0),IFERROR(VLOOKUP(A1411,'[2]UPDATE BILL 2018'!$G:$V,16,0),IFERROR(VLOOKUP(A1411,'[2]UPDATE BILL 2018'!$H:$V,15,0),IFERROR(VLOOKUP(A1411,'[2]UPDATE BILL 2018'!$I:$V,14,0),VLOOKUP(A1411,'[2]UPDATE BILL 2018'!$B:$V,21,0)))))))))</f>
        <v xml:space="preserve"> WAN HAI 165  N300</v>
      </c>
      <c r="AD1411" s="14" t="s">
        <v>51</v>
      </c>
      <c r="AE1411" s="24" t="s">
        <v>3599</v>
      </c>
      <c r="AF1411" s="25" t="str">
        <f t="shared" si="123"/>
        <v>VS</v>
      </c>
      <c r="AG1411" t="e">
        <f t="shared" si="121"/>
        <v>#REF!</v>
      </c>
      <c r="AI1411" s="58"/>
    </row>
    <row r="1412" spans="1:35" ht="15.75" customHeight="1">
      <c r="A1412" s="6" t="s">
        <v>3592</v>
      </c>
      <c r="B1412" s="5">
        <v>378</v>
      </c>
      <c r="C1412" s="7">
        <v>28048</v>
      </c>
      <c r="D1412" s="7">
        <f t="shared" si="116"/>
        <v>0</v>
      </c>
      <c r="E1412" s="7">
        <v>0</v>
      </c>
      <c r="F1412" s="5">
        <v>0</v>
      </c>
      <c r="G1412" s="7">
        <v>0</v>
      </c>
      <c r="H1412" s="5">
        <v>0</v>
      </c>
      <c r="I1412" s="7">
        <v>0</v>
      </c>
      <c r="J1412" s="7">
        <v>0</v>
      </c>
      <c r="K1412" s="5">
        <v>0</v>
      </c>
      <c r="L1412" s="5">
        <v>0</v>
      </c>
      <c r="M1412" s="5">
        <v>158</v>
      </c>
      <c r="N1412" s="7">
        <f t="shared" si="117"/>
        <v>158</v>
      </c>
      <c r="O1412" s="7">
        <v>29271.199999999997</v>
      </c>
      <c r="P1412" s="7">
        <v>0</v>
      </c>
      <c r="Q1412" s="5">
        <v>0</v>
      </c>
      <c r="S1412" s="7">
        <v>0</v>
      </c>
      <c r="T1412" s="12">
        <v>43334</v>
      </c>
      <c r="U1412" s="4">
        <v>5</v>
      </c>
      <c r="V1412" s="4">
        <v>9</v>
      </c>
      <c r="W1412" s="4">
        <v>9</v>
      </c>
      <c r="X1412" s="45">
        <f t="shared" si="118"/>
        <v>57319.199999999997</v>
      </c>
      <c r="Y1412" s="14" t="s">
        <v>54</v>
      </c>
      <c r="Z1412" s="14" t="s">
        <v>59</v>
      </c>
      <c r="AA1412" s="14" t="str">
        <f>IFERROR(VLOOKUP(A1412,'[2]UPDATE BILL 2018'!$B:$P,15,0),IFERROR(VLOOKUP(A1412,'[2]UPDATE BILL 2018'!$C:$P,14,0),IFERROR(VLOOKUP(A1412,'[2]UPDATE BILL 2018'!$D:$P,13,0),IFERROR(VLOOKUP(A1412,'[2]UPDATE BILL 2018'!$E:$P,12,0),IFERROR(VLOOKUP(A1412,'[2]UPDATE BILL 2018'!$F:$P,11,0),IFERROR(VLOOKUP(A1412,'[2]UPDATE BILL 2018'!$G:$P,10,0),IFERROR(VLOOKUP(A1412,'[2]UPDATE BILL 2018'!$H:$P,9,0),IFERROR(VLOOKUP(A1412,'[2]UPDATE BILL 2018'!$I:$P,8,0),VLOOKUP(A1412,'[2]UPDATE BILL 2018'!$B:$P,15,0)))))))))</f>
        <v>SITWHPKW175617</v>
      </c>
      <c r="AB1412" s="44">
        <f>IFERROR(VLOOKUP(A1412,'[2]UPDATE BILL 2018'!$B:$T,19,0),IFERROR(VLOOKUP(A1412,'[2]UPDATE BILL 2018'!$C:$T,18,0),IFERROR(VLOOKUP(A1412,'[2]UPDATE BILL 2018'!$D:$T,17,0),IFERROR(VLOOKUP(A1412,'[2]UPDATE BILL 2018'!$E:$T,16,0),IFERROR(VLOOKUP(A1412,'[2]UPDATE BILL 2018'!$F:$T,15,0),IFERROR(VLOOKUP(A1412,'[2]UPDATE BILL 2018'!$G:$T,14,0),IFERROR(VLOOKUP(A1412,'[2]UPDATE BILL 2018'!$H:$T,13,0),IFERROR(VLOOKUP(A1412,'[2]UPDATE BILL 2018'!$I:$T,12,0),VLOOKUP(A1412,'[2]UPDATE BILL 2018'!$B:$T,19,0)))))))))</f>
        <v>43339</v>
      </c>
      <c r="AC1412" s="44" t="str">
        <f>IFERROR(VLOOKUP(A1412,'[2]UPDATE BILL 2018'!$B:$V,21,0),IFERROR(VLOOKUP(A1412,'[2]UPDATE BILL 2018'!$C:$V,20,0),IFERROR(VLOOKUP(A1412,'[2]UPDATE BILL 2018'!$D:$V,19,0),IFERROR(VLOOKUP(A1412,'[2]UPDATE BILL 2018'!$E:$V,18,0),IFERROR(VLOOKUP(A1412,'[2]UPDATE BILL 2018'!$F:$V,17,0),IFERROR(VLOOKUP(A1412,'[2]UPDATE BILL 2018'!$G:$V,16,0),IFERROR(VLOOKUP(A1412,'[2]UPDATE BILL 2018'!$H:$V,15,0),IFERROR(VLOOKUP(A1412,'[2]UPDATE BILL 2018'!$I:$V,14,0),VLOOKUP(A1412,'[2]UPDATE BILL 2018'!$B:$V,21,0)))))))))</f>
        <v>SITC TIANJIN 1823N</v>
      </c>
      <c r="AD1412" s="14" t="s">
        <v>50</v>
      </c>
      <c r="AE1412" s="24" t="s">
        <v>3600</v>
      </c>
      <c r="AF1412" s="25" t="str">
        <f t="shared" si="123"/>
        <v>VW</v>
      </c>
      <c r="AG1412" t="e">
        <f t="shared" si="121"/>
        <v>#REF!</v>
      </c>
      <c r="AI1412" s="58"/>
    </row>
    <row r="1413" spans="1:35" ht="15.75" customHeight="1">
      <c r="A1413" s="6" t="s">
        <v>3593</v>
      </c>
      <c r="B1413" s="5">
        <v>403</v>
      </c>
      <c r="C1413" s="7">
        <v>45175.700000000004</v>
      </c>
      <c r="D1413" s="7">
        <f t="shared" si="116"/>
        <v>0</v>
      </c>
      <c r="E1413" s="7">
        <v>0</v>
      </c>
      <c r="F1413" s="5">
        <v>0</v>
      </c>
      <c r="G1413" s="7">
        <v>0</v>
      </c>
      <c r="H1413" s="5">
        <v>0</v>
      </c>
      <c r="I1413" s="7">
        <v>0</v>
      </c>
      <c r="J1413" s="7">
        <v>0</v>
      </c>
      <c r="K1413" s="5">
        <v>0</v>
      </c>
      <c r="L1413" s="5">
        <v>0</v>
      </c>
      <c r="M1413" s="5">
        <v>256</v>
      </c>
      <c r="N1413" s="7">
        <f t="shared" si="117"/>
        <v>256</v>
      </c>
      <c r="O1413" s="7">
        <v>56896</v>
      </c>
      <c r="P1413" s="7">
        <v>0</v>
      </c>
      <c r="Q1413" s="5">
        <v>0</v>
      </c>
      <c r="S1413" s="7">
        <v>0</v>
      </c>
      <c r="T1413" s="12">
        <v>43334</v>
      </c>
      <c r="U1413" s="4">
        <v>10</v>
      </c>
      <c r="V1413" s="4">
        <v>9</v>
      </c>
      <c r="W1413" s="4">
        <v>9</v>
      </c>
      <c r="X1413" s="45">
        <f t="shared" si="118"/>
        <v>102071.70000000001</v>
      </c>
      <c r="Y1413" s="14" t="s">
        <v>54</v>
      </c>
      <c r="Z1413" s="14" t="s">
        <v>57</v>
      </c>
      <c r="AA1413" s="14" t="str">
        <f>IFERROR(VLOOKUP(A1413,'[2]UPDATE BILL 2018'!$B:$P,15,0),IFERROR(VLOOKUP(A1413,'[2]UPDATE BILL 2018'!$C:$P,14,0),IFERROR(VLOOKUP(A1413,'[2]UPDATE BILL 2018'!$D:$P,13,0),IFERROR(VLOOKUP(A1413,'[2]UPDATE BILL 2018'!$E:$P,12,0),IFERROR(VLOOKUP(A1413,'[2]UPDATE BILL 2018'!$F:$P,11,0),IFERROR(VLOOKUP(A1413,'[2]UPDATE BILL 2018'!$G:$P,10,0),IFERROR(VLOOKUP(A1413,'[2]UPDATE BILL 2018'!$H:$P,9,0),IFERROR(VLOOKUP(A1413,'[2]UPDATE BILL 2018'!$I:$P,8,0),VLOOKUP(A1413,'[2]UPDATE BILL 2018'!$B:$P,15,0)))))))))</f>
        <v>SITWHPKW175620</v>
      </c>
      <c r="AB1413" s="44">
        <f>IFERROR(VLOOKUP(A1413,'[2]UPDATE BILL 2018'!$B:$T,19,0),IFERROR(VLOOKUP(A1413,'[2]UPDATE BILL 2018'!$C:$T,18,0),IFERROR(VLOOKUP(A1413,'[2]UPDATE BILL 2018'!$D:$T,17,0),IFERROR(VLOOKUP(A1413,'[2]UPDATE BILL 2018'!$E:$T,16,0),IFERROR(VLOOKUP(A1413,'[2]UPDATE BILL 2018'!$F:$T,15,0),IFERROR(VLOOKUP(A1413,'[2]UPDATE BILL 2018'!$G:$T,14,0),IFERROR(VLOOKUP(A1413,'[2]UPDATE BILL 2018'!$H:$T,13,0),IFERROR(VLOOKUP(A1413,'[2]UPDATE BILL 2018'!$I:$T,12,0),VLOOKUP(A1413,'[2]UPDATE BILL 2018'!$B:$T,19,0)))))))))</f>
        <v>43346</v>
      </c>
      <c r="AC1413" s="44" t="str">
        <f>IFERROR(VLOOKUP(A1413,'[2]UPDATE BILL 2018'!$B:$V,21,0),IFERROR(VLOOKUP(A1413,'[2]UPDATE BILL 2018'!$C:$V,20,0),IFERROR(VLOOKUP(A1413,'[2]UPDATE BILL 2018'!$D:$V,19,0),IFERROR(VLOOKUP(A1413,'[2]UPDATE BILL 2018'!$E:$V,18,0),IFERROR(VLOOKUP(A1413,'[2]UPDATE BILL 2018'!$F:$V,17,0),IFERROR(VLOOKUP(A1413,'[2]UPDATE BILL 2018'!$G:$V,16,0),IFERROR(VLOOKUP(A1413,'[2]UPDATE BILL 2018'!$H:$V,15,0),IFERROR(VLOOKUP(A1413,'[2]UPDATE BILL 2018'!$I:$V,14,0),VLOOKUP(A1413,'[2]UPDATE BILL 2018'!$B:$V,21,0)))))))))</f>
        <v>HYUNDAI HARMONY 1833N</v>
      </c>
      <c r="AD1413" s="14" t="s">
        <v>50</v>
      </c>
      <c r="AE1413" s="24" t="s">
        <v>3601</v>
      </c>
      <c r="AF1413" s="25" t="str">
        <f t="shared" si="123"/>
        <v>VW</v>
      </c>
      <c r="AG1413" t="e">
        <f t="shared" si="121"/>
        <v>#REF!</v>
      </c>
      <c r="AI1413" s="58"/>
    </row>
    <row r="1414" spans="1:35" ht="15.75" customHeight="1">
      <c r="A1414" s="6" t="s">
        <v>3594</v>
      </c>
      <c r="D1414" s="7">
        <f t="shared" si="116"/>
        <v>0</v>
      </c>
      <c r="E1414" s="7">
        <v>0</v>
      </c>
      <c r="F1414" s="5">
        <v>0</v>
      </c>
      <c r="G1414" s="7">
        <v>0</v>
      </c>
      <c r="H1414" s="5">
        <v>0</v>
      </c>
      <c r="I1414" s="7">
        <v>0</v>
      </c>
      <c r="J1414" s="7">
        <v>0</v>
      </c>
      <c r="K1414" s="5">
        <v>0</v>
      </c>
      <c r="L1414" s="5">
        <v>0</v>
      </c>
      <c r="M1414" s="5">
        <v>0</v>
      </c>
      <c r="N1414" s="7">
        <f t="shared" si="117"/>
        <v>0</v>
      </c>
      <c r="O1414" s="7">
        <v>0</v>
      </c>
      <c r="P1414" s="7">
        <v>0</v>
      </c>
      <c r="Q1414" s="5">
        <v>0</v>
      </c>
      <c r="R1414" s="5">
        <v>425</v>
      </c>
      <c r="S1414" s="7">
        <v>63820.5</v>
      </c>
      <c r="T1414" s="12">
        <v>43334</v>
      </c>
      <c r="U1414" s="4">
        <v>2</v>
      </c>
      <c r="V1414" s="4">
        <v>9</v>
      </c>
      <c r="W1414" s="4">
        <v>9</v>
      </c>
      <c r="X1414" s="45">
        <f t="shared" si="118"/>
        <v>63820.5</v>
      </c>
      <c r="Y1414" s="14" t="s">
        <v>54</v>
      </c>
      <c r="Z1414" s="14" t="s">
        <v>1355</v>
      </c>
      <c r="AA1414" s="14" t="str">
        <f>IFERROR(VLOOKUP(A1414,'[2]UPDATE BILL 2018'!$B:$P,15,0),IFERROR(VLOOKUP(A1414,'[2]UPDATE BILL 2018'!$C:$P,14,0),IFERROR(VLOOKUP(A1414,'[2]UPDATE BILL 2018'!$D:$P,13,0),IFERROR(VLOOKUP(A1414,'[2]UPDATE BILL 2018'!$E:$P,12,0),IFERROR(VLOOKUP(A1414,'[2]UPDATE BILL 2018'!$F:$P,11,0),IFERROR(VLOOKUP(A1414,'[2]UPDATE BILL 2018'!$G:$P,10,0),IFERROR(VLOOKUP(A1414,'[2]UPDATE BILL 2018'!$H:$P,9,0),IFERROR(VLOOKUP(A1414,'[2]UPDATE BILL 2018'!$I:$P,8,0),VLOOKUP(A1414,'[2]UPDATE BILL 2018'!$B:$P,15,0)))))))))</f>
        <v>SITWHPHT175613</v>
      </c>
      <c r="AB1414" s="44">
        <f>IFERROR(VLOOKUP(A1414,'[2]UPDATE BILL 2018'!$B:$T,19,0),IFERROR(VLOOKUP(A1414,'[2]UPDATE BILL 2018'!$C:$T,18,0),IFERROR(VLOOKUP(A1414,'[2]UPDATE BILL 2018'!$D:$T,17,0),IFERROR(VLOOKUP(A1414,'[2]UPDATE BILL 2018'!$E:$T,16,0),IFERROR(VLOOKUP(A1414,'[2]UPDATE BILL 2018'!$F:$T,15,0),IFERROR(VLOOKUP(A1414,'[2]UPDATE BILL 2018'!$G:$T,14,0),IFERROR(VLOOKUP(A1414,'[2]UPDATE BILL 2018'!$H:$T,13,0),IFERROR(VLOOKUP(A1414,'[2]UPDATE BILL 2018'!$I:$T,12,0),VLOOKUP(A1414,'[2]UPDATE BILL 2018'!$B:$T,19,0)))))))))</f>
        <v>43339</v>
      </c>
      <c r="AC1414" s="44" t="str">
        <f>IFERROR(VLOOKUP(A1414,'[2]UPDATE BILL 2018'!$B:$V,21,0),IFERROR(VLOOKUP(A1414,'[2]UPDATE BILL 2018'!$C:$V,20,0),IFERROR(VLOOKUP(A1414,'[2]UPDATE BILL 2018'!$D:$V,19,0),IFERROR(VLOOKUP(A1414,'[2]UPDATE BILL 2018'!$E:$V,18,0),IFERROR(VLOOKUP(A1414,'[2]UPDATE BILL 2018'!$F:$V,17,0),IFERROR(VLOOKUP(A1414,'[2]UPDATE BILL 2018'!$G:$V,16,0),IFERROR(VLOOKUP(A1414,'[2]UPDATE BILL 2018'!$H:$V,15,0),IFERROR(VLOOKUP(A1414,'[2]UPDATE BILL 2018'!$I:$V,14,0),VLOOKUP(A1414,'[2]UPDATE BILL 2018'!$B:$V,21,0)))))))))</f>
        <v>SITC YANTAI 1819N</v>
      </c>
      <c r="AD1414" s="14" t="s">
        <v>52</v>
      </c>
      <c r="AE1414" s="24" t="s">
        <v>3602</v>
      </c>
      <c r="AF1414" s="25" t="s">
        <v>2173</v>
      </c>
      <c r="AG1414" t="e">
        <f t="shared" si="121"/>
        <v>#N/A</v>
      </c>
      <c r="AI1414" s="58"/>
    </row>
    <row r="1415" spans="1:35" ht="15.75" customHeight="1">
      <c r="A1415" s="6" t="s">
        <v>3595</v>
      </c>
      <c r="D1415" s="7">
        <f t="shared" si="116"/>
        <v>0</v>
      </c>
      <c r="E1415" s="7">
        <v>0</v>
      </c>
      <c r="F1415" s="5">
        <v>0</v>
      </c>
      <c r="G1415" s="7">
        <v>0</v>
      </c>
      <c r="H1415" s="5">
        <v>0</v>
      </c>
      <c r="I1415" s="7">
        <v>0</v>
      </c>
      <c r="J1415" s="7">
        <v>0</v>
      </c>
      <c r="K1415" s="5">
        <v>0</v>
      </c>
      <c r="L1415" s="5">
        <v>0</v>
      </c>
      <c r="M1415" s="5">
        <v>0</v>
      </c>
      <c r="N1415" s="7">
        <f t="shared" si="117"/>
        <v>0</v>
      </c>
      <c r="O1415" s="7">
        <v>0</v>
      </c>
      <c r="P1415" s="7">
        <v>0</v>
      </c>
      <c r="Q1415" s="5">
        <v>0</v>
      </c>
      <c r="R1415" s="5">
        <v>550</v>
      </c>
      <c r="S1415" s="7">
        <v>106492.5</v>
      </c>
      <c r="T1415" s="12">
        <v>43334</v>
      </c>
      <c r="U1415" s="4">
        <v>4</v>
      </c>
      <c r="V1415" s="4">
        <v>9</v>
      </c>
      <c r="W1415" s="4">
        <v>9</v>
      </c>
      <c r="X1415" s="45">
        <f t="shared" si="118"/>
        <v>106492.5</v>
      </c>
      <c r="Y1415" s="14" t="s">
        <v>56</v>
      </c>
      <c r="Z1415" s="14" t="s">
        <v>1281</v>
      </c>
      <c r="AA1415" s="14" t="str">
        <f>IFERROR(VLOOKUP(A1415,'[2]UPDATE BILL 2018'!$B:$P,15,0),IFERROR(VLOOKUP(A1415,'[2]UPDATE BILL 2018'!$C:$P,14,0),IFERROR(VLOOKUP(A1415,'[2]UPDATE BILL 2018'!$D:$P,13,0),IFERROR(VLOOKUP(A1415,'[2]UPDATE BILL 2018'!$E:$P,12,0),IFERROR(VLOOKUP(A1415,'[2]UPDATE BILL 2018'!$F:$P,11,0),IFERROR(VLOOKUP(A1415,'[2]UPDATE BILL 2018'!$G:$P,10,0),IFERROR(VLOOKUP(A1415,'[2]UPDATE BILL 2018'!$H:$P,9,0),IFERROR(VLOOKUP(A1415,'[2]UPDATE BILL 2018'!$I:$P,8,0),VLOOKUP(A1415,'[2]UPDATE BILL 2018'!$B:$P,15,0)))))))))</f>
        <v>1008X04644</v>
      </c>
      <c r="AB1415" s="44">
        <f>IFERROR(VLOOKUP(A1415,'[2]UPDATE BILL 2018'!$B:$T,19,0),IFERROR(VLOOKUP(A1415,'[2]UPDATE BILL 2018'!$C:$T,18,0),IFERROR(VLOOKUP(A1415,'[2]UPDATE BILL 2018'!$D:$T,17,0),IFERROR(VLOOKUP(A1415,'[2]UPDATE BILL 2018'!$E:$T,16,0),IFERROR(VLOOKUP(A1415,'[2]UPDATE BILL 2018'!$F:$T,15,0),IFERROR(VLOOKUP(A1415,'[2]UPDATE BILL 2018'!$G:$T,14,0),IFERROR(VLOOKUP(A1415,'[2]UPDATE BILL 2018'!$H:$T,13,0),IFERROR(VLOOKUP(A1415,'[2]UPDATE BILL 2018'!$I:$T,12,0),VLOOKUP(A1415,'[2]UPDATE BILL 2018'!$B:$T,19,0)))))))))</f>
        <v>43337</v>
      </c>
      <c r="AC1415" s="44" t="str">
        <f>IFERROR(VLOOKUP(A1415,'[2]UPDATE BILL 2018'!$B:$V,21,0),IFERROR(VLOOKUP(A1415,'[2]UPDATE BILL 2018'!$C:$V,20,0),IFERROR(VLOOKUP(A1415,'[2]UPDATE BILL 2018'!$D:$V,19,0),IFERROR(VLOOKUP(A1415,'[2]UPDATE BILL 2018'!$E:$V,18,0),IFERROR(VLOOKUP(A1415,'[2]UPDATE BILL 2018'!$F:$V,17,0),IFERROR(VLOOKUP(A1415,'[2]UPDATE BILL 2018'!$G:$V,16,0),IFERROR(VLOOKUP(A1415,'[2]UPDATE BILL 2018'!$H:$V,15,0),IFERROR(VLOOKUP(A1415,'[2]UPDATE BILL 2018'!$I:$V,14,0),VLOOKUP(A1415,'[2]UPDATE BILL 2018'!$B:$V,21,0)))))))))</f>
        <v>PAOLA N027</v>
      </c>
      <c r="AD1415" s="14" t="s">
        <v>51</v>
      </c>
      <c r="AE1415" s="24" t="s">
        <v>3603</v>
      </c>
      <c r="AF1415" s="25" t="s">
        <v>2150</v>
      </c>
      <c r="AG1415" t="e">
        <f t="shared" si="121"/>
        <v>#N/A</v>
      </c>
      <c r="AI1415" s="58"/>
    </row>
    <row r="1416" spans="1:35" ht="15.75" customHeight="1">
      <c r="A1416" s="6" t="s">
        <v>3596</v>
      </c>
      <c r="D1416" s="7">
        <f t="shared" si="116"/>
        <v>0</v>
      </c>
      <c r="E1416" s="7">
        <v>0</v>
      </c>
      <c r="F1416" s="5">
        <v>0</v>
      </c>
      <c r="G1416" s="7">
        <v>0</v>
      </c>
      <c r="H1416" s="5">
        <v>0</v>
      </c>
      <c r="I1416" s="7">
        <v>0</v>
      </c>
      <c r="J1416" s="7">
        <v>0</v>
      </c>
      <c r="K1416" s="5">
        <v>0</v>
      </c>
      <c r="L1416" s="5">
        <v>0</v>
      </c>
      <c r="M1416" s="5">
        <v>0</v>
      </c>
      <c r="N1416" s="7">
        <f t="shared" si="117"/>
        <v>0</v>
      </c>
      <c r="O1416" s="7">
        <v>0</v>
      </c>
      <c r="P1416" s="7">
        <v>0</v>
      </c>
      <c r="Q1416" s="5">
        <v>0</v>
      </c>
      <c r="R1416" s="5">
        <v>276</v>
      </c>
      <c r="S1416" s="7">
        <v>48290.2</v>
      </c>
      <c r="T1416" s="12">
        <v>43334</v>
      </c>
      <c r="U1416" s="4">
        <v>3</v>
      </c>
      <c r="V1416" s="4">
        <v>9</v>
      </c>
      <c r="W1416" s="4">
        <v>9</v>
      </c>
      <c r="X1416" s="45">
        <f t="shared" si="118"/>
        <v>48290.2</v>
      </c>
      <c r="Y1416" s="14" t="s">
        <v>54</v>
      </c>
      <c r="Z1416" s="14" t="s">
        <v>59</v>
      </c>
      <c r="AA1416" s="14" t="str">
        <f>IFERROR(VLOOKUP(A1416,'[2]UPDATE BILL 2018'!$B:$P,15,0),IFERROR(VLOOKUP(A1416,'[2]UPDATE BILL 2018'!$C:$P,14,0),IFERROR(VLOOKUP(A1416,'[2]UPDATE BILL 2018'!$D:$P,13,0),IFERROR(VLOOKUP(A1416,'[2]UPDATE BILL 2018'!$E:$P,12,0),IFERROR(VLOOKUP(A1416,'[2]UPDATE BILL 2018'!$F:$P,11,0),IFERROR(VLOOKUP(A1416,'[2]UPDATE BILL 2018'!$G:$P,10,0),IFERROR(VLOOKUP(A1416,'[2]UPDATE BILL 2018'!$H:$P,9,0),IFERROR(VLOOKUP(A1416,'[2]UPDATE BILL 2018'!$I:$P,8,0),VLOOKUP(A1416,'[2]UPDATE BILL 2018'!$B:$P,15,0)))))))))</f>
        <v>SITWHPKW175617</v>
      </c>
      <c r="AB1416" s="44">
        <f>IFERROR(VLOOKUP(A1416,'[2]UPDATE BILL 2018'!$B:$T,19,0),IFERROR(VLOOKUP(A1416,'[2]UPDATE BILL 2018'!$C:$T,18,0),IFERROR(VLOOKUP(A1416,'[2]UPDATE BILL 2018'!$D:$T,17,0),IFERROR(VLOOKUP(A1416,'[2]UPDATE BILL 2018'!$E:$T,16,0),IFERROR(VLOOKUP(A1416,'[2]UPDATE BILL 2018'!$F:$T,15,0),IFERROR(VLOOKUP(A1416,'[2]UPDATE BILL 2018'!$G:$T,14,0),IFERROR(VLOOKUP(A1416,'[2]UPDATE BILL 2018'!$H:$T,13,0),IFERROR(VLOOKUP(A1416,'[2]UPDATE BILL 2018'!$I:$T,12,0),VLOOKUP(A1416,'[2]UPDATE BILL 2018'!$B:$T,19,0)))))))))</f>
        <v>43339</v>
      </c>
      <c r="AC1416" s="44" t="str">
        <f>IFERROR(VLOOKUP(A1416,'[2]UPDATE BILL 2018'!$B:$V,21,0),IFERROR(VLOOKUP(A1416,'[2]UPDATE BILL 2018'!$C:$V,20,0),IFERROR(VLOOKUP(A1416,'[2]UPDATE BILL 2018'!$D:$V,19,0),IFERROR(VLOOKUP(A1416,'[2]UPDATE BILL 2018'!$E:$V,18,0),IFERROR(VLOOKUP(A1416,'[2]UPDATE BILL 2018'!$F:$V,17,0),IFERROR(VLOOKUP(A1416,'[2]UPDATE BILL 2018'!$G:$V,16,0),IFERROR(VLOOKUP(A1416,'[2]UPDATE BILL 2018'!$H:$V,15,0),IFERROR(VLOOKUP(A1416,'[2]UPDATE BILL 2018'!$I:$V,14,0),VLOOKUP(A1416,'[2]UPDATE BILL 2018'!$B:$V,21,0)))))))))</f>
        <v>SITC TIANJIN 1823N</v>
      </c>
      <c r="AD1416" s="14" t="s">
        <v>50</v>
      </c>
      <c r="AE1416" s="24" t="s">
        <v>3604</v>
      </c>
      <c r="AF1416" s="25" t="s">
        <v>2151</v>
      </c>
      <c r="AG1416" t="e">
        <f t="shared" si="121"/>
        <v>#N/A</v>
      </c>
      <c r="AI1416" s="58"/>
    </row>
    <row r="1417" spans="1:35" ht="15.75" customHeight="1">
      <c r="A1417" s="6" t="s">
        <v>3605</v>
      </c>
      <c r="D1417" s="7">
        <f t="shared" si="116"/>
        <v>0</v>
      </c>
      <c r="E1417" s="7">
        <v>0</v>
      </c>
      <c r="F1417" s="5">
        <v>0</v>
      </c>
      <c r="G1417" s="7">
        <v>0</v>
      </c>
      <c r="H1417" s="5">
        <v>420</v>
      </c>
      <c r="I1417" s="7">
        <v>43165.200000000004</v>
      </c>
      <c r="J1417" s="7">
        <v>0</v>
      </c>
      <c r="K1417" s="5">
        <v>0</v>
      </c>
      <c r="L1417" s="5">
        <v>0</v>
      </c>
      <c r="M1417" s="5">
        <v>0</v>
      </c>
      <c r="N1417" s="7">
        <f t="shared" si="117"/>
        <v>0</v>
      </c>
      <c r="O1417" s="7">
        <v>0</v>
      </c>
      <c r="P1417" s="7">
        <v>0</v>
      </c>
      <c r="Q1417" s="5">
        <v>0</v>
      </c>
      <c r="S1417" s="7">
        <v>0</v>
      </c>
      <c r="T1417" s="12">
        <v>43335</v>
      </c>
      <c r="U1417" s="4">
        <v>3</v>
      </c>
      <c r="V1417" s="4">
        <v>9</v>
      </c>
      <c r="W1417" s="4">
        <v>9</v>
      </c>
      <c r="X1417" s="45">
        <f t="shared" si="118"/>
        <v>43165.200000000004</v>
      </c>
      <c r="Y1417" s="14" t="s">
        <v>85</v>
      </c>
      <c r="Z1417" s="14" t="s">
        <v>1637</v>
      </c>
      <c r="AA1417" s="14">
        <f>IFERROR(VLOOKUP(A1417,'[2]UPDATE BILL 2018'!$B:$P,15,0),IFERROR(VLOOKUP(A1417,'[2]UPDATE BILL 2018'!$C:$P,14,0),IFERROR(VLOOKUP(A1417,'[2]UPDATE BILL 2018'!$D:$P,13,0),IFERROR(VLOOKUP(A1417,'[2]UPDATE BILL 2018'!$E:$P,12,0),IFERROR(VLOOKUP(A1417,'[2]UPDATE BILL 2018'!$F:$P,11,0),IFERROR(VLOOKUP(A1417,'[2]UPDATE BILL 2018'!$G:$P,10,0),IFERROR(VLOOKUP(A1417,'[2]UPDATE BILL 2018'!$H:$P,9,0),IFERROR(VLOOKUP(A1417,'[2]UPDATE BILL 2018'!$I:$P,8,0),VLOOKUP(A1417,'[2]UPDATE BILL 2018'!$B:$P,15,0)))))))))</f>
        <v>350810105960</v>
      </c>
      <c r="AB1417" s="44">
        <f>IFERROR(VLOOKUP(A1417,'[2]UPDATE BILL 2018'!$B:$T,19,0),IFERROR(VLOOKUP(A1417,'[2]UPDATE BILL 2018'!$C:$T,18,0),IFERROR(VLOOKUP(A1417,'[2]UPDATE BILL 2018'!$D:$T,17,0),IFERROR(VLOOKUP(A1417,'[2]UPDATE BILL 2018'!$E:$T,16,0),IFERROR(VLOOKUP(A1417,'[2]UPDATE BILL 2018'!$F:$T,15,0),IFERROR(VLOOKUP(A1417,'[2]UPDATE BILL 2018'!$G:$T,14,0),IFERROR(VLOOKUP(A1417,'[2]UPDATE BILL 2018'!$H:$T,13,0),IFERROR(VLOOKUP(A1417,'[2]UPDATE BILL 2018'!$I:$T,12,0),VLOOKUP(A1417,'[2]UPDATE BILL 2018'!$B:$T,19,0)))))))))</f>
        <v>43341</v>
      </c>
      <c r="AC1417" s="44" t="str">
        <f>IFERROR(VLOOKUP(A1417,'[2]UPDATE BILL 2018'!$B:$V,21,0),IFERROR(VLOOKUP(A1417,'[2]UPDATE BILL 2018'!$C:$V,20,0),IFERROR(VLOOKUP(A1417,'[2]UPDATE BILL 2018'!$D:$V,19,0),IFERROR(VLOOKUP(A1417,'[2]UPDATE BILL 2018'!$E:$V,18,0),IFERROR(VLOOKUP(A1417,'[2]UPDATE BILL 2018'!$F:$V,17,0),IFERROR(VLOOKUP(A1417,'[2]UPDATE BILL 2018'!$G:$V,16,0),IFERROR(VLOOKUP(A1417,'[2]UPDATE BILL 2018'!$H:$V,15,0),IFERROR(VLOOKUP(A1417,'[2]UPDATE BILL 2018'!$I:$V,14,0),VLOOKUP(A1417,'[2]UPDATE BILL 2018'!$B:$V,21,0)))))))))</f>
        <v>LANTAU BRIDGE 18005N</v>
      </c>
      <c r="AD1417" s="14" t="s">
        <v>49</v>
      </c>
      <c r="AE1417" s="24" t="s">
        <v>3615</v>
      </c>
      <c r="AF1417" s="25" t="str">
        <f t="shared" ref="AF1417:AF1424" si="124">+LEFT(AE1417,2)</f>
        <v>VK</v>
      </c>
      <c r="AG1417" t="e">
        <f t="shared" si="121"/>
        <v>#REF!</v>
      </c>
      <c r="AI1417" s="58"/>
    </row>
    <row r="1418" spans="1:35" ht="15.75" customHeight="1">
      <c r="A1418" s="6" t="s">
        <v>3606</v>
      </c>
      <c r="B1418" s="5">
        <v>20</v>
      </c>
      <c r="C1418" s="7">
        <v>1856</v>
      </c>
      <c r="D1418" s="7">
        <f t="shared" si="116"/>
        <v>0</v>
      </c>
      <c r="E1418" s="7">
        <v>0</v>
      </c>
      <c r="F1418" s="5">
        <v>0</v>
      </c>
      <c r="G1418" s="7">
        <v>0</v>
      </c>
      <c r="H1418" s="5">
        <v>43</v>
      </c>
      <c r="I1418" s="7">
        <v>5502.2800000000007</v>
      </c>
      <c r="J1418" s="7">
        <v>0</v>
      </c>
      <c r="K1418" s="5">
        <v>0</v>
      </c>
      <c r="L1418" s="5">
        <v>0</v>
      </c>
      <c r="M1418" s="5">
        <v>67</v>
      </c>
      <c r="N1418" s="7">
        <f t="shared" si="117"/>
        <v>67</v>
      </c>
      <c r="O1418" s="7">
        <v>11648.7</v>
      </c>
      <c r="P1418" s="7">
        <v>0</v>
      </c>
      <c r="Q1418" s="5">
        <v>0</v>
      </c>
      <c r="S1418" s="7">
        <v>0</v>
      </c>
      <c r="T1418" s="12">
        <v>43335</v>
      </c>
      <c r="U1418" s="4">
        <v>2</v>
      </c>
      <c r="V1418" s="4">
        <v>9</v>
      </c>
      <c r="W1418" s="4">
        <v>9</v>
      </c>
      <c r="X1418" s="45">
        <f t="shared" si="118"/>
        <v>19006.980000000003</v>
      </c>
      <c r="Y1418" s="14" t="s">
        <v>54</v>
      </c>
      <c r="Z1418" s="14" t="s">
        <v>1281</v>
      </c>
      <c r="AA1418" s="14" t="str">
        <f>IFERROR(VLOOKUP(A1418,'[2]UPDATE BILL 2018'!$B:$P,15,0),IFERROR(VLOOKUP(A1418,'[2]UPDATE BILL 2018'!$C:$P,14,0),IFERROR(VLOOKUP(A1418,'[2]UPDATE BILL 2018'!$D:$P,13,0),IFERROR(VLOOKUP(A1418,'[2]UPDATE BILL 2018'!$E:$P,12,0),IFERROR(VLOOKUP(A1418,'[2]UPDATE BILL 2018'!$F:$P,11,0),IFERROR(VLOOKUP(A1418,'[2]UPDATE BILL 2018'!$G:$P,10,0),IFERROR(VLOOKUP(A1418,'[2]UPDATE BILL 2018'!$H:$P,9,0),IFERROR(VLOOKUP(A1418,'[2]UPDATE BILL 2018'!$I:$P,8,0),VLOOKUP(A1418,'[2]UPDATE BILL 2018'!$B:$P,15,0)))))))))</f>
        <v>SITWHPTK175610</v>
      </c>
      <c r="AB1418" s="44">
        <f>IFERROR(VLOOKUP(A1418,'[2]UPDATE BILL 2018'!$B:$T,19,0),IFERROR(VLOOKUP(A1418,'[2]UPDATE BILL 2018'!$C:$T,18,0),IFERROR(VLOOKUP(A1418,'[2]UPDATE BILL 2018'!$D:$T,17,0),IFERROR(VLOOKUP(A1418,'[2]UPDATE BILL 2018'!$E:$T,16,0),IFERROR(VLOOKUP(A1418,'[2]UPDATE BILL 2018'!$F:$T,15,0),IFERROR(VLOOKUP(A1418,'[2]UPDATE BILL 2018'!$G:$T,14,0),IFERROR(VLOOKUP(A1418,'[2]UPDATE BILL 2018'!$H:$T,13,0),IFERROR(VLOOKUP(A1418,'[2]UPDATE BILL 2018'!$I:$T,12,0),VLOOKUP(A1418,'[2]UPDATE BILL 2018'!$B:$T,19,0)))))))))</f>
        <v>43339</v>
      </c>
      <c r="AC1418" s="44" t="str">
        <f>IFERROR(VLOOKUP(A1418,'[2]UPDATE BILL 2018'!$B:$V,21,0),IFERROR(VLOOKUP(A1418,'[2]UPDATE BILL 2018'!$C:$V,20,0),IFERROR(VLOOKUP(A1418,'[2]UPDATE BILL 2018'!$D:$V,19,0),IFERROR(VLOOKUP(A1418,'[2]UPDATE BILL 2018'!$E:$V,18,0),IFERROR(VLOOKUP(A1418,'[2]UPDATE BILL 2018'!$F:$V,17,0),IFERROR(VLOOKUP(A1418,'[2]UPDATE BILL 2018'!$G:$V,16,0),IFERROR(VLOOKUP(A1418,'[2]UPDATE BILL 2018'!$H:$V,15,0),IFERROR(VLOOKUP(A1418,'[2]UPDATE BILL 2018'!$I:$V,14,0),VLOOKUP(A1418,'[2]UPDATE BILL 2018'!$B:$V,21,0)))))))))</f>
        <v>SITC TIANJIN 1823N</v>
      </c>
      <c r="AD1418" s="14" t="s">
        <v>49</v>
      </c>
      <c r="AE1418" s="24" t="s">
        <v>3616</v>
      </c>
      <c r="AF1418" s="25" t="str">
        <f t="shared" si="124"/>
        <v>VN</v>
      </c>
      <c r="AG1418" t="e">
        <f t="shared" si="121"/>
        <v>#REF!</v>
      </c>
      <c r="AI1418" s="58"/>
    </row>
    <row r="1419" spans="1:35" ht="15.75" customHeight="1">
      <c r="A1419" s="6" t="s">
        <v>3607</v>
      </c>
      <c r="B1419" s="5">
        <v>106</v>
      </c>
      <c r="C1419" s="7">
        <v>12024.35</v>
      </c>
      <c r="D1419" s="7">
        <f t="shared" si="116"/>
        <v>0</v>
      </c>
      <c r="E1419" s="7">
        <v>0</v>
      </c>
      <c r="F1419" s="5">
        <v>0</v>
      </c>
      <c r="G1419" s="7">
        <v>0</v>
      </c>
      <c r="H1419" s="5">
        <v>95</v>
      </c>
      <c r="I1419" s="7">
        <v>10811</v>
      </c>
      <c r="J1419" s="7">
        <v>0</v>
      </c>
      <c r="K1419" s="5">
        <v>0</v>
      </c>
      <c r="L1419" s="5">
        <v>0</v>
      </c>
      <c r="M1419" s="5">
        <v>47</v>
      </c>
      <c r="N1419" s="7">
        <f t="shared" si="117"/>
        <v>47</v>
      </c>
      <c r="O1419" s="7">
        <v>8596.2000000000007</v>
      </c>
      <c r="P1419" s="7">
        <v>0</v>
      </c>
      <c r="Q1419" s="5">
        <v>0</v>
      </c>
      <c r="S1419" s="7">
        <v>0</v>
      </c>
      <c r="T1419" s="12">
        <v>43335</v>
      </c>
      <c r="U1419" s="4">
        <v>3</v>
      </c>
      <c r="V1419" s="4">
        <v>9</v>
      </c>
      <c r="W1419" s="4">
        <v>9</v>
      </c>
      <c r="X1419" s="45">
        <f t="shared" si="118"/>
        <v>31431.55</v>
      </c>
      <c r="Y1419" s="14" t="s">
        <v>85</v>
      </c>
      <c r="Z1419" s="14" t="s">
        <v>3376</v>
      </c>
      <c r="AA1419" s="14">
        <f>IFERROR(VLOOKUP(A1419,'[2]UPDATE BILL 2018'!$B:$P,15,0),IFERROR(VLOOKUP(A1419,'[2]UPDATE BILL 2018'!$C:$P,14,0),IFERROR(VLOOKUP(A1419,'[2]UPDATE BILL 2018'!$D:$P,13,0),IFERROR(VLOOKUP(A1419,'[2]UPDATE BILL 2018'!$E:$P,12,0),IFERROR(VLOOKUP(A1419,'[2]UPDATE BILL 2018'!$F:$P,11,0),IFERROR(VLOOKUP(A1419,'[2]UPDATE BILL 2018'!$G:$P,10,0),IFERROR(VLOOKUP(A1419,'[2]UPDATE BILL 2018'!$H:$P,9,0),IFERROR(VLOOKUP(A1419,'[2]UPDATE BILL 2018'!$I:$P,8,0),VLOOKUP(A1419,'[2]UPDATE BILL 2018'!$B:$P,15,0)))))))))</f>
        <v>350810102273</v>
      </c>
      <c r="AB1419" s="44">
        <f>IFERROR(VLOOKUP(A1419,'[2]UPDATE BILL 2018'!$B:$T,19,0),IFERROR(VLOOKUP(A1419,'[2]UPDATE BILL 2018'!$C:$T,18,0),IFERROR(VLOOKUP(A1419,'[2]UPDATE BILL 2018'!$D:$T,17,0),IFERROR(VLOOKUP(A1419,'[2]UPDATE BILL 2018'!$E:$T,16,0),IFERROR(VLOOKUP(A1419,'[2]UPDATE BILL 2018'!$F:$T,15,0),IFERROR(VLOOKUP(A1419,'[2]UPDATE BILL 2018'!$G:$T,14,0),IFERROR(VLOOKUP(A1419,'[2]UPDATE BILL 2018'!$H:$T,13,0),IFERROR(VLOOKUP(A1419,'[2]UPDATE BILL 2018'!$I:$T,12,0),VLOOKUP(A1419,'[2]UPDATE BILL 2018'!$B:$T,19,0)))))))))</f>
        <v>43341</v>
      </c>
      <c r="AC1419" s="44" t="str">
        <f>IFERROR(VLOOKUP(A1419,'[2]UPDATE BILL 2018'!$B:$V,21,0),IFERROR(VLOOKUP(A1419,'[2]UPDATE BILL 2018'!$C:$V,20,0),IFERROR(VLOOKUP(A1419,'[2]UPDATE BILL 2018'!$D:$V,19,0),IFERROR(VLOOKUP(A1419,'[2]UPDATE BILL 2018'!$E:$V,18,0),IFERROR(VLOOKUP(A1419,'[2]UPDATE BILL 2018'!$F:$V,17,0),IFERROR(VLOOKUP(A1419,'[2]UPDATE BILL 2018'!$G:$V,16,0),IFERROR(VLOOKUP(A1419,'[2]UPDATE BILL 2018'!$H:$V,15,0),IFERROR(VLOOKUP(A1419,'[2]UPDATE BILL 2018'!$I:$V,14,0),VLOOKUP(A1419,'[2]UPDATE BILL 2018'!$B:$V,21,0)))))))))</f>
        <v>LANTAU BRIDGE 18005N</v>
      </c>
      <c r="AD1419" s="14" t="s">
        <v>52</v>
      </c>
      <c r="AE1419" s="24" t="s">
        <v>3617</v>
      </c>
      <c r="AF1419" s="25" t="str">
        <f t="shared" si="124"/>
        <v>VQ</v>
      </c>
      <c r="AG1419" t="e">
        <f t="shared" si="121"/>
        <v>#REF!</v>
      </c>
      <c r="AI1419" s="58"/>
    </row>
    <row r="1420" spans="1:35" ht="15.75" customHeight="1">
      <c r="A1420" s="6" t="s">
        <v>3608</v>
      </c>
      <c r="B1420" s="5">
        <v>120</v>
      </c>
      <c r="C1420" s="7">
        <v>12911.6</v>
      </c>
      <c r="D1420" s="7">
        <f t="shared" si="116"/>
        <v>0</v>
      </c>
      <c r="E1420" s="7">
        <v>0</v>
      </c>
      <c r="F1420" s="5">
        <v>0</v>
      </c>
      <c r="G1420" s="7">
        <v>0</v>
      </c>
      <c r="H1420" s="5">
        <v>0</v>
      </c>
      <c r="I1420" s="7">
        <v>0</v>
      </c>
      <c r="J1420" s="7">
        <v>0</v>
      </c>
      <c r="K1420" s="5">
        <v>0</v>
      </c>
      <c r="L1420" s="5">
        <v>0</v>
      </c>
      <c r="M1420" s="5">
        <v>120</v>
      </c>
      <c r="N1420" s="7">
        <f t="shared" si="117"/>
        <v>120</v>
      </c>
      <c r="O1420" s="7">
        <v>16994.650000000001</v>
      </c>
      <c r="P1420" s="7">
        <v>0</v>
      </c>
      <c r="Q1420" s="5">
        <v>0</v>
      </c>
      <c r="S1420" s="7">
        <v>0</v>
      </c>
      <c r="T1420" s="12">
        <v>43335</v>
      </c>
      <c r="U1420" s="4">
        <v>3</v>
      </c>
      <c r="V1420" s="4">
        <v>9</v>
      </c>
      <c r="W1420" s="4">
        <v>9</v>
      </c>
      <c r="X1420" s="45">
        <f t="shared" si="118"/>
        <v>29906.25</v>
      </c>
      <c r="Y1420" s="14" t="s">
        <v>54</v>
      </c>
      <c r="Z1420" s="14" t="s">
        <v>1281</v>
      </c>
      <c r="AA1420" s="14" t="str">
        <f>IFERROR(VLOOKUP(A1420,'[2]UPDATE BILL 2018'!$B:$P,15,0),IFERROR(VLOOKUP(A1420,'[2]UPDATE BILL 2018'!$C:$P,14,0),IFERROR(VLOOKUP(A1420,'[2]UPDATE BILL 2018'!$D:$P,13,0),IFERROR(VLOOKUP(A1420,'[2]UPDATE BILL 2018'!$E:$P,12,0),IFERROR(VLOOKUP(A1420,'[2]UPDATE BILL 2018'!$F:$P,11,0),IFERROR(VLOOKUP(A1420,'[2]UPDATE BILL 2018'!$G:$P,10,0),IFERROR(VLOOKUP(A1420,'[2]UPDATE BILL 2018'!$H:$P,9,0),IFERROR(VLOOKUP(A1420,'[2]UPDATE BILL 2018'!$I:$P,8,0),VLOOKUP(A1420,'[2]UPDATE BILL 2018'!$B:$P,15,0)))))))))</f>
        <v>SITWHPOS175614</v>
      </c>
      <c r="AB1420" s="44">
        <f>IFERROR(VLOOKUP(A1420,'[2]UPDATE BILL 2018'!$B:$T,19,0),IFERROR(VLOOKUP(A1420,'[2]UPDATE BILL 2018'!$C:$T,18,0),IFERROR(VLOOKUP(A1420,'[2]UPDATE BILL 2018'!$D:$T,17,0),IFERROR(VLOOKUP(A1420,'[2]UPDATE BILL 2018'!$E:$T,16,0),IFERROR(VLOOKUP(A1420,'[2]UPDATE BILL 2018'!$F:$T,15,0),IFERROR(VLOOKUP(A1420,'[2]UPDATE BILL 2018'!$G:$T,14,0),IFERROR(VLOOKUP(A1420,'[2]UPDATE BILL 2018'!$H:$T,13,0),IFERROR(VLOOKUP(A1420,'[2]UPDATE BILL 2018'!$I:$T,12,0),VLOOKUP(A1420,'[2]UPDATE BILL 2018'!$B:$T,19,0)))))))))</f>
        <v>43338</v>
      </c>
      <c r="AC1420" s="44" t="str">
        <f>IFERROR(VLOOKUP(A1420,'[2]UPDATE BILL 2018'!$B:$V,21,0),IFERROR(VLOOKUP(A1420,'[2]UPDATE BILL 2018'!$C:$V,20,0),IFERROR(VLOOKUP(A1420,'[2]UPDATE BILL 2018'!$D:$V,19,0),IFERROR(VLOOKUP(A1420,'[2]UPDATE BILL 2018'!$E:$V,18,0),IFERROR(VLOOKUP(A1420,'[2]UPDATE BILL 2018'!$F:$V,17,0),IFERROR(VLOOKUP(A1420,'[2]UPDATE BILL 2018'!$G:$V,16,0),IFERROR(VLOOKUP(A1420,'[2]UPDATE BILL 2018'!$H:$V,15,0),IFERROR(VLOOKUP(A1420,'[2]UPDATE BILL 2018'!$I:$V,14,0),VLOOKUP(A1420,'[2]UPDATE BILL 2018'!$B:$V,21,0)))))))))</f>
        <v>RESURGENCE 1821N</v>
      </c>
      <c r="AD1420" s="14" t="s">
        <v>51</v>
      </c>
      <c r="AE1420" s="24" t="s">
        <v>3618</v>
      </c>
      <c r="AF1420" s="25" t="str">
        <f t="shared" si="124"/>
        <v>VS</v>
      </c>
      <c r="AG1420" t="e">
        <f t="shared" si="121"/>
        <v>#REF!</v>
      </c>
      <c r="AI1420" s="58"/>
    </row>
    <row r="1421" spans="1:35" ht="15.75" customHeight="1">
      <c r="A1421" s="6" t="s">
        <v>3609</v>
      </c>
      <c r="B1421" s="5">
        <v>156</v>
      </c>
      <c r="C1421" s="7">
        <v>13467.9</v>
      </c>
      <c r="D1421" s="7">
        <f t="shared" ref="D1421:D1485" si="125">E1421+F1421</f>
        <v>0</v>
      </c>
      <c r="E1421" s="7">
        <v>0</v>
      </c>
      <c r="F1421" s="5">
        <v>0</v>
      </c>
      <c r="G1421" s="7">
        <v>0</v>
      </c>
      <c r="H1421" s="5">
        <v>220</v>
      </c>
      <c r="I1421" s="7">
        <v>24866.2</v>
      </c>
      <c r="J1421" s="7">
        <v>0</v>
      </c>
      <c r="K1421" s="5">
        <v>0</v>
      </c>
      <c r="L1421" s="5">
        <v>0</v>
      </c>
      <c r="M1421" s="5">
        <v>72</v>
      </c>
      <c r="N1421" s="7">
        <f t="shared" ref="N1421:N1485" si="126">M1421-K1421</f>
        <v>72</v>
      </c>
      <c r="O1421" s="7">
        <v>10424.5</v>
      </c>
      <c r="P1421" s="7">
        <v>0</v>
      </c>
      <c r="Q1421" s="5">
        <v>0</v>
      </c>
      <c r="S1421" s="7">
        <v>0</v>
      </c>
      <c r="T1421" s="12">
        <v>43335</v>
      </c>
      <c r="U1421" s="4">
        <v>4</v>
      </c>
      <c r="V1421" s="4">
        <v>9</v>
      </c>
      <c r="W1421" s="4">
        <v>9</v>
      </c>
      <c r="X1421" s="45">
        <f t="shared" ref="X1421:X1485" si="127">+C1421+G1421+I1421+O1421+S1421</f>
        <v>48758.6</v>
      </c>
      <c r="Y1421" s="14" t="s">
        <v>56</v>
      </c>
      <c r="Z1421" s="14" t="s">
        <v>1355</v>
      </c>
      <c r="AA1421" s="14" t="str">
        <f>IFERROR(VLOOKUP(A1421,'[2]UPDATE BILL 2018'!$B:$P,15,0),IFERROR(VLOOKUP(A1421,'[2]UPDATE BILL 2018'!$C:$P,14,0),IFERROR(VLOOKUP(A1421,'[2]UPDATE BILL 2018'!$D:$P,13,0),IFERROR(VLOOKUP(A1421,'[2]UPDATE BILL 2018'!$E:$P,12,0),IFERROR(VLOOKUP(A1421,'[2]UPDATE BILL 2018'!$F:$P,11,0),IFERROR(VLOOKUP(A1421,'[2]UPDATE BILL 2018'!$G:$P,10,0),IFERROR(VLOOKUP(A1421,'[2]UPDATE BILL 2018'!$H:$P,9,0),IFERROR(VLOOKUP(A1421,'[2]UPDATE BILL 2018'!$I:$P,8,0),VLOOKUP(A1421,'[2]UPDATE BILL 2018'!$B:$P,15,0)))))))))</f>
        <v>1008X04646</v>
      </c>
      <c r="AB1421" s="44">
        <f>IFERROR(VLOOKUP(A1421,'[2]UPDATE BILL 2018'!$B:$T,19,0),IFERROR(VLOOKUP(A1421,'[2]UPDATE BILL 2018'!$C:$T,18,0),IFERROR(VLOOKUP(A1421,'[2]UPDATE BILL 2018'!$D:$T,17,0),IFERROR(VLOOKUP(A1421,'[2]UPDATE BILL 2018'!$E:$T,16,0),IFERROR(VLOOKUP(A1421,'[2]UPDATE BILL 2018'!$F:$T,15,0),IFERROR(VLOOKUP(A1421,'[2]UPDATE BILL 2018'!$G:$T,14,0),IFERROR(VLOOKUP(A1421,'[2]UPDATE BILL 2018'!$H:$T,13,0),IFERROR(VLOOKUP(A1421,'[2]UPDATE BILL 2018'!$I:$T,12,0),VLOOKUP(A1421,'[2]UPDATE BILL 2018'!$B:$T,19,0)))))))))</f>
        <v>43341</v>
      </c>
      <c r="AC1421" s="44" t="str">
        <f>IFERROR(VLOOKUP(A1421,'[2]UPDATE BILL 2018'!$B:$V,21,0),IFERROR(VLOOKUP(A1421,'[2]UPDATE BILL 2018'!$C:$V,20,0),IFERROR(VLOOKUP(A1421,'[2]UPDATE BILL 2018'!$D:$V,19,0),IFERROR(VLOOKUP(A1421,'[2]UPDATE BILL 2018'!$E:$V,18,0),IFERROR(VLOOKUP(A1421,'[2]UPDATE BILL 2018'!$F:$V,17,0),IFERROR(VLOOKUP(A1421,'[2]UPDATE BILL 2018'!$G:$V,16,0),IFERROR(VLOOKUP(A1421,'[2]UPDATE BILL 2018'!$H:$V,15,0),IFERROR(VLOOKUP(A1421,'[2]UPDATE BILL 2018'!$I:$V,14,0),VLOOKUP(A1421,'[2]UPDATE BILL 2018'!$B:$V,21,0)))))))))</f>
        <v xml:space="preserve"> WAN HAI 165  N300</v>
      </c>
      <c r="AD1421" s="14" t="s">
        <v>51</v>
      </c>
      <c r="AE1421" s="24" t="s">
        <v>3619</v>
      </c>
      <c r="AF1421" s="25" t="str">
        <f t="shared" si="124"/>
        <v>VS</v>
      </c>
      <c r="AG1421" t="e">
        <f t="shared" si="121"/>
        <v>#REF!</v>
      </c>
      <c r="AI1421" s="58"/>
    </row>
    <row r="1422" spans="1:35" ht="15.75" customHeight="1">
      <c r="A1422" s="6" t="s">
        <v>3610</v>
      </c>
      <c r="B1422" s="5">
        <v>561</v>
      </c>
      <c r="C1422" s="7">
        <v>50492.1</v>
      </c>
      <c r="D1422" s="7">
        <f t="shared" si="125"/>
        <v>0</v>
      </c>
      <c r="E1422" s="7">
        <v>0</v>
      </c>
      <c r="F1422" s="5">
        <v>0</v>
      </c>
      <c r="G1422" s="7">
        <v>0</v>
      </c>
      <c r="H1422" s="5">
        <v>0</v>
      </c>
      <c r="I1422" s="7">
        <v>0</v>
      </c>
      <c r="J1422" s="7">
        <v>0</v>
      </c>
      <c r="K1422" s="5">
        <v>0</v>
      </c>
      <c r="L1422" s="5">
        <v>0</v>
      </c>
      <c r="M1422" s="5">
        <v>118</v>
      </c>
      <c r="N1422" s="7">
        <f t="shared" si="126"/>
        <v>118</v>
      </c>
      <c r="O1422" s="7">
        <v>21661.7</v>
      </c>
      <c r="P1422" s="7">
        <v>0</v>
      </c>
      <c r="Q1422" s="5">
        <v>0</v>
      </c>
      <c r="S1422" s="7">
        <v>0</v>
      </c>
      <c r="T1422" s="12">
        <v>43335</v>
      </c>
      <c r="U1422" s="4">
        <v>6</v>
      </c>
      <c r="V1422" s="4">
        <v>9</v>
      </c>
      <c r="W1422" s="4">
        <v>9</v>
      </c>
      <c r="X1422" s="45">
        <f t="shared" si="127"/>
        <v>72153.8</v>
      </c>
      <c r="Y1422" s="14" t="s">
        <v>54</v>
      </c>
      <c r="Z1422" s="14" t="s">
        <v>59</v>
      </c>
      <c r="AA1422" s="14" t="str">
        <f>IFERROR(VLOOKUP(A1422,'[2]UPDATE BILL 2018'!$B:$P,15,0),IFERROR(VLOOKUP(A1422,'[2]UPDATE BILL 2018'!$C:$P,14,0),IFERROR(VLOOKUP(A1422,'[2]UPDATE BILL 2018'!$D:$P,13,0),IFERROR(VLOOKUP(A1422,'[2]UPDATE BILL 2018'!$E:$P,12,0),IFERROR(VLOOKUP(A1422,'[2]UPDATE BILL 2018'!$F:$P,11,0),IFERROR(VLOOKUP(A1422,'[2]UPDATE BILL 2018'!$G:$P,10,0),IFERROR(VLOOKUP(A1422,'[2]UPDATE BILL 2018'!$H:$P,9,0),IFERROR(VLOOKUP(A1422,'[2]UPDATE BILL 2018'!$I:$P,8,0),VLOOKUP(A1422,'[2]UPDATE BILL 2018'!$B:$P,15,0)))))))))</f>
        <v>SITWHPKW175617</v>
      </c>
      <c r="AB1422" s="44">
        <f>IFERROR(VLOOKUP(A1422,'[2]UPDATE BILL 2018'!$B:$T,19,0),IFERROR(VLOOKUP(A1422,'[2]UPDATE BILL 2018'!$C:$T,18,0),IFERROR(VLOOKUP(A1422,'[2]UPDATE BILL 2018'!$D:$T,17,0),IFERROR(VLOOKUP(A1422,'[2]UPDATE BILL 2018'!$E:$T,16,0),IFERROR(VLOOKUP(A1422,'[2]UPDATE BILL 2018'!$F:$T,15,0),IFERROR(VLOOKUP(A1422,'[2]UPDATE BILL 2018'!$G:$T,14,0),IFERROR(VLOOKUP(A1422,'[2]UPDATE BILL 2018'!$H:$T,13,0),IFERROR(VLOOKUP(A1422,'[2]UPDATE BILL 2018'!$I:$T,12,0),VLOOKUP(A1422,'[2]UPDATE BILL 2018'!$B:$T,19,0)))))))))</f>
        <v>43339</v>
      </c>
      <c r="AC1422" s="44" t="str">
        <f>IFERROR(VLOOKUP(A1422,'[2]UPDATE BILL 2018'!$B:$V,21,0),IFERROR(VLOOKUP(A1422,'[2]UPDATE BILL 2018'!$C:$V,20,0),IFERROR(VLOOKUP(A1422,'[2]UPDATE BILL 2018'!$D:$V,19,0),IFERROR(VLOOKUP(A1422,'[2]UPDATE BILL 2018'!$E:$V,18,0),IFERROR(VLOOKUP(A1422,'[2]UPDATE BILL 2018'!$F:$V,17,0),IFERROR(VLOOKUP(A1422,'[2]UPDATE BILL 2018'!$G:$V,16,0),IFERROR(VLOOKUP(A1422,'[2]UPDATE BILL 2018'!$H:$V,15,0),IFERROR(VLOOKUP(A1422,'[2]UPDATE BILL 2018'!$I:$V,14,0),VLOOKUP(A1422,'[2]UPDATE BILL 2018'!$B:$V,21,0)))))))))</f>
        <v>SITC TIANJIN 1823N</v>
      </c>
      <c r="AD1422" s="14" t="s">
        <v>50</v>
      </c>
      <c r="AE1422" s="24" t="s">
        <v>3620</v>
      </c>
      <c r="AF1422" s="25" t="str">
        <f t="shared" si="124"/>
        <v>VW</v>
      </c>
      <c r="AG1422" t="e">
        <f t="shared" si="121"/>
        <v>#REF!</v>
      </c>
      <c r="AI1422" s="58"/>
    </row>
    <row r="1423" spans="1:35" ht="15.75" customHeight="1">
      <c r="A1423" s="6" t="s">
        <v>3611</v>
      </c>
      <c r="B1423" s="5">
        <v>315</v>
      </c>
      <c r="C1423" s="7">
        <v>35278.9</v>
      </c>
      <c r="D1423" s="7">
        <f t="shared" si="125"/>
        <v>0</v>
      </c>
      <c r="E1423" s="7">
        <v>0</v>
      </c>
      <c r="F1423" s="5">
        <v>0</v>
      </c>
      <c r="G1423" s="7">
        <v>0</v>
      </c>
      <c r="H1423" s="5">
        <v>0</v>
      </c>
      <c r="I1423" s="7">
        <v>0</v>
      </c>
      <c r="J1423" s="7">
        <v>0</v>
      </c>
      <c r="K1423" s="5">
        <v>0</v>
      </c>
      <c r="L1423" s="5">
        <v>0</v>
      </c>
      <c r="M1423" s="5">
        <v>271</v>
      </c>
      <c r="N1423" s="7">
        <f t="shared" si="126"/>
        <v>271</v>
      </c>
      <c r="O1423" s="7">
        <v>38457</v>
      </c>
      <c r="P1423" s="7">
        <v>0</v>
      </c>
      <c r="Q1423" s="5">
        <v>0</v>
      </c>
      <c r="S1423" s="7">
        <v>0</v>
      </c>
      <c r="T1423" s="12">
        <v>43335</v>
      </c>
      <c r="U1423" s="4">
        <v>7</v>
      </c>
      <c r="V1423" s="4">
        <v>9</v>
      </c>
      <c r="W1423" s="4">
        <v>9</v>
      </c>
      <c r="X1423" s="45">
        <f t="shared" si="127"/>
        <v>73735.899999999994</v>
      </c>
      <c r="Y1423" s="14" t="s">
        <v>54</v>
      </c>
      <c r="Z1423" s="14" t="s">
        <v>57</v>
      </c>
      <c r="AA1423" s="14" t="str">
        <f>IFERROR(VLOOKUP(A1423,'[2]UPDATE BILL 2018'!$B:$P,15,0),IFERROR(VLOOKUP(A1423,'[2]UPDATE BILL 2018'!$C:$P,14,0),IFERROR(VLOOKUP(A1423,'[2]UPDATE BILL 2018'!$D:$P,13,0),IFERROR(VLOOKUP(A1423,'[2]UPDATE BILL 2018'!$E:$P,12,0),IFERROR(VLOOKUP(A1423,'[2]UPDATE BILL 2018'!$F:$P,11,0),IFERROR(VLOOKUP(A1423,'[2]UPDATE BILL 2018'!$G:$P,10,0),IFERROR(VLOOKUP(A1423,'[2]UPDATE BILL 2018'!$H:$P,9,0),IFERROR(VLOOKUP(A1423,'[2]UPDATE BILL 2018'!$I:$P,8,0),VLOOKUP(A1423,'[2]UPDATE BILL 2018'!$B:$P,15,0)))))))))</f>
        <v>SITWHPKW175620</v>
      </c>
      <c r="AB1423" s="44">
        <f>IFERROR(VLOOKUP(A1423,'[2]UPDATE BILL 2018'!$B:$T,19,0),IFERROR(VLOOKUP(A1423,'[2]UPDATE BILL 2018'!$C:$T,18,0),IFERROR(VLOOKUP(A1423,'[2]UPDATE BILL 2018'!$D:$T,17,0),IFERROR(VLOOKUP(A1423,'[2]UPDATE BILL 2018'!$E:$T,16,0),IFERROR(VLOOKUP(A1423,'[2]UPDATE BILL 2018'!$F:$T,15,0),IFERROR(VLOOKUP(A1423,'[2]UPDATE BILL 2018'!$G:$T,14,0),IFERROR(VLOOKUP(A1423,'[2]UPDATE BILL 2018'!$H:$T,13,0),IFERROR(VLOOKUP(A1423,'[2]UPDATE BILL 2018'!$I:$T,12,0),VLOOKUP(A1423,'[2]UPDATE BILL 2018'!$B:$T,19,0)))))))))</f>
        <v>43346</v>
      </c>
      <c r="AC1423" s="44" t="str">
        <f>IFERROR(VLOOKUP(A1423,'[2]UPDATE BILL 2018'!$B:$V,21,0),IFERROR(VLOOKUP(A1423,'[2]UPDATE BILL 2018'!$C:$V,20,0),IFERROR(VLOOKUP(A1423,'[2]UPDATE BILL 2018'!$D:$V,19,0),IFERROR(VLOOKUP(A1423,'[2]UPDATE BILL 2018'!$E:$V,18,0),IFERROR(VLOOKUP(A1423,'[2]UPDATE BILL 2018'!$F:$V,17,0),IFERROR(VLOOKUP(A1423,'[2]UPDATE BILL 2018'!$G:$V,16,0),IFERROR(VLOOKUP(A1423,'[2]UPDATE BILL 2018'!$H:$V,15,0),IFERROR(VLOOKUP(A1423,'[2]UPDATE BILL 2018'!$I:$V,14,0),VLOOKUP(A1423,'[2]UPDATE BILL 2018'!$B:$V,21,0)))))))))</f>
        <v>HYUNDAI HARMONY 1833N</v>
      </c>
      <c r="AD1423" s="14" t="s">
        <v>50</v>
      </c>
      <c r="AE1423" s="24" t="s">
        <v>3621</v>
      </c>
      <c r="AF1423" s="25" t="str">
        <f t="shared" si="124"/>
        <v>VW</v>
      </c>
      <c r="AG1423" t="e">
        <f t="shared" si="121"/>
        <v>#REF!</v>
      </c>
      <c r="AI1423" s="58"/>
    </row>
    <row r="1424" spans="1:35" ht="15.75" customHeight="1">
      <c r="A1424" s="6" t="s">
        <v>3612</v>
      </c>
      <c r="B1424" s="5">
        <v>95</v>
      </c>
      <c r="C1424" s="7">
        <v>10549.5</v>
      </c>
      <c r="D1424" s="7">
        <f t="shared" si="125"/>
        <v>0</v>
      </c>
      <c r="E1424" s="7">
        <v>0</v>
      </c>
      <c r="F1424" s="5">
        <v>0</v>
      </c>
      <c r="G1424" s="7">
        <v>0</v>
      </c>
      <c r="H1424" s="5">
        <v>0</v>
      </c>
      <c r="I1424" s="7">
        <v>0</v>
      </c>
      <c r="J1424" s="7">
        <v>0</v>
      </c>
      <c r="K1424" s="5">
        <v>0</v>
      </c>
      <c r="L1424" s="5">
        <v>0</v>
      </c>
      <c r="M1424" s="5">
        <v>5</v>
      </c>
      <c r="N1424" s="7">
        <f t="shared" si="126"/>
        <v>5</v>
      </c>
      <c r="O1424" s="7">
        <v>719.5</v>
      </c>
      <c r="P1424" s="7">
        <v>0</v>
      </c>
      <c r="Q1424" s="5">
        <v>0</v>
      </c>
      <c r="S1424" s="7">
        <v>0</v>
      </c>
      <c r="T1424" s="12">
        <v>43335</v>
      </c>
      <c r="U1424" s="4">
        <v>1</v>
      </c>
      <c r="V1424" s="4">
        <v>9</v>
      </c>
      <c r="W1424" s="4">
        <v>9</v>
      </c>
      <c r="X1424" s="45">
        <f t="shared" si="127"/>
        <v>11269</v>
      </c>
      <c r="Y1424" s="14" t="s">
        <v>54</v>
      </c>
      <c r="Z1424" s="14" t="s">
        <v>57</v>
      </c>
      <c r="AA1424" s="14" t="str">
        <f>IFERROR(VLOOKUP(A1424,'[2]UPDATE BILL 2018'!$B:$P,15,0),IFERROR(VLOOKUP(A1424,'[2]UPDATE BILL 2018'!$C:$P,14,0),IFERROR(VLOOKUP(A1424,'[2]UPDATE BILL 2018'!$D:$P,13,0),IFERROR(VLOOKUP(A1424,'[2]UPDATE BILL 2018'!$E:$P,12,0),IFERROR(VLOOKUP(A1424,'[2]UPDATE BILL 2018'!$F:$P,11,0),IFERROR(VLOOKUP(A1424,'[2]UPDATE BILL 2018'!$G:$P,10,0),IFERROR(VLOOKUP(A1424,'[2]UPDATE BILL 2018'!$H:$P,9,0),IFERROR(VLOOKUP(A1424,'[2]UPDATE BILL 2018'!$I:$P,8,0),VLOOKUP(A1424,'[2]UPDATE BILL 2018'!$B:$P,15,0)))))))))</f>
        <v>SITWHPTK175610</v>
      </c>
      <c r="AB1424" s="44">
        <f>IFERROR(VLOOKUP(A1424,'[2]UPDATE BILL 2018'!$B:$T,19,0),IFERROR(VLOOKUP(A1424,'[2]UPDATE BILL 2018'!$C:$T,18,0),IFERROR(VLOOKUP(A1424,'[2]UPDATE BILL 2018'!$D:$T,17,0),IFERROR(VLOOKUP(A1424,'[2]UPDATE BILL 2018'!$E:$T,16,0),IFERROR(VLOOKUP(A1424,'[2]UPDATE BILL 2018'!$F:$T,15,0),IFERROR(VLOOKUP(A1424,'[2]UPDATE BILL 2018'!$G:$T,14,0),IFERROR(VLOOKUP(A1424,'[2]UPDATE BILL 2018'!$H:$T,13,0),IFERROR(VLOOKUP(A1424,'[2]UPDATE BILL 2018'!$I:$T,12,0),VLOOKUP(A1424,'[2]UPDATE BILL 2018'!$B:$T,19,0)))))))))</f>
        <v>43339</v>
      </c>
      <c r="AC1424" s="44" t="str">
        <f>IFERROR(VLOOKUP(A1424,'[2]UPDATE BILL 2018'!$B:$V,21,0),IFERROR(VLOOKUP(A1424,'[2]UPDATE BILL 2018'!$C:$V,20,0),IFERROR(VLOOKUP(A1424,'[2]UPDATE BILL 2018'!$D:$V,19,0),IFERROR(VLOOKUP(A1424,'[2]UPDATE BILL 2018'!$E:$V,18,0),IFERROR(VLOOKUP(A1424,'[2]UPDATE BILL 2018'!$F:$V,17,0),IFERROR(VLOOKUP(A1424,'[2]UPDATE BILL 2018'!$G:$V,16,0),IFERROR(VLOOKUP(A1424,'[2]UPDATE BILL 2018'!$H:$V,15,0),IFERROR(VLOOKUP(A1424,'[2]UPDATE BILL 2018'!$I:$V,14,0),VLOOKUP(A1424,'[2]UPDATE BILL 2018'!$B:$V,21,0)))))))))</f>
        <v>SITC TIANJIN 1823N</v>
      </c>
      <c r="AD1424" s="14" t="s">
        <v>49</v>
      </c>
      <c r="AE1424" s="24" t="s">
        <v>3622</v>
      </c>
      <c r="AF1424" s="25" t="str">
        <f t="shared" si="124"/>
        <v>VZ</v>
      </c>
      <c r="AG1424" t="e">
        <f t="shared" si="121"/>
        <v>#REF!</v>
      </c>
      <c r="AI1424" s="58"/>
    </row>
    <row r="1425" spans="1:35" ht="15.75" customHeight="1">
      <c r="A1425" s="6" t="s">
        <v>3613</v>
      </c>
      <c r="D1425" s="7">
        <f t="shared" si="125"/>
        <v>0</v>
      </c>
      <c r="E1425" s="7">
        <v>0</v>
      </c>
      <c r="F1425" s="5">
        <v>0</v>
      </c>
      <c r="G1425" s="7">
        <v>0</v>
      </c>
      <c r="H1425" s="5">
        <v>0</v>
      </c>
      <c r="I1425" s="7">
        <v>0</v>
      </c>
      <c r="J1425" s="7">
        <v>0</v>
      </c>
      <c r="K1425" s="5">
        <v>0</v>
      </c>
      <c r="L1425" s="5">
        <v>0</v>
      </c>
      <c r="M1425" s="5">
        <v>0</v>
      </c>
      <c r="N1425" s="7">
        <f t="shared" si="126"/>
        <v>0</v>
      </c>
      <c r="O1425" s="7">
        <v>0</v>
      </c>
      <c r="P1425" s="7">
        <v>0</v>
      </c>
      <c r="Q1425" s="5">
        <v>0</v>
      </c>
      <c r="R1425" s="5">
        <v>1342</v>
      </c>
      <c r="S1425" s="7">
        <v>171723.8</v>
      </c>
      <c r="T1425" s="12">
        <v>43335</v>
      </c>
      <c r="U1425" s="4">
        <v>6</v>
      </c>
      <c r="V1425" s="4">
        <v>9</v>
      </c>
      <c r="W1425" s="4">
        <v>9</v>
      </c>
      <c r="X1425" s="45">
        <f t="shared" si="127"/>
        <v>171723.8</v>
      </c>
      <c r="Y1425" s="14" t="s">
        <v>54</v>
      </c>
      <c r="Z1425" s="14" t="s">
        <v>1281</v>
      </c>
      <c r="AA1425" s="14" t="str">
        <f>IFERROR(VLOOKUP(A1425,'[2]UPDATE BILL 2018'!$B:$P,15,0),IFERROR(VLOOKUP(A1425,'[2]UPDATE BILL 2018'!$C:$P,14,0),IFERROR(VLOOKUP(A1425,'[2]UPDATE BILL 2018'!$D:$P,13,0),IFERROR(VLOOKUP(A1425,'[2]UPDATE BILL 2018'!$E:$P,12,0),IFERROR(VLOOKUP(A1425,'[2]UPDATE BILL 2018'!$F:$P,11,0),IFERROR(VLOOKUP(A1425,'[2]UPDATE BILL 2018'!$G:$P,10,0),IFERROR(VLOOKUP(A1425,'[2]UPDATE BILL 2018'!$H:$P,9,0),IFERROR(VLOOKUP(A1425,'[2]UPDATE BILL 2018'!$I:$P,8,0),VLOOKUP(A1425,'[2]UPDATE BILL 2018'!$B:$P,15,0)))))))))</f>
        <v>SITWHPOS175614</v>
      </c>
      <c r="AB1425" s="44">
        <f>IFERROR(VLOOKUP(A1425,'[2]UPDATE BILL 2018'!$B:$T,19,0),IFERROR(VLOOKUP(A1425,'[2]UPDATE BILL 2018'!$C:$T,18,0),IFERROR(VLOOKUP(A1425,'[2]UPDATE BILL 2018'!$D:$T,17,0),IFERROR(VLOOKUP(A1425,'[2]UPDATE BILL 2018'!$E:$T,16,0),IFERROR(VLOOKUP(A1425,'[2]UPDATE BILL 2018'!$F:$T,15,0),IFERROR(VLOOKUP(A1425,'[2]UPDATE BILL 2018'!$G:$T,14,0),IFERROR(VLOOKUP(A1425,'[2]UPDATE BILL 2018'!$H:$T,13,0),IFERROR(VLOOKUP(A1425,'[2]UPDATE BILL 2018'!$I:$T,12,0),VLOOKUP(A1425,'[2]UPDATE BILL 2018'!$B:$T,19,0)))))))))</f>
        <v>43338</v>
      </c>
      <c r="AC1425" s="44" t="str">
        <f>IFERROR(VLOOKUP(A1425,'[2]UPDATE BILL 2018'!$B:$V,21,0),IFERROR(VLOOKUP(A1425,'[2]UPDATE BILL 2018'!$C:$V,20,0),IFERROR(VLOOKUP(A1425,'[2]UPDATE BILL 2018'!$D:$V,19,0),IFERROR(VLOOKUP(A1425,'[2]UPDATE BILL 2018'!$E:$V,18,0),IFERROR(VLOOKUP(A1425,'[2]UPDATE BILL 2018'!$F:$V,17,0),IFERROR(VLOOKUP(A1425,'[2]UPDATE BILL 2018'!$G:$V,16,0),IFERROR(VLOOKUP(A1425,'[2]UPDATE BILL 2018'!$H:$V,15,0),IFERROR(VLOOKUP(A1425,'[2]UPDATE BILL 2018'!$I:$V,14,0),VLOOKUP(A1425,'[2]UPDATE BILL 2018'!$B:$V,21,0)))))))))</f>
        <v>RESURGENCE 1821N</v>
      </c>
      <c r="AD1425" s="14" t="s">
        <v>51</v>
      </c>
      <c r="AE1425" s="24" t="s">
        <v>3623</v>
      </c>
      <c r="AF1425" s="25" t="s">
        <v>2150</v>
      </c>
      <c r="AG1425" t="e">
        <f t="shared" si="121"/>
        <v>#N/A</v>
      </c>
      <c r="AI1425" s="58"/>
    </row>
    <row r="1426" spans="1:35" ht="15.75" customHeight="1">
      <c r="A1426" s="6" t="s">
        <v>3614</v>
      </c>
      <c r="D1426" s="7">
        <f t="shared" si="125"/>
        <v>0</v>
      </c>
      <c r="E1426" s="7">
        <v>0</v>
      </c>
      <c r="F1426" s="5">
        <v>0</v>
      </c>
      <c r="G1426" s="7">
        <v>0</v>
      </c>
      <c r="H1426" s="5">
        <v>0</v>
      </c>
      <c r="I1426" s="7">
        <v>0</v>
      </c>
      <c r="J1426" s="7">
        <v>0</v>
      </c>
      <c r="K1426" s="5">
        <v>0</v>
      </c>
      <c r="L1426" s="5">
        <v>0</v>
      </c>
      <c r="M1426" s="5">
        <v>0</v>
      </c>
      <c r="N1426" s="7">
        <f t="shared" si="126"/>
        <v>0</v>
      </c>
      <c r="O1426" s="7">
        <v>0</v>
      </c>
      <c r="P1426" s="7">
        <v>0</v>
      </c>
      <c r="Q1426" s="5">
        <v>0</v>
      </c>
      <c r="R1426" s="5">
        <v>245</v>
      </c>
      <c r="S1426" s="7">
        <v>65482</v>
      </c>
      <c r="T1426" s="12">
        <v>43335</v>
      </c>
      <c r="U1426" s="4">
        <v>3</v>
      </c>
      <c r="V1426" s="4">
        <v>9</v>
      </c>
      <c r="W1426" s="4">
        <v>9</v>
      </c>
      <c r="X1426" s="45">
        <f t="shared" si="127"/>
        <v>65482</v>
      </c>
      <c r="Y1426" s="14" t="s">
        <v>54</v>
      </c>
      <c r="Z1426" s="14" t="s">
        <v>1355</v>
      </c>
      <c r="AA1426" s="14" t="str">
        <f>IFERROR(VLOOKUP(A1426,'[2]UPDATE BILL 2018'!$B:$P,15,0),IFERROR(VLOOKUP(A1426,'[2]UPDATE BILL 2018'!$C:$P,14,0),IFERROR(VLOOKUP(A1426,'[2]UPDATE BILL 2018'!$D:$P,13,0),IFERROR(VLOOKUP(A1426,'[2]UPDATE BILL 2018'!$E:$P,12,0),IFERROR(VLOOKUP(A1426,'[2]UPDATE BILL 2018'!$F:$P,11,0),IFERROR(VLOOKUP(A1426,'[2]UPDATE BILL 2018'!$G:$P,10,0),IFERROR(VLOOKUP(A1426,'[2]UPDATE BILL 2018'!$H:$P,9,0),IFERROR(VLOOKUP(A1426,'[2]UPDATE BILL 2018'!$I:$P,8,0),VLOOKUP(A1426,'[2]UPDATE BILL 2018'!$B:$P,15,0)))))))))</f>
        <v>SITWHPKW175617</v>
      </c>
      <c r="AB1426" s="44">
        <f>IFERROR(VLOOKUP(A1426,'[2]UPDATE BILL 2018'!$B:$T,19,0),IFERROR(VLOOKUP(A1426,'[2]UPDATE BILL 2018'!$C:$T,18,0),IFERROR(VLOOKUP(A1426,'[2]UPDATE BILL 2018'!$D:$T,17,0),IFERROR(VLOOKUP(A1426,'[2]UPDATE BILL 2018'!$E:$T,16,0),IFERROR(VLOOKUP(A1426,'[2]UPDATE BILL 2018'!$F:$T,15,0),IFERROR(VLOOKUP(A1426,'[2]UPDATE BILL 2018'!$G:$T,14,0),IFERROR(VLOOKUP(A1426,'[2]UPDATE BILL 2018'!$H:$T,13,0),IFERROR(VLOOKUP(A1426,'[2]UPDATE BILL 2018'!$I:$T,12,0),VLOOKUP(A1426,'[2]UPDATE BILL 2018'!$B:$T,19,0)))))))))</f>
        <v>43339</v>
      </c>
      <c r="AC1426" s="44" t="str">
        <f>IFERROR(VLOOKUP(A1426,'[2]UPDATE BILL 2018'!$B:$V,21,0),IFERROR(VLOOKUP(A1426,'[2]UPDATE BILL 2018'!$C:$V,20,0),IFERROR(VLOOKUP(A1426,'[2]UPDATE BILL 2018'!$D:$V,19,0),IFERROR(VLOOKUP(A1426,'[2]UPDATE BILL 2018'!$E:$V,18,0),IFERROR(VLOOKUP(A1426,'[2]UPDATE BILL 2018'!$F:$V,17,0),IFERROR(VLOOKUP(A1426,'[2]UPDATE BILL 2018'!$G:$V,16,0),IFERROR(VLOOKUP(A1426,'[2]UPDATE BILL 2018'!$H:$V,15,0),IFERROR(VLOOKUP(A1426,'[2]UPDATE BILL 2018'!$I:$V,14,0),VLOOKUP(A1426,'[2]UPDATE BILL 2018'!$B:$V,21,0)))))))))</f>
        <v>SITC TIANJIN 1823N</v>
      </c>
      <c r="AD1426" s="14" t="s">
        <v>50</v>
      </c>
      <c r="AE1426" s="24" t="s">
        <v>3624</v>
      </c>
      <c r="AF1426" s="25" t="s">
        <v>2151</v>
      </c>
      <c r="AG1426" t="e">
        <f t="shared" si="121"/>
        <v>#N/A</v>
      </c>
      <c r="AI1426" s="58"/>
    </row>
    <row r="1427" spans="1:35" ht="15.75" customHeight="1">
      <c r="A1427" s="6" t="s">
        <v>3625</v>
      </c>
      <c r="B1427" s="5">
        <v>171</v>
      </c>
      <c r="C1427" s="7">
        <v>19296.419999999998</v>
      </c>
      <c r="D1427" s="7">
        <f t="shared" si="125"/>
        <v>0</v>
      </c>
      <c r="E1427" s="7">
        <v>0</v>
      </c>
      <c r="F1427" s="5">
        <v>0</v>
      </c>
      <c r="G1427" s="7">
        <v>0</v>
      </c>
      <c r="H1427" s="5">
        <v>5</v>
      </c>
      <c r="I1427" s="7">
        <v>416.85</v>
      </c>
      <c r="J1427" s="7">
        <v>0</v>
      </c>
      <c r="K1427" s="5">
        <v>0</v>
      </c>
      <c r="L1427" s="5">
        <v>0</v>
      </c>
      <c r="M1427" s="5">
        <v>20</v>
      </c>
      <c r="N1427" s="7">
        <f t="shared" si="126"/>
        <v>20</v>
      </c>
      <c r="O1427" s="7">
        <v>2602</v>
      </c>
      <c r="P1427" s="7">
        <v>0</v>
      </c>
      <c r="Q1427" s="5">
        <v>0</v>
      </c>
      <c r="S1427" s="7">
        <v>0</v>
      </c>
      <c r="T1427" s="12">
        <v>43336</v>
      </c>
      <c r="U1427" s="4">
        <v>2</v>
      </c>
      <c r="V1427" s="4">
        <v>9</v>
      </c>
      <c r="W1427" s="4">
        <v>9</v>
      </c>
      <c r="X1427" s="45">
        <f t="shared" si="127"/>
        <v>22315.269999999997</v>
      </c>
      <c r="Y1427" s="14" t="s">
        <v>1633</v>
      </c>
      <c r="Z1427" s="14" t="s">
        <v>1492</v>
      </c>
      <c r="AA1427" s="14" t="str">
        <f>IFERROR(VLOOKUP(A1427,'[2]UPDATE BILL 2018'!$B:$P,15,0),IFERROR(VLOOKUP(A1427,'[2]UPDATE BILL 2018'!$C:$P,14,0),IFERROR(VLOOKUP(A1427,'[2]UPDATE BILL 2018'!$D:$P,13,0),IFERROR(VLOOKUP(A1427,'[2]UPDATE BILL 2018'!$E:$P,12,0),IFERROR(VLOOKUP(A1427,'[2]UPDATE BILL 2018'!$F:$P,11,0),IFERROR(VLOOKUP(A1427,'[2]UPDATE BILL 2018'!$G:$P,10,0),IFERROR(VLOOKUP(A1427,'[2]UPDATE BILL 2018'!$H:$P,9,0),IFERROR(VLOOKUP(A1427,'[2]UPDATE BILL 2018'!$I:$P,8,0),VLOOKUP(A1427,'[2]UPDATE BILL 2018'!$B:$P,15,0)))))))))</f>
        <v>KMTCHPH0573953</v>
      </c>
      <c r="AB1427" s="44">
        <f>IFERROR(VLOOKUP(A1427,'[2]UPDATE BILL 2018'!$B:$T,19,0),IFERROR(VLOOKUP(A1427,'[2]UPDATE BILL 2018'!$C:$T,18,0),IFERROR(VLOOKUP(A1427,'[2]UPDATE BILL 2018'!$D:$T,17,0),IFERROR(VLOOKUP(A1427,'[2]UPDATE BILL 2018'!$E:$T,16,0),IFERROR(VLOOKUP(A1427,'[2]UPDATE BILL 2018'!$F:$T,15,0),IFERROR(VLOOKUP(A1427,'[2]UPDATE BILL 2018'!$G:$T,14,0),IFERROR(VLOOKUP(A1427,'[2]UPDATE BILL 2018'!$H:$T,13,0),IFERROR(VLOOKUP(A1427,'[2]UPDATE BILL 2018'!$I:$T,12,0),VLOOKUP(A1427,'[2]UPDATE BILL 2018'!$B:$T,19,0)))))))))</f>
        <v>43343</v>
      </c>
      <c r="AC1427" s="44" t="str">
        <f>IFERROR(VLOOKUP(A1427,'[2]UPDATE BILL 2018'!$B:$V,21,0),IFERROR(VLOOKUP(A1427,'[2]UPDATE BILL 2018'!$C:$V,20,0),IFERROR(VLOOKUP(A1427,'[2]UPDATE BILL 2018'!$D:$V,19,0),IFERROR(VLOOKUP(A1427,'[2]UPDATE BILL 2018'!$E:$V,18,0),IFERROR(VLOOKUP(A1427,'[2]UPDATE BILL 2018'!$F:$V,17,0),IFERROR(VLOOKUP(A1427,'[2]UPDATE BILL 2018'!$G:$V,16,0),IFERROR(VLOOKUP(A1427,'[2]UPDATE BILL 2018'!$H:$V,15,0),IFERROR(VLOOKUP(A1427,'[2]UPDATE BILL 2018'!$I:$V,14,0),VLOOKUP(A1427,'[2]UPDATE BILL 2018'!$B:$V,21,0)))))))))</f>
        <v>KOTA WANGSA 016N</v>
      </c>
      <c r="AD1427" s="14" t="s">
        <v>70</v>
      </c>
      <c r="AE1427" s="24" t="s">
        <v>3635</v>
      </c>
      <c r="AF1427" s="25" t="str">
        <f t="shared" ref="AF1427:AF1439" si="128">+LEFT(AE1427,2)</f>
        <v>VH</v>
      </c>
      <c r="AG1427" t="e">
        <f t="shared" si="121"/>
        <v>#REF!</v>
      </c>
      <c r="AI1427" s="58"/>
    </row>
    <row r="1428" spans="1:35" ht="15.75" customHeight="1">
      <c r="A1428" s="6" t="s">
        <v>3626</v>
      </c>
      <c r="B1428" s="5">
        <v>170</v>
      </c>
      <c r="C1428" s="7">
        <v>7967</v>
      </c>
      <c r="D1428" s="7">
        <f t="shared" si="125"/>
        <v>0</v>
      </c>
      <c r="E1428" s="7">
        <v>0</v>
      </c>
      <c r="F1428" s="5">
        <v>0</v>
      </c>
      <c r="G1428" s="7">
        <v>0</v>
      </c>
      <c r="H1428" s="5">
        <v>544</v>
      </c>
      <c r="I1428" s="7">
        <v>53640.520000000019</v>
      </c>
      <c r="J1428" s="7">
        <v>0</v>
      </c>
      <c r="K1428" s="5">
        <v>0</v>
      </c>
      <c r="L1428" s="5">
        <v>0</v>
      </c>
      <c r="M1428" s="5">
        <v>426</v>
      </c>
      <c r="N1428" s="7">
        <f t="shared" si="126"/>
        <v>426</v>
      </c>
      <c r="O1428" s="7">
        <v>14179.1</v>
      </c>
      <c r="P1428" s="7">
        <v>0</v>
      </c>
      <c r="Q1428" s="5">
        <v>0</v>
      </c>
      <c r="S1428" s="7">
        <v>0</v>
      </c>
      <c r="T1428" s="12">
        <v>43336</v>
      </c>
      <c r="U1428" s="4">
        <v>5</v>
      </c>
      <c r="V1428" s="4">
        <v>9</v>
      </c>
      <c r="W1428" s="4">
        <v>9</v>
      </c>
      <c r="X1428" s="45">
        <f t="shared" si="127"/>
        <v>75786.620000000024</v>
      </c>
      <c r="Y1428" s="14" t="s">
        <v>54</v>
      </c>
      <c r="Z1428" s="14" t="s">
        <v>2525</v>
      </c>
      <c r="AA1428" s="14" t="str">
        <f>IFERROR(VLOOKUP(A1428,'[2]UPDATE BILL 2018'!$B:$P,15,0),IFERROR(VLOOKUP(A1428,'[2]UPDATE BILL 2018'!$C:$P,14,0),IFERROR(VLOOKUP(A1428,'[2]UPDATE BILL 2018'!$D:$P,13,0),IFERROR(VLOOKUP(A1428,'[2]UPDATE BILL 2018'!$E:$P,12,0),IFERROR(VLOOKUP(A1428,'[2]UPDATE BILL 2018'!$F:$P,11,0),IFERROR(VLOOKUP(A1428,'[2]UPDATE BILL 2018'!$G:$P,10,0),IFERROR(VLOOKUP(A1428,'[2]UPDATE BILL 2018'!$H:$P,9,0),IFERROR(VLOOKUP(A1428,'[2]UPDATE BILL 2018'!$I:$P,8,0),VLOOKUP(A1428,'[2]UPDATE BILL 2018'!$B:$P,15,0)))))))))</f>
        <v>SITWHPTK175610</v>
      </c>
      <c r="AB1428" s="44">
        <f>IFERROR(VLOOKUP(A1428,'[2]UPDATE BILL 2018'!$B:$T,19,0),IFERROR(VLOOKUP(A1428,'[2]UPDATE BILL 2018'!$C:$T,18,0),IFERROR(VLOOKUP(A1428,'[2]UPDATE BILL 2018'!$D:$T,17,0),IFERROR(VLOOKUP(A1428,'[2]UPDATE BILL 2018'!$E:$T,16,0),IFERROR(VLOOKUP(A1428,'[2]UPDATE BILL 2018'!$F:$T,15,0),IFERROR(VLOOKUP(A1428,'[2]UPDATE BILL 2018'!$G:$T,14,0),IFERROR(VLOOKUP(A1428,'[2]UPDATE BILL 2018'!$H:$T,13,0),IFERROR(VLOOKUP(A1428,'[2]UPDATE BILL 2018'!$I:$T,12,0),VLOOKUP(A1428,'[2]UPDATE BILL 2018'!$B:$T,19,0)))))))))</f>
        <v>43339</v>
      </c>
      <c r="AC1428" s="44" t="str">
        <f>IFERROR(VLOOKUP(A1428,'[2]UPDATE BILL 2018'!$B:$V,21,0),IFERROR(VLOOKUP(A1428,'[2]UPDATE BILL 2018'!$C:$V,20,0),IFERROR(VLOOKUP(A1428,'[2]UPDATE BILL 2018'!$D:$V,19,0),IFERROR(VLOOKUP(A1428,'[2]UPDATE BILL 2018'!$E:$V,18,0),IFERROR(VLOOKUP(A1428,'[2]UPDATE BILL 2018'!$F:$V,17,0),IFERROR(VLOOKUP(A1428,'[2]UPDATE BILL 2018'!$G:$V,16,0),IFERROR(VLOOKUP(A1428,'[2]UPDATE BILL 2018'!$H:$V,15,0),IFERROR(VLOOKUP(A1428,'[2]UPDATE BILL 2018'!$I:$V,14,0),VLOOKUP(A1428,'[2]UPDATE BILL 2018'!$B:$V,21,0)))))))))</f>
        <v>SITC TIANJIN 1823N</v>
      </c>
      <c r="AD1428" s="14" t="s">
        <v>49</v>
      </c>
      <c r="AE1428" s="24" t="s">
        <v>3636</v>
      </c>
      <c r="AF1428" s="25" t="str">
        <f t="shared" si="128"/>
        <v>VK</v>
      </c>
      <c r="AG1428" t="e">
        <f t="shared" si="121"/>
        <v>#REF!</v>
      </c>
      <c r="AI1428" s="58"/>
    </row>
    <row r="1429" spans="1:35" ht="15.75" customHeight="1">
      <c r="A1429" s="6" t="s">
        <v>3627</v>
      </c>
      <c r="B1429" s="5">
        <v>65</v>
      </c>
      <c r="C1429" s="7">
        <v>7155.6499999999987</v>
      </c>
      <c r="D1429" s="7">
        <f t="shared" si="125"/>
        <v>0</v>
      </c>
      <c r="E1429" s="7">
        <v>0</v>
      </c>
      <c r="F1429" s="5">
        <v>0</v>
      </c>
      <c r="G1429" s="7">
        <v>0</v>
      </c>
      <c r="H1429" s="5">
        <v>130</v>
      </c>
      <c r="I1429" s="7">
        <v>11985.75</v>
      </c>
      <c r="J1429" s="7">
        <v>0</v>
      </c>
      <c r="K1429" s="5">
        <v>0</v>
      </c>
      <c r="L1429" s="5">
        <v>0</v>
      </c>
      <c r="M1429" s="5">
        <v>158</v>
      </c>
      <c r="N1429" s="7">
        <f t="shared" si="126"/>
        <v>158</v>
      </c>
      <c r="O1429" s="7">
        <v>13929.300000000001</v>
      </c>
      <c r="P1429" s="7">
        <v>0</v>
      </c>
      <c r="Q1429" s="5">
        <v>0</v>
      </c>
      <c r="R1429" s="5">
        <v>10</v>
      </c>
      <c r="S1429" s="7">
        <v>501</v>
      </c>
      <c r="T1429" s="12">
        <v>43336</v>
      </c>
      <c r="U1429" s="4">
        <v>3</v>
      </c>
      <c r="V1429" s="4">
        <v>9</v>
      </c>
      <c r="W1429" s="4">
        <v>9</v>
      </c>
      <c r="X1429" s="45">
        <f t="shared" si="127"/>
        <v>33571.699999999997</v>
      </c>
      <c r="Y1429" s="14" t="s">
        <v>54</v>
      </c>
      <c r="Z1429" s="14" t="s">
        <v>1355</v>
      </c>
      <c r="AA1429" s="14" t="str">
        <f>IFERROR(VLOOKUP(A1429,'[2]UPDATE BILL 2018'!$B:$P,15,0),IFERROR(VLOOKUP(A1429,'[2]UPDATE BILL 2018'!$C:$P,14,0),IFERROR(VLOOKUP(A1429,'[2]UPDATE BILL 2018'!$D:$P,13,0),IFERROR(VLOOKUP(A1429,'[2]UPDATE BILL 2018'!$E:$P,12,0),IFERROR(VLOOKUP(A1429,'[2]UPDATE BILL 2018'!$F:$P,11,0),IFERROR(VLOOKUP(A1429,'[2]UPDATE BILL 2018'!$G:$P,10,0),IFERROR(VLOOKUP(A1429,'[2]UPDATE BILL 2018'!$H:$P,9,0),IFERROR(VLOOKUP(A1429,'[2]UPDATE BILL 2018'!$I:$P,8,0),VLOOKUP(A1429,'[2]UPDATE BILL 2018'!$B:$P,15,0)))))))))</f>
        <v>SITWHPHT175613</v>
      </c>
      <c r="AB1429" s="44">
        <f>IFERROR(VLOOKUP(A1429,'[2]UPDATE BILL 2018'!$B:$T,19,0),IFERROR(VLOOKUP(A1429,'[2]UPDATE BILL 2018'!$C:$T,18,0),IFERROR(VLOOKUP(A1429,'[2]UPDATE BILL 2018'!$D:$T,17,0),IFERROR(VLOOKUP(A1429,'[2]UPDATE BILL 2018'!$E:$T,16,0),IFERROR(VLOOKUP(A1429,'[2]UPDATE BILL 2018'!$F:$T,15,0),IFERROR(VLOOKUP(A1429,'[2]UPDATE BILL 2018'!$G:$T,14,0),IFERROR(VLOOKUP(A1429,'[2]UPDATE BILL 2018'!$H:$T,13,0),IFERROR(VLOOKUP(A1429,'[2]UPDATE BILL 2018'!$I:$T,12,0),VLOOKUP(A1429,'[2]UPDATE BILL 2018'!$B:$T,19,0)))))))))</f>
        <v>43339</v>
      </c>
      <c r="AC1429" s="44" t="str">
        <f>IFERROR(VLOOKUP(A1429,'[2]UPDATE BILL 2018'!$B:$V,21,0),IFERROR(VLOOKUP(A1429,'[2]UPDATE BILL 2018'!$C:$V,20,0),IFERROR(VLOOKUP(A1429,'[2]UPDATE BILL 2018'!$D:$V,19,0),IFERROR(VLOOKUP(A1429,'[2]UPDATE BILL 2018'!$E:$V,18,0),IFERROR(VLOOKUP(A1429,'[2]UPDATE BILL 2018'!$F:$V,17,0),IFERROR(VLOOKUP(A1429,'[2]UPDATE BILL 2018'!$G:$V,16,0),IFERROR(VLOOKUP(A1429,'[2]UPDATE BILL 2018'!$H:$V,15,0),IFERROR(VLOOKUP(A1429,'[2]UPDATE BILL 2018'!$I:$V,14,0),VLOOKUP(A1429,'[2]UPDATE BILL 2018'!$B:$V,21,0)))))))))</f>
        <v>SITC YANTAI 1819N</v>
      </c>
      <c r="AD1429" s="14" t="s">
        <v>52</v>
      </c>
      <c r="AE1429" s="24" t="s">
        <v>3637</v>
      </c>
      <c r="AF1429" s="25" t="str">
        <f t="shared" si="128"/>
        <v>VQ</v>
      </c>
      <c r="AG1429" t="e">
        <f t="shared" si="121"/>
        <v>#REF!</v>
      </c>
      <c r="AI1429" s="58"/>
    </row>
    <row r="1430" spans="1:35" ht="15.75" customHeight="1">
      <c r="A1430" s="6" t="s">
        <v>3628</v>
      </c>
      <c r="B1430" s="5">
        <v>386</v>
      </c>
      <c r="C1430" s="7">
        <v>39045.040000000001</v>
      </c>
      <c r="D1430" s="7">
        <f t="shared" si="125"/>
        <v>0</v>
      </c>
      <c r="E1430" s="7">
        <v>0</v>
      </c>
      <c r="F1430" s="5">
        <v>0</v>
      </c>
      <c r="G1430" s="7">
        <v>0</v>
      </c>
      <c r="H1430" s="5">
        <v>261</v>
      </c>
      <c r="I1430" s="7">
        <v>24789.16</v>
      </c>
      <c r="J1430" s="7">
        <v>0</v>
      </c>
      <c r="K1430" s="5">
        <v>0</v>
      </c>
      <c r="L1430" s="5">
        <v>0</v>
      </c>
      <c r="M1430" s="5">
        <v>199</v>
      </c>
      <c r="N1430" s="7">
        <f t="shared" si="126"/>
        <v>199</v>
      </c>
      <c r="O1430" s="7">
        <v>21626.799999999999</v>
      </c>
      <c r="P1430" s="7">
        <v>0</v>
      </c>
      <c r="Q1430" s="5">
        <v>0</v>
      </c>
      <c r="R1430" s="5">
        <v>20</v>
      </c>
      <c r="S1430" s="7">
        <v>999.65</v>
      </c>
      <c r="T1430" s="12">
        <v>43336</v>
      </c>
      <c r="U1430" s="4">
        <v>7</v>
      </c>
      <c r="V1430" s="4">
        <v>9</v>
      </c>
      <c r="W1430" s="4">
        <v>9</v>
      </c>
      <c r="X1430" s="45">
        <f t="shared" si="127"/>
        <v>86460.65</v>
      </c>
      <c r="Y1430" s="14" t="s">
        <v>54</v>
      </c>
      <c r="Z1430" s="14" t="s">
        <v>1281</v>
      </c>
      <c r="AA1430" s="14" t="str">
        <f>IFERROR(VLOOKUP(A1430,'[2]UPDATE BILL 2018'!$B:$P,15,0),IFERROR(VLOOKUP(A1430,'[2]UPDATE BILL 2018'!$C:$P,14,0),IFERROR(VLOOKUP(A1430,'[2]UPDATE BILL 2018'!$D:$P,13,0),IFERROR(VLOOKUP(A1430,'[2]UPDATE BILL 2018'!$E:$P,12,0),IFERROR(VLOOKUP(A1430,'[2]UPDATE BILL 2018'!$F:$P,11,0),IFERROR(VLOOKUP(A1430,'[2]UPDATE BILL 2018'!$G:$P,10,0),IFERROR(VLOOKUP(A1430,'[2]UPDATE BILL 2018'!$H:$P,9,0),IFERROR(VLOOKUP(A1430,'[2]UPDATE BILL 2018'!$I:$P,8,0),VLOOKUP(A1430,'[2]UPDATE BILL 2018'!$B:$P,15,0)))))))))</f>
        <v>SITWHPOS176275</v>
      </c>
      <c r="AB1430" s="44">
        <f>IFERROR(VLOOKUP(A1430,'[2]UPDATE BILL 2018'!$B:$T,19,0),IFERROR(VLOOKUP(A1430,'[2]UPDATE BILL 2018'!$C:$T,18,0),IFERROR(VLOOKUP(A1430,'[2]UPDATE BILL 2018'!$D:$T,17,0),IFERROR(VLOOKUP(A1430,'[2]UPDATE BILL 2018'!$E:$T,16,0),IFERROR(VLOOKUP(A1430,'[2]UPDATE BILL 2018'!$F:$T,15,0),IFERROR(VLOOKUP(A1430,'[2]UPDATE BILL 2018'!$G:$T,14,0),IFERROR(VLOOKUP(A1430,'[2]UPDATE BILL 2018'!$H:$T,13,0),IFERROR(VLOOKUP(A1430,'[2]UPDATE BILL 2018'!$I:$T,12,0),VLOOKUP(A1430,'[2]UPDATE BILL 2018'!$B:$T,19,0)))))))))</f>
        <v>43339</v>
      </c>
      <c r="AC1430" s="44" t="str">
        <f>IFERROR(VLOOKUP(A1430,'[2]UPDATE BILL 2018'!$B:$V,21,0),IFERROR(VLOOKUP(A1430,'[2]UPDATE BILL 2018'!$C:$V,20,0),IFERROR(VLOOKUP(A1430,'[2]UPDATE BILL 2018'!$D:$V,19,0),IFERROR(VLOOKUP(A1430,'[2]UPDATE BILL 2018'!$E:$V,18,0),IFERROR(VLOOKUP(A1430,'[2]UPDATE BILL 2018'!$F:$V,17,0),IFERROR(VLOOKUP(A1430,'[2]UPDATE BILL 2018'!$G:$V,16,0),IFERROR(VLOOKUP(A1430,'[2]UPDATE BILL 2018'!$H:$V,15,0),IFERROR(VLOOKUP(A1430,'[2]UPDATE BILL 2018'!$I:$V,14,0),VLOOKUP(A1430,'[2]UPDATE BILL 2018'!$B:$V,21,0)))))))))</f>
        <v>SITC YANTAI 1819N</v>
      </c>
      <c r="AD1430" s="14" t="s">
        <v>51</v>
      </c>
      <c r="AE1430" s="24" t="s">
        <v>3638</v>
      </c>
      <c r="AF1430" s="25" t="str">
        <f t="shared" si="128"/>
        <v>VS</v>
      </c>
      <c r="AG1430" t="e">
        <f t="shared" si="121"/>
        <v>#REF!</v>
      </c>
      <c r="AI1430" s="58"/>
    </row>
    <row r="1431" spans="1:35" ht="15.75" customHeight="1">
      <c r="A1431" s="6" t="s">
        <v>3629</v>
      </c>
      <c r="B1431" s="5">
        <v>396</v>
      </c>
      <c r="C1431" s="7">
        <v>33589.47</v>
      </c>
      <c r="D1431" s="7">
        <f t="shared" si="125"/>
        <v>0</v>
      </c>
      <c r="E1431" s="7">
        <v>0</v>
      </c>
      <c r="F1431" s="5">
        <v>0</v>
      </c>
      <c r="G1431" s="7">
        <v>0</v>
      </c>
      <c r="H1431" s="5">
        <v>79</v>
      </c>
      <c r="I1431" s="7">
        <v>2010.3</v>
      </c>
      <c r="J1431" s="7">
        <v>0</v>
      </c>
      <c r="K1431" s="5">
        <v>0</v>
      </c>
      <c r="L1431" s="5">
        <v>0</v>
      </c>
      <c r="M1431" s="5">
        <v>2</v>
      </c>
      <c r="N1431" s="7">
        <f t="shared" si="126"/>
        <v>2</v>
      </c>
      <c r="O1431" s="7">
        <v>443.2</v>
      </c>
      <c r="P1431" s="7">
        <v>0</v>
      </c>
      <c r="Q1431" s="5">
        <v>0</v>
      </c>
      <c r="R1431" s="5">
        <v>17</v>
      </c>
      <c r="S1431" s="7">
        <v>1171.3000000000002</v>
      </c>
      <c r="T1431" s="12">
        <v>43336</v>
      </c>
      <c r="U1431" s="4">
        <v>3</v>
      </c>
      <c r="V1431" s="4">
        <v>9</v>
      </c>
      <c r="W1431" s="4">
        <v>9</v>
      </c>
      <c r="X1431" s="45">
        <f t="shared" si="127"/>
        <v>37214.270000000004</v>
      </c>
      <c r="Y1431" s="14" t="s">
        <v>85</v>
      </c>
      <c r="Z1431" s="14" t="s">
        <v>1492</v>
      </c>
      <c r="AA1431" s="14">
        <f>IFERROR(VLOOKUP(A1431,'[2]UPDATE BILL 2018'!$B:$P,15,0),IFERROR(VLOOKUP(A1431,'[2]UPDATE BILL 2018'!$C:$P,14,0),IFERROR(VLOOKUP(A1431,'[2]UPDATE BILL 2018'!$D:$P,13,0),IFERROR(VLOOKUP(A1431,'[2]UPDATE BILL 2018'!$E:$P,12,0),IFERROR(VLOOKUP(A1431,'[2]UPDATE BILL 2018'!$F:$P,11,0),IFERROR(VLOOKUP(A1431,'[2]UPDATE BILL 2018'!$G:$P,10,0),IFERROR(VLOOKUP(A1431,'[2]UPDATE BILL 2018'!$H:$P,9,0),IFERROR(VLOOKUP(A1431,'[2]UPDATE BILL 2018'!$I:$P,8,0),VLOOKUP(A1431,'[2]UPDATE BILL 2018'!$B:$P,15,0)))))))))</f>
        <v>350810098361</v>
      </c>
      <c r="AB1431" s="44">
        <f>IFERROR(VLOOKUP(A1431,'[2]UPDATE BILL 2018'!$B:$T,19,0),IFERROR(VLOOKUP(A1431,'[2]UPDATE BILL 2018'!$C:$T,18,0),IFERROR(VLOOKUP(A1431,'[2]UPDATE BILL 2018'!$D:$T,17,0),IFERROR(VLOOKUP(A1431,'[2]UPDATE BILL 2018'!$E:$T,16,0),IFERROR(VLOOKUP(A1431,'[2]UPDATE BILL 2018'!$F:$T,15,0),IFERROR(VLOOKUP(A1431,'[2]UPDATE BILL 2018'!$G:$T,14,0),IFERROR(VLOOKUP(A1431,'[2]UPDATE BILL 2018'!$H:$T,13,0),IFERROR(VLOOKUP(A1431,'[2]UPDATE BILL 2018'!$I:$T,12,0),VLOOKUP(A1431,'[2]UPDATE BILL 2018'!$B:$T,19,0)))))))))</f>
        <v>43339</v>
      </c>
      <c r="AC1431" s="44" t="str">
        <f>IFERROR(VLOOKUP(A1431,'[2]UPDATE BILL 2018'!$B:$V,21,0),IFERROR(VLOOKUP(A1431,'[2]UPDATE BILL 2018'!$C:$V,20,0),IFERROR(VLOOKUP(A1431,'[2]UPDATE BILL 2018'!$D:$V,19,0),IFERROR(VLOOKUP(A1431,'[2]UPDATE BILL 2018'!$E:$V,18,0),IFERROR(VLOOKUP(A1431,'[2]UPDATE BILL 2018'!$F:$V,17,0),IFERROR(VLOOKUP(A1431,'[2]UPDATE BILL 2018'!$G:$V,16,0),IFERROR(VLOOKUP(A1431,'[2]UPDATE BILL 2018'!$H:$V,15,0),IFERROR(VLOOKUP(A1431,'[2]UPDATE BILL 2018'!$I:$V,14,0),VLOOKUP(A1431,'[2]UPDATE BILL 2018'!$B:$V,21,0)))))))))</f>
        <v>HANSE ENDURANCE 18013N</v>
      </c>
      <c r="AD1431" s="14" t="s">
        <v>600</v>
      </c>
      <c r="AE1431" s="24">
        <v>2500000041820</v>
      </c>
      <c r="AF1431" s="25" t="s">
        <v>2373</v>
      </c>
      <c r="AG1431" t="e">
        <f t="shared" si="121"/>
        <v>#N/A</v>
      </c>
      <c r="AI1431" s="58"/>
    </row>
    <row r="1432" spans="1:35" ht="15.75" customHeight="1">
      <c r="A1432" s="6" t="s">
        <v>3630</v>
      </c>
      <c r="B1432" s="5">
        <v>79</v>
      </c>
      <c r="C1432" s="7">
        <v>13933.800000000003</v>
      </c>
      <c r="D1432" s="7">
        <f t="shared" si="125"/>
        <v>0</v>
      </c>
      <c r="E1432" s="7">
        <v>0</v>
      </c>
      <c r="F1432" s="5">
        <v>0</v>
      </c>
      <c r="G1432" s="7">
        <v>0</v>
      </c>
      <c r="H1432" s="5">
        <v>586</v>
      </c>
      <c r="I1432" s="7">
        <v>18419.3</v>
      </c>
      <c r="J1432" s="7">
        <v>0</v>
      </c>
      <c r="K1432" s="5">
        <v>0</v>
      </c>
      <c r="L1432" s="5">
        <v>0</v>
      </c>
      <c r="M1432" s="5">
        <v>282</v>
      </c>
      <c r="N1432" s="7">
        <f t="shared" si="126"/>
        <v>282</v>
      </c>
      <c r="O1432" s="7">
        <v>19198.399999999998</v>
      </c>
      <c r="P1432" s="7">
        <v>0</v>
      </c>
      <c r="Q1432" s="5">
        <v>0</v>
      </c>
      <c r="R1432" s="5">
        <v>167</v>
      </c>
      <c r="S1432" s="7">
        <v>8360.36</v>
      </c>
      <c r="T1432" s="12">
        <v>43336</v>
      </c>
      <c r="U1432" s="4">
        <v>5</v>
      </c>
      <c r="V1432" s="4">
        <v>9</v>
      </c>
      <c r="W1432" s="4">
        <v>9</v>
      </c>
      <c r="X1432" s="45">
        <f t="shared" si="127"/>
        <v>59911.86</v>
      </c>
      <c r="Y1432" s="14" t="s">
        <v>54</v>
      </c>
      <c r="Z1432" s="14" t="s">
        <v>59</v>
      </c>
      <c r="AA1432" s="14" t="str">
        <f>IFERROR(VLOOKUP(A1432,'[2]UPDATE BILL 2018'!$B:$P,15,0),IFERROR(VLOOKUP(A1432,'[2]UPDATE BILL 2018'!$C:$P,14,0),IFERROR(VLOOKUP(A1432,'[2]UPDATE BILL 2018'!$D:$P,13,0),IFERROR(VLOOKUP(A1432,'[2]UPDATE BILL 2018'!$E:$P,12,0),IFERROR(VLOOKUP(A1432,'[2]UPDATE BILL 2018'!$F:$P,11,0),IFERROR(VLOOKUP(A1432,'[2]UPDATE BILL 2018'!$G:$P,10,0),IFERROR(VLOOKUP(A1432,'[2]UPDATE BILL 2018'!$H:$P,9,0),IFERROR(VLOOKUP(A1432,'[2]UPDATE BILL 2018'!$I:$P,8,0),VLOOKUP(A1432,'[2]UPDATE BILL 2018'!$B:$P,15,0)))))))))</f>
        <v>SITWHPKW175617</v>
      </c>
      <c r="AB1432" s="44">
        <f>IFERROR(VLOOKUP(A1432,'[2]UPDATE BILL 2018'!$B:$T,19,0),IFERROR(VLOOKUP(A1432,'[2]UPDATE BILL 2018'!$C:$T,18,0),IFERROR(VLOOKUP(A1432,'[2]UPDATE BILL 2018'!$D:$T,17,0),IFERROR(VLOOKUP(A1432,'[2]UPDATE BILL 2018'!$E:$T,16,0),IFERROR(VLOOKUP(A1432,'[2]UPDATE BILL 2018'!$F:$T,15,0),IFERROR(VLOOKUP(A1432,'[2]UPDATE BILL 2018'!$G:$T,14,0),IFERROR(VLOOKUP(A1432,'[2]UPDATE BILL 2018'!$H:$T,13,0),IFERROR(VLOOKUP(A1432,'[2]UPDATE BILL 2018'!$I:$T,12,0),VLOOKUP(A1432,'[2]UPDATE BILL 2018'!$B:$T,19,0)))))))))</f>
        <v>43339</v>
      </c>
      <c r="AC1432" s="44" t="str">
        <f>IFERROR(VLOOKUP(A1432,'[2]UPDATE BILL 2018'!$B:$V,21,0),IFERROR(VLOOKUP(A1432,'[2]UPDATE BILL 2018'!$C:$V,20,0),IFERROR(VLOOKUP(A1432,'[2]UPDATE BILL 2018'!$D:$V,19,0),IFERROR(VLOOKUP(A1432,'[2]UPDATE BILL 2018'!$E:$V,18,0),IFERROR(VLOOKUP(A1432,'[2]UPDATE BILL 2018'!$F:$V,17,0),IFERROR(VLOOKUP(A1432,'[2]UPDATE BILL 2018'!$G:$V,16,0),IFERROR(VLOOKUP(A1432,'[2]UPDATE BILL 2018'!$H:$V,15,0),IFERROR(VLOOKUP(A1432,'[2]UPDATE BILL 2018'!$I:$V,14,0),VLOOKUP(A1432,'[2]UPDATE BILL 2018'!$B:$V,21,0)))))))))</f>
        <v>SITC TIANJIN 1823N</v>
      </c>
      <c r="AD1432" s="14" t="s">
        <v>50</v>
      </c>
      <c r="AE1432" s="24" t="s">
        <v>3639</v>
      </c>
      <c r="AF1432" s="25" t="str">
        <f t="shared" si="128"/>
        <v>VW</v>
      </c>
      <c r="AG1432" t="e">
        <f t="shared" si="121"/>
        <v>#REF!</v>
      </c>
      <c r="AI1432" s="58"/>
    </row>
    <row r="1433" spans="1:35" ht="15.75" customHeight="1">
      <c r="A1433" s="6" t="s">
        <v>3631</v>
      </c>
      <c r="D1433" s="7">
        <f t="shared" si="125"/>
        <v>0</v>
      </c>
      <c r="E1433" s="7">
        <v>0</v>
      </c>
      <c r="F1433" s="5">
        <v>0</v>
      </c>
      <c r="G1433" s="7">
        <v>0</v>
      </c>
      <c r="H1433" s="5">
        <v>0</v>
      </c>
      <c r="I1433" s="7">
        <v>0</v>
      </c>
      <c r="J1433" s="7">
        <v>0</v>
      </c>
      <c r="K1433" s="5">
        <v>0</v>
      </c>
      <c r="L1433" s="5">
        <v>0</v>
      </c>
      <c r="M1433" s="5">
        <v>0</v>
      </c>
      <c r="N1433" s="7">
        <f t="shared" si="126"/>
        <v>0</v>
      </c>
      <c r="O1433" s="7">
        <v>0</v>
      </c>
      <c r="P1433" s="7">
        <v>0</v>
      </c>
      <c r="Q1433" s="5">
        <v>0</v>
      </c>
      <c r="R1433" s="5">
        <v>766</v>
      </c>
      <c r="S1433" s="7">
        <v>96217.1</v>
      </c>
      <c r="T1433" s="12">
        <v>43336</v>
      </c>
      <c r="U1433" s="4">
        <v>3</v>
      </c>
      <c r="V1433" s="4">
        <v>9</v>
      </c>
      <c r="W1433" s="4">
        <v>9</v>
      </c>
      <c r="X1433" s="45">
        <f t="shared" si="127"/>
        <v>96217.1</v>
      </c>
      <c r="Y1433" s="14" t="s">
        <v>54</v>
      </c>
      <c r="Z1433" s="14" t="s">
        <v>59</v>
      </c>
      <c r="AA1433" s="14" t="str">
        <f>IFERROR(VLOOKUP(A1433,'[2]UPDATE BILL 2018'!$B:$P,15,0),IFERROR(VLOOKUP(A1433,'[2]UPDATE BILL 2018'!$C:$P,14,0),IFERROR(VLOOKUP(A1433,'[2]UPDATE BILL 2018'!$D:$P,13,0),IFERROR(VLOOKUP(A1433,'[2]UPDATE BILL 2018'!$E:$P,12,0),IFERROR(VLOOKUP(A1433,'[2]UPDATE BILL 2018'!$F:$P,11,0),IFERROR(VLOOKUP(A1433,'[2]UPDATE BILL 2018'!$G:$P,10,0),IFERROR(VLOOKUP(A1433,'[2]UPDATE BILL 2018'!$H:$P,9,0),IFERROR(VLOOKUP(A1433,'[2]UPDATE BILL 2018'!$I:$P,8,0),VLOOKUP(A1433,'[2]UPDATE BILL 2018'!$B:$P,15,0)))))))))</f>
        <v>SITWHPTK175610</v>
      </c>
      <c r="AB1433" s="44">
        <f>IFERROR(VLOOKUP(A1433,'[2]UPDATE BILL 2018'!$B:$T,19,0),IFERROR(VLOOKUP(A1433,'[2]UPDATE BILL 2018'!$C:$T,18,0),IFERROR(VLOOKUP(A1433,'[2]UPDATE BILL 2018'!$D:$T,17,0),IFERROR(VLOOKUP(A1433,'[2]UPDATE BILL 2018'!$E:$T,16,0),IFERROR(VLOOKUP(A1433,'[2]UPDATE BILL 2018'!$F:$T,15,0),IFERROR(VLOOKUP(A1433,'[2]UPDATE BILL 2018'!$G:$T,14,0),IFERROR(VLOOKUP(A1433,'[2]UPDATE BILL 2018'!$H:$T,13,0),IFERROR(VLOOKUP(A1433,'[2]UPDATE BILL 2018'!$I:$T,12,0),VLOOKUP(A1433,'[2]UPDATE BILL 2018'!$B:$T,19,0)))))))))</f>
        <v>43339</v>
      </c>
      <c r="AC1433" s="44" t="str">
        <f>IFERROR(VLOOKUP(A1433,'[2]UPDATE BILL 2018'!$B:$V,21,0),IFERROR(VLOOKUP(A1433,'[2]UPDATE BILL 2018'!$C:$V,20,0),IFERROR(VLOOKUP(A1433,'[2]UPDATE BILL 2018'!$D:$V,19,0),IFERROR(VLOOKUP(A1433,'[2]UPDATE BILL 2018'!$E:$V,18,0),IFERROR(VLOOKUP(A1433,'[2]UPDATE BILL 2018'!$F:$V,17,0),IFERROR(VLOOKUP(A1433,'[2]UPDATE BILL 2018'!$G:$V,16,0),IFERROR(VLOOKUP(A1433,'[2]UPDATE BILL 2018'!$H:$V,15,0),IFERROR(VLOOKUP(A1433,'[2]UPDATE BILL 2018'!$I:$V,14,0),VLOOKUP(A1433,'[2]UPDATE BILL 2018'!$B:$V,21,0)))))))))</f>
        <v>SITC TIANJIN 1823N</v>
      </c>
      <c r="AD1433" s="14" t="s">
        <v>49</v>
      </c>
      <c r="AE1433" s="24" t="s">
        <v>3640</v>
      </c>
      <c r="AF1433" s="25" t="s">
        <v>2175</v>
      </c>
      <c r="AG1433" t="e">
        <f t="shared" si="121"/>
        <v>#N/A</v>
      </c>
      <c r="AI1433" s="58"/>
    </row>
    <row r="1434" spans="1:35" ht="15.75" customHeight="1">
      <c r="A1434" s="6" t="s">
        <v>3632</v>
      </c>
      <c r="D1434" s="7">
        <f t="shared" si="125"/>
        <v>0</v>
      </c>
      <c r="E1434" s="7">
        <v>0</v>
      </c>
      <c r="F1434" s="5">
        <v>0</v>
      </c>
      <c r="G1434" s="7">
        <v>0</v>
      </c>
      <c r="H1434" s="5">
        <v>0</v>
      </c>
      <c r="I1434" s="7">
        <v>0</v>
      </c>
      <c r="J1434" s="7">
        <v>0</v>
      </c>
      <c r="K1434" s="5">
        <v>0</v>
      </c>
      <c r="L1434" s="5">
        <v>0</v>
      </c>
      <c r="M1434" s="5">
        <v>0</v>
      </c>
      <c r="N1434" s="7">
        <f t="shared" si="126"/>
        <v>0</v>
      </c>
      <c r="O1434" s="7">
        <v>0</v>
      </c>
      <c r="P1434" s="7">
        <v>0</v>
      </c>
      <c r="Q1434" s="5">
        <v>0</v>
      </c>
      <c r="R1434" s="5">
        <v>283</v>
      </c>
      <c r="S1434" s="7">
        <v>45219.3</v>
      </c>
      <c r="T1434" s="12">
        <v>43336</v>
      </c>
      <c r="U1434" s="4">
        <v>2</v>
      </c>
      <c r="V1434" s="4">
        <v>9</v>
      </c>
      <c r="W1434" s="4">
        <v>9</v>
      </c>
      <c r="X1434" s="45">
        <f t="shared" si="127"/>
        <v>45219.3</v>
      </c>
      <c r="Y1434" s="14" t="s">
        <v>54</v>
      </c>
      <c r="Z1434" s="14" t="s">
        <v>1355</v>
      </c>
      <c r="AA1434" s="14" t="str">
        <f>IFERROR(VLOOKUP(A1434,'[2]UPDATE BILL 2018'!$B:$P,15,0),IFERROR(VLOOKUP(A1434,'[2]UPDATE BILL 2018'!$C:$P,14,0),IFERROR(VLOOKUP(A1434,'[2]UPDATE BILL 2018'!$D:$P,13,0),IFERROR(VLOOKUP(A1434,'[2]UPDATE BILL 2018'!$E:$P,12,0),IFERROR(VLOOKUP(A1434,'[2]UPDATE BILL 2018'!$F:$P,11,0),IFERROR(VLOOKUP(A1434,'[2]UPDATE BILL 2018'!$G:$P,10,0),IFERROR(VLOOKUP(A1434,'[2]UPDATE BILL 2018'!$H:$P,9,0),IFERROR(VLOOKUP(A1434,'[2]UPDATE BILL 2018'!$I:$P,8,0),VLOOKUP(A1434,'[2]UPDATE BILL 2018'!$B:$P,15,0)))))))))</f>
        <v>SITWHPHT175613</v>
      </c>
      <c r="AB1434" s="44">
        <f>IFERROR(VLOOKUP(A1434,'[2]UPDATE BILL 2018'!$B:$T,19,0),IFERROR(VLOOKUP(A1434,'[2]UPDATE BILL 2018'!$C:$T,18,0),IFERROR(VLOOKUP(A1434,'[2]UPDATE BILL 2018'!$D:$T,17,0),IFERROR(VLOOKUP(A1434,'[2]UPDATE BILL 2018'!$E:$T,16,0),IFERROR(VLOOKUP(A1434,'[2]UPDATE BILL 2018'!$F:$T,15,0),IFERROR(VLOOKUP(A1434,'[2]UPDATE BILL 2018'!$G:$T,14,0),IFERROR(VLOOKUP(A1434,'[2]UPDATE BILL 2018'!$H:$T,13,0),IFERROR(VLOOKUP(A1434,'[2]UPDATE BILL 2018'!$I:$T,12,0),VLOOKUP(A1434,'[2]UPDATE BILL 2018'!$B:$T,19,0)))))))))</f>
        <v>43339</v>
      </c>
      <c r="AC1434" s="44" t="str">
        <f>IFERROR(VLOOKUP(A1434,'[2]UPDATE BILL 2018'!$B:$V,21,0),IFERROR(VLOOKUP(A1434,'[2]UPDATE BILL 2018'!$C:$V,20,0),IFERROR(VLOOKUP(A1434,'[2]UPDATE BILL 2018'!$D:$V,19,0),IFERROR(VLOOKUP(A1434,'[2]UPDATE BILL 2018'!$E:$V,18,0),IFERROR(VLOOKUP(A1434,'[2]UPDATE BILL 2018'!$F:$V,17,0),IFERROR(VLOOKUP(A1434,'[2]UPDATE BILL 2018'!$G:$V,16,0),IFERROR(VLOOKUP(A1434,'[2]UPDATE BILL 2018'!$H:$V,15,0),IFERROR(VLOOKUP(A1434,'[2]UPDATE BILL 2018'!$I:$V,14,0),VLOOKUP(A1434,'[2]UPDATE BILL 2018'!$B:$V,21,0)))))))))</f>
        <v>SITC YANTAI 1819N</v>
      </c>
      <c r="AD1434" s="14" t="s">
        <v>52</v>
      </c>
      <c r="AE1434" s="24" t="s">
        <v>3641</v>
      </c>
      <c r="AF1434" s="25" t="s">
        <v>2173</v>
      </c>
      <c r="AG1434" t="e">
        <f t="shared" si="121"/>
        <v>#N/A</v>
      </c>
      <c r="AI1434" s="58"/>
    </row>
    <row r="1435" spans="1:35" ht="15.75" customHeight="1">
      <c r="A1435" s="6" t="s">
        <v>3633</v>
      </c>
      <c r="D1435" s="7">
        <f t="shared" si="125"/>
        <v>0</v>
      </c>
      <c r="E1435" s="7">
        <v>0</v>
      </c>
      <c r="F1435" s="5">
        <v>0</v>
      </c>
      <c r="G1435" s="7">
        <v>0</v>
      </c>
      <c r="H1435" s="5">
        <v>0</v>
      </c>
      <c r="I1435" s="7">
        <v>0</v>
      </c>
      <c r="J1435" s="7">
        <v>0</v>
      </c>
      <c r="K1435" s="5">
        <v>0</v>
      </c>
      <c r="L1435" s="5">
        <v>0</v>
      </c>
      <c r="M1435" s="5">
        <v>0</v>
      </c>
      <c r="N1435" s="7">
        <f t="shared" si="126"/>
        <v>0</v>
      </c>
      <c r="O1435" s="7">
        <v>0</v>
      </c>
      <c r="P1435" s="7">
        <v>0</v>
      </c>
      <c r="Q1435" s="5">
        <v>0</v>
      </c>
      <c r="R1435" s="5">
        <v>352</v>
      </c>
      <c r="S1435" s="7">
        <v>81018</v>
      </c>
      <c r="T1435" s="12">
        <v>43336</v>
      </c>
      <c r="U1435" s="4">
        <v>4</v>
      </c>
      <c r="V1435" s="4">
        <v>9</v>
      </c>
      <c r="W1435" s="4">
        <v>9</v>
      </c>
      <c r="X1435" s="45">
        <f t="shared" si="127"/>
        <v>81018</v>
      </c>
      <c r="Y1435" s="14" t="s">
        <v>54</v>
      </c>
      <c r="Z1435" s="14" t="s">
        <v>1281</v>
      </c>
      <c r="AA1435" s="14" t="str">
        <f>IFERROR(VLOOKUP(A1435,'[2]UPDATE BILL 2018'!$B:$P,15,0),IFERROR(VLOOKUP(A1435,'[2]UPDATE BILL 2018'!$C:$P,14,0),IFERROR(VLOOKUP(A1435,'[2]UPDATE BILL 2018'!$D:$P,13,0),IFERROR(VLOOKUP(A1435,'[2]UPDATE BILL 2018'!$E:$P,12,0),IFERROR(VLOOKUP(A1435,'[2]UPDATE BILL 2018'!$F:$P,11,0),IFERROR(VLOOKUP(A1435,'[2]UPDATE BILL 2018'!$G:$P,10,0),IFERROR(VLOOKUP(A1435,'[2]UPDATE BILL 2018'!$H:$P,9,0),IFERROR(VLOOKUP(A1435,'[2]UPDATE BILL 2018'!$I:$P,8,0),VLOOKUP(A1435,'[2]UPDATE BILL 2018'!$B:$P,15,0)))))))))</f>
        <v>SITWHPOS175614</v>
      </c>
      <c r="AB1435" s="44">
        <f>IFERROR(VLOOKUP(A1435,'[2]UPDATE BILL 2018'!$B:$T,19,0),IFERROR(VLOOKUP(A1435,'[2]UPDATE BILL 2018'!$C:$T,18,0),IFERROR(VLOOKUP(A1435,'[2]UPDATE BILL 2018'!$D:$T,17,0),IFERROR(VLOOKUP(A1435,'[2]UPDATE BILL 2018'!$E:$T,16,0),IFERROR(VLOOKUP(A1435,'[2]UPDATE BILL 2018'!$F:$T,15,0),IFERROR(VLOOKUP(A1435,'[2]UPDATE BILL 2018'!$G:$T,14,0),IFERROR(VLOOKUP(A1435,'[2]UPDATE BILL 2018'!$H:$T,13,0),IFERROR(VLOOKUP(A1435,'[2]UPDATE BILL 2018'!$I:$T,12,0),VLOOKUP(A1435,'[2]UPDATE BILL 2018'!$B:$T,19,0)))))))))</f>
        <v>43338</v>
      </c>
      <c r="AC1435" s="44" t="str">
        <f>IFERROR(VLOOKUP(A1435,'[2]UPDATE BILL 2018'!$B:$V,21,0),IFERROR(VLOOKUP(A1435,'[2]UPDATE BILL 2018'!$C:$V,20,0),IFERROR(VLOOKUP(A1435,'[2]UPDATE BILL 2018'!$D:$V,19,0),IFERROR(VLOOKUP(A1435,'[2]UPDATE BILL 2018'!$E:$V,18,0),IFERROR(VLOOKUP(A1435,'[2]UPDATE BILL 2018'!$F:$V,17,0),IFERROR(VLOOKUP(A1435,'[2]UPDATE BILL 2018'!$G:$V,16,0),IFERROR(VLOOKUP(A1435,'[2]UPDATE BILL 2018'!$H:$V,15,0),IFERROR(VLOOKUP(A1435,'[2]UPDATE BILL 2018'!$I:$V,14,0),VLOOKUP(A1435,'[2]UPDATE BILL 2018'!$B:$V,21,0)))))))))</f>
        <v>RESURGENCE 1821N</v>
      </c>
      <c r="AD1435" s="14" t="s">
        <v>51</v>
      </c>
      <c r="AE1435" s="24" t="s">
        <v>3642</v>
      </c>
      <c r="AF1435" s="25" t="s">
        <v>2150</v>
      </c>
      <c r="AG1435" t="e">
        <f t="shared" si="121"/>
        <v>#N/A</v>
      </c>
      <c r="AI1435" s="58"/>
    </row>
    <row r="1436" spans="1:35" ht="15.75" customHeight="1">
      <c r="A1436" s="6" t="s">
        <v>3634</v>
      </c>
      <c r="D1436" s="7">
        <f t="shared" si="125"/>
        <v>0</v>
      </c>
      <c r="E1436" s="7">
        <v>0</v>
      </c>
      <c r="F1436" s="5">
        <v>0</v>
      </c>
      <c r="G1436" s="7">
        <v>0</v>
      </c>
      <c r="H1436" s="5">
        <v>0</v>
      </c>
      <c r="I1436" s="7">
        <v>0</v>
      </c>
      <c r="J1436" s="7">
        <v>0</v>
      </c>
      <c r="K1436" s="5">
        <v>0</v>
      </c>
      <c r="L1436" s="5">
        <v>0</v>
      </c>
      <c r="M1436" s="5">
        <v>0</v>
      </c>
      <c r="N1436" s="7">
        <f t="shared" si="126"/>
        <v>0</v>
      </c>
      <c r="O1436" s="7">
        <v>0</v>
      </c>
      <c r="P1436" s="7">
        <v>0</v>
      </c>
      <c r="Q1436" s="5">
        <v>0</v>
      </c>
      <c r="R1436" s="5">
        <v>445</v>
      </c>
      <c r="S1436" s="7">
        <v>71878.100000000006</v>
      </c>
      <c r="T1436" s="12">
        <v>43336</v>
      </c>
      <c r="U1436" s="4">
        <v>3</v>
      </c>
      <c r="V1436" s="4">
        <v>9</v>
      </c>
      <c r="W1436" s="4">
        <v>9</v>
      </c>
      <c r="X1436" s="45">
        <f t="shared" si="127"/>
        <v>71878.100000000006</v>
      </c>
      <c r="Y1436" s="14" t="s">
        <v>54</v>
      </c>
      <c r="Z1436" s="14" t="s">
        <v>1355</v>
      </c>
      <c r="AA1436" s="14" t="str">
        <f>IFERROR(VLOOKUP(A1436,'[2]UPDATE BILL 2018'!$B:$P,15,0),IFERROR(VLOOKUP(A1436,'[2]UPDATE BILL 2018'!$C:$P,14,0),IFERROR(VLOOKUP(A1436,'[2]UPDATE BILL 2018'!$D:$P,13,0),IFERROR(VLOOKUP(A1436,'[2]UPDATE BILL 2018'!$E:$P,12,0),IFERROR(VLOOKUP(A1436,'[2]UPDATE BILL 2018'!$F:$P,11,0),IFERROR(VLOOKUP(A1436,'[2]UPDATE BILL 2018'!$G:$P,10,0),IFERROR(VLOOKUP(A1436,'[2]UPDATE BILL 2018'!$H:$P,9,0),IFERROR(VLOOKUP(A1436,'[2]UPDATE BILL 2018'!$I:$P,8,0),VLOOKUP(A1436,'[2]UPDATE BILL 2018'!$B:$P,15,0)))))))))</f>
        <v>SITWHPKW175617</v>
      </c>
      <c r="AB1436" s="44">
        <f>IFERROR(VLOOKUP(A1436,'[2]UPDATE BILL 2018'!$B:$T,19,0),IFERROR(VLOOKUP(A1436,'[2]UPDATE BILL 2018'!$C:$T,18,0),IFERROR(VLOOKUP(A1436,'[2]UPDATE BILL 2018'!$D:$T,17,0),IFERROR(VLOOKUP(A1436,'[2]UPDATE BILL 2018'!$E:$T,16,0),IFERROR(VLOOKUP(A1436,'[2]UPDATE BILL 2018'!$F:$T,15,0),IFERROR(VLOOKUP(A1436,'[2]UPDATE BILL 2018'!$G:$T,14,0),IFERROR(VLOOKUP(A1436,'[2]UPDATE BILL 2018'!$H:$T,13,0),IFERROR(VLOOKUP(A1436,'[2]UPDATE BILL 2018'!$I:$T,12,0),VLOOKUP(A1436,'[2]UPDATE BILL 2018'!$B:$T,19,0)))))))))</f>
        <v>43339</v>
      </c>
      <c r="AC1436" s="44" t="str">
        <f>IFERROR(VLOOKUP(A1436,'[2]UPDATE BILL 2018'!$B:$V,21,0),IFERROR(VLOOKUP(A1436,'[2]UPDATE BILL 2018'!$C:$V,20,0),IFERROR(VLOOKUP(A1436,'[2]UPDATE BILL 2018'!$D:$V,19,0),IFERROR(VLOOKUP(A1436,'[2]UPDATE BILL 2018'!$E:$V,18,0),IFERROR(VLOOKUP(A1436,'[2]UPDATE BILL 2018'!$F:$V,17,0),IFERROR(VLOOKUP(A1436,'[2]UPDATE BILL 2018'!$G:$V,16,0),IFERROR(VLOOKUP(A1436,'[2]UPDATE BILL 2018'!$H:$V,15,0),IFERROR(VLOOKUP(A1436,'[2]UPDATE BILL 2018'!$I:$V,14,0),VLOOKUP(A1436,'[2]UPDATE BILL 2018'!$B:$V,21,0)))))))))</f>
        <v>SITC TIANJIN 1823N</v>
      </c>
      <c r="AD1436" s="14" t="s">
        <v>50</v>
      </c>
      <c r="AE1436" s="24" t="s">
        <v>3643</v>
      </c>
      <c r="AF1436" s="25" t="s">
        <v>2151</v>
      </c>
      <c r="AG1436" t="e">
        <f t="shared" si="121"/>
        <v>#N/A</v>
      </c>
      <c r="AI1436" s="58"/>
    </row>
    <row r="1437" spans="1:35" ht="15.75" customHeight="1">
      <c r="A1437" s="6" t="s">
        <v>3644</v>
      </c>
      <c r="D1437" s="7">
        <f t="shared" si="125"/>
        <v>0</v>
      </c>
      <c r="E1437" s="7">
        <v>0</v>
      </c>
      <c r="F1437" s="5">
        <v>0</v>
      </c>
      <c r="G1437" s="7">
        <v>0</v>
      </c>
      <c r="H1437" s="5">
        <v>760</v>
      </c>
      <c r="I1437" s="7">
        <v>88182.500000000015</v>
      </c>
      <c r="J1437" s="7">
        <v>0</v>
      </c>
      <c r="K1437" s="5">
        <v>0</v>
      </c>
      <c r="L1437" s="5">
        <v>0</v>
      </c>
      <c r="M1437" s="5">
        <v>0</v>
      </c>
      <c r="N1437" s="7">
        <f t="shared" si="126"/>
        <v>0</v>
      </c>
      <c r="O1437" s="7">
        <v>0</v>
      </c>
      <c r="P1437" s="7">
        <v>0</v>
      </c>
      <c r="Q1437" s="5">
        <v>0</v>
      </c>
      <c r="S1437" s="7">
        <v>0</v>
      </c>
      <c r="T1437" s="12">
        <v>43337</v>
      </c>
      <c r="U1437" s="4">
        <v>7</v>
      </c>
      <c r="V1437" s="4">
        <v>9</v>
      </c>
      <c r="W1437" s="4">
        <v>9</v>
      </c>
      <c r="X1437" s="45">
        <f t="shared" si="127"/>
        <v>88182.500000000015</v>
      </c>
      <c r="Y1437" s="14" t="s">
        <v>56</v>
      </c>
      <c r="Z1437" s="14" t="s">
        <v>3376</v>
      </c>
      <c r="AA1437" s="14" t="str">
        <f>IFERROR(VLOOKUP(A1437,'[2]UPDATE BILL 2018'!$B:$P,15,0),IFERROR(VLOOKUP(A1437,'[2]UPDATE BILL 2018'!$C:$P,14,0),IFERROR(VLOOKUP(A1437,'[2]UPDATE BILL 2018'!$D:$P,13,0),IFERROR(VLOOKUP(A1437,'[2]UPDATE BILL 2018'!$E:$P,12,0),IFERROR(VLOOKUP(A1437,'[2]UPDATE BILL 2018'!$F:$P,11,0),IFERROR(VLOOKUP(A1437,'[2]UPDATE BILL 2018'!$G:$P,10,0),IFERROR(VLOOKUP(A1437,'[2]UPDATE BILL 2018'!$H:$P,9,0),IFERROR(VLOOKUP(A1437,'[2]UPDATE BILL 2018'!$I:$P,8,0),VLOOKUP(A1437,'[2]UPDATE BILL 2018'!$B:$P,15,0)))))))))</f>
        <v>1008X04882</v>
      </c>
      <c r="AB1437" s="44">
        <f>IFERROR(VLOOKUP(A1437,'[2]UPDATE BILL 2018'!$B:$T,19,0),IFERROR(VLOOKUP(A1437,'[2]UPDATE BILL 2018'!$C:$T,18,0),IFERROR(VLOOKUP(A1437,'[2]UPDATE BILL 2018'!$D:$T,17,0),IFERROR(VLOOKUP(A1437,'[2]UPDATE BILL 2018'!$E:$T,16,0),IFERROR(VLOOKUP(A1437,'[2]UPDATE BILL 2018'!$F:$T,15,0),IFERROR(VLOOKUP(A1437,'[2]UPDATE BILL 2018'!$G:$T,14,0),IFERROR(VLOOKUP(A1437,'[2]UPDATE BILL 2018'!$H:$T,13,0),IFERROR(VLOOKUP(A1437,'[2]UPDATE BILL 2018'!$I:$T,12,0),VLOOKUP(A1437,'[2]UPDATE BILL 2018'!$B:$T,19,0)))))))))</f>
        <v>43349</v>
      </c>
      <c r="AC1437" s="44" t="str">
        <f>IFERROR(VLOOKUP(A1437,'[2]UPDATE BILL 2018'!$B:$V,21,0),IFERROR(VLOOKUP(A1437,'[2]UPDATE BILL 2018'!$C:$V,20,0),IFERROR(VLOOKUP(A1437,'[2]UPDATE BILL 2018'!$D:$V,19,0),IFERROR(VLOOKUP(A1437,'[2]UPDATE BILL 2018'!$E:$V,18,0),IFERROR(VLOOKUP(A1437,'[2]UPDATE BILL 2018'!$F:$V,17,0),IFERROR(VLOOKUP(A1437,'[2]UPDATE BILL 2018'!$G:$V,16,0),IFERROR(VLOOKUP(A1437,'[2]UPDATE BILL 2018'!$H:$V,15,0),IFERROR(VLOOKUP(A1437,'[2]UPDATE BILL 2018'!$I:$V,14,0),VLOOKUP(A1437,'[2]UPDATE BILL 2018'!$B:$V,21,0)))))))))</f>
        <v>WAN HAI 267 N271</v>
      </c>
      <c r="AD1437" s="14" t="s">
        <v>49</v>
      </c>
      <c r="AE1437" s="24" t="s">
        <v>3652</v>
      </c>
      <c r="AF1437" s="25" t="str">
        <f t="shared" si="128"/>
        <v>VK</v>
      </c>
      <c r="AG1437" t="e">
        <f t="shared" si="121"/>
        <v>#REF!</v>
      </c>
      <c r="AI1437" s="58"/>
    </row>
    <row r="1438" spans="1:35" ht="15.75" customHeight="1">
      <c r="A1438" s="6" t="s">
        <v>3645</v>
      </c>
      <c r="D1438" s="7">
        <f t="shared" si="125"/>
        <v>0</v>
      </c>
      <c r="E1438" s="7">
        <v>0</v>
      </c>
      <c r="F1438" s="5">
        <v>0</v>
      </c>
      <c r="G1438" s="7">
        <v>0</v>
      </c>
      <c r="H1438" s="5">
        <v>620</v>
      </c>
      <c r="I1438" s="7">
        <v>68327.7</v>
      </c>
      <c r="J1438" s="7">
        <v>0</v>
      </c>
      <c r="K1438" s="5">
        <v>0</v>
      </c>
      <c r="L1438" s="5">
        <v>0</v>
      </c>
      <c r="M1438" s="5">
        <v>0</v>
      </c>
      <c r="N1438" s="7">
        <f t="shared" si="126"/>
        <v>0</v>
      </c>
      <c r="O1438" s="7">
        <v>0</v>
      </c>
      <c r="P1438" s="7">
        <v>0</v>
      </c>
      <c r="Q1438" s="5">
        <v>0</v>
      </c>
      <c r="S1438" s="7">
        <v>0</v>
      </c>
      <c r="T1438" s="12">
        <v>43337</v>
      </c>
      <c r="U1438" s="4">
        <v>6</v>
      </c>
      <c r="V1438" s="4">
        <v>9</v>
      </c>
      <c r="W1438" s="4">
        <v>9</v>
      </c>
      <c r="X1438" s="45">
        <f t="shared" si="127"/>
        <v>68327.7</v>
      </c>
      <c r="Y1438" s="14" t="s">
        <v>56</v>
      </c>
      <c r="Z1438" s="14" t="s">
        <v>1355</v>
      </c>
      <c r="AA1438" s="14" t="str">
        <f>IFERROR(VLOOKUP(A1438,'[2]UPDATE BILL 2018'!$B:$P,15,0),IFERROR(VLOOKUP(A1438,'[2]UPDATE BILL 2018'!$C:$P,14,0),IFERROR(VLOOKUP(A1438,'[2]UPDATE BILL 2018'!$D:$P,13,0),IFERROR(VLOOKUP(A1438,'[2]UPDATE BILL 2018'!$E:$P,12,0),IFERROR(VLOOKUP(A1438,'[2]UPDATE BILL 2018'!$F:$P,11,0),IFERROR(VLOOKUP(A1438,'[2]UPDATE BILL 2018'!$G:$P,10,0),IFERROR(VLOOKUP(A1438,'[2]UPDATE BILL 2018'!$H:$P,9,0),IFERROR(VLOOKUP(A1438,'[2]UPDATE BILL 2018'!$I:$P,8,0),VLOOKUP(A1438,'[2]UPDATE BILL 2018'!$B:$P,15,0)))))))))</f>
        <v>1008X04870</v>
      </c>
      <c r="AB1438" s="44">
        <f>IFERROR(VLOOKUP(A1438,'[2]UPDATE BILL 2018'!$B:$T,19,0),IFERROR(VLOOKUP(A1438,'[2]UPDATE BILL 2018'!$C:$T,18,0),IFERROR(VLOOKUP(A1438,'[2]UPDATE BILL 2018'!$D:$T,17,0),IFERROR(VLOOKUP(A1438,'[2]UPDATE BILL 2018'!$E:$T,16,0),IFERROR(VLOOKUP(A1438,'[2]UPDATE BILL 2018'!$F:$T,15,0),IFERROR(VLOOKUP(A1438,'[2]UPDATE BILL 2018'!$G:$T,14,0),IFERROR(VLOOKUP(A1438,'[2]UPDATE BILL 2018'!$H:$T,13,0),IFERROR(VLOOKUP(A1438,'[2]UPDATE BILL 2018'!$I:$T,12,0),VLOOKUP(A1438,'[2]UPDATE BILL 2018'!$B:$T,19,0)))))))))</f>
        <v>43350</v>
      </c>
      <c r="AC1438" s="44" t="str">
        <f>IFERROR(VLOOKUP(A1438,'[2]UPDATE BILL 2018'!$B:$V,21,0),IFERROR(VLOOKUP(A1438,'[2]UPDATE BILL 2018'!$C:$V,20,0),IFERROR(VLOOKUP(A1438,'[2]UPDATE BILL 2018'!$D:$V,19,0),IFERROR(VLOOKUP(A1438,'[2]UPDATE BILL 2018'!$E:$V,18,0),IFERROR(VLOOKUP(A1438,'[2]UPDATE BILL 2018'!$F:$V,17,0),IFERROR(VLOOKUP(A1438,'[2]UPDATE BILL 2018'!$G:$V,16,0),IFERROR(VLOOKUP(A1438,'[2]UPDATE BILL 2018'!$H:$V,15,0),IFERROR(VLOOKUP(A1438,'[2]UPDATE BILL 2018'!$I:$V,14,0),VLOOKUP(A1438,'[2]UPDATE BILL 2018'!$B:$V,21,0)))))))))</f>
        <v>AS FIONA N009</v>
      </c>
      <c r="AD1438" s="14" t="s">
        <v>51</v>
      </c>
      <c r="AE1438" s="24" t="s">
        <v>3653</v>
      </c>
      <c r="AF1438" s="25" t="str">
        <f t="shared" si="128"/>
        <v>VS</v>
      </c>
      <c r="AG1438" t="e">
        <f t="shared" si="121"/>
        <v>#REF!</v>
      </c>
      <c r="AI1438" s="58"/>
    </row>
    <row r="1439" spans="1:35" ht="15.75" customHeight="1">
      <c r="A1439" s="6" t="s">
        <v>3646</v>
      </c>
      <c r="B1439" s="5">
        <v>1008</v>
      </c>
      <c r="C1439" s="7">
        <v>80340.37</v>
      </c>
      <c r="D1439" s="7">
        <f t="shared" si="125"/>
        <v>0</v>
      </c>
      <c r="E1439" s="7">
        <v>0</v>
      </c>
      <c r="F1439" s="5">
        <v>0</v>
      </c>
      <c r="G1439" s="7">
        <v>0</v>
      </c>
      <c r="H1439" s="5">
        <v>0</v>
      </c>
      <c r="I1439" s="7">
        <v>0</v>
      </c>
      <c r="J1439" s="7">
        <v>0</v>
      </c>
      <c r="K1439" s="5">
        <v>0</v>
      </c>
      <c r="L1439" s="5">
        <v>0</v>
      </c>
      <c r="M1439" s="5">
        <v>0</v>
      </c>
      <c r="N1439" s="7">
        <f t="shared" si="126"/>
        <v>0</v>
      </c>
      <c r="O1439" s="7">
        <v>0</v>
      </c>
      <c r="P1439" s="7">
        <v>0</v>
      </c>
      <c r="Q1439" s="5">
        <v>0</v>
      </c>
      <c r="S1439" s="7">
        <v>0</v>
      </c>
      <c r="T1439" s="12">
        <v>43337</v>
      </c>
      <c r="U1439" s="4">
        <v>6</v>
      </c>
      <c r="V1439" s="4">
        <v>9</v>
      </c>
      <c r="W1439" s="4">
        <v>9</v>
      </c>
      <c r="X1439" s="45">
        <f t="shared" si="127"/>
        <v>80340.37</v>
      </c>
      <c r="Y1439" s="14" t="s">
        <v>54</v>
      </c>
      <c r="Z1439" s="14" t="s">
        <v>59</v>
      </c>
      <c r="AA1439" s="14" t="str">
        <f>IFERROR(VLOOKUP(A1439,'[2]UPDATE BILL 2018'!$B:$P,15,0),IFERROR(VLOOKUP(A1439,'[2]UPDATE BILL 2018'!$C:$P,14,0),IFERROR(VLOOKUP(A1439,'[2]UPDATE BILL 2018'!$D:$P,13,0),IFERROR(VLOOKUP(A1439,'[2]UPDATE BILL 2018'!$E:$P,12,0),IFERROR(VLOOKUP(A1439,'[2]UPDATE BILL 2018'!$F:$P,11,0),IFERROR(VLOOKUP(A1439,'[2]UPDATE BILL 2018'!$G:$P,10,0),IFERROR(VLOOKUP(A1439,'[2]UPDATE BILL 2018'!$H:$P,9,0),IFERROR(VLOOKUP(A1439,'[2]UPDATE BILL 2018'!$I:$P,8,0),VLOOKUP(A1439,'[2]UPDATE BILL 2018'!$B:$P,15,0)))))))))</f>
        <v>SITWHPKW175617</v>
      </c>
      <c r="AB1439" s="44">
        <f>IFERROR(VLOOKUP(A1439,'[2]UPDATE BILL 2018'!$B:$T,19,0),IFERROR(VLOOKUP(A1439,'[2]UPDATE BILL 2018'!$C:$T,18,0),IFERROR(VLOOKUP(A1439,'[2]UPDATE BILL 2018'!$D:$T,17,0),IFERROR(VLOOKUP(A1439,'[2]UPDATE BILL 2018'!$E:$T,16,0),IFERROR(VLOOKUP(A1439,'[2]UPDATE BILL 2018'!$F:$T,15,0),IFERROR(VLOOKUP(A1439,'[2]UPDATE BILL 2018'!$G:$T,14,0),IFERROR(VLOOKUP(A1439,'[2]UPDATE BILL 2018'!$H:$T,13,0),IFERROR(VLOOKUP(A1439,'[2]UPDATE BILL 2018'!$I:$T,12,0),VLOOKUP(A1439,'[2]UPDATE BILL 2018'!$B:$T,19,0)))))))))</f>
        <v>43339</v>
      </c>
      <c r="AC1439" s="44" t="str">
        <f>IFERROR(VLOOKUP(A1439,'[2]UPDATE BILL 2018'!$B:$V,21,0),IFERROR(VLOOKUP(A1439,'[2]UPDATE BILL 2018'!$C:$V,20,0),IFERROR(VLOOKUP(A1439,'[2]UPDATE BILL 2018'!$D:$V,19,0),IFERROR(VLOOKUP(A1439,'[2]UPDATE BILL 2018'!$E:$V,18,0),IFERROR(VLOOKUP(A1439,'[2]UPDATE BILL 2018'!$F:$V,17,0),IFERROR(VLOOKUP(A1439,'[2]UPDATE BILL 2018'!$G:$V,16,0),IFERROR(VLOOKUP(A1439,'[2]UPDATE BILL 2018'!$H:$V,15,0),IFERROR(VLOOKUP(A1439,'[2]UPDATE BILL 2018'!$I:$V,14,0),VLOOKUP(A1439,'[2]UPDATE BILL 2018'!$B:$V,21,0)))))))))</f>
        <v>SITC TIANJIN 1823N</v>
      </c>
      <c r="AD1439" s="14" t="s">
        <v>50</v>
      </c>
      <c r="AE1439" s="24" t="s">
        <v>3649</v>
      </c>
      <c r="AF1439" s="25" t="str">
        <f t="shared" si="128"/>
        <v>VW</v>
      </c>
      <c r="AG1439" t="e">
        <f t="shared" si="121"/>
        <v>#REF!</v>
      </c>
      <c r="AI1439" s="58"/>
    </row>
    <row r="1440" spans="1:35" ht="15.75" customHeight="1">
      <c r="A1440" s="6" t="s">
        <v>3647</v>
      </c>
      <c r="D1440" s="7">
        <f t="shared" si="125"/>
        <v>0</v>
      </c>
      <c r="E1440" s="7">
        <v>0</v>
      </c>
      <c r="F1440" s="5">
        <v>0</v>
      </c>
      <c r="G1440" s="7">
        <v>0</v>
      </c>
      <c r="H1440" s="5">
        <v>0</v>
      </c>
      <c r="I1440" s="7">
        <v>0</v>
      </c>
      <c r="J1440" s="7">
        <v>0</v>
      </c>
      <c r="K1440" s="5">
        <v>0</v>
      </c>
      <c r="L1440" s="5">
        <v>0</v>
      </c>
      <c r="M1440" s="5">
        <v>0</v>
      </c>
      <c r="N1440" s="7">
        <f t="shared" si="126"/>
        <v>0</v>
      </c>
      <c r="O1440" s="7">
        <v>0</v>
      </c>
      <c r="P1440" s="7">
        <v>0</v>
      </c>
      <c r="Q1440" s="5">
        <v>0</v>
      </c>
      <c r="R1440" s="5">
        <v>260</v>
      </c>
      <c r="S1440" s="7">
        <v>28523.5</v>
      </c>
      <c r="T1440" s="12">
        <v>43337</v>
      </c>
      <c r="U1440" s="4">
        <v>1</v>
      </c>
      <c r="V1440" s="4">
        <v>9</v>
      </c>
      <c r="W1440" s="4">
        <v>9</v>
      </c>
      <c r="X1440" s="45">
        <f t="shared" si="127"/>
        <v>28523.5</v>
      </c>
      <c r="Y1440" s="14" t="s">
        <v>1633</v>
      </c>
      <c r="Z1440" s="14" t="s">
        <v>1492</v>
      </c>
      <c r="AA1440" s="14" t="str">
        <f>IFERROR(VLOOKUP(A1440,'[2]UPDATE BILL 2018'!$B:$P,15,0),IFERROR(VLOOKUP(A1440,'[2]UPDATE BILL 2018'!$C:$P,14,0),IFERROR(VLOOKUP(A1440,'[2]UPDATE BILL 2018'!$D:$P,13,0),IFERROR(VLOOKUP(A1440,'[2]UPDATE BILL 2018'!$E:$P,12,0),IFERROR(VLOOKUP(A1440,'[2]UPDATE BILL 2018'!$F:$P,11,0),IFERROR(VLOOKUP(A1440,'[2]UPDATE BILL 2018'!$G:$P,10,0),IFERROR(VLOOKUP(A1440,'[2]UPDATE BILL 2018'!$H:$P,9,0),IFERROR(VLOOKUP(A1440,'[2]UPDATE BILL 2018'!$I:$P,8,0),VLOOKUP(A1440,'[2]UPDATE BILL 2018'!$B:$P,15,0)))))))))</f>
        <v>KMTCHPH0573953</v>
      </c>
      <c r="AB1440" s="44">
        <f>IFERROR(VLOOKUP(A1440,'[2]UPDATE BILL 2018'!$B:$T,19,0),IFERROR(VLOOKUP(A1440,'[2]UPDATE BILL 2018'!$C:$T,18,0),IFERROR(VLOOKUP(A1440,'[2]UPDATE BILL 2018'!$D:$T,17,0),IFERROR(VLOOKUP(A1440,'[2]UPDATE BILL 2018'!$E:$T,16,0),IFERROR(VLOOKUP(A1440,'[2]UPDATE BILL 2018'!$F:$T,15,0),IFERROR(VLOOKUP(A1440,'[2]UPDATE BILL 2018'!$G:$T,14,0),IFERROR(VLOOKUP(A1440,'[2]UPDATE BILL 2018'!$H:$T,13,0),IFERROR(VLOOKUP(A1440,'[2]UPDATE BILL 2018'!$I:$T,12,0),VLOOKUP(A1440,'[2]UPDATE BILL 2018'!$B:$T,19,0)))))))))</f>
        <v>43343</v>
      </c>
      <c r="AC1440" s="44" t="str">
        <f>IFERROR(VLOOKUP(A1440,'[2]UPDATE BILL 2018'!$B:$V,21,0),IFERROR(VLOOKUP(A1440,'[2]UPDATE BILL 2018'!$C:$V,20,0),IFERROR(VLOOKUP(A1440,'[2]UPDATE BILL 2018'!$D:$V,19,0),IFERROR(VLOOKUP(A1440,'[2]UPDATE BILL 2018'!$E:$V,18,0),IFERROR(VLOOKUP(A1440,'[2]UPDATE BILL 2018'!$F:$V,17,0),IFERROR(VLOOKUP(A1440,'[2]UPDATE BILL 2018'!$G:$V,16,0),IFERROR(VLOOKUP(A1440,'[2]UPDATE BILL 2018'!$H:$V,15,0),IFERROR(VLOOKUP(A1440,'[2]UPDATE BILL 2018'!$I:$V,14,0),VLOOKUP(A1440,'[2]UPDATE BILL 2018'!$B:$V,21,0)))))))))</f>
        <v>KOTA WANGSA 016N</v>
      </c>
      <c r="AD1440" s="14" t="s">
        <v>70</v>
      </c>
      <c r="AE1440" s="24" t="s">
        <v>3650</v>
      </c>
      <c r="AF1440" s="25" t="s">
        <v>2177</v>
      </c>
      <c r="AG1440" t="e">
        <f t="shared" si="121"/>
        <v>#N/A</v>
      </c>
      <c r="AI1440" s="58"/>
    </row>
    <row r="1441" spans="1:41" ht="15.75" customHeight="1">
      <c r="A1441" s="6" t="s">
        <v>3648</v>
      </c>
      <c r="D1441" s="7">
        <f t="shared" si="125"/>
        <v>0</v>
      </c>
      <c r="E1441" s="7">
        <v>0</v>
      </c>
      <c r="F1441" s="5">
        <v>0</v>
      </c>
      <c r="G1441" s="7">
        <v>0</v>
      </c>
      <c r="H1441" s="5">
        <v>0</v>
      </c>
      <c r="I1441" s="7">
        <v>0</v>
      </c>
      <c r="J1441" s="7">
        <v>0</v>
      </c>
      <c r="K1441" s="5">
        <v>0</v>
      </c>
      <c r="L1441" s="5">
        <v>0</v>
      </c>
      <c r="M1441" s="5">
        <v>0</v>
      </c>
      <c r="N1441" s="7">
        <f t="shared" si="126"/>
        <v>0</v>
      </c>
      <c r="O1441" s="7">
        <v>0</v>
      </c>
      <c r="P1441" s="7">
        <v>0</v>
      </c>
      <c r="Q1441" s="5">
        <v>0</v>
      </c>
      <c r="R1441" s="5">
        <v>320</v>
      </c>
      <c r="S1441" s="7">
        <v>42308</v>
      </c>
      <c r="T1441" s="12">
        <v>43337</v>
      </c>
      <c r="U1441" s="4">
        <v>1</v>
      </c>
      <c r="V1441" s="4">
        <v>9</v>
      </c>
      <c r="W1441" s="4">
        <v>9</v>
      </c>
      <c r="X1441" s="45">
        <f t="shared" si="127"/>
        <v>42308</v>
      </c>
      <c r="Y1441" s="14" t="s">
        <v>54</v>
      </c>
      <c r="Z1441" s="14" t="s">
        <v>59</v>
      </c>
      <c r="AA1441" s="14" t="str">
        <f>IFERROR(VLOOKUP(A1441,'[2]UPDATE BILL 2018'!$B:$P,15,0),IFERROR(VLOOKUP(A1441,'[2]UPDATE BILL 2018'!$C:$P,14,0),IFERROR(VLOOKUP(A1441,'[2]UPDATE BILL 2018'!$D:$P,13,0),IFERROR(VLOOKUP(A1441,'[2]UPDATE BILL 2018'!$E:$P,12,0),IFERROR(VLOOKUP(A1441,'[2]UPDATE BILL 2018'!$F:$P,11,0),IFERROR(VLOOKUP(A1441,'[2]UPDATE BILL 2018'!$G:$P,10,0),IFERROR(VLOOKUP(A1441,'[2]UPDATE BILL 2018'!$H:$P,9,0),IFERROR(VLOOKUP(A1441,'[2]UPDATE BILL 2018'!$I:$P,8,0),VLOOKUP(A1441,'[2]UPDATE BILL 2018'!$B:$P,15,0)))))))))</f>
        <v>SITWHPTK175610</v>
      </c>
      <c r="AB1441" s="44">
        <f>IFERROR(VLOOKUP(A1441,'[2]UPDATE BILL 2018'!$B:$T,19,0),IFERROR(VLOOKUP(A1441,'[2]UPDATE BILL 2018'!$C:$T,18,0),IFERROR(VLOOKUP(A1441,'[2]UPDATE BILL 2018'!$D:$T,17,0),IFERROR(VLOOKUP(A1441,'[2]UPDATE BILL 2018'!$E:$T,16,0),IFERROR(VLOOKUP(A1441,'[2]UPDATE BILL 2018'!$F:$T,15,0),IFERROR(VLOOKUP(A1441,'[2]UPDATE BILL 2018'!$G:$T,14,0),IFERROR(VLOOKUP(A1441,'[2]UPDATE BILL 2018'!$H:$T,13,0),IFERROR(VLOOKUP(A1441,'[2]UPDATE BILL 2018'!$I:$T,12,0),VLOOKUP(A1441,'[2]UPDATE BILL 2018'!$B:$T,19,0)))))))))</f>
        <v>43339</v>
      </c>
      <c r="AC1441" s="44" t="str">
        <f>IFERROR(VLOOKUP(A1441,'[2]UPDATE BILL 2018'!$B:$V,21,0),IFERROR(VLOOKUP(A1441,'[2]UPDATE BILL 2018'!$C:$V,20,0),IFERROR(VLOOKUP(A1441,'[2]UPDATE BILL 2018'!$D:$V,19,0),IFERROR(VLOOKUP(A1441,'[2]UPDATE BILL 2018'!$E:$V,18,0),IFERROR(VLOOKUP(A1441,'[2]UPDATE BILL 2018'!$F:$V,17,0),IFERROR(VLOOKUP(A1441,'[2]UPDATE BILL 2018'!$G:$V,16,0),IFERROR(VLOOKUP(A1441,'[2]UPDATE BILL 2018'!$H:$V,15,0),IFERROR(VLOOKUP(A1441,'[2]UPDATE BILL 2018'!$I:$V,14,0),VLOOKUP(A1441,'[2]UPDATE BILL 2018'!$B:$V,21,0)))))))))</f>
        <v>SITC TIANJIN 1823N</v>
      </c>
      <c r="AD1441" s="14" t="s">
        <v>49</v>
      </c>
      <c r="AE1441" s="24" t="s">
        <v>3651</v>
      </c>
      <c r="AF1441" s="25" t="s">
        <v>2175</v>
      </c>
      <c r="AG1441" t="e">
        <f t="shared" si="121"/>
        <v>#N/A</v>
      </c>
      <c r="AI1441" s="58"/>
    </row>
    <row r="1442" spans="1:41" ht="15.75" customHeight="1">
      <c r="A1442" s="6" t="s">
        <v>3654</v>
      </c>
      <c r="B1442" s="5">
        <v>0</v>
      </c>
      <c r="C1442" s="7">
        <v>0</v>
      </c>
      <c r="D1442" s="7">
        <f t="shared" ref="D1442" si="129">E1442+F1442</f>
        <v>0</v>
      </c>
      <c r="E1442" s="7">
        <v>0</v>
      </c>
      <c r="F1442" s="5">
        <v>0</v>
      </c>
      <c r="G1442" s="7">
        <v>0</v>
      </c>
      <c r="H1442" s="5">
        <v>225</v>
      </c>
      <c r="I1442" s="7">
        <v>25450.000000000004</v>
      </c>
      <c r="J1442" s="7">
        <v>0</v>
      </c>
      <c r="K1442" s="5">
        <v>0</v>
      </c>
      <c r="L1442" s="5">
        <v>0</v>
      </c>
      <c r="M1442" s="5">
        <v>56</v>
      </c>
      <c r="N1442" s="7">
        <f t="shared" ref="N1442" si="130">M1442-K1442</f>
        <v>56</v>
      </c>
      <c r="O1442" s="7">
        <v>8380.0999999999985</v>
      </c>
      <c r="P1442" s="7">
        <v>0</v>
      </c>
      <c r="Q1442" s="5">
        <v>0</v>
      </c>
      <c r="S1442" s="7">
        <v>0</v>
      </c>
      <c r="T1442" s="12">
        <v>43339</v>
      </c>
      <c r="U1442" s="4">
        <v>3</v>
      </c>
      <c r="V1442" s="4">
        <v>9</v>
      </c>
      <c r="W1442" s="4">
        <v>9</v>
      </c>
      <c r="X1442" s="45">
        <f t="shared" ref="X1442" si="131">+C1442+G1442+I1442+O1442+S1442</f>
        <v>33830.100000000006</v>
      </c>
      <c r="Y1442" s="14" t="s">
        <v>1633</v>
      </c>
      <c r="Z1442" s="14" t="s">
        <v>1492</v>
      </c>
      <c r="AA1442" s="14" t="str">
        <f>IFERROR(VLOOKUP(A1442,'[2]UPDATE BILL 2018'!$B:$P,15,0),IFERROR(VLOOKUP(A1442,'[2]UPDATE BILL 2018'!$C:$P,14,0),IFERROR(VLOOKUP(A1442,'[2]UPDATE BILL 2018'!$D:$P,13,0),IFERROR(VLOOKUP(A1442,'[2]UPDATE BILL 2018'!$E:$P,12,0),IFERROR(VLOOKUP(A1442,'[2]UPDATE BILL 2018'!$F:$P,11,0),IFERROR(VLOOKUP(A1442,'[2]UPDATE BILL 2018'!$G:$P,10,0),IFERROR(VLOOKUP(A1442,'[2]UPDATE BILL 2018'!$H:$P,9,0),IFERROR(VLOOKUP(A1442,'[2]UPDATE BILL 2018'!$I:$P,8,0),VLOOKUP(A1442,'[2]UPDATE BILL 2018'!$B:$P,15,0)))))))))</f>
        <v>KMTCHPH0584036</v>
      </c>
      <c r="AB1442" s="44">
        <f>IFERROR(VLOOKUP(A1442,'[2]UPDATE BILL 2018'!$B:$T,19,0),IFERROR(VLOOKUP(A1442,'[2]UPDATE BILL 2018'!$C:$T,18,0),IFERROR(VLOOKUP(A1442,'[2]UPDATE BILL 2018'!$D:$T,17,0),IFERROR(VLOOKUP(A1442,'[2]UPDATE BILL 2018'!$E:$T,16,0),IFERROR(VLOOKUP(A1442,'[2]UPDATE BILL 2018'!$F:$T,15,0),IFERROR(VLOOKUP(A1442,'[2]UPDATE BILL 2018'!$G:$T,14,0),IFERROR(VLOOKUP(A1442,'[2]UPDATE BILL 2018'!$H:$T,13,0),IFERROR(VLOOKUP(A1442,'[2]UPDATE BILL 2018'!$I:$T,12,0),VLOOKUP(A1442,'[2]UPDATE BILL 2018'!$B:$T,19,0)))))))))</f>
        <v>43344</v>
      </c>
      <c r="AC1442" s="44" t="str">
        <f>IFERROR(VLOOKUP(A1442,'[2]UPDATE BILL 2018'!$B:$V,21,0),IFERROR(VLOOKUP(A1442,'[2]UPDATE BILL 2018'!$C:$V,20,0),IFERROR(VLOOKUP(A1442,'[2]UPDATE BILL 2018'!$D:$V,19,0),IFERROR(VLOOKUP(A1442,'[2]UPDATE BILL 2018'!$E:$V,18,0),IFERROR(VLOOKUP(A1442,'[2]UPDATE BILL 2018'!$F:$V,17,0),IFERROR(VLOOKUP(A1442,'[2]UPDATE BILL 2018'!$G:$V,16,0),IFERROR(VLOOKUP(A1442,'[2]UPDATE BILL 2018'!$H:$V,15,0),IFERROR(VLOOKUP(A1442,'[2]UPDATE BILL 2018'!$I:$V,14,0),VLOOKUP(A1442,'[2]UPDATE BILL 2018'!$B:$V,21,0)))))))))</f>
        <v>TRIUMPH 1817N</v>
      </c>
      <c r="AD1442" s="14" t="s">
        <v>70</v>
      </c>
      <c r="AE1442" s="24" t="s">
        <v>3661</v>
      </c>
      <c r="AF1442" s="25" t="str">
        <f t="shared" ref="AF1442" si="132">+LEFT(AE1442,2)</f>
        <v>VH</v>
      </c>
      <c r="AG1442" s="58" t="e">
        <f t="shared" si="121"/>
        <v>#REF!</v>
      </c>
      <c r="AH1442" s="58"/>
      <c r="AI1442" s="58"/>
      <c r="AJ1442" s="58"/>
      <c r="AK1442" s="58"/>
      <c r="AL1442" s="58"/>
      <c r="AM1442" s="58"/>
      <c r="AN1442" s="58"/>
      <c r="AO1442" s="58"/>
    </row>
    <row r="1443" spans="1:41" ht="15.75" customHeight="1">
      <c r="A1443" s="6" t="s">
        <v>3973</v>
      </c>
      <c r="B1443" s="5">
        <v>5</v>
      </c>
      <c r="C1443" s="7">
        <v>1048</v>
      </c>
      <c r="D1443" s="7">
        <f t="shared" si="125"/>
        <v>0</v>
      </c>
      <c r="E1443" s="7">
        <v>0</v>
      </c>
      <c r="F1443" s="5">
        <v>0</v>
      </c>
      <c r="G1443" s="7">
        <v>0</v>
      </c>
      <c r="H1443" s="5">
        <v>0</v>
      </c>
      <c r="I1443" s="7">
        <v>0</v>
      </c>
      <c r="J1443" s="7">
        <v>0</v>
      </c>
      <c r="K1443" s="5">
        <v>0</v>
      </c>
      <c r="L1443" s="5">
        <v>0</v>
      </c>
      <c r="M1443" s="5">
        <v>0</v>
      </c>
      <c r="N1443" s="7">
        <f t="shared" si="126"/>
        <v>0</v>
      </c>
      <c r="O1443" s="7">
        <v>0</v>
      </c>
      <c r="P1443" s="7">
        <v>0</v>
      </c>
      <c r="Q1443" s="5">
        <v>0</v>
      </c>
      <c r="S1443" s="7">
        <v>0</v>
      </c>
      <c r="T1443" s="12">
        <v>43339</v>
      </c>
      <c r="U1443" s="4">
        <v>3</v>
      </c>
      <c r="V1443" s="4">
        <v>9</v>
      </c>
      <c r="W1443" s="4">
        <v>9</v>
      </c>
      <c r="X1443" s="45">
        <f t="shared" si="127"/>
        <v>1048</v>
      </c>
      <c r="Y1443" s="14" t="s">
        <v>1633</v>
      </c>
      <c r="Z1443" s="14" t="s">
        <v>1492</v>
      </c>
      <c r="AA1443" s="14" t="str">
        <f>IFERROR(VLOOKUP(A1443,'[2]UPDATE BILL 2018'!$B:$P,15,0),IFERROR(VLOOKUP(A1443,'[2]UPDATE BILL 2018'!$C:$P,14,0),IFERROR(VLOOKUP(A1443,'[2]UPDATE BILL 2018'!$D:$P,13,0),IFERROR(VLOOKUP(A1443,'[2]UPDATE BILL 2018'!$E:$P,12,0),IFERROR(VLOOKUP(A1443,'[2]UPDATE BILL 2018'!$F:$P,11,0),IFERROR(VLOOKUP(A1443,'[2]UPDATE BILL 2018'!$G:$P,10,0),IFERROR(VLOOKUP(A1443,'[2]UPDATE BILL 2018'!$H:$P,9,0),IFERROR(VLOOKUP(A1443,'[2]UPDATE BILL 2018'!$I:$P,8,0),VLOOKUP(A1443,'[2]UPDATE BILL 2018'!$B:$P,15,0)))))))))</f>
        <v>KMTCHPH0584036</v>
      </c>
      <c r="AB1443" s="44">
        <f>IFERROR(VLOOKUP(A1443,'[2]UPDATE BILL 2018'!$B:$T,19,0),IFERROR(VLOOKUP(A1443,'[2]UPDATE BILL 2018'!$C:$T,18,0),IFERROR(VLOOKUP(A1443,'[2]UPDATE BILL 2018'!$D:$T,17,0),IFERROR(VLOOKUP(A1443,'[2]UPDATE BILL 2018'!$E:$T,16,0),IFERROR(VLOOKUP(A1443,'[2]UPDATE BILL 2018'!$F:$T,15,0),IFERROR(VLOOKUP(A1443,'[2]UPDATE BILL 2018'!$G:$T,14,0),IFERROR(VLOOKUP(A1443,'[2]UPDATE BILL 2018'!$H:$T,13,0),IFERROR(VLOOKUP(A1443,'[2]UPDATE BILL 2018'!$I:$T,12,0),VLOOKUP(A1443,'[2]UPDATE BILL 2018'!$B:$T,19,0)))))))))</f>
        <v>43344</v>
      </c>
      <c r="AC1443" s="44" t="str">
        <f>IFERROR(VLOOKUP(A1443,'[2]UPDATE BILL 2018'!$B:$V,21,0),IFERROR(VLOOKUP(A1443,'[2]UPDATE BILL 2018'!$C:$V,20,0),IFERROR(VLOOKUP(A1443,'[2]UPDATE BILL 2018'!$D:$V,19,0),IFERROR(VLOOKUP(A1443,'[2]UPDATE BILL 2018'!$E:$V,18,0),IFERROR(VLOOKUP(A1443,'[2]UPDATE BILL 2018'!$F:$V,17,0),IFERROR(VLOOKUP(A1443,'[2]UPDATE BILL 2018'!$G:$V,16,0),IFERROR(VLOOKUP(A1443,'[2]UPDATE BILL 2018'!$H:$V,15,0),IFERROR(VLOOKUP(A1443,'[2]UPDATE BILL 2018'!$I:$V,14,0),VLOOKUP(A1443,'[2]UPDATE BILL 2018'!$B:$V,21,0)))))))))</f>
        <v>TRIUMPH 1817N</v>
      </c>
      <c r="AD1443" s="14" t="s">
        <v>70</v>
      </c>
      <c r="AE1443" s="24" t="s">
        <v>3661</v>
      </c>
      <c r="AF1443" s="25" t="str">
        <f t="shared" ref="AF1443:AF1506" si="133">+LEFT(AE1443,2)</f>
        <v>VH</v>
      </c>
      <c r="AG1443" t="e">
        <f t="shared" si="121"/>
        <v>#REF!</v>
      </c>
      <c r="AI1443" s="58"/>
    </row>
    <row r="1444" spans="1:41" ht="15.75" customHeight="1">
      <c r="A1444" s="6" t="s">
        <v>3655</v>
      </c>
      <c r="D1444" s="7">
        <f t="shared" si="125"/>
        <v>0</v>
      </c>
      <c r="E1444" s="7">
        <v>0</v>
      </c>
      <c r="F1444" s="5">
        <v>0</v>
      </c>
      <c r="G1444" s="7">
        <v>0</v>
      </c>
      <c r="H1444" s="5">
        <v>483</v>
      </c>
      <c r="I1444" s="7">
        <v>58453.469999999994</v>
      </c>
      <c r="J1444" s="7">
        <v>0</v>
      </c>
      <c r="K1444" s="5">
        <v>0</v>
      </c>
      <c r="L1444" s="5">
        <v>0</v>
      </c>
      <c r="M1444" s="5">
        <v>0</v>
      </c>
      <c r="N1444" s="7">
        <f t="shared" si="126"/>
        <v>0</v>
      </c>
      <c r="O1444" s="7">
        <v>0</v>
      </c>
      <c r="P1444" s="7">
        <v>0</v>
      </c>
      <c r="Q1444" s="5">
        <v>0</v>
      </c>
      <c r="S1444" s="7">
        <v>0</v>
      </c>
      <c r="T1444" s="12">
        <v>43339</v>
      </c>
      <c r="U1444" s="4">
        <v>4</v>
      </c>
      <c r="V1444" s="4">
        <v>9</v>
      </c>
      <c r="W1444" s="4">
        <v>9</v>
      </c>
      <c r="X1444" s="45">
        <f t="shared" si="127"/>
        <v>58453.469999999994</v>
      </c>
      <c r="Y1444" s="14" t="s">
        <v>85</v>
      </c>
      <c r="Z1444" s="14" t="s">
        <v>1637</v>
      </c>
      <c r="AA1444" s="14">
        <f>IFERROR(VLOOKUP(A1444,'[2]UPDATE BILL 2018'!$B:$P,15,0),IFERROR(VLOOKUP(A1444,'[2]UPDATE BILL 2018'!$C:$P,14,0),IFERROR(VLOOKUP(A1444,'[2]UPDATE BILL 2018'!$D:$P,13,0),IFERROR(VLOOKUP(A1444,'[2]UPDATE BILL 2018'!$E:$P,12,0),IFERROR(VLOOKUP(A1444,'[2]UPDATE BILL 2018'!$F:$P,11,0),IFERROR(VLOOKUP(A1444,'[2]UPDATE BILL 2018'!$G:$P,10,0),IFERROR(VLOOKUP(A1444,'[2]UPDATE BILL 2018'!$H:$P,9,0),IFERROR(VLOOKUP(A1444,'[2]UPDATE BILL 2018'!$I:$P,8,0),VLOOKUP(A1444,'[2]UPDATE BILL 2018'!$B:$P,15,0)))))))))</f>
        <v>350810105960</v>
      </c>
      <c r="AB1444" s="44">
        <f>IFERROR(VLOOKUP(A1444,'[2]UPDATE BILL 2018'!$B:$T,19,0),IFERROR(VLOOKUP(A1444,'[2]UPDATE BILL 2018'!$C:$T,18,0),IFERROR(VLOOKUP(A1444,'[2]UPDATE BILL 2018'!$D:$T,17,0),IFERROR(VLOOKUP(A1444,'[2]UPDATE BILL 2018'!$E:$T,16,0),IFERROR(VLOOKUP(A1444,'[2]UPDATE BILL 2018'!$F:$T,15,0),IFERROR(VLOOKUP(A1444,'[2]UPDATE BILL 2018'!$G:$T,14,0),IFERROR(VLOOKUP(A1444,'[2]UPDATE BILL 2018'!$H:$T,13,0),IFERROR(VLOOKUP(A1444,'[2]UPDATE BILL 2018'!$I:$T,12,0),VLOOKUP(A1444,'[2]UPDATE BILL 2018'!$B:$T,19,0)))))))))</f>
        <v>43341</v>
      </c>
      <c r="AC1444" s="44" t="str">
        <f>IFERROR(VLOOKUP(A1444,'[2]UPDATE BILL 2018'!$B:$V,21,0),IFERROR(VLOOKUP(A1444,'[2]UPDATE BILL 2018'!$C:$V,20,0),IFERROR(VLOOKUP(A1444,'[2]UPDATE BILL 2018'!$D:$V,19,0),IFERROR(VLOOKUP(A1444,'[2]UPDATE BILL 2018'!$E:$V,18,0),IFERROR(VLOOKUP(A1444,'[2]UPDATE BILL 2018'!$F:$V,17,0),IFERROR(VLOOKUP(A1444,'[2]UPDATE BILL 2018'!$G:$V,16,0),IFERROR(VLOOKUP(A1444,'[2]UPDATE BILL 2018'!$H:$V,15,0),IFERROR(VLOOKUP(A1444,'[2]UPDATE BILL 2018'!$I:$V,14,0),VLOOKUP(A1444,'[2]UPDATE BILL 2018'!$B:$V,21,0)))))))))</f>
        <v>LANTAU BRIDGE 18005N</v>
      </c>
      <c r="AD1444" s="14" t="s">
        <v>49</v>
      </c>
      <c r="AE1444" s="24" t="s">
        <v>3662</v>
      </c>
      <c r="AF1444" s="25" t="str">
        <f t="shared" si="133"/>
        <v>VK</v>
      </c>
      <c r="AG1444" t="e">
        <f t="shared" si="121"/>
        <v>#REF!</v>
      </c>
      <c r="AI1444" s="58"/>
    </row>
    <row r="1445" spans="1:41" ht="15.75" customHeight="1">
      <c r="A1445" s="6" t="s">
        <v>3656</v>
      </c>
      <c r="B1445" s="5">
        <v>68</v>
      </c>
      <c r="C1445" s="7">
        <v>11757.2</v>
      </c>
      <c r="D1445" s="7">
        <f t="shared" si="125"/>
        <v>0</v>
      </c>
      <c r="E1445" s="7">
        <v>0</v>
      </c>
      <c r="F1445" s="5">
        <v>0</v>
      </c>
      <c r="G1445" s="7">
        <v>0</v>
      </c>
      <c r="H1445" s="5">
        <v>0</v>
      </c>
      <c r="I1445" s="7">
        <v>0</v>
      </c>
      <c r="J1445" s="7">
        <v>0</v>
      </c>
      <c r="K1445" s="5">
        <v>0</v>
      </c>
      <c r="L1445" s="5">
        <v>0</v>
      </c>
      <c r="M1445" s="5">
        <v>42</v>
      </c>
      <c r="N1445" s="7">
        <f t="shared" si="126"/>
        <v>42</v>
      </c>
      <c r="O1445" s="7">
        <v>7106.1</v>
      </c>
      <c r="P1445" s="7">
        <v>0</v>
      </c>
      <c r="Q1445" s="5">
        <v>0</v>
      </c>
      <c r="S1445" s="7">
        <v>0</v>
      </c>
      <c r="T1445" s="12">
        <v>43339</v>
      </c>
      <c r="U1445" s="4">
        <v>2</v>
      </c>
      <c r="V1445" s="4">
        <v>9</v>
      </c>
      <c r="W1445" s="4">
        <v>9</v>
      </c>
      <c r="X1445" s="45">
        <f t="shared" si="127"/>
        <v>18863.300000000003</v>
      </c>
      <c r="Y1445" s="14" t="s">
        <v>54</v>
      </c>
      <c r="Z1445" s="14" t="s">
        <v>1637</v>
      </c>
      <c r="AA1445" s="14" t="str">
        <f>IFERROR(VLOOKUP(A1445,'[2]UPDATE BILL 2018'!$B:$P,15,0),IFERROR(VLOOKUP(A1445,'[2]UPDATE BILL 2018'!$C:$P,14,0),IFERROR(VLOOKUP(A1445,'[2]UPDATE BILL 2018'!$D:$P,13,0),IFERROR(VLOOKUP(A1445,'[2]UPDATE BILL 2018'!$E:$P,12,0),IFERROR(VLOOKUP(A1445,'[2]UPDATE BILL 2018'!$F:$P,11,0),IFERROR(VLOOKUP(A1445,'[2]UPDATE BILL 2018'!$G:$P,10,0),IFERROR(VLOOKUP(A1445,'[2]UPDATE BILL 2018'!$H:$P,9,0),IFERROR(VLOOKUP(A1445,'[2]UPDATE BILL 2018'!$I:$P,8,0),VLOOKUP(A1445,'[2]UPDATE BILL 2018'!$B:$P,15,0)))))))))</f>
        <v>SITWHPTK176273</v>
      </c>
      <c r="AB1445" s="44">
        <f>IFERROR(VLOOKUP(A1445,'[2]UPDATE BILL 2018'!$B:$T,19,0),IFERROR(VLOOKUP(A1445,'[2]UPDATE BILL 2018'!$C:$T,18,0),IFERROR(VLOOKUP(A1445,'[2]UPDATE BILL 2018'!$D:$T,17,0),IFERROR(VLOOKUP(A1445,'[2]UPDATE BILL 2018'!$E:$T,16,0),IFERROR(VLOOKUP(A1445,'[2]UPDATE BILL 2018'!$F:$T,15,0),IFERROR(VLOOKUP(A1445,'[2]UPDATE BILL 2018'!$G:$T,14,0),IFERROR(VLOOKUP(A1445,'[2]UPDATE BILL 2018'!$H:$T,13,0),IFERROR(VLOOKUP(A1445,'[2]UPDATE BILL 2018'!$I:$T,12,0),VLOOKUP(A1445,'[2]UPDATE BILL 2018'!$B:$T,19,0)))))))))</f>
        <v>43346</v>
      </c>
      <c r="AC1445" s="44" t="str">
        <f>IFERROR(VLOOKUP(A1445,'[2]UPDATE BILL 2018'!$B:$V,21,0),IFERROR(VLOOKUP(A1445,'[2]UPDATE BILL 2018'!$C:$V,20,0),IFERROR(VLOOKUP(A1445,'[2]UPDATE BILL 2018'!$D:$V,19,0),IFERROR(VLOOKUP(A1445,'[2]UPDATE BILL 2018'!$E:$V,18,0),IFERROR(VLOOKUP(A1445,'[2]UPDATE BILL 2018'!$F:$V,17,0),IFERROR(VLOOKUP(A1445,'[2]UPDATE BILL 2018'!$G:$V,16,0),IFERROR(VLOOKUP(A1445,'[2]UPDATE BILL 2018'!$H:$V,15,0),IFERROR(VLOOKUP(A1445,'[2]UPDATE BILL 2018'!$I:$V,14,0),VLOOKUP(A1445,'[2]UPDATE BILL 2018'!$B:$V,21,0)))))))))</f>
        <v>HYUNDAI HARMONY 1833N</v>
      </c>
      <c r="AD1445" s="14" t="s">
        <v>49</v>
      </c>
      <c r="AE1445" s="24" t="s">
        <v>3663</v>
      </c>
      <c r="AF1445" s="25" t="str">
        <f t="shared" si="133"/>
        <v>VN</v>
      </c>
      <c r="AG1445" t="e">
        <f t="shared" si="121"/>
        <v>#REF!</v>
      </c>
      <c r="AI1445" s="58"/>
    </row>
    <row r="1446" spans="1:41" ht="15.75" customHeight="1">
      <c r="A1446" s="6" t="s">
        <v>3657</v>
      </c>
      <c r="B1446" s="5">
        <v>403</v>
      </c>
      <c r="C1446" s="7">
        <v>49273.739999999983</v>
      </c>
      <c r="D1446" s="7">
        <f t="shared" si="125"/>
        <v>0</v>
      </c>
      <c r="E1446" s="7">
        <v>0</v>
      </c>
      <c r="F1446" s="5">
        <v>0</v>
      </c>
      <c r="G1446" s="7">
        <v>0</v>
      </c>
      <c r="H1446" s="5">
        <v>950</v>
      </c>
      <c r="I1446" s="7">
        <v>108973.94000000002</v>
      </c>
      <c r="J1446" s="7">
        <v>0</v>
      </c>
      <c r="K1446" s="5">
        <v>0</v>
      </c>
      <c r="L1446" s="5">
        <v>0</v>
      </c>
      <c r="M1446" s="5">
        <v>0</v>
      </c>
      <c r="N1446" s="7">
        <f t="shared" si="126"/>
        <v>0</v>
      </c>
      <c r="O1446" s="7">
        <v>0</v>
      </c>
      <c r="P1446" s="7">
        <v>0</v>
      </c>
      <c r="Q1446" s="5">
        <v>0</v>
      </c>
      <c r="S1446" s="7">
        <v>0</v>
      </c>
      <c r="T1446" s="12">
        <v>43339</v>
      </c>
      <c r="U1446" s="4">
        <v>11</v>
      </c>
      <c r="V1446" s="4">
        <v>9</v>
      </c>
      <c r="W1446" s="4">
        <v>9</v>
      </c>
      <c r="X1446" s="45">
        <f t="shared" si="127"/>
        <v>158247.67999999999</v>
      </c>
      <c r="Y1446" s="14" t="s">
        <v>56</v>
      </c>
      <c r="Z1446" s="14" t="s">
        <v>1355</v>
      </c>
      <c r="AA1446" s="14" t="str">
        <f>IFERROR(VLOOKUP(A1446,'[2]UPDATE BILL 2018'!$B:$P,15,0),IFERROR(VLOOKUP(A1446,'[2]UPDATE BILL 2018'!$C:$P,14,0),IFERROR(VLOOKUP(A1446,'[2]UPDATE BILL 2018'!$D:$P,13,0),IFERROR(VLOOKUP(A1446,'[2]UPDATE BILL 2018'!$E:$P,12,0),IFERROR(VLOOKUP(A1446,'[2]UPDATE BILL 2018'!$F:$P,11,0),IFERROR(VLOOKUP(A1446,'[2]UPDATE BILL 2018'!$G:$P,10,0),IFERROR(VLOOKUP(A1446,'[2]UPDATE BILL 2018'!$H:$P,9,0),IFERROR(VLOOKUP(A1446,'[2]UPDATE BILL 2018'!$I:$P,8,0),VLOOKUP(A1446,'[2]UPDATE BILL 2018'!$B:$P,15,0)))))))))</f>
        <v>1008X04868</v>
      </c>
      <c r="AB1446" s="44">
        <f>IFERROR(VLOOKUP(A1446,'[2]UPDATE BILL 2018'!$B:$T,19,0),IFERROR(VLOOKUP(A1446,'[2]UPDATE BILL 2018'!$C:$T,18,0),IFERROR(VLOOKUP(A1446,'[2]UPDATE BILL 2018'!$D:$T,17,0),IFERROR(VLOOKUP(A1446,'[2]UPDATE BILL 2018'!$E:$T,16,0),IFERROR(VLOOKUP(A1446,'[2]UPDATE BILL 2018'!$F:$T,15,0),IFERROR(VLOOKUP(A1446,'[2]UPDATE BILL 2018'!$G:$T,14,0),IFERROR(VLOOKUP(A1446,'[2]UPDATE BILL 2018'!$H:$T,13,0),IFERROR(VLOOKUP(A1446,'[2]UPDATE BILL 2018'!$I:$T,12,0),VLOOKUP(A1446,'[2]UPDATE BILL 2018'!$B:$T,19,0)))))))))</f>
        <v>43344</v>
      </c>
      <c r="AC1446" s="44" t="str">
        <f>IFERROR(VLOOKUP(A1446,'[2]UPDATE BILL 2018'!$B:$V,21,0),IFERROR(VLOOKUP(A1446,'[2]UPDATE BILL 2018'!$C:$V,20,0),IFERROR(VLOOKUP(A1446,'[2]UPDATE BILL 2018'!$D:$V,19,0),IFERROR(VLOOKUP(A1446,'[2]UPDATE BILL 2018'!$E:$V,18,0),IFERROR(VLOOKUP(A1446,'[2]UPDATE BILL 2018'!$F:$V,17,0),IFERROR(VLOOKUP(A1446,'[2]UPDATE BILL 2018'!$G:$V,16,0),IFERROR(VLOOKUP(A1446,'[2]UPDATE BILL 2018'!$H:$V,15,0),IFERROR(VLOOKUP(A1446,'[2]UPDATE BILL 2018'!$I:$V,14,0),VLOOKUP(A1446,'[2]UPDATE BILL 2018'!$B:$V,21,0)))))))))</f>
        <v>PAOLA N028</v>
      </c>
      <c r="AD1446" s="14" t="s">
        <v>52</v>
      </c>
      <c r="AE1446" s="24" t="s">
        <v>3664</v>
      </c>
      <c r="AF1446" s="25" t="str">
        <f t="shared" si="133"/>
        <v>VQ</v>
      </c>
      <c r="AG1446" t="e">
        <f t="shared" si="121"/>
        <v>#REF!</v>
      </c>
      <c r="AI1446" s="58"/>
    </row>
    <row r="1447" spans="1:41" ht="15.75" customHeight="1">
      <c r="A1447" s="6" t="s">
        <v>3658</v>
      </c>
      <c r="B1447" s="5">
        <v>262</v>
      </c>
      <c r="C1447" s="7">
        <v>23976.5</v>
      </c>
      <c r="D1447" s="7">
        <f t="shared" si="125"/>
        <v>0</v>
      </c>
      <c r="E1447" s="7">
        <v>0</v>
      </c>
      <c r="F1447" s="5">
        <v>0</v>
      </c>
      <c r="G1447" s="7">
        <v>0</v>
      </c>
      <c r="H1447" s="5">
        <v>377</v>
      </c>
      <c r="I1447" s="7">
        <v>44820.630000000005</v>
      </c>
      <c r="J1447" s="7">
        <v>0</v>
      </c>
      <c r="K1447" s="5">
        <v>0</v>
      </c>
      <c r="L1447" s="5">
        <v>0</v>
      </c>
      <c r="M1447" s="5">
        <v>0</v>
      </c>
      <c r="N1447" s="7">
        <f t="shared" si="126"/>
        <v>0</v>
      </c>
      <c r="O1447" s="7">
        <v>0</v>
      </c>
      <c r="P1447" s="7">
        <v>0</v>
      </c>
      <c r="Q1447" s="5">
        <v>0</v>
      </c>
      <c r="S1447" s="7">
        <v>0</v>
      </c>
      <c r="T1447" s="12">
        <v>43339</v>
      </c>
      <c r="U1447" s="4">
        <v>5</v>
      </c>
      <c r="V1447" s="4">
        <v>9</v>
      </c>
      <c r="W1447" s="4">
        <v>9</v>
      </c>
      <c r="X1447" s="45">
        <f t="shared" si="127"/>
        <v>68797.13</v>
      </c>
      <c r="Y1447" s="14" t="s">
        <v>85</v>
      </c>
      <c r="Z1447" s="14" t="s">
        <v>1355</v>
      </c>
      <c r="AA1447" s="14">
        <f>IFERROR(VLOOKUP(A1447,'[2]UPDATE BILL 2018'!$B:$P,15,0),IFERROR(VLOOKUP(A1447,'[2]UPDATE BILL 2018'!$C:$P,14,0),IFERROR(VLOOKUP(A1447,'[2]UPDATE BILL 2018'!$D:$P,13,0),IFERROR(VLOOKUP(A1447,'[2]UPDATE BILL 2018'!$E:$P,12,0),IFERROR(VLOOKUP(A1447,'[2]UPDATE BILL 2018'!$F:$P,11,0),IFERROR(VLOOKUP(A1447,'[2]UPDATE BILL 2018'!$G:$P,10,0),IFERROR(VLOOKUP(A1447,'[2]UPDATE BILL 2018'!$H:$P,9,0),IFERROR(VLOOKUP(A1447,'[2]UPDATE BILL 2018'!$I:$P,8,0),VLOOKUP(A1447,'[2]UPDATE BILL 2018'!$B:$P,15,0)))))))))</f>
        <v>350810102198</v>
      </c>
      <c r="AB1447" s="44">
        <f>IFERROR(VLOOKUP(A1447,'[2]UPDATE BILL 2018'!$B:$T,19,0),IFERROR(VLOOKUP(A1447,'[2]UPDATE BILL 2018'!$C:$T,18,0),IFERROR(VLOOKUP(A1447,'[2]UPDATE BILL 2018'!$D:$T,17,0),IFERROR(VLOOKUP(A1447,'[2]UPDATE BILL 2018'!$E:$T,16,0),IFERROR(VLOOKUP(A1447,'[2]UPDATE BILL 2018'!$F:$T,15,0),IFERROR(VLOOKUP(A1447,'[2]UPDATE BILL 2018'!$G:$T,14,0),IFERROR(VLOOKUP(A1447,'[2]UPDATE BILL 2018'!$H:$T,13,0),IFERROR(VLOOKUP(A1447,'[2]UPDATE BILL 2018'!$I:$T,12,0),VLOOKUP(A1447,'[2]UPDATE BILL 2018'!$B:$T,19,0)))))))))</f>
        <v>43341</v>
      </c>
      <c r="AC1447" s="44" t="str">
        <f>IFERROR(VLOOKUP(A1447,'[2]UPDATE BILL 2018'!$B:$V,21,0),IFERROR(VLOOKUP(A1447,'[2]UPDATE BILL 2018'!$C:$V,20,0),IFERROR(VLOOKUP(A1447,'[2]UPDATE BILL 2018'!$D:$V,19,0),IFERROR(VLOOKUP(A1447,'[2]UPDATE BILL 2018'!$E:$V,18,0),IFERROR(VLOOKUP(A1447,'[2]UPDATE BILL 2018'!$F:$V,17,0),IFERROR(VLOOKUP(A1447,'[2]UPDATE BILL 2018'!$G:$V,16,0),IFERROR(VLOOKUP(A1447,'[2]UPDATE BILL 2018'!$H:$V,15,0),IFERROR(VLOOKUP(A1447,'[2]UPDATE BILL 2018'!$I:$V,14,0),VLOOKUP(A1447,'[2]UPDATE BILL 2018'!$B:$V,21,0)))))))))</f>
        <v>LANTAU BRIDGE 18005N</v>
      </c>
      <c r="AD1447" s="14" t="s">
        <v>51</v>
      </c>
      <c r="AE1447" s="24" t="s">
        <v>3665</v>
      </c>
      <c r="AF1447" s="25" t="str">
        <f t="shared" si="133"/>
        <v>VS</v>
      </c>
      <c r="AG1447" t="e">
        <f t="shared" si="121"/>
        <v>#REF!</v>
      </c>
      <c r="AI1447" s="58"/>
    </row>
    <row r="1448" spans="1:41" ht="15.75" customHeight="1">
      <c r="A1448" s="6" t="s">
        <v>3659</v>
      </c>
      <c r="B1448" s="5">
        <v>1101</v>
      </c>
      <c r="C1448" s="7">
        <v>98249.9</v>
      </c>
      <c r="D1448" s="7">
        <f t="shared" si="125"/>
        <v>0</v>
      </c>
      <c r="E1448" s="7">
        <v>0</v>
      </c>
      <c r="F1448" s="5">
        <v>0</v>
      </c>
      <c r="G1448" s="7">
        <v>0</v>
      </c>
      <c r="H1448" s="5">
        <v>0</v>
      </c>
      <c r="I1448" s="7">
        <v>0</v>
      </c>
      <c r="J1448" s="7">
        <v>0</v>
      </c>
      <c r="K1448" s="5">
        <v>0</v>
      </c>
      <c r="L1448" s="5">
        <v>0</v>
      </c>
      <c r="M1448" s="5">
        <v>0</v>
      </c>
      <c r="N1448" s="7">
        <f t="shared" si="126"/>
        <v>0</v>
      </c>
      <c r="O1448" s="7">
        <v>0</v>
      </c>
      <c r="P1448" s="7">
        <v>0</v>
      </c>
      <c r="Q1448" s="5">
        <v>0</v>
      </c>
      <c r="S1448" s="7">
        <v>0</v>
      </c>
      <c r="T1448" s="12">
        <v>43339</v>
      </c>
      <c r="U1448" s="4">
        <v>7</v>
      </c>
      <c r="V1448" s="4">
        <v>9</v>
      </c>
      <c r="W1448" s="4">
        <v>9</v>
      </c>
      <c r="X1448" s="45">
        <f t="shared" si="127"/>
        <v>98249.9</v>
      </c>
      <c r="Y1448" s="14" t="s">
        <v>54</v>
      </c>
      <c r="Z1448" s="14" t="s">
        <v>57</v>
      </c>
      <c r="AA1448" s="14" t="str">
        <f>IFERROR(VLOOKUP(A1448,'[2]UPDATE BILL 2018'!$B:$P,15,0),IFERROR(VLOOKUP(A1448,'[2]UPDATE BILL 2018'!$C:$P,14,0),IFERROR(VLOOKUP(A1448,'[2]UPDATE BILL 2018'!$D:$P,13,0),IFERROR(VLOOKUP(A1448,'[2]UPDATE BILL 2018'!$E:$P,12,0),IFERROR(VLOOKUP(A1448,'[2]UPDATE BILL 2018'!$F:$P,11,0),IFERROR(VLOOKUP(A1448,'[2]UPDATE BILL 2018'!$G:$P,10,0),IFERROR(VLOOKUP(A1448,'[2]UPDATE BILL 2018'!$H:$P,9,0),IFERROR(VLOOKUP(A1448,'[2]UPDATE BILL 2018'!$I:$P,8,0),VLOOKUP(A1448,'[2]UPDATE BILL 2018'!$B:$P,15,0)))))))))</f>
        <v>SITWHPKW175620</v>
      </c>
      <c r="AB1448" s="44">
        <f>IFERROR(VLOOKUP(A1448,'[2]UPDATE BILL 2018'!$B:$T,19,0),IFERROR(VLOOKUP(A1448,'[2]UPDATE BILL 2018'!$C:$T,18,0),IFERROR(VLOOKUP(A1448,'[2]UPDATE BILL 2018'!$D:$T,17,0),IFERROR(VLOOKUP(A1448,'[2]UPDATE BILL 2018'!$E:$T,16,0),IFERROR(VLOOKUP(A1448,'[2]UPDATE BILL 2018'!$F:$T,15,0),IFERROR(VLOOKUP(A1448,'[2]UPDATE BILL 2018'!$G:$T,14,0),IFERROR(VLOOKUP(A1448,'[2]UPDATE BILL 2018'!$H:$T,13,0),IFERROR(VLOOKUP(A1448,'[2]UPDATE BILL 2018'!$I:$T,12,0),VLOOKUP(A1448,'[2]UPDATE BILL 2018'!$B:$T,19,0)))))))))</f>
        <v>43346</v>
      </c>
      <c r="AC1448" s="44" t="str">
        <f>IFERROR(VLOOKUP(A1448,'[2]UPDATE BILL 2018'!$B:$V,21,0),IFERROR(VLOOKUP(A1448,'[2]UPDATE BILL 2018'!$C:$V,20,0),IFERROR(VLOOKUP(A1448,'[2]UPDATE BILL 2018'!$D:$V,19,0),IFERROR(VLOOKUP(A1448,'[2]UPDATE BILL 2018'!$E:$V,18,0),IFERROR(VLOOKUP(A1448,'[2]UPDATE BILL 2018'!$F:$V,17,0),IFERROR(VLOOKUP(A1448,'[2]UPDATE BILL 2018'!$G:$V,16,0),IFERROR(VLOOKUP(A1448,'[2]UPDATE BILL 2018'!$H:$V,15,0),IFERROR(VLOOKUP(A1448,'[2]UPDATE BILL 2018'!$I:$V,14,0),VLOOKUP(A1448,'[2]UPDATE BILL 2018'!$B:$V,21,0)))))))))</f>
        <v>HYUNDAI HARMONY 1833N</v>
      </c>
      <c r="AD1448" s="14" t="s">
        <v>50</v>
      </c>
      <c r="AE1448" s="24" t="s">
        <v>3666</v>
      </c>
      <c r="AF1448" s="25" t="str">
        <f t="shared" si="133"/>
        <v>VW</v>
      </c>
      <c r="AG1448" t="e">
        <f t="shared" ref="AG1448:AG1474" si="134">+VLOOKUP(AF1448,AH:AH,2,0)</f>
        <v>#REF!</v>
      </c>
      <c r="AI1448" s="58"/>
    </row>
    <row r="1449" spans="1:41" ht="15.75" customHeight="1">
      <c r="A1449" s="6" t="s">
        <v>3660</v>
      </c>
      <c r="D1449" s="7">
        <f t="shared" si="125"/>
        <v>0</v>
      </c>
      <c r="E1449" s="7">
        <v>0</v>
      </c>
      <c r="F1449" s="5">
        <v>0</v>
      </c>
      <c r="G1449" s="7">
        <v>0</v>
      </c>
      <c r="H1449" s="5">
        <v>0</v>
      </c>
      <c r="I1449" s="7">
        <v>0</v>
      </c>
      <c r="J1449" s="7">
        <v>0</v>
      </c>
      <c r="K1449" s="5">
        <v>0</v>
      </c>
      <c r="L1449" s="5">
        <v>0</v>
      </c>
      <c r="M1449" s="5">
        <v>275</v>
      </c>
      <c r="N1449" s="7">
        <f t="shared" si="126"/>
        <v>275</v>
      </c>
      <c r="O1449" s="7">
        <v>48633.200000000004</v>
      </c>
      <c r="P1449" s="7">
        <v>0</v>
      </c>
      <c r="Q1449" s="5">
        <v>0</v>
      </c>
      <c r="S1449" s="7">
        <v>0</v>
      </c>
      <c r="T1449" s="12">
        <v>43339</v>
      </c>
      <c r="U1449" s="4">
        <v>5</v>
      </c>
      <c r="V1449" s="4">
        <v>9</v>
      </c>
      <c r="W1449" s="4">
        <v>9</v>
      </c>
      <c r="X1449" s="45">
        <f t="shared" si="127"/>
        <v>48633.200000000004</v>
      </c>
      <c r="Y1449" s="14" t="s">
        <v>54</v>
      </c>
      <c r="Z1449" s="14" t="s">
        <v>59</v>
      </c>
      <c r="AA1449" s="14" t="str">
        <f>IFERROR(VLOOKUP(A1449,'[2]UPDATE BILL 2018'!$B:$P,15,0),IFERROR(VLOOKUP(A1449,'[2]UPDATE BILL 2018'!$C:$P,14,0),IFERROR(VLOOKUP(A1449,'[2]UPDATE BILL 2018'!$D:$P,13,0),IFERROR(VLOOKUP(A1449,'[2]UPDATE BILL 2018'!$E:$P,12,0),IFERROR(VLOOKUP(A1449,'[2]UPDATE BILL 2018'!$F:$P,11,0),IFERROR(VLOOKUP(A1449,'[2]UPDATE BILL 2018'!$G:$P,10,0),IFERROR(VLOOKUP(A1449,'[2]UPDATE BILL 2018'!$H:$P,9,0),IFERROR(VLOOKUP(A1449,'[2]UPDATE BILL 2018'!$I:$P,8,0),VLOOKUP(A1449,'[2]UPDATE BILL 2018'!$B:$P,15,0)))))))))</f>
        <v>SITWHPKW175620</v>
      </c>
      <c r="AB1449" s="44">
        <f>IFERROR(VLOOKUP(A1449,'[2]UPDATE BILL 2018'!$B:$T,19,0),IFERROR(VLOOKUP(A1449,'[2]UPDATE BILL 2018'!$C:$T,18,0),IFERROR(VLOOKUP(A1449,'[2]UPDATE BILL 2018'!$D:$T,17,0),IFERROR(VLOOKUP(A1449,'[2]UPDATE BILL 2018'!$E:$T,16,0),IFERROR(VLOOKUP(A1449,'[2]UPDATE BILL 2018'!$F:$T,15,0),IFERROR(VLOOKUP(A1449,'[2]UPDATE BILL 2018'!$G:$T,14,0),IFERROR(VLOOKUP(A1449,'[2]UPDATE BILL 2018'!$H:$T,13,0),IFERROR(VLOOKUP(A1449,'[2]UPDATE BILL 2018'!$I:$T,12,0),VLOOKUP(A1449,'[2]UPDATE BILL 2018'!$B:$T,19,0)))))))))</f>
        <v>43346</v>
      </c>
      <c r="AC1449" s="44" t="str">
        <f>IFERROR(VLOOKUP(A1449,'[2]UPDATE BILL 2018'!$B:$V,21,0),IFERROR(VLOOKUP(A1449,'[2]UPDATE BILL 2018'!$C:$V,20,0),IFERROR(VLOOKUP(A1449,'[2]UPDATE BILL 2018'!$D:$V,19,0),IFERROR(VLOOKUP(A1449,'[2]UPDATE BILL 2018'!$E:$V,18,0),IFERROR(VLOOKUP(A1449,'[2]UPDATE BILL 2018'!$F:$V,17,0),IFERROR(VLOOKUP(A1449,'[2]UPDATE BILL 2018'!$G:$V,16,0),IFERROR(VLOOKUP(A1449,'[2]UPDATE BILL 2018'!$H:$V,15,0),IFERROR(VLOOKUP(A1449,'[2]UPDATE BILL 2018'!$I:$V,14,0),VLOOKUP(A1449,'[2]UPDATE BILL 2018'!$B:$V,21,0)))))))))</f>
        <v>HYUNDAI HARMONY 1833N</v>
      </c>
      <c r="AD1449" s="14" t="s">
        <v>50</v>
      </c>
      <c r="AE1449" s="24" t="s">
        <v>4024</v>
      </c>
      <c r="AF1449" s="25" t="str">
        <f t="shared" si="133"/>
        <v>VW</v>
      </c>
      <c r="AG1449" t="e">
        <f t="shared" si="134"/>
        <v>#REF!</v>
      </c>
      <c r="AI1449" s="58"/>
    </row>
    <row r="1450" spans="1:41" ht="15.75" customHeight="1">
      <c r="A1450" s="6" t="s">
        <v>3667</v>
      </c>
      <c r="B1450" s="5">
        <v>197</v>
      </c>
      <c r="C1450" s="7">
        <v>23216.16</v>
      </c>
      <c r="D1450" s="7">
        <f t="shared" si="125"/>
        <v>0</v>
      </c>
      <c r="E1450" s="7">
        <v>0</v>
      </c>
      <c r="F1450" s="5">
        <v>0</v>
      </c>
      <c r="G1450" s="7">
        <v>0</v>
      </c>
      <c r="H1450" s="5">
        <v>100</v>
      </c>
      <c r="I1450" s="7">
        <v>11387.2</v>
      </c>
      <c r="J1450" s="7">
        <v>0</v>
      </c>
      <c r="K1450" s="5">
        <v>0</v>
      </c>
      <c r="L1450" s="5">
        <v>0</v>
      </c>
      <c r="M1450" s="5">
        <v>0</v>
      </c>
      <c r="N1450" s="7">
        <f t="shared" si="126"/>
        <v>0</v>
      </c>
      <c r="O1450" s="7">
        <v>0</v>
      </c>
      <c r="P1450" s="7">
        <v>0</v>
      </c>
      <c r="Q1450" s="5">
        <v>0</v>
      </c>
      <c r="S1450" s="7">
        <v>0</v>
      </c>
      <c r="T1450" s="12">
        <v>43340</v>
      </c>
      <c r="U1450" s="4">
        <v>3</v>
      </c>
      <c r="V1450" s="4">
        <v>9</v>
      </c>
      <c r="W1450" s="4">
        <v>9</v>
      </c>
      <c r="X1450" s="45">
        <f t="shared" si="127"/>
        <v>34603.360000000001</v>
      </c>
      <c r="Y1450" s="14" t="s">
        <v>1633</v>
      </c>
      <c r="Z1450" s="14" t="s">
        <v>1492</v>
      </c>
      <c r="AA1450" s="14" t="str">
        <f>IFERROR(VLOOKUP(A1450,'[2]UPDATE BILL 2018'!$B:$P,15,0),IFERROR(VLOOKUP(A1450,'[2]UPDATE BILL 2018'!$C:$P,14,0),IFERROR(VLOOKUP(A1450,'[2]UPDATE BILL 2018'!$D:$P,13,0),IFERROR(VLOOKUP(A1450,'[2]UPDATE BILL 2018'!$E:$P,12,0),IFERROR(VLOOKUP(A1450,'[2]UPDATE BILL 2018'!$F:$P,11,0),IFERROR(VLOOKUP(A1450,'[2]UPDATE BILL 2018'!$G:$P,10,0),IFERROR(VLOOKUP(A1450,'[2]UPDATE BILL 2018'!$H:$P,9,0),IFERROR(VLOOKUP(A1450,'[2]UPDATE BILL 2018'!$I:$P,8,0),VLOOKUP(A1450,'[2]UPDATE BILL 2018'!$B:$P,15,0)))))))))</f>
        <v>KMTCHPH0582285</v>
      </c>
      <c r="AB1450" s="44">
        <f>IFERROR(VLOOKUP(A1450,'[2]UPDATE BILL 2018'!$B:$T,19,0),IFERROR(VLOOKUP(A1450,'[2]UPDATE BILL 2018'!$C:$T,18,0),IFERROR(VLOOKUP(A1450,'[2]UPDATE BILL 2018'!$D:$T,17,0),IFERROR(VLOOKUP(A1450,'[2]UPDATE BILL 2018'!$E:$T,16,0),IFERROR(VLOOKUP(A1450,'[2]UPDATE BILL 2018'!$F:$T,15,0),IFERROR(VLOOKUP(A1450,'[2]UPDATE BILL 2018'!$G:$T,14,0),IFERROR(VLOOKUP(A1450,'[2]UPDATE BILL 2018'!$H:$T,13,0),IFERROR(VLOOKUP(A1450,'[2]UPDATE BILL 2018'!$I:$T,12,0),VLOOKUP(A1450,'[2]UPDATE BILL 2018'!$B:$T,19,0)))))))))</f>
        <v>43346</v>
      </c>
      <c r="AC1450" s="44" t="str">
        <f>IFERROR(VLOOKUP(A1450,'[2]UPDATE BILL 2018'!$B:$V,21,0),IFERROR(VLOOKUP(A1450,'[2]UPDATE BILL 2018'!$C:$V,20,0),IFERROR(VLOOKUP(A1450,'[2]UPDATE BILL 2018'!$D:$V,19,0),IFERROR(VLOOKUP(A1450,'[2]UPDATE BILL 2018'!$E:$V,18,0),IFERROR(VLOOKUP(A1450,'[2]UPDATE BILL 2018'!$F:$V,17,0),IFERROR(VLOOKUP(A1450,'[2]UPDATE BILL 2018'!$G:$V,16,0),IFERROR(VLOOKUP(A1450,'[2]UPDATE BILL 2018'!$H:$V,15,0),IFERROR(VLOOKUP(A1450,'[2]UPDATE BILL 2018'!$I:$V,14,0),VLOOKUP(A1450,'[2]UPDATE BILL 2018'!$B:$V,21,0)))))))))</f>
        <v>STARSHIP AQUILA 1814N</v>
      </c>
      <c r="AD1450" s="14" t="s">
        <v>70</v>
      </c>
      <c r="AE1450" s="24" t="s">
        <v>3677</v>
      </c>
      <c r="AF1450" s="25" t="str">
        <f t="shared" si="133"/>
        <v>VH</v>
      </c>
      <c r="AG1450" t="e">
        <f t="shared" si="134"/>
        <v>#REF!</v>
      </c>
      <c r="AI1450" s="58"/>
    </row>
    <row r="1451" spans="1:41" ht="15.75" customHeight="1">
      <c r="A1451" s="6" t="s">
        <v>3668</v>
      </c>
      <c r="D1451" s="7">
        <f t="shared" si="125"/>
        <v>0</v>
      </c>
      <c r="E1451" s="7">
        <v>0</v>
      </c>
      <c r="F1451" s="5">
        <v>0</v>
      </c>
      <c r="G1451" s="7">
        <v>0</v>
      </c>
      <c r="H1451" s="5">
        <v>0</v>
      </c>
      <c r="I1451" s="7">
        <v>0</v>
      </c>
      <c r="J1451" s="7">
        <v>0</v>
      </c>
      <c r="K1451" s="5">
        <v>0</v>
      </c>
      <c r="L1451" s="5">
        <v>0</v>
      </c>
      <c r="M1451" s="5">
        <v>0</v>
      </c>
      <c r="N1451" s="7">
        <f t="shared" si="126"/>
        <v>0</v>
      </c>
      <c r="O1451" s="7">
        <v>0</v>
      </c>
      <c r="P1451" s="7">
        <v>0</v>
      </c>
      <c r="Q1451" s="5">
        <v>0</v>
      </c>
      <c r="R1451" s="5">
        <v>407</v>
      </c>
      <c r="S1451" s="7">
        <v>41288.5</v>
      </c>
      <c r="T1451" s="12">
        <v>43340</v>
      </c>
      <c r="U1451" s="4">
        <v>1</v>
      </c>
      <c r="V1451" s="4">
        <v>9</v>
      </c>
      <c r="W1451" s="4">
        <v>9</v>
      </c>
      <c r="X1451" s="45">
        <f t="shared" si="127"/>
        <v>41288.5</v>
      </c>
      <c r="Y1451" s="14" t="s">
        <v>58</v>
      </c>
      <c r="Z1451" s="14" t="s">
        <v>1637</v>
      </c>
      <c r="AA1451" s="14" t="str">
        <f>IFERROR(VLOOKUP(A1451,'[2]UPDATE BILL 2018'!$B:$P,15,0),IFERROR(VLOOKUP(A1451,'[2]UPDATE BILL 2018'!$C:$P,14,0),IFERROR(VLOOKUP(A1451,'[2]UPDATE BILL 2018'!$D:$P,13,0),IFERROR(VLOOKUP(A1451,'[2]UPDATE BILL 2018'!$E:$P,12,0),IFERROR(VLOOKUP(A1451,'[2]UPDATE BILL 2018'!$F:$P,11,0),IFERROR(VLOOKUP(A1451,'[2]UPDATE BILL 2018'!$G:$P,10,0),IFERROR(VLOOKUP(A1451,'[2]UPDATE BILL 2018'!$H:$P,9,0),IFERROR(VLOOKUP(A1451,'[2]UPDATE BILL 2018'!$I:$P,8,0),VLOOKUP(A1451,'[2]UPDATE BILL 2018'!$B:$P,15,0)))))))))</f>
        <v>EGLV237800271001</v>
      </c>
      <c r="AB1451" s="44">
        <f>IFERROR(VLOOKUP(A1451,'[2]UPDATE BILL 2018'!$B:$T,19,0),IFERROR(VLOOKUP(A1451,'[2]UPDATE BILL 2018'!$C:$T,18,0),IFERROR(VLOOKUP(A1451,'[2]UPDATE BILL 2018'!$D:$T,17,0),IFERROR(VLOOKUP(A1451,'[2]UPDATE BILL 2018'!$E:$T,16,0),IFERROR(VLOOKUP(A1451,'[2]UPDATE BILL 2018'!$F:$T,15,0),IFERROR(VLOOKUP(A1451,'[2]UPDATE BILL 2018'!$G:$T,14,0),IFERROR(VLOOKUP(A1451,'[2]UPDATE BILL 2018'!$H:$T,13,0),IFERROR(VLOOKUP(A1451,'[2]UPDATE BILL 2018'!$I:$T,12,0),VLOOKUP(A1451,'[2]UPDATE BILL 2018'!$B:$T,19,0)))))))))</f>
        <v>43345</v>
      </c>
      <c r="AC1451" s="44" t="str">
        <f>IFERROR(VLOOKUP(A1451,'[2]UPDATE BILL 2018'!$B:$V,21,0),IFERROR(VLOOKUP(A1451,'[2]UPDATE BILL 2018'!$C:$V,20,0),IFERROR(VLOOKUP(A1451,'[2]UPDATE BILL 2018'!$D:$V,19,0),IFERROR(VLOOKUP(A1451,'[2]UPDATE BILL 2018'!$E:$V,18,0),IFERROR(VLOOKUP(A1451,'[2]UPDATE BILL 2018'!$F:$V,17,0),IFERROR(VLOOKUP(A1451,'[2]UPDATE BILL 2018'!$G:$V,16,0),IFERROR(VLOOKUP(A1451,'[2]UPDATE BILL 2018'!$H:$V,15,0),IFERROR(VLOOKUP(A1451,'[2]UPDATE BILL 2018'!$I:$V,14,0),VLOOKUP(A1451,'[2]UPDATE BILL 2018'!$B:$V,21,0)))))))))</f>
        <v>UNI-ACCORD 0600-566N</v>
      </c>
      <c r="AD1451" s="14" t="s">
        <v>49</v>
      </c>
      <c r="AE1451" s="24" t="s">
        <v>3678</v>
      </c>
      <c r="AF1451" s="25" t="str">
        <f t="shared" si="133"/>
        <v>VN</v>
      </c>
      <c r="AG1451" t="e">
        <f t="shared" si="134"/>
        <v>#REF!</v>
      </c>
      <c r="AI1451" s="58"/>
    </row>
    <row r="1452" spans="1:41" ht="15.75" customHeight="1">
      <c r="A1452" s="6" t="s">
        <v>3669</v>
      </c>
      <c r="B1452" s="5">
        <v>256</v>
      </c>
      <c r="C1452" s="7">
        <v>34360.78</v>
      </c>
      <c r="D1452" s="7">
        <f t="shared" si="125"/>
        <v>0</v>
      </c>
      <c r="E1452" s="7">
        <v>0</v>
      </c>
      <c r="F1452" s="5">
        <v>0</v>
      </c>
      <c r="G1452" s="7">
        <v>0</v>
      </c>
      <c r="H1452" s="5">
        <v>105</v>
      </c>
      <c r="I1452" s="7">
        <v>13559.05</v>
      </c>
      <c r="J1452" s="7">
        <v>0</v>
      </c>
      <c r="K1452" s="5">
        <v>0</v>
      </c>
      <c r="L1452" s="5">
        <v>0</v>
      </c>
      <c r="M1452" s="5">
        <v>128</v>
      </c>
      <c r="N1452" s="7">
        <f t="shared" si="126"/>
        <v>128</v>
      </c>
      <c r="O1452" s="7">
        <v>8672.4</v>
      </c>
      <c r="P1452" s="7">
        <v>0</v>
      </c>
      <c r="Q1452" s="5">
        <v>0</v>
      </c>
      <c r="S1452" s="7">
        <v>0</v>
      </c>
      <c r="T1452" s="12">
        <v>43340</v>
      </c>
      <c r="U1452" s="4">
        <v>5</v>
      </c>
      <c r="V1452" s="4">
        <v>9</v>
      </c>
      <c r="W1452" s="4">
        <v>9</v>
      </c>
      <c r="X1452" s="45">
        <f t="shared" si="127"/>
        <v>56592.23</v>
      </c>
      <c r="Y1452" s="14" t="s">
        <v>56</v>
      </c>
      <c r="Z1452" s="14" t="s">
        <v>59</v>
      </c>
      <c r="AA1452" s="14" t="str">
        <f>IFERROR(VLOOKUP(A1452,'[2]UPDATE BILL 2018'!$B:$P,15,0),IFERROR(VLOOKUP(A1452,'[2]UPDATE BILL 2018'!$C:$P,14,0),IFERROR(VLOOKUP(A1452,'[2]UPDATE BILL 2018'!$D:$P,13,0),IFERROR(VLOOKUP(A1452,'[2]UPDATE BILL 2018'!$E:$P,12,0),IFERROR(VLOOKUP(A1452,'[2]UPDATE BILL 2018'!$F:$P,11,0),IFERROR(VLOOKUP(A1452,'[2]UPDATE BILL 2018'!$G:$P,10,0),IFERROR(VLOOKUP(A1452,'[2]UPDATE BILL 2018'!$H:$P,9,0),IFERROR(VLOOKUP(A1452,'[2]UPDATE BILL 2018'!$I:$P,8,0),VLOOKUP(A1452,'[2]UPDATE BILL 2018'!$B:$P,15,0)))))))))</f>
        <v>1008X04868</v>
      </c>
      <c r="AB1452" s="44">
        <f>IFERROR(VLOOKUP(A1452,'[2]UPDATE BILL 2018'!$B:$T,19,0),IFERROR(VLOOKUP(A1452,'[2]UPDATE BILL 2018'!$C:$T,18,0),IFERROR(VLOOKUP(A1452,'[2]UPDATE BILL 2018'!$D:$T,17,0),IFERROR(VLOOKUP(A1452,'[2]UPDATE BILL 2018'!$E:$T,16,0),IFERROR(VLOOKUP(A1452,'[2]UPDATE BILL 2018'!$F:$T,15,0),IFERROR(VLOOKUP(A1452,'[2]UPDATE BILL 2018'!$G:$T,14,0),IFERROR(VLOOKUP(A1452,'[2]UPDATE BILL 2018'!$H:$T,13,0),IFERROR(VLOOKUP(A1452,'[2]UPDATE BILL 2018'!$I:$T,12,0),VLOOKUP(A1452,'[2]UPDATE BILL 2018'!$B:$T,19,0)))))))))</f>
        <v>43344</v>
      </c>
      <c r="AC1452" s="44" t="str">
        <f>IFERROR(VLOOKUP(A1452,'[2]UPDATE BILL 2018'!$B:$V,21,0),IFERROR(VLOOKUP(A1452,'[2]UPDATE BILL 2018'!$C:$V,20,0),IFERROR(VLOOKUP(A1452,'[2]UPDATE BILL 2018'!$D:$V,19,0),IFERROR(VLOOKUP(A1452,'[2]UPDATE BILL 2018'!$E:$V,18,0),IFERROR(VLOOKUP(A1452,'[2]UPDATE BILL 2018'!$F:$V,17,0),IFERROR(VLOOKUP(A1452,'[2]UPDATE BILL 2018'!$G:$V,16,0),IFERROR(VLOOKUP(A1452,'[2]UPDATE BILL 2018'!$H:$V,15,0),IFERROR(VLOOKUP(A1452,'[2]UPDATE BILL 2018'!$I:$V,14,0),VLOOKUP(A1452,'[2]UPDATE BILL 2018'!$B:$V,21,0)))))))))</f>
        <v>PAOLA N028</v>
      </c>
      <c r="AD1452" s="14" t="s">
        <v>52</v>
      </c>
      <c r="AE1452" s="24" t="s">
        <v>3679</v>
      </c>
      <c r="AF1452" s="25" t="str">
        <f t="shared" si="133"/>
        <v>VQ</v>
      </c>
      <c r="AG1452" t="e">
        <f t="shared" si="134"/>
        <v>#REF!</v>
      </c>
      <c r="AI1452" s="58"/>
    </row>
    <row r="1453" spans="1:41" ht="15.75" customHeight="1">
      <c r="A1453" s="6" t="s">
        <v>3670</v>
      </c>
      <c r="B1453" s="5">
        <v>113</v>
      </c>
      <c r="C1453" s="7">
        <v>12609.38</v>
      </c>
      <c r="D1453" s="7">
        <f t="shared" si="125"/>
        <v>0</v>
      </c>
      <c r="E1453" s="7">
        <v>0</v>
      </c>
      <c r="F1453" s="5">
        <v>0</v>
      </c>
      <c r="G1453" s="7">
        <v>0</v>
      </c>
      <c r="H1453" s="5">
        <v>205</v>
      </c>
      <c r="I1453" s="7">
        <v>23160.5</v>
      </c>
      <c r="J1453" s="7">
        <v>0</v>
      </c>
      <c r="K1453" s="5">
        <v>0</v>
      </c>
      <c r="L1453" s="5">
        <v>0</v>
      </c>
      <c r="M1453" s="5">
        <v>0</v>
      </c>
      <c r="N1453" s="7">
        <f t="shared" si="126"/>
        <v>0</v>
      </c>
      <c r="O1453" s="7">
        <v>0</v>
      </c>
      <c r="P1453" s="7">
        <v>0</v>
      </c>
      <c r="Q1453" s="5">
        <v>0</v>
      </c>
      <c r="S1453" s="7">
        <v>0</v>
      </c>
      <c r="T1453" s="12">
        <v>43340</v>
      </c>
      <c r="U1453" s="4">
        <v>3</v>
      </c>
      <c r="V1453" s="4">
        <v>9</v>
      </c>
      <c r="W1453" s="4">
        <v>9</v>
      </c>
      <c r="X1453" s="45">
        <f t="shared" si="127"/>
        <v>35769.879999999997</v>
      </c>
      <c r="Y1453" s="14" t="s">
        <v>56</v>
      </c>
      <c r="Z1453" s="14" t="s">
        <v>1281</v>
      </c>
      <c r="AA1453" s="14" t="str">
        <f>IFERROR(VLOOKUP(A1453,'[2]UPDATE BILL 2018'!$B:$P,15,0),IFERROR(VLOOKUP(A1453,'[2]UPDATE BILL 2018'!$C:$P,14,0),IFERROR(VLOOKUP(A1453,'[2]UPDATE BILL 2018'!$D:$P,13,0),IFERROR(VLOOKUP(A1453,'[2]UPDATE BILL 2018'!$E:$P,12,0),IFERROR(VLOOKUP(A1453,'[2]UPDATE BILL 2018'!$F:$P,11,0),IFERROR(VLOOKUP(A1453,'[2]UPDATE BILL 2018'!$G:$P,10,0),IFERROR(VLOOKUP(A1453,'[2]UPDATE BILL 2018'!$H:$P,9,0),IFERROR(VLOOKUP(A1453,'[2]UPDATE BILL 2018'!$I:$P,8,0),VLOOKUP(A1453,'[2]UPDATE BILL 2018'!$B:$P,15,0)))))))))</f>
        <v>1008X04871</v>
      </c>
      <c r="AB1453" s="44">
        <f>IFERROR(VLOOKUP(A1453,'[2]UPDATE BILL 2018'!$B:$T,19,0),IFERROR(VLOOKUP(A1453,'[2]UPDATE BILL 2018'!$C:$T,18,0),IFERROR(VLOOKUP(A1453,'[2]UPDATE BILL 2018'!$D:$T,17,0),IFERROR(VLOOKUP(A1453,'[2]UPDATE BILL 2018'!$E:$T,16,0),IFERROR(VLOOKUP(A1453,'[2]UPDATE BILL 2018'!$F:$T,15,0),IFERROR(VLOOKUP(A1453,'[2]UPDATE BILL 2018'!$G:$T,14,0),IFERROR(VLOOKUP(A1453,'[2]UPDATE BILL 2018'!$H:$T,13,0),IFERROR(VLOOKUP(A1453,'[2]UPDATE BILL 2018'!$I:$T,12,0),VLOOKUP(A1453,'[2]UPDATE BILL 2018'!$B:$T,19,0)))))))))</f>
        <v>43348</v>
      </c>
      <c r="AC1453" s="44" t="str">
        <f>IFERROR(VLOOKUP(A1453,'[2]UPDATE BILL 2018'!$B:$V,21,0),IFERROR(VLOOKUP(A1453,'[2]UPDATE BILL 2018'!$C:$V,20,0),IFERROR(VLOOKUP(A1453,'[2]UPDATE BILL 2018'!$D:$V,19,0),IFERROR(VLOOKUP(A1453,'[2]UPDATE BILL 2018'!$E:$V,18,0),IFERROR(VLOOKUP(A1453,'[2]UPDATE BILL 2018'!$F:$V,17,0),IFERROR(VLOOKUP(A1453,'[2]UPDATE BILL 2018'!$G:$V,16,0),IFERROR(VLOOKUP(A1453,'[2]UPDATE BILL 2018'!$H:$V,15,0),IFERROR(VLOOKUP(A1453,'[2]UPDATE BILL 2018'!$I:$V,14,0),VLOOKUP(A1453,'[2]UPDATE BILL 2018'!$B:$V,21,0)))))))))</f>
        <v>CAPE FLINT N005</v>
      </c>
      <c r="AD1453" s="14" t="s">
        <v>52</v>
      </c>
      <c r="AE1453" s="24" t="s">
        <v>3680</v>
      </c>
      <c r="AF1453" s="25" t="str">
        <f t="shared" si="133"/>
        <v>VQ</v>
      </c>
      <c r="AG1453" t="e">
        <f t="shared" si="134"/>
        <v>#REF!</v>
      </c>
      <c r="AI1453" s="58"/>
    </row>
    <row r="1454" spans="1:41" ht="15.75" customHeight="1">
      <c r="A1454" s="6" t="s">
        <v>3671</v>
      </c>
      <c r="B1454" s="5">
        <v>85</v>
      </c>
      <c r="C1454" s="7">
        <v>11346.4</v>
      </c>
      <c r="D1454" s="7">
        <f t="shared" si="125"/>
        <v>0</v>
      </c>
      <c r="E1454" s="7">
        <v>0</v>
      </c>
      <c r="F1454" s="5">
        <v>0</v>
      </c>
      <c r="G1454" s="7">
        <v>0</v>
      </c>
      <c r="H1454" s="5">
        <v>120</v>
      </c>
      <c r="I1454" s="7">
        <v>14665.8</v>
      </c>
      <c r="J1454" s="7">
        <v>0</v>
      </c>
      <c r="K1454" s="5">
        <v>0</v>
      </c>
      <c r="L1454" s="5">
        <v>0</v>
      </c>
      <c r="M1454" s="5">
        <v>259</v>
      </c>
      <c r="N1454" s="7">
        <f t="shared" si="126"/>
        <v>259</v>
      </c>
      <c r="O1454" s="7">
        <v>36259.599999999999</v>
      </c>
      <c r="P1454" s="7">
        <v>0</v>
      </c>
      <c r="Q1454" s="5">
        <v>0</v>
      </c>
      <c r="S1454" s="7">
        <v>0</v>
      </c>
      <c r="T1454" s="12">
        <v>43340</v>
      </c>
      <c r="U1454" s="4">
        <v>6</v>
      </c>
      <c r="V1454" s="4">
        <v>9</v>
      </c>
      <c r="W1454" s="4">
        <v>9</v>
      </c>
      <c r="X1454" s="45">
        <f t="shared" si="127"/>
        <v>62271.799999999996</v>
      </c>
      <c r="Y1454" s="14" t="s">
        <v>56</v>
      </c>
      <c r="Z1454" s="14" t="s">
        <v>1281</v>
      </c>
      <c r="AA1454" s="14" t="str">
        <f>IFERROR(VLOOKUP(A1454,'[2]UPDATE BILL 2018'!$B:$P,15,0),IFERROR(VLOOKUP(A1454,'[2]UPDATE BILL 2018'!$C:$P,14,0),IFERROR(VLOOKUP(A1454,'[2]UPDATE BILL 2018'!$D:$P,13,0),IFERROR(VLOOKUP(A1454,'[2]UPDATE BILL 2018'!$E:$P,12,0),IFERROR(VLOOKUP(A1454,'[2]UPDATE BILL 2018'!$F:$P,11,0),IFERROR(VLOOKUP(A1454,'[2]UPDATE BILL 2018'!$G:$P,10,0),IFERROR(VLOOKUP(A1454,'[2]UPDATE BILL 2018'!$H:$P,9,0),IFERROR(VLOOKUP(A1454,'[2]UPDATE BILL 2018'!$I:$P,8,0),VLOOKUP(A1454,'[2]UPDATE BILL 2018'!$B:$P,15,0)))))))))</f>
        <v>1008X04866</v>
      </c>
      <c r="AB1454" s="44">
        <f>IFERROR(VLOOKUP(A1454,'[2]UPDATE BILL 2018'!$B:$T,19,0),IFERROR(VLOOKUP(A1454,'[2]UPDATE BILL 2018'!$C:$T,18,0),IFERROR(VLOOKUP(A1454,'[2]UPDATE BILL 2018'!$D:$T,17,0),IFERROR(VLOOKUP(A1454,'[2]UPDATE BILL 2018'!$E:$T,16,0),IFERROR(VLOOKUP(A1454,'[2]UPDATE BILL 2018'!$F:$T,15,0),IFERROR(VLOOKUP(A1454,'[2]UPDATE BILL 2018'!$G:$T,14,0),IFERROR(VLOOKUP(A1454,'[2]UPDATE BILL 2018'!$H:$T,13,0),IFERROR(VLOOKUP(A1454,'[2]UPDATE BILL 2018'!$I:$T,12,0),VLOOKUP(A1454,'[2]UPDATE BILL 2018'!$B:$T,19,0)))))))))</f>
        <v>43344</v>
      </c>
      <c r="AC1454" s="44" t="str">
        <f>IFERROR(VLOOKUP(A1454,'[2]UPDATE BILL 2018'!$B:$V,21,0),IFERROR(VLOOKUP(A1454,'[2]UPDATE BILL 2018'!$C:$V,20,0),IFERROR(VLOOKUP(A1454,'[2]UPDATE BILL 2018'!$D:$V,19,0),IFERROR(VLOOKUP(A1454,'[2]UPDATE BILL 2018'!$E:$V,18,0),IFERROR(VLOOKUP(A1454,'[2]UPDATE BILL 2018'!$F:$V,17,0),IFERROR(VLOOKUP(A1454,'[2]UPDATE BILL 2018'!$G:$V,16,0),IFERROR(VLOOKUP(A1454,'[2]UPDATE BILL 2018'!$H:$V,15,0),IFERROR(VLOOKUP(A1454,'[2]UPDATE BILL 2018'!$I:$V,14,0),VLOOKUP(A1454,'[2]UPDATE BILL 2018'!$B:$V,21,0)))))))))</f>
        <v>PAOLA N028</v>
      </c>
      <c r="AD1454" s="14" t="s">
        <v>51</v>
      </c>
      <c r="AE1454" s="24" t="s">
        <v>3681</v>
      </c>
      <c r="AF1454" s="25" t="str">
        <f t="shared" si="133"/>
        <v>VS</v>
      </c>
      <c r="AG1454" t="e">
        <f t="shared" si="134"/>
        <v>#REF!</v>
      </c>
      <c r="AI1454" s="58"/>
    </row>
    <row r="1455" spans="1:41" ht="15.75" customHeight="1">
      <c r="A1455" s="6" t="s">
        <v>3672</v>
      </c>
      <c r="B1455" s="5">
        <v>400</v>
      </c>
      <c r="C1455" s="7">
        <v>53505</v>
      </c>
      <c r="D1455" s="7">
        <f t="shared" si="125"/>
        <v>0</v>
      </c>
      <c r="E1455" s="7">
        <v>0</v>
      </c>
      <c r="F1455" s="5">
        <v>0</v>
      </c>
      <c r="G1455" s="7">
        <v>0</v>
      </c>
      <c r="H1455" s="5">
        <v>0</v>
      </c>
      <c r="I1455" s="7">
        <v>0</v>
      </c>
      <c r="J1455" s="7">
        <v>0</v>
      </c>
      <c r="K1455" s="5">
        <v>0</v>
      </c>
      <c r="L1455" s="5">
        <v>0</v>
      </c>
      <c r="M1455" s="5">
        <v>52</v>
      </c>
      <c r="N1455" s="7">
        <f t="shared" si="126"/>
        <v>52</v>
      </c>
      <c r="O1455" s="7">
        <v>9797.4</v>
      </c>
      <c r="P1455" s="7">
        <v>0</v>
      </c>
      <c r="Q1455" s="5">
        <v>0</v>
      </c>
      <c r="S1455" s="7">
        <v>0</v>
      </c>
      <c r="T1455" s="12">
        <v>43340</v>
      </c>
      <c r="U1455" s="4">
        <v>5</v>
      </c>
      <c r="V1455" s="4">
        <v>9</v>
      </c>
      <c r="W1455" s="4">
        <v>9</v>
      </c>
      <c r="X1455" s="45">
        <f t="shared" si="127"/>
        <v>63302.400000000001</v>
      </c>
      <c r="Y1455" s="14" t="s">
        <v>85</v>
      </c>
      <c r="Z1455" s="14" t="s">
        <v>57</v>
      </c>
      <c r="AA1455" s="14">
        <f>IFERROR(VLOOKUP(A1455,'[2]UPDATE BILL 2018'!$B:$P,15,0),IFERROR(VLOOKUP(A1455,'[2]UPDATE BILL 2018'!$C:$P,14,0),IFERROR(VLOOKUP(A1455,'[2]UPDATE BILL 2018'!$D:$P,13,0),IFERROR(VLOOKUP(A1455,'[2]UPDATE BILL 2018'!$E:$P,12,0),IFERROR(VLOOKUP(A1455,'[2]UPDATE BILL 2018'!$F:$P,11,0),IFERROR(VLOOKUP(A1455,'[2]UPDATE BILL 2018'!$G:$P,10,0),IFERROR(VLOOKUP(A1455,'[2]UPDATE BILL 2018'!$H:$P,9,0),IFERROR(VLOOKUP(A1455,'[2]UPDATE BILL 2018'!$I:$P,8,0),VLOOKUP(A1455,'[2]UPDATE BILL 2018'!$B:$P,15,0)))))))))</f>
        <v>350810102204</v>
      </c>
      <c r="AB1455" s="44">
        <f>IFERROR(VLOOKUP(A1455,'[2]UPDATE BILL 2018'!$B:$T,19,0),IFERROR(VLOOKUP(A1455,'[2]UPDATE BILL 2018'!$C:$T,18,0),IFERROR(VLOOKUP(A1455,'[2]UPDATE BILL 2018'!$D:$T,17,0),IFERROR(VLOOKUP(A1455,'[2]UPDATE BILL 2018'!$E:$T,16,0),IFERROR(VLOOKUP(A1455,'[2]UPDATE BILL 2018'!$F:$T,15,0),IFERROR(VLOOKUP(A1455,'[2]UPDATE BILL 2018'!$G:$T,14,0),IFERROR(VLOOKUP(A1455,'[2]UPDATE BILL 2018'!$H:$T,13,0),IFERROR(VLOOKUP(A1455,'[2]UPDATE BILL 2018'!$I:$T,12,0),VLOOKUP(A1455,'[2]UPDATE BILL 2018'!$B:$T,19,0)))))))))</f>
        <v>43346</v>
      </c>
      <c r="AC1455" s="44" t="str">
        <f>IFERROR(VLOOKUP(A1455,'[2]UPDATE BILL 2018'!$B:$V,21,0),IFERROR(VLOOKUP(A1455,'[2]UPDATE BILL 2018'!$C:$V,20,0),IFERROR(VLOOKUP(A1455,'[2]UPDATE BILL 2018'!$D:$V,19,0),IFERROR(VLOOKUP(A1455,'[2]UPDATE BILL 2018'!$E:$V,18,0),IFERROR(VLOOKUP(A1455,'[2]UPDATE BILL 2018'!$F:$V,17,0),IFERROR(VLOOKUP(A1455,'[2]UPDATE BILL 2018'!$G:$V,16,0),IFERROR(VLOOKUP(A1455,'[2]UPDATE BILL 2018'!$H:$V,15,0),IFERROR(VLOOKUP(A1455,'[2]UPDATE BILL 2018'!$I:$V,14,0),VLOOKUP(A1455,'[2]UPDATE BILL 2018'!$B:$V,21,0)))))))))</f>
        <v>LANTAU BEE 18012N</v>
      </c>
      <c r="AD1455" s="14" t="s">
        <v>51</v>
      </c>
      <c r="AE1455" s="24" t="s">
        <v>3682</v>
      </c>
      <c r="AF1455" s="25" t="str">
        <f t="shared" si="133"/>
        <v>VS</v>
      </c>
      <c r="AG1455" t="e">
        <f t="shared" si="134"/>
        <v>#REF!</v>
      </c>
      <c r="AI1455" s="58"/>
    </row>
    <row r="1456" spans="1:41" ht="15.75" customHeight="1">
      <c r="A1456" s="6" t="s">
        <v>3673</v>
      </c>
      <c r="D1456" s="7">
        <f t="shared" si="125"/>
        <v>0</v>
      </c>
      <c r="E1456" s="7">
        <v>0</v>
      </c>
      <c r="F1456" s="5">
        <v>0</v>
      </c>
      <c r="G1456" s="7">
        <v>0</v>
      </c>
      <c r="H1456" s="5">
        <v>120</v>
      </c>
      <c r="I1456" s="7">
        <v>13050.9</v>
      </c>
      <c r="J1456" s="7">
        <v>0</v>
      </c>
      <c r="K1456" s="5">
        <v>0</v>
      </c>
      <c r="L1456" s="5">
        <v>0</v>
      </c>
      <c r="M1456" s="5">
        <v>83</v>
      </c>
      <c r="N1456" s="7">
        <f t="shared" si="126"/>
        <v>83</v>
      </c>
      <c r="O1456" s="7">
        <v>16093.9</v>
      </c>
      <c r="P1456" s="7">
        <v>0</v>
      </c>
      <c r="Q1456" s="5">
        <v>0</v>
      </c>
      <c r="S1456" s="7">
        <v>0</v>
      </c>
      <c r="T1456" s="12">
        <v>43340</v>
      </c>
      <c r="U1456" s="4">
        <v>3</v>
      </c>
      <c r="V1456" s="4">
        <v>9</v>
      </c>
      <c r="W1456" s="4">
        <v>9</v>
      </c>
      <c r="X1456" s="45">
        <f t="shared" si="127"/>
        <v>29144.799999999999</v>
      </c>
      <c r="Y1456" s="14" t="s">
        <v>56</v>
      </c>
      <c r="Z1456" s="14" t="s">
        <v>1355</v>
      </c>
      <c r="AA1456" s="14" t="str">
        <f>IFERROR(VLOOKUP(A1456,'[2]UPDATE BILL 2018'!$B:$P,15,0),IFERROR(VLOOKUP(A1456,'[2]UPDATE BILL 2018'!$C:$P,14,0),IFERROR(VLOOKUP(A1456,'[2]UPDATE BILL 2018'!$D:$P,13,0),IFERROR(VLOOKUP(A1456,'[2]UPDATE BILL 2018'!$E:$P,12,0),IFERROR(VLOOKUP(A1456,'[2]UPDATE BILL 2018'!$F:$P,11,0),IFERROR(VLOOKUP(A1456,'[2]UPDATE BILL 2018'!$G:$P,10,0),IFERROR(VLOOKUP(A1456,'[2]UPDATE BILL 2018'!$H:$P,9,0),IFERROR(VLOOKUP(A1456,'[2]UPDATE BILL 2018'!$I:$P,8,0),VLOOKUP(A1456,'[2]UPDATE BILL 2018'!$B:$P,15,0)))))))))</f>
        <v>1008X04870</v>
      </c>
      <c r="AB1456" s="44">
        <f>IFERROR(VLOOKUP(A1456,'[2]UPDATE BILL 2018'!$B:$T,19,0),IFERROR(VLOOKUP(A1456,'[2]UPDATE BILL 2018'!$C:$T,18,0),IFERROR(VLOOKUP(A1456,'[2]UPDATE BILL 2018'!$D:$T,17,0),IFERROR(VLOOKUP(A1456,'[2]UPDATE BILL 2018'!$E:$T,16,0),IFERROR(VLOOKUP(A1456,'[2]UPDATE BILL 2018'!$F:$T,15,0),IFERROR(VLOOKUP(A1456,'[2]UPDATE BILL 2018'!$G:$T,14,0),IFERROR(VLOOKUP(A1456,'[2]UPDATE BILL 2018'!$H:$T,13,0),IFERROR(VLOOKUP(A1456,'[2]UPDATE BILL 2018'!$I:$T,12,0),VLOOKUP(A1456,'[2]UPDATE BILL 2018'!$B:$T,19,0)))))))))</f>
        <v>43350</v>
      </c>
      <c r="AC1456" s="44" t="str">
        <f>IFERROR(VLOOKUP(A1456,'[2]UPDATE BILL 2018'!$B:$V,21,0),IFERROR(VLOOKUP(A1456,'[2]UPDATE BILL 2018'!$C:$V,20,0),IFERROR(VLOOKUP(A1456,'[2]UPDATE BILL 2018'!$D:$V,19,0),IFERROR(VLOOKUP(A1456,'[2]UPDATE BILL 2018'!$E:$V,18,0),IFERROR(VLOOKUP(A1456,'[2]UPDATE BILL 2018'!$F:$V,17,0),IFERROR(VLOOKUP(A1456,'[2]UPDATE BILL 2018'!$G:$V,16,0),IFERROR(VLOOKUP(A1456,'[2]UPDATE BILL 2018'!$H:$V,15,0),IFERROR(VLOOKUP(A1456,'[2]UPDATE BILL 2018'!$I:$V,14,0),VLOOKUP(A1456,'[2]UPDATE BILL 2018'!$B:$V,21,0)))))))))</f>
        <v>AS FIONA N009</v>
      </c>
      <c r="AD1456" s="14" t="s">
        <v>51</v>
      </c>
      <c r="AE1456" s="24" t="s">
        <v>3683</v>
      </c>
      <c r="AF1456" s="25" t="str">
        <f t="shared" si="133"/>
        <v>VS</v>
      </c>
      <c r="AG1456" t="e">
        <f t="shared" si="134"/>
        <v>#REF!</v>
      </c>
      <c r="AI1456" s="58"/>
    </row>
    <row r="1457" spans="1:35" ht="15.75" customHeight="1">
      <c r="A1457" s="6" t="s">
        <v>3674</v>
      </c>
      <c r="B1457" s="5">
        <v>319</v>
      </c>
      <c r="C1457" s="7">
        <v>28233.86</v>
      </c>
      <c r="D1457" s="7">
        <f t="shared" si="125"/>
        <v>0</v>
      </c>
      <c r="E1457" s="7">
        <v>0</v>
      </c>
      <c r="F1457" s="5">
        <v>0</v>
      </c>
      <c r="G1457" s="7">
        <v>0</v>
      </c>
      <c r="H1457" s="5">
        <v>0</v>
      </c>
      <c r="I1457" s="7">
        <v>0</v>
      </c>
      <c r="J1457" s="7">
        <v>0</v>
      </c>
      <c r="K1457" s="5">
        <v>0</v>
      </c>
      <c r="L1457" s="5">
        <v>0</v>
      </c>
      <c r="M1457" s="5">
        <v>157</v>
      </c>
      <c r="N1457" s="7">
        <f t="shared" si="126"/>
        <v>157</v>
      </c>
      <c r="O1457" s="7">
        <v>31113.999999999993</v>
      </c>
      <c r="P1457" s="7">
        <v>0</v>
      </c>
      <c r="Q1457" s="5">
        <v>0</v>
      </c>
      <c r="R1457" s="5">
        <v>76</v>
      </c>
      <c r="S1457" s="7">
        <v>16059.099999999999</v>
      </c>
      <c r="T1457" s="12">
        <v>43340</v>
      </c>
      <c r="U1457" s="4">
        <v>6</v>
      </c>
      <c r="V1457" s="4">
        <v>9</v>
      </c>
      <c r="W1457" s="4">
        <v>9</v>
      </c>
      <c r="X1457" s="45">
        <f t="shared" si="127"/>
        <v>75406.959999999992</v>
      </c>
      <c r="Y1457" s="14" t="s">
        <v>54</v>
      </c>
      <c r="Z1457" s="14" t="s">
        <v>59</v>
      </c>
      <c r="AA1457" s="14" t="str">
        <f>IFERROR(VLOOKUP(A1457,'[2]UPDATE BILL 2018'!$B:$P,15,0),IFERROR(VLOOKUP(A1457,'[2]UPDATE BILL 2018'!$C:$P,14,0),IFERROR(VLOOKUP(A1457,'[2]UPDATE BILL 2018'!$D:$P,13,0),IFERROR(VLOOKUP(A1457,'[2]UPDATE BILL 2018'!$E:$P,12,0),IFERROR(VLOOKUP(A1457,'[2]UPDATE BILL 2018'!$F:$P,11,0),IFERROR(VLOOKUP(A1457,'[2]UPDATE BILL 2018'!$G:$P,10,0),IFERROR(VLOOKUP(A1457,'[2]UPDATE BILL 2018'!$H:$P,9,0),IFERROR(VLOOKUP(A1457,'[2]UPDATE BILL 2018'!$I:$P,8,0),VLOOKUP(A1457,'[2]UPDATE BILL 2018'!$B:$P,15,0)))))))))</f>
        <v>SITWHPKW175620</v>
      </c>
      <c r="AB1457" s="44">
        <f>IFERROR(VLOOKUP(A1457,'[2]UPDATE BILL 2018'!$B:$T,19,0),IFERROR(VLOOKUP(A1457,'[2]UPDATE BILL 2018'!$C:$T,18,0),IFERROR(VLOOKUP(A1457,'[2]UPDATE BILL 2018'!$D:$T,17,0),IFERROR(VLOOKUP(A1457,'[2]UPDATE BILL 2018'!$E:$T,16,0),IFERROR(VLOOKUP(A1457,'[2]UPDATE BILL 2018'!$F:$T,15,0),IFERROR(VLOOKUP(A1457,'[2]UPDATE BILL 2018'!$G:$T,14,0),IFERROR(VLOOKUP(A1457,'[2]UPDATE BILL 2018'!$H:$T,13,0),IFERROR(VLOOKUP(A1457,'[2]UPDATE BILL 2018'!$I:$T,12,0),VLOOKUP(A1457,'[2]UPDATE BILL 2018'!$B:$T,19,0)))))))))</f>
        <v>43346</v>
      </c>
      <c r="AC1457" s="44" t="str">
        <f>IFERROR(VLOOKUP(A1457,'[2]UPDATE BILL 2018'!$B:$V,21,0),IFERROR(VLOOKUP(A1457,'[2]UPDATE BILL 2018'!$C:$V,20,0),IFERROR(VLOOKUP(A1457,'[2]UPDATE BILL 2018'!$D:$V,19,0),IFERROR(VLOOKUP(A1457,'[2]UPDATE BILL 2018'!$E:$V,18,0),IFERROR(VLOOKUP(A1457,'[2]UPDATE BILL 2018'!$F:$V,17,0),IFERROR(VLOOKUP(A1457,'[2]UPDATE BILL 2018'!$G:$V,16,0),IFERROR(VLOOKUP(A1457,'[2]UPDATE BILL 2018'!$H:$V,15,0),IFERROR(VLOOKUP(A1457,'[2]UPDATE BILL 2018'!$I:$V,14,0),VLOOKUP(A1457,'[2]UPDATE BILL 2018'!$B:$V,21,0)))))))))</f>
        <v>HYUNDAI HARMONY 1833N</v>
      </c>
      <c r="AD1457" s="14" t="s">
        <v>50</v>
      </c>
      <c r="AE1457" s="24" t="s">
        <v>3684</v>
      </c>
      <c r="AF1457" s="25" t="str">
        <f t="shared" si="133"/>
        <v>VW</v>
      </c>
      <c r="AG1457" t="e">
        <f t="shared" si="134"/>
        <v>#REF!</v>
      </c>
      <c r="AI1457" s="58"/>
    </row>
    <row r="1458" spans="1:35" ht="15.75" customHeight="1">
      <c r="A1458" s="6" t="s">
        <v>3675</v>
      </c>
      <c r="B1458" s="5">
        <v>130</v>
      </c>
      <c r="C1458" s="7">
        <v>13234.5</v>
      </c>
      <c r="D1458" s="7">
        <f t="shared" si="125"/>
        <v>0</v>
      </c>
      <c r="E1458" s="7">
        <v>0</v>
      </c>
      <c r="F1458" s="5">
        <v>0</v>
      </c>
      <c r="G1458" s="7">
        <v>0</v>
      </c>
      <c r="H1458" s="5">
        <v>0</v>
      </c>
      <c r="I1458" s="7">
        <v>0</v>
      </c>
      <c r="J1458" s="7">
        <v>0</v>
      </c>
      <c r="K1458" s="5">
        <v>0</v>
      </c>
      <c r="L1458" s="5">
        <v>0</v>
      </c>
      <c r="M1458" s="5">
        <v>86</v>
      </c>
      <c r="N1458" s="7">
        <f t="shared" si="126"/>
        <v>86</v>
      </c>
      <c r="O1458" s="7">
        <v>17160</v>
      </c>
      <c r="P1458" s="7">
        <v>0</v>
      </c>
      <c r="Q1458" s="5">
        <v>0</v>
      </c>
      <c r="S1458" s="7">
        <v>0</v>
      </c>
      <c r="T1458" s="12">
        <v>43340</v>
      </c>
      <c r="U1458" s="4">
        <v>3</v>
      </c>
      <c r="V1458" s="4">
        <v>9</v>
      </c>
      <c r="W1458" s="4">
        <v>9</v>
      </c>
      <c r="X1458" s="45">
        <f t="shared" si="127"/>
        <v>30394.5</v>
      </c>
      <c r="Y1458" s="14" t="s">
        <v>54</v>
      </c>
      <c r="Z1458" s="14" t="s">
        <v>1281</v>
      </c>
      <c r="AA1458" s="14" t="str">
        <f>IFERROR(VLOOKUP(A1458,'[2]UPDATE BILL 2018'!$B:$P,15,0),IFERROR(VLOOKUP(A1458,'[2]UPDATE BILL 2018'!$C:$P,14,0),IFERROR(VLOOKUP(A1458,'[2]UPDATE BILL 2018'!$D:$P,13,0),IFERROR(VLOOKUP(A1458,'[2]UPDATE BILL 2018'!$E:$P,12,0),IFERROR(VLOOKUP(A1458,'[2]UPDATE BILL 2018'!$F:$P,11,0),IFERROR(VLOOKUP(A1458,'[2]UPDATE BILL 2018'!$G:$P,10,0),IFERROR(VLOOKUP(A1458,'[2]UPDATE BILL 2018'!$H:$P,9,0),IFERROR(VLOOKUP(A1458,'[2]UPDATE BILL 2018'!$I:$P,8,0),VLOOKUP(A1458,'[2]UPDATE BILL 2018'!$B:$P,15,0)))))))))</f>
        <v>SITWHPKW176264</v>
      </c>
      <c r="AB1458" s="44">
        <f>IFERROR(VLOOKUP(A1458,'[2]UPDATE BILL 2018'!$B:$T,19,0),IFERROR(VLOOKUP(A1458,'[2]UPDATE BILL 2018'!$C:$T,18,0),IFERROR(VLOOKUP(A1458,'[2]UPDATE BILL 2018'!$D:$T,17,0),IFERROR(VLOOKUP(A1458,'[2]UPDATE BILL 2018'!$E:$T,16,0),IFERROR(VLOOKUP(A1458,'[2]UPDATE BILL 2018'!$F:$T,15,0),IFERROR(VLOOKUP(A1458,'[2]UPDATE BILL 2018'!$G:$T,14,0),IFERROR(VLOOKUP(A1458,'[2]UPDATE BILL 2018'!$H:$T,13,0),IFERROR(VLOOKUP(A1458,'[2]UPDATE BILL 2018'!$I:$T,12,0),VLOOKUP(A1458,'[2]UPDATE BILL 2018'!$B:$T,19,0)))))))))</f>
        <v>43349</v>
      </c>
      <c r="AC1458" s="44" t="str">
        <f>IFERROR(VLOOKUP(A1458,'[2]UPDATE BILL 2018'!$B:$V,21,0),IFERROR(VLOOKUP(A1458,'[2]UPDATE BILL 2018'!$C:$V,20,0),IFERROR(VLOOKUP(A1458,'[2]UPDATE BILL 2018'!$D:$V,19,0),IFERROR(VLOOKUP(A1458,'[2]UPDATE BILL 2018'!$E:$V,18,0),IFERROR(VLOOKUP(A1458,'[2]UPDATE BILL 2018'!$F:$V,17,0),IFERROR(VLOOKUP(A1458,'[2]UPDATE BILL 2018'!$G:$V,16,0),IFERROR(VLOOKUP(A1458,'[2]UPDATE BILL 2018'!$H:$V,15,0),IFERROR(VLOOKUP(A1458,'[2]UPDATE BILL 2018'!$I:$V,14,0),VLOOKUP(A1458,'[2]UPDATE BILL 2018'!$B:$V,21,0)))))))))</f>
        <v>SITC MOJI 1839N</v>
      </c>
      <c r="AD1458" s="14" t="s">
        <v>50</v>
      </c>
      <c r="AE1458" s="24" t="s">
        <v>3685</v>
      </c>
      <c r="AF1458" s="25" t="str">
        <f t="shared" si="133"/>
        <v>VW</v>
      </c>
      <c r="AG1458" t="e">
        <f t="shared" si="134"/>
        <v>#REF!</v>
      </c>
      <c r="AI1458" s="58"/>
    </row>
    <row r="1459" spans="1:35" ht="15.75" customHeight="1">
      <c r="A1459" s="6" t="s">
        <v>3676</v>
      </c>
      <c r="B1459" s="5">
        <v>36</v>
      </c>
      <c r="C1459" s="7">
        <v>4733.2</v>
      </c>
      <c r="D1459" s="7">
        <f t="shared" si="125"/>
        <v>0</v>
      </c>
      <c r="E1459" s="7">
        <v>0</v>
      </c>
      <c r="F1459" s="5">
        <v>0</v>
      </c>
      <c r="G1459" s="7">
        <v>0</v>
      </c>
      <c r="H1459" s="5">
        <v>0</v>
      </c>
      <c r="I1459" s="7">
        <v>0</v>
      </c>
      <c r="J1459" s="7">
        <v>0</v>
      </c>
      <c r="K1459" s="5">
        <v>0</v>
      </c>
      <c r="L1459" s="5">
        <v>0</v>
      </c>
      <c r="M1459" s="5">
        <v>26</v>
      </c>
      <c r="N1459" s="7">
        <f t="shared" si="126"/>
        <v>26</v>
      </c>
      <c r="O1459" s="7">
        <v>4882.9000000000005</v>
      </c>
      <c r="P1459" s="7">
        <v>0</v>
      </c>
      <c r="Q1459" s="5">
        <v>0</v>
      </c>
      <c r="S1459" s="7">
        <v>0</v>
      </c>
      <c r="T1459" s="12">
        <v>43340</v>
      </c>
      <c r="U1459" s="4">
        <v>1</v>
      </c>
      <c r="V1459" s="4">
        <v>9</v>
      </c>
      <c r="W1459" s="4">
        <v>9</v>
      </c>
      <c r="X1459" s="45">
        <f t="shared" si="127"/>
        <v>9616.1</v>
      </c>
      <c r="Y1459" s="14" t="s">
        <v>58</v>
      </c>
      <c r="Z1459" s="14" t="s">
        <v>1492</v>
      </c>
      <c r="AA1459" s="14" t="str">
        <f>IFERROR(VLOOKUP(A1459,'[2]UPDATE BILL 2018'!$B:$P,15,0),IFERROR(VLOOKUP(A1459,'[2]UPDATE BILL 2018'!$C:$P,14,0),IFERROR(VLOOKUP(A1459,'[2]UPDATE BILL 2018'!$D:$P,13,0),IFERROR(VLOOKUP(A1459,'[2]UPDATE BILL 2018'!$E:$P,12,0),IFERROR(VLOOKUP(A1459,'[2]UPDATE BILL 2018'!$F:$P,11,0),IFERROR(VLOOKUP(A1459,'[2]UPDATE BILL 2018'!$G:$P,10,0),IFERROR(VLOOKUP(A1459,'[2]UPDATE BILL 2018'!$H:$P,9,0),IFERROR(VLOOKUP(A1459,'[2]UPDATE BILL 2018'!$I:$P,8,0),VLOOKUP(A1459,'[2]UPDATE BILL 2018'!$B:$P,15,0)))))))))</f>
        <v>EGLV237800271001</v>
      </c>
      <c r="AB1459" s="44">
        <f>IFERROR(VLOOKUP(A1459,'[2]UPDATE BILL 2018'!$B:$T,19,0),IFERROR(VLOOKUP(A1459,'[2]UPDATE BILL 2018'!$C:$T,18,0),IFERROR(VLOOKUP(A1459,'[2]UPDATE BILL 2018'!$D:$T,17,0),IFERROR(VLOOKUP(A1459,'[2]UPDATE BILL 2018'!$E:$T,16,0),IFERROR(VLOOKUP(A1459,'[2]UPDATE BILL 2018'!$F:$T,15,0),IFERROR(VLOOKUP(A1459,'[2]UPDATE BILL 2018'!$G:$T,14,0),IFERROR(VLOOKUP(A1459,'[2]UPDATE BILL 2018'!$H:$T,13,0),IFERROR(VLOOKUP(A1459,'[2]UPDATE BILL 2018'!$I:$T,12,0),VLOOKUP(A1459,'[2]UPDATE BILL 2018'!$B:$T,19,0)))))))))</f>
        <v>43345</v>
      </c>
      <c r="AC1459" s="44" t="str">
        <f>IFERROR(VLOOKUP(A1459,'[2]UPDATE BILL 2018'!$B:$V,21,0),IFERROR(VLOOKUP(A1459,'[2]UPDATE BILL 2018'!$C:$V,20,0),IFERROR(VLOOKUP(A1459,'[2]UPDATE BILL 2018'!$D:$V,19,0),IFERROR(VLOOKUP(A1459,'[2]UPDATE BILL 2018'!$E:$V,18,0),IFERROR(VLOOKUP(A1459,'[2]UPDATE BILL 2018'!$F:$V,17,0),IFERROR(VLOOKUP(A1459,'[2]UPDATE BILL 2018'!$G:$V,16,0),IFERROR(VLOOKUP(A1459,'[2]UPDATE BILL 2018'!$H:$V,15,0),IFERROR(VLOOKUP(A1459,'[2]UPDATE BILL 2018'!$I:$V,14,0),VLOOKUP(A1459,'[2]UPDATE BILL 2018'!$B:$V,21,0)))))))))</f>
        <v>UNI-ACCORD 0600-566N</v>
      </c>
      <c r="AD1459" s="14" t="s">
        <v>49</v>
      </c>
      <c r="AE1459" s="24" t="s">
        <v>3686</v>
      </c>
      <c r="AF1459" s="25" t="str">
        <f t="shared" si="133"/>
        <v>VZ</v>
      </c>
      <c r="AG1459" t="e">
        <f t="shared" si="134"/>
        <v>#REF!</v>
      </c>
      <c r="AI1459" s="58"/>
    </row>
    <row r="1460" spans="1:35" ht="15.75" customHeight="1">
      <c r="A1460" s="6" t="s">
        <v>3687</v>
      </c>
      <c r="D1460" s="7">
        <f t="shared" si="125"/>
        <v>0</v>
      </c>
      <c r="E1460" s="7">
        <v>0</v>
      </c>
      <c r="F1460" s="5">
        <v>0</v>
      </c>
      <c r="G1460" s="7">
        <v>0</v>
      </c>
      <c r="H1460" s="5">
        <v>280</v>
      </c>
      <c r="I1460" s="7">
        <v>37130.950000000004</v>
      </c>
      <c r="J1460" s="7">
        <v>0</v>
      </c>
      <c r="K1460" s="5">
        <v>0</v>
      </c>
      <c r="L1460" s="5">
        <v>0</v>
      </c>
      <c r="M1460" s="5">
        <v>0</v>
      </c>
      <c r="N1460" s="7">
        <f t="shared" si="126"/>
        <v>0</v>
      </c>
      <c r="O1460" s="7">
        <v>0</v>
      </c>
      <c r="P1460" s="7">
        <v>0</v>
      </c>
      <c r="Q1460" s="5">
        <v>0</v>
      </c>
      <c r="R1460" s="5">
        <v>557</v>
      </c>
      <c r="S1460" s="7">
        <v>40500.5</v>
      </c>
      <c r="T1460" s="12">
        <v>43341</v>
      </c>
      <c r="U1460" s="4">
        <v>4</v>
      </c>
      <c r="V1460" s="4">
        <v>9</v>
      </c>
      <c r="W1460" s="4">
        <v>9</v>
      </c>
      <c r="X1460" s="45">
        <f t="shared" si="127"/>
        <v>77631.450000000012</v>
      </c>
      <c r="Y1460" s="14" t="s">
        <v>54</v>
      </c>
      <c r="Z1460" s="14" t="s">
        <v>1355</v>
      </c>
      <c r="AA1460" s="14" t="str">
        <f>IFERROR(VLOOKUP(A1460,'[2]UPDATE BILL 2018'!$B:$P,15,0),IFERROR(VLOOKUP(A1460,'[2]UPDATE BILL 2018'!$C:$P,14,0),IFERROR(VLOOKUP(A1460,'[2]UPDATE BILL 2018'!$D:$P,13,0),IFERROR(VLOOKUP(A1460,'[2]UPDATE BILL 2018'!$E:$P,12,0),IFERROR(VLOOKUP(A1460,'[2]UPDATE BILL 2018'!$F:$P,11,0),IFERROR(VLOOKUP(A1460,'[2]UPDATE BILL 2018'!$G:$P,10,0),IFERROR(VLOOKUP(A1460,'[2]UPDATE BILL 2018'!$H:$P,9,0),IFERROR(VLOOKUP(A1460,'[2]UPDATE BILL 2018'!$I:$P,8,0),VLOOKUP(A1460,'[2]UPDATE BILL 2018'!$B:$P,15,0)))))))))</f>
        <v>SITWHPTK176273</v>
      </c>
      <c r="AB1460" s="44">
        <f>IFERROR(VLOOKUP(A1460,'[2]UPDATE BILL 2018'!$B:$T,19,0),IFERROR(VLOOKUP(A1460,'[2]UPDATE BILL 2018'!$C:$T,18,0),IFERROR(VLOOKUP(A1460,'[2]UPDATE BILL 2018'!$D:$T,17,0),IFERROR(VLOOKUP(A1460,'[2]UPDATE BILL 2018'!$E:$T,16,0),IFERROR(VLOOKUP(A1460,'[2]UPDATE BILL 2018'!$F:$T,15,0),IFERROR(VLOOKUP(A1460,'[2]UPDATE BILL 2018'!$G:$T,14,0),IFERROR(VLOOKUP(A1460,'[2]UPDATE BILL 2018'!$H:$T,13,0),IFERROR(VLOOKUP(A1460,'[2]UPDATE BILL 2018'!$I:$T,12,0),VLOOKUP(A1460,'[2]UPDATE BILL 2018'!$B:$T,19,0)))))))))</f>
        <v>43346</v>
      </c>
      <c r="AC1460" s="44" t="str">
        <f>IFERROR(VLOOKUP(A1460,'[2]UPDATE BILL 2018'!$B:$V,21,0),IFERROR(VLOOKUP(A1460,'[2]UPDATE BILL 2018'!$C:$V,20,0),IFERROR(VLOOKUP(A1460,'[2]UPDATE BILL 2018'!$D:$V,19,0),IFERROR(VLOOKUP(A1460,'[2]UPDATE BILL 2018'!$E:$V,18,0),IFERROR(VLOOKUP(A1460,'[2]UPDATE BILL 2018'!$F:$V,17,0),IFERROR(VLOOKUP(A1460,'[2]UPDATE BILL 2018'!$G:$V,16,0),IFERROR(VLOOKUP(A1460,'[2]UPDATE BILL 2018'!$H:$V,15,0),IFERROR(VLOOKUP(A1460,'[2]UPDATE BILL 2018'!$I:$V,14,0),VLOOKUP(A1460,'[2]UPDATE BILL 2018'!$B:$V,21,0)))))))))</f>
        <v>HYUNDAI HARMONY 1833N</v>
      </c>
      <c r="AD1460" s="14" t="s">
        <v>49</v>
      </c>
      <c r="AE1460" s="24" t="s">
        <v>3695</v>
      </c>
      <c r="AF1460" s="25" t="str">
        <f t="shared" si="133"/>
        <v>VK</v>
      </c>
      <c r="AG1460" t="e">
        <f t="shared" si="134"/>
        <v>#REF!</v>
      </c>
      <c r="AI1460" s="58"/>
    </row>
    <row r="1461" spans="1:35" ht="15.75" customHeight="1">
      <c r="A1461" s="6" t="s">
        <v>3688</v>
      </c>
      <c r="D1461" s="7">
        <f t="shared" si="125"/>
        <v>0</v>
      </c>
      <c r="E1461" s="7">
        <v>0</v>
      </c>
      <c r="F1461" s="5">
        <v>0</v>
      </c>
      <c r="G1461" s="7">
        <v>0</v>
      </c>
      <c r="H1461" s="5">
        <v>471</v>
      </c>
      <c r="I1461" s="7">
        <v>53584.24</v>
      </c>
      <c r="J1461" s="7">
        <v>0</v>
      </c>
      <c r="K1461" s="5">
        <v>0</v>
      </c>
      <c r="L1461" s="5">
        <v>0</v>
      </c>
      <c r="M1461" s="5">
        <v>0</v>
      </c>
      <c r="N1461" s="7">
        <f t="shared" si="126"/>
        <v>0</v>
      </c>
      <c r="O1461" s="7">
        <v>0</v>
      </c>
      <c r="P1461" s="7">
        <v>0</v>
      </c>
      <c r="Q1461" s="5">
        <v>0</v>
      </c>
      <c r="R1461" s="5">
        <v>553</v>
      </c>
      <c r="S1461" s="7">
        <v>36221.5</v>
      </c>
      <c r="T1461" s="12">
        <v>43341</v>
      </c>
      <c r="U1461" s="4">
        <v>5</v>
      </c>
      <c r="V1461" s="4">
        <v>9</v>
      </c>
      <c r="W1461" s="4">
        <v>9</v>
      </c>
      <c r="X1461" s="45">
        <f t="shared" si="127"/>
        <v>89805.739999999991</v>
      </c>
      <c r="Y1461" s="14" t="s">
        <v>56</v>
      </c>
      <c r="Z1461" s="14" t="s">
        <v>3376</v>
      </c>
      <c r="AA1461" s="14" t="str">
        <f>IFERROR(VLOOKUP(A1461,'[2]UPDATE BILL 2018'!$B:$P,15,0),IFERROR(VLOOKUP(A1461,'[2]UPDATE BILL 2018'!$C:$P,14,0),IFERROR(VLOOKUP(A1461,'[2]UPDATE BILL 2018'!$D:$P,13,0),IFERROR(VLOOKUP(A1461,'[2]UPDATE BILL 2018'!$E:$P,12,0),IFERROR(VLOOKUP(A1461,'[2]UPDATE BILL 2018'!$F:$P,11,0),IFERROR(VLOOKUP(A1461,'[2]UPDATE BILL 2018'!$G:$P,10,0),IFERROR(VLOOKUP(A1461,'[2]UPDATE BILL 2018'!$H:$P,9,0),IFERROR(VLOOKUP(A1461,'[2]UPDATE BILL 2018'!$I:$P,8,0),VLOOKUP(A1461,'[2]UPDATE BILL 2018'!$B:$P,15,0)))))))))</f>
        <v>1008X04882</v>
      </c>
      <c r="AB1461" s="44">
        <f>IFERROR(VLOOKUP(A1461,'[2]UPDATE BILL 2018'!$B:$T,19,0),IFERROR(VLOOKUP(A1461,'[2]UPDATE BILL 2018'!$C:$T,18,0),IFERROR(VLOOKUP(A1461,'[2]UPDATE BILL 2018'!$D:$T,17,0),IFERROR(VLOOKUP(A1461,'[2]UPDATE BILL 2018'!$E:$T,16,0),IFERROR(VLOOKUP(A1461,'[2]UPDATE BILL 2018'!$F:$T,15,0),IFERROR(VLOOKUP(A1461,'[2]UPDATE BILL 2018'!$G:$T,14,0),IFERROR(VLOOKUP(A1461,'[2]UPDATE BILL 2018'!$H:$T,13,0),IFERROR(VLOOKUP(A1461,'[2]UPDATE BILL 2018'!$I:$T,12,0),VLOOKUP(A1461,'[2]UPDATE BILL 2018'!$B:$T,19,0)))))))))</f>
        <v>43349</v>
      </c>
      <c r="AC1461" s="44" t="str">
        <f>IFERROR(VLOOKUP(A1461,'[2]UPDATE BILL 2018'!$B:$V,21,0),IFERROR(VLOOKUP(A1461,'[2]UPDATE BILL 2018'!$C:$V,20,0),IFERROR(VLOOKUP(A1461,'[2]UPDATE BILL 2018'!$D:$V,19,0),IFERROR(VLOOKUP(A1461,'[2]UPDATE BILL 2018'!$E:$V,18,0),IFERROR(VLOOKUP(A1461,'[2]UPDATE BILL 2018'!$F:$V,17,0),IFERROR(VLOOKUP(A1461,'[2]UPDATE BILL 2018'!$G:$V,16,0),IFERROR(VLOOKUP(A1461,'[2]UPDATE BILL 2018'!$H:$V,15,0),IFERROR(VLOOKUP(A1461,'[2]UPDATE BILL 2018'!$I:$V,14,0),VLOOKUP(A1461,'[2]UPDATE BILL 2018'!$B:$V,21,0)))))))))</f>
        <v>WAN HAI 267 N271</v>
      </c>
      <c r="AD1461" s="14" t="s">
        <v>49</v>
      </c>
      <c r="AE1461" s="24" t="s">
        <v>3696</v>
      </c>
      <c r="AF1461" s="25" t="str">
        <f t="shared" si="133"/>
        <v>VK</v>
      </c>
      <c r="AG1461" t="e">
        <f t="shared" si="134"/>
        <v>#REF!</v>
      </c>
      <c r="AI1461" s="58"/>
    </row>
    <row r="1462" spans="1:35" ht="15.75" customHeight="1">
      <c r="A1462" s="6" t="s">
        <v>3689</v>
      </c>
      <c r="D1462" s="7">
        <f t="shared" si="125"/>
        <v>0</v>
      </c>
      <c r="E1462" s="7">
        <v>0</v>
      </c>
      <c r="F1462" s="5">
        <v>0</v>
      </c>
      <c r="G1462" s="7">
        <v>0</v>
      </c>
      <c r="H1462" s="5">
        <v>517</v>
      </c>
      <c r="I1462" s="7">
        <v>58281.909999999982</v>
      </c>
      <c r="J1462" s="7">
        <v>0</v>
      </c>
      <c r="K1462" s="5">
        <v>0</v>
      </c>
      <c r="L1462" s="5">
        <v>0</v>
      </c>
      <c r="M1462" s="5">
        <v>0</v>
      </c>
      <c r="N1462" s="7">
        <f t="shared" si="126"/>
        <v>0</v>
      </c>
      <c r="O1462" s="7">
        <v>0</v>
      </c>
      <c r="P1462" s="7">
        <v>0</v>
      </c>
      <c r="Q1462" s="5">
        <v>0</v>
      </c>
      <c r="S1462" s="7">
        <v>0</v>
      </c>
      <c r="T1462" s="12">
        <v>43341</v>
      </c>
      <c r="U1462" s="4">
        <v>3</v>
      </c>
      <c r="V1462" s="4">
        <v>9</v>
      </c>
      <c r="W1462" s="4">
        <v>9</v>
      </c>
      <c r="X1462" s="45">
        <f t="shared" si="127"/>
        <v>58281.909999999982</v>
      </c>
      <c r="Y1462" s="14" t="s">
        <v>54</v>
      </c>
      <c r="Z1462" s="14" t="s">
        <v>59</v>
      </c>
      <c r="AA1462" s="14" t="str">
        <f>IFERROR(VLOOKUP(A1462,'[2]UPDATE BILL 2018'!$B:$P,15,0),IFERROR(VLOOKUP(A1462,'[2]UPDATE BILL 2018'!$C:$P,14,0),IFERROR(VLOOKUP(A1462,'[2]UPDATE BILL 2018'!$D:$P,13,0),IFERROR(VLOOKUP(A1462,'[2]UPDATE BILL 2018'!$E:$P,12,0),IFERROR(VLOOKUP(A1462,'[2]UPDATE BILL 2018'!$F:$P,11,0),IFERROR(VLOOKUP(A1462,'[2]UPDATE BILL 2018'!$G:$P,10,0),IFERROR(VLOOKUP(A1462,'[2]UPDATE BILL 2018'!$H:$P,9,0),IFERROR(VLOOKUP(A1462,'[2]UPDATE BILL 2018'!$I:$P,8,0),VLOOKUP(A1462,'[2]UPDATE BILL 2018'!$B:$P,15,0)))))))))</f>
        <v>SITWHPHT177051</v>
      </c>
      <c r="AB1462" s="44">
        <f>IFERROR(VLOOKUP(A1462,'[2]UPDATE BILL 2018'!$B:$T,19,0),IFERROR(VLOOKUP(A1462,'[2]UPDATE BILL 2018'!$C:$T,18,0),IFERROR(VLOOKUP(A1462,'[2]UPDATE BILL 2018'!$D:$T,17,0),IFERROR(VLOOKUP(A1462,'[2]UPDATE BILL 2018'!$E:$T,16,0),IFERROR(VLOOKUP(A1462,'[2]UPDATE BILL 2018'!$F:$T,15,0),IFERROR(VLOOKUP(A1462,'[2]UPDATE BILL 2018'!$G:$T,14,0),IFERROR(VLOOKUP(A1462,'[2]UPDATE BILL 2018'!$H:$T,13,0),IFERROR(VLOOKUP(A1462,'[2]UPDATE BILL 2018'!$I:$T,12,0),VLOOKUP(A1462,'[2]UPDATE BILL 2018'!$B:$T,19,0)))))))))</f>
        <v>43346</v>
      </c>
      <c r="AC1462" s="44" t="str">
        <f>IFERROR(VLOOKUP(A1462,'[2]UPDATE BILL 2018'!$B:$V,21,0),IFERROR(VLOOKUP(A1462,'[2]UPDATE BILL 2018'!$C:$V,20,0),IFERROR(VLOOKUP(A1462,'[2]UPDATE BILL 2018'!$D:$V,19,0),IFERROR(VLOOKUP(A1462,'[2]UPDATE BILL 2018'!$E:$V,18,0),IFERROR(VLOOKUP(A1462,'[2]UPDATE BILL 2018'!$F:$V,17,0),IFERROR(VLOOKUP(A1462,'[2]UPDATE BILL 2018'!$G:$V,16,0),IFERROR(VLOOKUP(A1462,'[2]UPDATE BILL 2018'!$H:$V,15,0),IFERROR(VLOOKUP(A1462,'[2]UPDATE BILL 2018'!$I:$V,14,0),VLOOKUP(A1462,'[2]UPDATE BILL 2018'!$B:$V,21,0)))))))))</f>
        <v>HANSE ENERGY 1823N</v>
      </c>
      <c r="AD1462" s="14" t="s">
        <v>52</v>
      </c>
      <c r="AE1462" s="24" t="s">
        <v>3697</v>
      </c>
      <c r="AF1462" s="25" t="str">
        <f t="shared" si="133"/>
        <v>VQ</v>
      </c>
      <c r="AG1462" t="e">
        <f t="shared" si="134"/>
        <v>#REF!</v>
      </c>
      <c r="AI1462" s="58"/>
    </row>
    <row r="1463" spans="1:35" ht="15.75" customHeight="1">
      <c r="A1463" s="6" t="s">
        <v>3690</v>
      </c>
      <c r="B1463" s="5">
        <v>250</v>
      </c>
      <c r="C1463" s="7">
        <v>17873</v>
      </c>
      <c r="D1463" s="7">
        <f t="shared" si="125"/>
        <v>0</v>
      </c>
      <c r="E1463" s="7">
        <v>0</v>
      </c>
      <c r="F1463" s="5">
        <v>0</v>
      </c>
      <c r="G1463" s="7">
        <v>0</v>
      </c>
      <c r="H1463" s="5">
        <v>0</v>
      </c>
      <c r="I1463" s="7">
        <v>0</v>
      </c>
      <c r="J1463" s="7">
        <v>0</v>
      </c>
      <c r="K1463" s="5">
        <v>0</v>
      </c>
      <c r="L1463" s="5">
        <v>0</v>
      </c>
      <c r="M1463" s="5">
        <v>206</v>
      </c>
      <c r="N1463" s="7">
        <f t="shared" si="126"/>
        <v>206</v>
      </c>
      <c r="O1463" s="7">
        <v>29772.6</v>
      </c>
      <c r="P1463" s="7">
        <v>0</v>
      </c>
      <c r="Q1463" s="5">
        <v>0</v>
      </c>
      <c r="R1463" s="5">
        <v>651</v>
      </c>
      <c r="S1463" s="7">
        <v>119641.2</v>
      </c>
      <c r="T1463" s="12">
        <v>43341</v>
      </c>
      <c r="U1463" s="4">
        <v>8</v>
      </c>
      <c r="V1463" s="4">
        <v>9</v>
      </c>
      <c r="W1463" s="4">
        <v>9</v>
      </c>
      <c r="X1463" s="45">
        <f t="shared" si="127"/>
        <v>167286.79999999999</v>
      </c>
      <c r="Y1463" s="14" t="s">
        <v>54</v>
      </c>
      <c r="Z1463" s="14" t="s">
        <v>1281</v>
      </c>
      <c r="AA1463" s="14" t="str">
        <f>IFERROR(VLOOKUP(A1463,'[2]UPDATE BILL 2018'!$B:$P,15,0),IFERROR(VLOOKUP(A1463,'[2]UPDATE BILL 2018'!$C:$P,14,0),IFERROR(VLOOKUP(A1463,'[2]UPDATE BILL 2018'!$D:$P,13,0),IFERROR(VLOOKUP(A1463,'[2]UPDATE BILL 2018'!$E:$P,12,0),IFERROR(VLOOKUP(A1463,'[2]UPDATE BILL 2018'!$F:$P,11,0),IFERROR(VLOOKUP(A1463,'[2]UPDATE BILL 2018'!$G:$P,10,0),IFERROR(VLOOKUP(A1463,'[2]UPDATE BILL 2018'!$H:$P,9,0),IFERROR(VLOOKUP(A1463,'[2]UPDATE BILL 2018'!$I:$P,8,0),VLOOKUP(A1463,'[2]UPDATE BILL 2018'!$B:$P,15,0)))))))))</f>
        <v>SITWHPOS176277</v>
      </c>
      <c r="AB1463" s="44">
        <f>IFERROR(VLOOKUP(A1463,'[2]UPDATE BILL 2018'!$B:$T,19,0),IFERROR(VLOOKUP(A1463,'[2]UPDATE BILL 2018'!$C:$T,18,0),IFERROR(VLOOKUP(A1463,'[2]UPDATE BILL 2018'!$D:$T,17,0),IFERROR(VLOOKUP(A1463,'[2]UPDATE BILL 2018'!$E:$T,16,0),IFERROR(VLOOKUP(A1463,'[2]UPDATE BILL 2018'!$F:$T,15,0),IFERROR(VLOOKUP(A1463,'[2]UPDATE BILL 2018'!$G:$T,14,0),IFERROR(VLOOKUP(A1463,'[2]UPDATE BILL 2018'!$H:$T,13,0),IFERROR(VLOOKUP(A1463,'[2]UPDATE BILL 2018'!$I:$T,12,0),VLOOKUP(A1463,'[2]UPDATE BILL 2018'!$B:$T,19,0)))))))))</f>
        <v>43346</v>
      </c>
      <c r="AC1463" s="44" t="str">
        <f>IFERROR(VLOOKUP(A1463,'[2]UPDATE BILL 2018'!$B:$V,21,0),IFERROR(VLOOKUP(A1463,'[2]UPDATE BILL 2018'!$C:$V,20,0),IFERROR(VLOOKUP(A1463,'[2]UPDATE BILL 2018'!$D:$V,19,0),IFERROR(VLOOKUP(A1463,'[2]UPDATE BILL 2018'!$E:$V,18,0),IFERROR(VLOOKUP(A1463,'[2]UPDATE BILL 2018'!$F:$V,17,0),IFERROR(VLOOKUP(A1463,'[2]UPDATE BILL 2018'!$G:$V,16,0),IFERROR(VLOOKUP(A1463,'[2]UPDATE BILL 2018'!$H:$V,15,0),IFERROR(VLOOKUP(A1463,'[2]UPDATE BILL 2018'!$I:$V,14,0),VLOOKUP(A1463,'[2]UPDATE BILL 2018'!$B:$V,21,0)))))))))</f>
        <v>HANSE ENERGY 1823N</v>
      </c>
      <c r="AD1463" s="14" t="s">
        <v>51</v>
      </c>
      <c r="AE1463" s="24" t="s">
        <v>3698</v>
      </c>
      <c r="AF1463" s="25" t="str">
        <f t="shared" si="133"/>
        <v>VS</v>
      </c>
      <c r="AG1463" t="e">
        <f t="shared" si="134"/>
        <v>#REF!</v>
      </c>
      <c r="AI1463" s="58"/>
    </row>
    <row r="1464" spans="1:35" ht="15.75" customHeight="1">
      <c r="A1464" s="6" t="s">
        <v>3691</v>
      </c>
      <c r="D1464" s="7">
        <f t="shared" si="125"/>
        <v>0</v>
      </c>
      <c r="E1464" s="7">
        <v>0</v>
      </c>
      <c r="F1464" s="5">
        <v>0</v>
      </c>
      <c r="G1464" s="7">
        <v>0</v>
      </c>
      <c r="H1464" s="5">
        <v>460</v>
      </c>
      <c r="I1464" s="7">
        <v>55018.19999999999</v>
      </c>
      <c r="J1464" s="7">
        <v>0</v>
      </c>
      <c r="K1464" s="5">
        <v>0</v>
      </c>
      <c r="L1464" s="5">
        <v>0</v>
      </c>
      <c r="M1464" s="5">
        <v>46</v>
      </c>
      <c r="N1464" s="7">
        <f t="shared" si="126"/>
        <v>46</v>
      </c>
      <c r="O1464" s="7">
        <v>9019.1</v>
      </c>
      <c r="P1464" s="7">
        <v>0</v>
      </c>
      <c r="Q1464" s="5">
        <v>0</v>
      </c>
      <c r="S1464" s="7">
        <v>0</v>
      </c>
      <c r="T1464" s="12">
        <v>43341</v>
      </c>
      <c r="U1464" s="4">
        <v>5</v>
      </c>
      <c r="V1464" s="4">
        <v>9</v>
      </c>
      <c r="W1464" s="4">
        <v>9</v>
      </c>
      <c r="X1464" s="45">
        <f t="shared" si="127"/>
        <v>64037.299999999988</v>
      </c>
      <c r="Y1464" s="14" t="s">
        <v>56</v>
      </c>
      <c r="Z1464" s="14" t="s">
        <v>57</v>
      </c>
      <c r="AA1464" s="14" t="str">
        <f>IFERROR(VLOOKUP(A1464,'[2]UPDATE BILL 2018'!$B:$P,15,0),IFERROR(VLOOKUP(A1464,'[2]UPDATE BILL 2018'!$C:$P,14,0),IFERROR(VLOOKUP(A1464,'[2]UPDATE BILL 2018'!$D:$P,13,0),IFERROR(VLOOKUP(A1464,'[2]UPDATE BILL 2018'!$E:$P,12,0),IFERROR(VLOOKUP(A1464,'[2]UPDATE BILL 2018'!$F:$P,11,0),IFERROR(VLOOKUP(A1464,'[2]UPDATE BILL 2018'!$G:$P,10,0),IFERROR(VLOOKUP(A1464,'[2]UPDATE BILL 2018'!$H:$P,9,0),IFERROR(VLOOKUP(A1464,'[2]UPDATE BILL 2018'!$I:$P,8,0),VLOOKUP(A1464,'[2]UPDATE BILL 2018'!$B:$P,15,0)))))))))</f>
        <v>1008X04870</v>
      </c>
      <c r="AB1464" s="44">
        <f>IFERROR(VLOOKUP(A1464,'[2]UPDATE BILL 2018'!$B:$T,19,0),IFERROR(VLOOKUP(A1464,'[2]UPDATE BILL 2018'!$C:$T,18,0),IFERROR(VLOOKUP(A1464,'[2]UPDATE BILL 2018'!$D:$T,17,0),IFERROR(VLOOKUP(A1464,'[2]UPDATE BILL 2018'!$E:$T,16,0),IFERROR(VLOOKUP(A1464,'[2]UPDATE BILL 2018'!$F:$T,15,0),IFERROR(VLOOKUP(A1464,'[2]UPDATE BILL 2018'!$G:$T,14,0),IFERROR(VLOOKUP(A1464,'[2]UPDATE BILL 2018'!$H:$T,13,0),IFERROR(VLOOKUP(A1464,'[2]UPDATE BILL 2018'!$I:$T,12,0),VLOOKUP(A1464,'[2]UPDATE BILL 2018'!$B:$T,19,0)))))))))</f>
        <v>43350</v>
      </c>
      <c r="AC1464" s="44" t="str">
        <f>IFERROR(VLOOKUP(A1464,'[2]UPDATE BILL 2018'!$B:$V,21,0),IFERROR(VLOOKUP(A1464,'[2]UPDATE BILL 2018'!$C:$V,20,0),IFERROR(VLOOKUP(A1464,'[2]UPDATE BILL 2018'!$D:$V,19,0),IFERROR(VLOOKUP(A1464,'[2]UPDATE BILL 2018'!$E:$V,18,0),IFERROR(VLOOKUP(A1464,'[2]UPDATE BILL 2018'!$F:$V,17,0),IFERROR(VLOOKUP(A1464,'[2]UPDATE BILL 2018'!$G:$V,16,0),IFERROR(VLOOKUP(A1464,'[2]UPDATE BILL 2018'!$H:$V,15,0),IFERROR(VLOOKUP(A1464,'[2]UPDATE BILL 2018'!$I:$V,14,0),VLOOKUP(A1464,'[2]UPDATE BILL 2018'!$B:$V,21,0)))))))))</f>
        <v>AS FIONA N009</v>
      </c>
      <c r="AD1464" s="14" t="s">
        <v>51</v>
      </c>
      <c r="AE1464" s="24" t="s">
        <v>3699</v>
      </c>
      <c r="AF1464" s="25" t="str">
        <f t="shared" si="133"/>
        <v>VS</v>
      </c>
      <c r="AG1464" t="e">
        <f t="shared" si="134"/>
        <v>#REF!</v>
      </c>
      <c r="AI1464" s="58"/>
    </row>
    <row r="1465" spans="1:35" ht="15.75" customHeight="1">
      <c r="A1465" s="6" t="s">
        <v>3692</v>
      </c>
      <c r="D1465" s="7">
        <f t="shared" si="125"/>
        <v>0</v>
      </c>
      <c r="E1465" s="7">
        <v>0</v>
      </c>
      <c r="F1465" s="5">
        <v>0</v>
      </c>
      <c r="G1465" s="7">
        <v>0</v>
      </c>
      <c r="H1465" s="5">
        <v>0</v>
      </c>
      <c r="I1465" s="7">
        <v>0</v>
      </c>
      <c r="J1465" s="7">
        <v>0</v>
      </c>
      <c r="K1465" s="5">
        <v>0</v>
      </c>
      <c r="L1465" s="5">
        <v>0</v>
      </c>
      <c r="M1465" s="5">
        <v>153</v>
      </c>
      <c r="N1465" s="7">
        <f t="shared" si="126"/>
        <v>153</v>
      </c>
      <c r="O1465" s="7">
        <v>20482.299999999996</v>
      </c>
      <c r="P1465" s="7">
        <v>0</v>
      </c>
      <c r="Q1465" s="5">
        <v>0</v>
      </c>
      <c r="R1465" s="5">
        <v>76</v>
      </c>
      <c r="S1465" s="7">
        <v>16735.2</v>
      </c>
      <c r="T1465" s="12">
        <v>43341</v>
      </c>
      <c r="U1465" s="4">
        <v>3</v>
      </c>
      <c r="V1465" s="4">
        <v>9</v>
      </c>
      <c r="W1465" s="4">
        <v>9</v>
      </c>
      <c r="X1465" s="45">
        <f t="shared" si="127"/>
        <v>37217.5</v>
      </c>
      <c r="Y1465" s="14" t="s">
        <v>54</v>
      </c>
      <c r="Z1465" s="14" t="s">
        <v>59</v>
      </c>
      <c r="AA1465" s="14" t="str">
        <f>IFERROR(VLOOKUP(A1465,'[2]UPDATE BILL 2018'!$B:$P,15,0),IFERROR(VLOOKUP(A1465,'[2]UPDATE BILL 2018'!$C:$P,14,0),IFERROR(VLOOKUP(A1465,'[2]UPDATE BILL 2018'!$D:$P,13,0),IFERROR(VLOOKUP(A1465,'[2]UPDATE BILL 2018'!$E:$P,12,0),IFERROR(VLOOKUP(A1465,'[2]UPDATE BILL 2018'!$F:$P,11,0),IFERROR(VLOOKUP(A1465,'[2]UPDATE BILL 2018'!$G:$P,10,0),IFERROR(VLOOKUP(A1465,'[2]UPDATE BILL 2018'!$H:$P,9,0),IFERROR(VLOOKUP(A1465,'[2]UPDATE BILL 2018'!$I:$P,8,0),VLOOKUP(A1465,'[2]UPDATE BILL 2018'!$B:$P,15,0)))))))))</f>
        <v>SITWHPKW175620</v>
      </c>
      <c r="AB1465" s="44">
        <f>IFERROR(VLOOKUP(A1465,'[2]UPDATE BILL 2018'!$B:$T,19,0),IFERROR(VLOOKUP(A1465,'[2]UPDATE BILL 2018'!$C:$T,18,0),IFERROR(VLOOKUP(A1465,'[2]UPDATE BILL 2018'!$D:$T,17,0),IFERROR(VLOOKUP(A1465,'[2]UPDATE BILL 2018'!$E:$T,16,0),IFERROR(VLOOKUP(A1465,'[2]UPDATE BILL 2018'!$F:$T,15,0),IFERROR(VLOOKUP(A1465,'[2]UPDATE BILL 2018'!$G:$T,14,0),IFERROR(VLOOKUP(A1465,'[2]UPDATE BILL 2018'!$H:$T,13,0),IFERROR(VLOOKUP(A1465,'[2]UPDATE BILL 2018'!$I:$T,12,0),VLOOKUP(A1465,'[2]UPDATE BILL 2018'!$B:$T,19,0)))))))))</f>
        <v>43346</v>
      </c>
      <c r="AC1465" s="44" t="str">
        <f>IFERROR(VLOOKUP(A1465,'[2]UPDATE BILL 2018'!$B:$V,21,0),IFERROR(VLOOKUP(A1465,'[2]UPDATE BILL 2018'!$C:$V,20,0),IFERROR(VLOOKUP(A1465,'[2]UPDATE BILL 2018'!$D:$V,19,0),IFERROR(VLOOKUP(A1465,'[2]UPDATE BILL 2018'!$E:$V,18,0),IFERROR(VLOOKUP(A1465,'[2]UPDATE BILL 2018'!$F:$V,17,0),IFERROR(VLOOKUP(A1465,'[2]UPDATE BILL 2018'!$G:$V,16,0),IFERROR(VLOOKUP(A1465,'[2]UPDATE BILL 2018'!$H:$V,15,0),IFERROR(VLOOKUP(A1465,'[2]UPDATE BILL 2018'!$I:$V,14,0),VLOOKUP(A1465,'[2]UPDATE BILL 2018'!$B:$V,21,0)))))))))</f>
        <v>HYUNDAI HARMONY 1833N</v>
      </c>
      <c r="AD1465" s="14" t="s">
        <v>50</v>
      </c>
      <c r="AE1465" s="24" t="s">
        <v>3700</v>
      </c>
      <c r="AF1465" s="25" t="str">
        <f t="shared" si="133"/>
        <v>VW</v>
      </c>
      <c r="AG1465" t="e">
        <f t="shared" si="134"/>
        <v>#REF!</v>
      </c>
      <c r="AI1465" s="58"/>
    </row>
    <row r="1466" spans="1:35" ht="15.75" customHeight="1">
      <c r="A1466" s="6" t="s">
        <v>3693</v>
      </c>
      <c r="B1466" s="5">
        <v>516</v>
      </c>
      <c r="C1466" s="7">
        <v>50592.959999999992</v>
      </c>
      <c r="D1466" s="7">
        <f t="shared" si="125"/>
        <v>0</v>
      </c>
      <c r="E1466" s="7">
        <v>0</v>
      </c>
      <c r="F1466" s="5">
        <v>0</v>
      </c>
      <c r="G1466" s="7">
        <v>0</v>
      </c>
      <c r="H1466" s="5">
        <v>0</v>
      </c>
      <c r="I1466" s="7">
        <v>0</v>
      </c>
      <c r="J1466" s="7">
        <v>0</v>
      </c>
      <c r="K1466" s="5">
        <v>0</v>
      </c>
      <c r="L1466" s="5">
        <v>0</v>
      </c>
      <c r="M1466" s="5">
        <v>180</v>
      </c>
      <c r="N1466" s="7">
        <f t="shared" si="126"/>
        <v>180</v>
      </c>
      <c r="O1466" s="7">
        <v>17119.3</v>
      </c>
      <c r="P1466" s="7">
        <v>0</v>
      </c>
      <c r="Q1466" s="5">
        <v>0</v>
      </c>
      <c r="S1466" s="7">
        <v>0</v>
      </c>
      <c r="T1466" s="12">
        <v>43341</v>
      </c>
      <c r="U1466" s="4">
        <v>6</v>
      </c>
      <c r="V1466" s="4">
        <v>9</v>
      </c>
      <c r="W1466" s="4">
        <v>9</v>
      </c>
      <c r="X1466" s="45">
        <f t="shared" si="127"/>
        <v>67712.259999999995</v>
      </c>
      <c r="Y1466" s="14" t="s">
        <v>54</v>
      </c>
      <c r="Z1466" s="14" t="s">
        <v>1281</v>
      </c>
      <c r="AA1466" s="14" t="str">
        <f>IFERROR(VLOOKUP(A1466,'[2]UPDATE BILL 2018'!$B:$P,15,0),IFERROR(VLOOKUP(A1466,'[2]UPDATE BILL 2018'!$C:$P,14,0),IFERROR(VLOOKUP(A1466,'[2]UPDATE BILL 2018'!$D:$P,13,0),IFERROR(VLOOKUP(A1466,'[2]UPDATE BILL 2018'!$E:$P,12,0),IFERROR(VLOOKUP(A1466,'[2]UPDATE BILL 2018'!$F:$P,11,0),IFERROR(VLOOKUP(A1466,'[2]UPDATE BILL 2018'!$G:$P,10,0),IFERROR(VLOOKUP(A1466,'[2]UPDATE BILL 2018'!$H:$P,9,0),IFERROR(VLOOKUP(A1466,'[2]UPDATE BILL 2018'!$I:$P,8,0),VLOOKUP(A1466,'[2]UPDATE BILL 2018'!$B:$P,15,0)))))))))</f>
        <v>SITWHPKW176264</v>
      </c>
      <c r="AB1466" s="44">
        <f>IFERROR(VLOOKUP(A1466,'[2]UPDATE BILL 2018'!$B:$T,19,0),IFERROR(VLOOKUP(A1466,'[2]UPDATE BILL 2018'!$C:$T,18,0),IFERROR(VLOOKUP(A1466,'[2]UPDATE BILL 2018'!$D:$T,17,0),IFERROR(VLOOKUP(A1466,'[2]UPDATE BILL 2018'!$E:$T,16,0),IFERROR(VLOOKUP(A1466,'[2]UPDATE BILL 2018'!$F:$T,15,0),IFERROR(VLOOKUP(A1466,'[2]UPDATE BILL 2018'!$G:$T,14,0),IFERROR(VLOOKUP(A1466,'[2]UPDATE BILL 2018'!$H:$T,13,0),IFERROR(VLOOKUP(A1466,'[2]UPDATE BILL 2018'!$I:$T,12,0),VLOOKUP(A1466,'[2]UPDATE BILL 2018'!$B:$T,19,0)))))))))</f>
        <v>43349</v>
      </c>
      <c r="AC1466" s="44" t="str">
        <f>IFERROR(VLOOKUP(A1466,'[2]UPDATE BILL 2018'!$B:$V,21,0),IFERROR(VLOOKUP(A1466,'[2]UPDATE BILL 2018'!$C:$V,20,0),IFERROR(VLOOKUP(A1466,'[2]UPDATE BILL 2018'!$D:$V,19,0),IFERROR(VLOOKUP(A1466,'[2]UPDATE BILL 2018'!$E:$V,18,0),IFERROR(VLOOKUP(A1466,'[2]UPDATE BILL 2018'!$F:$V,17,0),IFERROR(VLOOKUP(A1466,'[2]UPDATE BILL 2018'!$G:$V,16,0),IFERROR(VLOOKUP(A1466,'[2]UPDATE BILL 2018'!$H:$V,15,0),IFERROR(VLOOKUP(A1466,'[2]UPDATE BILL 2018'!$I:$V,14,0),VLOOKUP(A1466,'[2]UPDATE BILL 2018'!$B:$V,21,0)))))))))</f>
        <v>SITC MOJI 1839N</v>
      </c>
      <c r="AD1466" s="14" t="s">
        <v>50</v>
      </c>
      <c r="AE1466" s="24" t="s">
        <v>3701</v>
      </c>
      <c r="AF1466" s="25" t="str">
        <f t="shared" si="133"/>
        <v>VW</v>
      </c>
      <c r="AG1466" t="e">
        <f t="shared" si="134"/>
        <v>#REF!</v>
      </c>
      <c r="AI1466" s="58"/>
    </row>
    <row r="1467" spans="1:35" ht="15.75" customHeight="1">
      <c r="A1467" s="6" t="s">
        <v>3694</v>
      </c>
      <c r="B1467" s="5">
        <v>91</v>
      </c>
      <c r="C1467" s="7">
        <v>12342.400000000001</v>
      </c>
      <c r="D1467" s="7">
        <f t="shared" si="125"/>
        <v>0</v>
      </c>
      <c r="E1467" s="7">
        <v>0</v>
      </c>
      <c r="F1467" s="5">
        <v>0</v>
      </c>
      <c r="G1467" s="7">
        <v>0</v>
      </c>
      <c r="H1467" s="5">
        <v>0</v>
      </c>
      <c r="I1467" s="7">
        <v>0</v>
      </c>
      <c r="J1467" s="7">
        <v>0</v>
      </c>
      <c r="K1467" s="5">
        <v>0</v>
      </c>
      <c r="L1467" s="5">
        <v>0</v>
      </c>
      <c r="M1467" s="5">
        <v>0</v>
      </c>
      <c r="N1467" s="7">
        <f t="shared" si="126"/>
        <v>0</v>
      </c>
      <c r="O1467" s="7">
        <v>0</v>
      </c>
      <c r="P1467" s="7">
        <v>0</v>
      </c>
      <c r="Q1467" s="5">
        <v>0</v>
      </c>
      <c r="R1467" s="5">
        <v>390</v>
      </c>
      <c r="S1467" s="7">
        <v>41945.5</v>
      </c>
      <c r="T1467" s="12">
        <v>43341</v>
      </c>
      <c r="U1467" s="4">
        <v>2</v>
      </c>
      <c r="V1467" s="4">
        <v>9</v>
      </c>
      <c r="W1467" s="4">
        <v>9</v>
      </c>
      <c r="X1467" s="45">
        <f t="shared" si="127"/>
        <v>54287.9</v>
      </c>
      <c r="Y1467" s="14" t="s">
        <v>58</v>
      </c>
      <c r="Z1467" s="14" t="s">
        <v>1492</v>
      </c>
      <c r="AA1467" s="14" t="str">
        <f>IFERROR(VLOOKUP(A1467,'[2]UPDATE BILL 2018'!$B:$P,15,0),IFERROR(VLOOKUP(A1467,'[2]UPDATE BILL 2018'!$C:$P,14,0),IFERROR(VLOOKUP(A1467,'[2]UPDATE BILL 2018'!$D:$P,13,0),IFERROR(VLOOKUP(A1467,'[2]UPDATE BILL 2018'!$E:$P,12,0),IFERROR(VLOOKUP(A1467,'[2]UPDATE BILL 2018'!$F:$P,11,0),IFERROR(VLOOKUP(A1467,'[2]UPDATE BILL 2018'!$G:$P,10,0),IFERROR(VLOOKUP(A1467,'[2]UPDATE BILL 2018'!$H:$P,9,0),IFERROR(VLOOKUP(A1467,'[2]UPDATE BILL 2018'!$I:$P,8,0),VLOOKUP(A1467,'[2]UPDATE BILL 2018'!$B:$P,15,0)))))))))</f>
        <v>EGLV237800271001</v>
      </c>
      <c r="AB1467" s="44">
        <f>IFERROR(VLOOKUP(A1467,'[2]UPDATE BILL 2018'!$B:$T,19,0),IFERROR(VLOOKUP(A1467,'[2]UPDATE BILL 2018'!$C:$T,18,0),IFERROR(VLOOKUP(A1467,'[2]UPDATE BILL 2018'!$D:$T,17,0),IFERROR(VLOOKUP(A1467,'[2]UPDATE BILL 2018'!$E:$T,16,0),IFERROR(VLOOKUP(A1467,'[2]UPDATE BILL 2018'!$F:$T,15,0),IFERROR(VLOOKUP(A1467,'[2]UPDATE BILL 2018'!$G:$T,14,0),IFERROR(VLOOKUP(A1467,'[2]UPDATE BILL 2018'!$H:$T,13,0),IFERROR(VLOOKUP(A1467,'[2]UPDATE BILL 2018'!$I:$T,12,0),VLOOKUP(A1467,'[2]UPDATE BILL 2018'!$B:$T,19,0)))))))))</f>
        <v>43345</v>
      </c>
      <c r="AC1467" s="44" t="str">
        <f>IFERROR(VLOOKUP(A1467,'[2]UPDATE BILL 2018'!$B:$V,21,0),IFERROR(VLOOKUP(A1467,'[2]UPDATE BILL 2018'!$C:$V,20,0),IFERROR(VLOOKUP(A1467,'[2]UPDATE BILL 2018'!$D:$V,19,0),IFERROR(VLOOKUP(A1467,'[2]UPDATE BILL 2018'!$E:$V,18,0),IFERROR(VLOOKUP(A1467,'[2]UPDATE BILL 2018'!$F:$V,17,0),IFERROR(VLOOKUP(A1467,'[2]UPDATE BILL 2018'!$G:$V,16,0),IFERROR(VLOOKUP(A1467,'[2]UPDATE BILL 2018'!$H:$V,15,0),IFERROR(VLOOKUP(A1467,'[2]UPDATE BILL 2018'!$I:$V,14,0),VLOOKUP(A1467,'[2]UPDATE BILL 2018'!$B:$V,21,0)))))))))</f>
        <v>UNI-ACCORD 0600-566N</v>
      </c>
      <c r="AD1467" s="14" t="s">
        <v>49</v>
      </c>
      <c r="AE1467" s="24" t="s">
        <v>3702</v>
      </c>
      <c r="AF1467" s="25" t="str">
        <f t="shared" si="133"/>
        <v>VZ</v>
      </c>
      <c r="AG1467" t="e">
        <f t="shared" si="134"/>
        <v>#REF!</v>
      </c>
      <c r="AI1467" s="58"/>
    </row>
    <row r="1468" spans="1:35" ht="15.75" customHeight="1">
      <c r="A1468" s="6" t="s">
        <v>3704</v>
      </c>
      <c r="D1468" s="7">
        <f t="shared" si="125"/>
        <v>0</v>
      </c>
      <c r="E1468" s="7">
        <v>0</v>
      </c>
      <c r="F1468" s="5">
        <v>0</v>
      </c>
      <c r="G1468" s="7">
        <v>0</v>
      </c>
      <c r="H1468" s="5">
        <v>380</v>
      </c>
      <c r="I1468" s="7">
        <v>40839.899999999994</v>
      </c>
      <c r="J1468" s="7">
        <v>0</v>
      </c>
      <c r="K1468" s="5">
        <v>0</v>
      </c>
      <c r="L1468" s="5">
        <v>0</v>
      </c>
      <c r="M1468" s="5">
        <v>0</v>
      </c>
      <c r="N1468" s="7">
        <f t="shared" si="126"/>
        <v>0</v>
      </c>
      <c r="O1468" s="7">
        <v>0</v>
      </c>
      <c r="P1468" s="7">
        <v>0</v>
      </c>
      <c r="Q1468" s="5">
        <v>0</v>
      </c>
      <c r="S1468" s="7">
        <v>0</v>
      </c>
      <c r="T1468" s="12">
        <v>43342</v>
      </c>
      <c r="U1468" s="4">
        <v>3</v>
      </c>
      <c r="V1468" s="4">
        <v>9</v>
      </c>
      <c r="W1468" s="4">
        <v>9</v>
      </c>
      <c r="X1468" s="45">
        <f t="shared" si="127"/>
        <v>40839.899999999994</v>
      </c>
      <c r="Y1468" s="14" t="s">
        <v>85</v>
      </c>
      <c r="Z1468" s="14" t="s">
        <v>1637</v>
      </c>
      <c r="AA1468" s="14">
        <f>IFERROR(VLOOKUP(A1468,'[2]UPDATE BILL 2018'!$B:$P,15,0),IFERROR(VLOOKUP(A1468,'[2]UPDATE BILL 2018'!$C:$P,14,0),IFERROR(VLOOKUP(A1468,'[2]UPDATE BILL 2018'!$D:$P,13,0),IFERROR(VLOOKUP(A1468,'[2]UPDATE BILL 2018'!$E:$P,12,0),IFERROR(VLOOKUP(A1468,'[2]UPDATE BILL 2018'!$F:$P,11,0),IFERROR(VLOOKUP(A1468,'[2]UPDATE BILL 2018'!$G:$P,10,0),IFERROR(VLOOKUP(A1468,'[2]UPDATE BILL 2018'!$H:$P,9,0),IFERROR(VLOOKUP(A1468,'[2]UPDATE BILL 2018'!$I:$P,8,0),VLOOKUP(A1468,'[2]UPDATE BILL 2018'!$B:$P,15,0)))))))))</f>
        <v>350810106608</v>
      </c>
      <c r="AB1468" s="44">
        <f>IFERROR(VLOOKUP(A1468,'[2]UPDATE BILL 2018'!$B:$T,19,0),IFERROR(VLOOKUP(A1468,'[2]UPDATE BILL 2018'!$C:$T,18,0),IFERROR(VLOOKUP(A1468,'[2]UPDATE BILL 2018'!$D:$T,17,0),IFERROR(VLOOKUP(A1468,'[2]UPDATE BILL 2018'!$E:$T,16,0),IFERROR(VLOOKUP(A1468,'[2]UPDATE BILL 2018'!$F:$T,15,0),IFERROR(VLOOKUP(A1468,'[2]UPDATE BILL 2018'!$G:$T,14,0),IFERROR(VLOOKUP(A1468,'[2]UPDATE BILL 2018'!$H:$T,13,0),IFERROR(VLOOKUP(A1468,'[2]UPDATE BILL 2018'!$I:$T,12,0),VLOOKUP(A1468,'[2]UPDATE BILL 2018'!$B:$T,19,0)))))))))</f>
        <v>43349</v>
      </c>
      <c r="AC1468" s="44" t="str">
        <f>IFERROR(VLOOKUP(A1468,'[2]UPDATE BILL 2018'!$B:$V,21,0),IFERROR(VLOOKUP(A1468,'[2]UPDATE BILL 2018'!$C:$V,20,0),IFERROR(VLOOKUP(A1468,'[2]UPDATE BILL 2018'!$D:$V,19,0),IFERROR(VLOOKUP(A1468,'[2]UPDATE BILL 2018'!$E:$V,18,0),IFERROR(VLOOKUP(A1468,'[2]UPDATE BILL 2018'!$F:$V,17,0),IFERROR(VLOOKUP(A1468,'[2]UPDATE BILL 2018'!$G:$V,16,0),IFERROR(VLOOKUP(A1468,'[2]UPDATE BILL 2018'!$H:$V,15,0),IFERROR(VLOOKUP(A1468,'[2]UPDATE BILL 2018'!$I:$V,14,0),VLOOKUP(A1468,'[2]UPDATE BILL 2018'!$B:$V,21,0)))))))))</f>
        <v>MARCARRIER 18015N</v>
      </c>
      <c r="AD1468" s="14" t="s">
        <v>49</v>
      </c>
      <c r="AE1468" s="24" t="s">
        <v>3712</v>
      </c>
      <c r="AF1468" s="25" t="str">
        <f t="shared" si="133"/>
        <v>VK</v>
      </c>
      <c r="AG1468" t="e">
        <f t="shared" si="134"/>
        <v>#REF!</v>
      </c>
      <c r="AI1468" s="58"/>
    </row>
    <row r="1469" spans="1:35" ht="15.75" customHeight="1">
      <c r="A1469" s="6" t="s">
        <v>3705</v>
      </c>
      <c r="B1469" s="5">
        <v>109</v>
      </c>
      <c r="C1469" s="7">
        <v>11970.599999999999</v>
      </c>
      <c r="D1469" s="7">
        <f t="shared" si="125"/>
        <v>0</v>
      </c>
      <c r="E1469" s="7">
        <v>0</v>
      </c>
      <c r="F1469" s="5">
        <v>0</v>
      </c>
      <c r="G1469" s="7">
        <v>0</v>
      </c>
      <c r="H1469" s="5">
        <v>0</v>
      </c>
      <c r="I1469" s="7">
        <v>0</v>
      </c>
      <c r="J1469" s="7">
        <v>0</v>
      </c>
      <c r="K1469" s="5">
        <v>0</v>
      </c>
      <c r="L1469" s="5">
        <v>0</v>
      </c>
      <c r="M1469" s="5">
        <v>43</v>
      </c>
      <c r="N1469" s="7">
        <f t="shared" si="126"/>
        <v>43</v>
      </c>
      <c r="O1469" s="7">
        <v>8509.6</v>
      </c>
      <c r="P1469" s="7">
        <v>0</v>
      </c>
      <c r="Q1469" s="5">
        <v>0</v>
      </c>
      <c r="S1469" s="7">
        <v>0</v>
      </c>
      <c r="T1469" s="12">
        <v>43342</v>
      </c>
      <c r="U1469" s="4">
        <v>2</v>
      </c>
      <c r="V1469" s="4">
        <v>9</v>
      </c>
      <c r="W1469" s="4">
        <v>9</v>
      </c>
      <c r="X1469" s="45">
        <f t="shared" si="127"/>
        <v>20480.199999999997</v>
      </c>
      <c r="Y1469" s="14" t="s">
        <v>54</v>
      </c>
      <c r="Z1469" s="14" t="s">
        <v>1355</v>
      </c>
      <c r="AA1469" s="14" t="str">
        <f>IFERROR(VLOOKUP(A1469,'[2]UPDATE BILL 2018'!$B:$P,15,0),IFERROR(VLOOKUP(A1469,'[2]UPDATE BILL 2018'!$C:$P,14,0),IFERROR(VLOOKUP(A1469,'[2]UPDATE BILL 2018'!$D:$P,13,0),IFERROR(VLOOKUP(A1469,'[2]UPDATE BILL 2018'!$E:$P,12,0),IFERROR(VLOOKUP(A1469,'[2]UPDATE BILL 2018'!$F:$P,11,0),IFERROR(VLOOKUP(A1469,'[2]UPDATE BILL 2018'!$G:$P,10,0),IFERROR(VLOOKUP(A1469,'[2]UPDATE BILL 2018'!$H:$P,9,0),IFERROR(VLOOKUP(A1469,'[2]UPDATE BILL 2018'!$I:$P,8,0),VLOOKUP(A1469,'[2]UPDATE BILL 2018'!$B:$P,15,0)))))))))</f>
        <v>SITWHPTK176273</v>
      </c>
      <c r="AB1469" s="44">
        <f>IFERROR(VLOOKUP(A1469,'[2]UPDATE BILL 2018'!$B:$T,19,0),IFERROR(VLOOKUP(A1469,'[2]UPDATE BILL 2018'!$C:$T,18,0),IFERROR(VLOOKUP(A1469,'[2]UPDATE BILL 2018'!$D:$T,17,0),IFERROR(VLOOKUP(A1469,'[2]UPDATE BILL 2018'!$E:$T,16,0),IFERROR(VLOOKUP(A1469,'[2]UPDATE BILL 2018'!$F:$T,15,0),IFERROR(VLOOKUP(A1469,'[2]UPDATE BILL 2018'!$G:$T,14,0),IFERROR(VLOOKUP(A1469,'[2]UPDATE BILL 2018'!$H:$T,13,0),IFERROR(VLOOKUP(A1469,'[2]UPDATE BILL 2018'!$I:$T,12,0),VLOOKUP(A1469,'[2]UPDATE BILL 2018'!$B:$T,19,0)))))))))</f>
        <v>43346</v>
      </c>
      <c r="AC1469" s="44" t="str">
        <f>IFERROR(VLOOKUP(A1469,'[2]UPDATE BILL 2018'!$B:$V,21,0),IFERROR(VLOOKUP(A1469,'[2]UPDATE BILL 2018'!$C:$V,20,0),IFERROR(VLOOKUP(A1469,'[2]UPDATE BILL 2018'!$D:$V,19,0),IFERROR(VLOOKUP(A1469,'[2]UPDATE BILL 2018'!$E:$V,18,0),IFERROR(VLOOKUP(A1469,'[2]UPDATE BILL 2018'!$F:$V,17,0),IFERROR(VLOOKUP(A1469,'[2]UPDATE BILL 2018'!$G:$V,16,0),IFERROR(VLOOKUP(A1469,'[2]UPDATE BILL 2018'!$H:$V,15,0),IFERROR(VLOOKUP(A1469,'[2]UPDATE BILL 2018'!$I:$V,14,0),VLOOKUP(A1469,'[2]UPDATE BILL 2018'!$B:$V,21,0)))))))))</f>
        <v>HYUNDAI HARMONY 1833N</v>
      </c>
      <c r="AD1469" s="14" t="s">
        <v>49</v>
      </c>
      <c r="AE1469" s="24" t="s">
        <v>3713</v>
      </c>
      <c r="AF1469" s="25" t="str">
        <f t="shared" si="133"/>
        <v>VN</v>
      </c>
      <c r="AG1469" t="e">
        <f t="shared" si="134"/>
        <v>#REF!</v>
      </c>
      <c r="AI1469" s="58"/>
    </row>
    <row r="1470" spans="1:35" ht="15.75" customHeight="1">
      <c r="A1470" s="6" t="s">
        <v>3706</v>
      </c>
      <c r="B1470" s="5">
        <v>185</v>
      </c>
      <c r="C1470" s="7">
        <v>22185.9</v>
      </c>
      <c r="D1470" s="7">
        <f t="shared" si="125"/>
        <v>0</v>
      </c>
      <c r="E1470" s="7">
        <v>0</v>
      </c>
      <c r="F1470" s="5">
        <v>0</v>
      </c>
      <c r="G1470" s="7">
        <v>0</v>
      </c>
      <c r="H1470" s="5">
        <v>0</v>
      </c>
      <c r="I1470" s="7">
        <v>0</v>
      </c>
      <c r="J1470" s="7">
        <v>0</v>
      </c>
      <c r="K1470" s="5">
        <v>0</v>
      </c>
      <c r="L1470" s="5">
        <v>0</v>
      </c>
      <c r="M1470" s="5">
        <v>58</v>
      </c>
      <c r="N1470" s="7">
        <f t="shared" si="126"/>
        <v>58</v>
      </c>
      <c r="O1470" s="7">
        <v>10248.599999999999</v>
      </c>
      <c r="P1470" s="7">
        <v>0</v>
      </c>
      <c r="Q1470" s="5">
        <v>0</v>
      </c>
      <c r="S1470" s="7">
        <v>0</v>
      </c>
      <c r="T1470" s="12">
        <v>43342</v>
      </c>
      <c r="U1470" s="4">
        <v>3</v>
      </c>
      <c r="V1470" s="4">
        <v>9</v>
      </c>
      <c r="W1470" s="4">
        <v>9</v>
      </c>
      <c r="X1470" s="45">
        <f t="shared" si="127"/>
        <v>32434.5</v>
      </c>
      <c r="Y1470" s="14" t="s">
        <v>85</v>
      </c>
      <c r="Z1470" s="14" t="s">
        <v>1637</v>
      </c>
      <c r="AA1470" s="14">
        <f>IFERROR(VLOOKUP(A1470,'[2]UPDATE BILL 2018'!$B:$P,15,0),IFERROR(VLOOKUP(A1470,'[2]UPDATE BILL 2018'!$C:$P,14,0),IFERROR(VLOOKUP(A1470,'[2]UPDATE BILL 2018'!$D:$P,13,0),IFERROR(VLOOKUP(A1470,'[2]UPDATE BILL 2018'!$E:$P,12,0),IFERROR(VLOOKUP(A1470,'[2]UPDATE BILL 2018'!$F:$P,11,0),IFERROR(VLOOKUP(A1470,'[2]UPDATE BILL 2018'!$G:$P,10,0),IFERROR(VLOOKUP(A1470,'[2]UPDATE BILL 2018'!$H:$P,9,0),IFERROR(VLOOKUP(A1470,'[2]UPDATE BILL 2018'!$I:$P,8,0),VLOOKUP(A1470,'[2]UPDATE BILL 2018'!$B:$P,15,0)))))))))</f>
        <v>350810106608</v>
      </c>
      <c r="AB1470" s="44">
        <f>IFERROR(VLOOKUP(A1470,'[2]UPDATE BILL 2018'!$B:$T,19,0),IFERROR(VLOOKUP(A1470,'[2]UPDATE BILL 2018'!$C:$T,18,0),IFERROR(VLOOKUP(A1470,'[2]UPDATE BILL 2018'!$D:$T,17,0),IFERROR(VLOOKUP(A1470,'[2]UPDATE BILL 2018'!$E:$T,16,0),IFERROR(VLOOKUP(A1470,'[2]UPDATE BILL 2018'!$F:$T,15,0),IFERROR(VLOOKUP(A1470,'[2]UPDATE BILL 2018'!$G:$T,14,0),IFERROR(VLOOKUP(A1470,'[2]UPDATE BILL 2018'!$H:$T,13,0),IFERROR(VLOOKUP(A1470,'[2]UPDATE BILL 2018'!$I:$T,12,0),VLOOKUP(A1470,'[2]UPDATE BILL 2018'!$B:$T,19,0)))))))))</f>
        <v>43349</v>
      </c>
      <c r="AC1470" s="44" t="str">
        <f>IFERROR(VLOOKUP(A1470,'[2]UPDATE BILL 2018'!$B:$V,21,0),IFERROR(VLOOKUP(A1470,'[2]UPDATE BILL 2018'!$C:$V,20,0),IFERROR(VLOOKUP(A1470,'[2]UPDATE BILL 2018'!$D:$V,19,0),IFERROR(VLOOKUP(A1470,'[2]UPDATE BILL 2018'!$E:$V,18,0),IFERROR(VLOOKUP(A1470,'[2]UPDATE BILL 2018'!$F:$V,17,0),IFERROR(VLOOKUP(A1470,'[2]UPDATE BILL 2018'!$G:$V,16,0),IFERROR(VLOOKUP(A1470,'[2]UPDATE BILL 2018'!$H:$V,15,0),IFERROR(VLOOKUP(A1470,'[2]UPDATE BILL 2018'!$I:$V,14,0),VLOOKUP(A1470,'[2]UPDATE BILL 2018'!$B:$V,21,0)))))))))</f>
        <v>MARCARRIER 18015N</v>
      </c>
      <c r="AD1470" s="14" t="s">
        <v>49</v>
      </c>
      <c r="AE1470" s="24" t="s">
        <v>3714</v>
      </c>
      <c r="AF1470" s="25" t="str">
        <f t="shared" si="133"/>
        <v>VN</v>
      </c>
      <c r="AG1470" t="e">
        <f t="shared" si="134"/>
        <v>#REF!</v>
      </c>
      <c r="AI1470" s="58"/>
    </row>
    <row r="1471" spans="1:35" ht="15.75" customHeight="1">
      <c r="A1471" s="6" t="s">
        <v>3707</v>
      </c>
      <c r="B1471" s="5">
        <v>349</v>
      </c>
      <c r="C1471" s="7">
        <v>25209.200000000004</v>
      </c>
      <c r="D1471" s="7">
        <f t="shared" si="125"/>
        <v>0</v>
      </c>
      <c r="E1471" s="7">
        <v>0</v>
      </c>
      <c r="F1471" s="5">
        <v>0</v>
      </c>
      <c r="G1471" s="7">
        <v>0</v>
      </c>
      <c r="H1471" s="5">
        <v>325</v>
      </c>
      <c r="I1471" s="7">
        <v>38915.700000000004</v>
      </c>
      <c r="J1471" s="7">
        <v>0</v>
      </c>
      <c r="K1471" s="5">
        <v>0</v>
      </c>
      <c r="L1471" s="5">
        <v>0</v>
      </c>
      <c r="M1471" s="5">
        <v>106</v>
      </c>
      <c r="N1471" s="7">
        <f t="shared" si="126"/>
        <v>106</v>
      </c>
      <c r="O1471" s="7">
        <v>17763.3</v>
      </c>
      <c r="P1471" s="7">
        <v>0</v>
      </c>
      <c r="Q1471" s="5">
        <v>0</v>
      </c>
      <c r="R1471" s="5">
        <v>276</v>
      </c>
      <c r="S1471" s="7">
        <v>33506.400000000001</v>
      </c>
      <c r="T1471" s="12">
        <v>43342</v>
      </c>
      <c r="U1471" s="4">
        <v>8</v>
      </c>
      <c r="V1471" s="4">
        <v>9</v>
      </c>
      <c r="W1471" s="4">
        <v>9</v>
      </c>
      <c r="X1471" s="45">
        <f t="shared" si="127"/>
        <v>115394.6</v>
      </c>
      <c r="Y1471" s="14" t="s">
        <v>54</v>
      </c>
      <c r="Z1471" s="14" t="s">
        <v>1281</v>
      </c>
      <c r="AA1471" s="14" t="str">
        <f>IFERROR(VLOOKUP(A1471,'[2]UPDATE BILL 2018'!$B:$P,15,0),IFERROR(VLOOKUP(A1471,'[2]UPDATE BILL 2018'!$C:$P,14,0),IFERROR(VLOOKUP(A1471,'[2]UPDATE BILL 2018'!$D:$P,13,0),IFERROR(VLOOKUP(A1471,'[2]UPDATE BILL 2018'!$E:$P,12,0),IFERROR(VLOOKUP(A1471,'[2]UPDATE BILL 2018'!$F:$P,11,0),IFERROR(VLOOKUP(A1471,'[2]UPDATE BILL 2018'!$G:$P,10,0),IFERROR(VLOOKUP(A1471,'[2]UPDATE BILL 2018'!$H:$P,9,0),IFERROR(VLOOKUP(A1471,'[2]UPDATE BILL 2018'!$I:$P,8,0),VLOOKUP(A1471,'[2]UPDATE BILL 2018'!$B:$P,15,0)))))))))</f>
        <v>SITWHPOS177112</v>
      </c>
      <c r="AB1471" s="44">
        <f>IFERROR(VLOOKUP(A1471,'[2]UPDATE BILL 2018'!$B:$T,19,0),IFERROR(VLOOKUP(A1471,'[2]UPDATE BILL 2018'!$C:$T,18,0),IFERROR(VLOOKUP(A1471,'[2]UPDATE BILL 2018'!$D:$T,17,0),IFERROR(VLOOKUP(A1471,'[2]UPDATE BILL 2018'!$E:$T,16,0),IFERROR(VLOOKUP(A1471,'[2]UPDATE BILL 2018'!$F:$T,15,0),IFERROR(VLOOKUP(A1471,'[2]UPDATE BILL 2018'!$G:$T,14,0),IFERROR(VLOOKUP(A1471,'[2]UPDATE BILL 2018'!$H:$T,13,0),IFERROR(VLOOKUP(A1471,'[2]UPDATE BILL 2018'!$I:$T,12,0),VLOOKUP(A1471,'[2]UPDATE BILL 2018'!$B:$T,19,0)))))))))</f>
        <v>43346</v>
      </c>
      <c r="AC1471" s="44" t="str">
        <f>IFERROR(VLOOKUP(A1471,'[2]UPDATE BILL 2018'!$B:$V,21,0),IFERROR(VLOOKUP(A1471,'[2]UPDATE BILL 2018'!$C:$V,20,0),IFERROR(VLOOKUP(A1471,'[2]UPDATE BILL 2018'!$D:$V,19,0),IFERROR(VLOOKUP(A1471,'[2]UPDATE BILL 2018'!$E:$V,18,0),IFERROR(VLOOKUP(A1471,'[2]UPDATE BILL 2018'!$F:$V,17,0),IFERROR(VLOOKUP(A1471,'[2]UPDATE BILL 2018'!$G:$V,16,0),IFERROR(VLOOKUP(A1471,'[2]UPDATE BILL 2018'!$H:$V,15,0),IFERROR(VLOOKUP(A1471,'[2]UPDATE BILL 2018'!$I:$V,14,0),VLOOKUP(A1471,'[2]UPDATE BILL 2018'!$B:$V,21,0)))))))))</f>
        <v>HANSE ENERGY 1823N</v>
      </c>
      <c r="AD1471" s="14" t="s">
        <v>51</v>
      </c>
      <c r="AE1471" s="24" t="s">
        <v>3715</v>
      </c>
      <c r="AF1471" s="25" t="str">
        <f t="shared" si="133"/>
        <v>VS</v>
      </c>
      <c r="AG1471" t="e">
        <f t="shared" si="134"/>
        <v>#REF!</v>
      </c>
      <c r="AI1471" s="58"/>
    </row>
    <row r="1472" spans="1:35" ht="15.75" customHeight="1">
      <c r="A1472" s="6" t="s">
        <v>3708</v>
      </c>
      <c r="B1472" s="5">
        <v>414</v>
      </c>
      <c r="C1472" s="7">
        <v>51461.380000000005</v>
      </c>
      <c r="D1472" s="7">
        <f t="shared" si="125"/>
        <v>0</v>
      </c>
      <c r="E1472" s="7">
        <v>0</v>
      </c>
      <c r="F1472" s="5">
        <v>0</v>
      </c>
      <c r="G1472" s="7">
        <v>0</v>
      </c>
      <c r="H1472" s="5">
        <v>0</v>
      </c>
      <c r="I1472" s="7">
        <v>0</v>
      </c>
      <c r="J1472" s="7">
        <v>0</v>
      </c>
      <c r="K1472" s="5">
        <v>0</v>
      </c>
      <c r="L1472" s="5">
        <v>0</v>
      </c>
      <c r="M1472" s="5">
        <v>57</v>
      </c>
      <c r="N1472" s="7">
        <f t="shared" si="126"/>
        <v>57</v>
      </c>
      <c r="O1472" s="7">
        <v>8675.1999999999989</v>
      </c>
      <c r="P1472" s="7">
        <v>0</v>
      </c>
      <c r="Q1472" s="5">
        <v>0</v>
      </c>
      <c r="R1472" s="5">
        <v>553</v>
      </c>
      <c r="S1472" s="7">
        <v>36221.5</v>
      </c>
      <c r="T1472" s="12">
        <v>43342</v>
      </c>
      <c r="U1472" s="4">
        <v>6</v>
      </c>
      <c r="V1472" s="4">
        <v>9</v>
      </c>
      <c r="W1472" s="4">
        <v>9</v>
      </c>
      <c r="X1472" s="45">
        <f t="shared" si="127"/>
        <v>96358.080000000002</v>
      </c>
      <c r="Y1472" s="14" t="s">
        <v>56</v>
      </c>
      <c r="Z1472" s="14" t="s">
        <v>1355</v>
      </c>
      <c r="AA1472" s="14" t="str">
        <f>IFERROR(VLOOKUP(A1472,'[2]UPDATE BILL 2018'!$B:$P,15,0),IFERROR(VLOOKUP(A1472,'[2]UPDATE BILL 2018'!$C:$P,14,0),IFERROR(VLOOKUP(A1472,'[2]UPDATE BILL 2018'!$D:$P,13,0),IFERROR(VLOOKUP(A1472,'[2]UPDATE BILL 2018'!$E:$P,12,0),IFERROR(VLOOKUP(A1472,'[2]UPDATE BILL 2018'!$F:$P,11,0),IFERROR(VLOOKUP(A1472,'[2]UPDATE BILL 2018'!$G:$P,10,0),IFERROR(VLOOKUP(A1472,'[2]UPDATE BILL 2018'!$H:$P,9,0),IFERROR(VLOOKUP(A1472,'[2]UPDATE BILL 2018'!$I:$P,8,0),VLOOKUP(A1472,'[2]UPDATE BILL 2018'!$B:$P,15,0)))))))))</f>
        <v>1008X05092</v>
      </c>
      <c r="AB1472" s="44">
        <f>IFERROR(VLOOKUP(A1472,'[2]UPDATE BILL 2018'!$B:$T,19,0),IFERROR(VLOOKUP(A1472,'[2]UPDATE BILL 2018'!$C:$T,18,0),IFERROR(VLOOKUP(A1472,'[2]UPDATE BILL 2018'!$D:$T,17,0),IFERROR(VLOOKUP(A1472,'[2]UPDATE BILL 2018'!$E:$T,16,0),IFERROR(VLOOKUP(A1472,'[2]UPDATE BILL 2018'!$F:$T,15,0),IFERROR(VLOOKUP(A1472,'[2]UPDATE BILL 2018'!$G:$T,14,0),IFERROR(VLOOKUP(A1472,'[2]UPDATE BILL 2018'!$H:$T,13,0),IFERROR(VLOOKUP(A1472,'[2]UPDATE BILL 2018'!$I:$T,12,0),VLOOKUP(A1472,'[2]UPDATE BILL 2018'!$B:$T,19,0)))))))))</f>
        <v>43349</v>
      </c>
      <c r="AC1472" s="44" t="str">
        <f>IFERROR(VLOOKUP(A1472,'[2]UPDATE BILL 2018'!$B:$V,21,0),IFERROR(VLOOKUP(A1472,'[2]UPDATE BILL 2018'!$C:$V,20,0),IFERROR(VLOOKUP(A1472,'[2]UPDATE BILL 2018'!$D:$V,19,0),IFERROR(VLOOKUP(A1472,'[2]UPDATE BILL 2018'!$E:$V,18,0),IFERROR(VLOOKUP(A1472,'[2]UPDATE BILL 2018'!$F:$V,17,0),IFERROR(VLOOKUP(A1472,'[2]UPDATE BILL 2018'!$G:$V,16,0),IFERROR(VLOOKUP(A1472,'[2]UPDATE BILL 2018'!$H:$V,15,0),IFERROR(VLOOKUP(A1472,'[2]UPDATE BILL 2018'!$I:$V,14,0),VLOOKUP(A1472,'[2]UPDATE BILL 2018'!$B:$V,21,0)))))))))</f>
        <v>WAN HAI 267 N271</v>
      </c>
      <c r="AD1472" s="14" t="s">
        <v>51</v>
      </c>
      <c r="AE1472" s="24" t="s">
        <v>3716</v>
      </c>
      <c r="AF1472" s="25" t="str">
        <f t="shared" si="133"/>
        <v>VS</v>
      </c>
      <c r="AG1472" t="e">
        <f t="shared" si="134"/>
        <v>#REF!</v>
      </c>
      <c r="AI1472" s="58"/>
    </row>
    <row r="1473" spans="1:35" ht="15.75" customHeight="1">
      <c r="A1473" s="6" t="s">
        <v>3709</v>
      </c>
      <c r="D1473" s="7">
        <f t="shared" si="125"/>
        <v>0</v>
      </c>
      <c r="E1473" s="7">
        <v>0</v>
      </c>
      <c r="F1473" s="5">
        <v>0</v>
      </c>
      <c r="G1473" s="7">
        <v>0</v>
      </c>
      <c r="H1473" s="5">
        <v>0</v>
      </c>
      <c r="I1473" s="7">
        <v>0</v>
      </c>
      <c r="J1473" s="7">
        <v>0</v>
      </c>
      <c r="K1473" s="5">
        <v>0</v>
      </c>
      <c r="L1473" s="5">
        <v>0</v>
      </c>
      <c r="M1473" s="5">
        <v>0</v>
      </c>
      <c r="N1473" s="7">
        <f t="shared" si="126"/>
        <v>0</v>
      </c>
      <c r="O1473" s="7">
        <v>0</v>
      </c>
      <c r="P1473" s="7">
        <v>0</v>
      </c>
      <c r="Q1473" s="5">
        <v>0</v>
      </c>
      <c r="R1473" s="5">
        <v>93</v>
      </c>
      <c r="S1473" s="7">
        <v>11904.5</v>
      </c>
      <c r="T1473" s="12">
        <v>43342</v>
      </c>
      <c r="U1473" s="4">
        <v>1</v>
      </c>
      <c r="V1473" s="4">
        <v>9</v>
      </c>
      <c r="W1473" s="4">
        <v>9</v>
      </c>
      <c r="X1473" s="45">
        <f t="shared" si="127"/>
        <v>11904.5</v>
      </c>
      <c r="Y1473" s="14" t="s">
        <v>85</v>
      </c>
      <c r="Z1473" s="14" t="s">
        <v>1355</v>
      </c>
      <c r="AA1473" s="14">
        <f>IFERROR(VLOOKUP(A1473,'[2]UPDATE BILL 2018'!$B:$P,15,0),IFERROR(VLOOKUP(A1473,'[2]UPDATE BILL 2018'!$C:$P,14,0),IFERROR(VLOOKUP(A1473,'[2]UPDATE BILL 2018'!$D:$P,13,0),IFERROR(VLOOKUP(A1473,'[2]UPDATE BILL 2018'!$E:$P,12,0),IFERROR(VLOOKUP(A1473,'[2]UPDATE BILL 2018'!$F:$P,11,0),IFERROR(VLOOKUP(A1473,'[2]UPDATE BILL 2018'!$G:$P,10,0),IFERROR(VLOOKUP(A1473,'[2]UPDATE BILL 2018'!$H:$P,9,0),IFERROR(VLOOKUP(A1473,'[2]UPDATE BILL 2018'!$I:$P,8,0),VLOOKUP(A1473,'[2]UPDATE BILL 2018'!$B:$P,15,0)))))))))</f>
        <v>350810106653</v>
      </c>
      <c r="AB1473" s="44">
        <f>IFERROR(VLOOKUP(A1473,'[2]UPDATE BILL 2018'!$B:$T,19,0),IFERROR(VLOOKUP(A1473,'[2]UPDATE BILL 2018'!$C:$T,18,0),IFERROR(VLOOKUP(A1473,'[2]UPDATE BILL 2018'!$D:$T,17,0),IFERROR(VLOOKUP(A1473,'[2]UPDATE BILL 2018'!$E:$T,16,0),IFERROR(VLOOKUP(A1473,'[2]UPDATE BILL 2018'!$F:$T,15,0),IFERROR(VLOOKUP(A1473,'[2]UPDATE BILL 2018'!$G:$T,14,0),IFERROR(VLOOKUP(A1473,'[2]UPDATE BILL 2018'!$H:$T,13,0),IFERROR(VLOOKUP(A1473,'[2]UPDATE BILL 2018'!$I:$T,12,0),VLOOKUP(A1473,'[2]UPDATE BILL 2018'!$B:$T,19,0)))))))))</f>
        <v>43346</v>
      </c>
      <c r="AC1473" s="44" t="str">
        <f>IFERROR(VLOOKUP(A1473,'[2]UPDATE BILL 2018'!$B:$V,21,0),IFERROR(VLOOKUP(A1473,'[2]UPDATE BILL 2018'!$C:$V,20,0),IFERROR(VLOOKUP(A1473,'[2]UPDATE BILL 2018'!$D:$V,19,0),IFERROR(VLOOKUP(A1473,'[2]UPDATE BILL 2018'!$E:$V,18,0),IFERROR(VLOOKUP(A1473,'[2]UPDATE BILL 2018'!$F:$V,17,0),IFERROR(VLOOKUP(A1473,'[2]UPDATE BILL 2018'!$G:$V,16,0),IFERROR(VLOOKUP(A1473,'[2]UPDATE BILL 2018'!$H:$V,15,0),IFERROR(VLOOKUP(A1473,'[2]UPDATE BILL 2018'!$I:$V,14,0),VLOOKUP(A1473,'[2]UPDATE BILL 2018'!$B:$V,21,0)))))))))</f>
        <v>LANTAU BEE 18012N</v>
      </c>
      <c r="AD1473" s="14" t="s">
        <v>600</v>
      </c>
      <c r="AE1473" s="24" t="s">
        <v>3717</v>
      </c>
      <c r="AF1473" s="25" t="s">
        <v>2373</v>
      </c>
      <c r="AG1473" t="e">
        <f t="shared" si="134"/>
        <v>#N/A</v>
      </c>
      <c r="AI1473" s="58"/>
    </row>
    <row r="1474" spans="1:35" ht="15.75" customHeight="1">
      <c r="A1474" s="6" t="s">
        <v>3710</v>
      </c>
      <c r="B1474" s="5">
        <v>492</v>
      </c>
      <c r="C1474" s="7">
        <v>38132.400000000001</v>
      </c>
      <c r="D1474" s="7">
        <f t="shared" si="125"/>
        <v>0</v>
      </c>
      <c r="E1474" s="7">
        <v>0</v>
      </c>
      <c r="F1474" s="5">
        <v>0</v>
      </c>
      <c r="G1474" s="7">
        <v>0</v>
      </c>
      <c r="H1474" s="5">
        <v>0</v>
      </c>
      <c r="I1474" s="7">
        <v>0</v>
      </c>
      <c r="J1474" s="7">
        <v>0</v>
      </c>
      <c r="K1474" s="5">
        <v>0</v>
      </c>
      <c r="L1474" s="5">
        <v>0</v>
      </c>
      <c r="M1474" s="5">
        <v>115</v>
      </c>
      <c r="N1474" s="7">
        <f t="shared" si="126"/>
        <v>115</v>
      </c>
      <c r="O1474" s="7">
        <v>20687.400000000001</v>
      </c>
      <c r="P1474" s="7">
        <v>0</v>
      </c>
      <c r="Q1474" s="5">
        <v>0</v>
      </c>
      <c r="R1474" s="5">
        <v>267</v>
      </c>
      <c r="S1474" s="7">
        <v>61284.800000000003</v>
      </c>
      <c r="T1474" s="12">
        <v>43342</v>
      </c>
      <c r="U1474" s="4">
        <v>7</v>
      </c>
      <c r="V1474" s="4">
        <v>9</v>
      </c>
      <c r="W1474" s="4">
        <v>9</v>
      </c>
      <c r="X1474" s="45">
        <f t="shared" si="127"/>
        <v>120104.6</v>
      </c>
      <c r="Y1474" s="14" t="s">
        <v>54</v>
      </c>
      <c r="Z1474" s="14" t="s">
        <v>59</v>
      </c>
      <c r="AA1474" s="14" t="str">
        <f>IFERROR(VLOOKUP(A1474,'[2]UPDATE BILL 2018'!$B:$P,15,0),IFERROR(VLOOKUP(A1474,'[2]UPDATE BILL 2018'!$C:$P,14,0),IFERROR(VLOOKUP(A1474,'[2]UPDATE BILL 2018'!$D:$P,13,0),IFERROR(VLOOKUP(A1474,'[2]UPDATE BILL 2018'!$E:$P,12,0),IFERROR(VLOOKUP(A1474,'[2]UPDATE BILL 2018'!$F:$P,11,0),IFERROR(VLOOKUP(A1474,'[2]UPDATE BILL 2018'!$G:$P,10,0),IFERROR(VLOOKUP(A1474,'[2]UPDATE BILL 2018'!$H:$P,9,0),IFERROR(VLOOKUP(A1474,'[2]UPDATE BILL 2018'!$I:$P,8,0),VLOOKUP(A1474,'[2]UPDATE BILL 2018'!$B:$P,15,0)))))))))</f>
        <v>SITWHPKW175620</v>
      </c>
      <c r="AB1474" s="44">
        <f>IFERROR(VLOOKUP(A1474,'[2]UPDATE BILL 2018'!$B:$T,19,0),IFERROR(VLOOKUP(A1474,'[2]UPDATE BILL 2018'!$C:$T,18,0),IFERROR(VLOOKUP(A1474,'[2]UPDATE BILL 2018'!$D:$T,17,0),IFERROR(VLOOKUP(A1474,'[2]UPDATE BILL 2018'!$E:$T,16,0),IFERROR(VLOOKUP(A1474,'[2]UPDATE BILL 2018'!$F:$T,15,0),IFERROR(VLOOKUP(A1474,'[2]UPDATE BILL 2018'!$G:$T,14,0),IFERROR(VLOOKUP(A1474,'[2]UPDATE BILL 2018'!$H:$T,13,0),IFERROR(VLOOKUP(A1474,'[2]UPDATE BILL 2018'!$I:$T,12,0),VLOOKUP(A1474,'[2]UPDATE BILL 2018'!$B:$T,19,0)))))))))</f>
        <v>43346</v>
      </c>
      <c r="AC1474" s="44" t="str">
        <f>IFERROR(VLOOKUP(A1474,'[2]UPDATE BILL 2018'!$B:$V,21,0),IFERROR(VLOOKUP(A1474,'[2]UPDATE BILL 2018'!$C:$V,20,0),IFERROR(VLOOKUP(A1474,'[2]UPDATE BILL 2018'!$D:$V,19,0),IFERROR(VLOOKUP(A1474,'[2]UPDATE BILL 2018'!$E:$V,18,0),IFERROR(VLOOKUP(A1474,'[2]UPDATE BILL 2018'!$F:$V,17,0),IFERROR(VLOOKUP(A1474,'[2]UPDATE BILL 2018'!$G:$V,16,0),IFERROR(VLOOKUP(A1474,'[2]UPDATE BILL 2018'!$H:$V,15,0),IFERROR(VLOOKUP(A1474,'[2]UPDATE BILL 2018'!$I:$V,14,0),VLOOKUP(A1474,'[2]UPDATE BILL 2018'!$B:$V,21,0)))))))))</f>
        <v>HYUNDAI HARMONY 1833N</v>
      </c>
      <c r="AD1474" s="14" t="s">
        <v>50</v>
      </c>
      <c r="AE1474" s="24" t="s">
        <v>3718</v>
      </c>
      <c r="AF1474" s="25" t="str">
        <f t="shared" si="133"/>
        <v>VW</v>
      </c>
      <c r="AG1474" t="e">
        <f t="shared" si="134"/>
        <v>#REF!</v>
      </c>
      <c r="AI1474" s="58"/>
    </row>
    <row r="1475" spans="1:35" ht="15.75" customHeight="1">
      <c r="A1475" s="6" t="s">
        <v>3711</v>
      </c>
      <c r="B1475" s="5">
        <v>610</v>
      </c>
      <c r="C1475" s="7">
        <v>75746.040000000008</v>
      </c>
      <c r="D1475" s="7">
        <f t="shared" si="125"/>
        <v>0</v>
      </c>
      <c r="E1475" s="7">
        <v>0</v>
      </c>
      <c r="F1475" s="5">
        <v>0</v>
      </c>
      <c r="G1475" s="7">
        <v>0</v>
      </c>
      <c r="H1475" s="5">
        <v>0</v>
      </c>
      <c r="I1475" s="7">
        <v>0</v>
      </c>
      <c r="J1475" s="7">
        <v>0</v>
      </c>
      <c r="K1475" s="5">
        <v>0</v>
      </c>
      <c r="L1475" s="5">
        <v>0</v>
      </c>
      <c r="M1475" s="5">
        <v>109</v>
      </c>
      <c r="N1475" s="7">
        <f t="shared" si="126"/>
        <v>109</v>
      </c>
      <c r="O1475" s="7">
        <v>18390.600000000002</v>
      </c>
      <c r="P1475" s="7">
        <v>0</v>
      </c>
      <c r="Q1475" s="5">
        <v>0</v>
      </c>
      <c r="S1475" s="7">
        <v>0</v>
      </c>
      <c r="T1475" s="12">
        <v>43342</v>
      </c>
      <c r="U1475" s="4">
        <v>8</v>
      </c>
      <c r="V1475" s="4">
        <v>9</v>
      </c>
      <c r="W1475" s="4">
        <v>9</v>
      </c>
      <c r="X1475" s="45">
        <f t="shared" si="127"/>
        <v>94136.640000000014</v>
      </c>
      <c r="Y1475" s="14" t="s">
        <v>54</v>
      </c>
      <c r="Z1475" s="14" t="s">
        <v>57</v>
      </c>
      <c r="AA1475" s="14" t="str">
        <f>IFERROR(VLOOKUP(A1475,'[2]UPDATE BILL 2018'!$B:$P,15,0),IFERROR(VLOOKUP(A1475,'[2]UPDATE BILL 2018'!$C:$P,14,0),IFERROR(VLOOKUP(A1475,'[2]UPDATE BILL 2018'!$D:$P,13,0),IFERROR(VLOOKUP(A1475,'[2]UPDATE BILL 2018'!$E:$P,12,0),IFERROR(VLOOKUP(A1475,'[2]UPDATE BILL 2018'!$F:$P,11,0),IFERROR(VLOOKUP(A1475,'[2]UPDATE BILL 2018'!$G:$P,10,0),IFERROR(VLOOKUP(A1475,'[2]UPDATE BILL 2018'!$H:$P,9,0),IFERROR(VLOOKUP(A1475,'[2]UPDATE BILL 2018'!$I:$P,8,0),VLOOKUP(A1475,'[2]UPDATE BILL 2018'!$B:$P,15,0)))))))))</f>
        <v>SITWHPKW176264</v>
      </c>
      <c r="AB1475" s="44">
        <f>IFERROR(VLOOKUP(A1475,'[2]UPDATE BILL 2018'!$B:$T,19,0),IFERROR(VLOOKUP(A1475,'[2]UPDATE BILL 2018'!$C:$T,18,0),IFERROR(VLOOKUP(A1475,'[2]UPDATE BILL 2018'!$D:$T,17,0),IFERROR(VLOOKUP(A1475,'[2]UPDATE BILL 2018'!$E:$T,16,0),IFERROR(VLOOKUP(A1475,'[2]UPDATE BILL 2018'!$F:$T,15,0),IFERROR(VLOOKUP(A1475,'[2]UPDATE BILL 2018'!$G:$T,14,0),IFERROR(VLOOKUP(A1475,'[2]UPDATE BILL 2018'!$H:$T,13,0),IFERROR(VLOOKUP(A1475,'[2]UPDATE BILL 2018'!$I:$T,12,0),VLOOKUP(A1475,'[2]UPDATE BILL 2018'!$B:$T,19,0)))))))))</f>
        <v>43349</v>
      </c>
      <c r="AC1475" s="44" t="str">
        <f>IFERROR(VLOOKUP(A1475,'[2]UPDATE BILL 2018'!$B:$V,21,0),IFERROR(VLOOKUP(A1475,'[2]UPDATE BILL 2018'!$C:$V,20,0),IFERROR(VLOOKUP(A1475,'[2]UPDATE BILL 2018'!$D:$V,19,0),IFERROR(VLOOKUP(A1475,'[2]UPDATE BILL 2018'!$E:$V,18,0),IFERROR(VLOOKUP(A1475,'[2]UPDATE BILL 2018'!$F:$V,17,0),IFERROR(VLOOKUP(A1475,'[2]UPDATE BILL 2018'!$G:$V,16,0),IFERROR(VLOOKUP(A1475,'[2]UPDATE BILL 2018'!$H:$V,15,0),IFERROR(VLOOKUP(A1475,'[2]UPDATE BILL 2018'!$I:$V,14,0),VLOOKUP(A1475,'[2]UPDATE BILL 2018'!$B:$V,21,0)))))))))</f>
        <v>SITC MOJI 1839N</v>
      </c>
      <c r="AD1475" s="14" t="s">
        <v>50</v>
      </c>
      <c r="AE1475" s="25" t="s">
        <v>3719</v>
      </c>
      <c r="AF1475" s="25" t="str">
        <f t="shared" si="133"/>
        <v>VW</v>
      </c>
      <c r="AG1475" t="e">
        <f>+VLOOKUP(AE1475,AH:AH,2,0)</f>
        <v>#N/A</v>
      </c>
      <c r="AI1475" s="58"/>
    </row>
    <row r="1476" spans="1:35" ht="15.75" customHeight="1">
      <c r="A1476" s="6" t="s">
        <v>3720</v>
      </c>
      <c r="B1476" s="5">
        <v>234</v>
      </c>
      <c r="C1476" s="7">
        <v>26302.899999999994</v>
      </c>
      <c r="D1476" s="7">
        <f t="shared" si="125"/>
        <v>0</v>
      </c>
      <c r="E1476" s="7">
        <v>0</v>
      </c>
      <c r="F1476" s="5">
        <v>0</v>
      </c>
      <c r="G1476" s="7">
        <v>0</v>
      </c>
      <c r="H1476" s="5">
        <v>30</v>
      </c>
      <c r="I1476" s="7">
        <v>3843.55</v>
      </c>
      <c r="J1476" s="7">
        <v>0</v>
      </c>
      <c r="K1476" s="5">
        <v>0</v>
      </c>
      <c r="L1476" s="5">
        <v>0</v>
      </c>
      <c r="M1476" s="5">
        <v>29</v>
      </c>
      <c r="N1476" s="7">
        <f t="shared" si="126"/>
        <v>29</v>
      </c>
      <c r="O1476" s="7">
        <v>1057.2</v>
      </c>
      <c r="P1476" s="7">
        <v>0</v>
      </c>
      <c r="Q1476" s="5">
        <v>0</v>
      </c>
      <c r="R1476" s="5">
        <v>125</v>
      </c>
      <c r="S1476" s="7">
        <v>22613</v>
      </c>
      <c r="T1476" s="12">
        <v>43343</v>
      </c>
      <c r="U1476" s="4">
        <v>4</v>
      </c>
      <c r="V1476" s="4">
        <v>9</v>
      </c>
      <c r="W1476" s="4">
        <v>9</v>
      </c>
      <c r="X1476" s="45">
        <f t="shared" si="127"/>
        <v>53816.649999999994</v>
      </c>
      <c r="Y1476" s="14" t="s">
        <v>1633</v>
      </c>
      <c r="Z1476" s="14" t="s">
        <v>1492</v>
      </c>
      <c r="AA1476" s="14" t="str">
        <f>IFERROR(VLOOKUP(A1476,'[2]UPDATE BILL 2018'!$B:$P,15,0),IFERROR(VLOOKUP(A1476,'[2]UPDATE BILL 2018'!$C:$P,14,0),IFERROR(VLOOKUP(A1476,'[2]UPDATE BILL 2018'!$D:$P,13,0),IFERROR(VLOOKUP(A1476,'[2]UPDATE BILL 2018'!$E:$P,12,0),IFERROR(VLOOKUP(A1476,'[2]UPDATE BILL 2018'!$F:$P,11,0),IFERROR(VLOOKUP(A1476,'[2]UPDATE BILL 2018'!$G:$P,10,0),IFERROR(VLOOKUP(A1476,'[2]UPDATE BILL 2018'!$H:$P,9,0),IFERROR(VLOOKUP(A1476,'[2]UPDATE BILL 2018'!$I:$P,8,0),VLOOKUP(A1476,'[2]UPDATE BILL 2018'!$B:$P,15,0)))))))))</f>
        <v>KMTCHPH0582285</v>
      </c>
      <c r="AB1476" s="44">
        <f>IFERROR(VLOOKUP(A1476,'[2]UPDATE BILL 2018'!$B:$T,19,0),IFERROR(VLOOKUP(A1476,'[2]UPDATE BILL 2018'!$C:$T,18,0),IFERROR(VLOOKUP(A1476,'[2]UPDATE BILL 2018'!$D:$T,17,0),IFERROR(VLOOKUP(A1476,'[2]UPDATE BILL 2018'!$E:$T,16,0),IFERROR(VLOOKUP(A1476,'[2]UPDATE BILL 2018'!$F:$T,15,0),IFERROR(VLOOKUP(A1476,'[2]UPDATE BILL 2018'!$G:$T,14,0),IFERROR(VLOOKUP(A1476,'[2]UPDATE BILL 2018'!$H:$T,13,0),IFERROR(VLOOKUP(A1476,'[2]UPDATE BILL 2018'!$I:$T,12,0),VLOOKUP(A1476,'[2]UPDATE BILL 2018'!$B:$T,19,0)))))))))</f>
        <v>43346</v>
      </c>
      <c r="AC1476" s="44" t="str">
        <f>IFERROR(VLOOKUP(A1476,'[2]UPDATE BILL 2018'!$B:$V,21,0),IFERROR(VLOOKUP(A1476,'[2]UPDATE BILL 2018'!$C:$V,20,0),IFERROR(VLOOKUP(A1476,'[2]UPDATE BILL 2018'!$D:$V,19,0),IFERROR(VLOOKUP(A1476,'[2]UPDATE BILL 2018'!$E:$V,18,0),IFERROR(VLOOKUP(A1476,'[2]UPDATE BILL 2018'!$F:$V,17,0),IFERROR(VLOOKUP(A1476,'[2]UPDATE BILL 2018'!$G:$V,16,0),IFERROR(VLOOKUP(A1476,'[2]UPDATE BILL 2018'!$H:$V,15,0),IFERROR(VLOOKUP(A1476,'[2]UPDATE BILL 2018'!$I:$V,14,0),VLOOKUP(A1476,'[2]UPDATE BILL 2018'!$B:$V,21,0)))))))))</f>
        <v>STARSHIP AQUILA 1814N</v>
      </c>
      <c r="AD1476" s="14" t="s">
        <v>70</v>
      </c>
      <c r="AE1476" s="24" t="s">
        <v>3725</v>
      </c>
      <c r="AF1476" s="25" t="str">
        <f t="shared" si="133"/>
        <v>VH</v>
      </c>
      <c r="AG1476" t="e">
        <f t="shared" ref="AG1476:AG1539" si="135">+VLOOKUP(AF1476,AH:AH,2,0)</f>
        <v>#REF!</v>
      </c>
      <c r="AI1476" s="58"/>
    </row>
    <row r="1477" spans="1:35" ht="15.75" customHeight="1">
      <c r="A1477" s="6" t="s">
        <v>3721</v>
      </c>
      <c r="B1477" s="5">
        <v>60</v>
      </c>
      <c r="C1477" s="7">
        <v>1839.6</v>
      </c>
      <c r="D1477" s="7">
        <f t="shared" si="125"/>
        <v>0</v>
      </c>
      <c r="E1477" s="7">
        <v>0</v>
      </c>
      <c r="F1477" s="5">
        <v>0</v>
      </c>
      <c r="G1477" s="7">
        <v>0</v>
      </c>
      <c r="H1477" s="5">
        <v>214</v>
      </c>
      <c r="I1477" s="7">
        <v>30165.739999999994</v>
      </c>
      <c r="J1477" s="7">
        <v>0</v>
      </c>
      <c r="K1477" s="5">
        <v>0</v>
      </c>
      <c r="L1477" s="5">
        <v>0</v>
      </c>
      <c r="M1477" s="5">
        <v>312</v>
      </c>
      <c r="N1477" s="7">
        <f t="shared" si="126"/>
        <v>312</v>
      </c>
      <c r="O1477" s="7">
        <v>9391.8000000000011</v>
      </c>
      <c r="P1477" s="7">
        <v>0</v>
      </c>
      <c r="Q1477" s="5">
        <v>0</v>
      </c>
      <c r="S1477" s="7">
        <v>0</v>
      </c>
      <c r="T1477" s="12">
        <v>43343</v>
      </c>
      <c r="U1477" s="4">
        <v>3</v>
      </c>
      <c r="V1477" s="4">
        <v>9</v>
      </c>
      <c r="W1477" s="4">
        <v>9</v>
      </c>
      <c r="X1477" s="45">
        <f t="shared" si="127"/>
        <v>41397.139999999992</v>
      </c>
      <c r="Y1477" s="14" t="s">
        <v>85</v>
      </c>
      <c r="Z1477" s="14" t="s">
        <v>1355</v>
      </c>
      <c r="AA1477" s="14">
        <f>IFERROR(VLOOKUP(A1477,'[2]UPDATE BILL 2018'!$B:$P,15,0),IFERROR(VLOOKUP(A1477,'[2]UPDATE BILL 2018'!$C:$P,14,0),IFERROR(VLOOKUP(A1477,'[2]UPDATE BILL 2018'!$D:$P,13,0),IFERROR(VLOOKUP(A1477,'[2]UPDATE BILL 2018'!$E:$P,12,0),IFERROR(VLOOKUP(A1477,'[2]UPDATE BILL 2018'!$F:$P,11,0),IFERROR(VLOOKUP(A1477,'[2]UPDATE BILL 2018'!$G:$P,10,0),IFERROR(VLOOKUP(A1477,'[2]UPDATE BILL 2018'!$H:$P,9,0),IFERROR(VLOOKUP(A1477,'[2]UPDATE BILL 2018'!$I:$P,8,0),VLOOKUP(A1477,'[2]UPDATE BILL 2018'!$B:$P,15,0)))))))))</f>
        <v>350810107339</v>
      </c>
      <c r="AB1477" s="44">
        <f>IFERROR(VLOOKUP(A1477,'[2]UPDATE BILL 2018'!$B:$T,19,0),IFERROR(VLOOKUP(A1477,'[2]UPDATE BILL 2018'!$C:$T,18,0),IFERROR(VLOOKUP(A1477,'[2]UPDATE BILL 2018'!$D:$T,17,0),IFERROR(VLOOKUP(A1477,'[2]UPDATE BILL 2018'!$E:$T,16,0),IFERROR(VLOOKUP(A1477,'[2]UPDATE BILL 2018'!$F:$T,15,0),IFERROR(VLOOKUP(A1477,'[2]UPDATE BILL 2018'!$G:$T,14,0),IFERROR(VLOOKUP(A1477,'[2]UPDATE BILL 2018'!$H:$T,13,0),IFERROR(VLOOKUP(A1477,'[2]UPDATE BILL 2018'!$I:$T,12,0),VLOOKUP(A1477,'[2]UPDATE BILL 2018'!$B:$T,19,0)))))))))</f>
        <v>43346</v>
      </c>
      <c r="AC1477" s="44" t="str">
        <f>IFERROR(VLOOKUP(A1477,'[2]UPDATE BILL 2018'!$B:$V,21,0),IFERROR(VLOOKUP(A1477,'[2]UPDATE BILL 2018'!$C:$V,20,0),IFERROR(VLOOKUP(A1477,'[2]UPDATE BILL 2018'!$D:$V,19,0),IFERROR(VLOOKUP(A1477,'[2]UPDATE BILL 2018'!$E:$V,18,0),IFERROR(VLOOKUP(A1477,'[2]UPDATE BILL 2018'!$F:$V,17,0),IFERROR(VLOOKUP(A1477,'[2]UPDATE BILL 2018'!$G:$V,16,0),IFERROR(VLOOKUP(A1477,'[2]UPDATE BILL 2018'!$H:$V,15,0),IFERROR(VLOOKUP(A1477,'[2]UPDATE BILL 2018'!$I:$V,14,0),VLOOKUP(A1477,'[2]UPDATE BILL 2018'!$B:$V,21,0)))))))))</f>
        <v>LANTAU BEE 18012N</v>
      </c>
      <c r="AD1477" s="14" t="s">
        <v>49</v>
      </c>
      <c r="AE1477" s="24" t="s">
        <v>3726</v>
      </c>
      <c r="AF1477" s="25" t="str">
        <f t="shared" si="133"/>
        <v>VK</v>
      </c>
      <c r="AG1477" t="e">
        <f t="shared" si="135"/>
        <v>#REF!</v>
      </c>
      <c r="AI1477" s="58"/>
    </row>
    <row r="1478" spans="1:35" ht="15.75" customHeight="1">
      <c r="A1478" s="6" t="s">
        <v>3722</v>
      </c>
      <c r="B1478" s="5">
        <v>180</v>
      </c>
      <c r="C1478" s="7">
        <v>19102.600000000002</v>
      </c>
      <c r="D1478" s="7">
        <f t="shared" si="125"/>
        <v>0</v>
      </c>
      <c r="E1478" s="7">
        <v>0</v>
      </c>
      <c r="F1478" s="5">
        <v>0</v>
      </c>
      <c r="G1478" s="7">
        <v>0</v>
      </c>
      <c r="H1478" s="5">
        <v>170</v>
      </c>
      <c r="I1478" s="7">
        <v>21018.2</v>
      </c>
      <c r="J1478" s="7">
        <v>0</v>
      </c>
      <c r="K1478" s="5">
        <v>0</v>
      </c>
      <c r="L1478" s="5">
        <v>0</v>
      </c>
      <c r="M1478" s="5">
        <v>69</v>
      </c>
      <c r="N1478" s="7">
        <f t="shared" si="126"/>
        <v>69</v>
      </c>
      <c r="O1478" s="7">
        <v>8892.4</v>
      </c>
      <c r="P1478" s="7">
        <v>0</v>
      </c>
      <c r="Q1478" s="5">
        <v>0</v>
      </c>
      <c r="R1478" s="5">
        <v>263</v>
      </c>
      <c r="S1478" s="7">
        <v>26054.5</v>
      </c>
      <c r="T1478" s="12">
        <v>43343</v>
      </c>
      <c r="U1478" s="4">
        <v>5</v>
      </c>
      <c r="V1478" s="4">
        <v>9</v>
      </c>
      <c r="W1478" s="4">
        <v>9</v>
      </c>
      <c r="X1478" s="45">
        <f t="shared" si="127"/>
        <v>75067.700000000012</v>
      </c>
      <c r="Y1478" s="14" t="s">
        <v>54</v>
      </c>
      <c r="Z1478" s="14" t="s">
        <v>1281</v>
      </c>
      <c r="AA1478" s="14" t="str">
        <f>IFERROR(VLOOKUP(A1478,'[2]UPDATE BILL 2018'!$B:$P,15,0),IFERROR(VLOOKUP(A1478,'[2]UPDATE BILL 2018'!$C:$P,14,0),IFERROR(VLOOKUP(A1478,'[2]UPDATE BILL 2018'!$D:$P,13,0),IFERROR(VLOOKUP(A1478,'[2]UPDATE BILL 2018'!$E:$P,12,0),IFERROR(VLOOKUP(A1478,'[2]UPDATE BILL 2018'!$F:$P,11,0),IFERROR(VLOOKUP(A1478,'[2]UPDATE BILL 2018'!$G:$P,10,0),IFERROR(VLOOKUP(A1478,'[2]UPDATE BILL 2018'!$H:$P,9,0),IFERROR(VLOOKUP(A1478,'[2]UPDATE BILL 2018'!$I:$P,8,0),VLOOKUP(A1478,'[2]UPDATE BILL 2018'!$B:$P,15,0)))))))))</f>
        <v>SITWHPHT177051</v>
      </c>
      <c r="AB1478" s="44">
        <f>IFERROR(VLOOKUP(A1478,'[2]UPDATE BILL 2018'!$B:$T,19,0),IFERROR(VLOOKUP(A1478,'[2]UPDATE BILL 2018'!$C:$T,18,0),IFERROR(VLOOKUP(A1478,'[2]UPDATE BILL 2018'!$D:$T,17,0),IFERROR(VLOOKUP(A1478,'[2]UPDATE BILL 2018'!$E:$T,16,0),IFERROR(VLOOKUP(A1478,'[2]UPDATE BILL 2018'!$F:$T,15,0),IFERROR(VLOOKUP(A1478,'[2]UPDATE BILL 2018'!$G:$T,14,0),IFERROR(VLOOKUP(A1478,'[2]UPDATE BILL 2018'!$H:$T,13,0),IFERROR(VLOOKUP(A1478,'[2]UPDATE BILL 2018'!$I:$T,12,0),VLOOKUP(A1478,'[2]UPDATE BILL 2018'!$B:$T,19,0)))))))))</f>
        <v>43346</v>
      </c>
      <c r="AC1478" s="44" t="str">
        <f>IFERROR(VLOOKUP(A1478,'[2]UPDATE BILL 2018'!$B:$V,21,0),IFERROR(VLOOKUP(A1478,'[2]UPDATE BILL 2018'!$C:$V,20,0),IFERROR(VLOOKUP(A1478,'[2]UPDATE BILL 2018'!$D:$V,19,0),IFERROR(VLOOKUP(A1478,'[2]UPDATE BILL 2018'!$E:$V,18,0),IFERROR(VLOOKUP(A1478,'[2]UPDATE BILL 2018'!$F:$V,17,0),IFERROR(VLOOKUP(A1478,'[2]UPDATE BILL 2018'!$G:$V,16,0),IFERROR(VLOOKUP(A1478,'[2]UPDATE BILL 2018'!$H:$V,15,0),IFERROR(VLOOKUP(A1478,'[2]UPDATE BILL 2018'!$I:$V,14,0),VLOOKUP(A1478,'[2]UPDATE BILL 2018'!$B:$V,21,0)))))))))</f>
        <v>HANSE ENERGY 1823N</v>
      </c>
      <c r="AD1478" s="14" t="s">
        <v>52</v>
      </c>
      <c r="AE1478" s="24" t="s">
        <v>3727</v>
      </c>
      <c r="AF1478" s="25" t="str">
        <f t="shared" si="133"/>
        <v>VQ</v>
      </c>
      <c r="AG1478" t="e">
        <f t="shared" si="135"/>
        <v>#REF!</v>
      </c>
      <c r="AI1478" s="58"/>
    </row>
    <row r="1479" spans="1:35" ht="15.75" customHeight="1">
      <c r="A1479" s="6" t="s">
        <v>3723</v>
      </c>
      <c r="B1479" s="5">
        <v>381</v>
      </c>
      <c r="C1479" s="7">
        <v>33187.210000000006</v>
      </c>
      <c r="D1479" s="7">
        <f t="shared" si="125"/>
        <v>0</v>
      </c>
      <c r="E1479" s="7">
        <v>0</v>
      </c>
      <c r="F1479" s="5">
        <v>0</v>
      </c>
      <c r="G1479" s="7">
        <v>0</v>
      </c>
      <c r="H1479" s="5">
        <v>510</v>
      </c>
      <c r="I1479" s="7">
        <v>25378</v>
      </c>
      <c r="J1479" s="7">
        <v>0</v>
      </c>
      <c r="K1479" s="5">
        <v>0</v>
      </c>
      <c r="L1479" s="5">
        <v>0</v>
      </c>
      <c r="M1479" s="5">
        <v>270</v>
      </c>
      <c r="N1479" s="7">
        <f t="shared" si="126"/>
        <v>270</v>
      </c>
      <c r="O1479" s="7">
        <v>27472.3</v>
      </c>
      <c r="P1479" s="7">
        <v>0</v>
      </c>
      <c r="Q1479" s="5">
        <v>0</v>
      </c>
      <c r="R1479" s="5">
        <v>393</v>
      </c>
      <c r="S1479" s="7">
        <v>67213</v>
      </c>
      <c r="T1479" s="12">
        <v>43343</v>
      </c>
      <c r="U1479" s="4">
        <v>9</v>
      </c>
      <c r="V1479" s="4">
        <v>9</v>
      </c>
      <c r="W1479" s="4">
        <v>9</v>
      </c>
      <c r="X1479" s="45">
        <f t="shared" si="127"/>
        <v>153250.51</v>
      </c>
      <c r="Y1479" s="14" t="s">
        <v>54</v>
      </c>
      <c r="Z1479" s="14" t="s">
        <v>1281</v>
      </c>
      <c r="AA1479" s="14" t="str">
        <f>IFERROR(VLOOKUP(A1479,'[2]UPDATE BILL 2018'!$B:$P,15,0),IFERROR(VLOOKUP(A1479,'[2]UPDATE BILL 2018'!$C:$P,14,0),IFERROR(VLOOKUP(A1479,'[2]UPDATE BILL 2018'!$D:$P,13,0),IFERROR(VLOOKUP(A1479,'[2]UPDATE BILL 2018'!$E:$P,12,0),IFERROR(VLOOKUP(A1479,'[2]UPDATE BILL 2018'!$F:$P,11,0),IFERROR(VLOOKUP(A1479,'[2]UPDATE BILL 2018'!$G:$P,10,0),IFERROR(VLOOKUP(A1479,'[2]UPDATE BILL 2018'!$H:$P,9,0),IFERROR(VLOOKUP(A1479,'[2]UPDATE BILL 2018'!$I:$P,8,0),VLOOKUP(A1479,'[2]UPDATE BILL 2018'!$B:$P,15,0)))))))))</f>
        <v>SITWHPOS177112</v>
      </c>
      <c r="AB1479" s="44">
        <f>IFERROR(VLOOKUP(A1479,'[2]UPDATE BILL 2018'!$B:$T,19,0),IFERROR(VLOOKUP(A1479,'[2]UPDATE BILL 2018'!$C:$T,18,0),IFERROR(VLOOKUP(A1479,'[2]UPDATE BILL 2018'!$D:$T,17,0),IFERROR(VLOOKUP(A1479,'[2]UPDATE BILL 2018'!$E:$T,16,0),IFERROR(VLOOKUP(A1479,'[2]UPDATE BILL 2018'!$F:$T,15,0),IFERROR(VLOOKUP(A1479,'[2]UPDATE BILL 2018'!$G:$T,14,0),IFERROR(VLOOKUP(A1479,'[2]UPDATE BILL 2018'!$H:$T,13,0),IFERROR(VLOOKUP(A1479,'[2]UPDATE BILL 2018'!$I:$T,12,0),VLOOKUP(A1479,'[2]UPDATE BILL 2018'!$B:$T,19,0)))))))))</f>
        <v>43346</v>
      </c>
      <c r="AC1479" s="44" t="str">
        <f>IFERROR(VLOOKUP(A1479,'[2]UPDATE BILL 2018'!$B:$V,21,0),IFERROR(VLOOKUP(A1479,'[2]UPDATE BILL 2018'!$C:$V,20,0),IFERROR(VLOOKUP(A1479,'[2]UPDATE BILL 2018'!$D:$V,19,0),IFERROR(VLOOKUP(A1479,'[2]UPDATE BILL 2018'!$E:$V,18,0),IFERROR(VLOOKUP(A1479,'[2]UPDATE BILL 2018'!$F:$V,17,0),IFERROR(VLOOKUP(A1479,'[2]UPDATE BILL 2018'!$G:$V,16,0),IFERROR(VLOOKUP(A1479,'[2]UPDATE BILL 2018'!$H:$V,15,0),IFERROR(VLOOKUP(A1479,'[2]UPDATE BILL 2018'!$I:$V,14,0),VLOOKUP(A1479,'[2]UPDATE BILL 2018'!$B:$V,21,0)))))))))</f>
        <v>HANSE ENERGY 1823N</v>
      </c>
      <c r="AD1479" s="14" t="s">
        <v>51</v>
      </c>
      <c r="AE1479" s="24" t="s">
        <v>3728</v>
      </c>
      <c r="AF1479" s="25" t="str">
        <f t="shared" si="133"/>
        <v>VS</v>
      </c>
      <c r="AG1479" t="e">
        <f t="shared" si="135"/>
        <v>#REF!</v>
      </c>
      <c r="AI1479" s="58"/>
    </row>
    <row r="1480" spans="1:35" ht="15.75" customHeight="1">
      <c r="A1480" s="6" t="s">
        <v>3724</v>
      </c>
      <c r="B1480" s="5">
        <v>668</v>
      </c>
      <c r="C1480" s="7">
        <v>57408.759999999995</v>
      </c>
      <c r="D1480" s="7">
        <f t="shared" si="125"/>
        <v>0</v>
      </c>
      <c r="E1480" s="7">
        <v>0</v>
      </c>
      <c r="F1480" s="5">
        <v>0</v>
      </c>
      <c r="G1480" s="7">
        <v>0</v>
      </c>
      <c r="H1480" s="5">
        <v>350</v>
      </c>
      <c r="I1480" s="7">
        <v>12001.500000000002</v>
      </c>
      <c r="J1480" s="7">
        <v>0</v>
      </c>
      <c r="K1480" s="5">
        <v>0</v>
      </c>
      <c r="L1480" s="5">
        <v>0</v>
      </c>
      <c r="M1480" s="5">
        <v>153</v>
      </c>
      <c r="N1480" s="7">
        <f t="shared" si="126"/>
        <v>153</v>
      </c>
      <c r="O1480" s="7">
        <v>9902.5</v>
      </c>
      <c r="P1480" s="7">
        <v>0</v>
      </c>
      <c r="Q1480" s="5">
        <v>0</v>
      </c>
      <c r="R1480" s="5">
        <v>1917</v>
      </c>
      <c r="S1480" s="7">
        <v>308904.7</v>
      </c>
      <c r="T1480" s="12">
        <v>43343</v>
      </c>
      <c r="U1480" s="4">
        <v>16</v>
      </c>
      <c r="V1480" s="4">
        <v>9</v>
      </c>
      <c r="W1480" s="4">
        <v>9</v>
      </c>
      <c r="X1480" s="45">
        <f t="shared" si="127"/>
        <v>388217.46</v>
      </c>
      <c r="Y1480" s="14" t="s">
        <v>54</v>
      </c>
      <c r="Z1480" s="14" t="s">
        <v>3730</v>
      </c>
      <c r="AA1480" s="14" t="str">
        <f>IFERROR(VLOOKUP(A1480,'[2]UPDATE BILL 2018'!$B:$P,15,0),IFERROR(VLOOKUP(A1480,'[2]UPDATE BILL 2018'!$C:$P,14,0),IFERROR(VLOOKUP(A1480,'[2]UPDATE BILL 2018'!$D:$P,13,0),IFERROR(VLOOKUP(A1480,'[2]UPDATE BILL 2018'!$E:$P,12,0),IFERROR(VLOOKUP(A1480,'[2]UPDATE BILL 2018'!$F:$P,11,0),IFERROR(VLOOKUP(A1480,'[2]UPDATE BILL 2018'!$G:$P,10,0),IFERROR(VLOOKUP(A1480,'[2]UPDATE BILL 2018'!$H:$P,9,0),IFERROR(VLOOKUP(A1480,'[2]UPDATE BILL 2018'!$I:$P,8,0),VLOOKUP(A1480,'[2]UPDATE BILL 2018'!$B:$P,15,0)))))))))</f>
        <v>SITWHPKW175620</v>
      </c>
      <c r="AB1480" s="44">
        <f>IFERROR(VLOOKUP(A1480,'[2]UPDATE BILL 2018'!$B:$T,19,0),IFERROR(VLOOKUP(A1480,'[2]UPDATE BILL 2018'!$C:$T,18,0),IFERROR(VLOOKUP(A1480,'[2]UPDATE BILL 2018'!$D:$T,17,0),IFERROR(VLOOKUP(A1480,'[2]UPDATE BILL 2018'!$E:$T,16,0),IFERROR(VLOOKUP(A1480,'[2]UPDATE BILL 2018'!$F:$T,15,0),IFERROR(VLOOKUP(A1480,'[2]UPDATE BILL 2018'!$G:$T,14,0),IFERROR(VLOOKUP(A1480,'[2]UPDATE BILL 2018'!$H:$T,13,0),IFERROR(VLOOKUP(A1480,'[2]UPDATE BILL 2018'!$I:$T,12,0),VLOOKUP(A1480,'[2]UPDATE BILL 2018'!$B:$T,19,0)))))))))</f>
        <v>43346</v>
      </c>
      <c r="AC1480" s="44" t="str">
        <f>IFERROR(VLOOKUP(A1480,'[2]UPDATE BILL 2018'!$B:$V,21,0),IFERROR(VLOOKUP(A1480,'[2]UPDATE BILL 2018'!$C:$V,20,0),IFERROR(VLOOKUP(A1480,'[2]UPDATE BILL 2018'!$D:$V,19,0),IFERROR(VLOOKUP(A1480,'[2]UPDATE BILL 2018'!$E:$V,18,0),IFERROR(VLOOKUP(A1480,'[2]UPDATE BILL 2018'!$F:$V,17,0),IFERROR(VLOOKUP(A1480,'[2]UPDATE BILL 2018'!$G:$V,16,0),IFERROR(VLOOKUP(A1480,'[2]UPDATE BILL 2018'!$H:$V,15,0),IFERROR(VLOOKUP(A1480,'[2]UPDATE BILL 2018'!$I:$V,14,0),VLOOKUP(A1480,'[2]UPDATE BILL 2018'!$B:$V,21,0)))))))))</f>
        <v>HYUNDAI HARMONY 1833N</v>
      </c>
      <c r="AD1480" s="14" t="s">
        <v>50</v>
      </c>
      <c r="AE1480" s="24" t="s">
        <v>3729</v>
      </c>
      <c r="AF1480" s="25" t="str">
        <f t="shared" si="133"/>
        <v>VW</v>
      </c>
      <c r="AG1480" t="e">
        <f t="shared" si="135"/>
        <v>#REF!</v>
      </c>
      <c r="AI1480" s="58"/>
    </row>
    <row r="1481" spans="1:35" ht="15.75" customHeight="1">
      <c r="A1481" s="6" t="s">
        <v>3731</v>
      </c>
      <c r="D1481" s="7">
        <f t="shared" si="125"/>
        <v>0</v>
      </c>
      <c r="E1481" s="7">
        <v>0</v>
      </c>
      <c r="F1481" s="5">
        <v>0</v>
      </c>
      <c r="G1481" s="7">
        <v>0</v>
      </c>
      <c r="H1481" s="5">
        <v>197</v>
      </c>
      <c r="I1481" s="7">
        <v>26280.43</v>
      </c>
      <c r="J1481" s="7">
        <v>0</v>
      </c>
      <c r="K1481" s="5">
        <v>0</v>
      </c>
      <c r="L1481" s="5">
        <v>0</v>
      </c>
      <c r="M1481" s="5">
        <v>0</v>
      </c>
      <c r="N1481" s="7">
        <f t="shared" si="126"/>
        <v>0</v>
      </c>
      <c r="O1481" s="7">
        <v>0</v>
      </c>
      <c r="P1481" s="7">
        <v>0</v>
      </c>
      <c r="Q1481" s="5">
        <v>0</v>
      </c>
      <c r="S1481" s="7">
        <v>0</v>
      </c>
      <c r="T1481" s="12">
        <v>43344</v>
      </c>
      <c r="U1481" s="4">
        <v>2</v>
      </c>
      <c r="V1481" s="4">
        <v>9</v>
      </c>
      <c r="W1481" s="4">
        <v>9</v>
      </c>
      <c r="X1481" s="45">
        <f t="shared" si="127"/>
        <v>26280.43</v>
      </c>
      <c r="Y1481" s="14" t="s">
        <v>56</v>
      </c>
      <c r="Z1481" s="14" t="s">
        <v>3376</v>
      </c>
      <c r="AA1481" s="14" t="str">
        <f>IFERROR(VLOOKUP(A1481,'[2]UPDATE BILL 2018'!$B:$P,15,0),IFERROR(VLOOKUP(A1481,'[2]UPDATE BILL 2018'!$C:$P,14,0),IFERROR(VLOOKUP(A1481,'[2]UPDATE BILL 2018'!$D:$P,13,0),IFERROR(VLOOKUP(A1481,'[2]UPDATE BILL 2018'!$E:$P,12,0),IFERROR(VLOOKUP(A1481,'[2]UPDATE BILL 2018'!$F:$P,11,0),IFERROR(VLOOKUP(A1481,'[2]UPDATE BILL 2018'!$G:$P,10,0),IFERROR(VLOOKUP(A1481,'[2]UPDATE BILL 2018'!$H:$P,9,0),IFERROR(VLOOKUP(A1481,'[2]UPDATE BILL 2018'!$I:$P,8,0),VLOOKUP(A1481,'[2]UPDATE BILL 2018'!$B:$P,15,0)))))))))</f>
        <v>1008X05090</v>
      </c>
      <c r="AB1481" s="44">
        <f>IFERROR(VLOOKUP(A1481,'[2]UPDATE BILL 2018'!$B:$T,19,0),IFERROR(VLOOKUP(A1481,'[2]UPDATE BILL 2018'!$C:$T,18,0),IFERROR(VLOOKUP(A1481,'[2]UPDATE BILL 2018'!$D:$T,17,0),IFERROR(VLOOKUP(A1481,'[2]UPDATE BILL 2018'!$E:$T,16,0),IFERROR(VLOOKUP(A1481,'[2]UPDATE BILL 2018'!$F:$T,15,0),IFERROR(VLOOKUP(A1481,'[2]UPDATE BILL 2018'!$G:$T,14,0),IFERROR(VLOOKUP(A1481,'[2]UPDATE BILL 2018'!$H:$T,13,0),IFERROR(VLOOKUP(A1481,'[2]UPDATE BILL 2018'!$I:$T,12,0),VLOOKUP(A1481,'[2]UPDATE BILL 2018'!$B:$T,19,0)))))))))</f>
        <v>43351</v>
      </c>
      <c r="AC1481" s="44" t="str">
        <f>IFERROR(VLOOKUP(A1481,'[2]UPDATE BILL 2018'!$B:$V,21,0),IFERROR(VLOOKUP(A1481,'[2]UPDATE BILL 2018'!$C:$V,20,0),IFERROR(VLOOKUP(A1481,'[2]UPDATE BILL 2018'!$D:$V,19,0),IFERROR(VLOOKUP(A1481,'[2]UPDATE BILL 2018'!$E:$V,18,0),IFERROR(VLOOKUP(A1481,'[2]UPDATE BILL 2018'!$F:$V,17,0),IFERROR(VLOOKUP(A1481,'[2]UPDATE BILL 2018'!$G:$V,16,0),IFERROR(VLOOKUP(A1481,'[2]UPDATE BILL 2018'!$H:$V,15,0),IFERROR(VLOOKUP(A1481,'[2]UPDATE BILL 2018'!$I:$V,14,0),VLOOKUP(A1481,'[2]UPDATE BILL 2018'!$B:$V,21,0)))))))))</f>
        <v xml:space="preserve"> PAOLA  N029</v>
      </c>
      <c r="AD1481" s="14" t="s">
        <v>49</v>
      </c>
      <c r="AE1481" s="24" t="s">
        <v>3737</v>
      </c>
      <c r="AF1481" s="25" t="str">
        <f t="shared" si="133"/>
        <v>VK</v>
      </c>
      <c r="AG1481" t="e">
        <f t="shared" si="135"/>
        <v>#REF!</v>
      </c>
      <c r="AI1481" s="58"/>
    </row>
    <row r="1482" spans="1:35" ht="15.75" customHeight="1">
      <c r="A1482" s="6" t="s">
        <v>3732</v>
      </c>
      <c r="B1482" s="5">
        <v>92</v>
      </c>
      <c r="C1482" s="7">
        <v>8482.4</v>
      </c>
      <c r="D1482" s="7">
        <f t="shared" si="125"/>
        <v>0</v>
      </c>
      <c r="E1482" s="7">
        <v>0</v>
      </c>
      <c r="F1482" s="5">
        <v>0</v>
      </c>
      <c r="G1482" s="7">
        <v>0</v>
      </c>
      <c r="H1482" s="5">
        <v>575</v>
      </c>
      <c r="I1482" s="7">
        <v>64730.5</v>
      </c>
      <c r="J1482" s="7">
        <v>0</v>
      </c>
      <c r="K1482" s="5">
        <v>0</v>
      </c>
      <c r="L1482" s="5">
        <v>0</v>
      </c>
      <c r="M1482" s="5">
        <v>0</v>
      </c>
      <c r="N1482" s="7">
        <f t="shared" si="126"/>
        <v>0</v>
      </c>
      <c r="O1482" s="7">
        <v>0</v>
      </c>
      <c r="P1482" s="7">
        <v>0</v>
      </c>
      <c r="Q1482" s="5">
        <v>0</v>
      </c>
      <c r="R1482" s="5">
        <v>553</v>
      </c>
      <c r="S1482" s="7">
        <v>36221.5</v>
      </c>
      <c r="T1482" s="12">
        <v>43344</v>
      </c>
      <c r="U1482" s="4">
        <v>8</v>
      </c>
      <c r="V1482" s="4">
        <v>9</v>
      </c>
      <c r="W1482" s="4">
        <v>9</v>
      </c>
      <c r="X1482" s="45">
        <f t="shared" si="127"/>
        <v>109434.4</v>
      </c>
      <c r="Y1482" s="14" t="s">
        <v>56</v>
      </c>
      <c r="Z1482" s="14" t="s">
        <v>59</v>
      </c>
      <c r="AA1482" s="14" t="str">
        <f>IFERROR(VLOOKUP(A1482,'[2]UPDATE BILL 2018'!$B:$P,15,0),IFERROR(VLOOKUP(A1482,'[2]UPDATE BILL 2018'!$C:$P,14,0),IFERROR(VLOOKUP(A1482,'[2]UPDATE BILL 2018'!$D:$P,13,0),IFERROR(VLOOKUP(A1482,'[2]UPDATE BILL 2018'!$E:$P,12,0),IFERROR(VLOOKUP(A1482,'[2]UPDATE BILL 2018'!$F:$P,11,0),IFERROR(VLOOKUP(A1482,'[2]UPDATE BILL 2018'!$G:$P,10,0),IFERROR(VLOOKUP(A1482,'[2]UPDATE BILL 2018'!$H:$P,9,0),IFERROR(VLOOKUP(A1482,'[2]UPDATE BILL 2018'!$I:$P,8,0),VLOOKUP(A1482,'[2]UPDATE BILL 2018'!$B:$P,15,0)))))))))</f>
        <v>1008X05152</v>
      </c>
      <c r="AB1482" s="44">
        <f>IFERROR(VLOOKUP(A1482,'[2]UPDATE BILL 2018'!$B:$T,19,0),IFERROR(VLOOKUP(A1482,'[2]UPDATE BILL 2018'!$C:$T,18,0),IFERROR(VLOOKUP(A1482,'[2]UPDATE BILL 2018'!$D:$T,17,0),IFERROR(VLOOKUP(A1482,'[2]UPDATE BILL 2018'!$E:$T,16,0),IFERROR(VLOOKUP(A1482,'[2]UPDATE BILL 2018'!$F:$T,15,0),IFERROR(VLOOKUP(A1482,'[2]UPDATE BILL 2018'!$G:$T,14,0),IFERROR(VLOOKUP(A1482,'[2]UPDATE BILL 2018'!$H:$T,13,0),IFERROR(VLOOKUP(A1482,'[2]UPDATE BILL 2018'!$I:$T,12,0),VLOOKUP(A1482,'[2]UPDATE BILL 2018'!$B:$T,19,0)))))))))</f>
        <v>43355</v>
      </c>
      <c r="AC1482" s="44" t="str">
        <f>IFERROR(VLOOKUP(A1482,'[2]UPDATE BILL 2018'!$B:$V,21,0),IFERROR(VLOOKUP(A1482,'[2]UPDATE BILL 2018'!$C:$V,20,0),IFERROR(VLOOKUP(A1482,'[2]UPDATE BILL 2018'!$D:$V,19,0),IFERROR(VLOOKUP(A1482,'[2]UPDATE BILL 2018'!$E:$V,18,0),IFERROR(VLOOKUP(A1482,'[2]UPDATE BILL 2018'!$F:$V,17,0),IFERROR(VLOOKUP(A1482,'[2]UPDATE BILL 2018'!$G:$V,16,0),IFERROR(VLOOKUP(A1482,'[2]UPDATE BILL 2018'!$H:$V,15,0),IFERROR(VLOOKUP(A1482,'[2]UPDATE BILL 2018'!$I:$V,14,0),VLOOKUP(A1482,'[2]UPDATE BILL 2018'!$B:$V,21,0)))))))))</f>
        <v>WAN HAI 266 N398</v>
      </c>
      <c r="AD1482" s="14" t="s">
        <v>49</v>
      </c>
      <c r="AE1482" s="24" t="s">
        <v>3738</v>
      </c>
      <c r="AF1482" s="25" t="str">
        <f t="shared" si="133"/>
        <v>VK</v>
      </c>
      <c r="AG1482" t="e">
        <f t="shared" si="135"/>
        <v>#REF!</v>
      </c>
      <c r="AI1482" s="58"/>
    </row>
    <row r="1483" spans="1:35" ht="15.75" customHeight="1">
      <c r="A1483" s="6" t="s">
        <v>3733</v>
      </c>
      <c r="B1483" s="5">
        <v>159</v>
      </c>
      <c r="C1483" s="7">
        <v>13928.300000000003</v>
      </c>
      <c r="D1483" s="7">
        <f t="shared" si="125"/>
        <v>0</v>
      </c>
      <c r="E1483" s="7">
        <v>0</v>
      </c>
      <c r="F1483" s="5">
        <v>0</v>
      </c>
      <c r="G1483" s="7">
        <v>0</v>
      </c>
      <c r="H1483" s="5">
        <v>105</v>
      </c>
      <c r="I1483" s="7">
        <v>13504.749999999998</v>
      </c>
      <c r="J1483" s="7">
        <v>0</v>
      </c>
      <c r="K1483" s="5">
        <v>0</v>
      </c>
      <c r="L1483" s="5">
        <v>0</v>
      </c>
      <c r="M1483" s="5">
        <v>94</v>
      </c>
      <c r="N1483" s="7">
        <f t="shared" si="126"/>
        <v>94</v>
      </c>
      <c r="O1483" s="7">
        <v>10647.9</v>
      </c>
      <c r="P1483" s="7">
        <v>0</v>
      </c>
      <c r="Q1483" s="5">
        <v>0</v>
      </c>
      <c r="S1483" s="7">
        <v>0</v>
      </c>
      <c r="T1483" s="12">
        <v>43344</v>
      </c>
      <c r="U1483" s="4">
        <v>3</v>
      </c>
      <c r="V1483" s="4">
        <v>9</v>
      </c>
      <c r="W1483" s="4">
        <v>9</v>
      </c>
      <c r="X1483" s="45">
        <f t="shared" si="127"/>
        <v>38080.950000000004</v>
      </c>
      <c r="Y1483" s="14" t="s">
        <v>54</v>
      </c>
      <c r="Z1483" s="14" t="s">
        <v>1355</v>
      </c>
      <c r="AA1483" s="14" t="str">
        <f>IFERROR(VLOOKUP(A1483,'[2]UPDATE BILL 2018'!$B:$P,15,0),IFERROR(VLOOKUP(A1483,'[2]UPDATE BILL 2018'!$C:$P,14,0),IFERROR(VLOOKUP(A1483,'[2]UPDATE BILL 2018'!$D:$P,13,0),IFERROR(VLOOKUP(A1483,'[2]UPDATE BILL 2018'!$E:$P,12,0),IFERROR(VLOOKUP(A1483,'[2]UPDATE BILL 2018'!$F:$P,11,0),IFERROR(VLOOKUP(A1483,'[2]UPDATE BILL 2018'!$G:$P,10,0),IFERROR(VLOOKUP(A1483,'[2]UPDATE BILL 2018'!$H:$P,9,0),IFERROR(VLOOKUP(A1483,'[2]UPDATE BILL 2018'!$I:$P,8,0),VLOOKUP(A1483,'[2]UPDATE BILL 2018'!$B:$P,15,0)))))))))</f>
        <v>SITWHPHT177515</v>
      </c>
      <c r="AB1483" s="44">
        <f>IFERROR(VLOOKUP(A1483,'[2]UPDATE BILL 2018'!$B:$T,19,0),IFERROR(VLOOKUP(A1483,'[2]UPDATE BILL 2018'!$C:$T,18,0),IFERROR(VLOOKUP(A1483,'[2]UPDATE BILL 2018'!$D:$T,17,0),IFERROR(VLOOKUP(A1483,'[2]UPDATE BILL 2018'!$E:$T,16,0),IFERROR(VLOOKUP(A1483,'[2]UPDATE BILL 2018'!$F:$T,15,0),IFERROR(VLOOKUP(A1483,'[2]UPDATE BILL 2018'!$G:$T,14,0),IFERROR(VLOOKUP(A1483,'[2]UPDATE BILL 2018'!$H:$T,13,0),IFERROR(VLOOKUP(A1483,'[2]UPDATE BILL 2018'!$I:$T,12,0),VLOOKUP(A1483,'[2]UPDATE BILL 2018'!$B:$T,19,0)))))))))</f>
        <v>43352</v>
      </c>
      <c r="AC1483" s="44" t="str">
        <f>IFERROR(VLOOKUP(A1483,'[2]UPDATE BILL 2018'!$B:$V,21,0),IFERROR(VLOOKUP(A1483,'[2]UPDATE BILL 2018'!$C:$V,20,0),IFERROR(VLOOKUP(A1483,'[2]UPDATE BILL 2018'!$D:$V,19,0),IFERROR(VLOOKUP(A1483,'[2]UPDATE BILL 2018'!$E:$V,18,0),IFERROR(VLOOKUP(A1483,'[2]UPDATE BILL 2018'!$F:$V,17,0),IFERROR(VLOOKUP(A1483,'[2]UPDATE BILL 2018'!$G:$V,16,0),IFERROR(VLOOKUP(A1483,'[2]UPDATE BILL 2018'!$H:$V,15,0),IFERROR(VLOOKUP(A1483,'[2]UPDATE BILL 2018'!$I:$V,14,0),VLOOKUP(A1483,'[2]UPDATE BILL 2018'!$B:$V,21,0)))))))))</f>
        <v>SITC WEIHAI 1821N</v>
      </c>
      <c r="AD1483" s="14" t="s">
        <v>52</v>
      </c>
      <c r="AE1483" s="24" t="s">
        <v>3739</v>
      </c>
      <c r="AF1483" s="25" t="str">
        <f t="shared" si="133"/>
        <v>VQ</v>
      </c>
      <c r="AG1483" t="e">
        <f t="shared" si="135"/>
        <v>#REF!</v>
      </c>
      <c r="AI1483" s="58"/>
    </row>
    <row r="1484" spans="1:35" ht="15.75" customHeight="1">
      <c r="A1484" s="6" t="s">
        <v>3734</v>
      </c>
      <c r="B1484" s="5">
        <v>983</v>
      </c>
      <c r="C1484" s="7">
        <v>96106.810000000041</v>
      </c>
      <c r="D1484" s="7">
        <f t="shared" si="125"/>
        <v>0</v>
      </c>
      <c r="E1484" s="7">
        <v>0</v>
      </c>
      <c r="F1484" s="5">
        <v>0</v>
      </c>
      <c r="G1484" s="7">
        <v>0</v>
      </c>
      <c r="H1484" s="5">
        <v>102</v>
      </c>
      <c r="I1484" s="7">
        <v>12885.749999999998</v>
      </c>
      <c r="J1484" s="7">
        <v>0</v>
      </c>
      <c r="K1484" s="5">
        <v>0</v>
      </c>
      <c r="L1484" s="5">
        <v>0</v>
      </c>
      <c r="M1484" s="5">
        <v>134</v>
      </c>
      <c r="N1484" s="7">
        <f t="shared" si="126"/>
        <v>134</v>
      </c>
      <c r="O1484" s="7">
        <v>20778.100000000002</v>
      </c>
      <c r="P1484" s="7">
        <v>0</v>
      </c>
      <c r="Q1484" s="5">
        <v>0</v>
      </c>
      <c r="S1484" s="7">
        <v>0</v>
      </c>
      <c r="T1484" s="12">
        <v>43344</v>
      </c>
      <c r="U1484" s="4">
        <v>10</v>
      </c>
      <c r="V1484" s="4">
        <v>9</v>
      </c>
      <c r="W1484" s="4">
        <v>9</v>
      </c>
      <c r="X1484" s="45">
        <f t="shared" si="127"/>
        <v>129770.66000000005</v>
      </c>
      <c r="Y1484" s="14" t="s">
        <v>85</v>
      </c>
      <c r="Z1484" s="14" t="s">
        <v>1492</v>
      </c>
      <c r="AA1484" s="14">
        <f>IFERROR(VLOOKUP(A1484,'[2]UPDATE BILL 2018'!$B:$P,15,0),IFERROR(VLOOKUP(A1484,'[2]UPDATE BILL 2018'!$C:$P,14,0),IFERROR(VLOOKUP(A1484,'[2]UPDATE BILL 2018'!$D:$P,13,0),IFERROR(VLOOKUP(A1484,'[2]UPDATE BILL 2018'!$E:$P,12,0),IFERROR(VLOOKUP(A1484,'[2]UPDATE BILL 2018'!$F:$P,11,0),IFERROR(VLOOKUP(A1484,'[2]UPDATE BILL 2018'!$G:$P,10,0),IFERROR(VLOOKUP(A1484,'[2]UPDATE BILL 2018'!$H:$P,9,0),IFERROR(VLOOKUP(A1484,'[2]UPDATE BILL 2018'!$I:$P,8,0),VLOOKUP(A1484,'[2]UPDATE BILL 2018'!$B:$P,15,0)))))))))</f>
        <v>350810106639</v>
      </c>
      <c r="AB1484" s="44">
        <f>IFERROR(VLOOKUP(A1484,'[2]UPDATE BILL 2018'!$B:$T,19,0),IFERROR(VLOOKUP(A1484,'[2]UPDATE BILL 2018'!$C:$T,18,0),IFERROR(VLOOKUP(A1484,'[2]UPDATE BILL 2018'!$D:$T,17,0),IFERROR(VLOOKUP(A1484,'[2]UPDATE BILL 2018'!$E:$T,16,0),IFERROR(VLOOKUP(A1484,'[2]UPDATE BILL 2018'!$F:$T,15,0),IFERROR(VLOOKUP(A1484,'[2]UPDATE BILL 2018'!$G:$T,14,0),IFERROR(VLOOKUP(A1484,'[2]UPDATE BILL 2018'!$H:$T,13,0),IFERROR(VLOOKUP(A1484,'[2]UPDATE BILL 2018'!$I:$T,12,0),VLOOKUP(A1484,'[2]UPDATE BILL 2018'!$B:$T,19,0)))))))))</f>
        <v>43349</v>
      </c>
      <c r="AC1484" s="44" t="str">
        <f>IFERROR(VLOOKUP(A1484,'[2]UPDATE BILL 2018'!$B:$V,21,0),IFERROR(VLOOKUP(A1484,'[2]UPDATE BILL 2018'!$C:$V,20,0),IFERROR(VLOOKUP(A1484,'[2]UPDATE BILL 2018'!$D:$V,19,0),IFERROR(VLOOKUP(A1484,'[2]UPDATE BILL 2018'!$E:$V,18,0),IFERROR(VLOOKUP(A1484,'[2]UPDATE BILL 2018'!$F:$V,17,0),IFERROR(VLOOKUP(A1484,'[2]UPDATE BILL 2018'!$G:$V,16,0),IFERROR(VLOOKUP(A1484,'[2]UPDATE BILL 2018'!$H:$V,15,0),IFERROR(VLOOKUP(A1484,'[2]UPDATE BILL 2018'!$I:$V,14,0),VLOOKUP(A1484,'[2]UPDATE BILL 2018'!$B:$V,21,0)))))))))</f>
        <v>MARCARRIER 18015N</v>
      </c>
      <c r="AD1484" s="14" t="s">
        <v>51</v>
      </c>
      <c r="AE1484" s="24" t="s">
        <v>3740</v>
      </c>
      <c r="AF1484" s="25" t="str">
        <f t="shared" si="133"/>
        <v>VS</v>
      </c>
      <c r="AG1484" t="e">
        <f t="shared" si="135"/>
        <v>#REF!</v>
      </c>
      <c r="AI1484" s="58"/>
    </row>
    <row r="1485" spans="1:35" ht="15.75" customHeight="1">
      <c r="A1485" s="6" t="s">
        <v>3735</v>
      </c>
      <c r="B1485" s="5">
        <v>174</v>
      </c>
      <c r="C1485" s="7">
        <v>16347.8</v>
      </c>
      <c r="D1485" s="7">
        <f t="shared" si="125"/>
        <v>0</v>
      </c>
      <c r="E1485" s="7">
        <v>0</v>
      </c>
      <c r="F1485" s="5">
        <v>0</v>
      </c>
      <c r="G1485" s="7">
        <v>0</v>
      </c>
      <c r="H1485" s="5">
        <v>190</v>
      </c>
      <c r="I1485" s="7">
        <v>21413</v>
      </c>
      <c r="J1485" s="7">
        <v>0</v>
      </c>
      <c r="K1485" s="5">
        <v>0</v>
      </c>
      <c r="L1485" s="5">
        <v>0</v>
      </c>
      <c r="M1485" s="5">
        <v>0</v>
      </c>
      <c r="N1485" s="7">
        <f t="shared" si="126"/>
        <v>0</v>
      </c>
      <c r="O1485" s="7">
        <v>0</v>
      </c>
      <c r="P1485" s="7">
        <v>0</v>
      </c>
      <c r="Q1485" s="5">
        <v>0</v>
      </c>
      <c r="R1485" s="5">
        <v>553</v>
      </c>
      <c r="S1485" s="7">
        <v>36221.5</v>
      </c>
      <c r="T1485" s="12">
        <v>43344</v>
      </c>
      <c r="U1485" s="4">
        <v>5</v>
      </c>
      <c r="V1485" s="4">
        <v>9</v>
      </c>
      <c r="W1485" s="4">
        <v>9</v>
      </c>
      <c r="X1485" s="45">
        <f t="shared" si="127"/>
        <v>73982.3</v>
      </c>
      <c r="Y1485" s="14" t="s">
        <v>56</v>
      </c>
      <c r="Z1485" s="14" t="s">
        <v>1281</v>
      </c>
      <c r="AA1485" s="14" t="str">
        <f>IFERROR(VLOOKUP(A1485,'[2]UPDATE BILL 2018'!$B:$P,15,0),IFERROR(VLOOKUP(A1485,'[2]UPDATE BILL 2018'!$C:$P,14,0),IFERROR(VLOOKUP(A1485,'[2]UPDATE BILL 2018'!$D:$P,13,0),IFERROR(VLOOKUP(A1485,'[2]UPDATE BILL 2018'!$E:$P,12,0),IFERROR(VLOOKUP(A1485,'[2]UPDATE BILL 2018'!$F:$P,11,0),IFERROR(VLOOKUP(A1485,'[2]UPDATE BILL 2018'!$G:$P,10,0),IFERROR(VLOOKUP(A1485,'[2]UPDATE BILL 2018'!$H:$P,9,0),IFERROR(VLOOKUP(A1485,'[2]UPDATE BILL 2018'!$I:$P,8,0),VLOOKUP(A1485,'[2]UPDATE BILL 2018'!$B:$P,15,0)))))))))</f>
        <v>1008X05153</v>
      </c>
      <c r="AB1485" s="44">
        <f>IFERROR(VLOOKUP(A1485,'[2]UPDATE BILL 2018'!$B:$T,19,0),IFERROR(VLOOKUP(A1485,'[2]UPDATE BILL 2018'!$C:$T,18,0),IFERROR(VLOOKUP(A1485,'[2]UPDATE BILL 2018'!$D:$T,17,0),IFERROR(VLOOKUP(A1485,'[2]UPDATE BILL 2018'!$E:$T,16,0),IFERROR(VLOOKUP(A1485,'[2]UPDATE BILL 2018'!$F:$T,15,0),IFERROR(VLOOKUP(A1485,'[2]UPDATE BILL 2018'!$G:$T,14,0),IFERROR(VLOOKUP(A1485,'[2]UPDATE BILL 2018'!$H:$T,13,0),IFERROR(VLOOKUP(A1485,'[2]UPDATE BILL 2018'!$I:$T,12,0),VLOOKUP(A1485,'[2]UPDATE BILL 2018'!$B:$T,19,0)))))))))</f>
        <v>43355</v>
      </c>
      <c r="AC1485" s="44" t="str">
        <f>IFERROR(VLOOKUP(A1485,'[2]UPDATE BILL 2018'!$B:$V,21,0),IFERROR(VLOOKUP(A1485,'[2]UPDATE BILL 2018'!$C:$V,20,0),IFERROR(VLOOKUP(A1485,'[2]UPDATE BILL 2018'!$D:$V,19,0),IFERROR(VLOOKUP(A1485,'[2]UPDATE BILL 2018'!$E:$V,18,0),IFERROR(VLOOKUP(A1485,'[2]UPDATE BILL 2018'!$F:$V,17,0),IFERROR(VLOOKUP(A1485,'[2]UPDATE BILL 2018'!$G:$V,16,0),IFERROR(VLOOKUP(A1485,'[2]UPDATE BILL 2018'!$H:$V,15,0),IFERROR(VLOOKUP(A1485,'[2]UPDATE BILL 2018'!$I:$V,14,0),VLOOKUP(A1485,'[2]UPDATE BILL 2018'!$B:$V,21,0)))))))))</f>
        <v>WAN HAI 266 N398</v>
      </c>
      <c r="AD1485" s="14" t="s">
        <v>51</v>
      </c>
      <c r="AE1485" s="24" t="s">
        <v>3741</v>
      </c>
      <c r="AF1485" s="25" t="str">
        <f t="shared" si="133"/>
        <v>VS</v>
      </c>
      <c r="AG1485" t="e">
        <f t="shared" si="135"/>
        <v>#REF!</v>
      </c>
      <c r="AI1485" s="58"/>
    </row>
    <row r="1486" spans="1:35" ht="15.75" customHeight="1">
      <c r="A1486" s="6" t="s">
        <v>3736</v>
      </c>
      <c r="B1486" s="5">
        <v>532</v>
      </c>
      <c r="C1486" s="7">
        <v>51467.58</v>
      </c>
      <c r="D1486" s="7">
        <f t="shared" ref="D1486:D1515" si="136">E1486+F1486</f>
        <v>0</v>
      </c>
      <c r="E1486" s="7">
        <v>0</v>
      </c>
      <c r="F1486" s="5">
        <v>0</v>
      </c>
      <c r="G1486" s="7">
        <v>0</v>
      </c>
      <c r="H1486" s="5">
        <v>0</v>
      </c>
      <c r="I1486" s="7">
        <v>0</v>
      </c>
      <c r="J1486" s="7">
        <v>0</v>
      </c>
      <c r="K1486" s="5">
        <v>0</v>
      </c>
      <c r="L1486" s="5">
        <v>0</v>
      </c>
      <c r="M1486" s="5">
        <v>122</v>
      </c>
      <c r="N1486" s="7">
        <f t="shared" ref="N1486:N1515" si="137">M1486-K1486</f>
        <v>122</v>
      </c>
      <c r="O1486" s="7">
        <v>20347.999999999996</v>
      </c>
      <c r="P1486" s="7">
        <v>0</v>
      </c>
      <c r="Q1486" s="5">
        <v>0</v>
      </c>
      <c r="S1486" s="7">
        <v>0</v>
      </c>
      <c r="T1486" s="12">
        <v>43344</v>
      </c>
      <c r="U1486" s="4">
        <v>6</v>
      </c>
      <c r="V1486" s="4">
        <v>9</v>
      </c>
      <c r="W1486" s="4">
        <v>9</v>
      </c>
      <c r="X1486" s="45">
        <f t="shared" ref="X1486:X1515" si="138">+C1486+G1486+I1486+O1486+S1486</f>
        <v>71815.58</v>
      </c>
      <c r="Y1486" s="14" t="s">
        <v>54</v>
      </c>
      <c r="Z1486" s="14" t="s">
        <v>57</v>
      </c>
      <c r="AA1486" s="14" t="str">
        <f>IFERROR(VLOOKUP(A1486,'[2]UPDATE BILL 2018'!$B:$P,15,0),IFERROR(VLOOKUP(A1486,'[2]UPDATE BILL 2018'!$C:$P,14,0),IFERROR(VLOOKUP(A1486,'[2]UPDATE BILL 2018'!$D:$P,13,0),IFERROR(VLOOKUP(A1486,'[2]UPDATE BILL 2018'!$E:$P,12,0),IFERROR(VLOOKUP(A1486,'[2]UPDATE BILL 2018'!$F:$P,11,0),IFERROR(VLOOKUP(A1486,'[2]UPDATE BILL 2018'!$G:$P,10,0),IFERROR(VLOOKUP(A1486,'[2]UPDATE BILL 2018'!$H:$P,9,0),IFERROR(VLOOKUP(A1486,'[2]UPDATE BILL 2018'!$I:$P,8,0),VLOOKUP(A1486,'[2]UPDATE BILL 2018'!$B:$P,15,0)))))))))</f>
        <v>SITWHPKW176264</v>
      </c>
      <c r="AB1486" s="44">
        <f>IFERROR(VLOOKUP(A1486,'[2]UPDATE BILL 2018'!$B:$T,19,0),IFERROR(VLOOKUP(A1486,'[2]UPDATE BILL 2018'!$C:$T,18,0),IFERROR(VLOOKUP(A1486,'[2]UPDATE BILL 2018'!$D:$T,17,0),IFERROR(VLOOKUP(A1486,'[2]UPDATE BILL 2018'!$E:$T,16,0),IFERROR(VLOOKUP(A1486,'[2]UPDATE BILL 2018'!$F:$T,15,0),IFERROR(VLOOKUP(A1486,'[2]UPDATE BILL 2018'!$G:$T,14,0),IFERROR(VLOOKUP(A1486,'[2]UPDATE BILL 2018'!$H:$T,13,0),IFERROR(VLOOKUP(A1486,'[2]UPDATE BILL 2018'!$I:$T,12,0),VLOOKUP(A1486,'[2]UPDATE BILL 2018'!$B:$T,19,0)))))))))</f>
        <v>43349</v>
      </c>
      <c r="AC1486" s="44" t="str">
        <f>IFERROR(VLOOKUP(A1486,'[2]UPDATE BILL 2018'!$B:$V,21,0),IFERROR(VLOOKUP(A1486,'[2]UPDATE BILL 2018'!$C:$V,20,0),IFERROR(VLOOKUP(A1486,'[2]UPDATE BILL 2018'!$D:$V,19,0),IFERROR(VLOOKUP(A1486,'[2]UPDATE BILL 2018'!$E:$V,18,0),IFERROR(VLOOKUP(A1486,'[2]UPDATE BILL 2018'!$F:$V,17,0),IFERROR(VLOOKUP(A1486,'[2]UPDATE BILL 2018'!$G:$V,16,0),IFERROR(VLOOKUP(A1486,'[2]UPDATE BILL 2018'!$H:$V,15,0),IFERROR(VLOOKUP(A1486,'[2]UPDATE BILL 2018'!$I:$V,14,0),VLOOKUP(A1486,'[2]UPDATE BILL 2018'!$B:$V,21,0)))))))))</f>
        <v>SITC MOJI 1839N</v>
      </c>
      <c r="AD1486" s="14" t="s">
        <v>50</v>
      </c>
      <c r="AE1486" s="24" t="s">
        <v>3742</v>
      </c>
      <c r="AF1486" s="25" t="str">
        <f t="shared" si="133"/>
        <v>VW</v>
      </c>
      <c r="AG1486" t="e">
        <f t="shared" si="135"/>
        <v>#REF!</v>
      </c>
      <c r="AI1486" s="58"/>
    </row>
    <row r="1487" spans="1:35" ht="15.75" customHeight="1">
      <c r="A1487" s="6" t="s">
        <v>3743</v>
      </c>
      <c r="B1487" s="5">
        <v>133</v>
      </c>
      <c r="C1487" s="7">
        <v>10138.099999999999</v>
      </c>
      <c r="D1487" s="7">
        <f t="shared" si="136"/>
        <v>0</v>
      </c>
      <c r="E1487" s="7">
        <v>0</v>
      </c>
      <c r="F1487" s="5">
        <v>0</v>
      </c>
      <c r="G1487" s="7">
        <v>0</v>
      </c>
      <c r="H1487" s="5">
        <v>20</v>
      </c>
      <c r="I1487" s="7">
        <v>2259.8000000000002</v>
      </c>
      <c r="J1487" s="7">
        <v>0</v>
      </c>
      <c r="K1487" s="5">
        <v>0</v>
      </c>
      <c r="L1487" s="5">
        <v>0</v>
      </c>
      <c r="M1487" s="5">
        <v>0</v>
      </c>
      <c r="N1487" s="7">
        <f t="shared" si="137"/>
        <v>0</v>
      </c>
      <c r="O1487" s="7">
        <v>0</v>
      </c>
      <c r="P1487" s="7">
        <v>0</v>
      </c>
      <c r="Q1487" s="5">
        <v>0</v>
      </c>
      <c r="S1487" s="7">
        <v>0</v>
      </c>
      <c r="T1487" s="12">
        <v>43347</v>
      </c>
      <c r="U1487" s="4">
        <v>1</v>
      </c>
      <c r="V1487" s="4">
        <v>9</v>
      </c>
      <c r="W1487" s="4">
        <v>9</v>
      </c>
      <c r="X1487" s="45">
        <f t="shared" si="138"/>
        <v>12397.899999999998</v>
      </c>
      <c r="Y1487" s="14" t="s">
        <v>3760</v>
      </c>
      <c r="Z1487" s="14" t="s">
        <v>1492</v>
      </c>
      <c r="AA1487" s="14" t="str">
        <f>IFERROR(VLOOKUP(A1487,'[2]UPDATE BILL 2018'!$B:$P,15,0),IFERROR(VLOOKUP(A1487,'[2]UPDATE BILL 2018'!$C:$P,14,0),IFERROR(VLOOKUP(A1487,'[2]UPDATE BILL 2018'!$D:$P,13,0),IFERROR(VLOOKUP(A1487,'[2]UPDATE BILL 2018'!$E:$P,12,0),IFERROR(VLOOKUP(A1487,'[2]UPDATE BILL 2018'!$F:$P,11,0),IFERROR(VLOOKUP(A1487,'[2]UPDATE BILL 2018'!$G:$P,10,0),IFERROR(VLOOKUP(A1487,'[2]UPDATE BILL 2018'!$H:$P,9,0),IFERROR(VLOOKUP(A1487,'[2]UPDATE BILL 2018'!$I:$P,8,0),VLOOKUP(A1487,'[2]UPDATE BILL 2018'!$B:$P,15,0)))))))))</f>
        <v>SNL8HPCL001664</v>
      </c>
      <c r="AB1487" s="44">
        <f>IFERROR(VLOOKUP(A1487,'[2]UPDATE BILL 2018'!$B:$T,19,0),IFERROR(VLOOKUP(A1487,'[2]UPDATE BILL 2018'!$C:$T,18,0),IFERROR(VLOOKUP(A1487,'[2]UPDATE BILL 2018'!$D:$T,17,0),IFERROR(VLOOKUP(A1487,'[2]UPDATE BILL 2018'!$E:$T,16,0),IFERROR(VLOOKUP(A1487,'[2]UPDATE BILL 2018'!$F:$T,15,0),IFERROR(VLOOKUP(A1487,'[2]UPDATE BILL 2018'!$G:$T,14,0),IFERROR(VLOOKUP(A1487,'[2]UPDATE BILL 2018'!$H:$T,13,0),IFERROR(VLOOKUP(A1487,'[2]UPDATE BILL 2018'!$I:$T,12,0),VLOOKUP(A1487,'[2]UPDATE BILL 2018'!$B:$T,19,0)))))))))</f>
        <v>43356</v>
      </c>
      <c r="AC1487" s="44" t="str">
        <f>IFERROR(VLOOKUP(A1487,'[2]UPDATE BILL 2018'!$B:$V,21,0),IFERROR(VLOOKUP(A1487,'[2]UPDATE BILL 2018'!$C:$V,20,0),IFERROR(VLOOKUP(A1487,'[2]UPDATE BILL 2018'!$D:$V,19,0),IFERROR(VLOOKUP(A1487,'[2]UPDATE BILL 2018'!$E:$V,18,0),IFERROR(VLOOKUP(A1487,'[2]UPDATE BILL 2018'!$F:$V,17,0),IFERROR(VLOOKUP(A1487,'[2]UPDATE BILL 2018'!$G:$V,16,0),IFERROR(VLOOKUP(A1487,'[2]UPDATE BILL 2018'!$H:$V,15,0),IFERROR(VLOOKUP(A1487,'[2]UPDATE BILL 2018'!$I:$V,14,0),VLOOKUP(A1487,'[2]UPDATE BILL 2018'!$B:$V,21,0)))))))))</f>
        <v>WISDOM GRACE 1833N</v>
      </c>
      <c r="AD1487" s="14" t="s">
        <v>1010</v>
      </c>
      <c r="AE1487" s="24" t="s">
        <v>3752</v>
      </c>
      <c r="AF1487" s="25" t="s">
        <v>1602</v>
      </c>
      <c r="AG1487" t="e">
        <f t="shared" si="135"/>
        <v>#N/A</v>
      </c>
      <c r="AI1487" s="58"/>
    </row>
    <row r="1488" spans="1:35" ht="15.75" customHeight="1">
      <c r="A1488" s="6" t="s">
        <v>3744</v>
      </c>
      <c r="B1488" s="5">
        <v>480</v>
      </c>
      <c r="C1488" s="7">
        <v>52360</v>
      </c>
      <c r="D1488" s="7">
        <f t="shared" si="136"/>
        <v>0</v>
      </c>
      <c r="E1488" s="7">
        <v>0</v>
      </c>
      <c r="F1488" s="5">
        <v>0</v>
      </c>
      <c r="G1488" s="7">
        <v>0</v>
      </c>
      <c r="H1488" s="5">
        <v>345</v>
      </c>
      <c r="I1488" s="7">
        <v>36275.450000000004</v>
      </c>
      <c r="J1488" s="7">
        <v>0</v>
      </c>
      <c r="K1488" s="5">
        <v>0</v>
      </c>
      <c r="L1488" s="5">
        <v>0</v>
      </c>
      <c r="M1488" s="5">
        <v>0</v>
      </c>
      <c r="N1488" s="7">
        <f t="shared" si="137"/>
        <v>0</v>
      </c>
      <c r="O1488" s="7">
        <v>0</v>
      </c>
      <c r="P1488" s="7">
        <v>0</v>
      </c>
      <c r="Q1488" s="5">
        <v>0</v>
      </c>
      <c r="S1488" s="7">
        <v>0</v>
      </c>
      <c r="T1488" s="12">
        <v>43347</v>
      </c>
      <c r="U1488" s="4">
        <v>8</v>
      </c>
      <c r="V1488" s="4">
        <v>9</v>
      </c>
      <c r="W1488" s="4">
        <v>9</v>
      </c>
      <c r="X1488" s="45">
        <f t="shared" si="138"/>
        <v>88635.450000000012</v>
      </c>
      <c r="Y1488" s="14" t="s">
        <v>54</v>
      </c>
      <c r="Z1488" s="14" t="s">
        <v>59</v>
      </c>
      <c r="AA1488" s="14" t="str">
        <f>IFERROR(VLOOKUP(A1488,'[2]UPDATE BILL 2018'!$B:$P,15,0),IFERROR(VLOOKUP(A1488,'[2]UPDATE BILL 2018'!$C:$P,14,0),IFERROR(VLOOKUP(A1488,'[2]UPDATE BILL 2018'!$D:$P,13,0),IFERROR(VLOOKUP(A1488,'[2]UPDATE BILL 2018'!$E:$P,12,0),IFERROR(VLOOKUP(A1488,'[2]UPDATE BILL 2018'!$F:$P,11,0),IFERROR(VLOOKUP(A1488,'[2]UPDATE BILL 2018'!$G:$P,10,0),IFERROR(VLOOKUP(A1488,'[2]UPDATE BILL 2018'!$H:$P,9,0),IFERROR(VLOOKUP(A1488,'[2]UPDATE BILL 2018'!$I:$P,8,0),VLOOKUP(A1488,'[2]UPDATE BILL 2018'!$B:$P,15,0)))))))))</f>
        <v>SITWHPTK177549</v>
      </c>
      <c r="AB1488" s="44">
        <f>IFERROR(VLOOKUP(A1488,'[2]UPDATE BILL 2018'!$B:$T,19,0),IFERROR(VLOOKUP(A1488,'[2]UPDATE BILL 2018'!$C:$T,18,0),IFERROR(VLOOKUP(A1488,'[2]UPDATE BILL 2018'!$D:$T,17,0),IFERROR(VLOOKUP(A1488,'[2]UPDATE BILL 2018'!$E:$T,16,0),IFERROR(VLOOKUP(A1488,'[2]UPDATE BILL 2018'!$F:$T,15,0),IFERROR(VLOOKUP(A1488,'[2]UPDATE BILL 2018'!$G:$T,14,0),IFERROR(VLOOKUP(A1488,'[2]UPDATE BILL 2018'!$H:$T,13,0),IFERROR(VLOOKUP(A1488,'[2]UPDATE BILL 2018'!$I:$T,12,0),VLOOKUP(A1488,'[2]UPDATE BILL 2018'!$B:$T,19,0)))))))))</f>
        <v>43356</v>
      </c>
      <c r="AC1488" s="44" t="str">
        <f>IFERROR(VLOOKUP(A1488,'[2]UPDATE BILL 2018'!$B:$V,21,0),IFERROR(VLOOKUP(A1488,'[2]UPDATE BILL 2018'!$C:$V,20,0),IFERROR(VLOOKUP(A1488,'[2]UPDATE BILL 2018'!$D:$V,19,0),IFERROR(VLOOKUP(A1488,'[2]UPDATE BILL 2018'!$E:$V,18,0),IFERROR(VLOOKUP(A1488,'[2]UPDATE BILL 2018'!$F:$V,17,0),IFERROR(VLOOKUP(A1488,'[2]UPDATE BILL 2018'!$G:$V,16,0),IFERROR(VLOOKUP(A1488,'[2]UPDATE BILL 2018'!$H:$V,15,0),IFERROR(VLOOKUP(A1488,'[2]UPDATE BILL 2018'!$I:$V,14,0),VLOOKUP(A1488,'[2]UPDATE BILL 2018'!$B:$V,21,0)))))))))</f>
        <v>AVRA C 1825N</v>
      </c>
      <c r="AD1488" s="14" t="s">
        <v>49</v>
      </c>
      <c r="AE1488" s="24" t="s">
        <v>3753</v>
      </c>
      <c r="AF1488" s="25" t="str">
        <f t="shared" si="133"/>
        <v>VK</v>
      </c>
      <c r="AG1488" t="e">
        <f t="shared" si="135"/>
        <v>#REF!</v>
      </c>
      <c r="AI1488" s="58"/>
    </row>
    <row r="1489" spans="1:35" ht="15.75" customHeight="1">
      <c r="A1489" s="6" t="s">
        <v>3745</v>
      </c>
      <c r="B1489" s="5">
        <v>102</v>
      </c>
      <c r="C1489" s="7">
        <v>12153.599999999999</v>
      </c>
      <c r="D1489" s="7">
        <f t="shared" si="136"/>
        <v>0</v>
      </c>
      <c r="E1489" s="7">
        <v>0</v>
      </c>
      <c r="F1489" s="5">
        <v>0</v>
      </c>
      <c r="G1489" s="7">
        <v>0</v>
      </c>
      <c r="H1489" s="5">
        <v>0</v>
      </c>
      <c r="I1489" s="7">
        <v>0</v>
      </c>
      <c r="J1489" s="7">
        <v>0</v>
      </c>
      <c r="K1489" s="5">
        <v>0</v>
      </c>
      <c r="L1489" s="5">
        <v>0</v>
      </c>
      <c r="M1489" s="5">
        <v>0</v>
      </c>
      <c r="N1489" s="7">
        <f t="shared" si="137"/>
        <v>0</v>
      </c>
      <c r="O1489" s="7">
        <v>0</v>
      </c>
      <c r="P1489" s="7">
        <v>0</v>
      </c>
      <c r="Q1489" s="5">
        <v>0</v>
      </c>
      <c r="S1489" s="7">
        <v>0</v>
      </c>
      <c r="T1489" s="12">
        <v>43347</v>
      </c>
      <c r="U1489" s="4">
        <v>1</v>
      </c>
      <c r="V1489" s="4">
        <v>9</v>
      </c>
      <c r="W1489" s="4">
        <v>9</v>
      </c>
      <c r="X1489" s="45">
        <f t="shared" si="138"/>
        <v>12153.599999999999</v>
      </c>
      <c r="Y1489" s="14" t="s">
        <v>56</v>
      </c>
      <c r="Z1489" s="14" t="s">
        <v>1492</v>
      </c>
      <c r="AA1489" s="14" t="str">
        <f>IFERROR(VLOOKUP(A1489,'[2]UPDATE BILL 2018'!$B:$P,15,0),IFERROR(VLOOKUP(A1489,'[2]UPDATE BILL 2018'!$C:$P,14,0),IFERROR(VLOOKUP(A1489,'[2]UPDATE BILL 2018'!$D:$P,13,0),IFERROR(VLOOKUP(A1489,'[2]UPDATE BILL 2018'!$E:$P,12,0),IFERROR(VLOOKUP(A1489,'[2]UPDATE BILL 2018'!$F:$P,11,0),IFERROR(VLOOKUP(A1489,'[2]UPDATE BILL 2018'!$G:$P,10,0),IFERROR(VLOOKUP(A1489,'[2]UPDATE BILL 2018'!$H:$P,9,0),IFERROR(VLOOKUP(A1489,'[2]UPDATE BILL 2018'!$I:$P,8,0),VLOOKUP(A1489,'[2]UPDATE BILL 2018'!$B:$P,15,0)))))))))</f>
        <v>1008X05090</v>
      </c>
      <c r="AB1489" s="44">
        <f>IFERROR(VLOOKUP(A1489,'[2]UPDATE BILL 2018'!$B:$T,19,0),IFERROR(VLOOKUP(A1489,'[2]UPDATE BILL 2018'!$C:$T,18,0),IFERROR(VLOOKUP(A1489,'[2]UPDATE BILL 2018'!$D:$T,17,0),IFERROR(VLOOKUP(A1489,'[2]UPDATE BILL 2018'!$E:$T,16,0),IFERROR(VLOOKUP(A1489,'[2]UPDATE BILL 2018'!$F:$T,15,0),IFERROR(VLOOKUP(A1489,'[2]UPDATE BILL 2018'!$G:$T,14,0),IFERROR(VLOOKUP(A1489,'[2]UPDATE BILL 2018'!$H:$T,13,0),IFERROR(VLOOKUP(A1489,'[2]UPDATE BILL 2018'!$I:$T,12,0),VLOOKUP(A1489,'[2]UPDATE BILL 2018'!$B:$T,19,0)))))))))</f>
        <v>43351</v>
      </c>
      <c r="AC1489" s="44" t="str">
        <f>IFERROR(VLOOKUP(A1489,'[2]UPDATE BILL 2018'!$B:$V,21,0),IFERROR(VLOOKUP(A1489,'[2]UPDATE BILL 2018'!$C:$V,20,0),IFERROR(VLOOKUP(A1489,'[2]UPDATE BILL 2018'!$D:$V,19,0),IFERROR(VLOOKUP(A1489,'[2]UPDATE BILL 2018'!$E:$V,18,0),IFERROR(VLOOKUP(A1489,'[2]UPDATE BILL 2018'!$F:$V,17,0),IFERROR(VLOOKUP(A1489,'[2]UPDATE BILL 2018'!$G:$V,16,0),IFERROR(VLOOKUP(A1489,'[2]UPDATE BILL 2018'!$H:$V,15,0),IFERROR(VLOOKUP(A1489,'[2]UPDATE BILL 2018'!$I:$V,14,0),VLOOKUP(A1489,'[2]UPDATE BILL 2018'!$B:$V,21,0)))))))))</f>
        <v xml:space="preserve"> PAOLA  N029</v>
      </c>
      <c r="AD1489" s="14" t="s">
        <v>49</v>
      </c>
      <c r="AE1489" s="24" t="s">
        <v>3754</v>
      </c>
      <c r="AF1489" s="25" t="str">
        <f t="shared" si="133"/>
        <v>VN</v>
      </c>
      <c r="AG1489" t="e">
        <f t="shared" si="135"/>
        <v>#REF!</v>
      </c>
      <c r="AI1489" s="58"/>
    </row>
    <row r="1490" spans="1:35" ht="15.75" customHeight="1">
      <c r="A1490" s="6" t="s">
        <v>3746</v>
      </c>
      <c r="B1490" s="5">
        <v>609</v>
      </c>
      <c r="C1490" s="7">
        <v>57788.299999999996</v>
      </c>
      <c r="D1490" s="7">
        <f t="shared" si="136"/>
        <v>0</v>
      </c>
      <c r="E1490" s="7">
        <v>0</v>
      </c>
      <c r="F1490" s="5">
        <v>0</v>
      </c>
      <c r="G1490" s="7">
        <v>0</v>
      </c>
      <c r="H1490" s="5">
        <v>320</v>
      </c>
      <c r="I1490" s="7">
        <v>38957.800000000003</v>
      </c>
      <c r="J1490" s="7">
        <v>0</v>
      </c>
      <c r="K1490" s="5">
        <v>0</v>
      </c>
      <c r="L1490" s="5">
        <v>0</v>
      </c>
      <c r="M1490" s="5">
        <v>54</v>
      </c>
      <c r="N1490" s="7">
        <f t="shared" si="137"/>
        <v>54</v>
      </c>
      <c r="O1490" s="7">
        <v>9638.1999999999989</v>
      </c>
      <c r="P1490" s="7">
        <v>0</v>
      </c>
      <c r="Q1490" s="5">
        <v>0</v>
      </c>
      <c r="S1490" s="7">
        <v>0</v>
      </c>
      <c r="T1490" s="12">
        <v>43347</v>
      </c>
      <c r="U1490" s="4">
        <v>9</v>
      </c>
      <c r="V1490" s="4">
        <v>9</v>
      </c>
      <c r="W1490" s="4">
        <v>9</v>
      </c>
      <c r="X1490" s="45">
        <f t="shared" si="138"/>
        <v>106384.3</v>
      </c>
      <c r="Y1490" s="14" t="s">
        <v>56</v>
      </c>
      <c r="Z1490" s="14" t="s">
        <v>57</v>
      </c>
      <c r="AA1490" s="14" t="str">
        <f>IFERROR(VLOOKUP(A1490,'[2]UPDATE BILL 2018'!$B:$P,15,0),IFERROR(VLOOKUP(A1490,'[2]UPDATE BILL 2018'!$C:$P,14,0),IFERROR(VLOOKUP(A1490,'[2]UPDATE BILL 2018'!$D:$P,13,0),IFERROR(VLOOKUP(A1490,'[2]UPDATE BILL 2018'!$E:$P,12,0),IFERROR(VLOOKUP(A1490,'[2]UPDATE BILL 2018'!$F:$P,11,0),IFERROR(VLOOKUP(A1490,'[2]UPDATE BILL 2018'!$G:$P,10,0),IFERROR(VLOOKUP(A1490,'[2]UPDATE BILL 2018'!$H:$P,9,0),IFERROR(VLOOKUP(A1490,'[2]UPDATE BILL 2018'!$I:$P,8,0),VLOOKUP(A1490,'[2]UPDATE BILL 2018'!$B:$P,15,0)))))))))</f>
        <v>1008X05175</v>
      </c>
      <c r="AB1490" s="44">
        <f>IFERROR(VLOOKUP(A1490,'[2]UPDATE BILL 2018'!$B:$T,19,0),IFERROR(VLOOKUP(A1490,'[2]UPDATE BILL 2018'!$C:$T,18,0),IFERROR(VLOOKUP(A1490,'[2]UPDATE BILL 2018'!$D:$T,17,0),IFERROR(VLOOKUP(A1490,'[2]UPDATE BILL 2018'!$E:$T,16,0),IFERROR(VLOOKUP(A1490,'[2]UPDATE BILL 2018'!$F:$T,15,0),IFERROR(VLOOKUP(A1490,'[2]UPDATE BILL 2018'!$G:$T,14,0),IFERROR(VLOOKUP(A1490,'[2]UPDATE BILL 2018'!$H:$T,13,0),IFERROR(VLOOKUP(A1490,'[2]UPDATE BILL 2018'!$I:$T,12,0),VLOOKUP(A1490,'[2]UPDATE BILL 2018'!$B:$T,19,0)))))))))</f>
        <v>43355</v>
      </c>
      <c r="AC1490" s="44" t="str">
        <f>IFERROR(VLOOKUP(A1490,'[2]UPDATE BILL 2018'!$B:$V,21,0),IFERROR(VLOOKUP(A1490,'[2]UPDATE BILL 2018'!$C:$V,20,0),IFERROR(VLOOKUP(A1490,'[2]UPDATE BILL 2018'!$D:$V,19,0),IFERROR(VLOOKUP(A1490,'[2]UPDATE BILL 2018'!$E:$V,18,0),IFERROR(VLOOKUP(A1490,'[2]UPDATE BILL 2018'!$F:$V,17,0),IFERROR(VLOOKUP(A1490,'[2]UPDATE BILL 2018'!$G:$V,16,0),IFERROR(VLOOKUP(A1490,'[2]UPDATE BILL 2018'!$H:$V,15,0),IFERROR(VLOOKUP(A1490,'[2]UPDATE BILL 2018'!$I:$V,14,0),VLOOKUP(A1490,'[2]UPDATE BILL 2018'!$B:$V,21,0)))))))))</f>
        <v>WAN HAI 203 N467</v>
      </c>
      <c r="AD1490" s="14" t="s">
        <v>52</v>
      </c>
      <c r="AE1490" s="24" t="s">
        <v>3755</v>
      </c>
      <c r="AF1490" s="25" t="str">
        <f t="shared" si="133"/>
        <v>VQ</v>
      </c>
      <c r="AG1490" t="e">
        <f t="shared" si="135"/>
        <v>#REF!</v>
      </c>
      <c r="AI1490" s="58"/>
    </row>
    <row r="1491" spans="1:35" ht="15.75" customHeight="1">
      <c r="A1491" s="6" t="s">
        <v>3747</v>
      </c>
      <c r="B1491" s="5">
        <v>372</v>
      </c>
      <c r="C1491" s="7">
        <v>36855.480000000003</v>
      </c>
      <c r="D1491" s="7">
        <f t="shared" si="136"/>
        <v>0</v>
      </c>
      <c r="E1491" s="7">
        <v>0</v>
      </c>
      <c r="F1491" s="5">
        <v>0</v>
      </c>
      <c r="G1491" s="7">
        <v>0</v>
      </c>
      <c r="H1491" s="5">
        <v>115</v>
      </c>
      <c r="I1491" s="7">
        <v>12992.7</v>
      </c>
      <c r="J1491" s="7">
        <v>0</v>
      </c>
      <c r="K1491" s="5">
        <v>0</v>
      </c>
      <c r="L1491" s="5">
        <v>0</v>
      </c>
      <c r="M1491" s="5">
        <v>58</v>
      </c>
      <c r="N1491" s="7">
        <f t="shared" si="137"/>
        <v>58</v>
      </c>
      <c r="O1491" s="7">
        <v>10248.599999999999</v>
      </c>
      <c r="P1491" s="7">
        <v>0</v>
      </c>
      <c r="Q1491" s="5">
        <v>0</v>
      </c>
      <c r="S1491" s="7">
        <v>0</v>
      </c>
      <c r="T1491" s="12">
        <v>43347</v>
      </c>
      <c r="U1491" s="4">
        <v>5</v>
      </c>
      <c r="V1491" s="4">
        <v>9</v>
      </c>
      <c r="W1491" s="4">
        <v>9</v>
      </c>
      <c r="X1491" s="45">
        <f t="shared" si="138"/>
        <v>60096.780000000006</v>
      </c>
      <c r="Y1491" s="14" t="s">
        <v>56</v>
      </c>
      <c r="Z1491" s="14" t="s">
        <v>1281</v>
      </c>
      <c r="AA1491" s="14" t="str">
        <f>IFERROR(VLOOKUP(A1491,'[2]UPDATE BILL 2018'!$B:$P,15,0),IFERROR(VLOOKUP(A1491,'[2]UPDATE BILL 2018'!$C:$P,14,0),IFERROR(VLOOKUP(A1491,'[2]UPDATE BILL 2018'!$D:$P,13,0),IFERROR(VLOOKUP(A1491,'[2]UPDATE BILL 2018'!$E:$P,12,0),IFERROR(VLOOKUP(A1491,'[2]UPDATE BILL 2018'!$F:$P,11,0),IFERROR(VLOOKUP(A1491,'[2]UPDATE BILL 2018'!$G:$P,10,0),IFERROR(VLOOKUP(A1491,'[2]UPDATE BILL 2018'!$H:$P,9,0),IFERROR(VLOOKUP(A1491,'[2]UPDATE BILL 2018'!$I:$P,8,0),VLOOKUP(A1491,'[2]UPDATE BILL 2018'!$B:$P,15,0)))))))))</f>
        <v>1008X05088</v>
      </c>
      <c r="AB1491" s="44">
        <f>IFERROR(VLOOKUP(A1491,'[2]UPDATE BILL 2018'!$B:$T,19,0),IFERROR(VLOOKUP(A1491,'[2]UPDATE BILL 2018'!$C:$T,18,0),IFERROR(VLOOKUP(A1491,'[2]UPDATE BILL 2018'!$D:$T,17,0),IFERROR(VLOOKUP(A1491,'[2]UPDATE BILL 2018'!$E:$T,16,0),IFERROR(VLOOKUP(A1491,'[2]UPDATE BILL 2018'!$F:$T,15,0),IFERROR(VLOOKUP(A1491,'[2]UPDATE BILL 2018'!$G:$T,14,0),IFERROR(VLOOKUP(A1491,'[2]UPDATE BILL 2018'!$H:$T,13,0),IFERROR(VLOOKUP(A1491,'[2]UPDATE BILL 2018'!$I:$T,12,0),VLOOKUP(A1491,'[2]UPDATE BILL 2018'!$B:$T,19,0)))))))))</f>
        <v>43351</v>
      </c>
      <c r="AC1491" s="44" t="str">
        <f>IFERROR(VLOOKUP(A1491,'[2]UPDATE BILL 2018'!$B:$V,21,0),IFERROR(VLOOKUP(A1491,'[2]UPDATE BILL 2018'!$C:$V,20,0),IFERROR(VLOOKUP(A1491,'[2]UPDATE BILL 2018'!$D:$V,19,0),IFERROR(VLOOKUP(A1491,'[2]UPDATE BILL 2018'!$E:$V,18,0),IFERROR(VLOOKUP(A1491,'[2]UPDATE BILL 2018'!$F:$V,17,0),IFERROR(VLOOKUP(A1491,'[2]UPDATE BILL 2018'!$G:$V,16,0),IFERROR(VLOOKUP(A1491,'[2]UPDATE BILL 2018'!$H:$V,15,0),IFERROR(VLOOKUP(A1491,'[2]UPDATE BILL 2018'!$I:$V,14,0),VLOOKUP(A1491,'[2]UPDATE BILL 2018'!$B:$V,21,0)))))))))</f>
        <v xml:space="preserve"> PAOLA N029</v>
      </c>
      <c r="AD1491" s="14" t="s">
        <v>51</v>
      </c>
      <c r="AE1491" s="24" t="s">
        <v>3756</v>
      </c>
      <c r="AF1491" s="25" t="str">
        <f t="shared" si="133"/>
        <v>VS</v>
      </c>
      <c r="AG1491" t="e">
        <f t="shared" si="135"/>
        <v>#REF!</v>
      </c>
      <c r="AI1491" s="58"/>
    </row>
    <row r="1492" spans="1:35" ht="15.75" customHeight="1">
      <c r="A1492" s="6" t="s">
        <v>3748</v>
      </c>
      <c r="B1492" s="5">
        <v>823</v>
      </c>
      <c r="C1492" s="7">
        <v>66201.299999999988</v>
      </c>
      <c r="D1492" s="7">
        <f t="shared" si="136"/>
        <v>0</v>
      </c>
      <c r="E1492" s="7">
        <v>0</v>
      </c>
      <c r="F1492" s="5">
        <v>0</v>
      </c>
      <c r="G1492" s="7">
        <v>0</v>
      </c>
      <c r="H1492" s="5">
        <v>105</v>
      </c>
      <c r="I1492" s="7">
        <v>11539.15</v>
      </c>
      <c r="J1492" s="7">
        <v>0</v>
      </c>
      <c r="K1492" s="5">
        <v>0</v>
      </c>
      <c r="L1492" s="5">
        <v>0</v>
      </c>
      <c r="M1492" s="5">
        <v>0</v>
      </c>
      <c r="N1492" s="7">
        <f t="shared" si="137"/>
        <v>0</v>
      </c>
      <c r="O1492" s="7">
        <v>0</v>
      </c>
      <c r="P1492" s="7">
        <v>0</v>
      </c>
      <c r="Q1492" s="5">
        <v>0</v>
      </c>
      <c r="S1492" s="7">
        <v>0</v>
      </c>
      <c r="T1492" s="12">
        <v>43347</v>
      </c>
      <c r="U1492" s="4">
        <v>7</v>
      </c>
      <c r="V1492" s="4">
        <v>9</v>
      </c>
      <c r="W1492" s="4">
        <v>9</v>
      </c>
      <c r="X1492" s="45">
        <f t="shared" si="138"/>
        <v>77740.449999999983</v>
      </c>
      <c r="Y1492" s="14" t="s">
        <v>56</v>
      </c>
      <c r="Z1492" s="14" t="s">
        <v>1281</v>
      </c>
      <c r="AA1492" s="14" t="str">
        <f>IFERROR(VLOOKUP(A1492,'[2]UPDATE BILL 2018'!$B:$P,15,0),IFERROR(VLOOKUP(A1492,'[2]UPDATE BILL 2018'!$C:$P,14,0),IFERROR(VLOOKUP(A1492,'[2]UPDATE BILL 2018'!$D:$P,13,0),IFERROR(VLOOKUP(A1492,'[2]UPDATE BILL 2018'!$E:$P,12,0),IFERROR(VLOOKUP(A1492,'[2]UPDATE BILL 2018'!$F:$P,11,0),IFERROR(VLOOKUP(A1492,'[2]UPDATE BILL 2018'!$G:$P,10,0),IFERROR(VLOOKUP(A1492,'[2]UPDATE BILL 2018'!$H:$P,9,0),IFERROR(VLOOKUP(A1492,'[2]UPDATE BILL 2018'!$I:$P,8,0),VLOOKUP(A1492,'[2]UPDATE BILL 2018'!$B:$P,15,0)))))))))</f>
        <v>1008X05153</v>
      </c>
      <c r="AB1492" s="44">
        <f>IFERROR(VLOOKUP(A1492,'[2]UPDATE BILL 2018'!$B:$T,19,0),IFERROR(VLOOKUP(A1492,'[2]UPDATE BILL 2018'!$C:$T,18,0),IFERROR(VLOOKUP(A1492,'[2]UPDATE BILL 2018'!$D:$T,17,0),IFERROR(VLOOKUP(A1492,'[2]UPDATE BILL 2018'!$E:$T,16,0),IFERROR(VLOOKUP(A1492,'[2]UPDATE BILL 2018'!$F:$T,15,0),IFERROR(VLOOKUP(A1492,'[2]UPDATE BILL 2018'!$G:$T,14,0),IFERROR(VLOOKUP(A1492,'[2]UPDATE BILL 2018'!$H:$T,13,0),IFERROR(VLOOKUP(A1492,'[2]UPDATE BILL 2018'!$I:$T,12,0),VLOOKUP(A1492,'[2]UPDATE BILL 2018'!$B:$T,19,0)))))))))</f>
        <v>43355</v>
      </c>
      <c r="AC1492" s="44" t="str">
        <f>IFERROR(VLOOKUP(A1492,'[2]UPDATE BILL 2018'!$B:$V,21,0),IFERROR(VLOOKUP(A1492,'[2]UPDATE BILL 2018'!$C:$V,20,0),IFERROR(VLOOKUP(A1492,'[2]UPDATE BILL 2018'!$D:$V,19,0),IFERROR(VLOOKUP(A1492,'[2]UPDATE BILL 2018'!$E:$V,18,0),IFERROR(VLOOKUP(A1492,'[2]UPDATE BILL 2018'!$F:$V,17,0),IFERROR(VLOOKUP(A1492,'[2]UPDATE BILL 2018'!$G:$V,16,0),IFERROR(VLOOKUP(A1492,'[2]UPDATE BILL 2018'!$H:$V,15,0),IFERROR(VLOOKUP(A1492,'[2]UPDATE BILL 2018'!$I:$V,14,0),VLOOKUP(A1492,'[2]UPDATE BILL 2018'!$B:$V,21,0)))))))))</f>
        <v>WAN HAI 266 N398</v>
      </c>
      <c r="AD1492" s="14" t="s">
        <v>51</v>
      </c>
      <c r="AE1492" s="24" t="s">
        <v>3757</v>
      </c>
      <c r="AF1492" s="25" t="str">
        <f t="shared" si="133"/>
        <v>VS</v>
      </c>
      <c r="AG1492" t="e">
        <f t="shared" si="135"/>
        <v>#REF!</v>
      </c>
      <c r="AI1492" s="58"/>
    </row>
    <row r="1493" spans="1:35" ht="15.75" customHeight="1">
      <c r="A1493" s="6" t="s">
        <v>3749</v>
      </c>
      <c r="B1493" s="5">
        <v>225</v>
      </c>
      <c r="C1493" s="7">
        <v>14433.1</v>
      </c>
      <c r="D1493" s="7">
        <f t="shared" si="136"/>
        <v>0</v>
      </c>
      <c r="E1493" s="7">
        <v>0</v>
      </c>
      <c r="F1493" s="5">
        <v>0</v>
      </c>
      <c r="G1493" s="7">
        <v>0</v>
      </c>
      <c r="H1493" s="5">
        <v>0</v>
      </c>
      <c r="I1493" s="7">
        <v>0</v>
      </c>
      <c r="J1493" s="7">
        <v>0</v>
      </c>
      <c r="K1493" s="5">
        <v>0</v>
      </c>
      <c r="L1493" s="5">
        <v>0</v>
      </c>
      <c r="M1493" s="5">
        <v>53</v>
      </c>
      <c r="N1493" s="7">
        <f t="shared" si="137"/>
        <v>53</v>
      </c>
      <c r="O1493" s="7">
        <v>9231.2000000000007</v>
      </c>
      <c r="P1493" s="7">
        <v>0</v>
      </c>
      <c r="Q1493" s="5">
        <v>0</v>
      </c>
      <c r="S1493" s="7">
        <v>0</v>
      </c>
      <c r="T1493" s="12">
        <v>43347</v>
      </c>
      <c r="U1493" s="4">
        <v>2</v>
      </c>
      <c r="V1493" s="4">
        <v>9</v>
      </c>
      <c r="W1493" s="4">
        <v>9</v>
      </c>
      <c r="X1493" s="45">
        <f t="shared" si="138"/>
        <v>23664.300000000003</v>
      </c>
      <c r="Y1493" s="14" t="s">
        <v>54</v>
      </c>
      <c r="Z1493" s="14" t="s">
        <v>59</v>
      </c>
      <c r="AA1493" s="14" t="str">
        <f>IFERROR(VLOOKUP(A1493,'[2]UPDATE BILL 2018'!$B:$P,15,0),IFERROR(VLOOKUP(A1493,'[2]UPDATE BILL 2018'!$C:$P,14,0),IFERROR(VLOOKUP(A1493,'[2]UPDATE BILL 2018'!$D:$P,13,0),IFERROR(VLOOKUP(A1493,'[2]UPDATE BILL 2018'!$E:$P,12,0),IFERROR(VLOOKUP(A1493,'[2]UPDATE BILL 2018'!$F:$P,11,0),IFERROR(VLOOKUP(A1493,'[2]UPDATE BILL 2018'!$G:$P,10,0),IFERROR(VLOOKUP(A1493,'[2]UPDATE BILL 2018'!$H:$P,9,0),IFERROR(VLOOKUP(A1493,'[2]UPDATE BILL 2018'!$I:$P,8,0),VLOOKUP(A1493,'[2]UPDATE BILL 2018'!$B:$P,15,0)))))))))</f>
        <v>SITWHPKW177123</v>
      </c>
      <c r="AB1493" s="44">
        <f>IFERROR(VLOOKUP(A1493,'[2]UPDATE BILL 2018'!$B:$T,19,0),IFERROR(VLOOKUP(A1493,'[2]UPDATE BILL 2018'!$C:$T,18,0),IFERROR(VLOOKUP(A1493,'[2]UPDATE BILL 2018'!$D:$T,17,0),IFERROR(VLOOKUP(A1493,'[2]UPDATE BILL 2018'!$E:$T,16,0),IFERROR(VLOOKUP(A1493,'[2]UPDATE BILL 2018'!$F:$T,15,0),IFERROR(VLOOKUP(A1493,'[2]UPDATE BILL 2018'!$G:$T,14,0),IFERROR(VLOOKUP(A1493,'[2]UPDATE BILL 2018'!$H:$T,13,0),IFERROR(VLOOKUP(A1493,'[2]UPDATE BILL 2018'!$I:$T,12,0),VLOOKUP(A1493,'[2]UPDATE BILL 2018'!$B:$T,19,0)))))))))</f>
        <v>43353</v>
      </c>
      <c r="AC1493" s="44" t="str">
        <f>IFERROR(VLOOKUP(A1493,'[2]UPDATE BILL 2018'!$B:$V,21,0),IFERROR(VLOOKUP(A1493,'[2]UPDATE BILL 2018'!$C:$V,20,0),IFERROR(VLOOKUP(A1493,'[2]UPDATE BILL 2018'!$D:$V,19,0),IFERROR(VLOOKUP(A1493,'[2]UPDATE BILL 2018'!$E:$V,18,0),IFERROR(VLOOKUP(A1493,'[2]UPDATE BILL 2018'!$F:$V,17,0),IFERROR(VLOOKUP(A1493,'[2]UPDATE BILL 2018'!$G:$V,16,0),IFERROR(VLOOKUP(A1493,'[2]UPDATE BILL 2018'!$H:$V,15,0),IFERROR(VLOOKUP(A1493,'[2]UPDATE BILL 2018'!$I:$V,14,0),VLOOKUP(A1493,'[2]UPDATE BILL 2018'!$B:$V,21,0)))))))))</f>
        <v>SITC NAGOYA 1825N</v>
      </c>
      <c r="AD1493" s="14" t="s">
        <v>50</v>
      </c>
      <c r="AE1493" s="24" t="s">
        <v>4025</v>
      </c>
      <c r="AF1493" s="25" t="str">
        <f t="shared" si="133"/>
        <v>VW</v>
      </c>
      <c r="AG1493" t="e">
        <f t="shared" si="135"/>
        <v>#REF!</v>
      </c>
      <c r="AI1493" s="58"/>
    </row>
    <row r="1494" spans="1:35" ht="15.75" customHeight="1">
      <c r="A1494" s="6" t="s">
        <v>3750</v>
      </c>
      <c r="B1494" s="5">
        <v>256</v>
      </c>
      <c r="C1494" s="7">
        <v>22647.65</v>
      </c>
      <c r="D1494" s="7">
        <f t="shared" si="136"/>
        <v>0</v>
      </c>
      <c r="E1494" s="7">
        <v>0</v>
      </c>
      <c r="F1494" s="5">
        <v>0</v>
      </c>
      <c r="G1494" s="7">
        <v>0</v>
      </c>
      <c r="H1494" s="5">
        <v>0</v>
      </c>
      <c r="I1494" s="7">
        <v>0</v>
      </c>
      <c r="J1494" s="7">
        <v>0</v>
      </c>
      <c r="K1494" s="5">
        <v>0</v>
      </c>
      <c r="L1494" s="5">
        <v>0</v>
      </c>
      <c r="M1494" s="5">
        <v>45</v>
      </c>
      <c r="N1494" s="7">
        <f t="shared" si="137"/>
        <v>45</v>
      </c>
      <c r="O1494" s="7">
        <v>9498.9</v>
      </c>
      <c r="P1494" s="7">
        <v>0</v>
      </c>
      <c r="Q1494" s="5">
        <v>0</v>
      </c>
      <c r="S1494" s="7">
        <v>0</v>
      </c>
      <c r="T1494" s="12">
        <v>43347</v>
      </c>
      <c r="U1494" s="4">
        <v>3</v>
      </c>
      <c r="V1494" s="4">
        <v>9</v>
      </c>
      <c r="W1494" s="4">
        <v>9</v>
      </c>
      <c r="X1494" s="45">
        <f t="shared" si="138"/>
        <v>32146.550000000003</v>
      </c>
      <c r="Y1494" s="14" t="s">
        <v>54</v>
      </c>
      <c r="Z1494" s="14" t="s">
        <v>1355</v>
      </c>
      <c r="AA1494" s="14" t="str">
        <f>IFERROR(VLOOKUP(A1494,'[2]UPDATE BILL 2018'!$B:$P,15,0),IFERROR(VLOOKUP(A1494,'[2]UPDATE BILL 2018'!$C:$P,14,0),IFERROR(VLOOKUP(A1494,'[2]UPDATE BILL 2018'!$D:$P,13,0),IFERROR(VLOOKUP(A1494,'[2]UPDATE BILL 2018'!$E:$P,12,0),IFERROR(VLOOKUP(A1494,'[2]UPDATE BILL 2018'!$F:$P,11,0),IFERROR(VLOOKUP(A1494,'[2]UPDATE BILL 2018'!$G:$P,10,0),IFERROR(VLOOKUP(A1494,'[2]UPDATE BILL 2018'!$H:$P,9,0),IFERROR(VLOOKUP(A1494,'[2]UPDATE BILL 2018'!$I:$P,8,0),VLOOKUP(A1494,'[2]UPDATE BILL 2018'!$B:$P,15,0)))))))))</f>
        <v>SITWHPKW177453</v>
      </c>
      <c r="AB1494" s="44">
        <f>IFERROR(VLOOKUP(A1494,'[2]UPDATE BILL 2018'!$B:$T,19,0),IFERROR(VLOOKUP(A1494,'[2]UPDATE BILL 2018'!$C:$T,18,0),IFERROR(VLOOKUP(A1494,'[2]UPDATE BILL 2018'!$D:$T,17,0),IFERROR(VLOOKUP(A1494,'[2]UPDATE BILL 2018'!$E:$T,16,0),IFERROR(VLOOKUP(A1494,'[2]UPDATE BILL 2018'!$F:$T,15,0),IFERROR(VLOOKUP(A1494,'[2]UPDATE BILL 2018'!$G:$T,14,0),IFERROR(VLOOKUP(A1494,'[2]UPDATE BILL 2018'!$H:$T,13,0),IFERROR(VLOOKUP(A1494,'[2]UPDATE BILL 2018'!$I:$T,12,0),VLOOKUP(A1494,'[2]UPDATE BILL 2018'!$B:$T,19,0)))))))))</f>
        <v>43356</v>
      </c>
      <c r="AC1494" s="44" t="str">
        <f>IFERROR(VLOOKUP(A1494,'[2]UPDATE BILL 2018'!$B:$V,21,0),IFERROR(VLOOKUP(A1494,'[2]UPDATE BILL 2018'!$C:$V,20,0),IFERROR(VLOOKUP(A1494,'[2]UPDATE BILL 2018'!$D:$V,19,0),IFERROR(VLOOKUP(A1494,'[2]UPDATE BILL 2018'!$E:$V,18,0),IFERROR(VLOOKUP(A1494,'[2]UPDATE BILL 2018'!$F:$V,17,0),IFERROR(VLOOKUP(A1494,'[2]UPDATE BILL 2018'!$G:$V,16,0),IFERROR(VLOOKUP(A1494,'[2]UPDATE BILL 2018'!$H:$V,15,0),IFERROR(VLOOKUP(A1494,'[2]UPDATE BILL 2018'!$I:$V,14,0),VLOOKUP(A1494,'[2]UPDATE BILL 2018'!$B:$V,21,0)))))))))</f>
        <v>AVRA C 1825N</v>
      </c>
      <c r="AD1494" s="14" t="s">
        <v>50</v>
      </c>
      <c r="AE1494" s="24" t="s">
        <v>3758</v>
      </c>
      <c r="AF1494" s="25" t="str">
        <f t="shared" si="133"/>
        <v>VW</v>
      </c>
      <c r="AG1494" t="e">
        <f t="shared" si="135"/>
        <v>#REF!</v>
      </c>
      <c r="AI1494" s="58"/>
    </row>
    <row r="1495" spans="1:35" ht="15.75" customHeight="1">
      <c r="A1495" s="6" t="s">
        <v>3751</v>
      </c>
      <c r="B1495" s="5">
        <v>111</v>
      </c>
      <c r="C1495" s="7">
        <v>11704.7</v>
      </c>
      <c r="D1495" s="7">
        <f t="shared" si="136"/>
        <v>0</v>
      </c>
      <c r="E1495" s="7">
        <v>0</v>
      </c>
      <c r="F1495" s="5">
        <v>0</v>
      </c>
      <c r="G1495" s="7">
        <v>0</v>
      </c>
      <c r="H1495" s="5">
        <v>0</v>
      </c>
      <c r="I1495" s="7">
        <v>0</v>
      </c>
      <c r="J1495" s="7">
        <v>0</v>
      </c>
      <c r="K1495" s="5">
        <v>0</v>
      </c>
      <c r="L1495" s="5">
        <v>0</v>
      </c>
      <c r="M1495" s="5">
        <v>0</v>
      </c>
      <c r="N1495" s="7">
        <f t="shared" si="137"/>
        <v>0</v>
      </c>
      <c r="O1495" s="7">
        <v>0</v>
      </c>
      <c r="P1495" s="7">
        <v>0</v>
      </c>
      <c r="Q1495" s="5">
        <v>0</v>
      </c>
      <c r="S1495" s="7">
        <v>0</v>
      </c>
      <c r="T1495" s="12">
        <v>43347</v>
      </c>
      <c r="U1495" s="4">
        <v>1</v>
      </c>
      <c r="V1495" s="4">
        <v>9</v>
      </c>
      <c r="W1495" s="4">
        <v>9</v>
      </c>
      <c r="X1495" s="45">
        <f t="shared" si="138"/>
        <v>11704.7</v>
      </c>
      <c r="Y1495" s="14" t="s">
        <v>54</v>
      </c>
      <c r="Z1495" s="14" t="s">
        <v>1492</v>
      </c>
      <c r="AA1495" s="14" t="str">
        <f>IFERROR(VLOOKUP(A1495,'[2]UPDATE BILL 2018'!$B:$P,15,0),IFERROR(VLOOKUP(A1495,'[2]UPDATE BILL 2018'!$C:$P,14,0),IFERROR(VLOOKUP(A1495,'[2]UPDATE BILL 2018'!$D:$P,13,0),IFERROR(VLOOKUP(A1495,'[2]UPDATE BILL 2018'!$E:$P,12,0),IFERROR(VLOOKUP(A1495,'[2]UPDATE BILL 2018'!$F:$P,11,0),IFERROR(VLOOKUP(A1495,'[2]UPDATE BILL 2018'!$G:$P,10,0),IFERROR(VLOOKUP(A1495,'[2]UPDATE BILL 2018'!$H:$P,9,0),IFERROR(VLOOKUP(A1495,'[2]UPDATE BILL 2018'!$I:$P,8,0),VLOOKUP(A1495,'[2]UPDATE BILL 2018'!$B:$P,15,0)))))))))</f>
        <v>SITWHPTK177116</v>
      </c>
      <c r="AB1495" s="44">
        <f>IFERROR(VLOOKUP(A1495,'[2]UPDATE BILL 2018'!$B:$T,19,0),IFERROR(VLOOKUP(A1495,'[2]UPDATE BILL 2018'!$C:$T,18,0),IFERROR(VLOOKUP(A1495,'[2]UPDATE BILL 2018'!$D:$T,17,0),IFERROR(VLOOKUP(A1495,'[2]UPDATE BILL 2018'!$E:$T,16,0),IFERROR(VLOOKUP(A1495,'[2]UPDATE BILL 2018'!$F:$T,15,0),IFERROR(VLOOKUP(A1495,'[2]UPDATE BILL 2018'!$G:$T,14,0),IFERROR(VLOOKUP(A1495,'[2]UPDATE BILL 2018'!$H:$T,13,0),IFERROR(VLOOKUP(A1495,'[2]UPDATE BILL 2018'!$I:$T,12,0),VLOOKUP(A1495,'[2]UPDATE BILL 2018'!$B:$T,19,0)))))))))</f>
        <v>43353</v>
      </c>
      <c r="AC1495" s="44" t="str">
        <f>IFERROR(VLOOKUP(A1495,'[2]UPDATE BILL 2018'!$B:$V,21,0),IFERROR(VLOOKUP(A1495,'[2]UPDATE BILL 2018'!$C:$V,20,0),IFERROR(VLOOKUP(A1495,'[2]UPDATE BILL 2018'!$D:$V,19,0),IFERROR(VLOOKUP(A1495,'[2]UPDATE BILL 2018'!$E:$V,18,0),IFERROR(VLOOKUP(A1495,'[2]UPDATE BILL 2018'!$F:$V,17,0),IFERROR(VLOOKUP(A1495,'[2]UPDATE BILL 2018'!$G:$V,16,0),IFERROR(VLOOKUP(A1495,'[2]UPDATE BILL 2018'!$H:$V,15,0),IFERROR(VLOOKUP(A1495,'[2]UPDATE BILL 2018'!$I:$V,14,0),VLOOKUP(A1495,'[2]UPDATE BILL 2018'!$B:$V,21,0)))))))))</f>
        <v>SITC NAGOYA 1825N</v>
      </c>
      <c r="AD1495" s="14" t="s">
        <v>49</v>
      </c>
      <c r="AE1495" s="24" t="s">
        <v>3759</v>
      </c>
      <c r="AF1495" s="25" t="str">
        <f t="shared" si="133"/>
        <v>VZ</v>
      </c>
      <c r="AG1495" t="e">
        <f t="shared" si="135"/>
        <v>#REF!</v>
      </c>
      <c r="AI1495" s="58"/>
    </row>
    <row r="1496" spans="1:35" ht="15.75" customHeight="1">
      <c r="A1496" s="6" t="s">
        <v>3761</v>
      </c>
      <c r="D1496" s="7">
        <f t="shared" si="136"/>
        <v>0</v>
      </c>
      <c r="E1496" s="7">
        <v>0</v>
      </c>
      <c r="F1496" s="5">
        <v>0</v>
      </c>
      <c r="G1496" s="7">
        <v>0</v>
      </c>
      <c r="H1496" s="5">
        <v>126</v>
      </c>
      <c r="I1496" s="7">
        <v>16116.81</v>
      </c>
      <c r="J1496" s="7">
        <v>0</v>
      </c>
      <c r="K1496" s="5">
        <v>0</v>
      </c>
      <c r="L1496" s="5">
        <v>0</v>
      </c>
      <c r="M1496" s="5">
        <v>0</v>
      </c>
      <c r="N1496" s="7">
        <f t="shared" si="137"/>
        <v>0</v>
      </c>
      <c r="O1496" s="7">
        <v>0</v>
      </c>
      <c r="P1496" s="7">
        <v>0</v>
      </c>
      <c r="Q1496" s="5">
        <v>0</v>
      </c>
      <c r="S1496" s="7">
        <v>0</v>
      </c>
      <c r="T1496" s="12">
        <v>43348</v>
      </c>
      <c r="U1496" s="4">
        <v>1</v>
      </c>
      <c r="V1496" s="4">
        <v>9</v>
      </c>
      <c r="W1496" s="4">
        <v>9</v>
      </c>
      <c r="X1496" s="45">
        <f t="shared" si="138"/>
        <v>16116.81</v>
      </c>
      <c r="Y1496" s="14" t="s">
        <v>54</v>
      </c>
      <c r="Z1496" s="14" t="s">
        <v>59</v>
      </c>
      <c r="AA1496" s="14" t="str">
        <f>IFERROR(VLOOKUP(A1496,'[2]UPDATE BILL 2018'!$B:$P,15,0),IFERROR(VLOOKUP(A1496,'[2]UPDATE BILL 2018'!$C:$P,14,0),IFERROR(VLOOKUP(A1496,'[2]UPDATE BILL 2018'!$D:$P,13,0),IFERROR(VLOOKUP(A1496,'[2]UPDATE BILL 2018'!$E:$P,12,0),IFERROR(VLOOKUP(A1496,'[2]UPDATE BILL 2018'!$F:$P,11,0),IFERROR(VLOOKUP(A1496,'[2]UPDATE BILL 2018'!$G:$P,10,0),IFERROR(VLOOKUP(A1496,'[2]UPDATE BILL 2018'!$H:$P,9,0),IFERROR(VLOOKUP(A1496,'[2]UPDATE BILL 2018'!$I:$P,8,0),VLOOKUP(A1496,'[2]UPDATE BILL 2018'!$B:$P,15,0)))))))))</f>
        <v>SITWHPTK177116</v>
      </c>
      <c r="AB1496" s="44">
        <f>IFERROR(VLOOKUP(A1496,'[2]UPDATE BILL 2018'!$B:$T,19,0),IFERROR(VLOOKUP(A1496,'[2]UPDATE BILL 2018'!$C:$T,18,0),IFERROR(VLOOKUP(A1496,'[2]UPDATE BILL 2018'!$D:$T,17,0),IFERROR(VLOOKUP(A1496,'[2]UPDATE BILL 2018'!$E:$T,16,0),IFERROR(VLOOKUP(A1496,'[2]UPDATE BILL 2018'!$F:$T,15,0),IFERROR(VLOOKUP(A1496,'[2]UPDATE BILL 2018'!$G:$T,14,0),IFERROR(VLOOKUP(A1496,'[2]UPDATE BILL 2018'!$H:$T,13,0),IFERROR(VLOOKUP(A1496,'[2]UPDATE BILL 2018'!$I:$T,12,0),VLOOKUP(A1496,'[2]UPDATE BILL 2018'!$B:$T,19,0)))))))))</f>
        <v>43353</v>
      </c>
      <c r="AC1496" s="44" t="str">
        <f>IFERROR(VLOOKUP(A1496,'[2]UPDATE BILL 2018'!$B:$V,21,0),IFERROR(VLOOKUP(A1496,'[2]UPDATE BILL 2018'!$C:$V,20,0),IFERROR(VLOOKUP(A1496,'[2]UPDATE BILL 2018'!$D:$V,19,0),IFERROR(VLOOKUP(A1496,'[2]UPDATE BILL 2018'!$E:$V,18,0),IFERROR(VLOOKUP(A1496,'[2]UPDATE BILL 2018'!$F:$V,17,0),IFERROR(VLOOKUP(A1496,'[2]UPDATE BILL 2018'!$G:$V,16,0),IFERROR(VLOOKUP(A1496,'[2]UPDATE BILL 2018'!$H:$V,15,0),IFERROR(VLOOKUP(A1496,'[2]UPDATE BILL 2018'!$I:$V,14,0),VLOOKUP(A1496,'[2]UPDATE BILL 2018'!$B:$V,21,0)))))))))</f>
        <v>SITC NAGOYA 1825N</v>
      </c>
      <c r="AD1496" s="14" t="s">
        <v>49</v>
      </c>
      <c r="AE1496" s="24" t="s">
        <v>3771</v>
      </c>
      <c r="AF1496" s="25" t="str">
        <f t="shared" si="133"/>
        <v>VK</v>
      </c>
      <c r="AG1496" t="e">
        <f t="shared" si="135"/>
        <v>#REF!</v>
      </c>
      <c r="AI1496" s="58"/>
    </row>
    <row r="1497" spans="1:35" ht="15.75" customHeight="1">
      <c r="A1497" s="6" t="s">
        <v>3762</v>
      </c>
      <c r="D1497" s="7">
        <f t="shared" si="136"/>
        <v>0</v>
      </c>
      <c r="E1497" s="7">
        <v>0</v>
      </c>
      <c r="F1497" s="5">
        <v>0</v>
      </c>
      <c r="G1497" s="7">
        <v>0</v>
      </c>
      <c r="H1497" s="5">
        <v>573</v>
      </c>
      <c r="I1497" s="7">
        <v>68313.09</v>
      </c>
      <c r="J1497" s="7">
        <v>0</v>
      </c>
      <c r="K1497" s="5">
        <v>0</v>
      </c>
      <c r="L1497" s="5">
        <v>0</v>
      </c>
      <c r="M1497" s="5">
        <v>0</v>
      </c>
      <c r="N1497" s="7">
        <f t="shared" si="137"/>
        <v>0</v>
      </c>
      <c r="O1497" s="7">
        <v>0</v>
      </c>
      <c r="P1497" s="7">
        <v>0</v>
      </c>
      <c r="Q1497" s="5">
        <v>0</v>
      </c>
      <c r="S1497" s="7">
        <v>0</v>
      </c>
      <c r="T1497" s="12">
        <v>43348</v>
      </c>
      <c r="U1497" s="4">
        <v>5</v>
      </c>
      <c r="V1497" s="4">
        <v>9</v>
      </c>
      <c r="W1497" s="4">
        <v>9</v>
      </c>
      <c r="X1497" s="45">
        <f t="shared" si="138"/>
        <v>68313.09</v>
      </c>
      <c r="Y1497" s="14" t="s">
        <v>56</v>
      </c>
      <c r="Z1497" s="14" t="s">
        <v>3376</v>
      </c>
      <c r="AA1497" s="14" t="str">
        <f>IFERROR(VLOOKUP(A1497,'[2]UPDATE BILL 2018'!$B:$P,15,0),IFERROR(VLOOKUP(A1497,'[2]UPDATE BILL 2018'!$C:$P,14,0),IFERROR(VLOOKUP(A1497,'[2]UPDATE BILL 2018'!$D:$P,13,0),IFERROR(VLOOKUP(A1497,'[2]UPDATE BILL 2018'!$E:$P,12,0),IFERROR(VLOOKUP(A1497,'[2]UPDATE BILL 2018'!$F:$P,11,0),IFERROR(VLOOKUP(A1497,'[2]UPDATE BILL 2018'!$G:$P,10,0),IFERROR(VLOOKUP(A1497,'[2]UPDATE BILL 2018'!$H:$P,9,0),IFERROR(VLOOKUP(A1497,'[2]UPDATE BILL 2018'!$I:$P,8,0),VLOOKUP(A1497,'[2]UPDATE BILL 2018'!$B:$P,15,0)))))))))</f>
        <v>1008X05152</v>
      </c>
      <c r="AB1497" s="44">
        <f>IFERROR(VLOOKUP(A1497,'[2]UPDATE BILL 2018'!$B:$T,19,0),IFERROR(VLOOKUP(A1497,'[2]UPDATE BILL 2018'!$C:$T,18,0),IFERROR(VLOOKUP(A1497,'[2]UPDATE BILL 2018'!$D:$T,17,0),IFERROR(VLOOKUP(A1497,'[2]UPDATE BILL 2018'!$E:$T,16,0),IFERROR(VLOOKUP(A1497,'[2]UPDATE BILL 2018'!$F:$T,15,0),IFERROR(VLOOKUP(A1497,'[2]UPDATE BILL 2018'!$G:$T,14,0),IFERROR(VLOOKUP(A1497,'[2]UPDATE BILL 2018'!$H:$T,13,0),IFERROR(VLOOKUP(A1497,'[2]UPDATE BILL 2018'!$I:$T,12,0),VLOOKUP(A1497,'[2]UPDATE BILL 2018'!$B:$T,19,0)))))))))</f>
        <v>43355</v>
      </c>
      <c r="AC1497" s="44" t="str">
        <f>IFERROR(VLOOKUP(A1497,'[2]UPDATE BILL 2018'!$B:$V,21,0),IFERROR(VLOOKUP(A1497,'[2]UPDATE BILL 2018'!$C:$V,20,0),IFERROR(VLOOKUP(A1497,'[2]UPDATE BILL 2018'!$D:$V,19,0),IFERROR(VLOOKUP(A1497,'[2]UPDATE BILL 2018'!$E:$V,18,0),IFERROR(VLOOKUP(A1497,'[2]UPDATE BILL 2018'!$F:$V,17,0),IFERROR(VLOOKUP(A1497,'[2]UPDATE BILL 2018'!$G:$V,16,0),IFERROR(VLOOKUP(A1497,'[2]UPDATE BILL 2018'!$H:$V,15,0),IFERROR(VLOOKUP(A1497,'[2]UPDATE BILL 2018'!$I:$V,14,0),VLOOKUP(A1497,'[2]UPDATE BILL 2018'!$B:$V,21,0)))))))))</f>
        <v>WAN HAI 266 N398</v>
      </c>
      <c r="AD1497" s="14" t="s">
        <v>49</v>
      </c>
      <c r="AE1497" s="24" t="s">
        <v>3772</v>
      </c>
      <c r="AF1497" s="25" t="str">
        <f t="shared" si="133"/>
        <v>VK</v>
      </c>
      <c r="AG1497" t="e">
        <f t="shared" si="135"/>
        <v>#REF!</v>
      </c>
      <c r="AI1497" s="58"/>
    </row>
    <row r="1498" spans="1:35" ht="15.75" customHeight="1">
      <c r="A1498" s="6" t="s">
        <v>3763</v>
      </c>
      <c r="D1498" s="7">
        <f t="shared" si="136"/>
        <v>0</v>
      </c>
      <c r="E1498" s="7">
        <v>0</v>
      </c>
      <c r="F1498" s="5">
        <v>0</v>
      </c>
      <c r="G1498" s="7">
        <v>0</v>
      </c>
      <c r="H1498" s="5">
        <v>95</v>
      </c>
      <c r="I1498" s="7">
        <v>12325.05</v>
      </c>
      <c r="J1498" s="7">
        <v>0</v>
      </c>
      <c r="K1498" s="5">
        <v>0</v>
      </c>
      <c r="L1498" s="5">
        <v>0</v>
      </c>
      <c r="M1498" s="5">
        <v>0</v>
      </c>
      <c r="N1498" s="7">
        <f t="shared" si="137"/>
        <v>0</v>
      </c>
      <c r="O1498" s="7">
        <v>0</v>
      </c>
      <c r="P1498" s="7">
        <v>0</v>
      </c>
      <c r="Q1498" s="5">
        <v>0</v>
      </c>
      <c r="R1498" s="5">
        <v>474</v>
      </c>
      <c r="S1498" s="7">
        <v>56506.8</v>
      </c>
      <c r="T1498" s="12">
        <v>43348</v>
      </c>
      <c r="U1498" s="4">
        <v>3</v>
      </c>
      <c r="V1498" s="4">
        <v>9</v>
      </c>
      <c r="W1498" s="4">
        <v>9</v>
      </c>
      <c r="X1498" s="45">
        <f t="shared" si="138"/>
        <v>68831.850000000006</v>
      </c>
      <c r="Y1498" s="14" t="s">
        <v>54</v>
      </c>
      <c r="Z1498" s="14" t="s">
        <v>3780</v>
      </c>
      <c r="AA1498" s="14" t="str">
        <f>IFERROR(VLOOKUP(A1498,'[2]UPDATE BILL 2018'!$B:$P,15,0),IFERROR(VLOOKUP(A1498,'[2]UPDATE BILL 2018'!$C:$P,14,0),IFERROR(VLOOKUP(A1498,'[2]UPDATE BILL 2018'!$D:$P,13,0),IFERROR(VLOOKUP(A1498,'[2]UPDATE BILL 2018'!$E:$P,12,0),IFERROR(VLOOKUP(A1498,'[2]UPDATE BILL 2018'!$F:$P,11,0),IFERROR(VLOOKUP(A1498,'[2]UPDATE BILL 2018'!$G:$P,10,0),IFERROR(VLOOKUP(A1498,'[2]UPDATE BILL 2018'!$H:$P,9,0),IFERROR(VLOOKUP(A1498,'[2]UPDATE BILL 2018'!$I:$P,8,0),VLOOKUP(A1498,'[2]UPDATE BILL 2018'!$B:$P,15,0)))))))))</f>
        <v>SITWHPHT177515</v>
      </c>
      <c r="AB1498" s="44">
        <f>IFERROR(VLOOKUP(A1498,'[2]UPDATE BILL 2018'!$B:$T,19,0),IFERROR(VLOOKUP(A1498,'[2]UPDATE BILL 2018'!$C:$T,18,0),IFERROR(VLOOKUP(A1498,'[2]UPDATE BILL 2018'!$D:$T,17,0),IFERROR(VLOOKUP(A1498,'[2]UPDATE BILL 2018'!$E:$T,16,0),IFERROR(VLOOKUP(A1498,'[2]UPDATE BILL 2018'!$F:$T,15,0),IFERROR(VLOOKUP(A1498,'[2]UPDATE BILL 2018'!$G:$T,14,0),IFERROR(VLOOKUP(A1498,'[2]UPDATE BILL 2018'!$H:$T,13,0),IFERROR(VLOOKUP(A1498,'[2]UPDATE BILL 2018'!$I:$T,12,0),VLOOKUP(A1498,'[2]UPDATE BILL 2018'!$B:$T,19,0)))))))))</f>
        <v>43352</v>
      </c>
      <c r="AC1498" s="44" t="str">
        <f>IFERROR(VLOOKUP(A1498,'[2]UPDATE BILL 2018'!$B:$V,21,0),IFERROR(VLOOKUP(A1498,'[2]UPDATE BILL 2018'!$C:$V,20,0),IFERROR(VLOOKUP(A1498,'[2]UPDATE BILL 2018'!$D:$V,19,0),IFERROR(VLOOKUP(A1498,'[2]UPDATE BILL 2018'!$E:$V,18,0),IFERROR(VLOOKUP(A1498,'[2]UPDATE BILL 2018'!$F:$V,17,0),IFERROR(VLOOKUP(A1498,'[2]UPDATE BILL 2018'!$G:$V,16,0),IFERROR(VLOOKUP(A1498,'[2]UPDATE BILL 2018'!$H:$V,15,0),IFERROR(VLOOKUP(A1498,'[2]UPDATE BILL 2018'!$I:$V,14,0),VLOOKUP(A1498,'[2]UPDATE BILL 2018'!$B:$V,21,0)))))))))</f>
        <v>SITC WEIHAI 1821N</v>
      </c>
      <c r="AD1498" s="14" t="s">
        <v>52</v>
      </c>
      <c r="AE1498" s="24" t="s">
        <v>3773</v>
      </c>
      <c r="AF1498" s="25" t="str">
        <f t="shared" si="133"/>
        <v>VQ</v>
      </c>
      <c r="AG1498" t="e">
        <f t="shared" si="135"/>
        <v>#REF!</v>
      </c>
      <c r="AI1498" s="58"/>
    </row>
    <row r="1499" spans="1:35" ht="15.75" customHeight="1">
      <c r="A1499" s="6" t="s">
        <v>3764</v>
      </c>
      <c r="B1499" s="5">
        <v>291</v>
      </c>
      <c r="C1499" s="7">
        <v>27526.499999999996</v>
      </c>
      <c r="D1499" s="7">
        <f t="shared" si="136"/>
        <v>0</v>
      </c>
      <c r="E1499" s="7">
        <v>0</v>
      </c>
      <c r="F1499" s="5">
        <v>0</v>
      </c>
      <c r="G1499" s="7">
        <v>0</v>
      </c>
      <c r="H1499" s="5">
        <v>115</v>
      </c>
      <c r="I1499" s="7">
        <v>13659.4</v>
      </c>
      <c r="J1499" s="7">
        <v>0</v>
      </c>
      <c r="K1499" s="5">
        <v>0</v>
      </c>
      <c r="L1499" s="5">
        <v>0</v>
      </c>
      <c r="M1499" s="5">
        <v>0</v>
      </c>
      <c r="N1499" s="7">
        <f t="shared" si="137"/>
        <v>0</v>
      </c>
      <c r="O1499" s="7">
        <v>0</v>
      </c>
      <c r="P1499" s="7">
        <v>0</v>
      </c>
      <c r="Q1499" s="5">
        <v>0</v>
      </c>
      <c r="S1499" s="7">
        <v>0</v>
      </c>
      <c r="T1499" s="12">
        <v>43348</v>
      </c>
      <c r="U1499" s="4">
        <v>4</v>
      </c>
      <c r="V1499" s="4">
        <v>9</v>
      </c>
      <c r="W1499" s="4">
        <v>9</v>
      </c>
      <c r="X1499" s="45">
        <f t="shared" si="138"/>
        <v>41185.899999999994</v>
      </c>
      <c r="Y1499" s="14" t="s">
        <v>56</v>
      </c>
      <c r="Z1499" s="14" t="s">
        <v>3780</v>
      </c>
      <c r="AA1499" s="14" t="str">
        <f>IFERROR(VLOOKUP(A1499,'[2]UPDATE BILL 2018'!$B:$P,15,0),IFERROR(VLOOKUP(A1499,'[2]UPDATE BILL 2018'!$C:$P,14,0),IFERROR(VLOOKUP(A1499,'[2]UPDATE BILL 2018'!$D:$P,13,0),IFERROR(VLOOKUP(A1499,'[2]UPDATE BILL 2018'!$E:$P,12,0),IFERROR(VLOOKUP(A1499,'[2]UPDATE BILL 2018'!$F:$P,11,0),IFERROR(VLOOKUP(A1499,'[2]UPDATE BILL 2018'!$G:$P,10,0),IFERROR(VLOOKUP(A1499,'[2]UPDATE BILL 2018'!$H:$P,9,0),IFERROR(VLOOKUP(A1499,'[2]UPDATE BILL 2018'!$I:$P,8,0),VLOOKUP(A1499,'[2]UPDATE BILL 2018'!$B:$P,15,0)))))))))</f>
        <v>1008X05175</v>
      </c>
      <c r="AB1499" s="44">
        <f>IFERROR(VLOOKUP(A1499,'[2]UPDATE BILL 2018'!$B:$T,19,0),IFERROR(VLOOKUP(A1499,'[2]UPDATE BILL 2018'!$C:$T,18,0),IFERROR(VLOOKUP(A1499,'[2]UPDATE BILL 2018'!$D:$T,17,0),IFERROR(VLOOKUP(A1499,'[2]UPDATE BILL 2018'!$E:$T,16,0),IFERROR(VLOOKUP(A1499,'[2]UPDATE BILL 2018'!$F:$T,15,0),IFERROR(VLOOKUP(A1499,'[2]UPDATE BILL 2018'!$G:$T,14,0),IFERROR(VLOOKUP(A1499,'[2]UPDATE BILL 2018'!$H:$T,13,0),IFERROR(VLOOKUP(A1499,'[2]UPDATE BILL 2018'!$I:$T,12,0),VLOOKUP(A1499,'[2]UPDATE BILL 2018'!$B:$T,19,0)))))))))</f>
        <v>43355</v>
      </c>
      <c r="AC1499" s="44" t="str">
        <f>IFERROR(VLOOKUP(A1499,'[2]UPDATE BILL 2018'!$B:$V,21,0),IFERROR(VLOOKUP(A1499,'[2]UPDATE BILL 2018'!$C:$V,20,0),IFERROR(VLOOKUP(A1499,'[2]UPDATE BILL 2018'!$D:$V,19,0),IFERROR(VLOOKUP(A1499,'[2]UPDATE BILL 2018'!$E:$V,18,0),IFERROR(VLOOKUP(A1499,'[2]UPDATE BILL 2018'!$F:$V,17,0),IFERROR(VLOOKUP(A1499,'[2]UPDATE BILL 2018'!$G:$V,16,0),IFERROR(VLOOKUP(A1499,'[2]UPDATE BILL 2018'!$H:$V,15,0),IFERROR(VLOOKUP(A1499,'[2]UPDATE BILL 2018'!$I:$V,14,0),VLOOKUP(A1499,'[2]UPDATE BILL 2018'!$B:$V,21,0)))))))))</f>
        <v>WAN HAI 203 N467</v>
      </c>
      <c r="AD1499" s="14" t="s">
        <v>52</v>
      </c>
      <c r="AE1499" s="24" t="s">
        <v>3774</v>
      </c>
      <c r="AF1499" s="25" t="str">
        <f t="shared" si="133"/>
        <v>VQ</v>
      </c>
      <c r="AG1499" t="e">
        <f t="shared" si="135"/>
        <v>#REF!</v>
      </c>
      <c r="AI1499" s="58"/>
    </row>
    <row r="1500" spans="1:35" ht="15.75" customHeight="1">
      <c r="A1500" s="6" t="s">
        <v>3765</v>
      </c>
      <c r="B1500" s="5">
        <v>268</v>
      </c>
      <c r="C1500" s="7">
        <v>25790.199999999993</v>
      </c>
      <c r="D1500" s="7">
        <f t="shared" si="136"/>
        <v>0</v>
      </c>
      <c r="E1500" s="7">
        <v>0</v>
      </c>
      <c r="F1500" s="5">
        <v>0</v>
      </c>
      <c r="G1500" s="7">
        <v>0</v>
      </c>
      <c r="H1500" s="5">
        <v>210</v>
      </c>
      <c r="I1500" s="7">
        <v>28006.320000000003</v>
      </c>
      <c r="J1500" s="7">
        <v>0</v>
      </c>
      <c r="K1500" s="5">
        <v>0</v>
      </c>
      <c r="L1500" s="5">
        <v>0</v>
      </c>
      <c r="M1500" s="5">
        <v>150</v>
      </c>
      <c r="N1500" s="7">
        <f t="shared" si="137"/>
        <v>150</v>
      </c>
      <c r="O1500" s="7">
        <v>28752</v>
      </c>
      <c r="P1500" s="7">
        <v>0</v>
      </c>
      <c r="Q1500" s="5">
        <v>0</v>
      </c>
      <c r="R1500" s="5">
        <v>329</v>
      </c>
      <c r="S1500" s="7">
        <v>48061</v>
      </c>
      <c r="T1500" s="12">
        <v>43348</v>
      </c>
      <c r="U1500" s="4">
        <v>9</v>
      </c>
      <c r="V1500" s="4">
        <v>9</v>
      </c>
      <c r="W1500" s="4">
        <v>9</v>
      </c>
      <c r="X1500" s="45">
        <f t="shared" si="138"/>
        <v>130609.51999999999</v>
      </c>
      <c r="Y1500" s="14" t="s">
        <v>56</v>
      </c>
      <c r="Z1500" s="14" t="s">
        <v>1281</v>
      </c>
      <c r="AA1500" s="14" t="str">
        <f>IFERROR(VLOOKUP(A1500,'[2]UPDATE BILL 2018'!$B:$P,15,0),IFERROR(VLOOKUP(A1500,'[2]UPDATE BILL 2018'!$C:$P,14,0),IFERROR(VLOOKUP(A1500,'[2]UPDATE BILL 2018'!$D:$P,13,0),IFERROR(VLOOKUP(A1500,'[2]UPDATE BILL 2018'!$E:$P,12,0),IFERROR(VLOOKUP(A1500,'[2]UPDATE BILL 2018'!$F:$P,11,0),IFERROR(VLOOKUP(A1500,'[2]UPDATE BILL 2018'!$G:$P,10,0),IFERROR(VLOOKUP(A1500,'[2]UPDATE BILL 2018'!$H:$P,9,0),IFERROR(VLOOKUP(A1500,'[2]UPDATE BILL 2018'!$I:$P,8,0),VLOOKUP(A1500,'[2]UPDATE BILL 2018'!$B:$P,15,0)))))))))</f>
        <v>1008X05088</v>
      </c>
      <c r="AB1500" s="44">
        <f>IFERROR(VLOOKUP(A1500,'[2]UPDATE BILL 2018'!$B:$T,19,0),IFERROR(VLOOKUP(A1500,'[2]UPDATE BILL 2018'!$C:$T,18,0),IFERROR(VLOOKUP(A1500,'[2]UPDATE BILL 2018'!$D:$T,17,0),IFERROR(VLOOKUP(A1500,'[2]UPDATE BILL 2018'!$E:$T,16,0),IFERROR(VLOOKUP(A1500,'[2]UPDATE BILL 2018'!$F:$T,15,0),IFERROR(VLOOKUP(A1500,'[2]UPDATE BILL 2018'!$G:$T,14,0),IFERROR(VLOOKUP(A1500,'[2]UPDATE BILL 2018'!$H:$T,13,0),IFERROR(VLOOKUP(A1500,'[2]UPDATE BILL 2018'!$I:$T,12,0),VLOOKUP(A1500,'[2]UPDATE BILL 2018'!$B:$T,19,0)))))))))</f>
        <v>43351</v>
      </c>
      <c r="AC1500" s="44" t="str">
        <f>IFERROR(VLOOKUP(A1500,'[2]UPDATE BILL 2018'!$B:$V,21,0),IFERROR(VLOOKUP(A1500,'[2]UPDATE BILL 2018'!$C:$V,20,0),IFERROR(VLOOKUP(A1500,'[2]UPDATE BILL 2018'!$D:$V,19,0),IFERROR(VLOOKUP(A1500,'[2]UPDATE BILL 2018'!$E:$V,18,0),IFERROR(VLOOKUP(A1500,'[2]UPDATE BILL 2018'!$F:$V,17,0),IFERROR(VLOOKUP(A1500,'[2]UPDATE BILL 2018'!$G:$V,16,0),IFERROR(VLOOKUP(A1500,'[2]UPDATE BILL 2018'!$H:$V,15,0),IFERROR(VLOOKUP(A1500,'[2]UPDATE BILL 2018'!$I:$V,14,0),VLOOKUP(A1500,'[2]UPDATE BILL 2018'!$B:$V,21,0)))))))))</f>
        <v xml:space="preserve"> PAOLA N029</v>
      </c>
      <c r="AD1500" s="14" t="s">
        <v>51</v>
      </c>
      <c r="AE1500" s="24" t="s">
        <v>3775</v>
      </c>
      <c r="AF1500" s="25" t="str">
        <f t="shared" si="133"/>
        <v>VS</v>
      </c>
      <c r="AG1500" t="e">
        <f t="shared" si="135"/>
        <v>#REF!</v>
      </c>
      <c r="AI1500" s="58"/>
    </row>
    <row r="1501" spans="1:35" ht="15.75" customHeight="1">
      <c r="A1501" s="6" t="s">
        <v>3766</v>
      </c>
      <c r="B1501" s="5">
        <v>80</v>
      </c>
      <c r="C1501" s="7">
        <v>7016</v>
      </c>
      <c r="D1501" s="7">
        <f t="shared" si="136"/>
        <v>0</v>
      </c>
      <c r="E1501" s="7">
        <v>0</v>
      </c>
      <c r="F1501" s="5">
        <v>0</v>
      </c>
      <c r="G1501" s="7">
        <v>0</v>
      </c>
      <c r="H1501" s="5">
        <v>0</v>
      </c>
      <c r="I1501" s="7">
        <v>0</v>
      </c>
      <c r="J1501" s="7">
        <v>0</v>
      </c>
      <c r="K1501" s="5">
        <v>0</v>
      </c>
      <c r="L1501" s="5">
        <v>0</v>
      </c>
      <c r="M1501" s="5">
        <v>0</v>
      </c>
      <c r="N1501" s="7">
        <f t="shared" si="137"/>
        <v>0</v>
      </c>
      <c r="O1501" s="7">
        <v>0</v>
      </c>
      <c r="P1501" s="7">
        <v>0</v>
      </c>
      <c r="Q1501" s="5">
        <v>0</v>
      </c>
      <c r="S1501" s="7">
        <v>0</v>
      </c>
      <c r="T1501" s="12">
        <v>43348</v>
      </c>
      <c r="U1501" s="4">
        <v>1</v>
      </c>
      <c r="V1501" s="4">
        <v>9</v>
      </c>
      <c r="W1501" s="4">
        <v>9</v>
      </c>
      <c r="X1501" s="45">
        <f t="shared" si="138"/>
        <v>7016</v>
      </c>
      <c r="Y1501" s="14" t="s">
        <v>54</v>
      </c>
      <c r="Z1501" s="14" t="s">
        <v>59</v>
      </c>
      <c r="AA1501" s="14" t="str">
        <f>IFERROR(VLOOKUP(A1501,'[2]UPDATE BILL 2018'!$B:$P,15,0),IFERROR(VLOOKUP(A1501,'[2]UPDATE BILL 2018'!$C:$P,14,0),IFERROR(VLOOKUP(A1501,'[2]UPDATE BILL 2018'!$D:$P,13,0),IFERROR(VLOOKUP(A1501,'[2]UPDATE BILL 2018'!$E:$P,12,0),IFERROR(VLOOKUP(A1501,'[2]UPDATE BILL 2018'!$F:$P,11,0),IFERROR(VLOOKUP(A1501,'[2]UPDATE BILL 2018'!$G:$P,10,0),IFERROR(VLOOKUP(A1501,'[2]UPDATE BILL 2018'!$H:$P,9,0),IFERROR(VLOOKUP(A1501,'[2]UPDATE BILL 2018'!$I:$P,8,0),VLOOKUP(A1501,'[2]UPDATE BILL 2018'!$B:$P,15,0)))))))))</f>
        <v>SITWHPOS177873</v>
      </c>
      <c r="AB1501" s="44">
        <f>IFERROR(VLOOKUP(A1501,'[2]UPDATE BILL 2018'!$B:$T,19,0),IFERROR(VLOOKUP(A1501,'[2]UPDATE BILL 2018'!$C:$T,18,0),IFERROR(VLOOKUP(A1501,'[2]UPDATE BILL 2018'!$D:$T,17,0),IFERROR(VLOOKUP(A1501,'[2]UPDATE BILL 2018'!$E:$T,16,0),IFERROR(VLOOKUP(A1501,'[2]UPDATE BILL 2018'!$F:$T,15,0),IFERROR(VLOOKUP(A1501,'[2]UPDATE BILL 2018'!$G:$T,14,0),IFERROR(VLOOKUP(A1501,'[2]UPDATE BILL 2018'!$H:$T,13,0),IFERROR(VLOOKUP(A1501,'[2]UPDATE BILL 2018'!$I:$T,12,0),VLOOKUP(A1501,'[2]UPDATE BILL 2018'!$B:$T,19,0)))))))))</f>
        <v>43357</v>
      </c>
      <c r="AC1501" s="44" t="str">
        <f>IFERROR(VLOOKUP(A1501,'[2]UPDATE BILL 2018'!$B:$V,21,0),IFERROR(VLOOKUP(A1501,'[2]UPDATE BILL 2018'!$C:$V,20,0),IFERROR(VLOOKUP(A1501,'[2]UPDATE BILL 2018'!$D:$V,19,0),IFERROR(VLOOKUP(A1501,'[2]UPDATE BILL 2018'!$E:$V,18,0),IFERROR(VLOOKUP(A1501,'[2]UPDATE BILL 2018'!$F:$V,17,0),IFERROR(VLOOKUP(A1501,'[2]UPDATE BILL 2018'!$G:$V,16,0),IFERROR(VLOOKUP(A1501,'[2]UPDATE BILL 2018'!$H:$V,15,0),IFERROR(VLOOKUP(A1501,'[2]UPDATE BILL 2018'!$I:$V,14,0),VLOOKUP(A1501,'[2]UPDATE BILL 2018'!$B:$V,21,0)))))))))</f>
        <v>REFLECTION 1825N</v>
      </c>
      <c r="AD1501" s="14" t="s">
        <v>51</v>
      </c>
      <c r="AE1501" s="24" t="s">
        <v>3776</v>
      </c>
      <c r="AF1501" s="25" t="str">
        <f t="shared" si="133"/>
        <v>VS</v>
      </c>
      <c r="AG1501" t="e">
        <f t="shared" si="135"/>
        <v>#REF!</v>
      </c>
      <c r="AI1501" s="58"/>
    </row>
    <row r="1502" spans="1:35" ht="15.75" customHeight="1">
      <c r="A1502" s="6" t="s">
        <v>3767</v>
      </c>
      <c r="D1502" s="7">
        <f t="shared" si="136"/>
        <v>0</v>
      </c>
      <c r="E1502" s="7">
        <v>0</v>
      </c>
      <c r="F1502" s="5">
        <v>0</v>
      </c>
      <c r="G1502" s="7">
        <v>0</v>
      </c>
      <c r="H1502" s="5">
        <v>115</v>
      </c>
      <c r="I1502" s="7">
        <v>12992.7</v>
      </c>
      <c r="J1502" s="7">
        <v>0</v>
      </c>
      <c r="K1502" s="5">
        <v>0</v>
      </c>
      <c r="L1502" s="5">
        <v>0</v>
      </c>
      <c r="M1502" s="5">
        <v>0</v>
      </c>
      <c r="N1502" s="7">
        <f t="shared" si="137"/>
        <v>0</v>
      </c>
      <c r="O1502" s="7">
        <v>0</v>
      </c>
      <c r="P1502" s="7">
        <v>0</v>
      </c>
      <c r="Q1502" s="5">
        <v>0</v>
      </c>
      <c r="S1502" s="7">
        <v>0</v>
      </c>
      <c r="T1502" s="12">
        <v>43348</v>
      </c>
      <c r="U1502" s="4">
        <v>1</v>
      </c>
      <c r="V1502" s="4">
        <v>9</v>
      </c>
      <c r="W1502" s="4">
        <v>9</v>
      </c>
      <c r="X1502" s="45">
        <f t="shared" si="138"/>
        <v>12992.7</v>
      </c>
      <c r="Y1502" s="14" t="s">
        <v>56</v>
      </c>
      <c r="Z1502" s="14" t="s">
        <v>1281</v>
      </c>
      <c r="AA1502" s="14" t="str">
        <f>IFERROR(VLOOKUP(A1502,'[2]UPDATE BILL 2018'!$B:$P,15,0),IFERROR(VLOOKUP(A1502,'[2]UPDATE BILL 2018'!$C:$P,14,0),IFERROR(VLOOKUP(A1502,'[2]UPDATE BILL 2018'!$D:$P,13,0),IFERROR(VLOOKUP(A1502,'[2]UPDATE BILL 2018'!$E:$P,12,0),IFERROR(VLOOKUP(A1502,'[2]UPDATE BILL 2018'!$F:$P,11,0),IFERROR(VLOOKUP(A1502,'[2]UPDATE BILL 2018'!$G:$P,10,0),IFERROR(VLOOKUP(A1502,'[2]UPDATE BILL 2018'!$H:$P,9,0),IFERROR(VLOOKUP(A1502,'[2]UPDATE BILL 2018'!$I:$P,8,0),VLOOKUP(A1502,'[2]UPDATE BILL 2018'!$B:$P,15,0)))))))))</f>
        <v>1008X05153</v>
      </c>
      <c r="AB1502" s="44">
        <f>IFERROR(VLOOKUP(A1502,'[2]UPDATE BILL 2018'!$B:$T,19,0),IFERROR(VLOOKUP(A1502,'[2]UPDATE BILL 2018'!$C:$T,18,0),IFERROR(VLOOKUP(A1502,'[2]UPDATE BILL 2018'!$D:$T,17,0),IFERROR(VLOOKUP(A1502,'[2]UPDATE BILL 2018'!$E:$T,16,0),IFERROR(VLOOKUP(A1502,'[2]UPDATE BILL 2018'!$F:$T,15,0),IFERROR(VLOOKUP(A1502,'[2]UPDATE BILL 2018'!$G:$T,14,0),IFERROR(VLOOKUP(A1502,'[2]UPDATE BILL 2018'!$H:$T,13,0),IFERROR(VLOOKUP(A1502,'[2]UPDATE BILL 2018'!$I:$T,12,0),VLOOKUP(A1502,'[2]UPDATE BILL 2018'!$B:$T,19,0)))))))))</f>
        <v>43355</v>
      </c>
      <c r="AC1502" s="44" t="str">
        <f>IFERROR(VLOOKUP(A1502,'[2]UPDATE BILL 2018'!$B:$V,21,0),IFERROR(VLOOKUP(A1502,'[2]UPDATE BILL 2018'!$C:$V,20,0),IFERROR(VLOOKUP(A1502,'[2]UPDATE BILL 2018'!$D:$V,19,0),IFERROR(VLOOKUP(A1502,'[2]UPDATE BILL 2018'!$E:$V,18,0),IFERROR(VLOOKUP(A1502,'[2]UPDATE BILL 2018'!$F:$V,17,0),IFERROR(VLOOKUP(A1502,'[2]UPDATE BILL 2018'!$G:$V,16,0),IFERROR(VLOOKUP(A1502,'[2]UPDATE BILL 2018'!$H:$V,15,0),IFERROR(VLOOKUP(A1502,'[2]UPDATE BILL 2018'!$I:$V,14,0),VLOOKUP(A1502,'[2]UPDATE BILL 2018'!$B:$V,21,0)))))))))</f>
        <v>WAN HAI 266 N398</v>
      </c>
      <c r="AD1502" s="14" t="s">
        <v>51</v>
      </c>
      <c r="AE1502" s="24" t="s">
        <v>3777</v>
      </c>
      <c r="AF1502" s="25" t="str">
        <f t="shared" si="133"/>
        <v>VS</v>
      </c>
      <c r="AG1502" t="e">
        <f t="shared" si="135"/>
        <v>#REF!</v>
      </c>
      <c r="AI1502" s="58"/>
    </row>
    <row r="1503" spans="1:35" ht="15.75" customHeight="1">
      <c r="A1503" s="6" t="s">
        <v>3768</v>
      </c>
      <c r="D1503" s="7">
        <f t="shared" si="136"/>
        <v>0</v>
      </c>
      <c r="E1503" s="7">
        <v>0</v>
      </c>
      <c r="F1503" s="5">
        <v>0</v>
      </c>
      <c r="G1503" s="7">
        <v>0</v>
      </c>
      <c r="H1503" s="5">
        <v>0</v>
      </c>
      <c r="I1503" s="7">
        <v>0</v>
      </c>
      <c r="J1503" s="7">
        <v>0</v>
      </c>
      <c r="K1503" s="5">
        <v>0</v>
      </c>
      <c r="L1503" s="5">
        <v>0</v>
      </c>
      <c r="M1503" s="5">
        <v>0</v>
      </c>
      <c r="N1503" s="7">
        <f t="shared" si="137"/>
        <v>0</v>
      </c>
      <c r="O1503" s="7">
        <v>0</v>
      </c>
      <c r="P1503" s="7">
        <v>0</v>
      </c>
      <c r="Q1503" s="5">
        <v>0</v>
      </c>
      <c r="R1503" s="5">
        <v>92</v>
      </c>
      <c r="S1503" s="7">
        <v>11963</v>
      </c>
      <c r="T1503" s="12">
        <v>43348</v>
      </c>
      <c r="U1503" s="4">
        <v>1</v>
      </c>
      <c r="V1503" s="4">
        <v>9</v>
      </c>
      <c r="W1503" s="4">
        <v>9</v>
      </c>
      <c r="X1503" s="45">
        <f t="shared" si="138"/>
        <v>11963</v>
      </c>
      <c r="Y1503" s="14" t="s">
        <v>85</v>
      </c>
      <c r="Z1503" s="14" t="s">
        <v>1492</v>
      </c>
      <c r="AA1503" s="14">
        <f>IFERROR(VLOOKUP(A1503,'[2]UPDATE BILL 2018'!$B:$P,15,0),IFERROR(VLOOKUP(A1503,'[2]UPDATE BILL 2018'!$C:$P,14,0),IFERROR(VLOOKUP(A1503,'[2]UPDATE BILL 2018'!$D:$P,13,0),IFERROR(VLOOKUP(A1503,'[2]UPDATE BILL 2018'!$E:$P,12,0),IFERROR(VLOOKUP(A1503,'[2]UPDATE BILL 2018'!$F:$P,11,0),IFERROR(VLOOKUP(A1503,'[2]UPDATE BILL 2018'!$G:$P,10,0),IFERROR(VLOOKUP(A1503,'[2]UPDATE BILL 2018'!$H:$P,9,0),IFERROR(VLOOKUP(A1503,'[2]UPDATE BILL 2018'!$I:$P,8,0),VLOOKUP(A1503,'[2]UPDATE BILL 2018'!$B:$P,15,0)))))))))</f>
        <v>350810106660</v>
      </c>
      <c r="AB1503" s="44">
        <f>IFERROR(VLOOKUP(A1503,'[2]UPDATE BILL 2018'!$B:$T,19,0),IFERROR(VLOOKUP(A1503,'[2]UPDATE BILL 2018'!$C:$T,18,0),IFERROR(VLOOKUP(A1503,'[2]UPDATE BILL 2018'!$D:$T,17,0),IFERROR(VLOOKUP(A1503,'[2]UPDATE BILL 2018'!$E:$T,16,0),IFERROR(VLOOKUP(A1503,'[2]UPDATE BILL 2018'!$F:$T,15,0),IFERROR(VLOOKUP(A1503,'[2]UPDATE BILL 2018'!$G:$T,14,0),IFERROR(VLOOKUP(A1503,'[2]UPDATE BILL 2018'!$H:$T,13,0),IFERROR(VLOOKUP(A1503,'[2]UPDATE BILL 2018'!$I:$T,12,0),VLOOKUP(A1503,'[2]UPDATE BILL 2018'!$B:$T,19,0)))))))))</f>
        <v>43353</v>
      </c>
      <c r="AC1503" s="44" t="str">
        <f>IFERROR(VLOOKUP(A1503,'[2]UPDATE BILL 2018'!$B:$V,21,0),IFERROR(VLOOKUP(A1503,'[2]UPDATE BILL 2018'!$C:$V,20,0),IFERROR(VLOOKUP(A1503,'[2]UPDATE BILL 2018'!$D:$V,19,0),IFERROR(VLOOKUP(A1503,'[2]UPDATE BILL 2018'!$E:$V,18,0),IFERROR(VLOOKUP(A1503,'[2]UPDATE BILL 2018'!$F:$V,17,0),IFERROR(VLOOKUP(A1503,'[2]UPDATE BILL 2018'!$G:$V,16,0),IFERROR(VLOOKUP(A1503,'[2]UPDATE BILL 2018'!$H:$V,15,0),IFERROR(VLOOKUP(A1503,'[2]UPDATE BILL 2018'!$I:$V,14,0),VLOOKUP(A1503,'[2]UPDATE BILL 2018'!$B:$V,21,0)))))))))</f>
        <v>ULTIMA 18002N</v>
      </c>
      <c r="AD1503" s="14" t="s">
        <v>600</v>
      </c>
      <c r="AE1503" s="24" t="s">
        <v>3717</v>
      </c>
      <c r="AF1503" s="25" t="s">
        <v>2373</v>
      </c>
      <c r="AG1503" t="e">
        <f t="shared" si="135"/>
        <v>#N/A</v>
      </c>
      <c r="AI1503" s="58"/>
    </row>
    <row r="1504" spans="1:35" ht="15.75" customHeight="1">
      <c r="A1504" s="6" t="s">
        <v>3769</v>
      </c>
      <c r="B1504" s="5">
        <v>418</v>
      </c>
      <c r="C1504" s="7">
        <v>29950.799999999999</v>
      </c>
      <c r="D1504" s="7">
        <f t="shared" si="136"/>
        <v>0</v>
      </c>
      <c r="E1504" s="7">
        <v>0</v>
      </c>
      <c r="F1504" s="5">
        <v>0</v>
      </c>
      <c r="G1504" s="7">
        <v>0</v>
      </c>
      <c r="H1504" s="5">
        <v>0</v>
      </c>
      <c r="I1504" s="7">
        <v>0</v>
      </c>
      <c r="J1504" s="7">
        <v>0</v>
      </c>
      <c r="K1504" s="5">
        <v>0</v>
      </c>
      <c r="L1504" s="5">
        <v>0</v>
      </c>
      <c r="M1504" s="5">
        <v>110</v>
      </c>
      <c r="N1504" s="7">
        <f t="shared" si="137"/>
        <v>110</v>
      </c>
      <c r="O1504" s="7">
        <v>20323.699999999997</v>
      </c>
      <c r="P1504" s="7">
        <v>0</v>
      </c>
      <c r="Q1504" s="5">
        <v>0</v>
      </c>
      <c r="R1504" s="5">
        <v>573</v>
      </c>
      <c r="S1504" s="7">
        <v>104044.8</v>
      </c>
      <c r="T1504" s="12">
        <v>43348</v>
      </c>
      <c r="U1504" s="4">
        <v>7</v>
      </c>
      <c r="V1504" s="4">
        <v>9</v>
      </c>
      <c r="W1504" s="4">
        <v>9</v>
      </c>
      <c r="X1504" s="45">
        <f t="shared" si="138"/>
        <v>154319.29999999999</v>
      </c>
      <c r="Y1504" s="14" t="s">
        <v>54</v>
      </c>
      <c r="Z1504" s="14" t="s">
        <v>57</v>
      </c>
      <c r="AA1504" s="14" t="str">
        <f>IFERROR(VLOOKUP(A1504,'[2]UPDATE BILL 2018'!$B:$P,15,0),IFERROR(VLOOKUP(A1504,'[2]UPDATE BILL 2018'!$C:$P,14,0),IFERROR(VLOOKUP(A1504,'[2]UPDATE BILL 2018'!$D:$P,13,0),IFERROR(VLOOKUP(A1504,'[2]UPDATE BILL 2018'!$E:$P,12,0),IFERROR(VLOOKUP(A1504,'[2]UPDATE BILL 2018'!$F:$P,11,0),IFERROR(VLOOKUP(A1504,'[2]UPDATE BILL 2018'!$G:$P,10,0),IFERROR(VLOOKUP(A1504,'[2]UPDATE BILL 2018'!$H:$P,9,0),IFERROR(VLOOKUP(A1504,'[2]UPDATE BILL 2018'!$I:$P,8,0),VLOOKUP(A1504,'[2]UPDATE BILL 2018'!$B:$P,15,0)))))))))</f>
        <v>SITWHPKW177123</v>
      </c>
      <c r="AB1504" s="44">
        <f>IFERROR(VLOOKUP(A1504,'[2]UPDATE BILL 2018'!$B:$T,19,0),IFERROR(VLOOKUP(A1504,'[2]UPDATE BILL 2018'!$C:$T,18,0),IFERROR(VLOOKUP(A1504,'[2]UPDATE BILL 2018'!$D:$T,17,0),IFERROR(VLOOKUP(A1504,'[2]UPDATE BILL 2018'!$E:$T,16,0),IFERROR(VLOOKUP(A1504,'[2]UPDATE BILL 2018'!$F:$T,15,0),IFERROR(VLOOKUP(A1504,'[2]UPDATE BILL 2018'!$G:$T,14,0),IFERROR(VLOOKUP(A1504,'[2]UPDATE BILL 2018'!$H:$T,13,0),IFERROR(VLOOKUP(A1504,'[2]UPDATE BILL 2018'!$I:$T,12,0),VLOOKUP(A1504,'[2]UPDATE BILL 2018'!$B:$T,19,0)))))))))</f>
        <v>43353</v>
      </c>
      <c r="AC1504" s="44" t="str">
        <f>IFERROR(VLOOKUP(A1504,'[2]UPDATE BILL 2018'!$B:$V,21,0),IFERROR(VLOOKUP(A1504,'[2]UPDATE BILL 2018'!$C:$V,20,0),IFERROR(VLOOKUP(A1504,'[2]UPDATE BILL 2018'!$D:$V,19,0),IFERROR(VLOOKUP(A1504,'[2]UPDATE BILL 2018'!$E:$V,18,0),IFERROR(VLOOKUP(A1504,'[2]UPDATE BILL 2018'!$F:$V,17,0),IFERROR(VLOOKUP(A1504,'[2]UPDATE BILL 2018'!$G:$V,16,0),IFERROR(VLOOKUP(A1504,'[2]UPDATE BILL 2018'!$H:$V,15,0),IFERROR(VLOOKUP(A1504,'[2]UPDATE BILL 2018'!$I:$V,14,0),VLOOKUP(A1504,'[2]UPDATE BILL 2018'!$B:$V,21,0)))))))))</f>
        <v>SITC NAGOYA 1825N</v>
      </c>
      <c r="AD1504" s="14" t="s">
        <v>50</v>
      </c>
      <c r="AE1504" s="24" t="s">
        <v>3778</v>
      </c>
      <c r="AF1504" s="25" t="str">
        <f t="shared" si="133"/>
        <v>VW</v>
      </c>
      <c r="AG1504" t="e">
        <f t="shared" si="135"/>
        <v>#REF!</v>
      </c>
      <c r="AI1504" s="58"/>
    </row>
    <row r="1505" spans="1:35" ht="15.75" customHeight="1">
      <c r="A1505" s="6" t="s">
        <v>3770</v>
      </c>
      <c r="B1505" s="5">
        <v>334</v>
      </c>
      <c r="C1505" s="7">
        <v>37113</v>
      </c>
      <c r="D1505" s="7">
        <f t="shared" si="136"/>
        <v>0</v>
      </c>
      <c r="E1505" s="7">
        <v>0</v>
      </c>
      <c r="F1505" s="5">
        <v>0</v>
      </c>
      <c r="G1505" s="7">
        <v>0</v>
      </c>
      <c r="H1505" s="5">
        <v>0</v>
      </c>
      <c r="I1505" s="7">
        <v>0</v>
      </c>
      <c r="J1505" s="7">
        <v>0</v>
      </c>
      <c r="K1505" s="5">
        <v>0</v>
      </c>
      <c r="L1505" s="5">
        <v>0</v>
      </c>
      <c r="M1505" s="5">
        <v>53</v>
      </c>
      <c r="N1505" s="7">
        <f t="shared" si="137"/>
        <v>53</v>
      </c>
      <c r="O1505" s="7">
        <v>8699.6</v>
      </c>
      <c r="P1505" s="7">
        <v>0</v>
      </c>
      <c r="Q1505" s="5">
        <v>0</v>
      </c>
      <c r="R1505" s="5">
        <v>141</v>
      </c>
      <c r="S1505" s="7">
        <v>33297.199999999997</v>
      </c>
      <c r="T1505" s="12">
        <v>43348</v>
      </c>
      <c r="U1505" s="4">
        <v>6</v>
      </c>
      <c r="V1505" s="4">
        <v>9</v>
      </c>
      <c r="W1505" s="4">
        <v>9</v>
      </c>
      <c r="X1505" s="45">
        <f t="shared" si="138"/>
        <v>79109.799999999988</v>
      </c>
      <c r="Y1505" s="14" t="s">
        <v>54</v>
      </c>
      <c r="Z1505" s="14" t="s">
        <v>59</v>
      </c>
      <c r="AA1505" s="14" t="str">
        <f>IFERROR(VLOOKUP(A1505,'[2]UPDATE BILL 2018'!$B:$P,15,0),IFERROR(VLOOKUP(A1505,'[2]UPDATE BILL 2018'!$C:$P,14,0),IFERROR(VLOOKUP(A1505,'[2]UPDATE BILL 2018'!$D:$P,13,0),IFERROR(VLOOKUP(A1505,'[2]UPDATE BILL 2018'!$E:$P,12,0),IFERROR(VLOOKUP(A1505,'[2]UPDATE BILL 2018'!$F:$P,11,0),IFERROR(VLOOKUP(A1505,'[2]UPDATE BILL 2018'!$G:$P,10,0),IFERROR(VLOOKUP(A1505,'[2]UPDATE BILL 2018'!$H:$P,9,0),IFERROR(VLOOKUP(A1505,'[2]UPDATE BILL 2018'!$I:$P,8,0),VLOOKUP(A1505,'[2]UPDATE BILL 2018'!$B:$P,15,0)))))))))</f>
        <v>SITWHPKW177123</v>
      </c>
      <c r="AB1505" s="44">
        <f>IFERROR(VLOOKUP(A1505,'[2]UPDATE BILL 2018'!$B:$T,19,0),IFERROR(VLOOKUP(A1505,'[2]UPDATE BILL 2018'!$C:$T,18,0),IFERROR(VLOOKUP(A1505,'[2]UPDATE BILL 2018'!$D:$T,17,0),IFERROR(VLOOKUP(A1505,'[2]UPDATE BILL 2018'!$E:$T,16,0),IFERROR(VLOOKUP(A1505,'[2]UPDATE BILL 2018'!$F:$T,15,0),IFERROR(VLOOKUP(A1505,'[2]UPDATE BILL 2018'!$G:$T,14,0),IFERROR(VLOOKUP(A1505,'[2]UPDATE BILL 2018'!$H:$T,13,0),IFERROR(VLOOKUP(A1505,'[2]UPDATE BILL 2018'!$I:$T,12,0),VLOOKUP(A1505,'[2]UPDATE BILL 2018'!$B:$T,19,0)))))))))</f>
        <v>43353</v>
      </c>
      <c r="AC1505" s="44" t="str">
        <f>IFERROR(VLOOKUP(A1505,'[2]UPDATE BILL 2018'!$B:$V,21,0),IFERROR(VLOOKUP(A1505,'[2]UPDATE BILL 2018'!$C:$V,20,0),IFERROR(VLOOKUP(A1505,'[2]UPDATE BILL 2018'!$D:$V,19,0),IFERROR(VLOOKUP(A1505,'[2]UPDATE BILL 2018'!$E:$V,18,0),IFERROR(VLOOKUP(A1505,'[2]UPDATE BILL 2018'!$F:$V,17,0),IFERROR(VLOOKUP(A1505,'[2]UPDATE BILL 2018'!$G:$V,16,0),IFERROR(VLOOKUP(A1505,'[2]UPDATE BILL 2018'!$H:$V,15,0),IFERROR(VLOOKUP(A1505,'[2]UPDATE BILL 2018'!$I:$V,14,0),VLOOKUP(A1505,'[2]UPDATE BILL 2018'!$B:$V,21,0)))))))))</f>
        <v>SITC NAGOYA 1825N</v>
      </c>
      <c r="AD1505" s="14" t="s">
        <v>50</v>
      </c>
      <c r="AE1505" s="24" t="s">
        <v>3779</v>
      </c>
      <c r="AF1505" s="25" t="str">
        <f t="shared" si="133"/>
        <v>VW</v>
      </c>
      <c r="AG1505" t="e">
        <f t="shared" si="135"/>
        <v>#REF!</v>
      </c>
      <c r="AI1505" s="58"/>
    </row>
    <row r="1506" spans="1:35" ht="15.75" customHeight="1">
      <c r="A1506" s="6" t="s">
        <v>3781</v>
      </c>
      <c r="B1506" s="5">
        <v>144</v>
      </c>
      <c r="C1506" s="7">
        <v>13207.599999999999</v>
      </c>
      <c r="D1506" s="7">
        <f t="shared" si="136"/>
        <v>0</v>
      </c>
      <c r="E1506" s="7">
        <v>0</v>
      </c>
      <c r="F1506" s="5">
        <v>0</v>
      </c>
      <c r="G1506" s="7">
        <v>0</v>
      </c>
      <c r="H1506" s="5">
        <v>195</v>
      </c>
      <c r="I1506" s="7">
        <v>23602.25</v>
      </c>
      <c r="J1506" s="7">
        <v>0</v>
      </c>
      <c r="K1506" s="5">
        <v>0</v>
      </c>
      <c r="L1506" s="5">
        <v>0</v>
      </c>
      <c r="M1506" s="5">
        <v>0</v>
      </c>
      <c r="N1506" s="7">
        <f t="shared" si="137"/>
        <v>0</v>
      </c>
      <c r="O1506" s="7">
        <v>0</v>
      </c>
      <c r="P1506" s="7">
        <v>0</v>
      </c>
      <c r="Q1506" s="5">
        <v>0</v>
      </c>
      <c r="S1506" s="7">
        <v>0</v>
      </c>
      <c r="T1506" s="12">
        <v>43349</v>
      </c>
      <c r="U1506" s="4">
        <v>3</v>
      </c>
      <c r="V1506" s="4">
        <v>9</v>
      </c>
      <c r="W1506" s="4">
        <v>9</v>
      </c>
      <c r="X1506" s="45">
        <f t="shared" si="138"/>
        <v>36809.85</v>
      </c>
      <c r="Y1506" s="14" t="s">
        <v>1633</v>
      </c>
      <c r="Z1506" s="14" t="s">
        <v>1492</v>
      </c>
      <c r="AA1506" s="14" t="str">
        <f>IFERROR(VLOOKUP(A1506,'[2]UPDATE BILL 2018'!$B:$P,15,0),IFERROR(VLOOKUP(A1506,'[2]UPDATE BILL 2018'!$C:$P,14,0),IFERROR(VLOOKUP(A1506,'[2]UPDATE BILL 2018'!$D:$P,13,0),IFERROR(VLOOKUP(A1506,'[2]UPDATE BILL 2018'!$E:$P,12,0),IFERROR(VLOOKUP(A1506,'[2]UPDATE BILL 2018'!$F:$P,11,0),IFERROR(VLOOKUP(A1506,'[2]UPDATE BILL 2018'!$G:$P,10,0),IFERROR(VLOOKUP(A1506,'[2]UPDATE BILL 2018'!$H:$P,9,0),IFERROR(VLOOKUP(A1506,'[2]UPDATE BILL 2018'!$I:$P,8,0),VLOOKUP(A1506,'[2]UPDATE BILL 2018'!$B:$P,15,0)))))))))</f>
        <v>KMTCHPH0587630</v>
      </c>
      <c r="AB1506" s="44">
        <f>IFERROR(VLOOKUP(A1506,'[2]UPDATE BILL 2018'!$B:$T,19,0),IFERROR(VLOOKUP(A1506,'[2]UPDATE BILL 2018'!$C:$T,18,0),IFERROR(VLOOKUP(A1506,'[2]UPDATE BILL 2018'!$D:$T,17,0),IFERROR(VLOOKUP(A1506,'[2]UPDATE BILL 2018'!$E:$T,16,0),IFERROR(VLOOKUP(A1506,'[2]UPDATE BILL 2018'!$F:$T,15,0),IFERROR(VLOOKUP(A1506,'[2]UPDATE BILL 2018'!$G:$T,14,0),IFERROR(VLOOKUP(A1506,'[2]UPDATE BILL 2018'!$H:$T,13,0),IFERROR(VLOOKUP(A1506,'[2]UPDATE BILL 2018'!$I:$T,12,0),VLOOKUP(A1506,'[2]UPDATE BILL 2018'!$B:$T,19,0)))))))))</f>
        <v>43355</v>
      </c>
      <c r="AC1506" s="44" t="str">
        <f>IFERROR(VLOOKUP(A1506,'[2]UPDATE BILL 2018'!$B:$V,21,0),IFERROR(VLOOKUP(A1506,'[2]UPDATE BILL 2018'!$C:$V,20,0),IFERROR(VLOOKUP(A1506,'[2]UPDATE BILL 2018'!$D:$V,19,0),IFERROR(VLOOKUP(A1506,'[2]UPDATE BILL 2018'!$E:$V,18,0),IFERROR(VLOOKUP(A1506,'[2]UPDATE BILL 2018'!$F:$V,17,0),IFERROR(VLOOKUP(A1506,'[2]UPDATE BILL 2018'!$G:$V,16,0),IFERROR(VLOOKUP(A1506,'[2]UPDATE BILL 2018'!$H:$V,15,0),IFERROR(VLOOKUP(A1506,'[2]UPDATE BILL 2018'!$I:$V,14,0),VLOOKUP(A1506,'[2]UPDATE BILL 2018'!$B:$V,21,0)))))))))</f>
        <v>KOTA WANGSA 017N</v>
      </c>
      <c r="AD1506" s="14" t="s">
        <v>70</v>
      </c>
      <c r="AE1506" s="24" t="s">
        <v>3788</v>
      </c>
      <c r="AF1506" s="25" t="str">
        <f t="shared" si="133"/>
        <v>VH</v>
      </c>
      <c r="AG1506" t="e">
        <f t="shared" si="135"/>
        <v>#REF!</v>
      </c>
      <c r="AI1506" s="58"/>
    </row>
    <row r="1507" spans="1:35" ht="15.75" customHeight="1">
      <c r="A1507" s="6" t="s">
        <v>3782</v>
      </c>
      <c r="B1507" s="5">
        <v>160</v>
      </c>
      <c r="C1507" s="7">
        <v>16560</v>
      </c>
      <c r="D1507" s="7">
        <f t="shared" si="136"/>
        <v>0</v>
      </c>
      <c r="E1507" s="7">
        <v>0</v>
      </c>
      <c r="F1507" s="5">
        <v>0</v>
      </c>
      <c r="G1507" s="7">
        <v>0</v>
      </c>
      <c r="H1507" s="5">
        <v>205</v>
      </c>
      <c r="I1507" s="7">
        <v>27476.9</v>
      </c>
      <c r="J1507" s="7">
        <v>0</v>
      </c>
      <c r="K1507" s="5">
        <v>0</v>
      </c>
      <c r="L1507" s="5">
        <v>0</v>
      </c>
      <c r="M1507" s="5">
        <v>0</v>
      </c>
      <c r="N1507" s="7">
        <f t="shared" si="137"/>
        <v>0</v>
      </c>
      <c r="O1507" s="7">
        <v>0</v>
      </c>
      <c r="P1507" s="7">
        <v>0</v>
      </c>
      <c r="Q1507" s="5">
        <v>0</v>
      </c>
      <c r="S1507" s="7">
        <v>0</v>
      </c>
      <c r="T1507" s="12">
        <v>43349</v>
      </c>
      <c r="U1507" s="4">
        <v>4</v>
      </c>
      <c r="V1507" s="4">
        <v>9</v>
      </c>
      <c r="W1507" s="4">
        <v>9</v>
      </c>
      <c r="X1507" s="45">
        <f t="shared" si="138"/>
        <v>44036.9</v>
      </c>
      <c r="Y1507" s="14" t="s">
        <v>85</v>
      </c>
      <c r="Z1507" s="14" t="s">
        <v>1637</v>
      </c>
      <c r="AA1507" s="14">
        <f>IFERROR(VLOOKUP(A1507,'[2]UPDATE BILL 2018'!$B:$P,15,0),IFERROR(VLOOKUP(A1507,'[2]UPDATE BILL 2018'!$C:$P,14,0),IFERROR(VLOOKUP(A1507,'[2]UPDATE BILL 2018'!$D:$P,13,0),IFERROR(VLOOKUP(A1507,'[2]UPDATE BILL 2018'!$E:$P,12,0),IFERROR(VLOOKUP(A1507,'[2]UPDATE BILL 2018'!$F:$P,11,0),IFERROR(VLOOKUP(A1507,'[2]UPDATE BILL 2018'!$G:$P,10,0),IFERROR(VLOOKUP(A1507,'[2]UPDATE BILL 2018'!$H:$P,9,0),IFERROR(VLOOKUP(A1507,'[2]UPDATE BILL 2018'!$I:$P,8,0),VLOOKUP(A1507,'[2]UPDATE BILL 2018'!$B:$P,15,0)))))))))</f>
        <v>350810109302</v>
      </c>
      <c r="AB1507" s="44">
        <f>IFERROR(VLOOKUP(A1507,'[2]UPDATE BILL 2018'!$B:$T,19,0),IFERROR(VLOOKUP(A1507,'[2]UPDATE BILL 2018'!$C:$T,18,0),IFERROR(VLOOKUP(A1507,'[2]UPDATE BILL 2018'!$D:$T,17,0),IFERROR(VLOOKUP(A1507,'[2]UPDATE BILL 2018'!$E:$T,16,0),IFERROR(VLOOKUP(A1507,'[2]UPDATE BILL 2018'!$F:$T,15,0),IFERROR(VLOOKUP(A1507,'[2]UPDATE BILL 2018'!$G:$T,14,0),IFERROR(VLOOKUP(A1507,'[2]UPDATE BILL 2018'!$H:$T,13,0),IFERROR(VLOOKUP(A1507,'[2]UPDATE BILL 2018'!$I:$T,12,0),VLOOKUP(A1507,'[2]UPDATE BILL 2018'!$B:$T,19,0)))))))))</f>
        <v>43355</v>
      </c>
      <c r="AC1507" s="44" t="str">
        <f>IFERROR(VLOOKUP(A1507,'[2]UPDATE BILL 2018'!$B:$V,21,0),IFERROR(VLOOKUP(A1507,'[2]UPDATE BILL 2018'!$C:$V,20,0),IFERROR(VLOOKUP(A1507,'[2]UPDATE BILL 2018'!$D:$V,19,0),IFERROR(VLOOKUP(A1507,'[2]UPDATE BILL 2018'!$E:$V,18,0),IFERROR(VLOOKUP(A1507,'[2]UPDATE BILL 2018'!$F:$V,17,0),IFERROR(VLOOKUP(A1507,'[2]UPDATE BILL 2018'!$G:$V,16,0),IFERROR(VLOOKUP(A1507,'[2]UPDATE BILL 2018'!$H:$V,15,0),IFERROR(VLOOKUP(A1507,'[2]UPDATE BILL 2018'!$I:$V,14,0),VLOOKUP(A1507,'[2]UPDATE BILL 2018'!$B:$V,21,0)))))))))</f>
        <v>MARCLIFF 18015N</v>
      </c>
      <c r="AD1507" s="14" t="s">
        <v>49</v>
      </c>
      <c r="AE1507" s="24" t="s">
        <v>3789</v>
      </c>
      <c r="AF1507" s="25" t="str">
        <f t="shared" ref="AF1507:AF1570" si="139">+LEFT(AE1507,2)</f>
        <v>VK</v>
      </c>
      <c r="AG1507" t="e">
        <f t="shared" si="135"/>
        <v>#REF!</v>
      </c>
      <c r="AI1507" s="58"/>
    </row>
    <row r="1508" spans="1:35" ht="15.75" customHeight="1">
      <c r="A1508" s="6" t="s">
        <v>3783</v>
      </c>
      <c r="B1508" s="5">
        <v>86</v>
      </c>
      <c r="C1508" s="7">
        <v>9689.869999999999</v>
      </c>
      <c r="D1508" s="7">
        <f t="shared" si="136"/>
        <v>0</v>
      </c>
      <c r="E1508" s="7">
        <v>0</v>
      </c>
      <c r="F1508" s="5">
        <v>0</v>
      </c>
      <c r="G1508" s="7">
        <v>0</v>
      </c>
      <c r="H1508" s="5">
        <v>10</v>
      </c>
      <c r="I1508" s="7">
        <v>959.7</v>
      </c>
      <c r="J1508" s="7">
        <v>0</v>
      </c>
      <c r="K1508" s="5">
        <v>0</v>
      </c>
      <c r="L1508" s="5">
        <v>0</v>
      </c>
      <c r="M1508" s="5">
        <v>58</v>
      </c>
      <c r="N1508" s="7">
        <f t="shared" si="137"/>
        <v>58</v>
      </c>
      <c r="O1508" s="7">
        <v>10248.599999999999</v>
      </c>
      <c r="P1508" s="7">
        <v>0</v>
      </c>
      <c r="Q1508" s="5">
        <v>0</v>
      </c>
      <c r="S1508" s="7">
        <v>0</v>
      </c>
      <c r="T1508" s="12">
        <v>43349</v>
      </c>
      <c r="U1508" s="4">
        <v>2</v>
      </c>
      <c r="V1508" s="4">
        <v>9</v>
      </c>
      <c r="W1508" s="4">
        <v>9</v>
      </c>
      <c r="X1508" s="45">
        <f t="shared" si="138"/>
        <v>20898.169999999998</v>
      </c>
      <c r="Y1508" s="14" t="s">
        <v>54</v>
      </c>
      <c r="Z1508" s="14" t="s">
        <v>2525</v>
      </c>
      <c r="AA1508" s="14" t="str">
        <f>IFERROR(VLOOKUP(A1508,'[2]UPDATE BILL 2018'!$B:$P,15,0),IFERROR(VLOOKUP(A1508,'[2]UPDATE BILL 2018'!$C:$P,14,0),IFERROR(VLOOKUP(A1508,'[2]UPDATE BILL 2018'!$D:$P,13,0),IFERROR(VLOOKUP(A1508,'[2]UPDATE BILL 2018'!$E:$P,12,0),IFERROR(VLOOKUP(A1508,'[2]UPDATE BILL 2018'!$F:$P,11,0),IFERROR(VLOOKUP(A1508,'[2]UPDATE BILL 2018'!$G:$P,10,0),IFERROR(VLOOKUP(A1508,'[2]UPDATE BILL 2018'!$H:$P,9,0),IFERROR(VLOOKUP(A1508,'[2]UPDATE BILL 2018'!$I:$P,8,0),VLOOKUP(A1508,'[2]UPDATE BILL 2018'!$B:$P,15,0)))))))))</f>
        <v>SITWHPTK177549</v>
      </c>
      <c r="AB1508" s="44">
        <f>IFERROR(VLOOKUP(A1508,'[2]UPDATE BILL 2018'!$B:$T,19,0),IFERROR(VLOOKUP(A1508,'[2]UPDATE BILL 2018'!$C:$T,18,0),IFERROR(VLOOKUP(A1508,'[2]UPDATE BILL 2018'!$D:$T,17,0),IFERROR(VLOOKUP(A1508,'[2]UPDATE BILL 2018'!$E:$T,16,0),IFERROR(VLOOKUP(A1508,'[2]UPDATE BILL 2018'!$F:$T,15,0),IFERROR(VLOOKUP(A1508,'[2]UPDATE BILL 2018'!$G:$T,14,0),IFERROR(VLOOKUP(A1508,'[2]UPDATE BILL 2018'!$H:$T,13,0),IFERROR(VLOOKUP(A1508,'[2]UPDATE BILL 2018'!$I:$T,12,0),VLOOKUP(A1508,'[2]UPDATE BILL 2018'!$B:$T,19,0)))))))))</f>
        <v>43356</v>
      </c>
      <c r="AC1508" s="44" t="str">
        <f>IFERROR(VLOOKUP(A1508,'[2]UPDATE BILL 2018'!$B:$V,21,0),IFERROR(VLOOKUP(A1508,'[2]UPDATE BILL 2018'!$C:$V,20,0),IFERROR(VLOOKUP(A1508,'[2]UPDATE BILL 2018'!$D:$V,19,0),IFERROR(VLOOKUP(A1508,'[2]UPDATE BILL 2018'!$E:$V,18,0),IFERROR(VLOOKUP(A1508,'[2]UPDATE BILL 2018'!$F:$V,17,0),IFERROR(VLOOKUP(A1508,'[2]UPDATE BILL 2018'!$G:$V,16,0),IFERROR(VLOOKUP(A1508,'[2]UPDATE BILL 2018'!$H:$V,15,0),IFERROR(VLOOKUP(A1508,'[2]UPDATE BILL 2018'!$I:$V,14,0),VLOOKUP(A1508,'[2]UPDATE BILL 2018'!$B:$V,21,0)))))))))</f>
        <v>AVRA C 1825N</v>
      </c>
      <c r="AD1508" s="14" t="s">
        <v>49</v>
      </c>
      <c r="AE1508" s="24" t="s">
        <v>3790</v>
      </c>
      <c r="AF1508" s="25" t="str">
        <f t="shared" si="139"/>
        <v>VN</v>
      </c>
      <c r="AG1508" t="e">
        <f t="shared" si="135"/>
        <v>#REF!</v>
      </c>
      <c r="AI1508" s="58"/>
    </row>
    <row r="1509" spans="1:35" ht="15.75" customHeight="1">
      <c r="A1509" s="6" t="s">
        <v>3784</v>
      </c>
      <c r="B1509" s="5">
        <v>0</v>
      </c>
      <c r="C1509" s="7">
        <v>0</v>
      </c>
      <c r="D1509" s="7">
        <f t="shared" si="136"/>
        <v>0</v>
      </c>
      <c r="E1509" s="7">
        <v>0</v>
      </c>
      <c r="F1509" s="5">
        <v>0</v>
      </c>
      <c r="G1509" s="7">
        <v>0</v>
      </c>
      <c r="H1509" s="5">
        <v>0</v>
      </c>
      <c r="I1509" s="7">
        <v>0</v>
      </c>
      <c r="J1509" s="7">
        <v>0</v>
      </c>
      <c r="K1509" s="5">
        <v>0</v>
      </c>
      <c r="L1509" s="5">
        <v>0</v>
      </c>
      <c r="M1509" s="5">
        <v>254</v>
      </c>
      <c r="N1509" s="7">
        <f t="shared" si="137"/>
        <v>254</v>
      </c>
      <c r="O1509" s="7">
        <v>18510.600000000002</v>
      </c>
      <c r="P1509" s="7">
        <v>0</v>
      </c>
      <c r="Q1509" s="5">
        <v>0</v>
      </c>
      <c r="S1509" s="7">
        <v>0</v>
      </c>
      <c r="T1509" s="12">
        <v>43349</v>
      </c>
      <c r="U1509" s="4">
        <v>2</v>
      </c>
      <c r="V1509" s="4">
        <v>9</v>
      </c>
      <c r="W1509" s="4">
        <v>9</v>
      </c>
      <c r="X1509" s="45">
        <f t="shared" si="138"/>
        <v>18510.600000000002</v>
      </c>
      <c r="Y1509" s="14" t="s">
        <v>56</v>
      </c>
      <c r="Z1509" s="14" t="s">
        <v>1281</v>
      </c>
      <c r="AA1509" s="14" t="str">
        <f>IFERROR(VLOOKUP(A1509,'[2]UPDATE BILL 2018'!$B:$P,15,0),IFERROR(VLOOKUP(A1509,'[2]UPDATE BILL 2018'!$C:$P,14,0),IFERROR(VLOOKUP(A1509,'[2]UPDATE BILL 2018'!$D:$P,13,0),IFERROR(VLOOKUP(A1509,'[2]UPDATE BILL 2018'!$E:$P,12,0),IFERROR(VLOOKUP(A1509,'[2]UPDATE BILL 2018'!$F:$P,11,0),IFERROR(VLOOKUP(A1509,'[2]UPDATE BILL 2018'!$G:$P,10,0),IFERROR(VLOOKUP(A1509,'[2]UPDATE BILL 2018'!$H:$P,9,0),IFERROR(VLOOKUP(A1509,'[2]UPDATE BILL 2018'!$I:$P,8,0),VLOOKUP(A1509,'[2]UPDATE BILL 2018'!$B:$P,15,0)))))))))</f>
        <v>1008X05088</v>
      </c>
      <c r="AB1509" s="44">
        <f>IFERROR(VLOOKUP(A1509,'[2]UPDATE BILL 2018'!$B:$T,19,0),IFERROR(VLOOKUP(A1509,'[2]UPDATE BILL 2018'!$C:$T,18,0),IFERROR(VLOOKUP(A1509,'[2]UPDATE BILL 2018'!$D:$T,17,0),IFERROR(VLOOKUP(A1509,'[2]UPDATE BILL 2018'!$E:$T,16,0),IFERROR(VLOOKUP(A1509,'[2]UPDATE BILL 2018'!$F:$T,15,0),IFERROR(VLOOKUP(A1509,'[2]UPDATE BILL 2018'!$G:$T,14,0),IFERROR(VLOOKUP(A1509,'[2]UPDATE BILL 2018'!$H:$T,13,0),IFERROR(VLOOKUP(A1509,'[2]UPDATE BILL 2018'!$I:$T,12,0),VLOOKUP(A1509,'[2]UPDATE BILL 2018'!$B:$T,19,0)))))))))</f>
        <v>43351</v>
      </c>
      <c r="AC1509" s="44" t="str">
        <f>IFERROR(VLOOKUP(A1509,'[2]UPDATE BILL 2018'!$B:$V,21,0),IFERROR(VLOOKUP(A1509,'[2]UPDATE BILL 2018'!$C:$V,20,0),IFERROR(VLOOKUP(A1509,'[2]UPDATE BILL 2018'!$D:$V,19,0),IFERROR(VLOOKUP(A1509,'[2]UPDATE BILL 2018'!$E:$V,18,0),IFERROR(VLOOKUP(A1509,'[2]UPDATE BILL 2018'!$F:$V,17,0),IFERROR(VLOOKUP(A1509,'[2]UPDATE BILL 2018'!$G:$V,16,0),IFERROR(VLOOKUP(A1509,'[2]UPDATE BILL 2018'!$H:$V,15,0),IFERROR(VLOOKUP(A1509,'[2]UPDATE BILL 2018'!$I:$V,14,0),VLOOKUP(A1509,'[2]UPDATE BILL 2018'!$B:$V,21,0)))))))))</f>
        <v xml:space="preserve"> PAOLA N029</v>
      </c>
      <c r="AD1509" s="14" t="s">
        <v>51</v>
      </c>
      <c r="AE1509" s="24" t="s">
        <v>3791</v>
      </c>
      <c r="AF1509" s="25" t="str">
        <f t="shared" si="139"/>
        <v>VS</v>
      </c>
      <c r="AG1509" t="e">
        <f t="shared" si="135"/>
        <v>#REF!</v>
      </c>
      <c r="AI1509" s="58"/>
    </row>
    <row r="1510" spans="1:35" ht="15.75" customHeight="1">
      <c r="A1510" s="6" t="s">
        <v>3785</v>
      </c>
      <c r="B1510" s="5">
        <v>387</v>
      </c>
      <c r="C1510" s="7">
        <v>46076.44</v>
      </c>
      <c r="D1510" s="7">
        <f t="shared" si="136"/>
        <v>0</v>
      </c>
      <c r="E1510" s="7">
        <v>0</v>
      </c>
      <c r="F1510" s="5">
        <v>0</v>
      </c>
      <c r="G1510" s="7">
        <v>0</v>
      </c>
      <c r="H1510" s="5">
        <v>358</v>
      </c>
      <c r="I1510" s="7">
        <v>43387.97</v>
      </c>
      <c r="J1510" s="7">
        <v>0</v>
      </c>
      <c r="K1510" s="5">
        <v>0</v>
      </c>
      <c r="L1510" s="5">
        <v>0</v>
      </c>
      <c r="M1510" s="5">
        <v>144</v>
      </c>
      <c r="N1510" s="7">
        <f t="shared" si="137"/>
        <v>144</v>
      </c>
      <c r="O1510" s="7">
        <v>18259.8</v>
      </c>
      <c r="P1510" s="7">
        <v>0</v>
      </c>
      <c r="Q1510" s="5">
        <v>0</v>
      </c>
      <c r="S1510" s="7">
        <v>0</v>
      </c>
      <c r="T1510" s="12">
        <v>43349</v>
      </c>
      <c r="U1510" s="4">
        <v>9</v>
      </c>
      <c r="V1510" s="4">
        <v>9</v>
      </c>
      <c r="W1510" s="4">
        <v>9</v>
      </c>
      <c r="X1510" s="45">
        <f t="shared" si="138"/>
        <v>107724.21</v>
      </c>
      <c r="Y1510" s="14" t="s">
        <v>56</v>
      </c>
      <c r="Z1510" s="14" t="s">
        <v>3780</v>
      </c>
      <c r="AA1510" s="14" t="str">
        <f>IFERROR(VLOOKUP(A1510,'[2]UPDATE BILL 2018'!$B:$P,15,0),IFERROR(VLOOKUP(A1510,'[2]UPDATE BILL 2018'!$C:$P,14,0),IFERROR(VLOOKUP(A1510,'[2]UPDATE BILL 2018'!$D:$P,13,0),IFERROR(VLOOKUP(A1510,'[2]UPDATE BILL 2018'!$E:$P,12,0),IFERROR(VLOOKUP(A1510,'[2]UPDATE BILL 2018'!$F:$P,11,0),IFERROR(VLOOKUP(A1510,'[2]UPDATE BILL 2018'!$G:$P,10,0),IFERROR(VLOOKUP(A1510,'[2]UPDATE BILL 2018'!$H:$P,9,0),IFERROR(VLOOKUP(A1510,'[2]UPDATE BILL 2018'!$I:$P,8,0),VLOOKUP(A1510,'[2]UPDATE BILL 2018'!$B:$P,15,0)))))))))</f>
        <v>1008X05153</v>
      </c>
      <c r="AB1510" s="44">
        <f>IFERROR(VLOOKUP(A1510,'[2]UPDATE BILL 2018'!$B:$T,19,0),IFERROR(VLOOKUP(A1510,'[2]UPDATE BILL 2018'!$C:$T,18,0),IFERROR(VLOOKUP(A1510,'[2]UPDATE BILL 2018'!$D:$T,17,0),IFERROR(VLOOKUP(A1510,'[2]UPDATE BILL 2018'!$E:$T,16,0),IFERROR(VLOOKUP(A1510,'[2]UPDATE BILL 2018'!$F:$T,15,0),IFERROR(VLOOKUP(A1510,'[2]UPDATE BILL 2018'!$G:$T,14,0),IFERROR(VLOOKUP(A1510,'[2]UPDATE BILL 2018'!$H:$T,13,0),IFERROR(VLOOKUP(A1510,'[2]UPDATE BILL 2018'!$I:$T,12,0),VLOOKUP(A1510,'[2]UPDATE BILL 2018'!$B:$T,19,0)))))))))</f>
        <v>43355</v>
      </c>
      <c r="AC1510" s="44" t="str">
        <f>IFERROR(VLOOKUP(A1510,'[2]UPDATE BILL 2018'!$B:$V,21,0),IFERROR(VLOOKUP(A1510,'[2]UPDATE BILL 2018'!$C:$V,20,0),IFERROR(VLOOKUP(A1510,'[2]UPDATE BILL 2018'!$D:$V,19,0),IFERROR(VLOOKUP(A1510,'[2]UPDATE BILL 2018'!$E:$V,18,0),IFERROR(VLOOKUP(A1510,'[2]UPDATE BILL 2018'!$F:$V,17,0),IFERROR(VLOOKUP(A1510,'[2]UPDATE BILL 2018'!$G:$V,16,0),IFERROR(VLOOKUP(A1510,'[2]UPDATE BILL 2018'!$H:$V,15,0),IFERROR(VLOOKUP(A1510,'[2]UPDATE BILL 2018'!$I:$V,14,0),VLOOKUP(A1510,'[2]UPDATE BILL 2018'!$B:$V,21,0)))))))))</f>
        <v>WAN HAI 266 N398</v>
      </c>
      <c r="AD1510" s="14" t="s">
        <v>51</v>
      </c>
      <c r="AE1510" s="24" t="s">
        <v>3792</v>
      </c>
      <c r="AF1510" s="25" t="str">
        <f t="shared" si="139"/>
        <v>VS</v>
      </c>
      <c r="AG1510" t="e">
        <f t="shared" si="135"/>
        <v>#REF!</v>
      </c>
      <c r="AI1510" s="58"/>
    </row>
    <row r="1511" spans="1:35" ht="15.75" customHeight="1">
      <c r="A1511" s="6" t="s">
        <v>3786</v>
      </c>
      <c r="B1511" s="5">
        <v>409</v>
      </c>
      <c r="C1511" s="7">
        <v>28926.46</v>
      </c>
      <c r="D1511" s="7">
        <f t="shared" si="136"/>
        <v>0</v>
      </c>
      <c r="E1511" s="7">
        <v>0</v>
      </c>
      <c r="F1511" s="5">
        <v>0</v>
      </c>
      <c r="G1511" s="7">
        <v>0</v>
      </c>
      <c r="H1511" s="5">
        <v>36</v>
      </c>
      <c r="I1511" s="7">
        <v>1462.8</v>
      </c>
      <c r="J1511" s="7">
        <v>0</v>
      </c>
      <c r="K1511" s="5">
        <v>0</v>
      </c>
      <c r="L1511" s="5">
        <v>0</v>
      </c>
      <c r="M1511" s="5">
        <v>59</v>
      </c>
      <c r="N1511" s="7">
        <f t="shared" si="137"/>
        <v>59</v>
      </c>
      <c r="O1511" s="7">
        <v>9793.4</v>
      </c>
      <c r="P1511" s="7">
        <v>0</v>
      </c>
      <c r="Q1511" s="5">
        <v>0</v>
      </c>
      <c r="R1511" s="5">
        <v>97</v>
      </c>
      <c r="S1511" s="7">
        <v>19370.260000000002</v>
      </c>
      <c r="T1511" s="12">
        <v>43349</v>
      </c>
      <c r="U1511" s="4">
        <v>4</v>
      </c>
      <c r="V1511" s="4">
        <v>9</v>
      </c>
      <c r="W1511" s="4">
        <v>9</v>
      </c>
      <c r="X1511" s="45">
        <f t="shared" si="138"/>
        <v>59552.92</v>
      </c>
      <c r="Y1511" s="14" t="s">
        <v>54</v>
      </c>
      <c r="Z1511" s="14" t="s">
        <v>57</v>
      </c>
      <c r="AA1511" s="14" t="str">
        <f>IFERROR(VLOOKUP(A1511,'[2]UPDATE BILL 2018'!$B:$P,15,0),IFERROR(VLOOKUP(A1511,'[2]UPDATE BILL 2018'!$C:$P,14,0),IFERROR(VLOOKUP(A1511,'[2]UPDATE BILL 2018'!$D:$P,13,0),IFERROR(VLOOKUP(A1511,'[2]UPDATE BILL 2018'!$E:$P,12,0),IFERROR(VLOOKUP(A1511,'[2]UPDATE BILL 2018'!$F:$P,11,0),IFERROR(VLOOKUP(A1511,'[2]UPDATE BILL 2018'!$G:$P,10,0),IFERROR(VLOOKUP(A1511,'[2]UPDATE BILL 2018'!$H:$P,9,0),IFERROR(VLOOKUP(A1511,'[2]UPDATE BILL 2018'!$I:$P,8,0),VLOOKUP(A1511,'[2]UPDATE BILL 2018'!$B:$P,15,0)))))))))</f>
        <v>SITWHPKW177123</v>
      </c>
      <c r="AB1511" s="44">
        <f>IFERROR(VLOOKUP(A1511,'[2]UPDATE BILL 2018'!$B:$T,19,0),IFERROR(VLOOKUP(A1511,'[2]UPDATE BILL 2018'!$C:$T,18,0),IFERROR(VLOOKUP(A1511,'[2]UPDATE BILL 2018'!$D:$T,17,0),IFERROR(VLOOKUP(A1511,'[2]UPDATE BILL 2018'!$E:$T,16,0),IFERROR(VLOOKUP(A1511,'[2]UPDATE BILL 2018'!$F:$T,15,0),IFERROR(VLOOKUP(A1511,'[2]UPDATE BILL 2018'!$G:$T,14,0),IFERROR(VLOOKUP(A1511,'[2]UPDATE BILL 2018'!$H:$T,13,0),IFERROR(VLOOKUP(A1511,'[2]UPDATE BILL 2018'!$I:$T,12,0),VLOOKUP(A1511,'[2]UPDATE BILL 2018'!$B:$T,19,0)))))))))</f>
        <v>43353</v>
      </c>
      <c r="AC1511" s="44" t="str">
        <f>IFERROR(VLOOKUP(A1511,'[2]UPDATE BILL 2018'!$B:$V,21,0),IFERROR(VLOOKUP(A1511,'[2]UPDATE BILL 2018'!$C:$V,20,0),IFERROR(VLOOKUP(A1511,'[2]UPDATE BILL 2018'!$D:$V,19,0),IFERROR(VLOOKUP(A1511,'[2]UPDATE BILL 2018'!$E:$V,18,0),IFERROR(VLOOKUP(A1511,'[2]UPDATE BILL 2018'!$F:$V,17,0),IFERROR(VLOOKUP(A1511,'[2]UPDATE BILL 2018'!$G:$V,16,0),IFERROR(VLOOKUP(A1511,'[2]UPDATE BILL 2018'!$H:$V,15,0),IFERROR(VLOOKUP(A1511,'[2]UPDATE BILL 2018'!$I:$V,14,0),VLOOKUP(A1511,'[2]UPDATE BILL 2018'!$B:$V,21,0)))))))))</f>
        <v>SITC NAGOYA 1825N</v>
      </c>
      <c r="AD1511" s="14" t="s">
        <v>50</v>
      </c>
      <c r="AE1511" s="24" t="s">
        <v>3793</v>
      </c>
      <c r="AF1511" s="25" t="str">
        <f t="shared" si="139"/>
        <v>VW</v>
      </c>
      <c r="AG1511" t="e">
        <f t="shared" si="135"/>
        <v>#REF!</v>
      </c>
      <c r="AI1511" s="58"/>
    </row>
    <row r="1512" spans="1:35" ht="15.75" customHeight="1">
      <c r="A1512" s="6" t="s">
        <v>3787</v>
      </c>
      <c r="B1512" s="5">
        <v>555</v>
      </c>
      <c r="C1512" s="7">
        <v>60705.19999999999</v>
      </c>
      <c r="D1512" s="7">
        <f t="shared" si="136"/>
        <v>0</v>
      </c>
      <c r="E1512" s="7">
        <v>0</v>
      </c>
      <c r="F1512" s="5">
        <v>0</v>
      </c>
      <c r="G1512" s="7">
        <v>0</v>
      </c>
      <c r="H1512" s="5">
        <v>0</v>
      </c>
      <c r="I1512" s="7">
        <v>0</v>
      </c>
      <c r="J1512" s="7">
        <v>0</v>
      </c>
      <c r="K1512" s="5">
        <v>0</v>
      </c>
      <c r="L1512" s="5">
        <v>0</v>
      </c>
      <c r="M1512" s="5">
        <v>134</v>
      </c>
      <c r="N1512" s="7">
        <f t="shared" si="137"/>
        <v>134</v>
      </c>
      <c r="O1512" s="7">
        <v>28444.2</v>
      </c>
      <c r="P1512" s="7">
        <v>0</v>
      </c>
      <c r="Q1512" s="5">
        <v>0</v>
      </c>
      <c r="S1512" s="7">
        <v>0</v>
      </c>
      <c r="T1512" s="12">
        <v>43349</v>
      </c>
      <c r="U1512" s="4">
        <v>8</v>
      </c>
      <c r="V1512" s="4">
        <v>9</v>
      </c>
      <c r="W1512" s="4">
        <v>9</v>
      </c>
      <c r="X1512" s="45">
        <f t="shared" si="138"/>
        <v>89149.4</v>
      </c>
      <c r="Y1512" s="14" t="s">
        <v>54</v>
      </c>
      <c r="Z1512" s="14" t="s">
        <v>59</v>
      </c>
      <c r="AA1512" s="14" t="str">
        <f>IFERROR(VLOOKUP(A1512,'[2]UPDATE BILL 2018'!$B:$P,15,0),IFERROR(VLOOKUP(A1512,'[2]UPDATE BILL 2018'!$C:$P,14,0),IFERROR(VLOOKUP(A1512,'[2]UPDATE BILL 2018'!$D:$P,13,0),IFERROR(VLOOKUP(A1512,'[2]UPDATE BILL 2018'!$E:$P,12,0),IFERROR(VLOOKUP(A1512,'[2]UPDATE BILL 2018'!$F:$P,11,0),IFERROR(VLOOKUP(A1512,'[2]UPDATE BILL 2018'!$G:$P,10,0),IFERROR(VLOOKUP(A1512,'[2]UPDATE BILL 2018'!$H:$P,9,0),IFERROR(VLOOKUP(A1512,'[2]UPDATE BILL 2018'!$I:$P,8,0),VLOOKUP(A1512,'[2]UPDATE BILL 2018'!$B:$P,15,0)))))))))</f>
        <v>SITWHPKW177453</v>
      </c>
      <c r="AB1512" s="44">
        <f>IFERROR(VLOOKUP(A1512,'[2]UPDATE BILL 2018'!$B:$T,19,0),IFERROR(VLOOKUP(A1512,'[2]UPDATE BILL 2018'!$C:$T,18,0),IFERROR(VLOOKUP(A1512,'[2]UPDATE BILL 2018'!$D:$T,17,0),IFERROR(VLOOKUP(A1512,'[2]UPDATE BILL 2018'!$E:$T,16,0),IFERROR(VLOOKUP(A1512,'[2]UPDATE BILL 2018'!$F:$T,15,0),IFERROR(VLOOKUP(A1512,'[2]UPDATE BILL 2018'!$G:$T,14,0),IFERROR(VLOOKUP(A1512,'[2]UPDATE BILL 2018'!$H:$T,13,0),IFERROR(VLOOKUP(A1512,'[2]UPDATE BILL 2018'!$I:$T,12,0),VLOOKUP(A1512,'[2]UPDATE BILL 2018'!$B:$T,19,0)))))))))</f>
        <v>43356</v>
      </c>
      <c r="AC1512" s="44" t="str">
        <f>IFERROR(VLOOKUP(A1512,'[2]UPDATE BILL 2018'!$B:$V,21,0),IFERROR(VLOOKUP(A1512,'[2]UPDATE BILL 2018'!$C:$V,20,0),IFERROR(VLOOKUP(A1512,'[2]UPDATE BILL 2018'!$D:$V,19,0),IFERROR(VLOOKUP(A1512,'[2]UPDATE BILL 2018'!$E:$V,18,0),IFERROR(VLOOKUP(A1512,'[2]UPDATE BILL 2018'!$F:$V,17,0),IFERROR(VLOOKUP(A1512,'[2]UPDATE BILL 2018'!$G:$V,16,0),IFERROR(VLOOKUP(A1512,'[2]UPDATE BILL 2018'!$H:$V,15,0),IFERROR(VLOOKUP(A1512,'[2]UPDATE BILL 2018'!$I:$V,14,0),VLOOKUP(A1512,'[2]UPDATE BILL 2018'!$B:$V,21,0)))))))))</f>
        <v>AVRA C 1825N</v>
      </c>
      <c r="AD1512" s="14" t="s">
        <v>50</v>
      </c>
      <c r="AE1512" s="24" t="s">
        <v>3794</v>
      </c>
      <c r="AF1512" s="25" t="str">
        <f t="shared" si="139"/>
        <v>VW</v>
      </c>
      <c r="AG1512" t="e">
        <f t="shared" si="135"/>
        <v>#REF!</v>
      </c>
      <c r="AI1512" s="58"/>
    </row>
    <row r="1513" spans="1:35" ht="15.75" customHeight="1">
      <c r="A1513" s="6" t="s">
        <v>3795</v>
      </c>
      <c r="D1513" s="7">
        <f t="shared" si="136"/>
        <v>0</v>
      </c>
      <c r="E1513" s="7">
        <v>0</v>
      </c>
      <c r="F1513" s="5">
        <v>0</v>
      </c>
      <c r="G1513" s="7">
        <v>0</v>
      </c>
      <c r="H1513" s="5">
        <v>86</v>
      </c>
      <c r="I1513" s="7">
        <v>11291.800000000001</v>
      </c>
      <c r="J1513" s="7">
        <v>0</v>
      </c>
      <c r="K1513" s="5">
        <v>0</v>
      </c>
      <c r="L1513" s="5">
        <v>0</v>
      </c>
      <c r="M1513" s="5">
        <v>0</v>
      </c>
      <c r="N1513" s="7">
        <f t="shared" si="137"/>
        <v>0</v>
      </c>
      <c r="O1513" s="7">
        <v>0</v>
      </c>
      <c r="P1513" s="7">
        <v>0</v>
      </c>
      <c r="Q1513" s="5">
        <v>0</v>
      </c>
      <c r="S1513" s="7">
        <v>0</v>
      </c>
      <c r="T1513" s="12">
        <v>43350</v>
      </c>
      <c r="U1513" s="4">
        <v>1</v>
      </c>
      <c r="V1513" s="4">
        <v>9</v>
      </c>
      <c r="W1513" s="4">
        <v>9</v>
      </c>
      <c r="X1513" s="45">
        <f t="shared" si="138"/>
        <v>11291.800000000001</v>
      </c>
      <c r="Y1513" s="14" t="s">
        <v>54</v>
      </c>
      <c r="Z1513" s="14" t="s">
        <v>59</v>
      </c>
      <c r="AA1513" s="14" t="str">
        <f>IFERROR(VLOOKUP(A1513,'[2]UPDATE BILL 2018'!$B:$P,15,0),IFERROR(VLOOKUP(A1513,'[2]UPDATE BILL 2018'!$C:$P,14,0),IFERROR(VLOOKUP(A1513,'[2]UPDATE BILL 2018'!$D:$P,13,0),IFERROR(VLOOKUP(A1513,'[2]UPDATE BILL 2018'!$E:$P,12,0),IFERROR(VLOOKUP(A1513,'[2]UPDATE BILL 2018'!$F:$P,11,0),IFERROR(VLOOKUP(A1513,'[2]UPDATE BILL 2018'!$G:$P,10,0),IFERROR(VLOOKUP(A1513,'[2]UPDATE BILL 2018'!$H:$P,9,0),IFERROR(VLOOKUP(A1513,'[2]UPDATE BILL 2018'!$I:$P,8,0),VLOOKUP(A1513,'[2]UPDATE BILL 2018'!$B:$P,15,0)))))))))</f>
        <v>SITWHPTK177116</v>
      </c>
      <c r="AB1513" s="44">
        <f>IFERROR(VLOOKUP(A1513,'[2]UPDATE BILL 2018'!$B:$T,19,0),IFERROR(VLOOKUP(A1513,'[2]UPDATE BILL 2018'!$C:$T,18,0),IFERROR(VLOOKUP(A1513,'[2]UPDATE BILL 2018'!$D:$T,17,0),IFERROR(VLOOKUP(A1513,'[2]UPDATE BILL 2018'!$E:$T,16,0),IFERROR(VLOOKUP(A1513,'[2]UPDATE BILL 2018'!$F:$T,15,0),IFERROR(VLOOKUP(A1513,'[2]UPDATE BILL 2018'!$G:$T,14,0),IFERROR(VLOOKUP(A1513,'[2]UPDATE BILL 2018'!$H:$T,13,0),IFERROR(VLOOKUP(A1513,'[2]UPDATE BILL 2018'!$I:$T,12,0),VLOOKUP(A1513,'[2]UPDATE BILL 2018'!$B:$T,19,0)))))))))</f>
        <v>43353</v>
      </c>
      <c r="AC1513" s="44" t="str">
        <f>IFERROR(VLOOKUP(A1513,'[2]UPDATE BILL 2018'!$B:$V,21,0),IFERROR(VLOOKUP(A1513,'[2]UPDATE BILL 2018'!$C:$V,20,0),IFERROR(VLOOKUP(A1513,'[2]UPDATE BILL 2018'!$D:$V,19,0),IFERROR(VLOOKUP(A1513,'[2]UPDATE BILL 2018'!$E:$V,18,0),IFERROR(VLOOKUP(A1513,'[2]UPDATE BILL 2018'!$F:$V,17,0),IFERROR(VLOOKUP(A1513,'[2]UPDATE BILL 2018'!$G:$V,16,0),IFERROR(VLOOKUP(A1513,'[2]UPDATE BILL 2018'!$H:$V,15,0),IFERROR(VLOOKUP(A1513,'[2]UPDATE BILL 2018'!$I:$V,14,0),VLOOKUP(A1513,'[2]UPDATE BILL 2018'!$B:$V,21,0)))))))))</f>
        <v>SITC NAGOYA 1825N</v>
      </c>
      <c r="AD1513" s="14" t="s">
        <v>49</v>
      </c>
      <c r="AE1513" s="24" t="s">
        <v>3800</v>
      </c>
      <c r="AF1513" s="25" t="str">
        <f t="shared" si="139"/>
        <v>VK</v>
      </c>
      <c r="AG1513" t="e">
        <f t="shared" si="135"/>
        <v>#REF!</v>
      </c>
      <c r="AI1513" s="58"/>
    </row>
    <row r="1514" spans="1:35" ht="15.75" customHeight="1">
      <c r="A1514" s="6" t="s">
        <v>3796</v>
      </c>
      <c r="D1514" s="7">
        <f t="shared" si="136"/>
        <v>0</v>
      </c>
      <c r="E1514" s="7">
        <v>0</v>
      </c>
      <c r="F1514" s="5">
        <v>0</v>
      </c>
      <c r="G1514" s="7">
        <v>0</v>
      </c>
      <c r="H1514" s="5">
        <v>105</v>
      </c>
      <c r="I1514" s="7">
        <v>12297.6</v>
      </c>
      <c r="J1514" s="7">
        <v>0</v>
      </c>
      <c r="K1514" s="5">
        <v>0</v>
      </c>
      <c r="L1514" s="5">
        <v>0</v>
      </c>
      <c r="M1514" s="5">
        <v>0</v>
      </c>
      <c r="N1514" s="7">
        <f t="shared" si="137"/>
        <v>0</v>
      </c>
      <c r="O1514" s="7">
        <v>0</v>
      </c>
      <c r="P1514" s="7">
        <v>0</v>
      </c>
      <c r="Q1514" s="5">
        <v>0</v>
      </c>
      <c r="S1514" s="7">
        <v>0</v>
      </c>
      <c r="T1514" s="12">
        <v>43350</v>
      </c>
      <c r="U1514" s="4">
        <v>1</v>
      </c>
      <c r="V1514" s="4">
        <v>9</v>
      </c>
      <c r="W1514" s="4">
        <v>9</v>
      </c>
      <c r="X1514" s="45">
        <f t="shared" si="138"/>
        <v>12297.6</v>
      </c>
      <c r="Y1514" s="14" t="s">
        <v>54</v>
      </c>
      <c r="Z1514" s="14" t="s">
        <v>59</v>
      </c>
      <c r="AA1514" s="14" t="str">
        <f>IFERROR(VLOOKUP(A1514,'[2]UPDATE BILL 2018'!$B:$P,15,0),IFERROR(VLOOKUP(A1514,'[2]UPDATE BILL 2018'!$C:$P,14,0),IFERROR(VLOOKUP(A1514,'[2]UPDATE BILL 2018'!$D:$P,13,0),IFERROR(VLOOKUP(A1514,'[2]UPDATE BILL 2018'!$E:$P,12,0),IFERROR(VLOOKUP(A1514,'[2]UPDATE BILL 2018'!$F:$P,11,0),IFERROR(VLOOKUP(A1514,'[2]UPDATE BILL 2018'!$G:$P,10,0),IFERROR(VLOOKUP(A1514,'[2]UPDATE BILL 2018'!$H:$P,9,0),IFERROR(VLOOKUP(A1514,'[2]UPDATE BILL 2018'!$I:$P,8,0),VLOOKUP(A1514,'[2]UPDATE BILL 2018'!$B:$P,15,0)))))))))</f>
        <v>SITWHPTK177116</v>
      </c>
      <c r="AB1514" s="44">
        <f>IFERROR(VLOOKUP(A1514,'[2]UPDATE BILL 2018'!$B:$T,19,0),IFERROR(VLOOKUP(A1514,'[2]UPDATE BILL 2018'!$C:$T,18,0),IFERROR(VLOOKUP(A1514,'[2]UPDATE BILL 2018'!$D:$T,17,0),IFERROR(VLOOKUP(A1514,'[2]UPDATE BILL 2018'!$E:$T,16,0),IFERROR(VLOOKUP(A1514,'[2]UPDATE BILL 2018'!$F:$T,15,0),IFERROR(VLOOKUP(A1514,'[2]UPDATE BILL 2018'!$G:$T,14,0),IFERROR(VLOOKUP(A1514,'[2]UPDATE BILL 2018'!$H:$T,13,0),IFERROR(VLOOKUP(A1514,'[2]UPDATE BILL 2018'!$I:$T,12,0),VLOOKUP(A1514,'[2]UPDATE BILL 2018'!$B:$T,19,0)))))))))</f>
        <v>43353</v>
      </c>
      <c r="AC1514" s="44" t="str">
        <f>IFERROR(VLOOKUP(A1514,'[2]UPDATE BILL 2018'!$B:$V,21,0),IFERROR(VLOOKUP(A1514,'[2]UPDATE BILL 2018'!$C:$V,20,0),IFERROR(VLOOKUP(A1514,'[2]UPDATE BILL 2018'!$D:$V,19,0),IFERROR(VLOOKUP(A1514,'[2]UPDATE BILL 2018'!$E:$V,18,0),IFERROR(VLOOKUP(A1514,'[2]UPDATE BILL 2018'!$F:$V,17,0),IFERROR(VLOOKUP(A1514,'[2]UPDATE BILL 2018'!$G:$V,16,0),IFERROR(VLOOKUP(A1514,'[2]UPDATE BILL 2018'!$H:$V,15,0),IFERROR(VLOOKUP(A1514,'[2]UPDATE BILL 2018'!$I:$V,14,0),VLOOKUP(A1514,'[2]UPDATE BILL 2018'!$B:$V,21,0)))))))))</f>
        <v>SITC NAGOYA 1825N</v>
      </c>
      <c r="AD1514" s="14" t="s">
        <v>49</v>
      </c>
      <c r="AE1514" s="24" t="s">
        <v>3808</v>
      </c>
      <c r="AF1514" s="25" t="str">
        <f t="shared" si="139"/>
        <v>VK</v>
      </c>
      <c r="AG1514" t="e">
        <f t="shared" si="135"/>
        <v>#REF!</v>
      </c>
      <c r="AI1514" s="58"/>
    </row>
    <row r="1515" spans="1:35" ht="15.75" customHeight="1">
      <c r="A1515" s="6" t="s">
        <v>3799</v>
      </c>
      <c r="B1515" s="5">
        <v>374</v>
      </c>
      <c r="C1515" s="7">
        <v>29612.799999999999</v>
      </c>
      <c r="D1515" s="7">
        <f t="shared" si="136"/>
        <v>0</v>
      </c>
      <c r="E1515" s="7">
        <v>0</v>
      </c>
      <c r="F1515" s="5">
        <v>0</v>
      </c>
      <c r="G1515" s="7">
        <v>0</v>
      </c>
      <c r="H1515" s="5">
        <v>0</v>
      </c>
      <c r="I1515" s="7">
        <v>0</v>
      </c>
      <c r="J1515" s="7">
        <v>0</v>
      </c>
      <c r="K1515" s="5">
        <v>0</v>
      </c>
      <c r="L1515" s="5">
        <v>0</v>
      </c>
      <c r="M1515" s="5">
        <v>46</v>
      </c>
      <c r="N1515" s="7">
        <f t="shared" si="137"/>
        <v>46</v>
      </c>
      <c r="O1515" s="7">
        <v>10183.300000000001</v>
      </c>
      <c r="P1515" s="7">
        <v>0</v>
      </c>
      <c r="Q1515" s="5">
        <v>0</v>
      </c>
      <c r="S1515" s="7">
        <v>0</v>
      </c>
      <c r="T1515" s="12">
        <v>43350</v>
      </c>
      <c r="U1515" s="4">
        <v>3</v>
      </c>
      <c r="V1515" s="4">
        <v>9</v>
      </c>
      <c r="W1515" s="4">
        <v>9</v>
      </c>
      <c r="X1515" s="45">
        <f t="shared" si="138"/>
        <v>39796.1</v>
      </c>
      <c r="Y1515" s="14" t="s">
        <v>54</v>
      </c>
      <c r="Z1515" s="14" t="s">
        <v>57</v>
      </c>
      <c r="AA1515" s="14" t="str">
        <f>IFERROR(VLOOKUP(A1515,'[2]UPDATE BILL 2018'!$B:$P,15,0),IFERROR(VLOOKUP(A1515,'[2]UPDATE BILL 2018'!$C:$P,14,0),IFERROR(VLOOKUP(A1515,'[2]UPDATE BILL 2018'!$D:$P,13,0),IFERROR(VLOOKUP(A1515,'[2]UPDATE BILL 2018'!$E:$P,12,0),IFERROR(VLOOKUP(A1515,'[2]UPDATE BILL 2018'!$F:$P,11,0),IFERROR(VLOOKUP(A1515,'[2]UPDATE BILL 2018'!$G:$P,10,0),IFERROR(VLOOKUP(A1515,'[2]UPDATE BILL 2018'!$H:$P,9,0),IFERROR(VLOOKUP(A1515,'[2]UPDATE BILL 2018'!$I:$P,8,0),VLOOKUP(A1515,'[2]UPDATE BILL 2018'!$B:$P,15,0)))))))))</f>
        <v>SITWHPKW177123</v>
      </c>
      <c r="AB1515" s="44">
        <f>IFERROR(VLOOKUP(A1515,'[2]UPDATE BILL 2018'!$B:$T,19,0),IFERROR(VLOOKUP(A1515,'[2]UPDATE BILL 2018'!$C:$T,18,0),IFERROR(VLOOKUP(A1515,'[2]UPDATE BILL 2018'!$D:$T,17,0),IFERROR(VLOOKUP(A1515,'[2]UPDATE BILL 2018'!$E:$T,16,0),IFERROR(VLOOKUP(A1515,'[2]UPDATE BILL 2018'!$F:$T,15,0),IFERROR(VLOOKUP(A1515,'[2]UPDATE BILL 2018'!$G:$T,14,0),IFERROR(VLOOKUP(A1515,'[2]UPDATE BILL 2018'!$H:$T,13,0),IFERROR(VLOOKUP(A1515,'[2]UPDATE BILL 2018'!$I:$T,12,0),VLOOKUP(A1515,'[2]UPDATE BILL 2018'!$B:$T,19,0)))))))))</f>
        <v>43353</v>
      </c>
      <c r="AC1515" s="44" t="str">
        <f>IFERROR(VLOOKUP(A1515,'[2]UPDATE BILL 2018'!$B:$V,21,0),IFERROR(VLOOKUP(A1515,'[2]UPDATE BILL 2018'!$C:$V,20,0),IFERROR(VLOOKUP(A1515,'[2]UPDATE BILL 2018'!$D:$V,19,0),IFERROR(VLOOKUP(A1515,'[2]UPDATE BILL 2018'!$E:$V,18,0),IFERROR(VLOOKUP(A1515,'[2]UPDATE BILL 2018'!$F:$V,17,0),IFERROR(VLOOKUP(A1515,'[2]UPDATE BILL 2018'!$G:$V,16,0),IFERROR(VLOOKUP(A1515,'[2]UPDATE BILL 2018'!$H:$V,15,0),IFERROR(VLOOKUP(A1515,'[2]UPDATE BILL 2018'!$I:$V,14,0),VLOOKUP(A1515,'[2]UPDATE BILL 2018'!$B:$V,21,0)))))))))</f>
        <v>SITC NAGOYA 1825N</v>
      </c>
      <c r="AD1515" s="14" t="s">
        <v>50</v>
      </c>
      <c r="AE1515" s="24" t="s">
        <v>3809</v>
      </c>
      <c r="AF1515" s="25" t="str">
        <f t="shared" si="139"/>
        <v>VW</v>
      </c>
      <c r="AG1515" t="e">
        <f t="shared" si="135"/>
        <v>#REF!</v>
      </c>
      <c r="AI1515" s="58"/>
    </row>
    <row r="1516" spans="1:35" ht="15.75" customHeight="1">
      <c r="A1516" s="6" t="s">
        <v>3798</v>
      </c>
      <c r="B1516" s="5">
        <v>445</v>
      </c>
      <c r="C1516" s="7">
        <v>39204.9</v>
      </c>
      <c r="D1516" s="7">
        <f t="shared" ref="D1516:D1579" si="140">E1516+F1516</f>
        <v>0</v>
      </c>
      <c r="E1516" s="7">
        <v>0</v>
      </c>
      <c r="F1516" s="5">
        <v>0</v>
      </c>
      <c r="G1516" s="7">
        <v>0</v>
      </c>
      <c r="H1516" s="5">
        <v>110</v>
      </c>
      <c r="I1516" s="7">
        <v>12376.849999999999</v>
      </c>
      <c r="J1516" s="7">
        <v>0</v>
      </c>
      <c r="K1516" s="5">
        <v>0</v>
      </c>
      <c r="L1516" s="5">
        <v>0</v>
      </c>
      <c r="M1516" s="5">
        <v>112</v>
      </c>
      <c r="N1516" s="7">
        <f t="shared" ref="N1516:N1579" si="141">M1516-K1516</f>
        <v>112</v>
      </c>
      <c r="O1516" s="7">
        <v>10586.5</v>
      </c>
      <c r="P1516" s="7">
        <v>0</v>
      </c>
      <c r="Q1516" s="5">
        <v>0</v>
      </c>
      <c r="R1516" s="5">
        <v>372</v>
      </c>
      <c r="S1516" s="7">
        <v>71625.8</v>
      </c>
      <c r="T1516" s="12">
        <v>43350</v>
      </c>
      <c r="U1516" s="4">
        <v>7</v>
      </c>
      <c r="V1516" s="4">
        <v>9</v>
      </c>
      <c r="W1516" s="4">
        <v>9</v>
      </c>
      <c r="X1516" s="45">
        <f t="shared" ref="X1516:X1579" si="142">+C1516+G1516+I1516+O1516+S1516</f>
        <v>133794.04999999999</v>
      </c>
      <c r="Y1516" s="14" t="s">
        <v>54</v>
      </c>
      <c r="Z1516" s="14" t="s">
        <v>1281</v>
      </c>
      <c r="AA1516" s="14" t="str">
        <f>IFERROR(VLOOKUP(A1516,'[2]UPDATE BILL 2018'!$B:$P,15,0),IFERROR(VLOOKUP(A1516,'[2]UPDATE BILL 2018'!$C:$P,14,0),IFERROR(VLOOKUP(A1516,'[2]UPDATE BILL 2018'!$D:$P,13,0),IFERROR(VLOOKUP(A1516,'[2]UPDATE BILL 2018'!$E:$P,12,0),IFERROR(VLOOKUP(A1516,'[2]UPDATE BILL 2018'!$F:$P,11,0),IFERROR(VLOOKUP(A1516,'[2]UPDATE BILL 2018'!$G:$P,10,0),IFERROR(VLOOKUP(A1516,'[2]UPDATE BILL 2018'!$H:$P,9,0),IFERROR(VLOOKUP(A1516,'[2]UPDATE BILL 2018'!$I:$P,8,0),VLOOKUP(A1516,'[2]UPDATE BILL 2018'!$B:$P,15,0)))))))))</f>
        <v>SITWHPOS177714</v>
      </c>
      <c r="AB1516" s="44">
        <f>IFERROR(VLOOKUP(A1516,'[2]UPDATE BILL 2018'!$B:$T,19,0),IFERROR(VLOOKUP(A1516,'[2]UPDATE BILL 2018'!$C:$T,18,0),IFERROR(VLOOKUP(A1516,'[2]UPDATE BILL 2018'!$D:$T,17,0),IFERROR(VLOOKUP(A1516,'[2]UPDATE BILL 2018'!$E:$T,16,0),IFERROR(VLOOKUP(A1516,'[2]UPDATE BILL 2018'!$F:$T,15,0),IFERROR(VLOOKUP(A1516,'[2]UPDATE BILL 2018'!$G:$T,14,0),IFERROR(VLOOKUP(A1516,'[2]UPDATE BILL 2018'!$H:$T,13,0),IFERROR(VLOOKUP(A1516,'[2]UPDATE BILL 2018'!$I:$T,12,0),VLOOKUP(A1516,'[2]UPDATE BILL 2018'!$B:$T,19,0)))))))))</f>
        <v>43352</v>
      </c>
      <c r="AC1516" s="44" t="str">
        <f>IFERROR(VLOOKUP(A1516,'[2]UPDATE BILL 2018'!$B:$V,21,0),IFERROR(VLOOKUP(A1516,'[2]UPDATE BILL 2018'!$C:$V,20,0),IFERROR(VLOOKUP(A1516,'[2]UPDATE BILL 2018'!$D:$V,19,0),IFERROR(VLOOKUP(A1516,'[2]UPDATE BILL 2018'!$E:$V,18,0),IFERROR(VLOOKUP(A1516,'[2]UPDATE BILL 2018'!$F:$V,17,0),IFERROR(VLOOKUP(A1516,'[2]UPDATE BILL 2018'!$G:$V,16,0),IFERROR(VLOOKUP(A1516,'[2]UPDATE BILL 2018'!$H:$V,15,0),IFERROR(VLOOKUP(A1516,'[2]UPDATE BILL 2018'!$I:$V,14,0),VLOOKUP(A1516,'[2]UPDATE BILL 2018'!$B:$V,21,0)))))))))</f>
        <v>SITC WEIHAI 1821N</v>
      </c>
      <c r="AD1516" s="14" t="s">
        <v>51</v>
      </c>
      <c r="AE1516" s="24" t="s">
        <v>3810</v>
      </c>
      <c r="AF1516" s="25" t="str">
        <f t="shared" si="139"/>
        <v>VS</v>
      </c>
      <c r="AG1516" t="e">
        <f t="shared" si="135"/>
        <v>#REF!</v>
      </c>
      <c r="AI1516" s="58"/>
    </row>
    <row r="1517" spans="1:35" ht="15.75" customHeight="1">
      <c r="A1517" s="6" t="s">
        <v>3797</v>
      </c>
      <c r="B1517" s="5">
        <v>168</v>
      </c>
      <c r="C1517" s="7">
        <v>13378.300000000003</v>
      </c>
      <c r="D1517" s="7">
        <f t="shared" si="140"/>
        <v>0</v>
      </c>
      <c r="E1517" s="7">
        <v>0</v>
      </c>
      <c r="F1517" s="5">
        <v>0</v>
      </c>
      <c r="G1517" s="7">
        <v>0</v>
      </c>
      <c r="H1517" s="5">
        <v>0</v>
      </c>
      <c r="I1517" s="7">
        <v>0</v>
      </c>
      <c r="J1517" s="7">
        <v>0</v>
      </c>
      <c r="K1517" s="5">
        <v>0</v>
      </c>
      <c r="L1517" s="5">
        <v>0</v>
      </c>
      <c r="M1517" s="5">
        <v>0</v>
      </c>
      <c r="N1517" s="7">
        <f t="shared" si="141"/>
        <v>0</v>
      </c>
      <c r="O1517" s="7">
        <v>0</v>
      </c>
      <c r="P1517" s="7">
        <v>0</v>
      </c>
      <c r="Q1517" s="5">
        <v>0</v>
      </c>
      <c r="R1517" s="5">
        <v>168</v>
      </c>
      <c r="S1517" s="7">
        <v>28329</v>
      </c>
      <c r="T1517" s="12">
        <v>43350</v>
      </c>
      <c r="U1517" s="4">
        <v>2</v>
      </c>
      <c r="V1517" s="4">
        <v>9</v>
      </c>
      <c r="W1517" s="4">
        <v>9</v>
      </c>
      <c r="X1517" s="45">
        <f t="shared" si="142"/>
        <v>41707.300000000003</v>
      </c>
      <c r="Y1517" s="14" t="s">
        <v>54</v>
      </c>
      <c r="Z1517" s="14" t="s">
        <v>3780</v>
      </c>
      <c r="AA1517" s="14" t="str">
        <f>IFERROR(VLOOKUP(A1517,'[2]UPDATE BILL 2018'!$B:$P,15,0),IFERROR(VLOOKUP(A1517,'[2]UPDATE BILL 2018'!$C:$P,14,0),IFERROR(VLOOKUP(A1517,'[2]UPDATE BILL 2018'!$D:$P,13,0),IFERROR(VLOOKUP(A1517,'[2]UPDATE BILL 2018'!$E:$P,12,0),IFERROR(VLOOKUP(A1517,'[2]UPDATE BILL 2018'!$F:$P,11,0),IFERROR(VLOOKUP(A1517,'[2]UPDATE BILL 2018'!$G:$P,10,0),IFERROR(VLOOKUP(A1517,'[2]UPDATE BILL 2018'!$H:$P,9,0),IFERROR(VLOOKUP(A1517,'[2]UPDATE BILL 2018'!$I:$P,8,0),VLOOKUP(A1517,'[2]UPDATE BILL 2018'!$B:$P,15,0)))))))))</f>
        <v>SITWHPHT177515</v>
      </c>
      <c r="AB1517" s="44">
        <f>IFERROR(VLOOKUP(A1517,'[2]UPDATE BILL 2018'!$B:$T,19,0),IFERROR(VLOOKUP(A1517,'[2]UPDATE BILL 2018'!$C:$T,18,0),IFERROR(VLOOKUP(A1517,'[2]UPDATE BILL 2018'!$D:$T,17,0),IFERROR(VLOOKUP(A1517,'[2]UPDATE BILL 2018'!$E:$T,16,0),IFERROR(VLOOKUP(A1517,'[2]UPDATE BILL 2018'!$F:$T,15,0),IFERROR(VLOOKUP(A1517,'[2]UPDATE BILL 2018'!$G:$T,14,0),IFERROR(VLOOKUP(A1517,'[2]UPDATE BILL 2018'!$H:$T,13,0),IFERROR(VLOOKUP(A1517,'[2]UPDATE BILL 2018'!$I:$T,12,0),VLOOKUP(A1517,'[2]UPDATE BILL 2018'!$B:$T,19,0)))))))))</f>
        <v>43352</v>
      </c>
      <c r="AC1517" s="44" t="str">
        <f>IFERROR(VLOOKUP(A1517,'[2]UPDATE BILL 2018'!$B:$V,21,0),IFERROR(VLOOKUP(A1517,'[2]UPDATE BILL 2018'!$C:$V,20,0),IFERROR(VLOOKUP(A1517,'[2]UPDATE BILL 2018'!$D:$V,19,0),IFERROR(VLOOKUP(A1517,'[2]UPDATE BILL 2018'!$E:$V,18,0),IFERROR(VLOOKUP(A1517,'[2]UPDATE BILL 2018'!$F:$V,17,0),IFERROR(VLOOKUP(A1517,'[2]UPDATE BILL 2018'!$G:$V,16,0),IFERROR(VLOOKUP(A1517,'[2]UPDATE BILL 2018'!$H:$V,15,0),IFERROR(VLOOKUP(A1517,'[2]UPDATE BILL 2018'!$I:$V,14,0),VLOOKUP(A1517,'[2]UPDATE BILL 2018'!$B:$V,21,0)))))))))</f>
        <v>SITC WEIHAI 1821N</v>
      </c>
      <c r="AD1517" s="14" t="s">
        <v>52</v>
      </c>
      <c r="AE1517" s="24" t="s">
        <v>3811</v>
      </c>
      <c r="AF1517" s="25" t="str">
        <f t="shared" si="139"/>
        <v>VQ</v>
      </c>
      <c r="AG1517" t="e">
        <f t="shared" si="135"/>
        <v>#REF!</v>
      </c>
      <c r="AI1517" s="58"/>
    </row>
    <row r="1518" spans="1:35" ht="15.75" customHeight="1">
      <c r="A1518" s="6" t="s">
        <v>3801</v>
      </c>
      <c r="B1518" s="5">
        <v>272</v>
      </c>
      <c r="C1518" s="7">
        <v>23677.789999999994</v>
      </c>
      <c r="D1518" s="7">
        <f t="shared" si="140"/>
        <v>0</v>
      </c>
      <c r="E1518" s="7">
        <v>0</v>
      </c>
      <c r="F1518" s="5">
        <v>0</v>
      </c>
      <c r="G1518" s="7">
        <v>0</v>
      </c>
      <c r="H1518" s="5">
        <v>25</v>
      </c>
      <c r="I1518" s="7">
        <v>2731.85</v>
      </c>
      <c r="J1518" s="7">
        <v>0</v>
      </c>
      <c r="K1518" s="5">
        <v>0</v>
      </c>
      <c r="L1518" s="5">
        <v>0</v>
      </c>
      <c r="M1518" s="5">
        <v>58</v>
      </c>
      <c r="N1518" s="7">
        <f t="shared" si="141"/>
        <v>58</v>
      </c>
      <c r="O1518" s="7">
        <v>6783.1999999999989</v>
      </c>
      <c r="P1518" s="7">
        <v>0</v>
      </c>
      <c r="Q1518" s="5">
        <v>0</v>
      </c>
      <c r="S1518" s="7">
        <v>0</v>
      </c>
      <c r="T1518" s="12">
        <v>43351</v>
      </c>
      <c r="U1518" s="4">
        <v>3</v>
      </c>
      <c r="V1518" s="4">
        <v>9</v>
      </c>
      <c r="W1518" s="4">
        <v>9</v>
      </c>
      <c r="X1518" s="45">
        <f t="shared" si="142"/>
        <v>33192.839999999989</v>
      </c>
      <c r="Y1518" s="14" t="s">
        <v>1633</v>
      </c>
      <c r="Z1518" s="14" t="s">
        <v>3780</v>
      </c>
      <c r="AA1518" s="14" t="str">
        <f>IFERROR(VLOOKUP(A1518,'[2]UPDATE BILL 2018'!$B:$P,15,0),IFERROR(VLOOKUP(A1518,'[2]UPDATE BILL 2018'!$C:$P,14,0),IFERROR(VLOOKUP(A1518,'[2]UPDATE BILL 2018'!$D:$P,13,0),IFERROR(VLOOKUP(A1518,'[2]UPDATE BILL 2018'!$E:$P,12,0),IFERROR(VLOOKUP(A1518,'[2]UPDATE BILL 2018'!$F:$P,11,0),IFERROR(VLOOKUP(A1518,'[2]UPDATE BILL 2018'!$G:$P,10,0),IFERROR(VLOOKUP(A1518,'[2]UPDATE BILL 2018'!$H:$P,9,0),IFERROR(VLOOKUP(A1518,'[2]UPDATE BILL 2018'!$I:$P,8,0),VLOOKUP(A1518,'[2]UPDATE BILL 2018'!$B:$P,15,0)))))))))</f>
        <v>KMTCHPH0581535</v>
      </c>
      <c r="AB1518" s="44">
        <f>IFERROR(VLOOKUP(A1518,'[2]UPDATE BILL 2018'!$B:$T,19,0),IFERROR(VLOOKUP(A1518,'[2]UPDATE BILL 2018'!$C:$T,18,0),IFERROR(VLOOKUP(A1518,'[2]UPDATE BILL 2018'!$D:$T,17,0),IFERROR(VLOOKUP(A1518,'[2]UPDATE BILL 2018'!$E:$T,16,0),IFERROR(VLOOKUP(A1518,'[2]UPDATE BILL 2018'!$F:$T,15,0),IFERROR(VLOOKUP(A1518,'[2]UPDATE BILL 2018'!$G:$T,14,0),IFERROR(VLOOKUP(A1518,'[2]UPDATE BILL 2018'!$H:$T,13,0),IFERROR(VLOOKUP(A1518,'[2]UPDATE BILL 2018'!$I:$T,12,0),VLOOKUP(A1518,'[2]UPDATE BILL 2018'!$B:$T,19,0)))))))))</f>
        <v>43353</v>
      </c>
      <c r="AC1518" s="44" t="str">
        <f>IFERROR(VLOOKUP(A1518,'[2]UPDATE BILL 2018'!$B:$V,21,0),IFERROR(VLOOKUP(A1518,'[2]UPDATE BILL 2018'!$C:$V,20,0),IFERROR(VLOOKUP(A1518,'[2]UPDATE BILL 2018'!$D:$V,19,0),IFERROR(VLOOKUP(A1518,'[2]UPDATE BILL 2018'!$E:$V,18,0),IFERROR(VLOOKUP(A1518,'[2]UPDATE BILL 2018'!$F:$V,17,0),IFERROR(VLOOKUP(A1518,'[2]UPDATE BILL 2018'!$G:$V,16,0),IFERROR(VLOOKUP(A1518,'[2]UPDATE BILL 2018'!$H:$V,15,0),IFERROR(VLOOKUP(A1518,'[2]UPDATE BILL 2018'!$I:$V,14,0),VLOOKUP(A1518,'[2]UPDATE BILL 2018'!$B:$V,21,0)))))))))</f>
        <v>HONGKONG VOYAGER 0083N</v>
      </c>
      <c r="AD1518" s="14" t="s">
        <v>70</v>
      </c>
      <c r="AE1518" s="24" t="s">
        <v>3812</v>
      </c>
      <c r="AF1518" s="25" t="str">
        <f t="shared" si="139"/>
        <v>VH</v>
      </c>
      <c r="AG1518" t="e">
        <f t="shared" si="135"/>
        <v>#REF!</v>
      </c>
      <c r="AI1518" s="58"/>
    </row>
    <row r="1519" spans="1:35" ht="15.75" customHeight="1">
      <c r="A1519" s="6" t="s">
        <v>3802</v>
      </c>
      <c r="B1519" s="5">
        <v>277</v>
      </c>
      <c r="C1519" s="7">
        <v>9095.8000000000011</v>
      </c>
      <c r="D1519" s="7">
        <f t="shared" si="140"/>
        <v>0</v>
      </c>
      <c r="E1519" s="7">
        <v>0</v>
      </c>
      <c r="F1519" s="5">
        <v>0</v>
      </c>
      <c r="G1519" s="7">
        <v>0</v>
      </c>
      <c r="H1519" s="5">
        <v>303</v>
      </c>
      <c r="I1519" s="7">
        <v>28741.390000000003</v>
      </c>
      <c r="J1519" s="7">
        <v>0</v>
      </c>
      <c r="K1519" s="5">
        <v>0</v>
      </c>
      <c r="L1519" s="5">
        <v>0</v>
      </c>
      <c r="M1519" s="5">
        <v>375</v>
      </c>
      <c r="N1519" s="7">
        <f t="shared" si="141"/>
        <v>375</v>
      </c>
      <c r="O1519" s="7">
        <v>11100.550000000001</v>
      </c>
      <c r="P1519" s="7">
        <v>0</v>
      </c>
      <c r="Q1519" s="5">
        <v>0</v>
      </c>
      <c r="R1519" s="5">
        <v>271</v>
      </c>
      <c r="S1519" s="7">
        <v>50011.8</v>
      </c>
      <c r="T1519" s="12">
        <v>43351</v>
      </c>
      <c r="U1519" s="4">
        <v>5</v>
      </c>
      <c r="V1519" s="4">
        <v>9</v>
      </c>
      <c r="W1519" s="4">
        <v>9</v>
      </c>
      <c r="X1519" s="45">
        <f t="shared" si="142"/>
        <v>98949.540000000008</v>
      </c>
      <c r="Y1519" s="14" t="s">
        <v>54</v>
      </c>
      <c r="Z1519" s="14" t="s">
        <v>2525</v>
      </c>
      <c r="AA1519" s="14" t="str">
        <f>IFERROR(VLOOKUP(A1519,'[2]UPDATE BILL 2018'!$B:$P,15,0),IFERROR(VLOOKUP(A1519,'[2]UPDATE BILL 2018'!$C:$P,14,0),IFERROR(VLOOKUP(A1519,'[2]UPDATE BILL 2018'!$D:$P,13,0),IFERROR(VLOOKUP(A1519,'[2]UPDATE BILL 2018'!$E:$P,12,0),IFERROR(VLOOKUP(A1519,'[2]UPDATE BILL 2018'!$F:$P,11,0),IFERROR(VLOOKUP(A1519,'[2]UPDATE BILL 2018'!$G:$P,10,0),IFERROR(VLOOKUP(A1519,'[2]UPDATE BILL 2018'!$H:$P,9,0),IFERROR(VLOOKUP(A1519,'[2]UPDATE BILL 2018'!$I:$P,8,0),VLOOKUP(A1519,'[2]UPDATE BILL 2018'!$B:$P,15,0)))))))))</f>
        <v>SITWHPTK177116</v>
      </c>
      <c r="AB1519" s="44">
        <f>IFERROR(VLOOKUP(A1519,'[2]UPDATE BILL 2018'!$B:$T,19,0),IFERROR(VLOOKUP(A1519,'[2]UPDATE BILL 2018'!$C:$T,18,0),IFERROR(VLOOKUP(A1519,'[2]UPDATE BILL 2018'!$D:$T,17,0),IFERROR(VLOOKUP(A1519,'[2]UPDATE BILL 2018'!$E:$T,16,0),IFERROR(VLOOKUP(A1519,'[2]UPDATE BILL 2018'!$F:$T,15,0),IFERROR(VLOOKUP(A1519,'[2]UPDATE BILL 2018'!$G:$T,14,0),IFERROR(VLOOKUP(A1519,'[2]UPDATE BILL 2018'!$H:$T,13,0),IFERROR(VLOOKUP(A1519,'[2]UPDATE BILL 2018'!$I:$T,12,0),VLOOKUP(A1519,'[2]UPDATE BILL 2018'!$B:$T,19,0)))))))))</f>
        <v>43353</v>
      </c>
      <c r="AC1519" s="44" t="str">
        <f>IFERROR(VLOOKUP(A1519,'[2]UPDATE BILL 2018'!$B:$V,21,0),IFERROR(VLOOKUP(A1519,'[2]UPDATE BILL 2018'!$C:$V,20,0),IFERROR(VLOOKUP(A1519,'[2]UPDATE BILL 2018'!$D:$V,19,0),IFERROR(VLOOKUP(A1519,'[2]UPDATE BILL 2018'!$E:$V,18,0),IFERROR(VLOOKUP(A1519,'[2]UPDATE BILL 2018'!$F:$V,17,0),IFERROR(VLOOKUP(A1519,'[2]UPDATE BILL 2018'!$G:$V,16,0),IFERROR(VLOOKUP(A1519,'[2]UPDATE BILL 2018'!$H:$V,15,0),IFERROR(VLOOKUP(A1519,'[2]UPDATE BILL 2018'!$I:$V,14,0),VLOOKUP(A1519,'[2]UPDATE BILL 2018'!$B:$V,21,0)))))))))</f>
        <v>SITC NAGOYA 1825N</v>
      </c>
      <c r="AD1519" s="14" t="s">
        <v>49</v>
      </c>
      <c r="AE1519" s="24" t="s">
        <v>3813</v>
      </c>
      <c r="AF1519" s="25" t="str">
        <f t="shared" si="139"/>
        <v>VK</v>
      </c>
      <c r="AG1519" t="e">
        <f t="shared" si="135"/>
        <v>#REF!</v>
      </c>
      <c r="AI1519" s="58"/>
    </row>
    <row r="1520" spans="1:35" ht="15.75" customHeight="1">
      <c r="A1520" s="6" t="s">
        <v>3803</v>
      </c>
      <c r="B1520" s="5">
        <v>44</v>
      </c>
      <c r="C1520" s="7">
        <v>5016.9399999999996</v>
      </c>
      <c r="D1520" s="7">
        <f t="shared" si="140"/>
        <v>0</v>
      </c>
      <c r="E1520" s="7">
        <v>0</v>
      </c>
      <c r="F1520" s="5">
        <v>0</v>
      </c>
      <c r="G1520" s="7">
        <v>0</v>
      </c>
      <c r="H1520" s="5">
        <v>0</v>
      </c>
      <c r="I1520" s="7">
        <v>0</v>
      </c>
      <c r="J1520" s="7">
        <v>0</v>
      </c>
      <c r="K1520" s="5">
        <v>0</v>
      </c>
      <c r="L1520" s="5">
        <v>0</v>
      </c>
      <c r="M1520" s="5">
        <v>85</v>
      </c>
      <c r="N1520" s="7">
        <f t="shared" si="141"/>
        <v>85</v>
      </c>
      <c r="O1520" s="7">
        <v>15021.099999999999</v>
      </c>
      <c r="P1520" s="7">
        <v>0</v>
      </c>
      <c r="Q1520" s="5">
        <v>0</v>
      </c>
      <c r="S1520" s="7">
        <v>0</v>
      </c>
      <c r="T1520" s="12">
        <v>43351</v>
      </c>
      <c r="U1520" s="4">
        <v>2</v>
      </c>
      <c r="V1520" s="4">
        <v>9</v>
      </c>
      <c r="W1520" s="4">
        <v>9</v>
      </c>
      <c r="X1520" s="45">
        <f t="shared" si="142"/>
        <v>20038.039999999997</v>
      </c>
      <c r="Y1520" s="14" t="s">
        <v>54</v>
      </c>
      <c r="Z1520" s="14" t="s">
        <v>3780</v>
      </c>
      <c r="AA1520" s="14" t="str">
        <f>IFERROR(VLOOKUP(A1520,'[2]UPDATE BILL 2018'!$B:$P,15,0),IFERROR(VLOOKUP(A1520,'[2]UPDATE BILL 2018'!$C:$P,14,0),IFERROR(VLOOKUP(A1520,'[2]UPDATE BILL 2018'!$D:$P,13,0),IFERROR(VLOOKUP(A1520,'[2]UPDATE BILL 2018'!$E:$P,12,0),IFERROR(VLOOKUP(A1520,'[2]UPDATE BILL 2018'!$F:$P,11,0),IFERROR(VLOOKUP(A1520,'[2]UPDATE BILL 2018'!$G:$P,10,0),IFERROR(VLOOKUP(A1520,'[2]UPDATE BILL 2018'!$H:$P,9,0),IFERROR(VLOOKUP(A1520,'[2]UPDATE BILL 2018'!$I:$P,8,0),VLOOKUP(A1520,'[2]UPDATE BILL 2018'!$B:$P,15,0)))))))))</f>
        <v>SITWHPTK177116</v>
      </c>
      <c r="AB1520" s="44">
        <f>IFERROR(VLOOKUP(A1520,'[2]UPDATE BILL 2018'!$B:$T,19,0),IFERROR(VLOOKUP(A1520,'[2]UPDATE BILL 2018'!$C:$T,18,0),IFERROR(VLOOKUP(A1520,'[2]UPDATE BILL 2018'!$D:$T,17,0),IFERROR(VLOOKUP(A1520,'[2]UPDATE BILL 2018'!$E:$T,16,0),IFERROR(VLOOKUP(A1520,'[2]UPDATE BILL 2018'!$F:$T,15,0),IFERROR(VLOOKUP(A1520,'[2]UPDATE BILL 2018'!$G:$T,14,0),IFERROR(VLOOKUP(A1520,'[2]UPDATE BILL 2018'!$H:$T,13,0),IFERROR(VLOOKUP(A1520,'[2]UPDATE BILL 2018'!$I:$T,12,0),VLOOKUP(A1520,'[2]UPDATE BILL 2018'!$B:$T,19,0)))))))))</f>
        <v>43353</v>
      </c>
      <c r="AC1520" s="44" t="str">
        <f>IFERROR(VLOOKUP(A1520,'[2]UPDATE BILL 2018'!$B:$V,21,0),IFERROR(VLOOKUP(A1520,'[2]UPDATE BILL 2018'!$C:$V,20,0),IFERROR(VLOOKUP(A1520,'[2]UPDATE BILL 2018'!$D:$V,19,0),IFERROR(VLOOKUP(A1520,'[2]UPDATE BILL 2018'!$E:$V,18,0),IFERROR(VLOOKUP(A1520,'[2]UPDATE BILL 2018'!$F:$V,17,0),IFERROR(VLOOKUP(A1520,'[2]UPDATE BILL 2018'!$G:$V,16,0),IFERROR(VLOOKUP(A1520,'[2]UPDATE BILL 2018'!$H:$V,15,0),IFERROR(VLOOKUP(A1520,'[2]UPDATE BILL 2018'!$I:$V,14,0),VLOOKUP(A1520,'[2]UPDATE BILL 2018'!$B:$V,21,0)))))))))</f>
        <v>SITC NAGOYA 1825N</v>
      </c>
      <c r="AD1520" s="14" t="s">
        <v>49</v>
      </c>
      <c r="AE1520" s="24" t="s">
        <v>3814</v>
      </c>
      <c r="AF1520" s="25" t="str">
        <f t="shared" si="139"/>
        <v>VZ</v>
      </c>
      <c r="AG1520" t="e">
        <f t="shared" si="135"/>
        <v>#REF!</v>
      </c>
      <c r="AI1520" s="58"/>
    </row>
    <row r="1521" spans="1:41" ht="15.75" customHeight="1">
      <c r="A1521" s="6" t="s">
        <v>3804</v>
      </c>
      <c r="B1521" s="5">
        <v>19</v>
      </c>
      <c r="C1521" s="7">
        <v>2713.1000000000004</v>
      </c>
      <c r="D1521" s="7">
        <f t="shared" si="140"/>
        <v>0</v>
      </c>
      <c r="E1521" s="7">
        <v>0</v>
      </c>
      <c r="F1521" s="5">
        <v>0</v>
      </c>
      <c r="G1521" s="7">
        <v>0</v>
      </c>
      <c r="H1521" s="5">
        <v>0</v>
      </c>
      <c r="I1521" s="7">
        <v>0</v>
      </c>
      <c r="J1521" s="7">
        <v>0</v>
      </c>
      <c r="K1521" s="5">
        <v>0</v>
      </c>
      <c r="L1521" s="5">
        <v>0</v>
      </c>
      <c r="M1521" s="5">
        <v>42</v>
      </c>
      <c r="N1521" s="7">
        <f t="shared" si="141"/>
        <v>42</v>
      </c>
      <c r="O1521" s="7">
        <v>6194</v>
      </c>
      <c r="P1521" s="7">
        <v>0</v>
      </c>
      <c r="Q1521" s="5">
        <v>0</v>
      </c>
      <c r="S1521" s="7">
        <v>0</v>
      </c>
      <c r="T1521" s="12">
        <v>43351</v>
      </c>
      <c r="U1521" s="4">
        <v>1</v>
      </c>
      <c r="V1521" s="4">
        <v>9</v>
      </c>
      <c r="W1521" s="4">
        <v>9</v>
      </c>
      <c r="X1521" s="45">
        <f t="shared" si="142"/>
        <v>8907.1</v>
      </c>
      <c r="Y1521" s="14" t="s">
        <v>56</v>
      </c>
      <c r="Z1521" s="14" t="s">
        <v>3780</v>
      </c>
      <c r="AA1521" s="14" t="str">
        <f>IFERROR(VLOOKUP(A1521,'[2]UPDATE BILL 2018'!$B:$P,15,0),IFERROR(VLOOKUP(A1521,'[2]UPDATE BILL 2018'!$C:$P,14,0),IFERROR(VLOOKUP(A1521,'[2]UPDATE BILL 2018'!$D:$P,13,0),IFERROR(VLOOKUP(A1521,'[2]UPDATE BILL 2018'!$E:$P,12,0),IFERROR(VLOOKUP(A1521,'[2]UPDATE BILL 2018'!$F:$P,11,0),IFERROR(VLOOKUP(A1521,'[2]UPDATE BILL 2018'!$G:$P,10,0),IFERROR(VLOOKUP(A1521,'[2]UPDATE BILL 2018'!$H:$P,9,0),IFERROR(VLOOKUP(A1521,'[2]UPDATE BILL 2018'!$I:$P,8,0),VLOOKUP(A1521,'[2]UPDATE BILL 2018'!$B:$P,15,0)))))))))</f>
        <v>1008X05327</v>
      </c>
      <c r="AB1521" s="44">
        <f>IFERROR(VLOOKUP(A1521,'[2]UPDATE BILL 2018'!$B:$T,19,0),IFERROR(VLOOKUP(A1521,'[2]UPDATE BILL 2018'!$C:$T,18,0),IFERROR(VLOOKUP(A1521,'[2]UPDATE BILL 2018'!$D:$T,17,0),IFERROR(VLOOKUP(A1521,'[2]UPDATE BILL 2018'!$E:$T,16,0),IFERROR(VLOOKUP(A1521,'[2]UPDATE BILL 2018'!$F:$T,15,0),IFERROR(VLOOKUP(A1521,'[2]UPDATE BILL 2018'!$G:$T,14,0),IFERROR(VLOOKUP(A1521,'[2]UPDATE BILL 2018'!$H:$T,13,0),IFERROR(VLOOKUP(A1521,'[2]UPDATE BILL 2018'!$I:$T,12,0),VLOOKUP(A1521,'[2]UPDATE BILL 2018'!$B:$T,19,0)))))))))</f>
        <v>43356</v>
      </c>
      <c r="AC1521" s="44" t="str">
        <f>IFERROR(VLOOKUP(A1521,'[2]UPDATE BILL 2018'!$B:$V,21,0),IFERROR(VLOOKUP(A1521,'[2]UPDATE BILL 2018'!$C:$V,20,0),IFERROR(VLOOKUP(A1521,'[2]UPDATE BILL 2018'!$D:$V,19,0),IFERROR(VLOOKUP(A1521,'[2]UPDATE BILL 2018'!$E:$V,18,0),IFERROR(VLOOKUP(A1521,'[2]UPDATE BILL 2018'!$F:$V,17,0),IFERROR(VLOOKUP(A1521,'[2]UPDATE BILL 2018'!$G:$V,16,0),IFERROR(VLOOKUP(A1521,'[2]UPDATE BILL 2018'!$H:$V,15,0),IFERROR(VLOOKUP(A1521,'[2]UPDATE BILL 2018'!$I:$V,14,0),VLOOKUP(A1521,'[2]UPDATE BILL 2018'!$B:$V,21,0)))))))))</f>
        <v>WAN HAI 172 S300</v>
      </c>
      <c r="AD1521" s="14" t="s">
        <v>49</v>
      </c>
      <c r="AE1521" s="24" t="s">
        <v>3815</v>
      </c>
      <c r="AF1521" s="25" t="str">
        <f t="shared" si="139"/>
        <v>VN</v>
      </c>
      <c r="AG1521" t="e">
        <f t="shared" si="135"/>
        <v>#REF!</v>
      </c>
      <c r="AI1521" s="58"/>
    </row>
    <row r="1522" spans="1:41" ht="15.75" customHeight="1">
      <c r="A1522" s="6" t="s">
        <v>3805</v>
      </c>
      <c r="B1522" s="5">
        <v>171</v>
      </c>
      <c r="C1522" s="7">
        <v>12576.900000000001</v>
      </c>
      <c r="D1522" s="7">
        <f t="shared" si="140"/>
        <v>0</v>
      </c>
      <c r="E1522" s="7">
        <v>0</v>
      </c>
      <c r="F1522" s="5">
        <v>0</v>
      </c>
      <c r="G1522" s="7">
        <v>0</v>
      </c>
      <c r="H1522" s="5">
        <v>208</v>
      </c>
      <c r="I1522" s="7">
        <v>5153.2</v>
      </c>
      <c r="J1522" s="7">
        <v>0</v>
      </c>
      <c r="K1522" s="5">
        <v>0</v>
      </c>
      <c r="L1522" s="5">
        <v>0</v>
      </c>
      <c r="M1522" s="5">
        <v>212</v>
      </c>
      <c r="N1522" s="7">
        <f t="shared" si="141"/>
        <v>212</v>
      </c>
      <c r="O1522" s="7">
        <v>31108.599999999995</v>
      </c>
      <c r="P1522" s="7">
        <v>0</v>
      </c>
      <c r="Q1522" s="5">
        <v>0</v>
      </c>
      <c r="R1522" s="5">
        <v>611</v>
      </c>
      <c r="S1522" s="7">
        <v>102126.5</v>
      </c>
      <c r="T1522" s="12">
        <v>43351</v>
      </c>
      <c r="U1522" s="4">
        <v>8</v>
      </c>
      <c r="V1522" s="4">
        <v>9</v>
      </c>
      <c r="W1522" s="4">
        <v>9</v>
      </c>
      <c r="X1522" s="45">
        <f t="shared" si="142"/>
        <v>150965.20000000001</v>
      </c>
      <c r="Y1522" s="14" t="s">
        <v>54</v>
      </c>
      <c r="Z1522" s="14" t="s">
        <v>2525</v>
      </c>
      <c r="AA1522" s="14" t="str">
        <f>IFERROR(VLOOKUP(A1522,'[2]UPDATE BILL 2018'!$B:$P,15,0),IFERROR(VLOOKUP(A1522,'[2]UPDATE BILL 2018'!$C:$P,14,0),IFERROR(VLOOKUP(A1522,'[2]UPDATE BILL 2018'!$D:$P,13,0),IFERROR(VLOOKUP(A1522,'[2]UPDATE BILL 2018'!$E:$P,12,0),IFERROR(VLOOKUP(A1522,'[2]UPDATE BILL 2018'!$F:$P,11,0),IFERROR(VLOOKUP(A1522,'[2]UPDATE BILL 2018'!$G:$P,10,0),IFERROR(VLOOKUP(A1522,'[2]UPDATE BILL 2018'!$H:$P,9,0),IFERROR(VLOOKUP(A1522,'[2]UPDATE BILL 2018'!$I:$P,8,0),VLOOKUP(A1522,'[2]UPDATE BILL 2018'!$B:$P,15,0)))))))))</f>
        <v>SITWHPKW177123</v>
      </c>
      <c r="AB1522" s="44">
        <f>IFERROR(VLOOKUP(A1522,'[2]UPDATE BILL 2018'!$B:$T,19,0),IFERROR(VLOOKUP(A1522,'[2]UPDATE BILL 2018'!$C:$T,18,0),IFERROR(VLOOKUP(A1522,'[2]UPDATE BILL 2018'!$D:$T,17,0),IFERROR(VLOOKUP(A1522,'[2]UPDATE BILL 2018'!$E:$T,16,0),IFERROR(VLOOKUP(A1522,'[2]UPDATE BILL 2018'!$F:$T,15,0),IFERROR(VLOOKUP(A1522,'[2]UPDATE BILL 2018'!$G:$T,14,0),IFERROR(VLOOKUP(A1522,'[2]UPDATE BILL 2018'!$H:$T,13,0),IFERROR(VLOOKUP(A1522,'[2]UPDATE BILL 2018'!$I:$T,12,0),VLOOKUP(A1522,'[2]UPDATE BILL 2018'!$B:$T,19,0)))))))))</f>
        <v>43353</v>
      </c>
      <c r="AC1522" s="44" t="str">
        <f>IFERROR(VLOOKUP(A1522,'[2]UPDATE BILL 2018'!$B:$V,21,0),IFERROR(VLOOKUP(A1522,'[2]UPDATE BILL 2018'!$C:$V,20,0),IFERROR(VLOOKUP(A1522,'[2]UPDATE BILL 2018'!$D:$V,19,0),IFERROR(VLOOKUP(A1522,'[2]UPDATE BILL 2018'!$E:$V,18,0),IFERROR(VLOOKUP(A1522,'[2]UPDATE BILL 2018'!$F:$V,17,0),IFERROR(VLOOKUP(A1522,'[2]UPDATE BILL 2018'!$G:$V,16,0),IFERROR(VLOOKUP(A1522,'[2]UPDATE BILL 2018'!$H:$V,15,0),IFERROR(VLOOKUP(A1522,'[2]UPDATE BILL 2018'!$I:$V,14,0),VLOOKUP(A1522,'[2]UPDATE BILL 2018'!$B:$V,21,0)))))))))</f>
        <v>SITC NAGOYA 1825N</v>
      </c>
      <c r="AD1522" s="14" t="s">
        <v>50</v>
      </c>
      <c r="AE1522" s="24" t="s">
        <v>3816</v>
      </c>
      <c r="AF1522" s="25" t="str">
        <f t="shared" si="139"/>
        <v>VW</v>
      </c>
      <c r="AG1522" t="e">
        <f t="shared" si="135"/>
        <v>#REF!</v>
      </c>
      <c r="AI1522" s="58"/>
    </row>
    <row r="1523" spans="1:41" ht="15.75" customHeight="1">
      <c r="A1523" s="6" t="s">
        <v>3806</v>
      </c>
      <c r="B1523" s="5">
        <v>226</v>
      </c>
      <c r="C1523" s="7">
        <v>20758.599999999999</v>
      </c>
      <c r="D1523" s="7">
        <f t="shared" si="140"/>
        <v>0</v>
      </c>
      <c r="E1523" s="7">
        <v>0</v>
      </c>
      <c r="F1523" s="5">
        <v>0</v>
      </c>
      <c r="G1523" s="7">
        <v>0</v>
      </c>
      <c r="H1523" s="5">
        <v>326</v>
      </c>
      <c r="I1523" s="7">
        <v>15069.199999999999</v>
      </c>
      <c r="J1523" s="7">
        <v>0</v>
      </c>
      <c r="K1523" s="5">
        <v>0</v>
      </c>
      <c r="L1523" s="5">
        <v>0</v>
      </c>
      <c r="M1523" s="5">
        <v>182</v>
      </c>
      <c r="N1523" s="7">
        <f t="shared" si="141"/>
        <v>182</v>
      </c>
      <c r="O1523" s="7">
        <v>11353.400000000001</v>
      </c>
      <c r="P1523" s="7">
        <v>0</v>
      </c>
      <c r="Q1523" s="5">
        <v>0</v>
      </c>
      <c r="R1523" s="5">
        <v>725</v>
      </c>
      <c r="S1523" s="7">
        <v>131085.76000000001</v>
      </c>
      <c r="T1523" s="12">
        <v>43351</v>
      </c>
      <c r="U1523" s="4">
        <v>9</v>
      </c>
      <c r="V1523" s="4">
        <v>9</v>
      </c>
      <c r="W1523" s="4">
        <v>9</v>
      </c>
      <c r="X1523" s="45">
        <f t="shared" si="142"/>
        <v>178266.96000000002</v>
      </c>
      <c r="Y1523" s="14" t="s">
        <v>54</v>
      </c>
      <c r="Z1523" s="14" t="s">
        <v>1281</v>
      </c>
      <c r="AA1523" s="14" t="str">
        <f>IFERROR(VLOOKUP(A1523,'[2]UPDATE BILL 2018'!$B:$P,15,0),IFERROR(VLOOKUP(A1523,'[2]UPDATE BILL 2018'!$C:$P,14,0),IFERROR(VLOOKUP(A1523,'[2]UPDATE BILL 2018'!$D:$P,13,0),IFERROR(VLOOKUP(A1523,'[2]UPDATE BILL 2018'!$E:$P,12,0),IFERROR(VLOOKUP(A1523,'[2]UPDATE BILL 2018'!$F:$P,11,0),IFERROR(VLOOKUP(A1523,'[2]UPDATE BILL 2018'!$G:$P,10,0),IFERROR(VLOOKUP(A1523,'[2]UPDATE BILL 2018'!$H:$P,9,0),IFERROR(VLOOKUP(A1523,'[2]UPDATE BILL 2018'!$I:$P,8,0),VLOOKUP(A1523,'[2]UPDATE BILL 2018'!$B:$P,15,0)))))))))</f>
        <v>SITWHPOS177714</v>
      </c>
      <c r="AB1523" s="44">
        <f>IFERROR(VLOOKUP(A1523,'[2]UPDATE BILL 2018'!$B:$T,19,0),IFERROR(VLOOKUP(A1523,'[2]UPDATE BILL 2018'!$C:$T,18,0),IFERROR(VLOOKUP(A1523,'[2]UPDATE BILL 2018'!$D:$T,17,0),IFERROR(VLOOKUP(A1523,'[2]UPDATE BILL 2018'!$E:$T,16,0),IFERROR(VLOOKUP(A1523,'[2]UPDATE BILL 2018'!$F:$T,15,0),IFERROR(VLOOKUP(A1523,'[2]UPDATE BILL 2018'!$G:$T,14,0),IFERROR(VLOOKUP(A1523,'[2]UPDATE BILL 2018'!$H:$T,13,0),IFERROR(VLOOKUP(A1523,'[2]UPDATE BILL 2018'!$I:$T,12,0),VLOOKUP(A1523,'[2]UPDATE BILL 2018'!$B:$T,19,0)))))))))</f>
        <v>43352</v>
      </c>
      <c r="AC1523" s="44" t="str">
        <f>IFERROR(VLOOKUP(A1523,'[2]UPDATE BILL 2018'!$B:$V,21,0),IFERROR(VLOOKUP(A1523,'[2]UPDATE BILL 2018'!$C:$V,20,0),IFERROR(VLOOKUP(A1523,'[2]UPDATE BILL 2018'!$D:$V,19,0),IFERROR(VLOOKUP(A1523,'[2]UPDATE BILL 2018'!$E:$V,18,0),IFERROR(VLOOKUP(A1523,'[2]UPDATE BILL 2018'!$F:$V,17,0),IFERROR(VLOOKUP(A1523,'[2]UPDATE BILL 2018'!$G:$V,16,0),IFERROR(VLOOKUP(A1523,'[2]UPDATE BILL 2018'!$H:$V,15,0),IFERROR(VLOOKUP(A1523,'[2]UPDATE BILL 2018'!$I:$V,14,0),VLOOKUP(A1523,'[2]UPDATE BILL 2018'!$B:$V,21,0)))))))))</f>
        <v>SITC WEIHAI 1821N</v>
      </c>
      <c r="AD1523" s="14" t="s">
        <v>50</v>
      </c>
      <c r="AE1523" s="24" t="s">
        <v>3817</v>
      </c>
      <c r="AF1523" s="25" t="str">
        <f t="shared" si="139"/>
        <v>VS</v>
      </c>
      <c r="AG1523" t="e">
        <f t="shared" si="135"/>
        <v>#REF!</v>
      </c>
      <c r="AI1523" s="58"/>
    </row>
    <row r="1524" spans="1:41" ht="15.75" customHeight="1">
      <c r="A1524" s="6" t="s">
        <v>3807</v>
      </c>
      <c r="B1524" s="5">
        <v>30</v>
      </c>
      <c r="C1524" s="7">
        <v>3372.27</v>
      </c>
      <c r="D1524" s="7">
        <f t="shared" si="140"/>
        <v>0</v>
      </c>
      <c r="E1524" s="7">
        <v>0</v>
      </c>
      <c r="F1524" s="5">
        <v>0</v>
      </c>
      <c r="G1524" s="7">
        <v>0</v>
      </c>
      <c r="H1524" s="5">
        <v>131</v>
      </c>
      <c r="I1524" s="7">
        <v>9870.61</v>
      </c>
      <c r="J1524" s="7">
        <v>0</v>
      </c>
      <c r="K1524" s="5">
        <v>0</v>
      </c>
      <c r="L1524" s="5">
        <v>0</v>
      </c>
      <c r="M1524" s="5">
        <v>102</v>
      </c>
      <c r="N1524" s="7">
        <f t="shared" si="141"/>
        <v>102</v>
      </c>
      <c r="O1524" s="7">
        <v>8779.8999999999978</v>
      </c>
      <c r="P1524" s="7">
        <v>0</v>
      </c>
      <c r="Q1524" s="5">
        <v>0</v>
      </c>
      <c r="R1524" s="5">
        <v>20</v>
      </c>
      <c r="S1524" s="7">
        <v>1004.9</v>
      </c>
      <c r="T1524" s="12">
        <v>43351</v>
      </c>
      <c r="U1524" s="4">
        <v>2</v>
      </c>
      <c r="V1524" s="4">
        <v>9</v>
      </c>
      <c r="W1524" s="4">
        <v>9</v>
      </c>
      <c r="X1524" s="45">
        <f t="shared" si="142"/>
        <v>23027.68</v>
      </c>
      <c r="Y1524" s="14" t="s">
        <v>85</v>
      </c>
      <c r="Z1524" s="14" t="s">
        <v>3780</v>
      </c>
      <c r="AA1524" s="14">
        <f>IFERROR(VLOOKUP(A1524,'[2]UPDATE BILL 2018'!$B:$P,15,0),IFERROR(VLOOKUP(A1524,'[2]UPDATE BILL 2018'!$C:$P,14,0),IFERROR(VLOOKUP(A1524,'[2]UPDATE BILL 2018'!$D:$P,13,0),IFERROR(VLOOKUP(A1524,'[2]UPDATE BILL 2018'!$E:$P,12,0),IFERROR(VLOOKUP(A1524,'[2]UPDATE BILL 2018'!$F:$P,11,0),IFERROR(VLOOKUP(A1524,'[2]UPDATE BILL 2018'!$G:$P,10,0),IFERROR(VLOOKUP(A1524,'[2]UPDATE BILL 2018'!$H:$P,9,0),IFERROR(VLOOKUP(A1524,'[2]UPDATE BILL 2018'!$I:$P,8,0),VLOOKUP(A1524,'[2]UPDATE BILL 2018'!$B:$P,15,0)))))))))</f>
        <v>350810110872</v>
      </c>
      <c r="AB1524" s="44">
        <f>IFERROR(VLOOKUP(A1524,'[2]UPDATE BILL 2018'!$B:$T,19,0),IFERROR(VLOOKUP(A1524,'[2]UPDATE BILL 2018'!$C:$T,18,0),IFERROR(VLOOKUP(A1524,'[2]UPDATE BILL 2018'!$D:$T,17,0),IFERROR(VLOOKUP(A1524,'[2]UPDATE BILL 2018'!$E:$T,16,0),IFERROR(VLOOKUP(A1524,'[2]UPDATE BILL 2018'!$F:$T,15,0),IFERROR(VLOOKUP(A1524,'[2]UPDATE BILL 2018'!$G:$T,14,0),IFERROR(VLOOKUP(A1524,'[2]UPDATE BILL 2018'!$H:$T,13,0),IFERROR(VLOOKUP(A1524,'[2]UPDATE BILL 2018'!$I:$T,12,0),VLOOKUP(A1524,'[2]UPDATE BILL 2018'!$B:$T,19,0)))))))))</f>
        <v>43353</v>
      </c>
      <c r="AC1524" s="44" t="str">
        <f>IFERROR(VLOOKUP(A1524,'[2]UPDATE BILL 2018'!$B:$V,21,0),IFERROR(VLOOKUP(A1524,'[2]UPDATE BILL 2018'!$C:$V,20,0),IFERROR(VLOOKUP(A1524,'[2]UPDATE BILL 2018'!$D:$V,19,0),IFERROR(VLOOKUP(A1524,'[2]UPDATE BILL 2018'!$E:$V,18,0),IFERROR(VLOOKUP(A1524,'[2]UPDATE BILL 2018'!$F:$V,17,0),IFERROR(VLOOKUP(A1524,'[2]UPDATE BILL 2018'!$G:$V,16,0),IFERROR(VLOOKUP(A1524,'[2]UPDATE BILL 2018'!$H:$V,15,0),IFERROR(VLOOKUP(A1524,'[2]UPDATE BILL 2018'!$I:$V,14,0),VLOOKUP(A1524,'[2]UPDATE BILL 2018'!$B:$V,21,0)))))))))</f>
        <v>ULTIMA 18002N</v>
      </c>
      <c r="AD1524" s="14" t="s">
        <v>52</v>
      </c>
      <c r="AE1524" s="24" t="s">
        <v>3818</v>
      </c>
      <c r="AF1524" s="25" t="str">
        <f t="shared" si="139"/>
        <v>VQ</v>
      </c>
      <c r="AG1524" t="e">
        <f t="shared" si="135"/>
        <v>#REF!</v>
      </c>
      <c r="AI1524" s="58"/>
    </row>
    <row r="1525" spans="1:41" ht="15.75" customHeight="1">
      <c r="A1525" s="6" t="s">
        <v>3819</v>
      </c>
      <c r="D1525" s="7">
        <f t="shared" si="140"/>
        <v>0</v>
      </c>
      <c r="E1525" s="7">
        <v>0</v>
      </c>
      <c r="F1525" s="5">
        <v>0</v>
      </c>
      <c r="G1525" s="7">
        <v>0</v>
      </c>
      <c r="H1525" s="5">
        <v>201</v>
      </c>
      <c r="I1525" s="7">
        <v>24284.5</v>
      </c>
      <c r="J1525" s="7">
        <v>0</v>
      </c>
      <c r="K1525" s="5">
        <v>0</v>
      </c>
      <c r="L1525" s="5">
        <v>0</v>
      </c>
      <c r="M1525" s="5">
        <v>38</v>
      </c>
      <c r="N1525" s="7">
        <f t="shared" si="141"/>
        <v>38</v>
      </c>
      <c r="O1525" s="7">
        <v>6482.8</v>
      </c>
      <c r="P1525" s="7">
        <v>0</v>
      </c>
      <c r="Q1525" s="5">
        <v>0</v>
      </c>
      <c r="S1525" s="7">
        <v>0</v>
      </c>
      <c r="T1525" s="12">
        <v>43350</v>
      </c>
      <c r="U1525" s="4">
        <v>3</v>
      </c>
      <c r="V1525" s="4">
        <v>9</v>
      </c>
      <c r="W1525" s="4">
        <v>9</v>
      </c>
      <c r="X1525" s="45">
        <f t="shared" si="142"/>
        <v>30767.3</v>
      </c>
      <c r="Y1525" s="14" t="s">
        <v>85</v>
      </c>
      <c r="Z1525" s="14" t="s">
        <v>1637</v>
      </c>
      <c r="AA1525" s="14">
        <f>IFERROR(VLOOKUP(A1525,'[2]UPDATE BILL 2018'!$B:$P,15,0),IFERROR(VLOOKUP(A1525,'[2]UPDATE BILL 2018'!$C:$P,14,0),IFERROR(VLOOKUP(A1525,'[2]UPDATE BILL 2018'!$D:$P,13,0),IFERROR(VLOOKUP(A1525,'[2]UPDATE BILL 2018'!$E:$P,12,0),IFERROR(VLOOKUP(A1525,'[2]UPDATE BILL 2018'!$F:$P,11,0),IFERROR(VLOOKUP(A1525,'[2]UPDATE BILL 2018'!$G:$P,10,0),IFERROR(VLOOKUP(A1525,'[2]UPDATE BILL 2018'!$H:$P,9,0),IFERROR(VLOOKUP(A1525,'[2]UPDATE BILL 2018'!$I:$P,8,0),VLOOKUP(A1525,'[2]UPDATE BILL 2018'!$B:$P,15,0)))))))))</f>
        <v>350810109302</v>
      </c>
      <c r="AB1525" s="44">
        <f>IFERROR(VLOOKUP(A1525,'[2]UPDATE BILL 2018'!$B:$T,19,0),IFERROR(VLOOKUP(A1525,'[2]UPDATE BILL 2018'!$C:$T,18,0),IFERROR(VLOOKUP(A1525,'[2]UPDATE BILL 2018'!$D:$T,17,0),IFERROR(VLOOKUP(A1525,'[2]UPDATE BILL 2018'!$E:$T,16,0),IFERROR(VLOOKUP(A1525,'[2]UPDATE BILL 2018'!$F:$T,15,0),IFERROR(VLOOKUP(A1525,'[2]UPDATE BILL 2018'!$G:$T,14,0),IFERROR(VLOOKUP(A1525,'[2]UPDATE BILL 2018'!$H:$T,13,0),IFERROR(VLOOKUP(A1525,'[2]UPDATE BILL 2018'!$I:$T,12,0),VLOOKUP(A1525,'[2]UPDATE BILL 2018'!$B:$T,19,0)))))))))</f>
        <v>43355</v>
      </c>
      <c r="AC1525" s="44" t="str">
        <f>IFERROR(VLOOKUP(A1525,'[2]UPDATE BILL 2018'!$B:$V,21,0),IFERROR(VLOOKUP(A1525,'[2]UPDATE BILL 2018'!$C:$V,20,0),IFERROR(VLOOKUP(A1525,'[2]UPDATE BILL 2018'!$D:$V,19,0),IFERROR(VLOOKUP(A1525,'[2]UPDATE BILL 2018'!$E:$V,18,0),IFERROR(VLOOKUP(A1525,'[2]UPDATE BILL 2018'!$F:$V,17,0),IFERROR(VLOOKUP(A1525,'[2]UPDATE BILL 2018'!$G:$V,16,0),IFERROR(VLOOKUP(A1525,'[2]UPDATE BILL 2018'!$H:$V,15,0),IFERROR(VLOOKUP(A1525,'[2]UPDATE BILL 2018'!$I:$V,14,0),VLOOKUP(A1525,'[2]UPDATE BILL 2018'!$B:$V,21,0)))))))))</f>
        <v>MARCLIFF 18015N</v>
      </c>
      <c r="AD1525" s="14" t="s">
        <v>49</v>
      </c>
      <c r="AE1525" s="24" t="s">
        <v>3823</v>
      </c>
      <c r="AF1525" s="25" t="str">
        <f t="shared" si="139"/>
        <v>VK</v>
      </c>
      <c r="AG1525" t="e">
        <f t="shared" si="135"/>
        <v>#REF!</v>
      </c>
      <c r="AI1525" s="58"/>
    </row>
    <row r="1526" spans="1:41" ht="15.75" customHeight="1">
      <c r="A1526" s="6" t="s">
        <v>3820</v>
      </c>
      <c r="D1526" s="7">
        <f t="shared" si="140"/>
        <v>0</v>
      </c>
      <c r="E1526" s="7">
        <v>0</v>
      </c>
      <c r="F1526" s="5">
        <v>0</v>
      </c>
      <c r="G1526" s="7">
        <v>0</v>
      </c>
      <c r="H1526" s="5">
        <v>379</v>
      </c>
      <c r="I1526" s="7">
        <v>45162.910000000011</v>
      </c>
      <c r="J1526" s="7">
        <v>0</v>
      </c>
      <c r="K1526" s="5">
        <v>0</v>
      </c>
      <c r="L1526" s="5">
        <v>0</v>
      </c>
      <c r="M1526" s="5">
        <v>76</v>
      </c>
      <c r="N1526" s="7">
        <f t="shared" si="141"/>
        <v>76</v>
      </c>
      <c r="O1526" s="7">
        <v>12965.6</v>
      </c>
      <c r="P1526" s="7">
        <v>0</v>
      </c>
      <c r="Q1526" s="5">
        <v>0</v>
      </c>
      <c r="S1526" s="7">
        <v>0</v>
      </c>
      <c r="T1526" s="12">
        <v>43350</v>
      </c>
      <c r="U1526" s="4">
        <v>5</v>
      </c>
      <c r="V1526" s="4">
        <v>9</v>
      </c>
      <c r="W1526" s="4">
        <v>9</v>
      </c>
      <c r="X1526" s="45">
        <f t="shared" si="142"/>
        <v>58128.510000000009</v>
      </c>
      <c r="Y1526" s="14" t="s">
        <v>85</v>
      </c>
      <c r="Z1526" s="14" t="s">
        <v>3376</v>
      </c>
      <c r="AA1526" s="14">
        <f>IFERROR(VLOOKUP(A1526,'[2]UPDATE BILL 2018'!$B:$P,15,0),IFERROR(VLOOKUP(A1526,'[2]UPDATE BILL 2018'!$C:$P,14,0),IFERROR(VLOOKUP(A1526,'[2]UPDATE BILL 2018'!$D:$P,13,0),IFERROR(VLOOKUP(A1526,'[2]UPDATE BILL 2018'!$E:$P,12,0),IFERROR(VLOOKUP(A1526,'[2]UPDATE BILL 2018'!$F:$P,11,0),IFERROR(VLOOKUP(A1526,'[2]UPDATE BILL 2018'!$G:$P,10,0),IFERROR(VLOOKUP(A1526,'[2]UPDATE BILL 2018'!$H:$P,9,0),IFERROR(VLOOKUP(A1526,'[2]UPDATE BILL 2018'!$I:$P,8,0),VLOOKUP(A1526,'[2]UPDATE BILL 2018'!$B:$P,15,0)))))))))</f>
        <v>350810109302</v>
      </c>
      <c r="AB1526" s="44">
        <f>IFERROR(VLOOKUP(A1526,'[2]UPDATE BILL 2018'!$B:$T,19,0),IFERROR(VLOOKUP(A1526,'[2]UPDATE BILL 2018'!$C:$T,18,0),IFERROR(VLOOKUP(A1526,'[2]UPDATE BILL 2018'!$D:$T,17,0),IFERROR(VLOOKUP(A1526,'[2]UPDATE BILL 2018'!$E:$T,16,0),IFERROR(VLOOKUP(A1526,'[2]UPDATE BILL 2018'!$F:$T,15,0),IFERROR(VLOOKUP(A1526,'[2]UPDATE BILL 2018'!$G:$T,14,0),IFERROR(VLOOKUP(A1526,'[2]UPDATE BILL 2018'!$H:$T,13,0),IFERROR(VLOOKUP(A1526,'[2]UPDATE BILL 2018'!$I:$T,12,0),VLOOKUP(A1526,'[2]UPDATE BILL 2018'!$B:$T,19,0)))))))))</f>
        <v>43355</v>
      </c>
      <c r="AC1526" s="44" t="str">
        <f>IFERROR(VLOOKUP(A1526,'[2]UPDATE BILL 2018'!$B:$V,21,0),IFERROR(VLOOKUP(A1526,'[2]UPDATE BILL 2018'!$C:$V,20,0),IFERROR(VLOOKUP(A1526,'[2]UPDATE BILL 2018'!$D:$V,19,0),IFERROR(VLOOKUP(A1526,'[2]UPDATE BILL 2018'!$E:$V,18,0),IFERROR(VLOOKUP(A1526,'[2]UPDATE BILL 2018'!$F:$V,17,0),IFERROR(VLOOKUP(A1526,'[2]UPDATE BILL 2018'!$G:$V,16,0),IFERROR(VLOOKUP(A1526,'[2]UPDATE BILL 2018'!$H:$V,15,0),IFERROR(VLOOKUP(A1526,'[2]UPDATE BILL 2018'!$I:$V,14,0),VLOOKUP(A1526,'[2]UPDATE BILL 2018'!$B:$V,21,0)))))))))</f>
        <v>MARCLIFF 18015N</v>
      </c>
      <c r="AD1526" s="14" t="s">
        <v>49</v>
      </c>
      <c r="AE1526" s="24" t="s">
        <v>3824</v>
      </c>
      <c r="AF1526" s="25" t="str">
        <f t="shared" si="139"/>
        <v>VK</v>
      </c>
      <c r="AG1526" t="e">
        <f t="shared" si="135"/>
        <v>#REF!</v>
      </c>
      <c r="AI1526" s="58"/>
    </row>
    <row r="1527" spans="1:41" ht="15.75" customHeight="1">
      <c r="A1527" s="6" t="s">
        <v>3821</v>
      </c>
      <c r="B1527" s="5">
        <v>387</v>
      </c>
      <c r="C1527" s="7">
        <v>51286.600000000006</v>
      </c>
      <c r="D1527" s="7">
        <f t="shared" si="140"/>
        <v>0</v>
      </c>
      <c r="E1527" s="7">
        <v>0</v>
      </c>
      <c r="F1527" s="5">
        <v>0</v>
      </c>
      <c r="G1527" s="7">
        <v>0</v>
      </c>
      <c r="H1527" s="5">
        <v>365</v>
      </c>
      <c r="I1527" s="7">
        <v>47360.250000000007</v>
      </c>
      <c r="J1527" s="7">
        <v>0</v>
      </c>
      <c r="K1527" s="5">
        <v>0</v>
      </c>
      <c r="L1527" s="5">
        <v>0</v>
      </c>
      <c r="M1527" s="5">
        <v>147</v>
      </c>
      <c r="N1527" s="7">
        <f t="shared" si="141"/>
        <v>147</v>
      </c>
      <c r="O1527" s="7">
        <v>27410.5</v>
      </c>
      <c r="P1527" s="7">
        <v>0</v>
      </c>
      <c r="Q1527" s="5">
        <v>0</v>
      </c>
      <c r="S1527" s="7">
        <v>0</v>
      </c>
      <c r="T1527" s="12">
        <v>43350</v>
      </c>
      <c r="U1527" s="4">
        <v>10</v>
      </c>
      <c r="V1527" s="4">
        <v>9</v>
      </c>
      <c r="W1527" s="4">
        <v>9</v>
      </c>
      <c r="X1527" s="45">
        <f t="shared" si="142"/>
        <v>126057.35</v>
      </c>
      <c r="Y1527" s="14" t="s">
        <v>85</v>
      </c>
      <c r="Z1527" s="14" t="s">
        <v>1492</v>
      </c>
      <c r="AA1527" s="14">
        <f>IFERROR(VLOOKUP(A1527,'[2]UPDATE BILL 2018'!$B:$P,15,0),IFERROR(VLOOKUP(A1527,'[2]UPDATE BILL 2018'!$C:$P,14,0),IFERROR(VLOOKUP(A1527,'[2]UPDATE BILL 2018'!$D:$P,13,0),IFERROR(VLOOKUP(A1527,'[2]UPDATE BILL 2018'!$E:$P,12,0),IFERROR(VLOOKUP(A1527,'[2]UPDATE BILL 2018'!$F:$P,11,0),IFERROR(VLOOKUP(A1527,'[2]UPDATE BILL 2018'!$G:$P,10,0),IFERROR(VLOOKUP(A1527,'[2]UPDATE BILL 2018'!$H:$P,9,0),IFERROR(VLOOKUP(A1527,'[2]UPDATE BILL 2018'!$I:$P,8,0),VLOOKUP(A1527,'[2]UPDATE BILL 2018'!$B:$P,15,0)))))))))</f>
        <v>350810110537</v>
      </c>
      <c r="AB1527" s="44">
        <f>IFERROR(VLOOKUP(A1527,'[2]UPDATE BILL 2018'!$B:$T,19,0),IFERROR(VLOOKUP(A1527,'[2]UPDATE BILL 2018'!$C:$T,18,0),IFERROR(VLOOKUP(A1527,'[2]UPDATE BILL 2018'!$D:$T,17,0),IFERROR(VLOOKUP(A1527,'[2]UPDATE BILL 2018'!$E:$T,16,0),IFERROR(VLOOKUP(A1527,'[2]UPDATE BILL 2018'!$F:$T,15,0),IFERROR(VLOOKUP(A1527,'[2]UPDATE BILL 2018'!$G:$T,14,0),IFERROR(VLOOKUP(A1527,'[2]UPDATE BILL 2018'!$H:$T,13,0),IFERROR(VLOOKUP(A1527,'[2]UPDATE BILL 2018'!$I:$T,12,0),VLOOKUP(A1527,'[2]UPDATE BILL 2018'!$B:$T,19,0)))))))))</f>
        <v>43355</v>
      </c>
      <c r="AC1527" s="44" t="str">
        <f>IFERROR(VLOOKUP(A1527,'[2]UPDATE BILL 2018'!$B:$V,21,0),IFERROR(VLOOKUP(A1527,'[2]UPDATE BILL 2018'!$C:$V,20,0),IFERROR(VLOOKUP(A1527,'[2]UPDATE BILL 2018'!$D:$V,19,0),IFERROR(VLOOKUP(A1527,'[2]UPDATE BILL 2018'!$E:$V,18,0),IFERROR(VLOOKUP(A1527,'[2]UPDATE BILL 2018'!$F:$V,17,0),IFERROR(VLOOKUP(A1527,'[2]UPDATE BILL 2018'!$G:$V,16,0),IFERROR(VLOOKUP(A1527,'[2]UPDATE BILL 2018'!$H:$V,15,0),IFERROR(VLOOKUP(A1527,'[2]UPDATE BILL 2018'!$I:$V,14,0),VLOOKUP(A1527,'[2]UPDATE BILL 2018'!$B:$V,21,0)))))))))</f>
        <v>MARCLIFF 18015N</v>
      </c>
      <c r="AD1527" s="14" t="s">
        <v>51</v>
      </c>
      <c r="AE1527" s="24" t="s">
        <v>3825</v>
      </c>
      <c r="AF1527" s="25" t="str">
        <f t="shared" si="139"/>
        <v>VS</v>
      </c>
      <c r="AG1527" t="e">
        <f t="shared" si="135"/>
        <v>#REF!</v>
      </c>
      <c r="AI1527" s="58"/>
    </row>
    <row r="1528" spans="1:41" ht="15.75" customHeight="1">
      <c r="A1528" s="6" t="s">
        <v>3822</v>
      </c>
      <c r="B1528" s="5">
        <v>395</v>
      </c>
      <c r="C1528" s="7">
        <v>40677.1</v>
      </c>
      <c r="D1528" s="7">
        <f t="shared" si="140"/>
        <v>0</v>
      </c>
      <c r="E1528" s="7">
        <v>0</v>
      </c>
      <c r="F1528" s="5">
        <v>0</v>
      </c>
      <c r="G1528" s="7">
        <v>0</v>
      </c>
      <c r="H1528" s="5">
        <v>0</v>
      </c>
      <c r="I1528" s="7">
        <v>0</v>
      </c>
      <c r="J1528" s="7">
        <v>0</v>
      </c>
      <c r="K1528" s="5">
        <v>0</v>
      </c>
      <c r="L1528" s="5">
        <v>0</v>
      </c>
      <c r="M1528" s="5">
        <v>255</v>
      </c>
      <c r="N1528" s="7">
        <f t="shared" si="141"/>
        <v>255</v>
      </c>
      <c r="O1528" s="7">
        <v>47612.299999999988</v>
      </c>
      <c r="P1528" s="7">
        <v>0</v>
      </c>
      <c r="Q1528" s="5">
        <v>0</v>
      </c>
      <c r="S1528" s="7">
        <v>0</v>
      </c>
      <c r="T1528" s="12">
        <v>43350</v>
      </c>
      <c r="U1528" s="4">
        <v>8</v>
      </c>
      <c r="V1528" s="4">
        <v>9</v>
      </c>
      <c r="W1528" s="4">
        <v>9</v>
      </c>
      <c r="X1528" s="45">
        <f t="shared" si="142"/>
        <v>88289.4</v>
      </c>
      <c r="Y1528" s="14" t="s">
        <v>54</v>
      </c>
      <c r="Z1528" s="14" t="s">
        <v>59</v>
      </c>
      <c r="AA1528" s="14" t="str">
        <f>IFERROR(VLOOKUP(A1528,'[2]UPDATE BILL 2018'!$B:$P,15,0),IFERROR(VLOOKUP(A1528,'[2]UPDATE BILL 2018'!$C:$P,14,0),IFERROR(VLOOKUP(A1528,'[2]UPDATE BILL 2018'!$D:$P,13,0),IFERROR(VLOOKUP(A1528,'[2]UPDATE BILL 2018'!$E:$P,12,0),IFERROR(VLOOKUP(A1528,'[2]UPDATE BILL 2018'!$F:$P,11,0),IFERROR(VLOOKUP(A1528,'[2]UPDATE BILL 2018'!$G:$P,10,0),IFERROR(VLOOKUP(A1528,'[2]UPDATE BILL 2018'!$H:$P,9,0),IFERROR(VLOOKUP(A1528,'[2]UPDATE BILL 2018'!$I:$P,8,0),VLOOKUP(A1528,'[2]UPDATE BILL 2018'!$B:$P,15,0)))))))))</f>
        <v>SITWHPKW177453</v>
      </c>
      <c r="AB1528" s="44">
        <f>IFERROR(VLOOKUP(A1528,'[2]UPDATE BILL 2018'!$B:$T,19,0),IFERROR(VLOOKUP(A1528,'[2]UPDATE BILL 2018'!$C:$T,18,0),IFERROR(VLOOKUP(A1528,'[2]UPDATE BILL 2018'!$D:$T,17,0),IFERROR(VLOOKUP(A1528,'[2]UPDATE BILL 2018'!$E:$T,16,0),IFERROR(VLOOKUP(A1528,'[2]UPDATE BILL 2018'!$F:$T,15,0),IFERROR(VLOOKUP(A1528,'[2]UPDATE BILL 2018'!$G:$T,14,0),IFERROR(VLOOKUP(A1528,'[2]UPDATE BILL 2018'!$H:$T,13,0),IFERROR(VLOOKUP(A1528,'[2]UPDATE BILL 2018'!$I:$T,12,0),VLOOKUP(A1528,'[2]UPDATE BILL 2018'!$B:$T,19,0)))))))))</f>
        <v>43356</v>
      </c>
      <c r="AC1528" s="44" t="str">
        <f>IFERROR(VLOOKUP(A1528,'[2]UPDATE BILL 2018'!$B:$V,21,0),IFERROR(VLOOKUP(A1528,'[2]UPDATE BILL 2018'!$C:$V,20,0),IFERROR(VLOOKUP(A1528,'[2]UPDATE BILL 2018'!$D:$V,19,0),IFERROR(VLOOKUP(A1528,'[2]UPDATE BILL 2018'!$E:$V,18,0),IFERROR(VLOOKUP(A1528,'[2]UPDATE BILL 2018'!$F:$V,17,0),IFERROR(VLOOKUP(A1528,'[2]UPDATE BILL 2018'!$G:$V,16,0),IFERROR(VLOOKUP(A1528,'[2]UPDATE BILL 2018'!$H:$V,15,0),IFERROR(VLOOKUP(A1528,'[2]UPDATE BILL 2018'!$I:$V,14,0),VLOOKUP(A1528,'[2]UPDATE BILL 2018'!$B:$V,21,0)))))))))</f>
        <v>AVRA C 1825N</v>
      </c>
      <c r="AD1528" s="14" t="s">
        <v>50</v>
      </c>
      <c r="AE1528" s="24" t="s">
        <v>3826</v>
      </c>
      <c r="AF1528" s="25" t="str">
        <f t="shared" si="139"/>
        <v>VW</v>
      </c>
      <c r="AG1528" t="e">
        <f t="shared" si="135"/>
        <v>#REF!</v>
      </c>
      <c r="AI1528" s="58"/>
    </row>
    <row r="1529" spans="1:41" ht="15.75" customHeight="1">
      <c r="A1529" s="6" t="s">
        <v>3827</v>
      </c>
      <c r="B1529" s="5">
        <v>366</v>
      </c>
      <c r="C1529" s="7">
        <v>49031.1</v>
      </c>
      <c r="D1529" s="7">
        <f t="shared" si="140"/>
        <v>0</v>
      </c>
      <c r="E1529" s="7">
        <v>0</v>
      </c>
      <c r="F1529" s="5">
        <v>0</v>
      </c>
      <c r="G1529" s="7">
        <v>0</v>
      </c>
      <c r="H1529" s="5">
        <v>0</v>
      </c>
      <c r="I1529" s="7">
        <v>0</v>
      </c>
      <c r="J1529" s="7">
        <v>0</v>
      </c>
      <c r="K1529" s="5">
        <v>0</v>
      </c>
      <c r="L1529" s="5">
        <v>0</v>
      </c>
      <c r="M1529" s="5">
        <v>0</v>
      </c>
      <c r="N1529" s="7">
        <f t="shared" si="141"/>
        <v>0</v>
      </c>
      <c r="O1529" s="7">
        <v>0</v>
      </c>
      <c r="P1529" s="7">
        <v>0</v>
      </c>
      <c r="Q1529" s="5">
        <v>0</v>
      </c>
      <c r="S1529" s="7">
        <v>0</v>
      </c>
      <c r="T1529" s="12">
        <v>43351</v>
      </c>
      <c r="U1529" s="4">
        <v>4</v>
      </c>
      <c r="V1529" s="4">
        <v>9</v>
      </c>
      <c r="W1529" s="4">
        <v>9</v>
      </c>
      <c r="X1529" s="45">
        <f t="shared" si="142"/>
        <v>49031.1</v>
      </c>
      <c r="Y1529" s="14" t="s">
        <v>54</v>
      </c>
      <c r="Z1529" s="14" t="s">
        <v>59</v>
      </c>
      <c r="AA1529" s="14" t="str">
        <f>IFERROR(VLOOKUP(A1529,'[2]UPDATE BILL 2018'!$B:$P,15,0),IFERROR(VLOOKUP(A1529,'[2]UPDATE BILL 2018'!$C:$P,14,0),IFERROR(VLOOKUP(A1529,'[2]UPDATE BILL 2018'!$D:$P,13,0),IFERROR(VLOOKUP(A1529,'[2]UPDATE BILL 2018'!$E:$P,12,0),IFERROR(VLOOKUP(A1529,'[2]UPDATE BILL 2018'!$F:$P,11,0),IFERROR(VLOOKUP(A1529,'[2]UPDATE BILL 2018'!$G:$P,10,0),IFERROR(VLOOKUP(A1529,'[2]UPDATE BILL 2018'!$H:$P,9,0),IFERROR(VLOOKUP(A1529,'[2]UPDATE BILL 2018'!$I:$P,8,0),VLOOKUP(A1529,'[2]UPDATE BILL 2018'!$B:$P,15,0)))))))))</f>
        <v>SITWHPKW177453</v>
      </c>
      <c r="AB1529" s="44">
        <f>IFERROR(VLOOKUP(A1529,'[2]UPDATE BILL 2018'!$B:$T,19,0),IFERROR(VLOOKUP(A1529,'[2]UPDATE BILL 2018'!$C:$T,18,0),IFERROR(VLOOKUP(A1529,'[2]UPDATE BILL 2018'!$D:$T,17,0),IFERROR(VLOOKUP(A1529,'[2]UPDATE BILL 2018'!$E:$T,16,0),IFERROR(VLOOKUP(A1529,'[2]UPDATE BILL 2018'!$F:$T,15,0),IFERROR(VLOOKUP(A1529,'[2]UPDATE BILL 2018'!$G:$T,14,0),IFERROR(VLOOKUP(A1529,'[2]UPDATE BILL 2018'!$H:$T,13,0),IFERROR(VLOOKUP(A1529,'[2]UPDATE BILL 2018'!$I:$T,12,0),VLOOKUP(A1529,'[2]UPDATE BILL 2018'!$B:$T,19,0)))))))))</f>
        <v>43356</v>
      </c>
      <c r="AC1529" s="44" t="str">
        <f>IFERROR(VLOOKUP(A1529,'[2]UPDATE BILL 2018'!$B:$V,21,0),IFERROR(VLOOKUP(A1529,'[2]UPDATE BILL 2018'!$C:$V,20,0),IFERROR(VLOOKUP(A1529,'[2]UPDATE BILL 2018'!$D:$V,19,0),IFERROR(VLOOKUP(A1529,'[2]UPDATE BILL 2018'!$E:$V,18,0),IFERROR(VLOOKUP(A1529,'[2]UPDATE BILL 2018'!$F:$V,17,0),IFERROR(VLOOKUP(A1529,'[2]UPDATE BILL 2018'!$G:$V,16,0),IFERROR(VLOOKUP(A1529,'[2]UPDATE BILL 2018'!$H:$V,15,0),IFERROR(VLOOKUP(A1529,'[2]UPDATE BILL 2018'!$I:$V,14,0),VLOOKUP(A1529,'[2]UPDATE BILL 2018'!$B:$V,21,0)))))))))</f>
        <v>AVRA C 1825N</v>
      </c>
      <c r="AD1529" s="14" t="s">
        <v>50</v>
      </c>
      <c r="AE1529" s="24" t="s">
        <v>3828</v>
      </c>
      <c r="AF1529" s="25" t="str">
        <f t="shared" si="139"/>
        <v>VW</v>
      </c>
      <c r="AG1529" t="e">
        <f t="shared" si="135"/>
        <v>#REF!</v>
      </c>
      <c r="AI1529" s="58"/>
    </row>
    <row r="1530" spans="1:41" ht="15.75" customHeight="1">
      <c r="A1530" s="6" t="s">
        <v>3829</v>
      </c>
      <c r="B1530" s="5">
        <v>136</v>
      </c>
      <c r="C1530" s="7">
        <v>10905.890000000001</v>
      </c>
      <c r="D1530" s="7">
        <f t="shared" si="140"/>
        <v>0</v>
      </c>
      <c r="E1530" s="7">
        <v>0</v>
      </c>
      <c r="F1530" s="5">
        <v>0</v>
      </c>
      <c r="G1530" s="7">
        <v>0</v>
      </c>
      <c r="H1530" s="5">
        <v>120</v>
      </c>
      <c r="I1530" s="7">
        <v>14386.2</v>
      </c>
      <c r="J1530" s="7">
        <v>0</v>
      </c>
      <c r="K1530" s="5">
        <v>0</v>
      </c>
      <c r="L1530" s="5">
        <v>0</v>
      </c>
      <c r="M1530" s="5">
        <v>0</v>
      </c>
      <c r="N1530" s="7">
        <f t="shared" si="141"/>
        <v>0</v>
      </c>
      <c r="O1530" s="7">
        <v>0</v>
      </c>
      <c r="P1530" s="7">
        <v>0</v>
      </c>
      <c r="Q1530" s="5">
        <v>0</v>
      </c>
      <c r="S1530" s="7">
        <v>0</v>
      </c>
      <c r="T1530" s="12">
        <v>43353</v>
      </c>
      <c r="U1530" s="4">
        <v>2</v>
      </c>
      <c r="V1530" s="4">
        <v>9</v>
      </c>
      <c r="W1530" s="4">
        <v>9</v>
      </c>
      <c r="X1530" s="45">
        <f t="shared" si="142"/>
        <v>25292.090000000004</v>
      </c>
      <c r="Y1530" s="14" t="s">
        <v>1633</v>
      </c>
      <c r="Z1530" s="14" t="s">
        <v>3780</v>
      </c>
      <c r="AA1530" s="14" t="str">
        <f>IFERROR(VLOOKUP(A1530,'[2]UPDATE BILL 2018'!$B:$P,15,0),IFERROR(VLOOKUP(A1530,'[2]UPDATE BILL 2018'!$C:$P,14,0),IFERROR(VLOOKUP(A1530,'[2]UPDATE BILL 2018'!$D:$P,13,0),IFERROR(VLOOKUP(A1530,'[2]UPDATE BILL 2018'!$E:$P,12,0),IFERROR(VLOOKUP(A1530,'[2]UPDATE BILL 2018'!$F:$P,11,0),IFERROR(VLOOKUP(A1530,'[2]UPDATE BILL 2018'!$G:$P,10,0),IFERROR(VLOOKUP(A1530,'[2]UPDATE BILL 2018'!$H:$P,9,0),IFERROR(VLOOKUP(A1530,'[2]UPDATE BILL 2018'!$I:$P,8,0),VLOOKUP(A1530,'[2]UPDATE BILL 2018'!$B:$P,15,0)))))))))</f>
        <v>KMTCHPH0584768</v>
      </c>
      <c r="AB1530" s="44">
        <f>IFERROR(VLOOKUP(A1530,'[2]UPDATE BILL 2018'!$B:$T,19,0),IFERROR(VLOOKUP(A1530,'[2]UPDATE BILL 2018'!$C:$T,18,0),IFERROR(VLOOKUP(A1530,'[2]UPDATE BILL 2018'!$D:$T,17,0),IFERROR(VLOOKUP(A1530,'[2]UPDATE BILL 2018'!$E:$T,16,0),IFERROR(VLOOKUP(A1530,'[2]UPDATE BILL 2018'!$F:$T,15,0),IFERROR(VLOOKUP(A1530,'[2]UPDATE BILL 2018'!$G:$T,14,0),IFERROR(VLOOKUP(A1530,'[2]UPDATE BILL 2018'!$H:$T,13,0),IFERROR(VLOOKUP(A1530,'[2]UPDATE BILL 2018'!$I:$T,12,0),VLOOKUP(A1530,'[2]UPDATE BILL 2018'!$B:$T,19,0)))))))))</f>
        <v>43361</v>
      </c>
      <c r="AC1530" s="44" t="str">
        <f>IFERROR(VLOOKUP(A1530,'[2]UPDATE BILL 2018'!$B:$V,21,0),IFERROR(VLOOKUP(A1530,'[2]UPDATE BILL 2018'!$C:$V,20,0),IFERROR(VLOOKUP(A1530,'[2]UPDATE BILL 2018'!$D:$V,19,0),IFERROR(VLOOKUP(A1530,'[2]UPDATE BILL 2018'!$E:$V,18,0),IFERROR(VLOOKUP(A1530,'[2]UPDATE BILL 2018'!$F:$V,17,0),IFERROR(VLOOKUP(A1530,'[2]UPDATE BILL 2018'!$G:$V,16,0),IFERROR(VLOOKUP(A1530,'[2]UPDATE BILL 2018'!$H:$V,15,0),IFERROR(VLOOKUP(A1530,'[2]UPDATE BILL 2018'!$I:$V,14,0),VLOOKUP(A1530,'[2]UPDATE BILL 2018'!$B:$V,21,0)))))))))</f>
        <v>SUNNY CANNA 1818N</v>
      </c>
      <c r="AD1530" s="14" t="s">
        <v>70</v>
      </c>
      <c r="AE1530" s="24" t="s">
        <v>3837</v>
      </c>
      <c r="AF1530" s="25" t="str">
        <f t="shared" si="139"/>
        <v>VH</v>
      </c>
      <c r="AG1530" t="e">
        <f t="shared" si="135"/>
        <v>#REF!</v>
      </c>
      <c r="AI1530" s="58"/>
    </row>
    <row r="1531" spans="1:41" ht="15.75" customHeight="1">
      <c r="A1531" s="6" t="s">
        <v>3830</v>
      </c>
      <c r="B1531" s="5">
        <v>160</v>
      </c>
      <c r="C1531" s="7">
        <v>14032</v>
      </c>
      <c r="D1531" s="7">
        <f t="shared" si="140"/>
        <v>0</v>
      </c>
      <c r="E1531" s="7">
        <v>0</v>
      </c>
      <c r="F1531" s="5">
        <v>0</v>
      </c>
      <c r="G1531" s="7">
        <v>0</v>
      </c>
      <c r="H1531" s="5">
        <v>239</v>
      </c>
      <c r="I1531" s="7">
        <v>29519.08</v>
      </c>
      <c r="J1531" s="7">
        <v>0</v>
      </c>
      <c r="K1531" s="5">
        <v>0</v>
      </c>
      <c r="L1531" s="5">
        <v>0</v>
      </c>
      <c r="M1531" s="5">
        <v>38</v>
      </c>
      <c r="N1531" s="7">
        <f t="shared" si="141"/>
        <v>38</v>
      </c>
      <c r="O1531" s="7">
        <v>6482.8</v>
      </c>
      <c r="P1531" s="7">
        <v>0</v>
      </c>
      <c r="Q1531" s="5">
        <v>0</v>
      </c>
      <c r="S1531" s="7">
        <v>0</v>
      </c>
      <c r="T1531" s="12">
        <v>43353</v>
      </c>
      <c r="U1531" s="4">
        <v>5</v>
      </c>
      <c r="V1531" s="4">
        <v>9</v>
      </c>
      <c r="W1531" s="4">
        <v>9</v>
      </c>
      <c r="X1531" s="45">
        <f t="shared" si="142"/>
        <v>50033.880000000005</v>
      </c>
      <c r="Y1531" s="14" t="s">
        <v>56</v>
      </c>
      <c r="Z1531" s="14" t="s">
        <v>59</v>
      </c>
      <c r="AA1531" s="14" t="str">
        <f>IFERROR(VLOOKUP(A1531,'[2]UPDATE BILL 2018'!$B:$P,15,0),IFERROR(VLOOKUP(A1531,'[2]UPDATE BILL 2018'!$C:$P,14,0),IFERROR(VLOOKUP(A1531,'[2]UPDATE BILL 2018'!$D:$P,13,0),IFERROR(VLOOKUP(A1531,'[2]UPDATE BILL 2018'!$E:$P,12,0),IFERROR(VLOOKUP(A1531,'[2]UPDATE BILL 2018'!$F:$P,11,0),IFERROR(VLOOKUP(A1531,'[2]UPDATE BILL 2018'!$G:$P,10,0),IFERROR(VLOOKUP(A1531,'[2]UPDATE BILL 2018'!$H:$P,9,0),IFERROR(VLOOKUP(A1531,'[2]UPDATE BILL 2018'!$I:$P,8,0),VLOOKUP(A1531,'[2]UPDATE BILL 2018'!$B:$P,15,0)))))))))</f>
        <v>1008X05152</v>
      </c>
      <c r="AB1531" s="44">
        <f>IFERROR(VLOOKUP(A1531,'[2]UPDATE BILL 2018'!$B:$T,19,0),IFERROR(VLOOKUP(A1531,'[2]UPDATE BILL 2018'!$C:$T,18,0),IFERROR(VLOOKUP(A1531,'[2]UPDATE BILL 2018'!$D:$T,17,0),IFERROR(VLOOKUP(A1531,'[2]UPDATE BILL 2018'!$E:$T,16,0),IFERROR(VLOOKUP(A1531,'[2]UPDATE BILL 2018'!$F:$T,15,0),IFERROR(VLOOKUP(A1531,'[2]UPDATE BILL 2018'!$G:$T,14,0),IFERROR(VLOOKUP(A1531,'[2]UPDATE BILL 2018'!$H:$T,13,0),IFERROR(VLOOKUP(A1531,'[2]UPDATE BILL 2018'!$I:$T,12,0),VLOOKUP(A1531,'[2]UPDATE BILL 2018'!$B:$T,19,0)))))))))</f>
        <v>43355</v>
      </c>
      <c r="AC1531" s="44" t="str">
        <f>IFERROR(VLOOKUP(A1531,'[2]UPDATE BILL 2018'!$B:$V,21,0),IFERROR(VLOOKUP(A1531,'[2]UPDATE BILL 2018'!$C:$V,20,0),IFERROR(VLOOKUP(A1531,'[2]UPDATE BILL 2018'!$D:$V,19,0),IFERROR(VLOOKUP(A1531,'[2]UPDATE BILL 2018'!$E:$V,18,0),IFERROR(VLOOKUP(A1531,'[2]UPDATE BILL 2018'!$F:$V,17,0),IFERROR(VLOOKUP(A1531,'[2]UPDATE BILL 2018'!$G:$V,16,0),IFERROR(VLOOKUP(A1531,'[2]UPDATE BILL 2018'!$H:$V,15,0),IFERROR(VLOOKUP(A1531,'[2]UPDATE BILL 2018'!$I:$V,14,0),VLOOKUP(A1531,'[2]UPDATE BILL 2018'!$B:$V,21,0)))))))))</f>
        <v>WAN HAI 266 N398</v>
      </c>
      <c r="AD1531" s="14" t="s">
        <v>49</v>
      </c>
      <c r="AE1531" s="24" t="s">
        <v>3838</v>
      </c>
      <c r="AF1531" s="25" t="str">
        <f t="shared" si="139"/>
        <v>VK</v>
      </c>
      <c r="AG1531" t="e">
        <f t="shared" si="135"/>
        <v>#REF!</v>
      </c>
      <c r="AI1531" s="58"/>
    </row>
    <row r="1532" spans="1:41" ht="15.75" customHeight="1">
      <c r="A1532" s="6" t="s">
        <v>3831</v>
      </c>
      <c r="D1532" s="7">
        <f t="shared" ref="D1532:D1540" si="143">E1532+F1532</f>
        <v>0</v>
      </c>
      <c r="E1532" s="7">
        <v>0</v>
      </c>
      <c r="F1532" s="5">
        <v>0</v>
      </c>
      <c r="G1532" s="7">
        <v>0</v>
      </c>
      <c r="H1532" s="5">
        <v>395</v>
      </c>
      <c r="I1532" s="7">
        <v>44978.15</v>
      </c>
      <c r="J1532" s="7">
        <v>0</v>
      </c>
      <c r="K1532" s="5">
        <v>0</v>
      </c>
      <c r="L1532" s="5">
        <v>0</v>
      </c>
      <c r="M1532" s="5">
        <v>0</v>
      </c>
      <c r="N1532" s="7">
        <f t="shared" ref="N1532:N1540" si="144">M1532-K1532</f>
        <v>0</v>
      </c>
      <c r="O1532" s="7">
        <v>0</v>
      </c>
      <c r="P1532" s="7">
        <v>0</v>
      </c>
      <c r="Q1532" s="5">
        <v>0</v>
      </c>
      <c r="R1532" s="5">
        <v>553</v>
      </c>
      <c r="S1532" s="7">
        <v>36221.5</v>
      </c>
      <c r="T1532" s="12">
        <v>43353</v>
      </c>
      <c r="U1532" s="4">
        <v>5</v>
      </c>
      <c r="V1532" s="4">
        <v>9</v>
      </c>
      <c r="W1532" s="4">
        <v>9</v>
      </c>
      <c r="X1532" s="45">
        <f t="shared" ref="X1532:X1540" si="145">+C1532+G1532+I1532+O1532+S1532</f>
        <v>81199.649999999994</v>
      </c>
      <c r="Y1532" s="14" t="s">
        <v>56</v>
      </c>
      <c r="Z1532" s="14" t="s">
        <v>3780</v>
      </c>
      <c r="AA1532" s="14" t="str">
        <f>IFERROR(VLOOKUP(A1532,'[2]UPDATE BILL 2018'!$B:$P,15,0),IFERROR(VLOOKUP(A1532,'[2]UPDATE BILL 2018'!$C:$P,14,0),IFERROR(VLOOKUP(A1532,'[2]UPDATE BILL 2018'!$D:$P,13,0),IFERROR(VLOOKUP(A1532,'[2]UPDATE BILL 2018'!$E:$P,12,0),IFERROR(VLOOKUP(A1532,'[2]UPDATE BILL 2018'!$F:$P,11,0),IFERROR(VLOOKUP(A1532,'[2]UPDATE BILL 2018'!$G:$P,10,0),IFERROR(VLOOKUP(A1532,'[2]UPDATE BILL 2018'!$H:$P,9,0),IFERROR(VLOOKUP(A1532,'[2]UPDATE BILL 2018'!$I:$P,8,0),VLOOKUP(A1532,'[2]UPDATE BILL 2018'!$B:$P,15,0)))))))))</f>
        <v>1008X05228</v>
      </c>
      <c r="AB1532" s="44">
        <f>IFERROR(VLOOKUP(A1532,'[2]UPDATE BILL 2018'!$B:$T,19,0),IFERROR(VLOOKUP(A1532,'[2]UPDATE BILL 2018'!$C:$T,18,0),IFERROR(VLOOKUP(A1532,'[2]UPDATE BILL 2018'!$D:$T,17,0),IFERROR(VLOOKUP(A1532,'[2]UPDATE BILL 2018'!$E:$T,16,0),IFERROR(VLOOKUP(A1532,'[2]UPDATE BILL 2018'!$F:$T,15,0),IFERROR(VLOOKUP(A1532,'[2]UPDATE BILL 2018'!$G:$T,14,0),IFERROR(VLOOKUP(A1532,'[2]UPDATE BILL 2018'!$H:$T,13,0),IFERROR(VLOOKUP(A1532,'[2]UPDATE BILL 2018'!$I:$T,12,0),VLOOKUP(A1532,'[2]UPDATE BILL 2018'!$B:$T,19,0)))))))))</f>
        <v>43366</v>
      </c>
      <c r="AC1532" s="44" t="str">
        <f>IFERROR(VLOOKUP(A1532,'[2]UPDATE BILL 2018'!$B:$V,21,0),IFERROR(VLOOKUP(A1532,'[2]UPDATE BILL 2018'!$C:$V,20,0),IFERROR(VLOOKUP(A1532,'[2]UPDATE BILL 2018'!$D:$V,19,0),IFERROR(VLOOKUP(A1532,'[2]UPDATE BILL 2018'!$E:$V,18,0),IFERROR(VLOOKUP(A1532,'[2]UPDATE BILL 2018'!$F:$V,17,0),IFERROR(VLOOKUP(A1532,'[2]UPDATE BILL 2018'!$G:$V,16,0),IFERROR(VLOOKUP(A1532,'[2]UPDATE BILL 2018'!$H:$V,15,0),IFERROR(VLOOKUP(A1532,'[2]UPDATE BILL 2018'!$I:$V,14,0),VLOOKUP(A1532,'[2]UPDATE BILL 2018'!$B:$V,21,0)))))))))</f>
        <v>MOONCHILD N033</v>
      </c>
      <c r="AD1532" s="14" t="s">
        <v>49</v>
      </c>
      <c r="AE1532" s="24" t="s">
        <v>3839</v>
      </c>
      <c r="AF1532" s="25" t="str">
        <f t="shared" si="139"/>
        <v>VK</v>
      </c>
      <c r="AG1532" s="58" t="e">
        <f t="shared" si="135"/>
        <v>#REF!</v>
      </c>
      <c r="AH1532" s="58"/>
      <c r="AI1532" s="58" t="s">
        <v>3831</v>
      </c>
      <c r="AJ1532" s="58"/>
      <c r="AK1532" s="58"/>
      <c r="AL1532" s="58"/>
      <c r="AM1532" s="58"/>
      <c r="AN1532" s="58"/>
      <c r="AO1532" s="58"/>
    </row>
    <row r="1533" spans="1:41" ht="15.75" customHeight="1">
      <c r="A1533" s="6" t="s">
        <v>3832</v>
      </c>
      <c r="B1533" s="5">
        <v>100</v>
      </c>
      <c r="C1533" s="7">
        <v>13048.9</v>
      </c>
      <c r="D1533" s="7">
        <f t="shared" si="143"/>
        <v>0</v>
      </c>
      <c r="E1533" s="7">
        <v>0</v>
      </c>
      <c r="F1533" s="5">
        <v>0</v>
      </c>
      <c r="G1533" s="7">
        <v>0</v>
      </c>
      <c r="H1533" s="5">
        <v>100</v>
      </c>
      <c r="I1533" s="7">
        <v>13752.349999999997</v>
      </c>
      <c r="J1533" s="7">
        <v>0</v>
      </c>
      <c r="K1533" s="5">
        <v>0</v>
      </c>
      <c r="L1533" s="5">
        <v>0</v>
      </c>
      <c r="M1533" s="5">
        <v>0</v>
      </c>
      <c r="N1533" s="7">
        <f t="shared" si="144"/>
        <v>0</v>
      </c>
      <c r="O1533" s="7">
        <v>0</v>
      </c>
      <c r="P1533" s="7">
        <v>0</v>
      </c>
      <c r="Q1533" s="5">
        <v>0</v>
      </c>
      <c r="S1533" s="7">
        <v>0</v>
      </c>
      <c r="T1533" s="12">
        <v>43353</v>
      </c>
      <c r="U1533" s="4">
        <v>2</v>
      </c>
      <c r="V1533" s="4">
        <v>9</v>
      </c>
      <c r="W1533" s="4">
        <v>9</v>
      </c>
      <c r="X1533" s="45">
        <f t="shared" si="145"/>
        <v>26801.249999999996</v>
      </c>
      <c r="Y1533" s="14" t="s">
        <v>85</v>
      </c>
      <c r="Z1533" s="14" t="s">
        <v>3780</v>
      </c>
      <c r="AA1533" s="14">
        <f>IFERROR(VLOOKUP(A1533,'[2]UPDATE BILL 2018'!$B:$P,15,0),IFERROR(VLOOKUP(A1533,'[2]UPDATE BILL 2018'!$C:$P,14,0),IFERROR(VLOOKUP(A1533,'[2]UPDATE BILL 2018'!$D:$P,13,0),IFERROR(VLOOKUP(A1533,'[2]UPDATE BILL 2018'!$E:$P,12,0),IFERROR(VLOOKUP(A1533,'[2]UPDATE BILL 2018'!$F:$P,11,0),IFERROR(VLOOKUP(A1533,'[2]UPDATE BILL 2018'!$G:$P,10,0),IFERROR(VLOOKUP(A1533,'[2]UPDATE BILL 2018'!$H:$P,9,0),IFERROR(VLOOKUP(A1533,'[2]UPDATE BILL 2018'!$I:$P,8,0),VLOOKUP(A1533,'[2]UPDATE BILL 2018'!$B:$P,15,0)))))))))</f>
        <v>350810109326</v>
      </c>
      <c r="AB1533" s="44">
        <f>IFERROR(VLOOKUP(A1533,'[2]UPDATE BILL 2018'!$B:$T,19,0),IFERROR(VLOOKUP(A1533,'[2]UPDATE BILL 2018'!$C:$T,18,0),IFERROR(VLOOKUP(A1533,'[2]UPDATE BILL 2018'!$D:$T,17,0),IFERROR(VLOOKUP(A1533,'[2]UPDATE BILL 2018'!$E:$T,16,0),IFERROR(VLOOKUP(A1533,'[2]UPDATE BILL 2018'!$F:$T,15,0),IFERROR(VLOOKUP(A1533,'[2]UPDATE BILL 2018'!$G:$T,14,0),IFERROR(VLOOKUP(A1533,'[2]UPDATE BILL 2018'!$H:$T,13,0),IFERROR(VLOOKUP(A1533,'[2]UPDATE BILL 2018'!$I:$T,12,0),VLOOKUP(A1533,'[2]UPDATE BILL 2018'!$B:$T,19,0)))))))))</f>
        <v>43355</v>
      </c>
      <c r="AC1533" s="44" t="str">
        <f>IFERROR(VLOOKUP(A1533,'[2]UPDATE BILL 2018'!$B:$V,21,0),IFERROR(VLOOKUP(A1533,'[2]UPDATE BILL 2018'!$C:$V,20,0),IFERROR(VLOOKUP(A1533,'[2]UPDATE BILL 2018'!$D:$V,19,0),IFERROR(VLOOKUP(A1533,'[2]UPDATE BILL 2018'!$E:$V,18,0),IFERROR(VLOOKUP(A1533,'[2]UPDATE BILL 2018'!$F:$V,17,0),IFERROR(VLOOKUP(A1533,'[2]UPDATE BILL 2018'!$G:$V,16,0),IFERROR(VLOOKUP(A1533,'[2]UPDATE BILL 2018'!$H:$V,15,0),IFERROR(VLOOKUP(A1533,'[2]UPDATE BILL 2018'!$I:$V,14,0),VLOOKUP(A1533,'[2]UPDATE BILL 2018'!$B:$V,21,0)))))))))</f>
        <v>MARCLIFF 18015N</v>
      </c>
      <c r="AD1533" s="14" t="s">
        <v>52</v>
      </c>
      <c r="AE1533" s="24" t="s">
        <v>3840</v>
      </c>
      <c r="AF1533" s="25" t="str">
        <f t="shared" si="139"/>
        <v>VQ</v>
      </c>
      <c r="AG1533" s="58" t="e">
        <f t="shared" si="135"/>
        <v>#REF!</v>
      </c>
      <c r="AH1533" s="58"/>
      <c r="AI1533" s="58"/>
      <c r="AJ1533" s="58"/>
      <c r="AK1533" s="58"/>
      <c r="AL1533" s="58"/>
      <c r="AM1533" s="58"/>
      <c r="AN1533" s="58"/>
      <c r="AO1533" s="58"/>
    </row>
    <row r="1534" spans="1:41" ht="15.75" customHeight="1">
      <c r="A1534" s="6" t="s">
        <v>3833</v>
      </c>
      <c r="B1534" s="5">
        <v>174</v>
      </c>
      <c r="C1534" s="7">
        <v>24969.8</v>
      </c>
      <c r="D1534" s="7">
        <f t="shared" si="143"/>
        <v>0</v>
      </c>
      <c r="E1534" s="7">
        <v>0</v>
      </c>
      <c r="F1534" s="5">
        <v>0</v>
      </c>
      <c r="G1534" s="7">
        <v>0</v>
      </c>
      <c r="H1534" s="5">
        <v>105</v>
      </c>
      <c r="I1534" s="7">
        <v>11956.75</v>
      </c>
      <c r="J1534" s="7">
        <v>0</v>
      </c>
      <c r="K1534" s="5">
        <v>0</v>
      </c>
      <c r="L1534" s="5">
        <v>0</v>
      </c>
      <c r="M1534" s="5">
        <v>0</v>
      </c>
      <c r="N1534" s="7">
        <f t="shared" si="144"/>
        <v>0</v>
      </c>
      <c r="O1534" s="7">
        <v>0</v>
      </c>
      <c r="P1534" s="7">
        <v>0</v>
      </c>
      <c r="Q1534" s="5">
        <v>0</v>
      </c>
      <c r="S1534" s="7">
        <v>0</v>
      </c>
      <c r="T1534" s="12">
        <v>43353</v>
      </c>
      <c r="U1534" s="4">
        <v>3</v>
      </c>
      <c r="V1534" s="4">
        <v>9</v>
      </c>
      <c r="W1534" s="4">
        <v>9</v>
      </c>
      <c r="X1534" s="45">
        <f t="shared" si="145"/>
        <v>36926.550000000003</v>
      </c>
      <c r="Y1534" s="14" t="s">
        <v>56</v>
      </c>
      <c r="Z1534" s="14" t="s">
        <v>3376</v>
      </c>
      <c r="AA1534" s="14" t="str">
        <f>IFERROR(VLOOKUP(A1534,'[2]UPDATE BILL 2018'!$B:$P,15,0),IFERROR(VLOOKUP(A1534,'[2]UPDATE BILL 2018'!$C:$P,14,0),IFERROR(VLOOKUP(A1534,'[2]UPDATE BILL 2018'!$D:$P,13,0),IFERROR(VLOOKUP(A1534,'[2]UPDATE BILL 2018'!$E:$P,12,0),IFERROR(VLOOKUP(A1534,'[2]UPDATE BILL 2018'!$F:$P,11,0),IFERROR(VLOOKUP(A1534,'[2]UPDATE BILL 2018'!$G:$P,10,0),IFERROR(VLOOKUP(A1534,'[2]UPDATE BILL 2018'!$H:$P,9,0),IFERROR(VLOOKUP(A1534,'[2]UPDATE BILL 2018'!$I:$P,8,0),VLOOKUP(A1534,'[2]UPDATE BILL 2018'!$B:$P,15,0)))))))))</f>
        <v>1008X05225</v>
      </c>
      <c r="AB1534" s="44">
        <f>IFERROR(VLOOKUP(A1534,'[2]UPDATE BILL 2018'!$B:$T,19,0),IFERROR(VLOOKUP(A1534,'[2]UPDATE BILL 2018'!$C:$T,18,0),IFERROR(VLOOKUP(A1534,'[2]UPDATE BILL 2018'!$D:$T,17,0),IFERROR(VLOOKUP(A1534,'[2]UPDATE BILL 2018'!$E:$T,16,0),IFERROR(VLOOKUP(A1534,'[2]UPDATE BILL 2018'!$F:$T,15,0),IFERROR(VLOOKUP(A1534,'[2]UPDATE BILL 2018'!$G:$T,14,0),IFERROR(VLOOKUP(A1534,'[2]UPDATE BILL 2018'!$H:$T,13,0),IFERROR(VLOOKUP(A1534,'[2]UPDATE BILL 2018'!$I:$T,12,0),VLOOKUP(A1534,'[2]UPDATE BILL 2018'!$B:$T,19,0)))))))))</f>
        <v>43365</v>
      </c>
      <c r="AC1534" s="44" t="str">
        <f>IFERROR(VLOOKUP(A1534,'[2]UPDATE BILL 2018'!$B:$V,21,0),IFERROR(VLOOKUP(A1534,'[2]UPDATE BILL 2018'!$C:$V,20,0),IFERROR(VLOOKUP(A1534,'[2]UPDATE BILL 2018'!$D:$V,19,0),IFERROR(VLOOKUP(A1534,'[2]UPDATE BILL 2018'!$E:$V,18,0),IFERROR(VLOOKUP(A1534,'[2]UPDATE BILL 2018'!$F:$V,17,0),IFERROR(VLOOKUP(A1534,'[2]UPDATE BILL 2018'!$G:$V,16,0),IFERROR(VLOOKUP(A1534,'[2]UPDATE BILL 2018'!$H:$V,15,0),IFERROR(VLOOKUP(A1534,'[2]UPDATE BILL 2018'!$I:$V,14,0),VLOOKUP(A1534,'[2]UPDATE BILL 2018'!$B:$V,21,0)))))))))</f>
        <v>WAN HAI 162 N324</v>
      </c>
      <c r="AD1534" s="14" t="s">
        <v>52</v>
      </c>
      <c r="AE1534" s="24" t="s">
        <v>3841</v>
      </c>
      <c r="AF1534" s="25" t="str">
        <f t="shared" si="139"/>
        <v>VQ</v>
      </c>
      <c r="AG1534" s="58" t="e">
        <f t="shared" si="135"/>
        <v>#REF!</v>
      </c>
      <c r="AH1534" s="58"/>
      <c r="AI1534" s="58" t="s">
        <v>3833</v>
      </c>
      <c r="AJ1534" s="58"/>
      <c r="AK1534" s="58"/>
      <c r="AL1534" s="58"/>
      <c r="AM1534" s="58"/>
      <c r="AN1534" s="58"/>
      <c r="AO1534" s="58"/>
    </row>
    <row r="1535" spans="1:41" ht="15.75" customHeight="1">
      <c r="A1535" s="6" t="s">
        <v>3834</v>
      </c>
      <c r="B1535" s="5">
        <v>503</v>
      </c>
      <c r="C1535" s="7">
        <v>49901.499999999993</v>
      </c>
      <c r="D1535" s="7">
        <f t="shared" si="143"/>
        <v>0</v>
      </c>
      <c r="E1535" s="7">
        <v>0</v>
      </c>
      <c r="F1535" s="5">
        <v>0</v>
      </c>
      <c r="G1535" s="7">
        <v>0</v>
      </c>
      <c r="H1535" s="5">
        <v>0</v>
      </c>
      <c r="I1535" s="7">
        <v>0</v>
      </c>
      <c r="J1535" s="7">
        <v>0</v>
      </c>
      <c r="K1535" s="5">
        <v>0</v>
      </c>
      <c r="L1535" s="5">
        <v>0</v>
      </c>
      <c r="M1535" s="5">
        <v>150</v>
      </c>
      <c r="N1535" s="7">
        <f t="shared" si="144"/>
        <v>150</v>
      </c>
      <c r="O1535" s="7">
        <v>26289.9</v>
      </c>
      <c r="P1535" s="7">
        <v>0</v>
      </c>
      <c r="Q1535" s="5">
        <v>0</v>
      </c>
      <c r="R1535" s="5">
        <v>94</v>
      </c>
      <c r="S1535" s="7">
        <v>22023.4</v>
      </c>
      <c r="T1535" s="12">
        <v>43353</v>
      </c>
      <c r="U1535" s="4">
        <v>9</v>
      </c>
      <c r="V1535" s="4">
        <v>9</v>
      </c>
      <c r="W1535" s="4">
        <v>9</v>
      </c>
      <c r="X1535" s="45">
        <f t="shared" si="145"/>
        <v>98214.799999999988</v>
      </c>
      <c r="Y1535" s="14" t="s">
        <v>56</v>
      </c>
      <c r="Z1535" s="14" t="s">
        <v>1281</v>
      </c>
      <c r="AA1535" s="14" t="str">
        <f>IFERROR(VLOOKUP(A1535,'[2]UPDATE BILL 2018'!$B:$P,15,0),IFERROR(VLOOKUP(A1535,'[2]UPDATE BILL 2018'!$C:$P,14,0),IFERROR(VLOOKUP(A1535,'[2]UPDATE BILL 2018'!$D:$P,13,0),IFERROR(VLOOKUP(A1535,'[2]UPDATE BILL 2018'!$E:$P,12,0),IFERROR(VLOOKUP(A1535,'[2]UPDATE BILL 2018'!$F:$P,11,0),IFERROR(VLOOKUP(A1535,'[2]UPDATE BILL 2018'!$G:$P,10,0),IFERROR(VLOOKUP(A1535,'[2]UPDATE BILL 2018'!$H:$P,9,0),IFERROR(VLOOKUP(A1535,'[2]UPDATE BILL 2018'!$I:$P,8,0),VLOOKUP(A1535,'[2]UPDATE BILL 2018'!$B:$P,15,0)))))))))</f>
        <v>1008X05153</v>
      </c>
      <c r="AB1535" s="44">
        <f>IFERROR(VLOOKUP(A1535,'[2]UPDATE BILL 2018'!$B:$T,19,0),IFERROR(VLOOKUP(A1535,'[2]UPDATE BILL 2018'!$C:$T,18,0),IFERROR(VLOOKUP(A1535,'[2]UPDATE BILL 2018'!$D:$T,17,0),IFERROR(VLOOKUP(A1535,'[2]UPDATE BILL 2018'!$E:$T,16,0),IFERROR(VLOOKUP(A1535,'[2]UPDATE BILL 2018'!$F:$T,15,0),IFERROR(VLOOKUP(A1535,'[2]UPDATE BILL 2018'!$G:$T,14,0),IFERROR(VLOOKUP(A1535,'[2]UPDATE BILL 2018'!$H:$T,13,0),IFERROR(VLOOKUP(A1535,'[2]UPDATE BILL 2018'!$I:$T,12,0),VLOOKUP(A1535,'[2]UPDATE BILL 2018'!$B:$T,19,0)))))))))</f>
        <v>43355</v>
      </c>
      <c r="AC1535" s="44" t="str">
        <f>IFERROR(VLOOKUP(A1535,'[2]UPDATE BILL 2018'!$B:$V,21,0),IFERROR(VLOOKUP(A1535,'[2]UPDATE BILL 2018'!$C:$V,20,0),IFERROR(VLOOKUP(A1535,'[2]UPDATE BILL 2018'!$D:$V,19,0),IFERROR(VLOOKUP(A1535,'[2]UPDATE BILL 2018'!$E:$V,18,0),IFERROR(VLOOKUP(A1535,'[2]UPDATE BILL 2018'!$F:$V,17,0),IFERROR(VLOOKUP(A1535,'[2]UPDATE BILL 2018'!$G:$V,16,0),IFERROR(VLOOKUP(A1535,'[2]UPDATE BILL 2018'!$H:$V,15,0),IFERROR(VLOOKUP(A1535,'[2]UPDATE BILL 2018'!$I:$V,14,0),VLOOKUP(A1535,'[2]UPDATE BILL 2018'!$B:$V,21,0)))))))))</f>
        <v>WAN HAI 266 N398</v>
      </c>
      <c r="AD1535" s="14" t="s">
        <v>51</v>
      </c>
      <c r="AE1535" s="24" t="s">
        <v>3842</v>
      </c>
      <c r="AF1535" s="25" t="str">
        <f t="shared" si="139"/>
        <v>VS</v>
      </c>
      <c r="AG1535" s="58" t="e">
        <f t="shared" si="135"/>
        <v>#REF!</v>
      </c>
      <c r="AH1535" s="58"/>
      <c r="AI1535" s="58"/>
      <c r="AJ1535" s="58"/>
      <c r="AK1535" s="58"/>
      <c r="AL1535" s="58"/>
      <c r="AM1535" s="58"/>
      <c r="AN1535" s="58"/>
      <c r="AO1535" s="58"/>
    </row>
    <row r="1536" spans="1:41" ht="15.75" customHeight="1">
      <c r="A1536" s="6" t="s">
        <v>3835</v>
      </c>
      <c r="B1536" s="5">
        <v>787</v>
      </c>
      <c r="C1536" s="7">
        <v>74197.329999999987</v>
      </c>
      <c r="D1536" s="7">
        <f t="shared" si="143"/>
        <v>0</v>
      </c>
      <c r="E1536" s="7">
        <v>0</v>
      </c>
      <c r="F1536" s="5">
        <v>0</v>
      </c>
      <c r="G1536" s="7">
        <v>0</v>
      </c>
      <c r="H1536" s="5">
        <v>0</v>
      </c>
      <c r="I1536" s="7">
        <v>0</v>
      </c>
      <c r="J1536" s="7">
        <v>0</v>
      </c>
      <c r="K1536" s="5">
        <v>0</v>
      </c>
      <c r="L1536" s="5">
        <v>0</v>
      </c>
      <c r="M1536" s="5">
        <v>241</v>
      </c>
      <c r="N1536" s="7">
        <f t="shared" si="144"/>
        <v>241</v>
      </c>
      <c r="O1536" s="7">
        <v>40314.300000000003</v>
      </c>
      <c r="P1536" s="7">
        <v>0</v>
      </c>
      <c r="Q1536" s="5">
        <v>0</v>
      </c>
      <c r="S1536" s="7">
        <v>0</v>
      </c>
      <c r="T1536" s="12">
        <v>43353</v>
      </c>
      <c r="U1536" s="4">
        <v>9</v>
      </c>
      <c r="V1536" s="4">
        <v>9</v>
      </c>
      <c r="W1536" s="4">
        <v>9</v>
      </c>
      <c r="X1536" s="45">
        <f t="shared" si="145"/>
        <v>114511.62999999999</v>
      </c>
      <c r="Y1536" s="14" t="s">
        <v>54</v>
      </c>
      <c r="Z1536" s="14" t="s">
        <v>59</v>
      </c>
      <c r="AA1536" s="14" t="str">
        <f>IFERROR(VLOOKUP(A1536,'[2]UPDATE BILL 2018'!$B:$P,15,0),IFERROR(VLOOKUP(A1536,'[2]UPDATE BILL 2018'!$C:$P,14,0),IFERROR(VLOOKUP(A1536,'[2]UPDATE BILL 2018'!$D:$P,13,0),IFERROR(VLOOKUP(A1536,'[2]UPDATE BILL 2018'!$E:$P,12,0),IFERROR(VLOOKUP(A1536,'[2]UPDATE BILL 2018'!$F:$P,11,0),IFERROR(VLOOKUP(A1536,'[2]UPDATE BILL 2018'!$G:$P,10,0),IFERROR(VLOOKUP(A1536,'[2]UPDATE BILL 2018'!$H:$P,9,0),IFERROR(VLOOKUP(A1536,'[2]UPDATE BILL 2018'!$I:$P,8,0),VLOOKUP(A1536,'[2]UPDATE BILL 2018'!$B:$P,15,0)))))))))</f>
        <v>SITWHPKW177453</v>
      </c>
      <c r="AB1536" s="44">
        <f>IFERROR(VLOOKUP(A1536,'[2]UPDATE BILL 2018'!$B:$T,19,0),IFERROR(VLOOKUP(A1536,'[2]UPDATE BILL 2018'!$C:$T,18,0),IFERROR(VLOOKUP(A1536,'[2]UPDATE BILL 2018'!$D:$T,17,0),IFERROR(VLOOKUP(A1536,'[2]UPDATE BILL 2018'!$E:$T,16,0),IFERROR(VLOOKUP(A1536,'[2]UPDATE BILL 2018'!$F:$T,15,0),IFERROR(VLOOKUP(A1536,'[2]UPDATE BILL 2018'!$G:$T,14,0),IFERROR(VLOOKUP(A1536,'[2]UPDATE BILL 2018'!$H:$T,13,0),IFERROR(VLOOKUP(A1536,'[2]UPDATE BILL 2018'!$I:$T,12,0),VLOOKUP(A1536,'[2]UPDATE BILL 2018'!$B:$T,19,0)))))))))</f>
        <v>43356</v>
      </c>
      <c r="AC1536" s="44" t="str">
        <f>IFERROR(VLOOKUP(A1536,'[2]UPDATE BILL 2018'!$B:$V,21,0),IFERROR(VLOOKUP(A1536,'[2]UPDATE BILL 2018'!$C:$V,20,0),IFERROR(VLOOKUP(A1536,'[2]UPDATE BILL 2018'!$D:$V,19,0),IFERROR(VLOOKUP(A1536,'[2]UPDATE BILL 2018'!$E:$V,18,0),IFERROR(VLOOKUP(A1536,'[2]UPDATE BILL 2018'!$F:$V,17,0),IFERROR(VLOOKUP(A1536,'[2]UPDATE BILL 2018'!$G:$V,16,0),IFERROR(VLOOKUP(A1536,'[2]UPDATE BILL 2018'!$H:$V,15,0),IFERROR(VLOOKUP(A1536,'[2]UPDATE BILL 2018'!$I:$V,14,0),VLOOKUP(A1536,'[2]UPDATE BILL 2018'!$B:$V,21,0)))))))))</f>
        <v>AVRA C 1825N</v>
      </c>
      <c r="AD1536" s="14" t="s">
        <v>50</v>
      </c>
      <c r="AE1536" s="24" t="s">
        <v>3843</v>
      </c>
      <c r="AF1536" s="25" t="str">
        <f t="shared" si="139"/>
        <v>VW</v>
      </c>
      <c r="AG1536" s="58" t="e">
        <f t="shared" si="135"/>
        <v>#REF!</v>
      </c>
      <c r="AH1536" s="58"/>
      <c r="AI1536" s="58"/>
      <c r="AJ1536" s="58"/>
      <c r="AK1536" s="58"/>
      <c r="AL1536" s="58"/>
      <c r="AM1536" s="58"/>
      <c r="AN1536" s="58"/>
      <c r="AO1536" s="58"/>
    </row>
    <row r="1537" spans="1:41" ht="15.75" customHeight="1">
      <c r="A1537" s="6" t="s">
        <v>3836</v>
      </c>
      <c r="B1537" s="5">
        <v>155</v>
      </c>
      <c r="C1537" s="7">
        <v>21248.2</v>
      </c>
      <c r="D1537" s="7">
        <f t="shared" si="143"/>
        <v>0</v>
      </c>
      <c r="E1537" s="7">
        <v>0</v>
      </c>
      <c r="F1537" s="5">
        <v>0</v>
      </c>
      <c r="G1537" s="7">
        <v>0</v>
      </c>
      <c r="H1537" s="5">
        <v>20</v>
      </c>
      <c r="I1537" s="7">
        <v>1919.4</v>
      </c>
      <c r="J1537" s="7">
        <v>0</v>
      </c>
      <c r="K1537" s="5">
        <v>0</v>
      </c>
      <c r="L1537" s="5">
        <v>0</v>
      </c>
      <c r="M1537" s="5">
        <v>58</v>
      </c>
      <c r="N1537" s="7">
        <f t="shared" si="144"/>
        <v>58</v>
      </c>
      <c r="O1537" s="7">
        <v>10248.599999999999</v>
      </c>
      <c r="P1537" s="7">
        <v>0</v>
      </c>
      <c r="Q1537" s="5">
        <v>0</v>
      </c>
      <c r="R1537" s="5">
        <v>350</v>
      </c>
      <c r="S1537" s="7">
        <v>34085</v>
      </c>
      <c r="T1537" s="12">
        <v>43353</v>
      </c>
      <c r="U1537" s="4">
        <v>4</v>
      </c>
      <c r="V1537" s="4">
        <v>9</v>
      </c>
      <c r="W1537" s="4">
        <v>9</v>
      </c>
      <c r="X1537" s="45">
        <f t="shared" si="145"/>
        <v>67501.2</v>
      </c>
      <c r="Y1537" s="14" t="s">
        <v>56</v>
      </c>
      <c r="Z1537" s="14" t="s">
        <v>57</v>
      </c>
      <c r="AA1537" s="14" t="str">
        <f>IFERROR(VLOOKUP(A1537,'[2]UPDATE BILL 2018'!$B:$P,15,0),IFERROR(VLOOKUP(A1537,'[2]UPDATE BILL 2018'!$C:$P,14,0),IFERROR(VLOOKUP(A1537,'[2]UPDATE BILL 2018'!$D:$P,13,0),IFERROR(VLOOKUP(A1537,'[2]UPDATE BILL 2018'!$E:$P,12,0),IFERROR(VLOOKUP(A1537,'[2]UPDATE BILL 2018'!$F:$P,11,0),IFERROR(VLOOKUP(A1537,'[2]UPDATE BILL 2018'!$G:$P,10,0),IFERROR(VLOOKUP(A1537,'[2]UPDATE BILL 2018'!$H:$P,9,0),IFERROR(VLOOKUP(A1537,'[2]UPDATE BILL 2018'!$I:$P,8,0),VLOOKUP(A1537,'[2]UPDATE BILL 2018'!$B:$P,15,0)))))))))</f>
        <v>1008X05152</v>
      </c>
      <c r="AB1537" s="44">
        <f>IFERROR(VLOOKUP(A1537,'[2]UPDATE BILL 2018'!$B:$T,19,0),IFERROR(VLOOKUP(A1537,'[2]UPDATE BILL 2018'!$C:$T,18,0),IFERROR(VLOOKUP(A1537,'[2]UPDATE BILL 2018'!$D:$T,17,0),IFERROR(VLOOKUP(A1537,'[2]UPDATE BILL 2018'!$E:$T,16,0),IFERROR(VLOOKUP(A1537,'[2]UPDATE BILL 2018'!$F:$T,15,0),IFERROR(VLOOKUP(A1537,'[2]UPDATE BILL 2018'!$G:$T,14,0),IFERROR(VLOOKUP(A1537,'[2]UPDATE BILL 2018'!$H:$T,13,0),IFERROR(VLOOKUP(A1537,'[2]UPDATE BILL 2018'!$I:$T,12,0),VLOOKUP(A1537,'[2]UPDATE BILL 2018'!$B:$T,19,0)))))))))</f>
        <v>43355</v>
      </c>
      <c r="AC1537" s="44" t="str">
        <f>IFERROR(VLOOKUP(A1537,'[2]UPDATE BILL 2018'!$B:$V,21,0),IFERROR(VLOOKUP(A1537,'[2]UPDATE BILL 2018'!$C:$V,20,0),IFERROR(VLOOKUP(A1537,'[2]UPDATE BILL 2018'!$D:$V,19,0),IFERROR(VLOOKUP(A1537,'[2]UPDATE BILL 2018'!$E:$V,18,0),IFERROR(VLOOKUP(A1537,'[2]UPDATE BILL 2018'!$F:$V,17,0),IFERROR(VLOOKUP(A1537,'[2]UPDATE BILL 2018'!$G:$V,16,0),IFERROR(VLOOKUP(A1537,'[2]UPDATE BILL 2018'!$H:$V,15,0),IFERROR(VLOOKUP(A1537,'[2]UPDATE BILL 2018'!$I:$V,14,0),VLOOKUP(A1537,'[2]UPDATE BILL 2018'!$B:$V,21,0)))))))))</f>
        <v>WAN HAI 266 N398</v>
      </c>
      <c r="AD1537" s="14" t="s">
        <v>49</v>
      </c>
      <c r="AE1537" s="24" t="s">
        <v>3844</v>
      </c>
      <c r="AF1537" s="25" t="str">
        <f t="shared" si="139"/>
        <v>VZ</v>
      </c>
      <c r="AG1537" s="58" t="e">
        <f t="shared" si="135"/>
        <v>#REF!</v>
      </c>
      <c r="AH1537" s="58"/>
      <c r="AI1537" s="58"/>
      <c r="AJ1537" s="58"/>
      <c r="AK1537" s="58"/>
      <c r="AL1537" s="58"/>
      <c r="AM1537" s="58"/>
      <c r="AN1537" s="58"/>
      <c r="AO1537" s="58"/>
    </row>
    <row r="1538" spans="1:41" ht="15.75" customHeight="1">
      <c r="A1538" s="6" t="s">
        <v>3845</v>
      </c>
      <c r="B1538" s="5">
        <v>103</v>
      </c>
      <c r="C1538" s="7">
        <v>10838.1</v>
      </c>
      <c r="D1538" s="7">
        <f t="shared" si="143"/>
        <v>0</v>
      </c>
      <c r="E1538" s="7">
        <v>0</v>
      </c>
      <c r="F1538" s="5">
        <v>0</v>
      </c>
      <c r="G1538" s="7">
        <v>0</v>
      </c>
      <c r="H1538" s="5">
        <v>225</v>
      </c>
      <c r="I1538" s="7">
        <v>26839.200000000001</v>
      </c>
      <c r="J1538" s="7">
        <v>0</v>
      </c>
      <c r="K1538" s="5">
        <v>0</v>
      </c>
      <c r="L1538" s="5">
        <v>0</v>
      </c>
      <c r="M1538" s="5">
        <v>0</v>
      </c>
      <c r="N1538" s="7">
        <f t="shared" si="144"/>
        <v>0</v>
      </c>
      <c r="O1538" s="7">
        <v>0</v>
      </c>
      <c r="P1538" s="7">
        <v>0</v>
      </c>
      <c r="Q1538" s="5">
        <v>0</v>
      </c>
      <c r="S1538" s="7">
        <v>0</v>
      </c>
      <c r="T1538" s="12">
        <v>43354</v>
      </c>
      <c r="U1538" s="4">
        <v>3</v>
      </c>
      <c r="V1538" s="4">
        <v>9</v>
      </c>
      <c r="W1538" s="4">
        <v>9</v>
      </c>
      <c r="X1538" s="45">
        <f t="shared" si="145"/>
        <v>37677.300000000003</v>
      </c>
      <c r="Y1538" s="14" t="s">
        <v>54</v>
      </c>
      <c r="Z1538" s="14" t="s">
        <v>57</v>
      </c>
      <c r="AA1538" s="14" t="str">
        <f>IFERROR(VLOOKUP(A1538,'[2]UPDATE BILL 2018'!$B:$P,15,0),IFERROR(VLOOKUP(A1538,'[2]UPDATE BILL 2018'!$C:$P,14,0),IFERROR(VLOOKUP(A1538,'[2]UPDATE BILL 2018'!$D:$P,13,0),IFERROR(VLOOKUP(A1538,'[2]UPDATE BILL 2018'!$E:$P,12,0),IFERROR(VLOOKUP(A1538,'[2]UPDATE BILL 2018'!$F:$P,11,0),IFERROR(VLOOKUP(A1538,'[2]UPDATE BILL 2018'!$G:$P,10,0),IFERROR(VLOOKUP(A1538,'[2]UPDATE BILL 2018'!$H:$P,9,0),IFERROR(VLOOKUP(A1538,'[2]UPDATE BILL 2018'!$I:$P,8,0),VLOOKUP(A1538,'[2]UPDATE BILL 2018'!$B:$P,15,0)))))))))</f>
        <v>SITWHPTK177709</v>
      </c>
      <c r="AB1538" s="44">
        <f>IFERROR(VLOOKUP(A1538,'[2]UPDATE BILL 2018'!$B:$T,19,0),IFERROR(VLOOKUP(A1538,'[2]UPDATE BILL 2018'!$C:$T,18,0),IFERROR(VLOOKUP(A1538,'[2]UPDATE BILL 2018'!$D:$T,17,0),IFERROR(VLOOKUP(A1538,'[2]UPDATE BILL 2018'!$E:$T,16,0),IFERROR(VLOOKUP(A1538,'[2]UPDATE BILL 2018'!$F:$T,15,0),IFERROR(VLOOKUP(A1538,'[2]UPDATE BILL 2018'!$G:$T,14,0),IFERROR(VLOOKUP(A1538,'[2]UPDATE BILL 2018'!$H:$T,13,0),IFERROR(VLOOKUP(A1538,'[2]UPDATE BILL 2018'!$I:$T,12,0),VLOOKUP(A1538,'[2]UPDATE BILL 2018'!$B:$T,19,0)))))))))</f>
        <v>43363</v>
      </c>
      <c r="AC1538" s="44" t="str">
        <f>IFERROR(VLOOKUP(A1538,'[2]UPDATE BILL 2018'!$B:$V,21,0),IFERROR(VLOOKUP(A1538,'[2]UPDATE BILL 2018'!$C:$V,20,0),IFERROR(VLOOKUP(A1538,'[2]UPDATE BILL 2018'!$D:$V,19,0),IFERROR(VLOOKUP(A1538,'[2]UPDATE BILL 2018'!$E:$V,18,0),IFERROR(VLOOKUP(A1538,'[2]UPDATE BILL 2018'!$F:$V,17,0),IFERROR(VLOOKUP(A1538,'[2]UPDATE BILL 2018'!$G:$V,16,0),IFERROR(VLOOKUP(A1538,'[2]UPDATE BILL 2018'!$H:$V,15,0),IFERROR(VLOOKUP(A1538,'[2]UPDATE BILL 2018'!$I:$V,14,0),VLOOKUP(A1538,'[2]UPDATE BILL 2018'!$B:$V,21,0)))))))))</f>
        <v>RESURGENCE 1823N</v>
      </c>
      <c r="AD1538" s="14" t="s">
        <v>49</v>
      </c>
      <c r="AE1538" s="24" t="s">
        <v>3851</v>
      </c>
      <c r="AF1538" s="25" t="str">
        <f t="shared" si="139"/>
        <v>VK</v>
      </c>
      <c r="AG1538" s="58" t="e">
        <f t="shared" si="135"/>
        <v>#REF!</v>
      </c>
      <c r="AH1538" s="58"/>
      <c r="AI1538" s="58"/>
      <c r="AJ1538" s="58"/>
      <c r="AK1538" s="58"/>
      <c r="AL1538" s="58"/>
      <c r="AM1538" s="58"/>
      <c r="AN1538" s="58"/>
      <c r="AO1538" s="58"/>
    </row>
    <row r="1539" spans="1:41" ht="15.75" customHeight="1">
      <c r="A1539" s="6" t="s">
        <v>3846</v>
      </c>
      <c r="B1539" s="5">
        <v>185</v>
      </c>
      <c r="C1539" s="7">
        <v>14359.400000000001</v>
      </c>
      <c r="D1539" s="7">
        <f t="shared" si="143"/>
        <v>0</v>
      </c>
      <c r="E1539" s="7">
        <v>0</v>
      </c>
      <c r="F1539" s="5">
        <v>0</v>
      </c>
      <c r="G1539" s="7">
        <v>0</v>
      </c>
      <c r="H1539" s="5">
        <v>0</v>
      </c>
      <c r="I1539" s="7">
        <v>0</v>
      </c>
      <c r="J1539" s="7">
        <v>0</v>
      </c>
      <c r="K1539" s="5">
        <v>0</v>
      </c>
      <c r="L1539" s="5">
        <v>0</v>
      </c>
      <c r="M1539" s="5">
        <v>116</v>
      </c>
      <c r="N1539" s="7">
        <f t="shared" si="144"/>
        <v>116</v>
      </c>
      <c r="O1539" s="7">
        <v>20717.599999999999</v>
      </c>
      <c r="P1539" s="7">
        <v>0</v>
      </c>
      <c r="Q1539" s="5">
        <v>0</v>
      </c>
      <c r="R1539" s="5">
        <v>265</v>
      </c>
      <c r="S1539" s="7">
        <v>34092</v>
      </c>
      <c r="T1539" s="12">
        <v>43354</v>
      </c>
      <c r="U1539" s="4">
        <v>4</v>
      </c>
      <c r="V1539" s="4">
        <v>9</v>
      </c>
      <c r="W1539" s="4">
        <v>9</v>
      </c>
      <c r="X1539" s="45">
        <f t="shared" si="145"/>
        <v>69169</v>
      </c>
      <c r="Y1539" s="14" t="s">
        <v>85</v>
      </c>
      <c r="Z1539" s="14" t="s">
        <v>3780</v>
      </c>
      <c r="AA1539" s="14">
        <f>IFERROR(VLOOKUP(A1539,'[2]UPDATE BILL 2018'!$B:$P,15,0),IFERROR(VLOOKUP(A1539,'[2]UPDATE BILL 2018'!$C:$P,14,0),IFERROR(VLOOKUP(A1539,'[2]UPDATE BILL 2018'!$D:$P,13,0),IFERROR(VLOOKUP(A1539,'[2]UPDATE BILL 2018'!$E:$P,12,0),IFERROR(VLOOKUP(A1539,'[2]UPDATE BILL 2018'!$F:$P,11,0),IFERROR(VLOOKUP(A1539,'[2]UPDATE BILL 2018'!$G:$P,10,0),IFERROR(VLOOKUP(A1539,'[2]UPDATE BILL 2018'!$H:$P,9,0),IFERROR(VLOOKUP(A1539,'[2]UPDATE BILL 2018'!$I:$P,8,0),VLOOKUP(A1539,'[2]UPDATE BILL 2018'!$B:$P,15,0)))))))))</f>
        <v>350810109234</v>
      </c>
      <c r="AB1539" s="44">
        <f>IFERROR(VLOOKUP(A1539,'[2]UPDATE BILL 2018'!$B:$T,19,0),IFERROR(VLOOKUP(A1539,'[2]UPDATE BILL 2018'!$C:$T,18,0),IFERROR(VLOOKUP(A1539,'[2]UPDATE BILL 2018'!$D:$T,17,0),IFERROR(VLOOKUP(A1539,'[2]UPDATE BILL 2018'!$E:$T,16,0),IFERROR(VLOOKUP(A1539,'[2]UPDATE BILL 2018'!$F:$T,15,0),IFERROR(VLOOKUP(A1539,'[2]UPDATE BILL 2018'!$G:$T,14,0),IFERROR(VLOOKUP(A1539,'[2]UPDATE BILL 2018'!$H:$T,13,0),IFERROR(VLOOKUP(A1539,'[2]UPDATE BILL 2018'!$I:$T,12,0),VLOOKUP(A1539,'[2]UPDATE BILL 2018'!$B:$T,19,0)))))))))</f>
        <v>43360</v>
      </c>
      <c r="AC1539" s="44" t="str">
        <f>IFERROR(VLOOKUP(A1539,'[2]UPDATE BILL 2018'!$B:$V,21,0),IFERROR(VLOOKUP(A1539,'[2]UPDATE BILL 2018'!$C:$V,20,0),IFERROR(VLOOKUP(A1539,'[2]UPDATE BILL 2018'!$D:$V,19,0),IFERROR(VLOOKUP(A1539,'[2]UPDATE BILL 2018'!$E:$V,18,0),IFERROR(VLOOKUP(A1539,'[2]UPDATE BILL 2018'!$F:$V,17,0),IFERROR(VLOOKUP(A1539,'[2]UPDATE BILL 2018'!$G:$V,16,0),IFERROR(VLOOKUP(A1539,'[2]UPDATE BILL 2018'!$H:$V,15,0),IFERROR(VLOOKUP(A1539,'[2]UPDATE BILL 2018'!$I:$V,14,0),VLOOKUP(A1539,'[2]UPDATE BILL 2018'!$B:$V,21,0)))))))))</f>
        <v>HANSE ENDURANCE 18014N</v>
      </c>
      <c r="AD1539" s="14" t="s">
        <v>52</v>
      </c>
      <c r="AE1539" s="24" t="s">
        <v>3852</v>
      </c>
      <c r="AF1539" s="25" t="str">
        <f t="shared" si="139"/>
        <v>VQ</v>
      </c>
      <c r="AG1539" s="58" t="e">
        <f t="shared" si="135"/>
        <v>#REF!</v>
      </c>
      <c r="AH1539" s="58"/>
      <c r="AI1539" s="58"/>
      <c r="AJ1539" s="58"/>
      <c r="AK1539" s="58"/>
      <c r="AL1539" s="58"/>
      <c r="AM1539" s="58"/>
      <c r="AN1539" s="58"/>
      <c r="AO1539" s="58"/>
    </row>
    <row r="1540" spans="1:41" ht="15.75" customHeight="1">
      <c r="A1540" s="6" t="s">
        <v>3847</v>
      </c>
      <c r="B1540" s="5">
        <v>241</v>
      </c>
      <c r="C1540" s="7">
        <v>23504.700000000004</v>
      </c>
      <c r="D1540" s="7">
        <f t="shared" si="143"/>
        <v>0</v>
      </c>
      <c r="E1540" s="7">
        <v>0</v>
      </c>
      <c r="F1540" s="5">
        <v>0</v>
      </c>
      <c r="G1540" s="7">
        <v>0</v>
      </c>
      <c r="H1540" s="5">
        <v>0</v>
      </c>
      <c r="I1540" s="7">
        <v>0</v>
      </c>
      <c r="J1540" s="7">
        <v>0</v>
      </c>
      <c r="K1540" s="5">
        <v>0</v>
      </c>
      <c r="L1540" s="5">
        <v>0</v>
      </c>
      <c r="M1540" s="5">
        <v>98</v>
      </c>
      <c r="N1540" s="7">
        <f t="shared" si="144"/>
        <v>98</v>
      </c>
      <c r="O1540" s="7">
        <v>18278.099999999995</v>
      </c>
      <c r="P1540" s="7">
        <v>0</v>
      </c>
      <c r="Q1540" s="5">
        <v>0</v>
      </c>
      <c r="R1540" s="5">
        <v>162</v>
      </c>
      <c r="S1540" s="7">
        <v>24444</v>
      </c>
      <c r="T1540" s="12">
        <v>43354</v>
      </c>
      <c r="U1540" s="4">
        <v>5</v>
      </c>
      <c r="V1540" s="4">
        <v>9</v>
      </c>
      <c r="W1540" s="4">
        <v>9</v>
      </c>
      <c r="X1540" s="45">
        <f t="shared" si="145"/>
        <v>66226.8</v>
      </c>
      <c r="Y1540" s="14" t="s">
        <v>56</v>
      </c>
      <c r="Z1540" s="14" t="s">
        <v>1281</v>
      </c>
      <c r="AA1540" s="14" t="str">
        <f>IFERROR(VLOOKUP(A1540,'[2]UPDATE BILL 2018'!$B:$P,15,0),IFERROR(VLOOKUP(A1540,'[2]UPDATE BILL 2018'!$C:$P,14,0),IFERROR(VLOOKUP(A1540,'[2]UPDATE BILL 2018'!$D:$P,13,0),IFERROR(VLOOKUP(A1540,'[2]UPDATE BILL 2018'!$E:$P,12,0),IFERROR(VLOOKUP(A1540,'[2]UPDATE BILL 2018'!$F:$P,11,0),IFERROR(VLOOKUP(A1540,'[2]UPDATE BILL 2018'!$G:$P,10,0),IFERROR(VLOOKUP(A1540,'[2]UPDATE BILL 2018'!$H:$P,9,0),IFERROR(VLOOKUP(A1540,'[2]UPDATE BILL 2018'!$I:$P,8,0),VLOOKUP(A1540,'[2]UPDATE BILL 2018'!$B:$P,15,0)))))))))</f>
        <v>1008X05153</v>
      </c>
      <c r="AB1540" s="44">
        <f>IFERROR(VLOOKUP(A1540,'[2]UPDATE BILL 2018'!$B:$T,19,0),IFERROR(VLOOKUP(A1540,'[2]UPDATE BILL 2018'!$C:$T,18,0),IFERROR(VLOOKUP(A1540,'[2]UPDATE BILL 2018'!$D:$T,17,0),IFERROR(VLOOKUP(A1540,'[2]UPDATE BILL 2018'!$E:$T,16,0),IFERROR(VLOOKUP(A1540,'[2]UPDATE BILL 2018'!$F:$T,15,0),IFERROR(VLOOKUP(A1540,'[2]UPDATE BILL 2018'!$G:$T,14,0),IFERROR(VLOOKUP(A1540,'[2]UPDATE BILL 2018'!$H:$T,13,0),IFERROR(VLOOKUP(A1540,'[2]UPDATE BILL 2018'!$I:$T,12,0),VLOOKUP(A1540,'[2]UPDATE BILL 2018'!$B:$T,19,0)))))))))</f>
        <v>43355</v>
      </c>
      <c r="AC1540" s="44" t="str">
        <f>IFERROR(VLOOKUP(A1540,'[2]UPDATE BILL 2018'!$B:$V,21,0),IFERROR(VLOOKUP(A1540,'[2]UPDATE BILL 2018'!$C:$V,20,0),IFERROR(VLOOKUP(A1540,'[2]UPDATE BILL 2018'!$D:$V,19,0),IFERROR(VLOOKUP(A1540,'[2]UPDATE BILL 2018'!$E:$V,18,0),IFERROR(VLOOKUP(A1540,'[2]UPDATE BILL 2018'!$F:$V,17,0),IFERROR(VLOOKUP(A1540,'[2]UPDATE BILL 2018'!$G:$V,16,0),IFERROR(VLOOKUP(A1540,'[2]UPDATE BILL 2018'!$H:$V,15,0),IFERROR(VLOOKUP(A1540,'[2]UPDATE BILL 2018'!$I:$V,14,0),VLOOKUP(A1540,'[2]UPDATE BILL 2018'!$B:$V,21,0)))))))))</f>
        <v>WAN HAI 266 N398</v>
      </c>
      <c r="AD1540" s="14" t="s">
        <v>51</v>
      </c>
      <c r="AE1540" s="24" t="s">
        <v>3853</v>
      </c>
      <c r="AF1540" s="25" t="str">
        <f t="shared" si="139"/>
        <v>VS</v>
      </c>
      <c r="AG1540" s="58" t="e">
        <f t="shared" ref="AG1540:AG1603" si="146">+VLOOKUP(AF1540,AH:AH,2,0)</f>
        <v>#REF!</v>
      </c>
      <c r="AH1540" s="58"/>
      <c r="AI1540" s="58"/>
      <c r="AJ1540" s="58"/>
      <c r="AK1540" s="58"/>
      <c r="AL1540" s="58"/>
      <c r="AM1540" s="58"/>
      <c r="AN1540" s="58"/>
      <c r="AO1540" s="58"/>
    </row>
    <row r="1541" spans="1:41" ht="15.75" customHeight="1">
      <c r="A1541" s="6" t="s">
        <v>3848</v>
      </c>
      <c r="B1541" s="5">
        <v>465</v>
      </c>
      <c r="C1541" s="7">
        <v>45840.959999999992</v>
      </c>
      <c r="D1541" s="7">
        <f t="shared" si="140"/>
        <v>0</v>
      </c>
      <c r="E1541" s="7">
        <v>0</v>
      </c>
      <c r="F1541" s="5">
        <v>0</v>
      </c>
      <c r="G1541" s="7">
        <v>0</v>
      </c>
      <c r="H1541" s="5">
        <v>647</v>
      </c>
      <c r="I1541" s="7">
        <v>73362.63</v>
      </c>
      <c r="J1541" s="7">
        <v>0</v>
      </c>
      <c r="K1541" s="5">
        <v>0</v>
      </c>
      <c r="L1541" s="5">
        <v>0</v>
      </c>
      <c r="M1541" s="5">
        <v>224</v>
      </c>
      <c r="N1541" s="7">
        <f t="shared" si="141"/>
        <v>224</v>
      </c>
      <c r="O1541" s="7">
        <v>18260.750000000007</v>
      </c>
      <c r="P1541" s="7">
        <v>0</v>
      </c>
      <c r="Q1541" s="5">
        <v>0</v>
      </c>
      <c r="R1541" s="5">
        <v>553</v>
      </c>
      <c r="S1541" s="7">
        <v>36221.5</v>
      </c>
      <c r="T1541" s="12">
        <v>43354</v>
      </c>
      <c r="U1541" s="4">
        <v>13</v>
      </c>
      <c r="V1541" s="4">
        <v>9</v>
      </c>
      <c r="W1541" s="4">
        <v>9</v>
      </c>
      <c r="X1541" s="45">
        <f t="shared" si="142"/>
        <v>173685.84</v>
      </c>
      <c r="Y1541" s="14" t="s">
        <v>56</v>
      </c>
      <c r="Z1541" s="14" t="s">
        <v>57</v>
      </c>
      <c r="AA1541" s="14" t="str">
        <f>IFERROR(VLOOKUP(A1541,'[2]UPDATE BILL 2018'!$B:$P,15,0),IFERROR(VLOOKUP(A1541,'[2]UPDATE BILL 2018'!$C:$P,14,0),IFERROR(VLOOKUP(A1541,'[2]UPDATE BILL 2018'!$D:$P,13,0),IFERROR(VLOOKUP(A1541,'[2]UPDATE BILL 2018'!$E:$P,12,0),IFERROR(VLOOKUP(A1541,'[2]UPDATE BILL 2018'!$F:$P,11,0),IFERROR(VLOOKUP(A1541,'[2]UPDATE BILL 2018'!$G:$P,10,0),IFERROR(VLOOKUP(A1541,'[2]UPDATE BILL 2018'!$H:$P,9,0),IFERROR(VLOOKUP(A1541,'[2]UPDATE BILL 2018'!$I:$P,8,0),VLOOKUP(A1541,'[2]UPDATE BILL 2018'!$B:$P,15,0)))))))))</f>
        <v>1008X05222</v>
      </c>
      <c r="AB1541" s="44">
        <f>IFERROR(VLOOKUP(A1541,'[2]UPDATE BILL 2018'!$B:$T,19,0),IFERROR(VLOOKUP(A1541,'[2]UPDATE BILL 2018'!$C:$T,18,0),IFERROR(VLOOKUP(A1541,'[2]UPDATE BILL 2018'!$D:$T,17,0),IFERROR(VLOOKUP(A1541,'[2]UPDATE BILL 2018'!$E:$T,16,0),IFERROR(VLOOKUP(A1541,'[2]UPDATE BILL 2018'!$F:$T,15,0),IFERROR(VLOOKUP(A1541,'[2]UPDATE BILL 2018'!$G:$T,14,0),IFERROR(VLOOKUP(A1541,'[2]UPDATE BILL 2018'!$H:$T,13,0),IFERROR(VLOOKUP(A1541,'[2]UPDATE BILL 2018'!$I:$T,12,0),VLOOKUP(A1541,'[2]UPDATE BILL 2018'!$B:$T,19,0)))))))))</f>
        <v>43366</v>
      </c>
      <c r="AC1541" s="44" t="str">
        <f>IFERROR(VLOOKUP(A1541,'[2]UPDATE BILL 2018'!$B:$V,21,0),IFERROR(VLOOKUP(A1541,'[2]UPDATE BILL 2018'!$C:$V,20,0),IFERROR(VLOOKUP(A1541,'[2]UPDATE BILL 2018'!$D:$V,19,0),IFERROR(VLOOKUP(A1541,'[2]UPDATE BILL 2018'!$E:$V,18,0),IFERROR(VLOOKUP(A1541,'[2]UPDATE BILL 2018'!$F:$V,17,0),IFERROR(VLOOKUP(A1541,'[2]UPDATE BILL 2018'!$G:$V,16,0),IFERROR(VLOOKUP(A1541,'[2]UPDATE BILL 2018'!$H:$V,15,0),IFERROR(VLOOKUP(A1541,'[2]UPDATE BILL 2018'!$I:$V,14,0),VLOOKUP(A1541,'[2]UPDATE BILL 2018'!$B:$V,21,0)))))))))</f>
        <v>MOONCHILD N033</v>
      </c>
      <c r="AD1541" s="14" t="s">
        <v>51</v>
      </c>
      <c r="AE1541" s="24" t="s">
        <v>3854</v>
      </c>
      <c r="AF1541" s="25" t="str">
        <f t="shared" si="139"/>
        <v>VS</v>
      </c>
      <c r="AG1541" t="e">
        <f t="shared" si="146"/>
        <v>#REF!</v>
      </c>
      <c r="AI1541" s="58" t="s">
        <v>3848</v>
      </c>
    </row>
    <row r="1542" spans="1:41" ht="15.75" customHeight="1">
      <c r="A1542" s="6" t="s">
        <v>3849</v>
      </c>
      <c r="B1542" s="5">
        <v>519</v>
      </c>
      <c r="C1542" s="7">
        <v>47487.65</v>
      </c>
      <c r="D1542" s="7">
        <f t="shared" si="140"/>
        <v>0</v>
      </c>
      <c r="E1542" s="7">
        <v>0</v>
      </c>
      <c r="F1542" s="5">
        <v>0</v>
      </c>
      <c r="G1542" s="7">
        <v>0</v>
      </c>
      <c r="H1542" s="5">
        <v>0</v>
      </c>
      <c r="I1542" s="7">
        <v>0</v>
      </c>
      <c r="J1542" s="7">
        <v>0</v>
      </c>
      <c r="K1542" s="5">
        <v>0</v>
      </c>
      <c r="L1542" s="5">
        <v>0</v>
      </c>
      <c r="M1542" s="5">
        <v>40</v>
      </c>
      <c r="N1542" s="7">
        <f t="shared" si="141"/>
        <v>40</v>
      </c>
      <c r="O1542" s="7">
        <v>8710.9</v>
      </c>
      <c r="P1542" s="7">
        <v>0</v>
      </c>
      <c r="Q1542" s="5">
        <v>0</v>
      </c>
      <c r="R1542" s="5">
        <v>138</v>
      </c>
      <c r="S1542" s="7">
        <v>24715.8</v>
      </c>
      <c r="T1542" s="12">
        <v>43354</v>
      </c>
      <c r="U1542" s="4">
        <v>6</v>
      </c>
      <c r="V1542" s="4">
        <v>9</v>
      </c>
      <c r="W1542" s="4">
        <v>9</v>
      </c>
      <c r="X1542" s="45">
        <f t="shared" si="142"/>
        <v>80914.350000000006</v>
      </c>
      <c r="Y1542" s="14" t="s">
        <v>54</v>
      </c>
      <c r="Z1542" s="14" t="s">
        <v>59</v>
      </c>
      <c r="AA1542" s="14" t="str">
        <f>IFERROR(VLOOKUP(A1542,'[2]UPDATE BILL 2018'!$B:$P,15,0),IFERROR(VLOOKUP(A1542,'[2]UPDATE BILL 2018'!$C:$P,14,0),IFERROR(VLOOKUP(A1542,'[2]UPDATE BILL 2018'!$D:$P,13,0),IFERROR(VLOOKUP(A1542,'[2]UPDATE BILL 2018'!$E:$P,12,0),IFERROR(VLOOKUP(A1542,'[2]UPDATE BILL 2018'!$F:$P,11,0),IFERROR(VLOOKUP(A1542,'[2]UPDATE BILL 2018'!$G:$P,10,0),IFERROR(VLOOKUP(A1542,'[2]UPDATE BILL 2018'!$H:$P,9,0),IFERROR(VLOOKUP(A1542,'[2]UPDATE BILL 2018'!$I:$P,8,0),VLOOKUP(A1542,'[2]UPDATE BILL 2018'!$B:$P,15,0)))))))))</f>
        <v>SITWHPKW177721</v>
      </c>
      <c r="AB1542" s="44">
        <f>IFERROR(VLOOKUP(A1542,'[2]UPDATE BILL 2018'!$B:$T,19,0),IFERROR(VLOOKUP(A1542,'[2]UPDATE BILL 2018'!$C:$T,18,0),IFERROR(VLOOKUP(A1542,'[2]UPDATE BILL 2018'!$D:$T,17,0),IFERROR(VLOOKUP(A1542,'[2]UPDATE BILL 2018'!$E:$T,16,0),IFERROR(VLOOKUP(A1542,'[2]UPDATE BILL 2018'!$F:$T,15,0),IFERROR(VLOOKUP(A1542,'[2]UPDATE BILL 2018'!$G:$T,14,0),IFERROR(VLOOKUP(A1542,'[2]UPDATE BILL 2018'!$H:$T,13,0),IFERROR(VLOOKUP(A1542,'[2]UPDATE BILL 2018'!$I:$T,12,0),VLOOKUP(A1542,'[2]UPDATE BILL 2018'!$B:$T,19,0)))))))))</f>
        <v>43363</v>
      </c>
      <c r="AC1542" s="44" t="str">
        <f>IFERROR(VLOOKUP(A1542,'[2]UPDATE BILL 2018'!$B:$V,21,0),IFERROR(VLOOKUP(A1542,'[2]UPDATE BILL 2018'!$C:$V,20,0),IFERROR(VLOOKUP(A1542,'[2]UPDATE BILL 2018'!$D:$V,19,0),IFERROR(VLOOKUP(A1542,'[2]UPDATE BILL 2018'!$E:$V,18,0),IFERROR(VLOOKUP(A1542,'[2]UPDATE BILL 2018'!$F:$V,17,0),IFERROR(VLOOKUP(A1542,'[2]UPDATE BILL 2018'!$G:$V,16,0),IFERROR(VLOOKUP(A1542,'[2]UPDATE BILL 2018'!$H:$V,15,0),IFERROR(VLOOKUP(A1542,'[2]UPDATE BILL 2018'!$I:$V,14,0),VLOOKUP(A1542,'[2]UPDATE BILL 2018'!$B:$V,21,0)))))))))</f>
        <v>RESURGENCE 1823N</v>
      </c>
      <c r="AD1542" s="14" t="s">
        <v>50</v>
      </c>
      <c r="AE1542" s="24" t="s">
        <v>3855</v>
      </c>
      <c r="AF1542" s="25" t="str">
        <f t="shared" si="139"/>
        <v>VW</v>
      </c>
      <c r="AG1542" t="e">
        <f t="shared" si="146"/>
        <v>#REF!</v>
      </c>
      <c r="AI1542" s="58"/>
    </row>
    <row r="1543" spans="1:41" ht="15.75" customHeight="1">
      <c r="A1543" s="6" t="s">
        <v>3850</v>
      </c>
      <c r="B1543" s="5">
        <v>620</v>
      </c>
      <c r="C1543" s="7">
        <v>58100.180000000022</v>
      </c>
      <c r="D1543" s="7">
        <f t="shared" si="140"/>
        <v>0</v>
      </c>
      <c r="E1543" s="7">
        <v>0</v>
      </c>
      <c r="F1543" s="5">
        <v>0</v>
      </c>
      <c r="G1543" s="7">
        <v>0</v>
      </c>
      <c r="H1543" s="5">
        <v>0</v>
      </c>
      <c r="I1543" s="7">
        <v>0</v>
      </c>
      <c r="J1543" s="7">
        <v>0</v>
      </c>
      <c r="K1543" s="5">
        <v>0</v>
      </c>
      <c r="L1543" s="5">
        <v>0</v>
      </c>
      <c r="M1543" s="5">
        <v>151</v>
      </c>
      <c r="N1543" s="7">
        <f t="shared" si="141"/>
        <v>151</v>
      </c>
      <c r="O1543" s="7">
        <v>25571.5</v>
      </c>
      <c r="P1543" s="7">
        <v>0</v>
      </c>
      <c r="Q1543" s="5">
        <v>0</v>
      </c>
      <c r="S1543" s="7">
        <v>0</v>
      </c>
      <c r="T1543" s="12">
        <v>43354</v>
      </c>
      <c r="U1543" s="4">
        <v>8</v>
      </c>
      <c r="V1543" s="4">
        <v>9</v>
      </c>
      <c r="W1543" s="4">
        <v>9</v>
      </c>
      <c r="X1543" s="45">
        <f t="shared" si="142"/>
        <v>83671.680000000022</v>
      </c>
      <c r="Y1543" s="14" t="s">
        <v>54</v>
      </c>
      <c r="Z1543" s="14" t="s">
        <v>3376</v>
      </c>
      <c r="AA1543" s="14" t="str">
        <f>IFERROR(VLOOKUP(A1543,'[2]UPDATE BILL 2018'!$B:$P,15,0),IFERROR(VLOOKUP(A1543,'[2]UPDATE BILL 2018'!$C:$P,14,0),IFERROR(VLOOKUP(A1543,'[2]UPDATE BILL 2018'!$D:$P,13,0),IFERROR(VLOOKUP(A1543,'[2]UPDATE BILL 2018'!$E:$P,12,0),IFERROR(VLOOKUP(A1543,'[2]UPDATE BILL 2018'!$F:$P,11,0),IFERROR(VLOOKUP(A1543,'[2]UPDATE BILL 2018'!$G:$P,10,0),IFERROR(VLOOKUP(A1543,'[2]UPDATE BILL 2018'!$H:$P,9,0),IFERROR(VLOOKUP(A1543,'[2]UPDATE BILL 2018'!$I:$P,8,0),VLOOKUP(A1543,'[2]UPDATE BILL 2018'!$B:$P,15,0)))))))))</f>
        <v>SITWHPKW177723</v>
      </c>
      <c r="AB1543" s="44">
        <f>IFERROR(VLOOKUP(A1543,'[2]UPDATE BILL 2018'!$B:$T,19,0),IFERROR(VLOOKUP(A1543,'[2]UPDATE BILL 2018'!$C:$T,18,0),IFERROR(VLOOKUP(A1543,'[2]UPDATE BILL 2018'!$D:$T,17,0),IFERROR(VLOOKUP(A1543,'[2]UPDATE BILL 2018'!$E:$T,16,0),IFERROR(VLOOKUP(A1543,'[2]UPDATE BILL 2018'!$F:$T,15,0),IFERROR(VLOOKUP(A1543,'[2]UPDATE BILL 2018'!$G:$T,14,0),IFERROR(VLOOKUP(A1543,'[2]UPDATE BILL 2018'!$H:$T,13,0),IFERROR(VLOOKUP(A1543,'[2]UPDATE BILL 2018'!$I:$T,12,0),VLOOKUP(A1543,'[2]UPDATE BILL 2018'!$B:$T,19,0)))))))))</f>
        <v>43365</v>
      </c>
      <c r="AC1543" s="44" t="str">
        <f>IFERROR(VLOOKUP(A1543,'[2]UPDATE BILL 2018'!$B:$V,21,0),IFERROR(VLOOKUP(A1543,'[2]UPDATE BILL 2018'!$C:$V,20,0),IFERROR(VLOOKUP(A1543,'[2]UPDATE BILL 2018'!$D:$V,19,0),IFERROR(VLOOKUP(A1543,'[2]UPDATE BILL 2018'!$E:$V,18,0),IFERROR(VLOOKUP(A1543,'[2]UPDATE BILL 2018'!$F:$V,17,0),IFERROR(VLOOKUP(A1543,'[2]UPDATE BILL 2018'!$G:$V,16,0),IFERROR(VLOOKUP(A1543,'[2]UPDATE BILL 2018'!$H:$V,15,0),IFERROR(VLOOKUP(A1543,'[2]UPDATE BILL 2018'!$I:$V,14,0),VLOOKUP(A1543,'[2]UPDATE BILL 2018'!$B:$V,21,0)))))))))</f>
        <v>SITC TIANJIN 1825N</v>
      </c>
      <c r="AD1543" s="14" t="s">
        <v>50</v>
      </c>
      <c r="AE1543" s="24" t="s">
        <v>3856</v>
      </c>
      <c r="AF1543" s="25" t="str">
        <f t="shared" si="139"/>
        <v>VW</v>
      </c>
      <c r="AG1543" t="e">
        <f t="shared" si="146"/>
        <v>#REF!</v>
      </c>
      <c r="AI1543" s="58" t="s">
        <v>3850</v>
      </c>
    </row>
    <row r="1544" spans="1:41" ht="15.75" customHeight="1">
      <c r="A1544" s="6" t="s">
        <v>3857</v>
      </c>
      <c r="D1544" s="7">
        <f t="shared" si="140"/>
        <v>0</v>
      </c>
      <c r="E1544" s="7">
        <v>0</v>
      </c>
      <c r="F1544" s="5">
        <v>0</v>
      </c>
      <c r="G1544" s="7">
        <v>0</v>
      </c>
      <c r="H1544" s="5">
        <v>115</v>
      </c>
      <c r="I1544" s="7">
        <v>12992.7</v>
      </c>
      <c r="J1544" s="7">
        <v>0</v>
      </c>
      <c r="K1544" s="5">
        <v>0</v>
      </c>
      <c r="L1544" s="5">
        <v>0</v>
      </c>
      <c r="M1544" s="5">
        <v>0</v>
      </c>
      <c r="N1544" s="7">
        <f t="shared" si="141"/>
        <v>0</v>
      </c>
      <c r="O1544" s="7">
        <v>0</v>
      </c>
      <c r="P1544" s="7">
        <v>0</v>
      </c>
      <c r="Q1544" s="5">
        <v>0</v>
      </c>
      <c r="S1544" s="7">
        <v>0</v>
      </c>
      <c r="T1544" s="12">
        <v>43355</v>
      </c>
      <c r="U1544" s="4">
        <v>1</v>
      </c>
      <c r="V1544" s="4">
        <v>9</v>
      </c>
      <c r="W1544" s="4">
        <v>9</v>
      </c>
      <c r="X1544" s="45">
        <f t="shared" si="142"/>
        <v>12992.7</v>
      </c>
      <c r="Y1544" s="14" t="s">
        <v>54</v>
      </c>
      <c r="Z1544" s="14" t="s">
        <v>2525</v>
      </c>
      <c r="AA1544" s="14" t="str">
        <f>IFERROR(VLOOKUP(A1544,'[2]UPDATE BILL 2018'!$B:$P,15,0),IFERROR(VLOOKUP(A1544,'[2]UPDATE BILL 2018'!$C:$P,14,0),IFERROR(VLOOKUP(A1544,'[2]UPDATE BILL 2018'!$D:$P,13,0),IFERROR(VLOOKUP(A1544,'[2]UPDATE BILL 2018'!$E:$P,12,0),IFERROR(VLOOKUP(A1544,'[2]UPDATE BILL 2018'!$F:$P,11,0),IFERROR(VLOOKUP(A1544,'[2]UPDATE BILL 2018'!$G:$P,10,0),IFERROR(VLOOKUP(A1544,'[2]UPDATE BILL 2018'!$H:$P,9,0),IFERROR(VLOOKUP(A1544,'[2]UPDATE BILL 2018'!$I:$P,8,0),VLOOKUP(A1544,'[2]UPDATE BILL 2018'!$B:$P,15,0)))))))))</f>
        <v>SITWHPTK177709</v>
      </c>
      <c r="AB1544" s="44">
        <f>IFERROR(VLOOKUP(A1544,'[2]UPDATE BILL 2018'!$B:$T,19,0),IFERROR(VLOOKUP(A1544,'[2]UPDATE BILL 2018'!$C:$T,18,0),IFERROR(VLOOKUP(A1544,'[2]UPDATE BILL 2018'!$D:$T,17,0),IFERROR(VLOOKUP(A1544,'[2]UPDATE BILL 2018'!$E:$T,16,0),IFERROR(VLOOKUP(A1544,'[2]UPDATE BILL 2018'!$F:$T,15,0),IFERROR(VLOOKUP(A1544,'[2]UPDATE BILL 2018'!$G:$T,14,0),IFERROR(VLOOKUP(A1544,'[2]UPDATE BILL 2018'!$H:$T,13,0),IFERROR(VLOOKUP(A1544,'[2]UPDATE BILL 2018'!$I:$T,12,0),VLOOKUP(A1544,'[2]UPDATE BILL 2018'!$B:$T,19,0)))))))))</f>
        <v>43363</v>
      </c>
      <c r="AC1544" s="44" t="str">
        <f>IFERROR(VLOOKUP(A1544,'[2]UPDATE BILL 2018'!$B:$V,21,0),IFERROR(VLOOKUP(A1544,'[2]UPDATE BILL 2018'!$C:$V,20,0),IFERROR(VLOOKUP(A1544,'[2]UPDATE BILL 2018'!$D:$V,19,0),IFERROR(VLOOKUP(A1544,'[2]UPDATE BILL 2018'!$E:$V,18,0),IFERROR(VLOOKUP(A1544,'[2]UPDATE BILL 2018'!$F:$V,17,0),IFERROR(VLOOKUP(A1544,'[2]UPDATE BILL 2018'!$G:$V,16,0),IFERROR(VLOOKUP(A1544,'[2]UPDATE BILL 2018'!$H:$V,15,0),IFERROR(VLOOKUP(A1544,'[2]UPDATE BILL 2018'!$I:$V,14,0),VLOOKUP(A1544,'[2]UPDATE BILL 2018'!$B:$V,21,0)))))))))</f>
        <v>RESURGENCE 1823N</v>
      </c>
      <c r="AD1544" s="14" t="s">
        <v>49</v>
      </c>
      <c r="AE1544" s="24" t="s">
        <v>3865</v>
      </c>
      <c r="AF1544" s="25" t="str">
        <f t="shared" si="139"/>
        <v>VK</v>
      </c>
      <c r="AG1544" t="e">
        <f t="shared" si="146"/>
        <v>#REF!</v>
      </c>
      <c r="AI1544" s="58"/>
    </row>
    <row r="1545" spans="1:41" ht="15.75" customHeight="1">
      <c r="A1545" s="6" t="s">
        <v>3858</v>
      </c>
      <c r="D1545" s="7">
        <f t="shared" si="140"/>
        <v>0</v>
      </c>
      <c r="E1545" s="7">
        <v>0</v>
      </c>
      <c r="F1545" s="5">
        <v>0</v>
      </c>
      <c r="G1545" s="7">
        <v>0</v>
      </c>
      <c r="H1545" s="5">
        <v>205</v>
      </c>
      <c r="I1545" s="7">
        <v>25708.6</v>
      </c>
      <c r="J1545" s="7">
        <v>0</v>
      </c>
      <c r="K1545" s="5">
        <v>0</v>
      </c>
      <c r="L1545" s="5">
        <v>0</v>
      </c>
      <c r="M1545" s="5">
        <v>0</v>
      </c>
      <c r="N1545" s="7">
        <f t="shared" si="141"/>
        <v>0</v>
      </c>
      <c r="O1545" s="7">
        <v>0</v>
      </c>
      <c r="P1545" s="7">
        <v>0</v>
      </c>
      <c r="Q1545" s="5">
        <v>0</v>
      </c>
      <c r="S1545" s="7">
        <v>0</v>
      </c>
      <c r="T1545" s="12">
        <v>43355</v>
      </c>
      <c r="U1545" s="4">
        <v>2</v>
      </c>
      <c r="V1545" s="4">
        <v>9</v>
      </c>
      <c r="W1545" s="4">
        <v>9</v>
      </c>
      <c r="X1545" s="45">
        <f t="shared" si="142"/>
        <v>25708.6</v>
      </c>
      <c r="Y1545" s="14" t="s">
        <v>56</v>
      </c>
      <c r="Z1545" s="14" t="s">
        <v>3780</v>
      </c>
      <c r="AA1545" s="14" t="str">
        <f>IFERROR(VLOOKUP(A1545,'[2]UPDATE BILL 2018'!$B:$P,15,0),IFERROR(VLOOKUP(A1545,'[2]UPDATE BILL 2018'!$C:$P,14,0),IFERROR(VLOOKUP(A1545,'[2]UPDATE BILL 2018'!$D:$P,13,0),IFERROR(VLOOKUP(A1545,'[2]UPDATE BILL 2018'!$E:$P,12,0),IFERROR(VLOOKUP(A1545,'[2]UPDATE BILL 2018'!$F:$P,11,0),IFERROR(VLOOKUP(A1545,'[2]UPDATE BILL 2018'!$G:$P,10,0),IFERROR(VLOOKUP(A1545,'[2]UPDATE BILL 2018'!$H:$P,9,0),IFERROR(VLOOKUP(A1545,'[2]UPDATE BILL 2018'!$I:$P,8,0),VLOOKUP(A1545,'[2]UPDATE BILL 2018'!$B:$P,15,0)))))))))</f>
        <v>1008X05399</v>
      </c>
      <c r="AB1545" s="44">
        <f>IFERROR(VLOOKUP(A1545,'[2]UPDATE BILL 2018'!$B:$T,19,0),IFERROR(VLOOKUP(A1545,'[2]UPDATE BILL 2018'!$C:$T,18,0),IFERROR(VLOOKUP(A1545,'[2]UPDATE BILL 2018'!$D:$T,17,0),IFERROR(VLOOKUP(A1545,'[2]UPDATE BILL 2018'!$E:$T,16,0),IFERROR(VLOOKUP(A1545,'[2]UPDATE BILL 2018'!$F:$T,15,0),IFERROR(VLOOKUP(A1545,'[2]UPDATE BILL 2018'!$G:$T,14,0),IFERROR(VLOOKUP(A1545,'[2]UPDATE BILL 2018'!$H:$T,13,0),IFERROR(VLOOKUP(A1545,'[2]UPDATE BILL 2018'!$I:$T,12,0),VLOOKUP(A1545,'[2]UPDATE BILL 2018'!$B:$T,19,0)))))))))</f>
        <v>43363</v>
      </c>
      <c r="AC1545" s="44" t="str">
        <f>IFERROR(VLOOKUP(A1545,'[2]UPDATE BILL 2018'!$B:$V,21,0),IFERROR(VLOOKUP(A1545,'[2]UPDATE BILL 2018'!$C:$V,20,0),IFERROR(VLOOKUP(A1545,'[2]UPDATE BILL 2018'!$D:$V,19,0),IFERROR(VLOOKUP(A1545,'[2]UPDATE BILL 2018'!$E:$V,18,0),IFERROR(VLOOKUP(A1545,'[2]UPDATE BILL 2018'!$F:$V,17,0),IFERROR(VLOOKUP(A1545,'[2]UPDATE BILL 2018'!$G:$V,16,0),IFERROR(VLOOKUP(A1545,'[2]UPDATE BILL 2018'!$H:$V,15,0),IFERROR(VLOOKUP(A1545,'[2]UPDATE BILL 2018'!$I:$V,14,0),VLOOKUP(A1545,'[2]UPDATE BILL 2018'!$B:$V,21,0)))))))))</f>
        <v>WAN HAI 171 S250</v>
      </c>
      <c r="AD1545" s="14" t="s">
        <v>49</v>
      </c>
      <c r="AE1545" s="24" t="s">
        <v>3866</v>
      </c>
      <c r="AF1545" s="25" t="str">
        <f t="shared" si="139"/>
        <v>VK</v>
      </c>
      <c r="AG1545" t="e">
        <f t="shared" si="146"/>
        <v>#REF!</v>
      </c>
      <c r="AI1545" s="58" t="s">
        <v>3858</v>
      </c>
    </row>
    <row r="1546" spans="1:41" ht="15.75" customHeight="1">
      <c r="A1546" s="6" t="s">
        <v>3859</v>
      </c>
      <c r="B1546" s="5">
        <v>145</v>
      </c>
      <c r="C1546" s="7">
        <v>12493.3</v>
      </c>
      <c r="D1546" s="7">
        <f t="shared" si="140"/>
        <v>0</v>
      </c>
      <c r="E1546" s="7">
        <v>0</v>
      </c>
      <c r="F1546" s="5">
        <v>0</v>
      </c>
      <c r="G1546" s="7">
        <v>0</v>
      </c>
      <c r="H1546" s="5">
        <v>0</v>
      </c>
      <c r="I1546" s="7">
        <v>0</v>
      </c>
      <c r="J1546" s="7">
        <v>0</v>
      </c>
      <c r="K1546" s="5">
        <v>0</v>
      </c>
      <c r="L1546" s="5">
        <v>0</v>
      </c>
      <c r="M1546" s="5">
        <v>0</v>
      </c>
      <c r="N1546" s="7">
        <f t="shared" si="141"/>
        <v>0</v>
      </c>
      <c r="O1546" s="7">
        <v>0</v>
      </c>
      <c r="P1546" s="7">
        <v>0</v>
      </c>
      <c r="Q1546" s="5">
        <v>0</v>
      </c>
      <c r="R1546" s="5">
        <v>80</v>
      </c>
      <c r="S1546" s="7">
        <v>17144</v>
      </c>
      <c r="T1546" s="12">
        <v>43355</v>
      </c>
      <c r="U1546" s="4">
        <v>2</v>
      </c>
      <c r="V1546" s="4">
        <v>9</v>
      </c>
      <c r="W1546" s="4">
        <v>9</v>
      </c>
      <c r="X1546" s="45">
        <f t="shared" si="142"/>
        <v>29637.3</v>
      </c>
      <c r="Y1546" s="14" t="s">
        <v>85</v>
      </c>
      <c r="Z1546" s="14" t="s">
        <v>3780</v>
      </c>
      <c r="AA1546" s="14">
        <f>IFERROR(VLOOKUP(A1546,'[2]UPDATE BILL 2018'!$B:$P,15,0),IFERROR(VLOOKUP(A1546,'[2]UPDATE BILL 2018'!$C:$P,14,0),IFERROR(VLOOKUP(A1546,'[2]UPDATE BILL 2018'!$D:$P,13,0),IFERROR(VLOOKUP(A1546,'[2]UPDATE BILL 2018'!$E:$P,12,0),IFERROR(VLOOKUP(A1546,'[2]UPDATE BILL 2018'!$F:$P,11,0),IFERROR(VLOOKUP(A1546,'[2]UPDATE BILL 2018'!$G:$P,10,0),IFERROR(VLOOKUP(A1546,'[2]UPDATE BILL 2018'!$H:$P,9,0),IFERROR(VLOOKUP(A1546,'[2]UPDATE BILL 2018'!$I:$P,8,0),VLOOKUP(A1546,'[2]UPDATE BILL 2018'!$B:$P,15,0)))))))))</f>
        <v>350810109234</v>
      </c>
      <c r="AB1546" s="44">
        <f>IFERROR(VLOOKUP(A1546,'[2]UPDATE BILL 2018'!$B:$T,19,0),IFERROR(VLOOKUP(A1546,'[2]UPDATE BILL 2018'!$C:$T,18,0),IFERROR(VLOOKUP(A1546,'[2]UPDATE BILL 2018'!$D:$T,17,0),IFERROR(VLOOKUP(A1546,'[2]UPDATE BILL 2018'!$E:$T,16,0),IFERROR(VLOOKUP(A1546,'[2]UPDATE BILL 2018'!$F:$T,15,0),IFERROR(VLOOKUP(A1546,'[2]UPDATE BILL 2018'!$G:$T,14,0),IFERROR(VLOOKUP(A1546,'[2]UPDATE BILL 2018'!$H:$T,13,0),IFERROR(VLOOKUP(A1546,'[2]UPDATE BILL 2018'!$I:$T,12,0),VLOOKUP(A1546,'[2]UPDATE BILL 2018'!$B:$T,19,0)))))))))</f>
        <v>43360</v>
      </c>
      <c r="AC1546" s="44" t="str">
        <f>IFERROR(VLOOKUP(A1546,'[2]UPDATE BILL 2018'!$B:$V,21,0),IFERROR(VLOOKUP(A1546,'[2]UPDATE BILL 2018'!$C:$V,20,0),IFERROR(VLOOKUP(A1546,'[2]UPDATE BILL 2018'!$D:$V,19,0),IFERROR(VLOOKUP(A1546,'[2]UPDATE BILL 2018'!$E:$V,18,0),IFERROR(VLOOKUP(A1546,'[2]UPDATE BILL 2018'!$F:$V,17,0),IFERROR(VLOOKUP(A1546,'[2]UPDATE BILL 2018'!$G:$V,16,0),IFERROR(VLOOKUP(A1546,'[2]UPDATE BILL 2018'!$H:$V,15,0),IFERROR(VLOOKUP(A1546,'[2]UPDATE BILL 2018'!$I:$V,14,0),VLOOKUP(A1546,'[2]UPDATE BILL 2018'!$B:$V,21,0)))))))))</f>
        <v>HANSE ENDURANCE 18014N</v>
      </c>
      <c r="AD1546" s="14" t="s">
        <v>52</v>
      </c>
      <c r="AE1546" s="24" t="s">
        <v>3867</v>
      </c>
      <c r="AF1546" s="25" t="str">
        <f t="shared" si="139"/>
        <v>VQ</v>
      </c>
      <c r="AG1546" t="e">
        <f t="shared" si="146"/>
        <v>#REF!</v>
      </c>
      <c r="AI1546" s="58"/>
    </row>
    <row r="1547" spans="1:41">
      <c r="A1547" s="6" t="s">
        <v>3860</v>
      </c>
      <c r="B1547" s="5">
        <v>83</v>
      </c>
      <c r="C1547" s="7">
        <v>13070.76</v>
      </c>
      <c r="D1547" s="7">
        <f t="shared" si="140"/>
        <v>0</v>
      </c>
      <c r="E1547" s="7">
        <v>0</v>
      </c>
      <c r="F1547" s="5">
        <v>0</v>
      </c>
      <c r="G1547" s="7">
        <v>0</v>
      </c>
      <c r="H1547" s="5">
        <v>0</v>
      </c>
      <c r="I1547" s="7">
        <v>0</v>
      </c>
      <c r="J1547" s="7">
        <v>0</v>
      </c>
      <c r="K1547" s="5">
        <v>0</v>
      </c>
      <c r="L1547" s="5">
        <v>0</v>
      </c>
      <c r="M1547" s="5">
        <v>39</v>
      </c>
      <c r="N1547" s="7">
        <f t="shared" si="141"/>
        <v>39</v>
      </c>
      <c r="O1547" s="7">
        <v>7471.8999999999987</v>
      </c>
      <c r="P1547" s="7">
        <v>0</v>
      </c>
      <c r="Q1547" s="5">
        <v>0</v>
      </c>
      <c r="S1547" s="7">
        <v>0</v>
      </c>
      <c r="T1547" s="12">
        <v>43355</v>
      </c>
      <c r="U1547" s="4">
        <v>2</v>
      </c>
      <c r="V1547" s="4">
        <v>9</v>
      </c>
      <c r="W1547" s="4">
        <v>9</v>
      </c>
      <c r="X1547" s="45">
        <f t="shared" si="142"/>
        <v>20542.66</v>
      </c>
      <c r="Y1547" s="14" t="s">
        <v>56</v>
      </c>
      <c r="Z1547" s="14" t="s">
        <v>59</v>
      </c>
      <c r="AA1547" s="14" t="str">
        <f>IFERROR(VLOOKUP(A1547,'[2]UPDATE BILL 2018'!$B:$P,15,0),IFERROR(VLOOKUP(A1547,'[2]UPDATE BILL 2018'!$C:$P,14,0),IFERROR(VLOOKUP(A1547,'[2]UPDATE BILL 2018'!$D:$P,13,0),IFERROR(VLOOKUP(A1547,'[2]UPDATE BILL 2018'!$E:$P,12,0),IFERROR(VLOOKUP(A1547,'[2]UPDATE BILL 2018'!$F:$P,11,0),IFERROR(VLOOKUP(A1547,'[2]UPDATE BILL 2018'!$G:$P,10,0),IFERROR(VLOOKUP(A1547,'[2]UPDATE BILL 2018'!$H:$P,9,0),IFERROR(VLOOKUP(A1547,'[2]UPDATE BILL 2018'!$I:$P,8,0),VLOOKUP(A1547,'[2]UPDATE BILL 2018'!$B:$P,15,0)))))))))</f>
        <v>1008X05225</v>
      </c>
      <c r="AB1547" s="44">
        <f>IFERROR(VLOOKUP(A1547,'[2]UPDATE BILL 2018'!$B:$T,19,0),IFERROR(VLOOKUP(A1547,'[2]UPDATE BILL 2018'!$C:$T,18,0),IFERROR(VLOOKUP(A1547,'[2]UPDATE BILL 2018'!$D:$T,17,0),IFERROR(VLOOKUP(A1547,'[2]UPDATE BILL 2018'!$E:$T,16,0),IFERROR(VLOOKUP(A1547,'[2]UPDATE BILL 2018'!$F:$T,15,0),IFERROR(VLOOKUP(A1547,'[2]UPDATE BILL 2018'!$G:$T,14,0),IFERROR(VLOOKUP(A1547,'[2]UPDATE BILL 2018'!$H:$T,13,0),IFERROR(VLOOKUP(A1547,'[2]UPDATE BILL 2018'!$I:$T,12,0),VLOOKUP(A1547,'[2]UPDATE BILL 2018'!$B:$T,19,0)))))))))</f>
        <v>43365</v>
      </c>
      <c r="AC1547" s="44" t="str">
        <f>IFERROR(VLOOKUP(A1547,'[2]UPDATE BILL 2018'!$B:$V,21,0),IFERROR(VLOOKUP(A1547,'[2]UPDATE BILL 2018'!$C:$V,20,0),IFERROR(VLOOKUP(A1547,'[2]UPDATE BILL 2018'!$D:$V,19,0),IFERROR(VLOOKUP(A1547,'[2]UPDATE BILL 2018'!$E:$V,18,0),IFERROR(VLOOKUP(A1547,'[2]UPDATE BILL 2018'!$F:$V,17,0),IFERROR(VLOOKUP(A1547,'[2]UPDATE BILL 2018'!$G:$V,16,0),IFERROR(VLOOKUP(A1547,'[2]UPDATE BILL 2018'!$H:$V,15,0),IFERROR(VLOOKUP(A1547,'[2]UPDATE BILL 2018'!$I:$V,14,0),VLOOKUP(A1547,'[2]UPDATE BILL 2018'!$B:$V,21,0)))))))))</f>
        <v>WAN HAI 162 N324</v>
      </c>
      <c r="AD1547" s="14" t="s">
        <v>52</v>
      </c>
      <c r="AE1547" s="24" t="s">
        <v>3868</v>
      </c>
      <c r="AF1547" s="25" t="str">
        <f t="shared" si="139"/>
        <v>VQ</v>
      </c>
      <c r="AG1547" t="e">
        <f t="shared" si="146"/>
        <v>#REF!</v>
      </c>
      <c r="AI1547" s="58" t="s">
        <v>3860</v>
      </c>
    </row>
    <row r="1548" spans="1:41">
      <c r="A1548" s="6" t="s">
        <v>3861</v>
      </c>
      <c r="B1548" s="5">
        <v>529</v>
      </c>
      <c r="C1548" s="7">
        <v>49373</v>
      </c>
      <c r="D1548" s="7">
        <f t="shared" si="140"/>
        <v>0</v>
      </c>
      <c r="E1548" s="7">
        <v>0</v>
      </c>
      <c r="F1548" s="5">
        <v>0</v>
      </c>
      <c r="G1548" s="7">
        <v>0</v>
      </c>
      <c r="H1548" s="5">
        <v>240</v>
      </c>
      <c r="I1548" s="7">
        <v>28896.55</v>
      </c>
      <c r="J1548" s="7">
        <v>0</v>
      </c>
      <c r="K1548" s="5">
        <v>0</v>
      </c>
      <c r="L1548" s="5">
        <v>0</v>
      </c>
      <c r="M1548" s="5">
        <v>339</v>
      </c>
      <c r="N1548" s="7">
        <f t="shared" si="141"/>
        <v>339</v>
      </c>
      <c r="O1548" s="7">
        <v>46902.299999999996</v>
      </c>
      <c r="P1548" s="7">
        <v>0</v>
      </c>
      <c r="Q1548" s="5">
        <v>0</v>
      </c>
      <c r="R1548" s="5">
        <v>601</v>
      </c>
      <c r="S1548" s="7">
        <v>106373.9</v>
      </c>
      <c r="T1548" s="12">
        <v>43355</v>
      </c>
      <c r="U1548" s="4">
        <v>14</v>
      </c>
      <c r="V1548" s="4">
        <v>9</v>
      </c>
      <c r="W1548" s="4">
        <v>9</v>
      </c>
      <c r="X1548" s="45">
        <f t="shared" si="142"/>
        <v>231545.75</v>
      </c>
      <c r="Y1548" s="14" t="s">
        <v>54</v>
      </c>
      <c r="Z1548" s="14" t="s">
        <v>1281</v>
      </c>
      <c r="AA1548" s="14" t="str">
        <f>IFERROR(VLOOKUP(A1548,'[2]UPDATE BILL 2018'!$B:$P,15,0),IFERROR(VLOOKUP(A1548,'[2]UPDATE BILL 2018'!$C:$P,14,0),IFERROR(VLOOKUP(A1548,'[2]UPDATE BILL 2018'!$D:$P,13,0),IFERROR(VLOOKUP(A1548,'[2]UPDATE BILL 2018'!$E:$P,12,0),IFERROR(VLOOKUP(A1548,'[2]UPDATE BILL 2018'!$F:$P,11,0),IFERROR(VLOOKUP(A1548,'[2]UPDATE BILL 2018'!$G:$P,10,0),IFERROR(VLOOKUP(A1548,'[2]UPDATE BILL 2018'!$H:$P,9,0),IFERROR(VLOOKUP(A1548,'[2]UPDATE BILL 2018'!$I:$P,8,0),VLOOKUP(A1548,'[2]UPDATE BILL 2018'!$B:$P,15,0)))))))))</f>
        <v>SITWHPOS177712</v>
      </c>
      <c r="AB1548" s="44">
        <f>IFERROR(VLOOKUP(A1548,'[2]UPDATE BILL 2018'!$B:$T,19,0),IFERROR(VLOOKUP(A1548,'[2]UPDATE BILL 2018'!$C:$T,18,0),IFERROR(VLOOKUP(A1548,'[2]UPDATE BILL 2018'!$D:$T,17,0),IFERROR(VLOOKUP(A1548,'[2]UPDATE BILL 2018'!$E:$T,16,0),IFERROR(VLOOKUP(A1548,'[2]UPDATE BILL 2018'!$F:$T,15,0),IFERROR(VLOOKUP(A1548,'[2]UPDATE BILL 2018'!$G:$T,14,0),IFERROR(VLOOKUP(A1548,'[2]UPDATE BILL 2018'!$H:$T,13,0),IFERROR(VLOOKUP(A1548,'[2]UPDATE BILL 2018'!$I:$T,12,0),VLOOKUP(A1548,'[2]UPDATE BILL 2018'!$B:$T,19,0)))))))))</f>
        <v>43359</v>
      </c>
      <c r="AC1548" s="44" t="str">
        <f>IFERROR(VLOOKUP(A1548,'[2]UPDATE BILL 2018'!$B:$V,21,0),IFERROR(VLOOKUP(A1548,'[2]UPDATE BILL 2018'!$C:$V,20,0),IFERROR(VLOOKUP(A1548,'[2]UPDATE BILL 2018'!$D:$V,19,0),IFERROR(VLOOKUP(A1548,'[2]UPDATE BILL 2018'!$E:$V,18,0),IFERROR(VLOOKUP(A1548,'[2]UPDATE BILL 2018'!$F:$V,17,0),IFERROR(VLOOKUP(A1548,'[2]UPDATE BILL 2018'!$G:$V,16,0),IFERROR(VLOOKUP(A1548,'[2]UPDATE BILL 2018'!$H:$V,15,0),IFERROR(VLOOKUP(A1548,'[2]UPDATE BILL 2018'!$I:$V,14,0),VLOOKUP(A1548,'[2]UPDATE BILL 2018'!$B:$V,21,0)))))))))</f>
        <v>EPONYMA 1823N</v>
      </c>
      <c r="AD1548" s="14" t="s">
        <v>51</v>
      </c>
      <c r="AE1548" s="24" t="s">
        <v>3869</v>
      </c>
      <c r="AF1548" s="25" t="str">
        <f t="shared" si="139"/>
        <v>VS</v>
      </c>
      <c r="AG1548" t="e">
        <f t="shared" si="146"/>
        <v>#REF!</v>
      </c>
      <c r="AI1548" s="58"/>
    </row>
    <row r="1549" spans="1:41" ht="15.75" customHeight="1">
      <c r="A1549" s="6" t="s">
        <v>3862</v>
      </c>
      <c r="B1549" s="5">
        <v>608</v>
      </c>
      <c r="C1549" s="7">
        <v>61209.599999999999</v>
      </c>
      <c r="D1549" s="7">
        <f t="shared" si="140"/>
        <v>0</v>
      </c>
      <c r="E1549" s="7">
        <v>0</v>
      </c>
      <c r="F1549" s="5">
        <v>0</v>
      </c>
      <c r="G1549" s="7">
        <v>0</v>
      </c>
      <c r="H1549" s="5">
        <v>0</v>
      </c>
      <c r="I1549" s="7">
        <v>0</v>
      </c>
      <c r="J1549" s="7">
        <v>0</v>
      </c>
      <c r="K1549" s="5">
        <v>0</v>
      </c>
      <c r="L1549" s="5">
        <v>0</v>
      </c>
      <c r="M1549" s="5">
        <v>44</v>
      </c>
      <c r="N1549" s="7">
        <f t="shared" si="141"/>
        <v>44</v>
      </c>
      <c r="O1549" s="7">
        <v>7065.2000000000007</v>
      </c>
      <c r="P1549" s="7">
        <v>0</v>
      </c>
      <c r="Q1549" s="5">
        <v>0</v>
      </c>
      <c r="S1549" s="7">
        <v>0</v>
      </c>
      <c r="T1549" s="12">
        <v>43355</v>
      </c>
      <c r="U1549" s="4">
        <v>6</v>
      </c>
      <c r="V1549" s="4">
        <v>9</v>
      </c>
      <c r="W1549" s="4">
        <v>9</v>
      </c>
      <c r="X1549" s="45">
        <f t="shared" si="142"/>
        <v>68274.8</v>
      </c>
      <c r="Y1549" s="14" t="s">
        <v>56</v>
      </c>
      <c r="Z1549" s="14" t="s">
        <v>57</v>
      </c>
      <c r="AA1549" s="14" t="str">
        <f>IFERROR(VLOOKUP(A1549,'[2]UPDATE BILL 2018'!$B:$P,15,0),IFERROR(VLOOKUP(A1549,'[2]UPDATE BILL 2018'!$C:$P,14,0),IFERROR(VLOOKUP(A1549,'[2]UPDATE BILL 2018'!$D:$P,13,0),IFERROR(VLOOKUP(A1549,'[2]UPDATE BILL 2018'!$E:$P,12,0),IFERROR(VLOOKUP(A1549,'[2]UPDATE BILL 2018'!$F:$P,11,0),IFERROR(VLOOKUP(A1549,'[2]UPDATE BILL 2018'!$G:$P,10,0),IFERROR(VLOOKUP(A1549,'[2]UPDATE BILL 2018'!$H:$P,9,0),IFERROR(VLOOKUP(A1549,'[2]UPDATE BILL 2018'!$I:$P,8,0),VLOOKUP(A1549,'[2]UPDATE BILL 2018'!$B:$P,15,0)))))))))</f>
        <v>1008X05222</v>
      </c>
      <c r="AB1549" s="44">
        <f>IFERROR(VLOOKUP(A1549,'[2]UPDATE BILL 2018'!$B:$T,19,0),IFERROR(VLOOKUP(A1549,'[2]UPDATE BILL 2018'!$C:$T,18,0),IFERROR(VLOOKUP(A1549,'[2]UPDATE BILL 2018'!$D:$T,17,0),IFERROR(VLOOKUP(A1549,'[2]UPDATE BILL 2018'!$E:$T,16,0),IFERROR(VLOOKUP(A1549,'[2]UPDATE BILL 2018'!$F:$T,15,0),IFERROR(VLOOKUP(A1549,'[2]UPDATE BILL 2018'!$G:$T,14,0),IFERROR(VLOOKUP(A1549,'[2]UPDATE BILL 2018'!$H:$T,13,0),IFERROR(VLOOKUP(A1549,'[2]UPDATE BILL 2018'!$I:$T,12,0),VLOOKUP(A1549,'[2]UPDATE BILL 2018'!$B:$T,19,0)))))))))</f>
        <v>43366</v>
      </c>
      <c r="AC1549" s="44" t="str">
        <f>IFERROR(VLOOKUP(A1549,'[2]UPDATE BILL 2018'!$B:$V,21,0),IFERROR(VLOOKUP(A1549,'[2]UPDATE BILL 2018'!$C:$V,20,0),IFERROR(VLOOKUP(A1549,'[2]UPDATE BILL 2018'!$D:$V,19,0),IFERROR(VLOOKUP(A1549,'[2]UPDATE BILL 2018'!$E:$V,18,0),IFERROR(VLOOKUP(A1549,'[2]UPDATE BILL 2018'!$F:$V,17,0),IFERROR(VLOOKUP(A1549,'[2]UPDATE BILL 2018'!$G:$V,16,0),IFERROR(VLOOKUP(A1549,'[2]UPDATE BILL 2018'!$H:$V,15,0),IFERROR(VLOOKUP(A1549,'[2]UPDATE BILL 2018'!$I:$V,14,0),VLOOKUP(A1549,'[2]UPDATE BILL 2018'!$B:$V,21,0)))))))))</f>
        <v>MOONCHILD N033</v>
      </c>
      <c r="AD1549" s="14" t="s">
        <v>51</v>
      </c>
      <c r="AE1549" s="24" t="s">
        <v>3870</v>
      </c>
      <c r="AF1549" s="25" t="str">
        <f t="shared" si="139"/>
        <v>VS</v>
      </c>
      <c r="AG1549" t="e">
        <f t="shared" si="146"/>
        <v>#REF!</v>
      </c>
      <c r="AI1549" s="58" t="s">
        <v>3862</v>
      </c>
    </row>
    <row r="1550" spans="1:41" ht="15.75" customHeight="1">
      <c r="A1550" s="6" t="s">
        <v>3863</v>
      </c>
      <c r="B1550" s="5">
        <v>196</v>
      </c>
      <c r="C1550" s="7">
        <v>13769.900000000001</v>
      </c>
      <c r="D1550" s="7">
        <f t="shared" si="140"/>
        <v>0</v>
      </c>
      <c r="E1550" s="7">
        <v>0</v>
      </c>
      <c r="F1550" s="5">
        <v>0</v>
      </c>
      <c r="G1550" s="7">
        <v>0</v>
      </c>
      <c r="H1550" s="5">
        <v>0</v>
      </c>
      <c r="I1550" s="7">
        <v>0</v>
      </c>
      <c r="J1550" s="7">
        <v>0</v>
      </c>
      <c r="K1550" s="5">
        <v>0</v>
      </c>
      <c r="L1550" s="5">
        <v>0</v>
      </c>
      <c r="M1550" s="5">
        <v>148</v>
      </c>
      <c r="N1550" s="7">
        <f t="shared" si="141"/>
        <v>148</v>
      </c>
      <c r="O1550" s="7">
        <v>29846.699999999997</v>
      </c>
      <c r="P1550" s="7">
        <v>0</v>
      </c>
      <c r="Q1550" s="5">
        <v>0</v>
      </c>
      <c r="R1550" s="5">
        <v>108</v>
      </c>
      <c r="S1550" s="7">
        <v>22690.799999999999</v>
      </c>
      <c r="T1550" s="12">
        <v>43355</v>
      </c>
      <c r="U1550" s="4">
        <v>5</v>
      </c>
      <c r="V1550" s="4">
        <v>9</v>
      </c>
      <c r="W1550" s="4">
        <v>9</v>
      </c>
      <c r="X1550" s="45">
        <f t="shared" si="142"/>
        <v>66307.399999999994</v>
      </c>
      <c r="Y1550" s="14" t="s">
        <v>54</v>
      </c>
      <c r="Z1550" s="14" t="s">
        <v>59</v>
      </c>
      <c r="AA1550" s="14" t="str">
        <f>IFERROR(VLOOKUP(A1550,'[2]UPDATE BILL 2018'!$B:$P,15,0),IFERROR(VLOOKUP(A1550,'[2]UPDATE BILL 2018'!$C:$P,14,0),IFERROR(VLOOKUP(A1550,'[2]UPDATE BILL 2018'!$D:$P,13,0),IFERROR(VLOOKUP(A1550,'[2]UPDATE BILL 2018'!$E:$P,12,0),IFERROR(VLOOKUP(A1550,'[2]UPDATE BILL 2018'!$F:$P,11,0),IFERROR(VLOOKUP(A1550,'[2]UPDATE BILL 2018'!$G:$P,10,0),IFERROR(VLOOKUP(A1550,'[2]UPDATE BILL 2018'!$H:$P,9,0),IFERROR(VLOOKUP(A1550,'[2]UPDATE BILL 2018'!$I:$P,8,0),VLOOKUP(A1550,'[2]UPDATE BILL 2018'!$B:$P,15,0)))))))))</f>
        <v>SITWHPKW177721</v>
      </c>
      <c r="AB1550" s="44">
        <f>IFERROR(VLOOKUP(A1550,'[2]UPDATE BILL 2018'!$B:$T,19,0),IFERROR(VLOOKUP(A1550,'[2]UPDATE BILL 2018'!$C:$T,18,0),IFERROR(VLOOKUP(A1550,'[2]UPDATE BILL 2018'!$D:$T,17,0),IFERROR(VLOOKUP(A1550,'[2]UPDATE BILL 2018'!$E:$T,16,0),IFERROR(VLOOKUP(A1550,'[2]UPDATE BILL 2018'!$F:$T,15,0),IFERROR(VLOOKUP(A1550,'[2]UPDATE BILL 2018'!$G:$T,14,0),IFERROR(VLOOKUP(A1550,'[2]UPDATE BILL 2018'!$H:$T,13,0),IFERROR(VLOOKUP(A1550,'[2]UPDATE BILL 2018'!$I:$T,12,0),VLOOKUP(A1550,'[2]UPDATE BILL 2018'!$B:$T,19,0)))))))))</f>
        <v>43363</v>
      </c>
      <c r="AC1550" s="44" t="str">
        <f>IFERROR(VLOOKUP(A1550,'[2]UPDATE BILL 2018'!$B:$V,21,0),IFERROR(VLOOKUP(A1550,'[2]UPDATE BILL 2018'!$C:$V,20,0),IFERROR(VLOOKUP(A1550,'[2]UPDATE BILL 2018'!$D:$V,19,0),IFERROR(VLOOKUP(A1550,'[2]UPDATE BILL 2018'!$E:$V,18,0),IFERROR(VLOOKUP(A1550,'[2]UPDATE BILL 2018'!$F:$V,17,0),IFERROR(VLOOKUP(A1550,'[2]UPDATE BILL 2018'!$G:$V,16,0),IFERROR(VLOOKUP(A1550,'[2]UPDATE BILL 2018'!$H:$V,15,0),IFERROR(VLOOKUP(A1550,'[2]UPDATE BILL 2018'!$I:$V,14,0),VLOOKUP(A1550,'[2]UPDATE BILL 2018'!$B:$V,21,0)))))))))</f>
        <v>RESURGENCE 1823N</v>
      </c>
      <c r="AD1550" s="14" t="s">
        <v>50</v>
      </c>
      <c r="AE1550" s="24" t="s">
        <v>3871</v>
      </c>
      <c r="AF1550" s="25" t="str">
        <f t="shared" si="139"/>
        <v>VW</v>
      </c>
      <c r="AG1550" t="e">
        <f t="shared" si="146"/>
        <v>#REF!</v>
      </c>
      <c r="AI1550" s="58"/>
    </row>
    <row r="1551" spans="1:41" ht="15.75" customHeight="1">
      <c r="A1551" s="6" t="s">
        <v>3864</v>
      </c>
      <c r="B1551" s="5">
        <v>464</v>
      </c>
      <c r="C1551" s="7">
        <v>49365.599999999999</v>
      </c>
      <c r="D1551" s="7">
        <f t="shared" si="140"/>
        <v>0</v>
      </c>
      <c r="E1551" s="7">
        <v>0</v>
      </c>
      <c r="F1551" s="5">
        <v>0</v>
      </c>
      <c r="G1551" s="7">
        <v>0</v>
      </c>
      <c r="H1551" s="5">
        <v>0</v>
      </c>
      <c r="I1551" s="7">
        <v>0</v>
      </c>
      <c r="J1551" s="7">
        <v>0</v>
      </c>
      <c r="K1551" s="5">
        <v>0</v>
      </c>
      <c r="L1551" s="5">
        <v>0</v>
      </c>
      <c r="M1551" s="5">
        <v>149</v>
      </c>
      <c r="N1551" s="7">
        <f t="shared" si="141"/>
        <v>149</v>
      </c>
      <c r="O1551" s="7">
        <v>28068</v>
      </c>
      <c r="P1551" s="7">
        <v>0</v>
      </c>
      <c r="Q1551" s="5">
        <v>0</v>
      </c>
      <c r="S1551" s="7">
        <v>0</v>
      </c>
      <c r="T1551" s="12">
        <v>43355</v>
      </c>
      <c r="U1551" s="4">
        <v>7</v>
      </c>
      <c r="V1551" s="4">
        <v>9</v>
      </c>
      <c r="W1551" s="4">
        <v>9</v>
      </c>
      <c r="X1551" s="45">
        <f t="shared" si="142"/>
        <v>77433.600000000006</v>
      </c>
      <c r="Y1551" s="14" t="s">
        <v>54</v>
      </c>
      <c r="Z1551" s="14" t="s">
        <v>2525</v>
      </c>
      <c r="AA1551" s="14" t="str">
        <f>IFERROR(VLOOKUP(A1551,'[2]UPDATE BILL 2018'!$B:$P,15,0),IFERROR(VLOOKUP(A1551,'[2]UPDATE BILL 2018'!$C:$P,14,0),IFERROR(VLOOKUP(A1551,'[2]UPDATE BILL 2018'!$D:$P,13,0),IFERROR(VLOOKUP(A1551,'[2]UPDATE BILL 2018'!$E:$P,12,0),IFERROR(VLOOKUP(A1551,'[2]UPDATE BILL 2018'!$F:$P,11,0),IFERROR(VLOOKUP(A1551,'[2]UPDATE BILL 2018'!$G:$P,10,0),IFERROR(VLOOKUP(A1551,'[2]UPDATE BILL 2018'!$H:$P,9,0),IFERROR(VLOOKUP(A1551,'[2]UPDATE BILL 2018'!$I:$P,8,0),VLOOKUP(A1551,'[2]UPDATE BILL 2018'!$B:$P,15,0)))))))))</f>
        <v>SITWHPKW177723</v>
      </c>
      <c r="AB1551" s="44">
        <f>IFERROR(VLOOKUP(A1551,'[2]UPDATE BILL 2018'!$B:$T,19,0),IFERROR(VLOOKUP(A1551,'[2]UPDATE BILL 2018'!$C:$T,18,0),IFERROR(VLOOKUP(A1551,'[2]UPDATE BILL 2018'!$D:$T,17,0),IFERROR(VLOOKUP(A1551,'[2]UPDATE BILL 2018'!$E:$T,16,0),IFERROR(VLOOKUP(A1551,'[2]UPDATE BILL 2018'!$F:$T,15,0),IFERROR(VLOOKUP(A1551,'[2]UPDATE BILL 2018'!$G:$T,14,0),IFERROR(VLOOKUP(A1551,'[2]UPDATE BILL 2018'!$H:$T,13,0),IFERROR(VLOOKUP(A1551,'[2]UPDATE BILL 2018'!$I:$T,12,0),VLOOKUP(A1551,'[2]UPDATE BILL 2018'!$B:$T,19,0)))))))))</f>
        <v>43365</v>
      </c>
      <c r="AC1551" s="44" t="str">
        <f>IFERROR(VLOOKUP(A1551,'[2]UPDATE BILL 2018'!$B:$V,21,0),IFERROR(VLOOKUP(A1551,'[2]UPDATE BILL 2018'!$C:$V,20,0),IFERROR(VLOOKUP(A1551,'[2]UPDATE BILL 2018'!$D:$V,19,0),IFERROR(VLOOKUP(A1551,'[2]UPDATE BILL 2018'!$E:$V,18,0),IFERROR(VLOOKUP(A1551,'[2]UPDATE BILL 2018'!$F:$V,17,0),IFERROR(VLOOKUP(A1551,'[2]UPDATE BILL 2018'!$G:$V,16,0),IFERROR(VLOOKUP(A1551,'[2]UPDATE BILL 2018'!$H:$V,15,0),IFERROR(VLOOKUP(A1551,'[2]UPDATE BILL 2018'!$I:$V,14,0),VLOOKUP(A1551,'[2]UPDATE BILL 2018'!$B:$V,21,0)))))))))</f>
        <v>SITC TIANJIN 1825N</v>
      </c>
      <c r="AD1551" s="14" t="s">
        <v>50</v>
      </c>
      <c r="AE1551" s="24" t="s">
        <v>3872</v>
      </c>
      <c r="AF1551" s="25" t="str">
        <f t="shared" si="139"/>
        <v>VW</v>
      </c>
      <c r="AG1551" t="e">
        <f t="shared" si="146"/>
        <v>#REF!</v>
      </c>
      <c r="AI1551" s="58" t="s">
        <v>3864</v>
      </c>
    </row>
    <row r="1552" spans="1:41" ht="15.75" customHeight="1">
      <c r="A1552" s="6" t="s">
        <v>3873</v>
      </c>
      <c r="B1552" s="5">
        <v>166</v>
      </c>
      <c r="C1552" s="7">
        <v>13043</v>
      </c>
      <c r="D1552" s="7">
        <f t="shared" si="140"/>
        <v>0</v>
      </c>
      <c r="E1552" s="7">
        <v>0</v>
      </c>
      <c r="F1552" s="5">
        <v>0</v>
      </c>
      <c r="G1552" s="7">
        <v>0</v>
      </c>
      <c r="H1552" s="5">
        <v>115</v>
      </c>
      <c r="I1552" s="7">
        <v>12992.7</v>
      </c>
      <c r="J1552" s="7">
        <v>0</v>
      </c>
      <c r="K1552" s="5">
        <v>0</v>
      </c>
      <c r="L1552" s="5">
        <v>0</v>
      </c>
      <c r="M1552" s="5">
        <v>91</v>
      </c>
      <c r="N1552" s="7">
        <f t="shared" si="141"/>
        <v>91</v>
      </c>
      <c r="O1552" s="7">
        <v>16643</v>
      </c>
      <c r="P1552" s="7">
        <v>0</v>
      </c>
      <c r="Q1552" s="5">
        <v>0</v>
      </c>
      <c r="R1552" s="5">
        <v>425</v>
      </c>
      <c r="S1552" s="7">
        <v>41355</v>
      </c>
      <c r="T1552" s="12">
        <v>43356</v>
      </c>
      <c r="U1552" s="4">
        <v>5</v>
      </c>
      <c r="V1552" s="4">
        <v>9</v>
      </c>
      <c r="W1552" s="4">
        <v>9</v>
      </c>
      <c r="X1552" s="45">
        <f t="shared" si="142"/>
        <v>84033.7</v>
      </c>
      <c r="Y1552" s="14" t="s">
        <v>54</v>
      </c>
      <c r="Z1552" s="14" t="s">
        <v>1281</v>
      </c>
      <c r="AA1552" s="14" t="str">
        <f>IFERROR(VLOOKUP(A1552,'[2]UPDATE BILL 2018'!$B:$P,15,0),IFERROR(VLOOKUP(A1552,'[2]UPDATE BILL 2018'!$C:$P,14,0),IFERROR(VLOOKUP(A1552,'[2]UPDATE BILL 2018'!$D:$P,13,0),IFERROR(VLOOKUP(A1552,'[2]UPDATE BILL 2018'!$E:$P,12,0),IFERROR(VLOOKUP(A1552,'[2]UPDATE BILL 2018'!$F:$P,11,0),IFERROR(VLOOKUP(A1552,'[2]UPDATE BILL 2018'!$G:$P,10,0),IFERROR(VLOOKUP(A1552,'[2]UPDATE BILL 2018'!$H:$P,9,0),IFERROR(VLOOKUP(A1552,'[2]UPDATE BILL 2018'!$I:$P,8,0),VLOOKUP(A1552,'[2]UPDATE BILL 2018'!$B:$P,15,0)))))))))</f>
        <v>SITWHPOS177712</v>
      </c>
      <c r="AB1552" s="44">
        <f>IFERROR(VLOOKUP(A1552,'[2]UPDATE BILL 2018'!$B:$T,19,0),IFERROR(VLOOKUP(A1552,'[2]UPDATE BILL 2018'!$C:$T,18,0),IFERROR(VLOOKUP(A1552,'[2]UPDATE BILL 2018'!$D:$T,17,0),IFERROR(VLOOKUP(A1552,'[2]UPDATE BILL 2018'!$E:$T,16,0),IFERROR(VLOOKUP(A1552,'[2]UPDATE BILL 2018'!$F:$T,15,0),IFERROR(VLOOKUP(A1552,'[2]UPDATE BILL 2018'!$G:$T,14,0),IFERROR(VLOOKUP(A1552,'[2]UPDATE BILL 2018'!$H:$T,13,0),IFERROR(VLOOKUP(A1552,'[2]UPDATE BILL 2018'!$I:$T,12,0),VLOOKUP(A1552,'[2]UPDATE BILL 2018'!$B:$T,19,0)))))))))</f>
        <v>43359</v>
      </c>
      <c r="AC1552" s="44" t="str">
        <f>IFERROR(VLOOKUP(A1552,'[2]UPDATE BILL 2018'!$B:$V,21,0),IFERROR(VLOOKUP(A1552,'[2]UPDATE BILL 2018'!$C:$V,20,0),IFERROR(VLOOKUP(A1552,'[2]UPDATE BILL 2018'!$D:$V,19,0),IFERROR(VLOOKUP(A1552,'[2]UPDATE BILL 2018'!$E:$V,18,0),IFERROR(VLOOKUP(A1552,'[2]UPDATE BILL 2018'!$F:$V,17,0),IFERROR(VLOOKUP(A1552,'[2]UPDATE BILL 2018'!$G:$V,16,0),IFERROR(VLOOKUP(A1552,'[2]UPDATE BILL 2018'!$H:$V,15,0),IFERROR(VLOOKUP(A1552,'[2]UPDATE BILL 2018'!$I:$V,14,0),VLOOKUP(A1552,'[2]UPDATE BILL 2018'!$B:$V,21,0)))))))))</f>
        <v>EPONYMA 1823N</v>
      </c>
      <c r="AD1552" s="14" t="s">
        <v>51</v>
      </c>
      <c r="AE1552" s="24" t="s">
        <v>3884</v>
      </c>
      <c r="AF1552" s="25" t="str">
        <f t="shared" si="139"/>
        <v>VS</v>
      </c>
      <c r="AG1552" t="e">
        <f t="shared" si="146"/>
        <v>#REF!</v>
      </c>
      <c r="AI1552" s="58"/>
    </row>
    <row r="1553" spans="1:35" ht="15.75" customHeight="1">
      <c r="A1553" s="6" t="s">
        <v>3874</v>
      </c>
      <c r="B1553" s="5">
        <v>291</v>
      </c>
      <c r="C1553" s="7">
        <v>35068.6</v>
      </c>
      <c r="D1553" s="7">
        <f t="shared" si="140"/>
        <v>0</v>
      </c>
      <c r="E1553" s="7">
        <v>0</v>
      </c>
      <c r="F1553" s="5">
        <v>0</v>
      </c>
      <c r="G1553" s="7">
        <v>0</v>
      </c>
      <c r="H1553" s="5">
        <v>0</v>
      </c>
      <c r="I1553" s="7">
        <v>0</v>
      </c>
      <c r="J1553" s="7">
        <v>0</v>
      </c>
      <c r="K1553" s="5">
        <v>0</v>
      </c>
      <c r="L1553" s="5">
        <v>0</v>
      </c>
      <c r="M1553" s="5">
        <v>0</v>
      </c>
      <c r="N1553" s="7">
        <f t="shared" si="141"/>
        <v>0</v>
      </c>
      <c r="O1553" s="7">
        <v>0</v>
      </c>
      <c r="P1553" s="7">
        <v>0</v>
      </c>
      <c r="Q1553" s="5">
        <v>0</v>
      </c>
      <c r="S1553" s="7">
        <v>0</v>
      </c>
      <c r="T1553" s="12">
        <v>43356</v>
      </c>
      <c r="U1553" s="4">
        <v>3</v>
      </c>
      <c r="V1553" s="4">
        <v>9</v>
      </c>
      <c r="W1553" s="4">
        <v>9</v>
      </c>
      <c r="X1553" s="45">
        <f t="shared" si="142"/>
        <v>35068.6</v>
      </c>
      <c r="Y1553" s="14" t="s">
        <v>1633</v>
      </c>
      <c r="Z1553" s="14" t="s">
        <v>3780</v>
      </c>
      <c r="AA1553" s="14" t="str">
        <f>IFERROR(VLOOKUP(A1553,'[2]UPDATE BILL 2018'!$B:$P,15,0),IFERROR(VLOOKUP(A1553,'[2]UPDATE BILL 2018'!$C:$P,14,0),IFERROR(VLOOKUP(A1553,'[2]UPDATE BILL 2018'!$D:$P,13,0),IFERROR(VLOOKUP(A1553,'[2]UPDATE BILL 2018'!$E:$P,12,0),IFERROR(VLOOKUP(A1553,'[2]UPDATE BILL 2018'!$F:$P,11,0),IFERROR(VLOOKUP(A1553,'[2]UPDATE BILL 2018'!$G:$P,10,0),IFERROR(VLOOKUP(A1553,'[2]UPDATE BILL 2018'!$H:$P,9,0),IFERROR(VLOOKUP(A1553,'[2]UPDATE BILL 2018'!$I:$P,8,0),VLOOKUP(A1553,'[2]UPDATE BILL 2018'!$B:$P,15,0)))))))))</f>
        <v>KMTCHPH0593195</v>
      </c>
      <c r="AB1553" s="44">
        <f>IFERROR(VLOOKUP(A1553,'[2]UPDATE BILL 2018'!$B:$T,19,0),IFERROR(VLOOKUP(A1553,'[2]UPDATE BILL 2018'!$C:$T,18,0),IFERROR(VLOOKUP(A1553,'[2]UPDATE BILL 2018'!$D:$T,17,0),IFERROR(VLOOKUP(A1553,'[2]UPDATE BILL 2018'!$E:$T,16,0),IFERROR(VLOOKUP(A1553,'[2]UPDATE BILL 2018'!$F:$T,15,0),IFERROR(VLOOKUP(A1553,'[2]UPDATE BILL 2018'!$G:$T,14,0),IFERROR(VLOOKUP(A1553,'[2]UPDATE BILL 2018'!$H:$T,13,0),IFERROR(VLOOKUP(A1553,'[2]UPDATE BILL 2018'!$I:$T,12,0),VLOOKUP(A1553,'[2]UPDATE BILL 2018'!$B:$T,19,0)))))))))</f>
        <v>43367</v>
      </c>
      <c r="AC1553" s="44" t="str">
        <f>IFERROR(VLOOKUP(A1553,'[2]UPDATE BILL 2018'!$B:$V,21,0),IFERROR(VLOOKUP(A1553,'[2]UPDATE BILL 2018'!$C:$V,20,0),IFERROR(VLOOKUP(A1553,'[2]UPDATE BILL 2018'!$D:$V,19,0),IFERROR(VLOOKUP(A1553,'[2]UPDATE BILL 2018'!$E:$V,18,0),IFERROR(VLOOKUP(A1553,'[2]UPDATE BILL 2018'!$F:$V,17,0),IFERROR(VLOOKUP(A1553,'[2]UPDATE BILL 2018'!$G:$V,16,0),IFERROR(VLOOKUP(A1553,'[2]UPDATE BILL 2018'!$H:$V,15,0),IFERROR(VLOOKUP(A1553,'[2]UPDATE BILL 2018'!$I:$V,14,0),VLOOKUP(A1553,'[2]UPDATE BILL 2018'!$B:$V,21,0)))))))))</f>
        <v>SUNNY IRIS 1825N</v>
      </c>
      <c r="AD1553" s="14" t="s">
        <v>70</v>
      </c>
      <c r="AE1553" s="24" t="s">
        <v>3885</v>
      </c>
      <c r="AF1553" s="25" t="str">
        <f t="shared" si="139"/>
        <v>VH</v>
      </c>
      <c r="AG1553" t="e">
        <f t="shared" si="146"/>
        <v>#REF!</v>
      </c>
      <c r="AI1553" s="58" t="s">
        <v>3874</v>
      </c>
    </row>
    <row r="1554" spans="1:35" ht="15.75" customHeight="1">
      <c r="A1554" s="6" t="s">
        <v>3875</v>
      </c>
      <c r="D1554" s="7">
        <f t="shared" si="140"/>
        <v>0</v>
      </c>
      <c r="E1554" s="7">
        <v>0</v>
      </c>
      <c r="F1554" s="5">
        <v>0</v>
      </c>
      <c r="G1554" s="7">
        <v>0</v>
      </c>
      <c r="H1554" s="5">
        <v>298</v>
      </c>
      <c r="I1554" s="7">
        <v>29074.949999999997</v>
      </c>
      <c r="J1554" s="7">
        <v>0</v>
      </c>
      <c r="K1554" s="5">
        <v>0</v>
      </c>
      <c r="L1554" s="5">
        <v>0</v>
      </c>
      <c r="M1554" s="5">
        <v>0</v>
      </c>
      <c r="N1554" s="7">
        <f t="shared" si="141"/>
        <v>0</v>
      </c>
      <c r="O1554" s="7">
        <v>0</v>
      </c>
      <c r="P1554" s="7">
        <v>0</v>
      </c>
      <c r="Q1554" s="5">
        <v>0</v>
      </c>
      <c r="S1554" s="7">
        <v>0</v>
      </c>
      <c r="T1554" s="12">
        <v>43356</v>
      </c>
      <c r="U1554" s="4">
        <v>2</v>
      </c>
      <c r="V1554" s="4">
        <v>9</v>
      </c>
      <c r="W1554" s="4">
        <v>9</v>
      </c>
      <c r="X1554" s="45">
        <f t="shared" si="142"/>
        <v>29074.949999999997</v>
      </c>
      <c r="Y1554" s="14" t="s">
        <v>85</v>
      </c>
      <c r="Z1554" s="14" t="s">
        <v>1637</v>
      </c>
      <c r="AA1554" s="14">
        <f>IFERROR(VLOOKUP(A1554,'[2]UPDATE BILL 2018'!$B:$P,15,0),IFERROR(VLOOKUP(A1554,'[2]UPDATE BILL 2018'!$C:$P,14,0),IFERROR(VLOOKUP(A1554,'[2]UPDATE BILL 2018'!$D:$P,13,0),IFERROR(VLOOKUP(A1554,'[2]UPDATE BILL 2018'!$E:$P,12,0),IFERROR(VLOOKUP(A1554,'[2]UPDATE BILL 2018'!$F:$P,11,0),IFERROR(VLOOKUP(A1554,'[2]UPDATE BILL 2018'!$G:$P,10,0),IFERROR(VLOOKUP(A1554,'[2]UPDATE BILL 2018'!$H:$P,9,0),IFERROR(VLOOKUP(A1554,'[2]UPDATE BILL 2018'!$I:$P,8,0),VLOOKUP(A1554,'[2]UPDATE BILL 2018'!$B:$P,15,0)))))))))</f>
        <v>350810113293</v>
      </c>
      <c r="AB1554" s="44">
        <f>IFERROR(VLOOKUP(A1554,'[2]UPDATE BILL 2018'!$B:$T,19,0),IFERROR(VLOOKUP(A1554,'[2]UPDATE BILL 2018'!$C:$T,18,0),IFERROR(VLOOKUP(A1554,'[2]UPDATE BILL 2018'!$D:$T,17,0),IFERROR(VLOOKUP(A1554,'[2]UPDATE BILL 2018'!$E:$T,16,0),IFERROR(VLOOKUP(A1554,'[2]UPDATE BILL 2018'!$F:$T,15,0),IFERROR(VLOOKUP(A1554,'[2]UPDATE BILL 2018'!$G:$T,14,0),IFERROR(VLOOKUP(A1554,'[2]UPDATE BILL 2018'!$H:$T,13,0),IFERROR(VLOOKUP(A1554,'[2]UPDATE BILL 2018'!$I:$T,12,0),VLOOKUP(A1554,'[2]UPDATE BILL 2018'!$B:$T,19,0)))))))))</f>
        <v>43365</v>
      </c>
      <c r="AC1554" s="44" t="str">
        <f>IFERROR(VLOOKUP(A1554,'[2]UPDATE BILL 2018'!$B:$V,21,0),IFERROR(VLOOKUP(A1554,'[2]UPDATE BILL 2018'!$C:$V,20,0),IFERROR(VLOOKUP(A1554,'[2]UPDATE BILL 2018'!$D:$V,19,0),IFERROR(VLOOKUP(A1554,'[2]UPDATE BILL 2018'!$E:$V,18,0),IFERROR(VLOOKUP(A1554,'[2]UPDATE BILL 2018'!$F:$V,17,0),IFERROR(VLOOKUP(A1554,'[2]UPDATE BILL 2018'!$G:$V,16,0),IFERROR(VLOOKUP(A1554,'[2]UPDATE BILL 2018'!$H:$V,15,0),IFERROR(VLOOKUP(A1554,'[2]UPDATE BILL 2018'!$I:$V,14,0),VLOOKUP(A1554,'[2]UPDATE BILL 2018'!$B:$V,21,0)))))))))</f>
        <v>MITRA BHUM 18006N</v>
      </c>
      <c r="AD1554" s="14" t="s">
        <v>49</v>
      </c>
      <c r="AE1554" s="24" t="s">
        <v>3886</v>
      </c>
      <c r="AF1554" s="25" t="str">
        <f t="shared" si="139"/>
        <v>VK</v>
      </c>
      <c r="AG1554" t="e">
        <f t="shared" si="146"/>
        <v>#REF!</v>
      </c>
      <c r="AI1554" s="58" t="s">
        <v>3875</v>
      </c>
    </row>
    <row r="1555" spans="1:35" ht="15.75" customHeight="1">
      <c r="A1555" s="6" t="s">
        <v>3876</v>
      </c>
      <c r="B1555" s="5">
        <v>93</v>
      </c>
      <c r="C1555" s="7">
        <v>11749.18</v>
      </c>
      <c r="D1555" s="7">
        <f t="shared" si="140"/>
        <v>0</v>
      </c>
      <c r="E1555" s="7">
        <v>0</v>
      </c>
      <c r="F1555" s="5">
        <v>0</v>
      </c>
      <c r="G1555" s="7">
        <v>0</v>
      </c>
      <c r="H1555" s="5">
        <v>0</v>
      </c>
      <c r="I1555" s="7">
        <v>0</v>
      </c>
      <c r="J1555" s="7">
        <v>0</v>
      </c>
      <c r="K1555" s="5">
        <v>0</v>
      </c>
      <c r="L1555" s="5">
        <v>0</v>
      </c>
      <c r="M1555" s="5">
        <v>41</v>
      </c>
      <c r="N1555" s="7">
        <f t="shared" si="141"/>
        <v>41</v>
      </c>
      <c r="O1555" s="7">
        <v>7666.3</v>
      </c>
      <c r="P1555" s="7">
        <v>0</v>
      </c>
      <c r="Q1555" s="5">
        <v>0</v>
      </c>
      <c r="R1555" s="5">
        <v>525</v>
      </c>
      <c r="S1555" s="7">
        <v>66714</v>
      </c>
      <c r="T1555" s="12">
        <v>43356</v>
      </c>
      <c r="U1555" s="4">
        <v>4</v>
      </c>
      <c r="V1555" s="4">
        <v>9</v>
      </c>
      <c r="W1555" s="4">
        <v>9</v>
      </c>
      <c r="X1555" s="45">
        <f t="shared" si="142"/>
        <v>86129.48</v>
      </c>
      <c r="Y1555" s="14" t="s">
        <v>54</v>
      </c>
      <c r="Z1555" s="14" t="s">
        <v>2525</v>
      </c>
      <c r="AA1555" s="14" t="str">
        <f>IFERROR(VLOOKUP(A1555,'[2]UPDATE BILL 2018'!$B:$P,15,0),IFERROR(VLOOKUP(A1555,'[2]UPDATE BILL 2018'!$C:$P,14,0),IFERROR(VLOOKUP(A1555,'[2]UPDATE BILL 2018'!$D:$P,13,0),IFERROR(VLOOKUP(A1555,'[2]UPDATE BILL 2018'!$E:$P,12,0),IFERROR(VLOOKUP(A1555,'[2]UPDATE BILL 2018'!$F:$P,11,0),IFERROR(VLOOKUP(A1555,'[2]UPDATE BILL 2018'!$G:$P,10,0),IFERROR(VLOOKUP(A1555,'[2]UPDATE BILL 2018'!$H:$P,9,0),IFERROR(VLOOKUP(A1555,'[2]UPDATE BILL 2018'!$I:$P,8,0),VLOOKUP(A1555,'[2]UPDATE BILL 2018'!$B:$P,15,0)))))))))</f>
        <v>SITWHPTK177709</v>
      </c>
      <c r="AB1555" s="44">
        <f>IFERROR(VLOOKUP(A1555,'[2]UPDATE BILL 2018'!$B:$T,19,0),IFERROR(VLOOKUP(A1555,'[2]UPDATE BILL 2018'!$C:$T,18,0),IFERROR(VLOOKUP(A1555,'[2]UPDATE BILL 2018'!$D:$T,17,0),IFERROR(VLOOKUP(A1555,'[2]UPDATE BILL 2018'!$E:$T,16,0),IFERROR(VLOOKUP(A1555,'[2]UPDATE BILL 2018'!$F:$T,15,0),IFERROR(VLOOKUP(A1555,'[2]UPDATE BILL 2018'!$G:$T,14,0),IFERROR(VLOOKUP(A1555,'[2]UPDATE BILL 2018'!$H:$T,13,0),IFERROR(VLOOKUP(A1555,'[2]UPDATE BILL 2018'!$I:$T,12,0),VLOOKUP(A1555,'[2]UPDATE BILL 2018'!$B:$T,19,0)))))))))</f>
        <v>43363</v>
      </c>
      <c r="AC1555" s="44" t="str">
        <f>IFERROR(VLOOKUP(A1555,'[2]UPDATE BILL 2018'!$B:$V,21,0),IFERROR(VLOOKUP(A1555,'[2]UPDATE BILL 2018'!$C:$V,20,0),IFERROR(VLOOKUP(A1555,'[2]UPDATE BILL 2018'!$D:$V,19,0),IFERROR(VLOOKUP(A1555,'[2]UPDATE BILL 2018'!$E:$V,18,0),IFERROR(VLOOKUP(A1555,'[2]UPDATE BILL 2018'!$F:$V,17,0),IFERROR(VLOOKUP(A1555,'[2]UPDATE BILL 2018'!$G:$V,16,0),IFERROR(VLOOKUP(A1555,'[2]UPDATE BILL 2018'!$H:$V,15,0),IFERROR(VLOOKUP(A1555,'[2]UPDATE BILL 2018'!$I:$V,14,0),VLOOKUP(A1555,'[2]UPDATE BILL 2018'!$B:$V,21,0)))))))))</f>
        <v>RESURGENCE 1823N</v>
      </c>
      <c r="AD1555" s="14" t="s">
        <v>49</v>
      </c>
      <c r="AE1555" s="24" t="s">
        <v>3887</v>
      </c>
      <c r="AF1555" s="25" t="str">
        <f t="shared" si="139"/>
        <v>VN</v>
      </c>
      <c r="AG1555" t="e">
        <f t="shared" si="146"/>
        <v>#REF!</v>
      </c>
      <c r="AI1555" s="58"/>
    </row>
    <row r="1556" spans="1:35" ht="15.75" customHeight="1">
      <c r="A1556" s="6" t="s">
        <v>3877</v>
      </c>
      <c r="B1556" s="5">
        <v>108</v>
      </c>
      <c r="C1556" s="7">
        <v>12156</v>
      </c>
      <c r="D1556" s="7">
        <f t="shared" si="140"/>
        <v>0</v>
      </c>
      <c r="E1556" s="7">
        <v>0</v>
      </c>
      <c r="F1556" s="5">
        <v>0</v>
      </c>
      <c r="G1556" s="7">
        <v>0</v>
      </c>
      <c r="H1556" s="5">
        <v>0</v>
      </c>
      <c r="I1556" s="7">
        <v>0</v>
      </c>
      <c r="J1556" s="7">
        <v>0</v>
      </c>
      <c r="K1556" s="5">
        <v>0</v>
      </c>
      <c r="L1556" s="5">
        <v>0</v>
      </c>
      <c r="M1556" s="5">
        <v>0</v>
      </c>
      <c r="N1556" s="7">
        <f t="shared" si="141"/>
        <v>0</v>
      </c>
      <c r="O1556" s="7">
        <v>0</v>
      </c>
      <c r="P1556" s="7">
        <v>0</v>
      </c>
      <c r="Q1556" s="5">
        <v>0</v>
      </c>
      <c r="S1556" s="7">
        <v>0</v>
      </c>
      <c r="T1556" s="12">
        <v>43356</v>
      </c>
      <c r="U1556" s="4">
        <v>1</v>
      </c>
      <c r="V1556" s="4">
        <v>9</v>
      </c>
      <c r="W1556" s="4">
        <v>9</v>
      </c>
      <c r="X1556" s="45">
        <f t="shared" si="142"/>
        <v>12156</v>
      </c>
      <c r="Y1556" s="14" t="s">
        <v>56</v>
      </c>
      <c r="Z1556" s="14" t="s">
        <v>3376</v>
      </c>
      <c r="AA1556" s="14" t="str">
        <f>IFERROR(VLOOKUP(A1556,'[2]UPDATE BILL 2018'!$B:$P,15,0),IFERROR(VLOOKUP(A1556,'[2]UPDATE BILL 2018'!$C:$P,14,0),IFERROR(VLOOKUP(A1556,'[2]UPDATE BILL 2018'!$D:$P,13,0),IFERROR(VLOOKUP(A1556,'[2]UPDATE BILL 2018'!$E:$P,12,0),IFERROR(VLOOKUP(A1556,'[2]UPDATE BILL 2018'!$F:$P,11,0),IFERROR(VLOOKUP(A1556,'[2]UPDATE BILL 2018'!$G:$P,10,0),IFERROR(VLOOKUP(A1556,'[2]UPDATE BILL 2018'!$H:$P,9,0),IFERROR(VLOOKUP(A1556,'[2]UPDATE BILL 2018'!$I:$P,8,0),VLOOKUP(A1556,'[2]UPDATE BILL 2018'!$B:$P,15,0)))))))))</f>
        <v>1008X05399</v>
      </c>
      <c r="AB1556" s="44">
        <f>IFERROR(VLOOKUP(A1556,'[2]UPDATE BILL 2018'!$B:$T,19,0),IFERROR(VLOOKUP(A1556,'[2]UPDATE BILL 2018'!$C:$T,18,0),IFERROR(VLOOKUP(A1556,'[2]UPDATE BILL 2018'!$D:$T,17,0),IFERROR(VLOOKUP(A1556,'[2]UPDATE BILL 2018'!$E:$T,16,0),IFERROR(VLOOKUP(A1556,'[2]UPDATE BILL 2018'!$F:$T,15,0),IFERROR(VLOOKUP(A1556,'[2]UPDATE BILL 2018'!$G:$T,14,0),IFERROR(VLOOKUP(A1556,'[2]UPDATE BILL 2018'!$H:$T,13,0),IFERROR(VLOOKUP(A1556,'[2]UPDATE BILL 2018'!$I:$T,12,0),VLOOKUP(A1556,'[2]UPDATE BILL 2018'!$B:$T,19,0)))))))))</f>
        <v>43363</v>
      </c>
      <c r="AC1556" s="44" t="str">
        <f>IFERROR(VLOOKUP(A1556,'[2]UPDATE BILL 2018'!$B:$V,21,0),IFERROR(VLOOKUP(A1556,'[2]UPDATE BILL 2018'!$C:$V,20,0),IFERROR(VLOOKUP(A1556,'[2]UPDATE BILL 2018'!$D:$V,19,0),IFERROR(VLOOKUP(A1556,'[2]UPDATE BILL 2018'!$E:$V,18,0),IFERROR(VLOOKUP(A1556,'[2]UPDATE BILL 2018'!$F:$V,17,0),IFERROR(VLOOKUP(A1556,'[2]UPDATE BILL 2018'!$G:$V,16,0),IFERROR(VLOOKUP(A1556,'[2]UPDATE BILL 2018'!$H:$V,15,0),IFERROR(VLOOKUP(A1556,'[2]UPDATE BILL 2018'!$I:$V,14,0),VLOOKUP(A1556,'[2]UPDATE BILL 2018'!$B:$V,21,0)))))))))</f>
        <v>WAN HAI 171 S250</v>
      </c>
      <c r="AD1556" s="14" t="s">
        <v>49</v>
      </c>
      <c r="AE1556" s="24" t="s">
        <v>3888</v>
      </c>
      <c r="AF1556" s="25" t="str">
        <f t="shared" si="139"/>
        <v>VN</v>
      </c>
      <c r="AG1556" t="e">
        <f t="shared" si="146"/>
        <v>#REF!</v>
      </c>
      <c r="AI1556" s="58" t="s">
        <v>3877</v>
      </c>
    </row>
    <row r="1557" spans="1:35" ht="15.75" customHeight="1">
      <c r="A1557" s="6" t="s">
        <v>3878</v>
      </c>
      <c r="B1557" s="5">
        <v>179</v>
      </c>
      <c r="C1557" s="7">
        <v>23073.700000000004</v>
      </c>
      <c r="D1557" s="7">
        <f t="shared" si="140"/>
        <v>0</v>
      </c>
      <c r="E1557" s="7">
        <v>0</v>
      </c>
      <c r="F1557" s="5">
        <v>0</v>
      </c>
      <c r="G1557" s="7">
        <v>0</v>
      </c>
      <c r="H1557" s="5">
        <v>0</v>
      </c>
      <c r="I1557" s="7">
        <v>0</v>
      </c>
      <c r="J1557" s="7">
        <v>0</v>
      </c>
      <c r="K1557" s="5">
        <v>0</v>
      </c>
      <c r="L1557" s="5">
        <v>0</v>
      </c>
      <c r="M1557" s="5">
        <v>0</v>
      </c>
      <c r="N1557" s="7">
        <f t="shared" si="141"/>
        <v>0</v>
      </c>
      <c r="O1557" s="7">
        <v>0</v>
      </c>
      <c r="P1557" s="7">
        <v>0</v>
      </c>
      <c r="Q1557" s="5">
        <v>0</v>
      </c>
      <c r="S1557" s="7">
        <v>0</v>
      </c>
      <c r="T1557" s="12">
        <v>43356</v>
      </c>
      <c r="U1557" s="4">
        <v>2</v>
      </c>
      <c r="V1557" s="4">
        <v>9</v>
      </c>
      <c r="W1557" s="4">
        <v>9</v>
      </c>
      <c r="X1557" s="45">
        <f t="shared" si="142"/>
        <v>23073.700000000004</v>
      </c>
      <c r="Y1557" s="14" t="s">
        <v>85</v>
      </c>
      <c r="Z1557" s="14" t="s">
        <v>3780</v>
      </c>
      <c r="AA1557" s="14">
        <f>IFERROR(VLOOKUP(A1557,'[2]UPDATE BILL 2018'!$B:$P,15,0),IFERROR(VLOOKUP(A1557,'[2]UPDATE BILL 2018'!$C:$P,14,0),IFERROR(VLOOKUP(A1557,'[2]UPDATE BILL 2018'!$D:$P,13,0),IFERROR(VLOOKUP(A1557,'[2]UPDATE BILL 2018'!$E:$P,12,0),IFERROR(VLOOKUP(A1557,'[2]UPDATE BILL 2018'!$F:$P,11,0),IFERROR(VLOOKUP(A1557,'[2]UPDATE BILL 2018'!$G:$P,10,0),IFERROR(VLOOKUP(A1557,'[2]UPDATE BILL 2018'!$H:$P,9,0),IFERROR(VLOOKUP(A1557,'[2]UPDATE BILL 2018'!$I:$P,8,0),VLOOKUP(A1557,'[2]UPDATE BILL 2018'!$B:$P,15,0)))))))))</f>
        <v>350810113347</v>
      </c>
      <c r="AB1557" s="44">
        <f>IFERROR(VLOOKUP(A1557,'[2]UPDATE BILL 2018'!$B:$T,19,0),IFERROR(VLOOKUP(A1557,'[2]UPDATE BILL 2018'!$C:$T,18,0),IFERROR(VLOOKUP(A1557,'[2]UPDATE BILL 2018'!$D:$T,17,0),IFERROR(VLOOKUP(A1557,'[2]UPDATE BILL 2018'!$E:$T,16,0),IFERROR(VLOOKUP(A1557,'[2]UPDATE BILL 2018'!$F:$T,15,0),IFERROR(VLOOKUP(A1557,'[2]UPDATE BILL 2018'!$G:$T,14,0),IFERROR(VLOOKUP(A1557,'[2]UPDATE BILL 2018'!$H:$T,13,0),IFERROR(VLOOKUP(A1557,'[2]UPDATE BILL 2018'!$I:$T,12,0),VLOOKUP(A1557,'[2]UPDATE BILL 2018'!$B:$T,19,0)))))))))</f>
        <v>43365</v>
      </c>
      <c r="AC1557" s="44" t="str">
        <f>IFERROR(VLOOKUP(A1557,'[2]UPDATE BILL 2018'!$B:$V,21,0),IFERROR(VLOOKUP(A1557,'[2]UPDATE BILL 2018'!$C:$V,20,0),IFERROR(VLOOKUP(A1557,'[2]UPDATE BILL 2018'!$D:$V,19,0),IFERROR(VLOOKUP(A1557,'[2]UPDATE BILL 2018'!$E:$V,18,0),IFERROR(VLOOKUP(A1557,'[2]UPDATE BILL 2018'!$F:$V,17,0),IFERROR(VLOOKUP(A1557,'[2]UPDATE BILL 2018'!$G:$V,16,0),IFERROR(VLOOKUP(A1557,'[2]UPDATE BILL 2018'!$H:$V,15,0),IFERROR(VLOOKUP(A1557,'[2]UPDATE BILL 2018'!$I:$V,14,0),VLOOKUP(A1557,'[2]UPDATE BILL 2018'!$B:$V,21,0)))))))))</f>
        <v>MITRA BHUM 18006N</v>
      </c>
      <c r="AD1557" s="14" t="s">
        <v>52</v>
      </c>
      <c r="AE1557" s="24" t="s">
        <v>3889</v>
      </c>
      <c r="AF1557" s="25" t="str">
        <f t="shared" si="139"/>
        <v>VQ</v>
      </c>
      <c r="AG1557" t="e">
        <f t="shared" si="146"/>
        <v>#REF!</v>
      </c>
      <c r="AI1557" s="58" t="s">
        <v>3878</v>
      </c>
    </row>
    <row r="1558" spans="1:35" ht="15.75" customHeight="1">
      <c r="A1558" s="6" t="s">
        <v>3879</v>
      </c>
      <c r="B1558" s="5">
        <v>239</v>
      </c>
      <c r="C1558" s="7">
        <v>21126.400000000001</v>
      </c>
      <c r="D1558" s="7">
        <f t="shared" si="140"/>
        <v>0</v>
      </c>
      <c r="E1558" s="7">
        <v>0</v>
      </c>
      <c r="F1558" s="5">
        <v>0</v>
      </c>
      <c r="G1558" s="7">
        <v>0</v>
      </c>
      <c r="H1558" s="5">
        <v>120</v>
      </c>
      <c r="I1558" s="7">
        <v>14303</v>
      </c>
      <c r="J1558" s="7">
        <v>0</v>
      </c>
      <c r="K1558" s="5">
        <v>0</v>
      </c>
      <c r="L1558" s="5">
        <v>0</v>
      </c>
      <c r="M1558" s="5">
        <v>119</v>
      </c>
      <c r="N1558" s="7">
        <f t="shared" si="141"/>
        <v>119</v>
      </c>
      <c r="O1558" s="7">
        <v>20340.199999999997</v>
      </c>
      <c r="P1558" s="7">
        <v>0</v>
      </c>
      <c r="Q1558" s="5">
        <v>0</v>
      </c>
      <c r="S1558" s="7">
        <v>0</v>
      </c>
      <c r="T1558" s="12">
        <v>43356</v>
      </c>
      <c r="U1558" s="4">
        <v>5</v>
      </c>
      <c r="V1558" s="4">
        <v>9</v>
      </c>
      <c r="W1558" s="4">
        <v>9</v>
      </c>
      <c r="X1558" s="45">
        <f t="shared" si="142"/>
        <v>55769.599999999999</v>
      </c>
      <c r="Y1558" s="14" t="s">
        <v>56</v>
      </c>
      <c r="Z1558" s="14" t="s">
        <v>1281</v>
      </c>
      <c r="AA1558" s="14" t="str">
        <f>IFERROR(VLOOKUP(A1558,'[2]UPDATE BILL 2018'!$B:$P,15,0),IFERROR(VLOOKUP(A1558,'[2]UPDATE BILL 2018'!$C:$P,14,0),IFERROR(VLOOKUP(A1558,'[2]UPDATE BILL 2018'!$D:$P,13,0),IFERROR(VLOOKUP(A1558,'[2]UPDATE BILL 2018'!$E:$P,12,0),IFERROR(VLOOKUP(A1558,'[2]UPDATE BILL 2018'!$F:$P,11,0),IFERROR(VLOOKUP(A1558,'[2]UPDATE BILL 2018'!$G:$P,10,0),IFERROR(VLOOKUP(A1558,'[2]UPDATE BILL 2018'!$H:$P,9,0),IFERROR(VLOOKUP(A1558,'[2]UPDATE BILL 2018'!$I:$P,8,0),VLOOKUP(A1558,'[2]UPDATE BILL 2018'!$B:$P,15,0)))))))))</f>
        <v>1008X05222</v>
      </c>
      <c r="AB1558" s="44">
        <f>IFERROR(VLOOKUP(A1558,'[2]UPDATE BILL 2018'!$B:$T,19,0),IFERROR(VLOOKUP(A1558,'[2]UPDATE BILL 2018'!$C:$T,18,0),IFERROR(VLOOKUP(A1558,'[2]UPDATE BILL 2018'!$D:$T,17,0),IFERROR(VLOOKUP(A1558,'[2]UPDATE BILL 2018'!$E:$T,16,0),IFERROR(VLOOKUP(A1558,'[2]UPDATE BILL 2018'!$F:$T,15,0),IFERROR(VLOOKUP(A1558,'[2]UPDATE BILL 2018'!$G:$T,14,0),IFERROR(VLOOKUP(A1558,'[2]UPDATE BILL 2018'!$H:$T,13,0),IFERROR(VLOOKUP(A1558,'[2]UPDATE BILL 2018'!$I:$T,12,0),VLOOKUP(A1558,'[2]UPDATE BILL 2018'!$B:$T,19,0)))))))))</f>
        <v>43366</v>
      </c>
      <c r="AC1558" s="44" t="str">
        <f>IFERROR(VLOOKUP(A1558,'[2]UPDATE BILL 2018'!$B:$V,21,0),IFERROR(VLOOKUP(A1558,'[2]UPDATE BILL 2018'!$C:$V,20,0),IFERROR(VLOOKUP(A1558,'[2]UPDATE BILL 2018'!$D:$V,19,0),IFERROR(VLOOKUP(A1558,'[2]UPDATE BILL 2018'!$E:$V,18,0),IFERROR(VLOOKUP(A1558,'[2]UPDATE BILL 2018'!$F:$V,17,0),IFERROR(VLOOKUP(A1558,'[2]UPDATE BILL 2018'!$G:$V,16,0),IFERROR(VLOOKUP(A1558,'[2]UPDATE BILL 2018'!$H:$V,15,0),IFERROR(VLOOKUP(A1558,'[2]UPDATE BILL 2018'!$I:$V,14,0),VLOOKUP(A1558,'[2]UPDATE BILL 2018'!$B:$V,21,0)))))))))</f>
        <v>MOONCHILD N033</v>
      </c>
      <c r="AD1558" s="14" t="s">
        <v>51</v>
      </c>
      <c r="AE1558" s="24" t="s">
        <v>3890</v>
      </c>
      <c r="AF1558" s="25" t="str">
        <f t="shared" si="139"/>
        <v>VS</v>
      </c>
      <c r="AG1558" t="e">
        <f t="shared" si="146"/>
        <v>#REF!</v>
      </c>
      <c r="AI1558" s="58" t="s">
        <v>3879</v>
      </c>
    </row>
    <row r="1559" spans="1:35" ht="15.75" customHeight="1">
      <c r="A1559" s="6" t="s">
        <v>3880</v>
      </c>
      <c r="B1559" s="5">
        <v>283</v>
      </c>
      <c r="C1559" s="7">
        <v>15947.7</v>
      </c>
      <c r="D1559" s="7">
        <f t="shared" si="140"/>
        <v>0</v>
      </c>
      <c r="E1559" s="7">
        <v>0</v>
      </c>
      <c r="F1559" s="5">
        <v>0</v>
      </c>
      <c r="G1559" s="7">
        <v>0</v>
      </c>
      <c r="H1559" s="5">
        <v>0</v>
      </c>
      <c r="I1559" s="7">
        <v>0</v>
      </c>
      <c r="J1559" s="7">
        <v>0</v>
      </c>
      <c r="K1559" s="5">
        <v>0</v>
      </c>
      <c r="L1559" s="5">
        <v>0</v>
      </c>
      <c r="M1559" s="5">
        <v>112</v>
      </c>
      <c r="N1559" s="7">
        <f t="shared" si="141"/>
        <v>112</v>
      </c>
      <c r="O1559" s="7">
        <v>11046.5</v>
      </c>
      <c r="P1559" s="7">
        <v>0</v>
      </c>
      <c r="Q1559" s="5">
        <v>0</v>
      </c>
      <c r="R1559" s="5">
        <v>256</v>
      </c>
      <c r="S1559" s="7">
        <v>58550.899999999994</v>
      </c>
      <c r="T1559" s="12">
        <v>43356</v>
      </c>
      <c r="U1559" s="4">
        <v>5</v>
      </c>
      <c r="V1559" s="4">
        <v>9</v>
      </c>
      <c r="W1559" s="4">
        <v>9</v>
      </c>
      <c r="X1559" s="45">
        <f t="shared" si="142"/>
        <v>85545.099999999991</v>
      </c>
      <c r="Y1559" s="14" t="s">
        <v>54</v>
      </c>
      <c r="Z1559" s="14" t="s">
        <v>59</v>
      </c>
      <c r="AA1559" s="14" t="str">
        <f>IFERROR(VLOOKUP(A1559,'[2]UPDATE BILL 2018'!$B:$P,15,0),IFERROR(VLOOKUP(A1559,'[2]UPDATE BILL 2018'!$C:$P,14,0),IFERROR(VLOOKUP(A1559,'[2]UPDATE BILL 2018'!$D:$P,13,0),IFERROR(VLOOKUP(A1559,'[2]UPDATE BILL 2018'!$E:$P,12,0),IFERROR(VLOOKUP(A1559,'[2]UPDATE BILL 2018'!$F:$P,11,0),IFERROR(VLOOKUP(A1559,'[2]UPDATE BILL 2018'!$G:$P,10,0),IFERROR(VLOOKUP(A1559,'[2]UPDATE BILL 2018'!$H:$P,9,0),IFERROR(VLOOKUP(A1559,'[2]UPDATE BILL 2018'!$I:$P,8,0),VLOOKUP(A1559,'[2]UPDATE BILL 2018'!$B:$P,15,0)))))))))</f>
        <v>SITWHPKW177721</v>
      </c>
      <c r="AB1559" s="44">
        <f>IFERROR(VLOOKUP(A1559,'[2]UPDATE BILL 2018'!$B:$T,19,0),IFERROR(VLOOKUP(A1559,'[2]UPDATE BILL 2018'!$C:$T,18,0),IFERROR(VLOOKUP(A1559,'[2]UPDATE BILL 2018'!$D:$T,17,0),IFERROR(VLOOKUP(A1559,'[2]UPDATE BILL 2018'!$E:$T,16,0),IFERROR(VLOOKUP(A1559,'[2]UPDATE BILL 2018'!$F:$T,15,0),IFERROR(VLOOKUP(A1559,'[2]UPDATE BILL 2018'!$G:$T,14,0),IFERROR(VLOOKUP(A1559,'[2]UPDATE BILL 2018'!$H:$T,13,0),IFERROR(VLOOKUP(A1559,'[2]UPDATE BILL 2018'!$I:$T,12,0),VLOOKUP(A1559,'[2]UPDATE BILL 2018'!$B:$T,19,0)))))))))</f>
        <v>43363</v>
      </c>
      <c r="AC1559" s="44" t="str">
        <f>IFERROR(VLOOKUP(A1559,'[2]UPDATE BILL 2018'!$B:$V,21,0),IFERROR(VLOOKUP(A1559,'[2]UPDATE BILL 2018'!$C:$V,20,0),IFERROR(VLOOKUP(A1559,'[2]UPDATE BILL 2018'!$D:$V,19,0),IFERROR(VLOOKUP(A1559,'[2]UPDATE BILL 2018'!$E:$V,18,0),IFERROR(VLOOKUP(A1559,'[2]UPDATE BILL 2018'!$F:$V,17,0),IFERROR(VLOOKUP(A1559,'[2]UPDATE BILL 2018'!$G:$V,16,0),IFERROR(VLOOKUP(A1559,'[2]UPDATE BILL 2018'!$H:$V,15,0),IFERROR(VLOOKUP(A1559,'[2]UPDATE BILL 2018'!$I:$V,14,0),VLOOKUP(A1559,'[2]UPDATE BILL 2018'!$B:$V,21,0)))))))))</f>
        <v>RESURGENCE 1823N</v>
      </c>
      <c r="AD1559" s="14" t="s">
        <v>50</v>
      </c>
      <c r="AE1559" s="24" t="s">
        <v>3891</v>
      </c>
      <c r="AF1559" s="25" t="str">
        <f t="shared" si="139"/>
        <v>VW</v>
      </c>
      <c r="AG1559" t="e">
        <f t="shared" si="146"/>
        <v>#REF!</v>
      </c>
      <c r="AI1559" s="58"/>
    </row>
    <row r="1560" spans="1:35" ht="15.75" customHeight="1">
      <c r="A1560" s="6" t="s">
        <v>3881</v>
      </c>
      <c r="B1560" s="5">
        <v>547</v>
      </c>
      <c r="C1560" s="7">
        <v>57427.600000000006</v>
      </c>
      <c r="D1560" s="7">
        <f t="shared" si="140"/>
        <v>0</v>
      </c>
      <c r="E1560" s="7">
        <v>0</v>
      </c>
      <c r="F1560" s="5">
        <v>0</v>
      </c>
      <c r="G1560" s="7">
        <v>0</v>
      </c>
      <c r="H1560" s="5">
        <v>0</v>
      </c>
      <c r="I1560" s="7">
        <v>0</v>
      </c>
      <c r="J1560" s="7">
        <v>0</v>
      </c>
      <c r="K1560" s="5">
        <v>0</v>
      </c>
      <c r="L1560" s="5">
        <v>0</v>
      </c>
      <c r="M1560" s="5">
        <v>41</v>
      </c>
      <c r="N1560" s="7">
        <f t="shared" si="141"/>
        <v>41</v>
      </c>
      <c r="O1560" s="7">
        <v>8696.7999999999993</v>
      </c>
      <c r="P1560" s="7">
        <v>0</v>
      </c>
      <c r="Q1560" s="5">
        <v>0</v>
      </c>
      <c r="S1560" s="7">
        <v>0</v>
      </c>
      <c r="T1560" s="12">
        <v>43356</v>
      </c>
      <c r="U1560" s="4">
        <v>6</v>
      </c>
      <c r="V1560" s="4">
        <v>9</v>
      </c>
      <c r="W1560" s="4">
        <v>9</v>
      </c>
      <c r="X1560" s="45">
        <f t="shared" si="142"/>
        <v>66124.400000000009</v>
      </c>
      <c r="Y1560" s="14" t="s">
        <v>54</v>
      </c>
      <c r="Z1560" s="14" t="s">
        <v>59</v>
      </c>
      <c r="AA1560" s="14" t="str">
        <f>IFERROR(VLOOKUP(A1560,'[2]UPDATE BILL 2018'!$B:$P,15,0),IFERROR(VLOOKUP(A1560,'[2]UPDATE BILL 2018'!$C:$P,14,0),IFERROR(VLOOKUP(A1560,'[2]UPDATE BILL 2018'!$D:$P,13,0),IFERROR(VLOOKUP(A1560,'[2]UPDATE BILL 2018'!$E:$P,12,0),IFERROR(VLOOKUP(A1560,'[2]UPDATE BILL 2018'!$F:$P,11,0),IFERROR(VLOOKUP(A1560,'[2]UPDATE BILL 2018'!$G:$P,10,0),IFERROR(VLOOKUP(A1560,'[2]UPDATE BILL 2018'!$H:$P,9,0),IFERROR(VLOOKUP(A1560,'[2]UPDATE BILL 2018'!$I:$P,8,0),VLOOKUP(A1560,'[2]UPDATE BILL 2018'!$B:$P,15,0)))))))))</f>
        <v>SITWHPKW177723</v>
      </c>
      <c r="AB1560" s="44">
        <f>IFERROR(VLOOKUP(A1560,'[2]UPDATE BILL 2018'!$B:$T,19,0),IFERROR(VLOOKUP(A1560,'[2]UPDATE BILL 2018'!$C:$T,18,0),IFERROR(VLOOKUP(A1560,'[2]UPDATE BILL 2018'!$D:$T,17,0),IFERROR(VLOOKUP(A1560,'[2]UPDATE BILL 2018'!$E:$T,16,0),IFERROR(VLOOKUP(A1560,'[2]UPDATE BILL 2018'!$F:$T,15,0),IFERROR(VLOOKUP(A1560,'[2]UPDATE BILL 2018'!$G:$T,14,0),IFERROR(VLOOKUP(A1560,'[2]UPDATE BILL 2018'!$H:$T,13,0),IFERROR(VLOOKUP(A1560,'[2]UPDATE BILL 2018'!$I:$T,12,0),VLOOKUP(A1560,'[2]UPDATE BILL 2018'!$B:$T,19,0)))))))))</f>
        <v>43365</v>
      </c>
      <c r="AC1560" s="44" t="str">
        <f>IFERROR(VLOOKUP(A1560,'[2]UPDATE BILL 2018'!$B:$V,21,0),IFERROR(VLOOKUP(A1560,'[2]UPDATE BILL 2018'!$C:$V,20,0),IFERROR(VLOOKUP(A1560,'[2]UPDATE BILL 2018'!$D:$V,19,0),IFERROR(VLOOKUP(A1560,'[2]UPDATE BILL 2018'!$E:$V,18,0),IFERROR(VLOOKUP(A1560,'[2]UPDATE BILL 2018'!$F:$V,17,0),IFERROR(VLOOKUP(A1560,'[2]UPDATE BILL 2018'!$G:$V,16,0),IFERROR(VLOOKUP(A1560,'[2]UPDATE BILL 2018'!$H:$V,15,0),IFERROR(VLOOKUP(A1560,'[2]UPDATE BILL 2018'!$I:$V,14,0),VLOOKUP(A1560,'[2]UPDATE BILL 2018'!$B:$V,21,0)))))))))</f>
        <v>SITC TIANJIN 1825N</v>
      </c>
      <c r="AD1560" s="14" t="s">
        <v>50</v>
      </c>
      <c r="AE1560" s="24" t="s">
        <v>3892</v>
      </c>
      <c r="AF1560" s="25" t="str">
        <f t="shared" si="139"/>
        <v>VW</v>
      </c>
      <c r="AG1560" t="e">
        <f t="shared" si="146"/>
        <v>#REF!</v>
      </c>
      <c r="AI1560" s="58" t="s">
        <v>3881</v>
      </c>
    </row>
    <row r="1561" spans="1:35" ht="15.75" customHeight="1">
      <c r="A1561" s="6" t="s">
        <v>3882</v>
      </c>
      <c r="B1561" s="5">
        <v>129</v>
      </c>
      <c r="C1561" s="7">
        <v>14488.29</v>
      </c>
      <c r="D1561" s="7">
        <f t="shared" si="140"/>
        <v>0</v>
      </c>
      <c r="E1561" s="7">
        <v>0</v>
      </c>
      <c r="F1561" s="5">
        <v>0</v>
      </c>
      <c r="G1561" s="7">
        <v>0</v>
      </c>
      <c r="H1561" s="5">
        <v>0</v>
      </c>
      <c r="I1561" s="7">
        <v>0</v>
      </c>
      <c r="J1561" s="7">
        <v>0</v>
      </c>
      <c r="K1561" s="5">
        <v>0</v>
      </c>
      <c r="L1561" s="5">
        <v>0</v>
      </c>
      <c r="M1561" s="5">
        <v>40</v>
      </c>
      <c r="N1561" s="7">
        <f t="shared" si="141"/>
        <v>40</v>
      </c>
      <c r="O1561" s="7">
        <v>6492.3</v>
      </c>
      <c r="P1561" s="7">
        <v>0</v>
      </c>
      <c r="Q1561" s="5">
        <v>0</v>
      </c>
      <c r="R1561" s="5">
        <v>175</v>
      </c>
      <c r="S1561" s="7">
        <v>32617</v>
      </c>
      <c r="T1561" s="12">
        <v>43356</v>
      </c>
      <c r="U1561" s="4">
        <v>3</v>
      </c>
      <c r="V1561" s="4">
        <v>9</v>
      </c>
      <c r="W1561" s="4">
        <v>9</v>
      </c>
      <c r="X1561" s="45">
        <f t="shared" si="142"/>
        <v>53597.59</v>
      </c>
      <c r="Y1561" s="14" t="s">
        <v>54</v>
      </c>
      <c r="Z1561" s="14" t="s">
        <v>2525</v>
      </c>
      <c r="AA1561" s="14" t="str">
        <f>IFERROR(VLOOKUP(A1561,'[2]UPDATE BILL 2018'!$B:$P,15,0),IFERROR(VLOOKUP(A1561,'[2]UPDATE BILL 2018'!$C:$P,14,0),IFERROR(VLOOKUP(A1561,'[2]UPDATE BILL 2018'!$D:$P,13,0),IFERROR(VLOOKUP(A1561,'[2]UPDATE BILL 2018'!$E:$P,12,0),IFERROR(VLOOKUP(A1561,'[2]UPDATE BILL 2018'!$F:$P,11,0),IFERROR(VLOOKUP(A1561,'[2]UPDATE BILL 2018'!$G:$P,10,0),IFERROR(VLOOKUP(A1561,'[2]UPDATE BILL 2018'!$H:$P,9,0),IFERROR(VLOOKUP(A1561,'[2]UPDATE BILL 2018'!$I:$P,8,0),VLOOKUP(A1561,'[2]UPDATE BILL 2018'!$B:$P,15,0)))))))))</f>
        <v>SITWHPTK177709</v>
      </c>
      <c r="AB1561" s="44">
        <f>IFERROR(VLOOKUP(A1561,'[2]UPDATE BILL 2018'!$B:$T,19,0),IFERROR(VLOOKUP(A1561,'[2]UPDATE BILL 2018'!$C:$T,18,0),IFERROR(VLOOKUP(A1561,'[2]UPDATE BILL 2018'!$D:$T,17,0),IFERROR(VLOOKUP(A1561,'[2]UPDATE BILL 2018'!$E:$T,16,0),IFERROR(VLOOKUP(A1561,'[2]UPDATE BILL 2018'!$F:$T,15,0),IFERROR(VLOOKUP(A1561,'[2]UPDATE BILL 2018'!$G:$T,14,0),IFERROR(VLOOKUP(A1561,'[2]UPDATE BILL 2018'!$H:$T,13,0),IFERROR(VLOOKUP(A1561,'[2]UPDATE BILL 2018'!$I:$T,12,0),VLOOKUP(A1561,'[2]UPDATE BILL 2018'!$B:$T,19,0)))))))))</f>
        <v>43363</v>
      </c>
      <c r="AC1561" s="44" t="str">
        <f>IFERROR(VLOOKUP(A1561,'[2]UPDATE BILL 2018'!$B:$V,21,0),IFERROR(VLOOKUP(A1561,'[2]UPDATE BILL 2018'!$C:$V,20,0),IFERROR(VLOOKUP(A1561,'[2]UPDATE BILL 2018'!$D:$V,19,0),IFERROR(VLOOKUP(A1561,'[2]UPDATE BILL 2018'!$E:$V,18,0),IFERROR(VLOOKUP(A1561,'[2]UPDATE BILL 2018'!$F:$V,17,0),IFERROR(VLOOKUP(A1561,'[2]UPDATE BILL 2018'!$G:$V,16,0),IFERROR(VLOOKUP(A1561,'[2]UPDATE BILL 2018'!$H:$V,15,0),IFERROR(VLOOKUP(A1561,'[2]UPDATE BILL 2018'!$I:$V,14,0),VLOOKUP(A1561,'[2]UPDATE BILL 2018'!$B:$V,21,0)))))))))</f>
        <v>RESURGENCE 1823N</v>
      </c>
      <c r="AD1561" s="14" t="s">
        <v>49</v>
      </c>
      <c r="AE1561" s="24" t="s">
        <v>3893</v>
      </c>
      <c r="AF1561" s="25" t="str">
        <f t="shared" si="139"/>
        <v>VZ</v>
      </c>
      <c r="AG1561" t="e">
        <f t="shared" si="146"/>
        <v>#REF!</v>
      </c>
      <c r="AI1561" s="58"/>
    </row>
    <row r="1562" spans="1:35" ht="15.75" customHeight="1">
      <c r="A1562" s="6" t="s">
        <v>3883</v>
      </c>
      <c r="B1562" s="5">
        <v>188</v>
      </c>
      <c r="C1562" s="7">
        <v>23481.8</v>
      </c>
      <c r="D1562" s="7">
        <f t="shared" si="140"/>
        <v>0</v>
      </c>
      <c r="E1562" s="7">
        <v>0</v>
      </c>
      <c r="F1562" s="5">
        <v>0</v>
      </c>
      <c r="G1562" s="7">
        <v>0</v>
      </c>
      <c r="H1562" s="5">
        <v>0</v>
      </c>
      <c r="I1562" s="7">
        <v>0</v>
      </c>
      <c r="J1562" s="7">
        <v>0</v>
      </c>
      <c r="K1562" s="5">
        <v>0</v>
      </c>
      <c r="L1562" s="5">
        <v>0</v>
      </c>
      <c r="M1562" s="5">
        <v>46</v>
      </c>
      <c r="N1562" s="7">
        <f t="shared" si="141"/>
        <v>46</v>
      </c>
      <c r="O1562" s="7">
        <v>7712.1</v>
      </c>
      <c r="P1562" s="7">
        <v>0</v>
      </c>
      <c r="Q1562" s="5">
        <v>0</v>
      </c>
      <c r="S1562" s="7">
        <v>0</v>
      </c>
      <c r="T1562" s="12">
        <v>43356</v>
      </c>
      <c r="U1562" s="4">
        <v>3</v>
      </c>
      <c r="V1562" s="4">
        <v>9</v>
      </c>
      <c r="W1562" s="4">
        <v>9</v>
      </c>
      <c r="X1562" s="45">
        <f t="shared" si="142"/>
        <v>31193.9</v>
      </c>
      <c r="Y1562" s="14" t="s">
        <v>56</v>
      </c>
      <c r="Z1562" s="14" t="s">
        <v>57</v>
      </c>
      <c r="AA1562" s="14" t="str">
        <f>IFERROR(VLOOKUP(A1562,'[2]UPDATE BILL 2018'!$B:$P,15,0),IFERROR(VLOOKUP(A1562,'[2]UPDATE BILL 2018'!$C:$P,14,0),IFERROR(VLOOKUP(A1562,'[2]UPDATE BILL 2018'!$D:$P,13,0),IFERROR(VLOOKUP(A1562,'[2]UPDATE BILL 2018'!$E:$P,12,0),IFERROR(VLOOKUP(A1562,'[2]UPDATE BILL 2018'!$F:$P,11,0),IFERROR(VLOOKUP(A1562,'[2]UPDATE BILL 2018'!$G:$P,10,0),IFERROR(VLOOKUP(A1562,'[2]UPDATE BILL 2018'!$H:$P,9,0),IFERROR(VLOOKUP(A1562,'[2]UPDATE BILL 2018'!$I:$P,8,0),VLOOKUP(A1562,'[2]UPDATE BILL 2018'!$B:$P,15,0)))))))))</f>
        <v>1008X05399</v>
      </c>
      <c r="AB1562" s="44">
        <f>IFERROR(VLOOKUP(A1562,'[2]UPDATE BILL 2018'!$B:$T,19,0),IFERROR(VLOOKUP(A1562,'[2]UPDATE BILL 2018'!$C:$T,18,0),IFERROR(VLOOKUP(A1562,'[2]UPDATE BILL 2018'!$D:$T,17,0),IFERROR(VLOOKUP(A1562,'[2]UPDATE BILL 2018'!$E:$T,16,0),IFERROR(VLOOKUP(A1562,'[2]UPDATE BILL 2018'!$F:$T,15,0),IFERROR(VLOOKUP(A1562,'[2]UPDATE BILL 2018'!$G:$T,14,0),IFERROR(VLOOKUP(A1562,'[2]UPDATE BILL 2018'!$H:$T,13,0),IFERROR(VLOOKUP(A1562,'[2]UPDATE BILL 2018'!$I:$T,12,0),VLOOKUP(A1562,'[2]UPDATE BILL 2018'!$B:$T,19,0)))))))))</f>
        <v>43363</v>
      </c>
      <c r="AC1562" s="44" t="str">
        <f>IFERROR(VLOOKUP(A1562,'[2]UPDATE BILL 2018'!$B:$V,21,0),IFERROR(VLOOKUP(A1562,'[2]UPDATE BILL 2018'!$C:$V,20,0),IFERROR(VLOOKUP(A1562,'[2]UPDATE BILL 2018'!$D:$V,19,0),IFERROR(VLOOKUP(A1562,'[2]UPDATE BILL 2018'!$E:$V,18,0),IFERROR(VLOOKUP(A1562,'[2]UPDATE BILL 2018'!$F:$V,17,0),IFERROR(VLOOKUP(A1562,'[2]UPDATE BILL 2018'!$G:$V,16,0),IFERROR(VLOOKUP(A1562,'[2]UPDATE BILL 2018'!$H:$V,15,0),IFERROR(VLOOKUP(A1562,'[2]UPDATE BILL 2018'!$I:$V,14,0),VLOOKUP(A1562,'[2]UPDATE BILL 2018'!$B:$V,21,0)))))))))</f>
        <v>WAN HAI 171 S250</v>
      </c>
      <c r="AD1562" s="14" t="s">
        <v>49</v>
      </c>
      <c r="AE1562" s="24" t="s">
        <v>3894</v>
      </c>
      <c r="AF1562" s="25" t="str">
        <f t="shared" si="139"/>
        <v>VZ</v>
      </c>
      <c r="AG1562" t="e">
        <f t="shared" si="146"/>
        <v>#REF!</v>
      </c>
      <c r="AI1562" s="58" t="s">
        <v>3883</v>
      </c>
    </row>
    <row r="1563" spans="1:35" ht="15.75" customHeight="1">
      <c r="A1563" s="6" t="s">
        <v>3895</v>
      </c>
      <c r="D1563" s="7">
        <f t="shared" si="140"/>
        <v>0</v>
      </c>
      <c r="E1563" s="7">
        <v>0</v>
      </c>
      <c r="F1563" s="5">
        <v>0</v>
      </c>
      <c r="G1563" s="7">
        <v>0</v>
      </c>
      <c r="H1563" s="5">
        <v>30</v>
      </c>
      <c r="I1563" s="7">
        <v>1223</v>
      </c>
      <c r="J1563" s="7">
        <v>0</v>
      </c>
      <c r="K1563" s="5">
        <v>0</v>
      </c>
      <c r="L1563" s="5">
        <v>0</v>
      </c>
      <c r="M1563" s="5">
        <v>69</v>
      </c>
      <c r="N1563" s="7">
        <f t="shared" si="141"/>
        <v>69</v>
      </c>
      <c r="O1563" s="7">
        <v>8019.9999999999991</v>
      </c>
      <c r="P1563" s="7">
        <v>0</v>
      </c>
      <c r="Q1563" s="5">
        <v>0</v>
      </c>
      <c r="R1563" s="5">
        <v>385</v>
      </c>
      <c r="S1563" s="7">
        <v>58365.9</v>
      </c>
      <c r="T1563" s="12">
        <v>43357</v>
      </c>
      <c r="U1563" s="4">
        <v>3</v>
      </c>
      <c r="V1563" s="4">
        <v>9</v>
      </c>
      <c r="W1563" s="4">
        <v>9</v>
      </c>
      <c r="X1563" s="45">
        <f t="shared" si="142"/>
        <v>67608.899999999994</v>
      </c>
      <c r="Y1563" s="14" t="s">
        <v>1633</v>
      </c>
      <c r="Z1563" s="14" t="s">
        <v>1281</v>
      </c>
      <c r="AA1563" s="14" t="str">
        <f>IFERROR(VLOOKUP(A1563,'[2]UPDATE BILL 2018'!$B:$P,15,0),IFERROR(VLOOKUP(A1563,'[2]UPDATE BILL 2018'!$C:$P,14,0),IFERROR(VLOOKUP(A1563,'[2]UPDATE BILL 2018'!$D:$P,13,0),IFERROR(VLOOKUP(A1563,'[2]UPDATE BILL 2018'!$E:$P,12,0),IFERROR(VLOOKUP(A1563,'[2]UPDATE BILL 2018'!$F:$P,11,0),IFERROR(VLOOKUP(A1563,'[2]UPDATE BILL 2018'!$G:$P,10,0),IFERROR(VLOOKUP(A1563,'[2]UPDATE BILL 2018'!$H:$P,9,0),IFERROR(VLOOKUP(A1563,'[2]UPDATE BILL 2018'!$I:$P,8,0),VLOOKUP(A1563,'[2]UPDATE BILL 2018'!$B:$P,15,0)))))))))</f>
        <v>KMTCHPH0584970</v>
      </c>
      <c r="AB1563" s="44">
        <f>IFERROR(VLOOKUP(A1563,'[2]UPDATE BILL 2018'!$B:$T,19,0),IFERROR(VLOOKUP(A1563,'[2]UPDATE BILL 2018'!$C:$T,18,0),IFERROR(VLOOKUP(A1563,'[2]UPDATE BILL 2018'!$D:$T,17,0),IFERROR(VLOOKUP(A1563,'[2]UPDATE BILL 2018'!$E:$T,16,0),IFERROR(VLOOKUP(A1563,'[2]UPDATE BILL 2018'!$F:$T,15,0),IFERROR(VLOOKUP(A1563,'[2]UPDATE BILL 2018'!$G:$T,14,0),IFERROR(VLOOKUP(A1563,'[2]UPDATE BILL 2018'!$H:$T,13,0),IFERROR(VLOOKUP(A1563,'[2]UPDATE BILL 2018'!$I:$T,12,0),VLOOKUP(A1563,'[2]UPDATE BILL 2018'!$B:$T,19,0)))))))))</f>
        <v>43364</v>
      </c>
      <c r="AC1563" s="44" t="str">
        <f>IFERROR(VLOOKUP(A1563,'[2]UPDATE BILL 2018'!$B:$V,21,0),IFERROR(VLOOKUP(A1563,'[2]UPDATE BILL 2018'!$C:$V,20,0),IFERROR(VLOOKUP(A1563,'[2]UPDATE BILL 2018'!$D:$V,19,0),IFERROR(VLOOKUP(A1563,'[2]UPDATE BILL 2018'!$E:$V,18,0),IFERROR(VLOOKUP(A1563,'[2]UPDATE BILL 2018'!$F:$V,17,0),IFERROR(VLOOKUP(A1563,'[2]UPDATE BILL 2018'!$G:$V,16,0),IFERROR(VLOOKUP(A1563,'[2]UPDATE BILL 2018'!$H:$V,15,0),IFERROR(VLOOKUP(A1563,'[2]UPDATE BILL 2018'!$I:$V,14,0),VLOOKUP(A1563,'[2]UPDATE BILL 2018'!$B:$V,21,0)))))))))</f>
        <v>STARSHIP AQUILA 1815N</v>
      </c>
      <c r="AD1563" s="14" t="s">
        <v>70</v>
      </c>
      <c r="AE1563" s="24" t="s">
        <v>3906</v>
      </c>
      <c r="AF1563" s="25" t="str">
        <f t="shared" si="139"/>
        <v>VH</v>
      </c>
      <c r="AG1563" t="e">
        <f t="shared" si="146"/>
        <v>#REF!</v>
      </c>
      <c r="AI1563" s="58"/>
    </row>
    <row r="1564" spans="1:35" ht="15.75" customHeight="1">
      <c r="A1564" s="6" t="s">
        <v>3896</v>
      </c>
      <c r="B1564" s="5">
        <v>125</v>
      </c>
      <c r="C1564" s="7">
        <v>4080.9</v>
      </c>
      <c r="D1564" s="7">
        <f t="shared" si="140"/>
        <v>0</v>
      </c>
      <c r="E1564" s="7">
        <v>0</v>
      </c>
      <c r="F1564" s="5">
        <v>0</v>
      </c>
      <c r="G1564" s="7">
        <v>0</v>
      </c>
      <c r="H1564" s="5">
        <v>275</v>
      </c>
      <c r="I1564" s="7">
        <v>29956.800000000003</v>
      </c>
      <c r="J1564" s="7">
        <v>0</v>
      </c>
      <c r="K1564" s="5">
        <v>0</v>
      </c>
      <c r="L1564" s="5">
        <v>0</v>
      </c>
      <c r="M1564" s="5">
        <v>378</v>
      </c>
      <c r="N1564" s="7">
        <f t="shared" si="141"/>
        <v>378</v>
      </c>
      <c r="O1564" s="7">
        <v>12757.499999999998</v>
      </c>
      <c r="P1564" s="7">
        <v>0</v>
      </c>
      <c r="Q1564" s="5">
        <v>0</v>
      </c>
      <c r="S1564" s="7">
        <v>0</v>
      </c>
      <c r="T1564" s="12">
        <v>43357</v>
      </c>
      <c r="U1564" s="4">
        <v>3</v>
      </c>
      <c r="V1564" s="4">
        <v>9</v>
      </c>
      <c r="W1564" s="4">
        <v>9</v>
      </c>
      <c r="X1564" s="45">
        <f t="shared" si="142"/>
        <v>46795.200000000004</v>
      </c>
      <c r="Y1564" s="14" t="s">
        <v>54</v>
      </c>
      <c r="Z1564" s="14" t="s">
        <v>3780</v>
      </c>
      <c r="AA1564" s="14" t="str">
        <f>IFERROR(VLOOKUP(A1564,'[2]UPDATE BILL 2018'!$B:$P,15,0),IFERROR(VLOOKUP(A1564,'[2]UPDATE BILL 2018'!$C:$P,14,0),IFERROR(VLOOKUP(A1564,'[2]UPDATE BILL 2018'!$D:$P,13,0),IFERROR(VLOOKUP(A1564,'[2]UPDATE BILL 2018'!$E:$P,12,0),IFERROR(VLOOKUP(A1564,'[2]UPDATE BILL 2018'!$F:$P,11,0),IFERROR(VLOOKUP(A1564,'[2]UPDATE BILL 2018'!$G:$P,10,0),IFERROR(VLOOKUP(A1564,'[2]UPDATE BILL 2018'!$H:$P,9,0),IFERROR(VLOOKUP(A1564,'[2]UPDATE BILL 2018'!$I:$P,8,0),VLOOKUP(A1564,'[2]UPDATE BILL 2018'!$B:$P,15,0)))))))))</f>
        <v>SITWHPTK177709</v>
      </c>
      <c r="AB1564" s="44">
        <f>IFERROR(VLOOKUP(A1564,'[2]UPDATE BILL 2018'!$B:$T,19,0),IFERROR(VLOOKUP(A1564,'[2]UPDATE BILL 2018'!$C:$T,18,0),IFERROR(VLOOKUP(A1564,'[2]UPDATE BILL 2018'!$D:$T,17,0),IFERROR(VLOOKUP(A1564,'[2]UPDATE BILL 2018'!$E:$T,16,0),IFERROR(VLOOKUP(A1564,'[2]UPDATE BILL 2018'!$F:$T,15,0),IFERROR(VLOOKUP(A1564,'[2]UPDATE BILL 2018'!$G:$T,14,0),IFERROR(VLOOKUP(A1564,'[2]UPDATE BILL 2018'!$H:$T,13,0),IFERROR(VLOOKUP(A1564,'[2]UPDATE BILL 2018'!$I:$T,12,0),VLOOKUP(A1564,'[2]UPDATE BILL 2018'!$B:$T,19,0)))))))))</f>
        <v>43363</v>
      </c>
      <c r="AC1564" s="44" t="str">
        <f>IFERROR(VLOOKUP(A1564,'[2]UPDATE BILL 2018'!$B:$V,21,0),IFERROR(VLOOKUP(A1564,'[2]UPDATE BILL 2018'!$C:$V,20,0),IFERROR(VLOOKUP(A1564,'[2]UPDATE BILL 2018'!$D:$V,19,0),IFERROR(VLOOKUP(A1564,'[2]UPDATE BILL 2018'!$E:$V,18,0),IFERROR(VLOOKUP(A1564,'[2]UPDATE BILL 2018'!$F:$V,17,0),IFERROR(VLOOKUP(A1564,'[2]UPDATE BILL 2018'!$G:$V,16,0),IFERROR(VLOOKUP(A1564,'[2]UPDATE BILL 2018'!$H:$V,15,0),IFERROR(VLOOKUP(A1564,'[2]UPDATE BILL 2018'!$I:$V,14,0),VLOOKUP(A1564,'[2]UPDATE BILL 2018'!$B:$V,21,0)))))))))</f>
        <v>RESURGENCE 1823N</v>
      </c>
      <c r="AD1564" s="14" t="s">
        <v>49</v>
      </c>
      <c r="AE1564" s="24" t="s">
        <v>3907</v>
      </c>
      <c r="AF1564" s="25" t="str">
        <f t="shared" si="139"/>
        <v>VK</v>
      </c>
      <c r="AG1564" t="e">
        <f t="shared" si="146"/>
        <v>#REF!</v>
      </c>
      <c r="AI1564" s="58"/>
    </row>
    <row r="1565" spans="1:35" ht="15.75" customHeight="1">
      <c r="A1565" s="6" t="s">
        <v>3897</v>
      </c>
      <c r="D1565" s="7">
        <f t="shared" si="140"/>
        <v>0</v>
      </c>
      <c r="E1565" s="7">
        <v>0</v>
      </c>
      <c r="F1565" s="5">
        <v>0</v>
      </c>
      <c r="G1565" s="7">
        <v>0</v>
      </c>
      <c r="H1565" s="5">
        <v>570</v>
      </c>
      <c r="I1565" s="7">
        <v>64239</v>
      </c>
      <c r="J1565" s="7">
        <v>0</v>
      </c>
      <c r="K1565" s="5">
        <v>0</v>
      </c>
      <c r="L1565" s="5">
        <v>0</v>
      </c>
      <c r="M1565" s="5">
        <v>0</v>
      </c>
      <c r="N1565" s="7">
        <f t="shared" si="141"/>
        <v>0</v>
      </c>
      <c r="O1565" s="7">
        <v>0</v>
      </c>
      <c r="P1565" s="7">
        <v>0</v>
      </c>
      <c r="Q1565" s="5">
        <v>0</v>
      </c>
      <c r="S1565" s="7">
        <v>0</v>
      </c>
      <c r="T1565" s="12">
        <v>43357</v>
      </c>
      <c r="U1565" s="4">
        <v>6</v>
      </c>
      <c r="V1565" s="4">
        <v>9</v>
      </c>
      <c r="W1565" s="4">
        <v>9</v>
      </c>
      <c r="X1565" s="45">
        <f t="shared" si="142"/>
        <v>64239</v>
      </c>
      <c r="Y1565" s="14" t="s">
        <v>56</v>
      </c>
      <c r="Z1565" s="14" t="s">
        <v>3376</v>
      </c>
      <c r="AA1565" s="14">
        <f>IFERROR(VLOOKUP(A1565,'[2]UPDATE BILL 2018'!$B:$P,15,0),IFERROR(VLOOKUP(A1565,'[2]UPDATE BILL 2018'!$C:$P,14,0),IFERROR(VLOOKUP(A1565,'[2]UPDATE BILL 2018'!$D:$P,13,0),IFERROR(VLOOKUP(A1565,'[2]UPDATE BILL 2018'!$E:$P,12,0),IFERROR(VLOOKUP(A1565,'[2]UPDATE BILL 2018'!$F:$P,11,0),IFERROR(VLOOKUP(A1565,'[2]UPDATE BILL 2018'!$G:$P,10,0),IFERROR(VLOOKUP(A1565,'[2]UPDATE BILL 2018'!$H:$P,9,0),IFERROR(VLOOKUP(A1565,'[2]UPDATE BILL 2018'!$I:$P,8,0),VLOOKUP(A1565,'[2]UPDATE BILL 2018'!$B:$P,15,0)))))))))</f>
        <v>0</v>
      </c>
      <c r="AB1565" s="44">
        <f>IFERROR(VLOOKUP(A1565,'[2]UPDATE BILL 2018'!$B:$T,19,0),IFERROR(VLOOKUP(A1565,'[2]UPDATE BILL 2018'!$C:$T,18,0),IFERROR(VLOOKUP(A1565,'[2]UPDATE BILL 2018'!$D:$T,17,0),IFERROR(VLOOKUP(A1565,'[2]UPDATE BILL 2018'!$E:$T,16,0),IFERROR(VLOOKUP(A1565,'[2]UPDATE BILL 2018'!$F:$T,15,0),IFERROR(VLOOKUP(A1565,'[2]UPDATE BILL 2018'!$G:$T,14,0),IFERROR(VLOOKUP(A1565,'[2]UPDATE BILL 2018'!$H:$T,13,0),IFERROR(VLOOKUP(A1565,'[2]UPDATE BILL 2018'!$I:$T,12,0),VLOOKUP(A1565,'[2]UPDATE BILL 2018'!$B:$T,19,0)))))))))</f>
        <v>0</v>
      </c>
      <c r="AC1565" s="44">
        <f>IFERROR(VLOOKUP(A1565,'[2]UPDATE BILL 2018'!$B:$V,21,0),IFERROR(VLOOKUP(A1565,'[2]UPDATE BILL 2018'!$C:$V,20,0),IFERROR(VLOOKUP(A1565,'[2]UPDATE BILL 2018'!$D:$V,19,0),IFERROR(VLOOKUP(A1565,'[2]UPDATE BILL 2018'!$E:$V,18,0),IFERROR(VLOOKUP(A1565,'[2]UPDATE BILL 2018'!$F:$V,17,0),IFERROR(VLOOKUP(A1565,'[2]UPDATE BILL 2018'!$G:$V,16,0),IFERROR(VLOOKUP(A1565,'[2]UPDATE BILL 2018'!$H:$V,15,0),IFERROR(VLOOKUP(A1565,'[2]UPDATE BILL 2018'!$I:$V,14,0),VLOOKUP(A1565,'[2]UPDATE BILL 2018'!$B:$V,21,0)))))))))</f>
        <v>0</v>
      </c>
      <c r="AD1565" s="14" t="s">
        <v>49</v>
      </c>
      <c r="AE1565" s="24" t="s">
        <v>3908</v>
      </c>
      <c r="AF1565" s="25" t="str">
        <f t="shared" si="139"/>
        <v>VK</v>
      </c>
      <c r="AG1565" t="e">
        <f t="shared" si="146"/>
        <v>#REF!</v>
      </c>
      <c r="AI1565" s="58"/>
    </row>
    <row r="1566" spans="1:35" ht="15.75" customHeight="1">
      <c r="A1566" s="6" t="s">
        <v>3898</v>
      </c>
      <c r="B1566" s="5">
        <v>264</v>
      </c>
      <c r="C1566" s="7">
        <v>35158.68</v>
      </c>
      <c r="D1566" s="7">
        <f t="shared" si="140"/>
        <v>0</v>
      </c>
      <c r="E1566" s="7">
        <v>0</v>
      </c>
      <c r="F1566" s="5">
        <v>0</v>
      </c>
      <c r="G1566" s="7">
        <v>0</v>
      </c>
      <c r="H1566" s="5">
        <v>95</v>
      </c>
      <c r="I1566" s="7">
        <v>10706.5</v>
      </c>
      <c r="J1566" s="7">
        <v>0</v>
      </c>
      <c r="K1566" s="5">
        <v>0</v>
      </c>
      <c r="L1566" s="5">
        <v>0</v>
      </c>
      <c r="M1566" s="5">
        <v>58</v>
      </c>
      <c r="N1566" s="7">
        <f t="shared" si="141"/>
        <v>58</v>
      </c>
      <c r="O1566" s="7">
        <v>10248.599999999999</v>
      </c>
      <c r="P1566" s="7">
        <v>0</v>
      </c>
      <c r="Q1566" s="5">
        <v>0</v>
      </c>
      <c r="S1566" s="7">
        <v>0</v>
      </c>
      <c r="T1566" s="12">
        <v>43357</v>
      </c>
      <c r="U1566" s="4">
        <v>5</v>
      </c>
      <c r="V1566" s="4">
        <v>9</v>
      </c>
      <c r="W1566" s="4">
        <v>9</v>
      </c>
      <c r="X1566" s="45">
        <f t="shared" si="142"/>
        <v>56113.78</v>
      </c>
      <c r="Y1566" s="14" t="s">
        <v>54</v>
      </c>
      <c r="Z1566" s="14" t="s">
        <v>2525</v>
      </c>
      <c r="AA1566" s="14" t="str">
        <f>IFERROR(VLOOKUP(A1566,'[2]UPDATE BILL 2018'!$B:$P,15,0),IFERROR(VLOOKUP(A1566,'[2]UPDATE BILL 2018'!$C:$P,14,0),IFERROR(VLOOKUP(A1566,'[2]UPDATE BILL 2018'!$D:$P,13,0),IFERROR(VLOOKUP(A1566,'[2]UPDATE BILL 2018'!$E:$P,12,0),IFERROR(VLOOKUP(A1566,'[2]UPDATE BILL 2018'!$F:$P,11,0),IFERROR(VLOOKUP(A1566,'[2]UPDATE BILL 2018'!$G:$P,10,0),IFERROR(VLOOKUP(A1566,'[2]UPDATE BILL 2018'!$H:$P,9,0),IFERROR(VLOOKUP(A1566,'[2]UPDATE BILL 2018'!$I:$P,8,0),VLOOKUP(A1566,'[2]UPDATE BILL 2018'!$B:$P,15,0)))))))))</f>
        <v>SITWHPTK178491</v>
      </c>
      <c r="AB1566" s="44">
        <f>IFERROR(VLOOKUP(A1566,'[2]UPDATE BILL 2018'!$B:$T,19,0),IFERROR(VLOOKUP(A1566,'[2]UPDATE BILL 2018'!$C:$T,18,0),IFERROR(VLOOKUP(A1566,'[2]UPDATE BILL 2018'!$D:$T,17,0),IFERROR(VLOOKUP(A1566,'[2]UPDATE BILL 2018'!$E:$T,16,0),IFERROR(VLOOKUP(A1566,'[2]UPDATE BILL 2018'!$F:$T,15,0),IFERROR(VLOOKUP(A1566,'[2]UPDATE BILL 2018'!$G:$T,14,0),IFERROR(VLOOKUP(A1566,'[2]UPDATE BILL 2018'!$H:$T,13,0),IFERROR(VLOOKUP(A1566,'[2]UPDATE BILL 2018'!$I:$T,12,0),VLOOKUP(A1566,'[2]UPDATE BILL 2018'!$B:$T,19,0)))))))))</f>
        <v>43365</v>
      </c>
      <c r="AC1566" s="44" t="str">
        <f>IFERROR(VLOOKUP(A1566,'[2]UPDATE BILL 2018'!$B:$V,21,0),IFERROR(VLOOKUP(A1566,'[2]UPDATE BILL 2018'!$C:$V,20,0),IFERROR(VLOOKUP(A1566,'[2]UPDATE BILL 2018'!$D:$V,19,0),IFERROR(VLOOKUP(A1566,'[2]UPDATE BILL 2018'!$E:$V,18,0),IFERROR(VLOOKUP(A1566,'[2]UPDATE BILL 2018'!$F:$V,17,0),IFERROR(VLOOKUP(A1566,'[2]UPDATE BILL 2018'!$G:$V,16,0),IFERROR(VLOOKUP(A1566,'[2]UPDATE BILL 2018'!$H:$V,15,0),IFERROR(VLOOKUP(A1566,'[2]UPDATE BILL 2018'!$I:$V,14,0),VLOOKUP(A1566,'[2]UPDATE BILL 2018'!$B:$V,21,0)))))))))</f>
        <v>SITC TIANJIN 1825N</v>
      </c>
      <c r="AD1566" s="14" t="s">
        <v>49</v>
      </c>
      <c r="AE1566" s="24" t="s">
        <v>3909</v>
      </c>
      <c r="AF1566" s="25" t="str">
        <f t="shared" si="139"/>
        <v>VN</v>
      </c>
      <c r="AG1566" t="e">
        <f t="shared" si="146"/>
        <v>#REF!</v>
      </c>
      <c r="AI1566" s="58" t="s">
        <v>3898</v>
      </c>
    </row>
    <row r="1567" spans="1:35" ht="15.75" customHeight="1">
      <c r="A1567" s="6" t="s">
        <v>3899</v>
      </c>
      <c r="D1567" s="7">
        <f t="shared" si="140"/>
        <v>0</v>
      </c>
      <c r="E1567" s="7">
        <v>0</v>
      </c>
      <c r="F1567" s="5">
        <v>0</v>
      </c>
      <c r="G1567" s="7">
        <v>0</v>
      </c>
      <c r="H1567" s="5">
        <v>0</v>
      </c>
      <c r="I1567" s="7">
        <v>0</v>
      </c>
      <c r="J1567" s="7">
        <v>0</v>
      </c>
      <c r="K1567" s="5">
        <v>0</v>
      </c>
      <c r="L1567" s="5">
        <v>0</v>
      </c>
      <c r="M1567" s="5">
        <v>0</v>
      </c>
      <c r="N1567" s="7">
        <f t="shared" si="141"/>
        <v>0</v>
      </c>
      <c r="O1567" s="7">
        <v>0</v>
      </c>
      <c r="P1567" s="7">
        <v>0</v>
      </c>
      <c r="Q1567" s="5">
        <v>0</v>
      </c>
      <c r="R1567" s="5">
        <v>482</v>
      </c>
      <c r="S1567" s="7">
        <v>73450.2</v>
      </c>
      <c r="T1567" s="12">
        <v>43357</v>
      </c>
      <c r="U1567" s="4">
        <v>2</v>
      </c>
      <c r="V1567" s="4">
        <v>9</v>
      </c>
      <c r="W1567" s="4">
        <v>9</v>
      </c>
      <c r="X1567" s="45">
        <f t="shared" si="142"/>
        <v>73450.2</v>
      </c>
      <c r="Y1567" s="14" t="s">
        <v>85</v>
      </c>
      <c r="Z1567" s="14" t="s">
        <v>3780</v>
      </c>
      <c r="AA1567" s="14">
        <f>IFERROR(VLOOKUP(A1567,'[2]UPDATE BILL 2018'!$B:$P,15,0),IFERROR(VLOOKUP(A1567,'[2]UPDATE BILL 2018'!$C:$P,14,0),IFERROR(VLOOKUP(A1567,'[2]UPDATE BILL 2018'!$D:$P,13,0),IFERROR(VLOOKUP(A1567,'[2]UPDATE BILL 2018'!$E:$P,12,0),IFERROR(VLOOKUP(A1567,'[2]UPDATE BILL 2018'!$F:$P,11,0),IFERROR(VLOOKUP(A1567,'[2]UPDATE BILL 2018'!$G:$P,10,0),IFERROR(VLOOKUP(A1567,'[2]UPDATE BILL 2018'!$H:$P,9,0),IFERROR(VLOOKUP(A1567,'[2]UPDATE BILL 2018'!$I:$P,8,0),VLOOKUP(A1567,'[2]UPDATE BILL 2018'!$B:$P,15,0)))))))))</f>
        <v>350810109234</v>
      </c>
      <c r="AB1567" s="44">
        <f>IFERROR(VLOOKUP(A1567,'[2]UPDATE BILL 2018'!$B:$T,19,0),IFERROR(VLOOKUP(A1567,'[2]UPDATE BILL 2018'!$C:$T,18,0),IFERROR(VLOOKUP(A1567,'[2]UPDATE BILL 2018'!$D:$T,17,0),IFERROR(VLOOKUP(A1567,'[2]UPDATE BILL 2018'!$E:$T,16,0),IFERROR(VLOOKUP(A1567,'[2]UPDATE BILL 2018'!$F:$T,15,0),IFERROR(VLOOKUP(A1567,'[2]UPDATE BILL 2018'!$G:$T,14,0),IFERROR(VLOOKUP(A1567,'[2]UPDATE BILL 2018'!$H:$T,13,0),IFERROR(VLOOKUP(A1567,'[2]UPDATE BILL 2018'!$I:$T,12,0),VLOOKUP(A1567,'[2]UPDATE BILL 2018'!$B:$T,19,0)))))))))</f>
        <v>43360</v>
      </c>
      <c r="AC1567" s="44" t="str">
        <f>IFERROR(VLOOKUP(A1567,'[2]UPDATE BILL 2018'!$B:$V,21,0),IFERROR(VLOOKUP(A1567,'[2]UPDATE BILL 2018'!$C:$V,20,0),IFERROR(VLOOKUP(A1567,'[2]UPDATE BILL 2018'!$D:$V,19,0),IFERROR(VLOOKUP(A1567,'[2]UPDATE BILL 2018'!$E:$V,18,0),IFERROR(VLOOKUP(A1567,'[2]UPDATE BILL 2018'!$F:$V,17,0),IFERROR(VLOOKUP(A1567,'[2]UPDATE BILL 2018'!$G:$V,16,0),IFERROR(VLOOKUP(A1567,'[2]UPDATE BILL 2018'!$H:$V,15,0),IFERROR(VLOOKUP(A1567,'[2]UPDATE BILL 2018'!$I:$V,14,0),VLOOKUP(A1567,'[2]UPDATE BILL 2018'!$B:$V,21,0)))))))))</f>
        <v>HANSE ENDURANCE 18014N</v>
      </c>
      <c r="AD1567" s="14" t="s">
        <v>52</v>
      </c>
      <c r="AE1567" s="24" t="s">
        <v>3910</v>
      </c>
      <c r="AF1567" s="25" t="str">
        <f t="shared" si="139"/>
        <v>VQ</v>
      </c>
      <c r="AG1567" t="e">
        <f t="shared" si="146"/>
        <v>#REF!</v>
      </c>
      <c r="AI1567" s="58"/>
    </row>
    <row r="1568" spans="1:35" ht="15.75" customHeight="1">
      <c r="A1568" s="6" t="s">
        <v>3900</v>
      </c>
      <c r="D1568" s="7">
        <f t="shared" si="140"/>
        <v>0</v>
      </c>
      <c r="E1568" s="7">
        <v>0</v>
      </c>
      <c r="F1568" s="5">
        <v>0</v>
      </c>
      <c r="G1568" s="7">
        <v>0</v>
      </c>
      <c r="H1568" s="5">
        <v>0</v>
      </c>
      <c r="I1568" s="7">
        <v>0</v>
      </c>
      <c r="J1568" s="7">
        <v>0</v>
      </c>
      <c r="K1568" s="5">
        <v>0</v>
      </c>
      <c r="L1568" s="5">
        <v>0</v>
      </c>
      <c r="M1568" s="5">
        <v>59</v>
      </c>
      <c r="N1568" s="7">
        <f t="shared" si="141"/>
        <v>59</v>
      </c>
      <c r="O1568" s="7">
        <v>8036.0999999999995</v>
      </c>
      <c r="P1568" s="7">
        <v>0</v>
      </c>
      <c r="Q1568" s="5">
        <v>0</v>
      </c>
      <c r="S1568" s="7">
        <v>0</v>
      </c>
      <c r="T1568" s="12">
        <v>43357</v>
      </c>
      <c r="U1568" s="4">
        <v>1</v>
      </c>
      <c r="V1568" s="4">
        <v>9</v>
      </c>
      <c r="W1568" s="4">
        <v>9</v>
      </c>
      <c r="X1568" s="45">
        <f t="shared" si="142"/>
        <v>8036.0999999999995</v>
      </c>
      <c r="Y1568" s="14" t="s">
        <v>85</v>
      </c>
      <c r="Z1568" s="14" t="s">
        <v>3780</v>
      </c>
      <c r="AA1568" s="14">
        <f>IFERROR(VLOOKUP(A1568,'[2]UPDATE BILL 2018'!$B:$P,15,0),IFERROR(VLOOKUP(A1568,'[2]UPDATE BILL 2018'!$C:$P,14,0),IFERROR(VLOOKUP(A1568,'[2]UPDATE BILL 2018'!$D:$P,13,0),IFERROR(VLOOKUP(A1568,'[2]UPDATE BILL 2018'!$E:$P,12,0),IFERROR(VLOOKUP(A1568,'[2]UPDATE BILL 2018'!$F:$P,11,0),IFERROR(VLOOKUP(A1568,'[2]UPDATE BILL 2018'!$G:$P,10,0),IFERROR(VLOOKUP(A1568,'[2]UPDATE BILL 2018'!$H:$P,9,0),IFERROR(VLOOKUP(A1568,'[2]UPDATE BILL 2018'!$I:$P,8,0),VLOOKUP(A1568,'[2]UPDATE BILL 2018'!$B:$P,15,0)))))))))</f>
        <v>350810109234</v>
      </c>
      <c r="AB1568" s="44">
        <f>IFERROR(VLOOKUP(A1568,'[2]UPDATE BILL 2018'!$B:$T,19,0),IFERROR(VLOOKUP(A1568,'[2]UPDATE BILL 2018'!$C:$T,18,0),IFERROR(VLOOKUP(A1568,'[2]UPDATE BILL 2018'!$D:$T,17,0),IFERROR(VLOOKUP(A1568,'[2]UPDATE BILL 2018'!$E:$T,16,0),IFERROR(VLOOKUP(A1568,'[2]UPDATE BILL 2018'!$F:$T,15,0),IFERROR(VLOOKUP(A1568,'[2]UPDATE BILL 2018'!$G:$T,14,0),IFERROR(VLOOKUP(A1568,'[2]UPDATE BILL 2018'!$H:$T,13,0),IFERROR(VLOOKUP(A1568,'[2]UPDATE BILL 2018'!$I:$T,12,0),VLOOKUP(A1568,'[2]UPDATE BILL 2018'!$B:$T,19,0)))))))))</f>
        <v>43360</v>
      </c>
      <c r="AC1568" s="44" t="str">
        <f>IFERROR(VLOOKUP(A1568,'[2]UPDATE BILL 2018'!$B:$V,21,0),IFERROR(VLOOKUP(A1568,'[2]UPDATE BILL 2018'!$C:$V,20,0),IFERROR(VLOOKUP(A1568,'[2]UPDATE BILL 2018'!$D:$V,19,0),IFERROR(VLOOKUP(A1568,'[2]UPDATE BILL 2018'!$E:$V,18,0),IFERROR(VLOOKUP(A1568,'[2]UPDATE BILL 2018'!$F:$V,17,0),IFERROR(VLOOKUP(A1568,'[2]UPDATE BILL 2018'!$G:$V,16,0),IFERROR(VLOOKUP(A1568,'[2]UPDATE BILL 2018'!$H:$V,15,0),IFERROR(VLOOKUP(A1568,'[2]UPDATE BILL 2018'!$I:$V,14,0),VLOOKUP(A1568,'[2]UPDATE BILL 2018'!$B:$V,21,0)))))))))</f>
        <v>HANSE ENDURANCE 18014N</v>
      </c>
      <c r="AD1568" s="14" t="s">
        <v>52</v>
      </c>
      <c r="AE1568" s="24" t="s">
        <v>3911</v>
      </c>
      <c r="AF1568" s="25" t="str">
        <f t="shared" si="139"/>
        <v>VQ</v>
      </c>
      <c r="AG1568" t="e">
        <f t="shared" si="146"/>
        <v>#REF!</v>
      </c>
      <c r="AI1568" s="58"/>
    </row>
    <row r="1569" spans="1:35" ht="15.75" customHeight="1">
      <c r="A1569" s="6" t="s">
        <v>3901</v>
      </c>
      <c r="B1569" s="5">
        <v>178</v>
      </c>
      <c r="C1569" s="7">
        <v>15092.3</v>
      </c>
      <c r="D1569" s="7">
        <f t="shared" si="140"/>
        <v>0</v>
      </c>
      <c r="E1569" s="7">
        <v>0</v>
      </c>
      <c r="F1569" s="5">
        <v>0</v>
      </c>
      <c r="G1569" s="7">
        <v>0</v>
      </c>
      <c r="H1569" s="5">
        <v>0</v>
      </c>
      <c r="I1569" s="7">
        <v>0</v>
      </c>
      <c r="J1569" s="7">
        <v>0</v>
      </c>
      <c r="K1569" s="5">
        <v>0</v>
      </c>
      <c r="L1569" s="5">
        <v>0</v>
      </c>
      <c r="M1569" s="5">
        <v>100</v>
      </c>
      <c r="N1569" s="7">
        <f t="shared" si="141"/>
        <v>100</v>
      </c>
      <c r="O1569" s="7">
        <v>16880.7</v>
      </c>
      <c r="P1569" s="7">
        <v>0</v>
      </c>
      <c r="Q1569" s="5">
        <v>0</v>
      </c>
      <c r="R1569" s="5">
        <v>180</v>
      </c>
      <c r="S1569" s="7">
        <v>26244</v>
      </c>
      <c r="T1569" s="12">
        <v>43357</v>
      </c>
      <c r="U1569" s="4">
        <v>4</v>
      </c>
      <c r="V1569" s="4">
        <v>9</v>
      </c>
      <c r="W1569" s="4">
        <v>9</v>
      </c>
      <c r="X1569" s="45">
        <f t="shared" si="142"/>
        <v>58217</v>
      </c>
      <c r="Y1569" s="14" t="s">
        <v>54</v>
      </c>
      <c r="Z1569" s="14" t="s">
        <v>1281</v>
      </c>
      <c r="AA1569" s="14" t="str">
        <f>IFERROR(VLOOKUP(A1569,'[2]UPDATE BILL 2018'!$B:$P,15,0),IFERROR(VLOOKUP(A1569,'[2]UPDATE BILL 2018'!$C:$P,14,0),IFERROR(VLOOKUP(A1569,'[2]UPDATE BILL 2018'!$D:$P,13,0),IFERROR(VLOOKUP(A1569,'[2]UPDATE BILL 2018'!$E:$P,12,0),IFERROR(VLOOKUP(A1569,'[2]UPDATE BILL 2018'!$F:$P,11,0),IFERROR(VLOOKUP(A1569,'[2]UPDATE BILL 2018'!$G:$P,10,0),IFERROR(VLOOKUP(A1569,'[2]UPDATE BILL 2018'!$H:$P,9,0),IFERROR(VLOOKUP(A1569,'[2]UPDATE BILL 2018'!$I:$P,8,0),VLOOKUP(A1569,'[2]UPDATE BILL 2018'!$B:$P,15,0)))))))))</f>
        <v>SITWHPOS177712</v>
      </c>
      <c r="AB1569" s="44">
        <f>IFERROR(VLOOKUP(A1569,'[2]UPDATE BILL 2018'!$B:$T,19,0),IFERROR(VLOOKUP(A1569,'[2]UPDATE BILL 2018'!$C:$T,18,0),IFERROR(VLOOKUP(A1569,'[2]UPDATE BILL 2018'!$D:$T,17,0),IFERROR(VLOOKUP(A1569,'[2]UPDATE BILL 2018'!$E:$T,16,0),IFERROR(VLOOKUP(A1569,'[2]UPDATE BILL 2018'!$F:$T,15,0),IFERROR(VLOOKUP(A1569,'[2]UPDATE BILL 2018'!$G:$T,14,0),IFERROR(VLOOKUP(A1569,'[2]UPDATE BILL 2018'!$H:$T,13,0),IFERROR(VLOOKUP(A1569,'[2]UPDATE BILL 2018'!$I:$T,12,0),VLOOKUP(A1569,'[2]UPDATE BILL 2018'!$B:$T,19,0)))))))))</f>
        <v>43359</v>
      </c>
      <c r="AC1569" s="44" t="str">
        <f>IFERROR(VLOOKUP(A1569,'[2]UPDATE BILL 2018'!$B:$V,21,0),IFERROR(VLOOKUP(A1569,'[2]UPDATE BILL 2018'!$C:$V,20,0),IFERROR(VLOOKUP(A1569,'[2]UPDATE BILL 2018'!$D:$V,19,0),IFERROR(VLOOKUP(A1569,'[2]UPDATE BILL 2018'!$E:$V,18,0),IFERROR(VLOOKUP(A1569,'[2]UPDATE BILL 2018'!$F:$V,17,0),IFERROR(VLOOKUP(A1569,'[2]UPDATE BILL 2018'!$G:$V,16,0),IFERROR(VLOOKUP(A1569,'[2]UPDATE BILL 2018'!$H:$V,15,0),IFERROR(VLOOKUP(A1569,'[2]UPDATE BILL 2018'!$I:$V,14,0),VLOOKUP(A1569,'[2]UPDATE BILL 2018'!$B:$V,21,0)))))))))</f>
        <v>EPONYMA 1823N</v>
      </c>
      <c r="AD1569" s="14" t="s">
        <v>51</v>
      </c>
      <c r="AE1569" s="24" t="s">
        <v>3912</v>
      </c>
      <c r="AF1569" s="25" t="str">
        <f t="shared" si="139"/>
        <v>VS</v>
      </c>
      <c r="AG1569" t="e">
        <f t="shared" si="146"/>
        <v>#REF!</v>
      </c>
      <c r="AI1569" s="58"/>
    </row>
    <row r="1570" spans="1:35" ht="15.75" customHeight="1">
      <c r="A1570" s="6" t="s">
        <v>3902</v>
      </c>
      <c r="B1570" s="5">
        <v>262</v>
      </c>
      <c r="C1570" s="7">
        <v>34776.82</v>
      </c>
      <c r="D1570" s="7">
        <f t="shared" si="140"/>
        <v>0</v>
      </c>
      <c r="E1570" s="7">
        <v>0</v>
      </c>
      <c r="F1570" s="5">
        <v>0</v>
      </c>
      <c r="G1570" s="7">
        <v>0</v>
      </c>
      <c r="H1570" s="5">
        <v>433</v>
      </c>
      <c r="I1570" s="7">
        <v>34364.510000000009</v>
      </c>
      <c r="J1570" s="7">
        <v>0</v>
      </c>
      <c r="K1570" s="5">
        <v>0</v>
      </c>
      <c r="L1570" s="5">
        <v>0</v>
      </c>
      <c r="M1570" s="5">
        <v>0</v>
      </c>
      <c r="N1570" s="7">
        <f t="shared" si="141"/>
        <v>0</v>
      </c>
      <c r="O1570" s="7">
        <v>0</v>
      </c>
      <c r="P1570" s="7">
        <v>0</v>
      </c>
      <c r="Q1570" s="5">
        <v>0</v>
      </c>
      <c r="S1570" s="7">
        <v>0</v>
      </c>
      <c r="T1570" s="12">
        <v>43357</v>
      </c>
      <c r="U1570" s="4">
        <v>5</v>
      </c>
      <c r="V1570" s="4">
        <v>9</v>
      </c>
      <c r="W1570" s="4">
        <v>9</v>
      </c>
      <c r="X1570" s="45">
        <f t="shared" si="142"/>
        <v>69141.330000000016</v>
      </c>
      <c r="Y1570" s="14" t="s">
        <v>56</v>
      </c>
      <c r="Z1570" s="14" t="s">
        <v>1281</v>
      </c>
      <c r="AA1570" s="14" t="str">
        <f>IFERROR(VLOOKUP(A1570,'[2]UPDATE BILL 2018'!$B:$P,15,0),IFERROR(VLOOKUP(A1570,'[2]UPDATE BILL 2018'!$C:$P,14,0),IFERROR(VLOOKUP(A1570,'[2]UPDATE BILL 2018'!$D:$P,13,0),IFERROR(VLOOKUP(A1570,'[2]UPDATE BILL 2018'!$E:$P,12,0),IFERROR(VLOOKUP(A1570,'[2]UPDATE BILL 2018'!$F:$P,11,0),IFERROR(VLOOKUP(A1570,'[2]UPDATE BILL 2018'!$G:$P,10,0),IFERROR(VLOOKUP(A1570,'[2]UPDATE BILL 2018'!$H:$P,9,0),IFERROR(VLOOKUP(A1570,'[2]UPDATE BILL 2018'!$I:$P,8,0),VLOOKUP(A1570,'[2]UPDATE BILL 2018'!$B:$P,15,0)))))))))</f>
        <v>1008X05222</v>
      </c>
      <c r="AB1570" s="44">
        <f>IFERROR(VLOOKUP(A1570,'[2]UPDATE BILL 2018'!$B:$T,19,0),IFERROR(VLOOKUP(A1570,'[2]UPDATE BILL 2018'!$C:$T,18,0),IFERROR(VLOOKUP(A1570,'[2]UPDATE BILL 2018'!$D:$T,17,0),IFERROR(VLOOKUP(A1570,'[2]UPDATE BILL 2018'!$E:$T,16,0),IFERROR(VLOOKUP(A1570,'[2]UPDATE BILL 2018'!$F:$T,15,0),IFERROR(VLOOKUP(A1570,'[2]UPDATE BILL 2018'!$G:$T,14,0),IFERROR(VLOOKUP(A1570,'[2]UPDATE BILL 2018'!$H:$T,13,0),IFERROR(VLOOKUP(A1570,'[2]UPDATE BILL 2018'!$I:$T,12,0),VLOOKUP(A1570,'[2]UPDATE BILL 2018'!$B:$T,19,0)))))))))</f>
        <v>43367</v>
      </c>
      <c r="AC1570" s="44" t="str">
        <f>IFERROR(VLOOKUP(A1570,'[2]UPDATE BILL 2018'!$B:$V,21,0),IFERROR(VLOOKUP(A1570,'[2]UPDATE BILL 2018'!$C:$V,20,0),IFERROR(VLOOKUP(A1570,'[2]UPDATE BILL 2018'!$D:$V,19,0),IFERROR(VLOOKUP(A1570,'[2]UPDATE BILL 2018'!$E:$V,18,0),IFERROR(VLOOKUP(A1570,'[2]UPDATE BILL 2018'!$F:$V,17,0),IFERROR(VLOOKUP(A1570,'[2]UPDATE BILL 2018'!$G:$V,16,0),IFERROR(VLOOKUP(A1570,'[2]UPDATE BILL 2018'!$H:$V,15,0),IFERROR(VLOOKUP(A1570,'[2]UPDATE BILL 2018'!$I:$V,14,0),VLOOKUP(A1570,'[2]UPDATE BILL 2018'!$B:$V,21,0)))))))))</f>
        <v>MOONCHILD N033</v>
      </c>
      <c r="AD1570" s="14" t="s">
        <v>51</v>
      </c>
      <c r="AE1570" s="24" t="s">
        <v>3913</v>
      </c>
      <c r="AF1570" s="25" t="str">
        <f t="shared" si="139"/>
        <v>VS</v>
      </c>
      <c r="AG1570" t="e">
        <f t="shared" si="146"/>
        <v>#REF!</v>
      </c>
      <c r="AI1570" s="58" t="s">
        <v>3902</v>
      </c>
    </row>
    <row r="1571" spans="1:35" ht="15.75" customHeight="1">
      <c r="A1571" s="6" t="s">
        <v>3903</v>
      </c>
      <c r="D1571" s="7">
        <f t="shared" si="140"/>
        <v>0</v>
      </c>
      <c r="E1571" s="7">
        <v>0</v>
      </c>
      <c r="F1571" s="5">
        <v>0</v>
      </c>
      <c r="G1571" s="7">
        <v>0</v>
      </c>
      <c r="H1571" s="5">
        <v>190</v>
      </c>
      <c r="I1571" s="7">
        <v>21413</v>
      </c>
      <c r="J1571" s="7">
        <v>0</v>
      </c>
      <c r="K1571" s="5">
        <v>0</v>
      </c>
      <c r="L1571" s="5">
        <v>0</v>
      </c>
      <c r="M1571" s="5">
        <v>0</v>
      </c>
      <c r="N1571" s="7">
        <f t="shared" si="141"/>
        <v>0</v>
      </c>
      <c r="O1571" s="7">
        <v>0</v>
      </c>
      <c r="P1571" s="7">
        <v>0</v>
      </c>
      <c r="Q1571" s="5">
        <v>0</v>
      </c>
      <c r="S1571" s="7">
        <v>0</v>
      </c>
      <c r="T1571" s="12">
        <v>43357</v>
      </c>
      <c r="U1571" s="4">
        <v>2</v>
      </c>
      <c r="V1571" s="4">
        <v>9</v>
      </c>
      <c r="W1571" s="4">
        <v>9</v>
      </c>
      <c r="X1571" s="45">
        <f t="shared" si="142"/>
        <v>21413</v>
      </c>
      <c r="Y1571" s="14" t="s">
        <v>56</v>
      </c>
      <c r="Z1571" s="14" t="s">
        <v>3780</v>
      </c>
      <c r="AA1571" s="14">
        <f>IFERROR(VLOOKUP(A1571,'[2]UPDATE BILL 2018'!$B:$P,15,0),IFERROR(VLOOKUP(A1571,'[2]UPDATE BILL 2018'!$C:$P,14,0),IFERROR(VLOOKUP(A1571,'[2]UPDATE BILL 2018'!$D:$P,13,0),IFERROR(VLOOKUP(A1571,'[2]UPDATE BILL 2018'!$E:$P,12,0),IFERROR(VLOOKUP(A1571,'[2]UPDATE BILL 2018'!$F:$P,11,0),IFERROR(VLOOKUP(A1571,'[2]UPDATE BILL 2018'!$G:$P,10,0),IFERROR(VLOOKUP(A1571,'[2]UPDATE BILL 2018'!$H:$P,9,0),IFERROR(VLOOKUP(A1571,'[2]UPDATE BILL 2018'!$I:$P,8,0),VLOOKUP(A1571,'[2]UPDATE BILL 2018'!$B:$P,15,0)))))))))</f>
        <v>0</v>
      </c>
      <c r="AB1571" s="44">
        <f>IFERROR(VLOOKUP(A1571,'[2]UPDATE BILL 2018'!$B:$T,19,0),IFERROR(VLOOKUP(A1571,'[2]UPDATE BILL 2018'!$C:$T,18,0),IFERROR(VLOOKUP(A1571,'[2]UPDATE BILL 2018'!$D:$T,17,0),IFERROR(VLOOKUP(A1571,'[2]UPDATE BILL 2018'!$E:$T,16,0),IFERROR(VLOOKUP(A1571,'[2]UPDATE BILL 2018'!$F:$T,15,0),IFERROR(VLOOKUP(A1571,'[2]UPDATE BILL 2018'!$G:$T,14,0),IFERROR(VLOOKUP(A1571,'[2]UPDATE BILL 2018'!$H:$T,13,0),IFERROR(VLOOKUP(A1571,'[2]UPDATE BILL 2018'!$I:$T,12,0),VLOOKUP(A1571,'[2]UPDATE BILL 2018'!$B:$T,19,0)))))))))</f>
        <v>0</v>
      </c>
      <c r="AC1571" s="44">
        <f>IFERROR(VLOOKUP(A1571,'[2]UPDATE BILL 2018'!$B:$V,21,0),IFERROR(VLOOKUP(A1571,'[2]UPDATE BILL 2018'!$C:$V,20,0),IFERROR(VLOOKUP(A1571,'[2]UPDATE BILL 2018'!$D:$V,19,0),IFERROR(VLOOKUP(A1571,'[2]UPDATE BILL 2018'!$E:$V,18,0),IFERROR(VLOOKUP(A1571,'[2]UPDATE BILL 2018'!$F:$V,17,0),IFERROR(VLOOKUP(A1571,'[2]UPDATE BILL 2018'!$G:$V,16,0),IFERROR(VLOOKUP(A1571,'[2]UPDATE BILL 2018'!$H:$V,15,0),IFERROR(VLOOKUP(A1571,'[2]UPDATE BILL 2018'!$I:$V,14,0),VLOOKUP(A1571,'[2]UPDATE BILL 2018'!$B:$V,21,0)))))))))</f>
        <v>0</v>
      </c>
      <c r="AD1571" s="14" t="s">
        <v>51</v>
      </c>
      <c r="AE1571" s="24" t="s">
        <v>3914</v>
      </c>
      <c r="AF1571" s="25" t="str">
        <f t="shared" ref="AF1571:AF1625" si="147">+LEFT(AE1571,2)</f>
        <v>VS</v>
      </c>
      <c r="AG1571" t="e">
        <f t="shared" si="146"/>
        <v>#REF!</v>
      </c>
      <c r="AI1571" s="58"/>
    </row>
    <row r="1572" spans="1:35" ht="15.75" customHeight="1">
      <c r="A1572" s="6" t="s">
        <v>3904</v>
      </c>
      <c r="B1572" s="5">
        <v>382</v>
      </c>
      <c r="C1572" s="7">
        <v>29814.120000000003</v>
      </c>
      <c r="D1572" s="7">
        <f t="shared" si="140"/>
        <v>0</v>
      </c>
      <c r="E1572" s="7">
        <v>0</v>
      </c>
      <c r="F1572" s="5">
        <v>0</v>
      </c>
      <c r="G1572" s="7">
        <v>0</v>
      </c>
      <c r="H1572" s="5">
        <v>0</v>
      </c>
      <c r="I1572" s="7">
        <v>0</v>
      </c>
      <c r="J1572" s="7">
        <v>0</v>
      </c>
      <c r="K1572" s="5">
        <v>0</v>
      </c>
      <c r="L1572" s="5">
        <v>0</v>
      </c>
      <c r="M1572" s="5">
        <v>41</v>
      </c>
      <c r="N1572" s="7">
        <f t="shared" si="141"/>
        <v>41</v>
      </c>
      <c r="O1572" s="7">
        <v>8601.9</v>
      </c>
      <c r="P1572" s="7">
        <v>0</v>
      </c>
      <c r="Q1572" s="5">
        <v>0</v>
      </c>
      <c r="S1572" s="7">
        <v>0</v>
      </c>
      <c r="T1572" s="12">
        <v>43357</v>
      </c>
      <c r="U1572" s="4">
        <v>3</v>
      </c>
      <c r="V1572" s="4">
        <v>9</v>
      </c>
      <c r="W1572" s="4">
        <v>9</v>
      </c>
      <c r="X1572" s="45">
        <f t="shared" si="142"/>
        <v>38416.020000000004</v>
      </c>
      <c r="Y1572" s="14" t="s">
        <v>54</v>
      </c>
      <c r="Z1572" s="14" t="s">
        <v>2525</v>
      </c>
      <c r="AA1572" s="14" t="str">
        <f>IFERROR(VLOOKUP(A1572,'[2]UPDATE BILL 2018'!$B:$P,15,0),IFERROR(VLOOKUP(A1572,'[2]UPDATE BILL 2018'!$C:$P,14,0),IFERROR(VLOOKUP(A1572,'[2]UPDATE BILL 2018'!$D:$P,13,0),IFERROR(VLOOKUP(A1572,'[2]UPDATE BILL 2018'!$E:$P,12,0),IFERROR(VLOOKUP(A1572,'[2]UPDATE BILL 2018'!$F:$P,11,0),IFERROR(VLOOKUP(A1572,'[2]UPDATE BILL 2018'!$G:$P,10,0),IFERROR(VLOOKUP(A1572,'[2]UPDATE BILL 2018'!$H:$P,9,0),IFERROR(VLOOKUP(A1572,'[2]UPDATE BILL 2018'!$I:$P,8,0),VLOOKUP(A1572,'[2]UPDATE BILL 2018'!$B:$P,15,0)))))))))</f>
        <v>SITWHPKW177721</v>
      </c>
      <c r="AB1572" s="44">
        <f>IFERROR(VLOOKUP(A1572,'[2]UPDATE BILL 2018'!$B:$T,19,0),IFERROR(VLOOKUP(A1572,'[2]UPDATE BILL 2018'!$C:$T,18,0),IFERROR(VLOOKUP(A1572,'[2]UPDATE BILL 2018'!$D:$T,17,0),IFERROR(VLOOKUP(A1572,'[2]UPDATE BILL 2018'!$E:$T,16,0),IFERROR(VLOOKUP(A1572,'[2]UPDATE BILL 2018'!$F:$T,15,0),IFERROR(VLOOKUP(A1572,'[2]UPDATE BILL 2018'!$G:$T,14,0),IFERROR(VLOOKUP(A1572,'[2]UPDATE BILL 2018'!$H:$T,13,0),IFERROR(VLOOKUP(A1572,'[2]UPDATE BILL 2018'!$I:$T,12,0),VLOOKUP(A1572,'[2]UPDATE BILL 2018'!$B:$T,19,0)))))))))</f>
        <v>43363</v>
      </c>
      <c r="AC1572" s="44" t="str">
        <f>IFERROR(VLOOKUP(A1572,'[2]UPDATE BILL 2018'!$B:$V,21,0),IFERROR(VLOOKUP(A1572,'[2]UPDATE BILL 2018'!$C:$V,20,0),IFERROR(VLOOKUP(A1572,'[2]UPDATE BILL 2018'!$D:$V,19,0),IFERROR(VLOOKUP(A1572,'[2]UPDATE BILL 2018'!$E:$V,18,0),IFERROR(VLOOKUP(A1572,'[2]UPDATE BILL 2018'!$F:$V,17,0),IFERROR(VLOOKUP(A1572,'[2]UPDATE BILL 2018'!$G:$V,16,0),IFERROR(VLOOKUP(A1572,'[2]UPDATE BILL 2018'!$H:$V,15,0),IFERROR(VLOOKUP(A1572,'[2]UPDATE BILL 2018'!$I:$V,14,0),VLOOKUP(A1572,'[2]UPDATE BILL 2018'!$B:$V,21,0)))))))))</f>
        <v>RESURGENCE 1823N</v>
      </c>
      <c r="AD1572" s="14" t="s">
        <v>50</v>
      </c>
      <c r="AE1572" s="24" t="s">
        <v>3915</v>
      </c>
      <c r="AF1572" s="25" t="str">
        <f t="shared" si="147"/>
        <v>VW</v>
      </c>
      <c r="AG1572" t="e">
        <f t="shared" si="146"/>
        <v>#REF!</v>
      </c>
      <c r="AI1572" s="58"/>
    </row>
    <row r="1573" spans="1:35" ht="15.75" customHeight="1">
      <c r="A1573" s="6" t="s">
        <v>3905</v>
      </c>
      <c r="B1573" s="5">
        <v>229</v>
      </c>
      <c r="C1573" s="7">
        <v>23230.600000000002</v>
      </c>
      <c r="D1573" s="7">
        <f t="shared" si="140"/>
        <v>0</v>
      </c>
      <c r="E1573" s="7">
        <v>0</v>
      </c>
      <c r="F1573" s="5">
        <v>0</v>
      </c>
      <c r="G1573" s="7">
        <v>0</v>
      </c>
      <c r="H1573" s="5">
        <v>0</v>
      </c>
      <c r="I1573" s="7">
        <v>0</v>
      </c>
      <c r="J1573" s="7">
        <v>0</v>
      </c>
      <c r="K1573" s="5">
        <v>0</v>
      </c>
      <c r="L1573" s="5">
        <v>0</v>
      </c>
      <c r="M1573" s="5">
        <v>139</v>
      </c>
      <c r="N1573" s="7">
        <f t="shared" si="141"/>
        <v>139</v>
      </c>
      <c r="O1573" s="7">
        <v>25505.699999999997</v>
      </c>
      <c r="P1573" s="7">
        <v>0</v>
      </c>
      <c r="Q1573" s="5">
        <v>0</v>
      </c>
      <c r="R1573" s="5">
        <v>524</v>
      </c>
      <c r="S1573" s="7">
        <v>70160.800000000003</v>
      </c>
      <c r="T1573" s="12">
        <v>43357</v>
      </c>
      <c r="U1573" s="4">
        <v>7</v>
      </c>
      <c r="V1573" s="4">
        <v>9</v>
      </c>
      <c r="W1573" s="4">
        <v>9</v>
      </c>
      <c r="X1573" s="45">
        <f t="shared" si="142"/>
        <v>118897.1</v>
      </c>
      <c r="Y1573" s="14" t="s">
        <v>54</v>
      </c>
      <c r="Z1573" s="14" t="s">
        <v>59</v>
      </c>
      <c r="AA1573" s="14" t="str">
        <f>IFERROR(VLOOKUP(A1573,'[2]UPDATE BILL 2018'!$B:$P,15,0),IFERROR(VLOOKUP(A1573,'[2]UPDATE BILL 2018'!$C:$P,14,0),IFERROR(VLOOKUP(A1573,'[2]UPDATE BILL 2018'!$D:$P,13,0),IFERROR(VLOOKUP(A1573,'[2]UPDATE BILL 2018'!$E:$P,12,0),IFERROR(VLOOKUP(A1573,'[2]UPDATE BILL 2018'!$F:$P,11,0),IFERROR(VLOOKUP(A1573,'[2]UPDATE BILL 2018'!$G:$P,10,0),IFERROR(VLOOKUP(A1573,'[2]UPDATE BILL 2018'!$H:$P,9,0),IFERROR(VLOOKUP(A1573,'[2]UPDATE BILL 2018'!$I:$P,8,0),VLOOKUP(A1573,'[2]UPDATE BILL 2018'!$B:$P,15,0)))))))))</f>
        <v>SITWHPKW177723</v>
      </c>
      <c r="AB1573" s="44">
        <f>IFERROR(VLOOKUP(A1573,'[2]UPDATE BILL 2018'!$B:$T,19,0),IFERROR(VLOOKUP(A1573,'[2]UPDATE BILL 2018'!$C:$T,18,0),IFERROR(VLOOKUP(A1573,'[2]UPDATE BILL 2018'!$D:$T,17,0),IFERROR(VLOOKUP(A1573,'[2]UPDATE BILL 2018'!$E:$T,16,0),IFERROR(VLOOKUP(A1573,'[2]UPDATE BILL 2018'!$F:$T,15,0),IFERROR(VLOOKUP(A1573,'[2]UPDATE BILL 2018'!$G:$T,14,0),IFERROR(VLOOKUP(A1573,'[2]UPDATE BILL 2018'!$H:$T,13,0),IFERROR(VLOOKUP(A1573,'[2]UPDATE BILL 2018'!$I:$T,12,0),VLOOKUP(A1573,'[2]UPDATE BILL 2018'!$B:$T,19,0)))))))))</f>
        <v>43365</v>
      </c>
      <c r="AC1573" s="44" t="str">
        <f>IFERROR(VLOOKUP(A1573,'[2]UPDATE BILL 2018'!$B:$V,21,0),IFERROR(VLOOKUP(A1573,'[2]UPDATE BILL 2018'!$C:$V,20,0),IFERROR(VLOOKUP(A1573,'[2]UPDATE BILL 2018'!$D:$V,19,0),IFERROR(VLOOKUP(A1573,'[2]UPDATE BILL 2018'!$E:$V,18,0),IFERROR(VLOOKUP(A1573,'[2]UPDATE BILL 2018'!$F:$V,17,0),IFERROR(VLOOKUP(A1573,'[2]UPDATE BILL 2018'!$G:$V,16,0),IFERROR(VLOOKUP(A1573,'[2]UPDATE BILL 2018'!$H:$V,15,0),IFERROR(VLOOKUP(A1573,'[2]UPDATE BILL 2018'!$I:$V,14,0),VLOOKUP(A1573,'[2]UPDATE BILL 2018'!$B:$V,21,0)))))))))</f>
        <v>SITC TIANJIN 1825N</v>
      </c>
      <c r="AD1573" s="14" t="s">
        <v>50</v>
      </c>
      <c r="AE1573" s="24" t="s">
        <v>3916</v>
      </c>
      <c r="AF1573" s="25" t="str">
        <f t="shared" si="147"/>
        <v>VW</v>
      </c>
      <c r="AG1573" t="e">
        <f t="shared" si="146"/>
        <v>#REF!</v>
      </c>
      <c r="AI1573" s="58" t="s">
        <v>3905</v>
      </c>
    </row>
    <row r="1574" spans="1:35" ht="15.75" customHeight="1">
      <c r="A1574" s="6" t="s">
        <v>3917</v>
      </c>
      <c r="D1574" s="7">
        <f t="shared" si="140"/>
        <v>0</v>
      </c>
      <c r="E1574" s="7">
        <v>0</v>
      </c>
      <c r="F1574" s="5">
        <v>0</v>
      </c>
      <c r="G1574" s="7">
        <v>0</v>
      </c>
      <c r="H1574" s="5">
        <v>0</v>
      </c>
      <c r="I1574" s="7">
        <v>0</v>
      </c>
      <c r="J1574" s="7">
        <v>0</v>
      </c>
      <c r="K1574" s="5">
        <v>0</v>
      </c>
      <c r="L1574" s="5">
        <v>0</v>
      </c>
      <c r="M1574" s="5">
        <v>59</v>
      </c>
      <c r="N1574" s="7">
        <f t="shared" si="141"/>
        <v>59</v>
      </c>
      <c r="O1574" s="7">
        <v>9761.6</v>
      </c>
      <c r="P1574" s="7">
        <v>0</v>
      </c>
      <c r="Q1574" s="5">
        <v>0</v>
      </c>
      <c r="S1574" s="7">
        <v>0</v>
      </c>
      <c r="T1574" s="12">
        <v>43358</v>
      </c>
      <c r="U1574" s="4">
        <v>1</v>
      </c>
      <c r="V1574" s="4">
        <v>9</v>
      </c>
      <c r="W1574" s="4">
        <v>9</v>
      </c>
      <c r="X1574" s="45">
        <f t="shared" si="142"/>
        <v>9761.6</v>
      </c>
      <c r="Y1574" s="14" t="s">
        <v>1633</v>
      </c>
      <c r="Z1574" s="14" t="s">
        <v>3780</v>
      </c>
      <c r="AA1574" s="14" t="str">
        <f>IFERROR(VLOOKUP(A1574,'[2]UPDATE BILL 2018'!$B:$P,15,0),IFERROR(VLOOKUP(A1574,'[2]UPDATE BILL 2018'!$C:$P,14,0),IFERROR(VLOOKUP(A1574,'[2]UPDATE BILL 2018'!$D:$P,13,0),IFERROR(VLOOKUP(A1574,'[2]UPDATE BILL 2018'!$E:$P,12,0),IFERROR(VLOOKUP(A1574,'[2]UPDATE BILL 2018'!$F:$P,11,0),IFERROR(VLOOKUP(A1574,'[2]UPDATE BILL 2018'!$G:$P,10,0),IFERROR(VLOOKUP(A1574,'[2]UPDATE BILL 2018'!$H:$P,9,0),IFERROR(VLOOKUP(A1574,'[2]UPDATE BILL 2018'!$I:$P,8,0),VLOOKUP(A1574,'[2]UPDATE BILL 2018'!$B:$P,15,0)))))))))</f>
        <v>KMTCHPH0593195</v>
      </c>
      <c r="AB1574" s="44">
        <f>IFERROR(VLOOKUP(A1574,'[2]UPDATE BILL 2018'!$B:$T,19,0),IFERROR(VLOOKUP(A1574,'[2]UPDATE BILL 2018'!$C:$T,18,0),IFERROR(VLOOKUP(A1574,'[2]UPDATE BILL 2018'!$D:$T,17,0),IFERROR(VLOOKUP(A1574,'[2]UPDATE BILL 2018'!$E:$T,16,0),IFERROR(VLOOKUP(A1574,'[2]UPDATE BILL 2018'!$F:$T,15,0),IFERROR(VLOOKUP(A1574,'[2]UPDATE BILL 2018'!$G:$T,14,0),IFERROR(VLOOKUP(A1574,'[2]UPDATE BILL 2018'!$H:$T,13,0),IFERROR(VLOOKUP(A1574,'[2]UPDATE BILL 2018'!$I:$T,12,0),VLOOKUP(A1574,'[2]UPDATE BILL 2018'!$B:$T,19,0)))))))))</f>
        <v>43367</v>
      </c>
      <c r="AC1574" s="44" t="str">
        <f>IFERROR(VLOOKUP(A1574,'[2]UPDATE BILL 2018'!$B:$V,21,0),IFERROR(VLOOKUP(A1574,'[2]UPDATE BILL 2018'!$C:$V,20,0),IFERROR(VLOOKUP(A1574,'[2]UPDATE BILL 2018'!$D:$V,19,0),IFERROR(VLOOKUP(A1574,'[2]UPDATE BILL 2018'!$E:$V,18,0),IFERROR(VLOOKUP(A1574,'[2]UPDATE BILL 2018'!$F:$V,17,0),IFERROR(VLOOKUP(A1574,'[2]UPDATE BILL 2018'!$G:$V,16,0),IFERROR(VLOOKUP(A1574,'[2]UPDATE BILL 2018'!$H:$V,15,0),IFERROR(VLOOKUP(A1574,'[2]UPDATE BILL 2018'!$I:$V,14,0),VLOOKUP(A1574,'[2]UPDATE BILL 2018'!$B:$V,21,0)))))))))</f>
        <v>SUNNY IRIS 1825N</v>
      </c>
      <c r="AD1574" s="14" t="s">
        <v>70</v>
      </c>
      <c r="AE1574" s="24" t="s">
        <v>3928</v>
      </c>
      <c r="AF1574" s="25" t="str">
        <f t="shared" si="147"/>
        <v>VH</v>
      </c>
      <c r="AG1574" t="e">
        <f t="shared" si="146"/>
        <v>#REF!</v>
      </c>
      <c r="AI1574" s="58" t="s">
        <v>3917</v>
      </c>
    </row>
    <row r="1575" spans="1:35" ht="15.75" customHeight="1">
      <c r="A1575" s="6" t="s">
        <v>3918</v>
      </c>
      <c r="B1575" s="5">
        <v>124</v>
      </c>
      <c r="C1575" s="7">
        <v>11377.98</v>
      </c>
      <c r="D1575" s="7">
        <f t="shared" si="140"/>
        <v>0</v>
      </c>
      <c r="E1575" s="7">
        <v>0</v>
      </c>
      <c r="F1575" s="5">
        <v>0</v>
      </c>
      <c r="G1575" s="7">
        <v>0</v>
      </c>
      <c r="H1575" s="5">
        <v>181</v>
      </c>
      <c r="I1575" s="7">
        <v>16154.98</v>
      </c>
      <c r="J1575" s="7">
        <v>0</v>
      </c>
      <c r="K1575" s="5">
        <v>0</v>
      </c>
      <c r="L1575" s="5">
        <v>0</v>
      </c>
      <c r="M1575" s="5">
        <v>3</v>
      </c>
      <c r="N1575" s="7">
        <f t="shared" si="141"/>
        <v>3</v>
      </c>
      <c r="O1575" s="7">
        <v>464.09999999999997</v>
      </c>
      <c r="P1575" s="7">
        <v>0</v>
      </c>
      <c r="Q1575" s="5">
        <v>0</v>
      </c>
      <c r="S1575" s="7">
        <v>0</v>
      </c>
      <c r="T1575" s="12">
        <v>43358</v>
      </c>
      <c r="U1575" s="4">
        <v>2</v>
      </c>
      <c r="V1575" s="4">
        <v>9</v>
      </c>
      <c r="W1575" s="4">
        <v>9</v>
      </c>
      <c r="X1575" s="45">
        <f t="shared" si="142"/>
        <v>27997.059999999998</v>
      </c>
      <c r="Y1575" s="14" t="s">
        <v>1633</v>
      </c>
      <c r="Z1575" s="14" t="s">
        <v>1492</v>
      </c>
      <c r="AA1575" s="14" t="str">
        <f>IFERROR(VLOOKUP(A1575,'[2]UPDATE BILL 2018'!$B:$P,15,0),IFERROR(VLOOKUP(A1575,'[2]UPDATE BILL 2018'!$C:$P,14,0),IFERROR(VLOOKUP(A1575,'[2]UPDATE BILL 2018'!$D:$P,13,0),IFERROR(VLOOKUP(A1575,'[2]UPDATE BILL 2018'!$E:$P,12,0),IFERROR(VLOOKUP(A1575,'[2]UPDATE BILL 2018'!$F:$P,11,0),IFERROR(VLOOKUP(A1575,'[2]UPDATE BILL 2018'!$G:$P,10,0),IFERROR(VLOOKUP(A1575,'[2]UPDATE BILL 2018'!$H:$P,9,0),IFERROR(VLOOKUP(A1575,'[2]UPDATE BILL 2018'!$I:$P,8,0),VLOOKUP(A1575,'[2]UPDATE BILL 2018'!$B:$P,15,0)))))))))</f>
        <v>KMTCHPH0584970</v>
      </c>
      <c r="AB1575" s="44">
        <f>IFERROR(VLOOKUP(A1575,'[2]UPDATE BILL 2018'!$B:$T,19,0),IFERROR(VLOOKUP(A1575,'[2]UPDATE BILL 2018'!$C:$T,18,0),IFERROR(VLOOKUP(A1575,'[2]UPDATE BILL 2018'!$D:$T,17,0),IFERROR(VLOOKUP(A1575,'[2]UPDATE BILL 2018'!$E:$T,16,0),IFERROR(VLOOKUP(A1575,'[2]UPDATE BILL 2018'!$F:$T,15,0),IFERROR(VLOOKUP(A1575,'[2]UPDATE BILL 2018'!$G:$T,14,0),IFERROR(VLOOKUP(A1575,'[2]UPDATE BILL 2018'!$H:$T,13,0),IFERROR(VLOOKUP(A1575,'[2]UPDATE BILL 2018'!$I:$T,12,0),VLOOKUP(A1575,'[2]UPDATE BILL 2018'!$B:$T,19,0)))))))))</f>
        <v>43364</v>
      </c>
      <c r="AC1575" s="44" t="str">
        <f>IFERROR(VLOOKUP(A1575,'[2]UPDATE BILL 2018'!$B:$V,21,0),IFERROR(VLOOKUP(A1575,'[2]UPDATE BILL 2018'!$C:$V,20,0),IFERROR(VLOOKUP(A1575,'[2]UPDATE BILL 2018'!$D:$V,19,0),IFERROR(VLOOKUP(A1575,'[2]UPDATE BILL 2018'!$E:$V,18,0),IFERROR(VLOOKUP(A1575,'[2]UPDATE BILL 2018'!$F:$V,17,0),IFERROR(VLOOKUP(A1575,'[2]UPDATE BILL 2018'!$G:$V,16,0),IFERROR(VLOOKUP(A1575,'[2]UPDATE BILL 2018'!$H:$V,15,0),IFERROR(VLOOKUP(A1575,'[2]UPDATE BILL 2018'!$I:$V,14,0),VLOOKUP(A1575,'[2]UPDATE BILL 2018'!$B:$V,21,0)))))))))</f>
        <v>STARSHIP AQUILA 1815N</v>
      </c>
      <c r="AD1575" s="14" t="s">
        <v>70</v>
      </c>
      <c r="AE1575" s="24" t="s">
        <v>3929</v>
      </c>
      <c r="AF1575" s="25" t="str">
        <f t="shared" si="147"/>
        <v>VH</v>
      </c>
      <c r="AG1575" t="e">
        <f t="shared" si="146"/>
        <v>#REF!</v>
      </c>
      <c r="AI1575" s="58"/>
    </row>
    <row r="1576" spans="1:35" ht="15.75" customHeight="1">
      <c r="A1576" s="6" t="s">
        <v>3919</v>
      </c>
      <c r="D1576" s="7">
        <f t="shared" si="140"/>
        <v>0</v>
      </c>
      <c r="E1576" s="7">
        <v>0</v>
      </c>
      <c r="F1576" s="5">
        <v>0</v>
      </c>
      <c r="G1576" s="7">
        <v>0</v>
      </c>
      <c r="H1576" s="5">
        <v>448</v>
      </c>
      <c r="I1576" s="7">
        <v>33139.120000000003</v>
      </c>
      <c r="J1576" s="7">
        <v>0</v>
      </c>
      <c r="K1576" s="5">
        <v>0</v>
      </c>
      <c r="L1576" s="5">
        <v>0</v>
      </c>
      <c r="M1576" s="5">
        <v>0</v>
      </c>
      <c r="N1576" s="7">
        <f t="shared" si="141"/>
        <v>0</v>
      </c>
      <c r="O1576" s="7">
        <v>0</v>
      </c>
      <c r="P1576" s="7">
        <v>0</v>
      </c>
      <c r="Q1576" s="5">
        <v>0</v>
      </c>
      <c r="S1576" s="7">
        <v>0</v>
      </c>
      <c r="T1576" s="12">
        <v>43358</v>
      </c>
      <c r="U1576" s="4">
        <v>2</v>
      </c>
      <c r="V1576" s="4">
        <v>9</v>
      </c>
      <c r="W1576" s="4">
        <v>9</v>
      </c>
      <c r="X1576" s="45">
        <f t="shared" si="142"/>
        <v>33139.120000000003</v>
      </c>
      <c r="Y1576" s="14" t="s">
        <v>85</v>
      </c>
      <c r="Z1576" s="14" t="s">
        <v>1637</v>
      </c>
      <c r="AA1576" s="14">
        <f>IFERROR(VLOOKUP(A1576,'[2]UPDATE BILL 2018'!$B:$P,15,0),IFERROR(VLOOKUP(A1576,'[2]UPDATE BILL 2018'!$C:$P,14,0),IFERROR(VLOOKUP(A1576,'[2]UPDATE BILL 2018'!$D:$P,13,0),IFERROR(VLOOKUP(A1576,'[2]UPDATE BILL 2018'!$E:$P,12,0),IFERROR(VLOOKUP(A1576,'[2]UPDATE BILL 2018'!$F:$P,11,0),IFERROR(VLOOKUP(A1576,'[2]UPDATE BILL 2018'!$G:$P,10,0),IFERROR(VLOOKUP(A1576,'[2]UPDATE BILL 2018'!$H:$P,9,0),IFERROR(VLOOKUP(A1576,'[2]UPDATE BILL 2018'!$I:$P,8,0),VLOOKUP(A1576,'[2]UPDATE BILL 2018'!$B:$P,15,0)))))))))</f>
        <v>350810113293</v>
      </c>
      <c r="AB1576" s="44">
        <f>IFERROR(VLOOKUP(A1576,'[2]UPDATE BILL 2018'!$B:$T,19,0),IFERROR(VLOOKUP(A1576,'[2]UPDATE BILL 2018'!$C:$T,18,0),IFERROR(VLOOKUP(A1576,'[2]UPDATE BILL 2018'!$D:$T,17,0),IFERROR(VLOOKUP(A1576,'[2]UPDATE BILL 2018'!$E:$T,16,0),IFERROR(VLOOKUP(A1576,'[2]UPDATE BILL 2018'!$F:$T,15,0),IFERROR(VLOOKUP(A1576,'[2]UPDATE BILL 2018'!$G:$T,14,0),IFERROR(VLOOKUP(A1576,'[2]UPDATE BILL 2018'!$H:$T,13,0),IFERROR(VLOOKUP(A1576,'[2]UPDATE BILL 2018'!$I:$T,12,0),VLOOKUP(A1576,'[2]UPDATE BILL 2018'!$B:$T,19,0)))))))))</f>
        <v>43365</v>
      </c>
      <c r="AC1576" s="44" t="str">
        <f>IFERROR(VLOOKUP(A1576,'[2]UPDATE BILL 2018'!$B:$V,21,0),IFERROR(VLOOKUP(A1576,'[2]UPDATE BILL 2018'!$C:$V,20,0),IFERROR(VLOOKUP(A1576,'[2]UPDATE BILL 2018'!$D:$V,19,0),IFERROR(VLOOKUP(A1576,'[2]UPDATE BILL 2018'!$E:$V,18,0),IFERROR(VLOOKUP(A1576,'[2]UPDATE BILL 2018'!$F:$V,17,0),IFERROR(VLOOKUP(A1576,'[2]UPDATE BILL 2018'!$G:$V,16,0),IFERROR(VLOOKUP(A1576,'[2]UPDATE BILL 2018'!$H:$V,15,0),IFERROR(VLOOKUP(A1576,'[2]UPDATE BILL 2018'!$I:$V,14,0),VLOOKUP(A1576,'[2]UPDATE BILL 2018'!$B:$V,21,0)))))))))</f>
        <v>MITRA BHUM 18006N</v>
      </c>
      <c r="AD1576" s="14" t="s">
        <v>49</v>
      </c>
      <c r="AE1576" s="24" t="s">
        <v>3930</v>
      </c>
      <c r="AF1576" s="25" t="str">
        <f t="shared" si="147"/>
        <v>VK</v>
      </c>
      <c r="AG1576" t="e">
        <f t="shared" si="146"/>
        <v>#REF!</v>
      </c>
      <c r="AI1576" s="58" t="s">
        <v>3919</v>
      </c>
    </row>
    <row r="1577" spans="1:35" ht="15.75" customHeight="1">
      <c r="A1577" s="6" t="s">
        <v>3920</v>
      </c>
      <c r="D1577" s="7">
        <f t="shared" si="140"/>
        <v>0</v>
      </c>
      <c r="E1577" s="7">
        <v>0</v>
      </c>
      <c r="F1577" s="5">
        <v>0</v>
      </c>
      <c r="G1577" s="7">
        <v>0</v>
      </c>
      <c r="H1577" s="5">
        <v>313</v>
      </c>
      <c r="I1577" s="7">
        <v>31166.749999999996</v>
      </c>
      <c r="J1577" s="7">
        <v>0</v>
      </c>
      <c r="K1577" s="5">
        <v>0</v>
      </c>
      <c r="L1577" s="5">
        <v>0</v>
      </c>
      <c r="M1577" s="5">
        <v>0</v>
      </c>
      <c r="N1577" s="7">
        <f t="shared" si="141"/>
        <v>0</v>
      </c>
      <c r="O1577" s="7">
        <v>0</v>
      </c>
      <c r="P1577" s="7">
        <v>0</v>
      </c>
      <c r="Q1577" s="5">
        <v>0</v>
      </c>
      <c r="S1577" s="7">
        <v>0</v>
      </c>
      <c r="T1577" s="12">
        <v>43358</v>
      </c>
      <c r="U1577" s="4">
        <v>2</v>
      </c>
      <c r="V1577" s="4">
        <v>9</v>
      </c>
      <c r="W1577" s="4">
        <v>9</v>
      </c>
      <c r="X1577" s="45">
        <f t="shared" si="142"/>
        <v>31166.749999999996</v>
      </c>
      <c r="Y1577" s="14" t="s">
        <v>56</v>
      </c>
      <c r="Z1577" s="14" t="s">
        <v>3780</v>
      </c>
      <c r="AA1577" s="14" t="str">
        <f>IFERROR(VLOOKUP(A1577,'[2]UPDATE BILL 2018'!$B:$P,15,0),IFERROR(VLOOKUP(A1577,'[2]UPDATE BILL 2018'!$C:$P,14,0),IFERROR(VLOOKUP(A1577,'[2]UPDATE BILL 2018'!$D:$P,13,0),IFERROR(VLOOKUP(A1577,'[2]UPDATE BILL 2018'!$E:$P,12,0),IFERROR(VLOOKUP(A1577,'[2]UPDATE BILL 2018'!$F:$P,11,0),IFERROR(VLOOKUP(A1577,'[2]UPDATE BILL 2018'!$G:$P,10,0),IFERROR(VLOOKUP(A1577,'[2]UPDATE BILL 2018'!$H:$P,9,0),IFERROR(VLOOKUP(A1577,'[2]UPDATE BILL 2018'!$I:$P,8,0),VLOOKUP(A1577,'[2]UPDATE BILL 2018'!$B:$P,15,0)))))))))</f>
        <v>1008X05399</v>
      </c>
      <c r="AB1577" s="44">
        <f>IFERROR(VLOOKUP(A1577,'[2]UPDATE BILL 2018'!$B:$T,19,0),IFERROR(VLOOKUP(A1577,'[2]UPDATE BILL 2018'!$C:$T,18,0),IFERROR(VLOOKUP(A1577,'[2]UPDATE BILL 2018'!$D:$T,17,0),IFERROR(VLOOKUP(A1577,'[2]UPDATE BILL 2018'!$E:$T,16,0),IFERROR(VLOOKUP(A1577,'[2]UPDATE BILL 2018'!$F:$T,15,0),IFERROR(VLOOKUP(A1577,'[2]UPDATE BILL 2018'!$G:$T,14,0),IFERROR(VLOOKUP(A1577,'[2]UPDATE BILL 2018'!$H:$T,13,0),IFERROR(VLOOKUP(A1577,'[2]UPDATE BILL 2018'!$I:$T,12,0),VLOOKUP(A1577,'[2]UPDATE BILL 2018'!$B:$T,19,0)))))))))</f>
        <v>43363</v>
      </c>
      <c r="AC1577" s="44" t="str">
        <f>IFERROR(VLOOKUP(A1577,'[2]UPDATE BILL 2018'!$B:$V,21,0),IFERROR(VLOOKUP(A1577,'[2]UPDATE BILL 2018'!$C:$V,20,0),IFERROR(VLOOKUP(A1577,'[2]UPDATE BILL 2018'!$D:$V,19,0),IFERROR(VLOOKUP(A1577,'[2]UPDATE BILL 2018'!$E:$V,18,0),IFERROR(VLOOKUP(A1577,'[2]UPDATE BILL 2018'!$F:$V,17,0),IFERROR(VLOOKUP(A1577,'[2]UPDATE BILL 2018'!$G:$V,16,0),IFERROR(VLOOKUP(A1577,'[2]UPDATE BILL 2018'!$H:$V,15,0),IFERROR(VLOOKUP(A1577,'[2]UPDATE BILL 2018'!$I:$V,14,0),VLOOKUP(A1577,'[2]UPDATE BILL 2018'!$B:$V,21,0)))))))))</f>
        <v>WAN HAI 171 S250</v>
      </c>
      <c r="AD1577" s="14" t="s">
        <v>49</v>
      </c>
      <c r="AE1577" s="24" t="s">
        <v>3931</v>
      </c>
      <c r="AF1577" s="25" t="str">
        <f t="shared" si="147"/>
        <v>VK</v>
      </c>
      <c r="AG1577" t="e">
        <f t="shared" si="146"/>
        <v>#REF!</v>
      </c>
      <c r="AI1577" s="58" t="s">
        <v>3920</v>
      </c>
    </row>
    <row r="1578" spans="1:35" ht="15.75" customHeight="1">
      <c r="A1578" s="6" t="s">
        <v>3921</v>
      </c>
      <c r="D1578" s="7">
        <f t="shared" si="140"/>
        <v>0</v>
      </c>
      <c r="E1578" s="7">
        <v>0</v>
      </c>
      <c r="F1578" s="5">
        <v>0</v>
      </c>
      <c r="G1578" s="7">
        <v>0</v>
      </c>
      <c r="H1578" s="5">
        <v>0</v>
      </c>
      <c r="I1578" s="7">
        <v>0</v>
      </c>
      <c r="J1578" s="7">
        <v>0</v>
      </c>
      <c r="K1578" s="5">
        <v>0</v>
      </c>
      <c r="L1578" s="5">
        <v>0</v>
      </c>
      <c r="M1578" s="5">
        <v>0</v>
      </c>
      <c r="N1578" s="7">
        <f t="shared" si="141"/>
        <v>0</v>
      </c>
      <c r="O1578" s="7">
        <v>0</v>
      </c>
      <c r="P1578" s="7">
        <v>0</v>
      </c>
      <c r="Q1578" s="5">
        <v>0</v>
      </c>
      <c r="R1578" s="5">
        <v>291</v>
      </c>
      <c r="S1578" s="7">
        <v>43917.2</v>
      </c>
      <c r="T1578" s="12">
        <v>43358</v>
      </c>
      <c r="U1578" s="4">
        <v>1</v>
      </c>
      <c r="V1578" s="4">
        <v>9</v>
      </c>
      <c r="W1578" s="4">
        <v>9</v>
      </c>
      <c r="X1578" s="45">
        <f t="shared" si="142"/>
        <v>43917.2</v>
      </c>
      <c r="Y1578" s="14" t="s">
        <v>85</v>
      </c>
      <c r="Z1578" s="14" t="s">
        <v>3780</v>
      </c>
      <c r="AA1578" s="14">
        <f>IFERROR(VLOOKUP(A1578,'[2]UPDATE BILL 2018'!$B:$P,15,0),IFERROR(VLOOKUP(A1578,'[2]UPDATE BILL 2018'!$C:$P,14,0),IFERROR(VLOOKUP(A1578,'[2]UPDATE BILL 2018'!$D:$P,13,0),IFERROR(VLOOKUP(A1578,'[2]UPDATE BILL 2018'!$E:$P,12,0),IFERROR(VLOOKUP(A1578,'[2]UPDATE BILL 2018'!$F:$P,11,0),IFERROR(VLOOKUP(A1578,'[2]UPDATE BILL 2018'!$G:$P,10,0),IFERROR(VLOOKUP(A1578,'[2]UPDATE BILL 2018'!$H:$P,9,0),IFERROR(VLOOKUP(A1578,'[2]UPDATE BILL 2018'!$I:$P,8,0),VLOOKUP(A1578,'[2]UPDATE BILL 2018'!$B:$P,15,0)))))))))</f>
        <v>350810114429</v>
      </c>
      <c r="AB1578" s="44">
        <f>IFERROR(VLOOKUP(A1578,'[2]UPDATE BILL 2018'!$B:$T,19,0),IFERROR(VLOOKUP(A1578,'[2]UPDATE BILL 2018'!$C:$T,18,0),IFERROR(VLOOKUP(A1578,'[2]UPDATE BILL 2018'!$D:$T,17,0),IFERROR(VLOOKUP(A1578,'[2]UPDATE BILL 2018'!$E:$T,16,0),IFERROR(VLOOKUP(A1578,'[2]UPDATE BILL 2018'!$F:$T,15,0),IFERROR(VLOOKUP(A1578,'[2]UPDATE BILL 2018'!$G:$T,14,0),IFERROR(VLOOKUP(A1578,'[2]UPDATE BILL 2018'!$H:$T,13,0),IFERROR(VLOOKUP(A1578,'[2]UPDATE BILL 2018'!$I:$T,12,0),VLOOKUP(A1578,'[2]UPDATE BILL 2018'!$B:$T,19,0)))))))))</f>
        <v>43360</v>
      </c>
      <c r="AC1578" s="44" t="str">
        <f>IFERROR(VLOOKUP(A1578,'[2]UPDATE BILL 2018'!$B:$V,21,0),IFERROR(VLOOKUP(A1578,'[2]UPDATE BILL 2018'!$C:$V,20,0),IFERROR(VLOOKUP(A1578,'[2]UPDATE BILL 2018'!$D:$V,19,0),IFERROR(VLOOKUP(A1578,'[2]UPDATE BILL 2018'!$E:$V,18,0),IFERROR(VLOOKUP(A1578,'[2]UPDATE BILL 2018'!$F:$V,17,0),IFERROR(VLOOKUP(A1578,'[2]UPDATE BILL 2018'!$G:$V,16,0),IFERROR(VLOOKUP(A1578,'[2]UPDATE BILL 2018'!$H:$V,15,0),IFERROR(VLOOKUP(A1578,'[2]UPDATE BILL 2018'!$I:$V,14,0),VLOOKUP(A1578,'[2]UPDATE BILL 2018'!$B:$V,21,0)))))))))</f>
        <v>HANSE ENDURANCE 18014N</v>
      </c>
      <c r="AD1578" s="14" t="s">
        <v>49</v>
      </c>
      <c r="AE1578" s="24" t="s">
        <v>3932</v>
      </c>
      <c r="AF1578" s="25" t="str">
        <f t="shared" si="147"/>
        <v>VK</v>
      </c>
      <c r="AG1578" t="e">
        <f t="shared" si="146"/>
        <v>#REF!</v>
      </c>
      <c r="AI1578" s="58"/>
    </row>
    <row r="1579" spans="1:35" ht="15.75" customHeight="1">
      <c r="A1579" s="6" t="s">
        <v>3922</v>
      </c>
      <c r="B1579" s="5">
        <v>109</v>
      </c>
      <c r="C1579" s="7">
        <v>7075.9000000000015</v>
      </c>
      <c r="D1579" s="7">
        <f t="shared" si="140"/>
        <v>0</v>
      </c>
      <c r="E1579" s="7">
        <v>0</v>
      </c>
      <c r="F1579" s="5">
        <v>0</v>
      </c>
      <c r="G1579" s="7">
        <v>0</v>
      </c>
      <c r="H1579" s="5">
        <v>342</v>
      </c>
      <c r="I1579" s="7">
        <v>26842.070000000007</v>
      </c>
      <c r="J1579" s="7">
        <v>0</v>
      </c>
      <c r="K1579" s="5">
        <v>0</v>
      </c>
      <c r="L1579" s="5">
        <v>0</v>
      </c>
      <c r="M1579" s="5">
        <v>57</v>
      </c>
      <c r="N1579" s="7">
        <f t="shared" si="141"/>
        <v>57</v>
      </c>
      <c r="O1579" s="7">
        <v>3486.6000000000004</v>
      </c>
      <c r="P1579" s="7">
        <v>0</v>
      </c>
      <c r="Q1579" s="5">
        <v>0</v>
      </c>
      <c r="R1579" s="5">
        <v>30</v>
      </c>
      <c r="S1579" s="7">
        <v>1505.9</v>
      </c>
      <c r="T1579" s="12">
        <v>43358</v>
      </c>
      <c r="U1579" s="4">
        <v>3</v>
      </c>
      <c r="V1579" s="4">
        <v>9</v>
      </c>
      <c r="W1579" s="4">
        <v>9</v>
      </c>
      <c r="X1579" s="45">
        <f t="shared" si="142"/>
        <v>38910.470000000008</v>
      </c>
      <c r="Y1579" s="14" t="s">
        <v>85</v>
      </c>
      <c r="Z1579" s="14" t="s">
        <v>3780</v>
      </c>
      <c r="AA1579" s="14">
        <f>IFERROR(VLOOKUP(A1579,'[2]UPDATE BILL 2018'!$B:$P,15,0),IFERROR(VLOOKUP(A1579,'[2]UPDATE BILL 2018'!$C:$P,14,0),IFERROR(VLOOKUP(A1579,'[2]UPDATE BILL 2018'!$D:$P,13,0),IFERROR(VLOOKUP(A1579,'[2]UPDATE BILL 2018'!$E:$P,12,0),IFERROR(VLOOKUP(A1579,'[2]UPDATE BILL 2018'!$F:$P,11,0),IFERROR(VLOOKUP(A1579,'[2]UPDATE BILL 2018'!$G:$P,10,0),IFERROR(VLOOKUP(A1579,'[2]UPDATE BILL 2018'!$H:$P,9,0),IFERROR(VLOOKUP(A1579,'[2]UPDATE BILL 2018'!$I:$P,8,0),VLOOKUP(A1579,'[2]UPDATE BILL 2018'!$B:$P,15,0)))))))))</f>
        <v>350810109234</v>
      </c>
      <c r="AB1579" s="44">
        <f>IFERROR(VLOOKUP(A1579,'[2]UPDATE BILL 2018'!$B:$T,19,0),IFERROR(VLOOKUP(A1579,'[2]UPDATE BILL 2018'!$C:$T,18,0),IFERROR(VLOOKUP(A1579,'[2]UPDATE BILL 2018'!$D:$T,17,0),IFERROR(VLOOKUP(A1579,'[2]UPDATE BILL 2018'!$E:$T,16,0),IFERROR(VLOOKUP(A1579,'[2]UPDATE BILL 2018'!$F:$T,15,0),IFERROR(VLOOKUP(A1579,'[2]UPDATE BILL 2018'!$G:$T,14,0),IFERROR(VLOOKUP(A1579,'[2]UPDATE BILL 2018'!$H:$T,13,0),IFERROR(VLOOKUP(A1579,'[2]UPDATE BILL 2018'!$I:$T,12,0),VLOOKUP(A1579,'[2]UPDATE BILL 2018'!$B:$T,19,0)))))))))</f>
        <v>43360</v>
      </c>
      <c r="AC1579" s="44" t="str">
        <f>IFERROR(VLOOKUP(A1579,'[2]UPDATE BILL 2018'!$B:$V,21,0),IFERROR(VLOOKUP(A1579,'[2]UPDATE BILL 2018'!$C:$V,20,0),IFERROR(VLOOKUP(A1579,'[2]UPDATE BILL 2018'!$D:$V,19,0),IFERROR(VLOOKUP(A1579,'[2]UPDATE BILL 2018'!$E:$V,18,0),IFERROR(VLOOKUP(A1579,'[2]UPDATE BILL 2018'!$F:$V,17,0),IFERROR(VLOOKUP(A1579,'[2]UPDATE BILL 2018'!$G:$V,16,0),IFERROR(VLOOKUP(A1579,'[2]UPDATE BILL 2018'!$H:$V,15,0),IFERROR(VLOOKUP(A1579,'[2]UPDATE BILL 2018'!$I:$V,14,0),VLOOKUP(A1579,'[2]UPDATE BILL 2018'!$B:$V,21,0)))))))))</f>
        <v>HANSE ENDURANCE 18014N</v>
      </c>
      <c r="AD1579" s="14" t="s">
        <v>52</v>
      </c>
      <c r="AE1579" s="24" t="s">
        <v>3933</v>
      </c>
      <c r="AF1579" s="25" t="str">
        <f t="shared" si="147"/>
        <v>VQ</v>
      </c>
      <c r="AG1579" t="e">
        <f t="shared" si="146"/>
        <v>#REF!</v>
      </c>
      <c r="AI1579" s="58"/>
    </row>
    <row r="1580" spans="1:35" ht="15.75" customHeight="1">
      <c r="A1580" s="6" t="s">
        <v>3923</v>
      </c>
      <c r="B1580" s="5">
        <v>369</v>
      </c>
      <c r="C1580" s="7">
        <v>34652.22</v>
      </c>
      <c r="D1580" s="7">
        <f t="shared" ref="D1580:D1591" si="148">E1580+F1580</f>
        <v>0</v>
      </c>
      <c r="E1580" s="7">
        <v>0</v>
      </c>
      <c r="F1580" s="5">
        <v>0</v>
      </c>
      <c r="G1580" s="7">
        <v>0</v>
      </c>
      <c r="H1580" s="5">
        <v>380</v>
      </c>
      <c r="I1580" s="7">
        <v>23591.45</v>
      </c>
      <c r="J1580" s="7">
        <v>0</v>
      </c>
      <c r="K1580" s="5">
        <v>0</v>
      </c>
      <c r="L1580" s="5">
        <v>0</v>
      </c>
      <c r="M1580" s="5">
        <v>145</v>
      </c>
      <c r="N1580" s="7">
        <f t="shared" ref="N1580:N1591" si="149">M1580-K1580</f>
        <v>145</v>
      </c>
      <c r="O1580" s="7">
        <v>12188.6</v>
      </c>
      <c r="P1580" s="7">
        <v>0</v>
      </c>
      <c r="Q1580" s="5">
        <v>0</v>
      </c>
      <c r="R1580" s="5">
        <v>550</v>
      </c>
      <c r="S1580" s="7">
        <v>70844.299999999988</v>
      </c>
      <c r="T1580" s="12">
        <v>43358</v>
      </c>
      <c r="U1580" s="4">
        <v>7</v>
      </c>
      <c r="V1580" s="4">
        <v>9</v>
      </c>
      <c r="W1580" s="4">
        <v>9</v>
      </c>
      <c r="X1580" s="45">
        <f t="shared" ref="X1580:X1591" si="150">+C1580+G1580+I1580+O1580+S1580</f>
        <v>141276.57</v>
      </c>
      <c r="Y1580" s="14" t="s">
        <v>54</v>
      </c>
      <c r="Z1580" s="14" t="s">
        <v>1281</v>
      </c>
      <c r="AA1580" s="14" t="str">
        <f>IFERROR(VLOOKUP(A1580,'[2]UPDATE BILL 2018'!$B:$P,15,0),IFERROR(VLOOKUP(A1580,'[2]UPDATE BILL 2018'!$C:$P,14,0),IFERROR(VLOOKUP(A1580,'[2]UPDATE BILL 2018'!$D:$P,13,0),IFERROR(VLOOKUP(A1580,'[2]UPDATE BILL 2018'!$E:$P,12,0),IFERROR(VLOOKUP(A1580,'[2]UPDATE BILL 2018'!$F:$P,11,0),IFERROR(VLOOKUP(A1580,'[2]UPDATE BILL 2018'!$G:$P,10,0),IFERROR(VLOOKUP(A1580,'[2]UPDATE BILL 2018'!$H:$P,9,0),IFERROR(VLOOKUP(A1580,'[2]UPDATE BILL 2018'!$I:$P,8,0),VLOOKUP(A1580,'[2]UPDATE BILL 2018'!$B:$P,15,0)))))))))</f>
        <v>SITWHPOS177712</v>
      </c>
      <c r="AB1580" s="44">
        <f>IFERROR(VLOOKUP(A1580,'[2]UPDATE BILL 2018'!$B:$T,19,0),IFERROR(VLOOKUP(A1580,'[2]UPDATE BILL 2018'!$C:$T,18,0),IFERROR(VLOOKUP(A1580,'[2]UPDATE BILL 2018'!$D:$T,17,0),IFERROR(VLOOKUP(A1580,'[2]UPDATE BILL 2018'!$E:$T,16,0),IFERROR(VLOOKUP(A1580,'[2]UPDATE BILL 2018'!$F:$T,15,0),IFERROR(VLOOKUP(A1580,'[2]UPDATE BILL 2018'!$G:$T,14,0),IFERROR(VLOOKUP(A1580,'[2]UPDATE BILL 2018'!$H:$T,13,0),IFERROR(VLOOKUP(A1580,'[2]UPDATE BILL 2018'!$I:$T,12,0),VLOOKUP(A1580,'[2]UPDATE BILL 2018'!$B:$T,19,0)))))))))</f>
        <v>43359</v>
      </c>
      <c r="AC1580" s="44" t="str">
        <f>IFERROR(VLOOKUP(A1580,'[2]UPDATE BILL 2018'!$B:$V,21,0),IFERROR(VLOOKUP(A1580,'[2]UPDATE BILL 2018'!$C:$V,20,0),IFERROR(VLOOKUP(A1580,'[2]UPDATE BILL 2018'!$D:$V,19,0),IFERROR(VLOOKUP(A1580,'[2]UPDATE BILL 2018'!$E:$V,18,0),IFERROR(VLOOKUP(A1580,'[2]UPDATE BILL 2018'!$F:$V,17,0),IFERROR(VLOOKUP(A1580,'[2]UPDATE BILL 2018'!$G:$V,16,0),IFERROR(VLOOKUP(A1580,'[2]UPDATE BILL 2018'!$H:$V,15,0),IFERROR(VLOOKUP(A1580,'[2]UPDATE BILL 2018'!$I:$V,14,0),VLOOKUP(A1580,'[2]UPDATE BILL 2018'!$B:$V,21,0)))))))))</f>
        <v>EPONYMA 1823N</v>
      </c>
      <c r="AD1580" s="14" t="s">
        <v>51</v>
      </c>
      <c r="AE1580" s="24" t="s">
        <v>3934</v>
      </c>
      <c r="AF1580" s="25" t="str">
        <f t="shared" si="147"/>
        <v>VS</v>
      </c>
      <c r="AG1580" t="e">
        <f t="shared" si="146"/>
        <v>#REF!</v>
      </c>
      <c r="AI1580" s="58"/>
    </row>
    <row r="1581" spans="1:35" ht="15.75" customHeight="1">
      <c r="A1581" s="6" t="s">
        <v>3924</v>
      </c>
      <c r="B1581" s="5">
        <v>353</v>
      </c>
      <c r="C1581" s="7">
        <v>47748.5</v>
      </c>
      <c r="D1581" s="7">
        <f t="shared" si="148"/>
        <v>0</v>
      </c>
      <c r="E1581" s="7">
        <v>0</v>
      </c>
      <c r="F1581" s="5">
        <v>0</v>
      </c>
      <c r="G1581" s="7">
        <v>0</v>
      </c>
      <c r="H1581" s="5">
        <v>0</v>
      </c>
      <c r="I1581" s="7">
        <v>0</v>
      </c>
      <c r="J1581" s="7">
        <v>0</v>
      </c>
      <c r="K1581" s="5">
        <v>0</v>
      </c>
      <c r="L1581" s="5">
        <v>0</v>
      </c>
      <c r="M1581" s="5">
        <v>40</v>
      </c>
      <c r="N1581" s="7">
        <f t="shared" si="149"/>
        <v>40</v>
      </c>
      <c r="O1581" s="7">
        <v>7213.1</v>
      </c>
      <c r="P1581" s="7">
        <v>0</v>
      </c>
      <c r="Q1581" s="5">
        <v>0</v>
      </c>
      <c r="S1581" s="7">
        <v>0</v>
      </c>
      <c r="T1581" s="12">
        <v>43358</v>
      </c>
      <c r="U1581" s="4">
        <v>5</v>
      </c>
      <c r="V1581" s="4">
        <v>9</v>
      </c>
      <c r="W1581" s="4">
        <v>9</v>
      </c>
      <c r="X1581" s="45">
        <f t="shared" si="150"/>
        <v>54961.599999999999</v>
      </c>
      <c r="Y1581" s="14" t="s">
        <v>56</v>
      </c>
      <c r="Z1581" s="14" t="s">
        <v>57</v>
      </c>
      <c r="AA1581" s="14" t="str">
        <f>IFERROR(VLOOKUP(A1581,'[2]UPDATE BILL 2018'!$B:$P,15,0),IFERROR(VLOOKUP(A1581,'[2]UPDATE BILL 2018'!$C:$P,14,0),IFERROR(VLOOKUP(A1581,'[2]UPDATE BILL 2018'!$D:$P,13,0),IFERROR(VLOOKUP(A1581,'[2]UPDATE BILL 2018'!$E:$P,12,0),IFERROR(VLOOKUP(A1581,'[2]UPDATE BILL 2018'!$F:$P,11,0),IFERROR(VLOOKUP(A1581,'[2]UPDATE BILL 2018'!$G:$P,10,0),IFERROR(VLOOKUP(A1581,'[2]UPDATE BILL 2018'!$H:$P,9,0),IFERROR(VLOOKUP(A1581,'[2]UPDATE BILL 2018'!$I:$P,8,0),VLOOKUP(A1581,'[2]UPDATE BILL 2018'!$B:$P,15,0)))))))))</f>
        <v>1008X05222</v>
      </c>
      <c r="AB1581" s="44">
        <f>IFERROR(VLOOKUP(A1581,'[2]UPDATE BILL 2018'!$B:$T,19,0),IFERROR(VLOOKUP(A1581,'[2]UPDATE BILL 2018'!$C:$T,18,0),IFERROR(VLOOKUP(A1581,'[2]UPDATE BILL 2018'!$D:$T,17,0),IFERROR(VLOOKUP(A1581,'[2]UPDATE BILL 2018'!$E:$T,16,0),IFERROR(VLOOKUP(A1581,'[2]UPDATE BILL 2018'!$F:$T,15,0),IFERROR(VLOOKUP(A1581,'[2]UPDATE BILL 2018'!$G:$T,14,0),IFERROR(VLOOKUP(A1581,'[2]UPDATE BILL 2018'!$H:$T,13,0),IFERROR(VLOOKUP(A1581,'[2]UPDATE BILL 2018'!$I:$T,12,0),VLOOKUP(A1581,'[2]UPDATE BILL 2018'!$B:$T,19,0)))))))))</f>
        <v>43367</v>
      </c>
      <c r="AC1581" s="44" t="str">
        <f>IFERROR(VLOOKUP(A1581,'[2]UPDATE BILL 2018'!$B:$V,21,0),IFERROR(VLOOKUP(A1581,'[2]UPDATE BILL 2018'!$C:$V,20,0),IFERROR(VLOOKUP(A1581,'[2]UPDATE BILL 2018'!$D:$V,19,0),IFERROR(VLOOKUP(A1581,'[2]UPDATE BILL 2018'!$E:$V,18,0),IFERROR(VLOOKUP(A1581,'[2]UPDATE BILL 2018'!$F:$V,17,0),IFERROR(VLOOKUP(A1581,'[2]UPDATE BILL 2018'!$G:$V,16,0),IFERROR(VLOOKUP(A1581,'[2]UPDATE BILL 2018'!$H:$V,15,0),IFERROR(VLOOKUP(A1581,'[2]UPDATE BILL 2018'!$I:$V,14,0),VLOOKUP(A1581,'[2]UPDATE BILL 2018'!$B:$V,21,0)))))))))</f>
        <v>MOONCHILD N033</v>
      </c>
      <c r="AD1581" s="14" t="s">
        <v>51</v>
      </c>
      <c r="AE1581" s="24" t="s">
        <v>3935</v>
      </c>
      <c r="AF1581" s="25" t="str">
        <f t="shared" si="147"/>
        <v>VS</v>
      </c>
      <c r="AG1581" t="e">
        <f t="shared" si="146"/>
        <v>#REF!</v>
      </c>
      <c r="AI1581" s="58" t="s">
        <v>3924</v>
      </c>
    </row>
    <row r="1582" spans="1:35" ht="15.75" customHeight="1">
      <c r="A1582" s="6" t="s">
        <v>3925</v>
      </c>
      <c r="B1582" s="5">
        <v>88</v>
      </c>
      <c r="C1582" s="7">
        <v>9249.2699999999986</v>
      </c>
      <c r="D1582" s="7">
        <f t="shared" si="148"/>
        <v>0</v>
      </c>
      <c r="E1582" s="7">
        <v>0</v>
      </c>
      <c r="F1582" s="5">
        <v>0</v>
      </c>
      <c r="G1582" s="7">
        <v>0</v>
      </c>
      <c r="H1582" s="5">
        <v>48</v>
      </c>
      <c r="I1582" s="7">
        <v>1950.4</v>
      </c>
      <c r="J1582" s="7">
        <v>0</v>
      </c>
      <c r="K1582" s="5">
        <v>0</v>
      </c>
      <c r="L1582" s="5">
        <v>0</v>
      </c>
      <c r="M1582" s="5">
        <v>16</v>
      </c>
      <c r="N1582" s="7">
        <f t="shared" si="149"/>
        <v>16</v>
      </c>
      <c r="O1582" s="7">
        <v>289.60000000000002</v>
      </c>
      <c r="P1582" s="7">
        <v>0</v>
      </c>
      <c r="Q1582" s="5">
        <v>0</v>
      </c>
      <c r="R1582" s="5">
        <v>207</v>
      </c>
      <c r="S1582" s="7">
        <v>26080.28</v>
      </c>
      <c r="T1582" s="12">
        <v>43358</v>
      </c>
      <c r="U1582" s="4">
        <v>3</v>
      </c>
      <c r="V1582" s="4">
        <v>9</v>
      </c>
      <c r="W1582" s="4">
        <v>9</v>
      </c>
      <c r="X1582" s="45">
        <f t="shared" si="150"/>
        <v>37569.549999999996</v>
      </c>
      <c r="Y1582" s="14" t="s">
        <v>85</v>
      </c>
      <c r="Z1582" s="14" t="s">
        <v>1492</v>
      </c>
      <c r="AA1582" s="14">
        <f>IFERROR(VLOOKUP(A1582,'[2]UPDATE BILL 2018'!$B:$P,15,0),IFERROR(VLOOKUP(A1582,'[2]UPDATE BILL 2018'!$C:$P,14,0),IFERROR(VLOOKUP(A1582,'[2]UPDATE BILL 2018'!$D:$P,13,0),IFERROR(VLOOKUP(A1582,'[2]UPDATE BILL 2018'!$E:$P,12,0),IFERROR(VLOOKUP(A1582,'[2]UPDATE BILL 2018'!$F:$P,11,0),IFERROR(VLOOKUP(A1582,'[2]UPDATE BILL 2018'!$G:$P,10,0),IFERROR(VLOOKUP(A1582,'[2]UPDATE BILL 2018'!$H:$P,9,0),IFERROR(VLOOKUP(A1582,'[2]UPDATE BILL 2018'!$I:$P,8,0),VLOOKUP(A1582,'[2]UPDATE BILL 2018'!$B:$P,15,0)))))))))</f>
        <v>350810109227</v>
      </c>
      <c r="AB1582" s="44">
        <f>IFERROR(VLOOKUP(A1582,'[2]UPDATE BILL 2018'!$B:$T,19,0),IFERROR(VLOOKUP(A1582,'[2]UPDATE BILL 2018'!$C:$T,18,0),IFERROR(VLOOKUP(A1582,'[2]UPDATE BILL 2018'!$D:$T,17,0),IFERROR(VLOOKUP(A1582,'[2]UPDATE BILL 2018'!$E:$T,16,0),IFERROR(VLOOKUP(A1582,'[2]UPDATE BILL 2018'!$F:$T,15,0),IFERROR(VLOOKUP(A1582,'[2]UPDATE BILL 2018'!$G:$T,14,0),IFERROR(VLOOKUP(A1582,'[2]UPDATE BILL 2018'!$H:$T,13,0),IFERROR(VLOOKUP(A1582,'[2]UPDATE BILL 2018'!$I:$T,12,0),VLOOKUP(A1582,'[2]UPDATE BILL 2018'!$B:$T,19,0)))))))))</f>
        <v>43360</v>
      </c>
      <c r="AC1582" s="44" t="str">
        <f>IFERROR(VLOOKUP(A1582,'[2]UPDATE BILL 2018'!$B:$V,21,0),IFERROR(VLOOKUP(A1582,'[2]UPDATE BILL 2018'!$C:$V,20,0),IFERROR(VLOOKUP(A1582,'[2]UPDATE BILL 2018'!$D:$V,19,0),IFERROR(VLOOKUP(A1582,'[2]UPDATE BILL 2018'!$E:$V,18,0),IFERROR(VLOOKUP(A1582,'[2]UPDATE BILL 2018'!$F:$V,17,0),IFERROR(VLOOKUP(A1582,'[2]UPDATE BILL 2018'!$G:$V,16,0),IFERROR(VLOOKUP(A1582,'[2]UPDATE BILL 2018'!$H:$V,15,0),IFERROR(VLOOKUP(A1582,'[2]UPDATE BILL 2018'!$I:$V,14,0),VLOOKUP(A1582,'[2]UPDATE BILL 2018'!$B:$V,21,0)))))))))</f>
        <v>HANSE ENDURANCE 18014N</v>
      </c>
      <c r="AD1582" s="14" t="s">
        <v>600</v>
      </c>
      <c r="AE1582" s="24">
        <v>2500000041901</v>
      </c>
      <c r="AF1582" s="25" t="s">
        <v>2373</v>
      </c>
      <c r="AG1582" t="e">
        <f t="shared" si="146"/>
        <v>#N/A</v>
      </c>
      <c r="AI1582" s="58"/>
    </row>
    <row r="1583" spans="1:35" ht="15.75" customHeight="1">
      <c r="A1583" s="6" t="s">
        <v>3926</v>
      </c>
      <c r="B1583" s="5">
        <v>738</v>
      </c>
      <c r="C1583" s="7">
        <v>55471.399999999994</v>
      </c>
      <c r="D1583" s="7">
        <f t="shared" si="148"/>
        <v>0</v>
      </c>
      <c r="E1583" s="7">
        <v>0</v>
      </c>
      <c r="F1583" s="5">
        <v>0</v>
      </c>
      <c r="G1583" s="7">
        <v>0</v>
      </c>
      <c r="H1583" s="5">
        <v>250</v>
      </c>
      <c r="I1583" s="7">
        <v>7621</v>
      </c>
      <c r="J1583" s="7">
        <v>0</v>
      </c>
      <c r="K1583" s="5">
        <v>0</v>
      </c>
      <c r="L1583" s="5">
        <v>0</v>
      </c>
      <c r="M1583" s="5">
        <v>162</v>
      </c>
      <c r="N1583" s="7">
        <f t="shared" si="149"/>
        <v>162</v>
      </c>
      <c r="O1583" s="7">
        <v>13071.5</v>
      </c>
      <c r="P1583" s="7">
        <v>0</v>
      </c>
      <c r="Q1583" s="5">
        <v>0</v>
      </c>
      <c r="R1583" s="5">
        <v>409</v>
      </c>
      <c r="S1583" s="7">
        <v>54644.9</v>
      </c>
      <c r="T1583" s="12">
        <v>43358</v>
      </c>
      <c r="U1583" s="4">
        <v>8</v>
      </c>
      <c r="V1583" s="4">
        <v>9</v>
      </c>
      <c r="W1583" s="4">
        <v>9</v>
      </c>
      <c r="X1583" s="45">
        <f t="shared" si="150"/>
        <v>130808.79999999999</v>
      </c>
      <c r="Y1583" s="14" t="s">
        <v>54</v>
      </c>
      <c r="Z1583" s="14" t="s">
        <v>59</v>
      </c>
      <c r="AA1583" s="14" t="str">
        <f>IFERROR(VLOOKUP(A1583,'[2]UPDATE BILL 2018'!$B:$P,15,0),IFERROR(VLOOKUP(A1583,'[2]UPDATE BILL 2018'!$C:$P,14,0),IFERROR(VLOOKUP(A1583,'[2]UPDATE BILL 2018'!$D:$P,13,0),IFERROR(VLOOKUP(A1583,'[2]UPDATE BILL 2018'!$E:$P,12,0),IFERROR(VLOOKUP(A1583,'[2]UPDATE BILL 2018'!$F:$P,11,0),IFERROR(VLOOKUP(A1583,'[2]UPDATE BILL 2018'!$G:$P,10,0),IFERROR(VLOOKUP(A1583,'[2]UPDATE BILL 2018'!$H:$P,9,0),IFERROR(VLOOKUP(A1583,'[2]UPDATE BILL 2018'!$I:$P,8,0),VLOOKUP(A1583,'[2]UPDATE BILL 2018'!$B:$P,15,0)))))))))</f>
        <v>SITWHPKW177721</v>
      </c>
      <c r="AB1583" s="44">
        <f>IFERROR(VLOOKUP(A1583,'[2]UPDATE BILL 2018'!$B:$T,19,0),IFERROR(VLOOKUP(A1583,'[2]UPDATE BILL 2018'!$C:$T,18,0),IFERROR(VLOOKUP(A1583,'[2]UPDATE BILL 2018'!$D:$T,17,0),IFERROR(VLOOKUP(A1583,'[2]UPDATE BILL 2018'!$E:$T,16,0),IFERROR(VLOOKUP(A1583,'[2]UPDATE BILL 2018'!$F:$T,15,0),IFERROR(VLOOKUP(A1583,'[2]UPDATE BILL 2018'!$G:$T,14,0),IFERROR(VLOOKUP(A1583,'[2]UPDATE BILL 2018'!$H:$T,13,0),IFERROR(VLOOKUP(A1583,'[2]UPDATE BILL 2018'!$I:$T,12,0),VLOOKUP(A1583,'[2]UPDATE BILL 2018'!$B:$T,19,0)))))))))</f>
        <v>43363</v>
      </c>
      <c r="AC1583" s="44" t="str">
        <f>IFERROR(VLOOKUP(A1583,'[2]UPDATE BILL 2018'!$B:$V,21,0),IFERROR(VLOOKUP(A1583,'[2]UPDATE BILL 2018'!$C:$V,20,0),IFERROR(VLOOKUP(A1583,'[2]UPDATE BILL 2018'!$D:$V,19,0),IFERROR(VLOOKUP(A1583,'[2]UPDATE BILL 2018'!$E:$V,18,0),IFERROR(VLOOKUP(A1583,'[2]UPDATE BILL 2018'!$F:$V,17,0),IFERROR(VLOOKUP(A1583,'[2]UPDATE BILL 2018'!$G:$V,16,0),IFERROR(VLOOKUP(A1583,'[2]UPDATE BILL 2018'!$H:$V,15,0),IFERROR(VLOOKUP(A1583,'[2]UPDATE BILL 2018'!$I:$V,14,0),VLOOKUP(A1583,'[2]UPDATE BILL 2018'!$B:$V,21,0)))))))))</f>
        <v>RESURGENCE 1823N</v>
      </c>
      <c r="AD1583" s="14" t="s">
        <v>50</v>
      </c>
      <c r="AE1583" s="24" t="s">
        <v>3936</v>
      </c>
      <c r="AF1583" s="25" t="str">
        <f t="shared" si="147"/>
        <v>VW</v>
      </c>
      <c r="AG1583" t="e">
        <f t="shared" si="146"/>
        <v>#REF!</v>
      </c>
      <c r="AI1583" s="58"/>
    </row>
    <row r="1584" spans="1:35" ht="15.75" customHeight="1">
      <c r="A1584" s="6" t="s">
        <v>3927</v>
      </c>
      <c r="B1584" s="5">
        <v>345</v>
      </c>
      <c r="C1584" s="7">
        <v>40085.199999999997</v>
      </c>
      <c r="D1584" s="7">
        <f t="shared" si="148"/>
        <v>0</v>
      </c>
      <c r="E1584" s="7">
        <v>0</v>
      </c>
      <c r="F1584" s="5">
        <v>0</v>
      </c>
      <c r="G1584" s="7">
        <v>0</v>
      </c>
      <c r="H1584" s="5">
        <v>0</v>
      </c>
      <c r="I1584" s="7">
        <v>0</v>
      </c>
      <c r="J1584" s="7">
        <v>0</v>
      </c>
      <c r="K1584" s="5">
        <v>0</v>
      </c>
      <c r="L1584" s="5">
        <v>0</v>
      </c>
      <c r="M1584" s="5">
        <v>96</v>
      </c>
      <c r="N1584" s="7">
        <f t="shared" si="149"/>
        <v>96</v>
      </c>
      <c r="O1584" s="7">
        <v>19038</v>
      </c>
      <c r="P1584" s="7">
        <v>0</v>
      </c>
      <c r="Q1584" s="5">
        <v>0</v>
      </c>
      <c r="R1584" s="5">
        <v>65</v>
      </c>
      <c r="S1584" s="7">
        <v>16562</v>
      </c>
      <c r="T1584" s="12">
        <v>43358</v>
      </c>
      <c r="U1584" s="4">
        <v>6</v>
      </c>
      <c r="V1584" s="4">
        <v>9</v>
      </c>
      <c r="W1584" s="4">
        <v>9</v>
      </c>
      <c r="X1584" s="45">
        <f t="shared" si="150"/>
        <v>75685.2</v>
      </c>
      <c r="Y1584" s="14" t="s">
        <v>54</v>
      </c>
      <c r="Z1584" s="14" t="s">
        <v>59</v>
      </c>
      <c r="AA1584" s="14" t="str">
        <f>IFERROR(VLOOKUP(A1584,'[2]UPDATE BILL 2018'!$B:$P,15,0),IFERROR(VLOOKUP(A1584,'[2]UPDATE BILL 2018'!$C:$P,14,0),IFERROR(VLOOKUP(A1584,'[2]UPDATE BILL 2018'!$D:$P,13,0),IFERROR(VLOOKUP(A1584,'[2]UPDATE BILL 2018'!$E:$P,12,0),IFERROR(VLOOKUP(A1584,'[2]UPDATE BILL 2018'!$F:$P,11,0),IFERROR(VLOOKUP(A1584,'[2]UPDATE BILL 2018'!$G:$P,10,0),IFERROR(VLOOKUP(A1584,'[2]UPDATE BILL 2018'!$H:$P,9,0),IFERROR(VLOOKUP(A1584,'[2]UPDATE BILL 2018'!$I:$P,8,0),VLOOKUP(A1584,'[2]UPDATE BILL 2018'!$B:$P,15,0)))))))))</f>
        <v>SITWHPKW178480</v>
      </c>
      <c r="AB1584" s="44">
        <f>IFERROR(VLOOKUP(A1584,'[2]UPDATE BILL 2018'!$B:$T,19,0),IFERROR(VLOOKUP(A1584,'[2]UPDATE BILL 2018'!$C:$T,18,0),IFERROR(VLOOKUP(A1584,'[2]UPDATE BILL 2018'!$D:$T,17,0),IFERROR(VLOOKUP(A1584,'[2]UPDATE BILL 2018'!$E:$T,16,0),IFERROR(VLOOKUP(A1584,'[2]UPDATE BILL 2018'!$F:$T,15,0),IFERROR(VLOOKUP(A1584,'[2]UPDATE BILL 2018'!$G:$T,14,0),IFERROR(VLOOKUP(A1584,'[2]UPDATE BILL 2018'!$H:$T,13,0),IFERROR(VLOOKUP(A1584,'[2]UPDATE BILL 2018'!$I:$T,12,0),VLOOKUP(A1584,'[2]UPDATE BILL 2018'!$B:$T,19,0)))))))))</f>
        <v>43363</v>
      </c>
      <c r="AC1584" s="44" t="str">
        <f>IFERROR(VLOOKUP(A1584,'[2]UPDATE BILL 2018'!$B:$V,21,0),IFERROR(VLOOKUP(A1584,'[2]UPDATE BILL 2018'!$C:$V,20,0),IFERROR(VLOOKUP(A1584,'[2]UPDATE BILL 2018'!$D:$V,19,0),IFERROR(VLOOKUP(A1584,'[2]UPDATE BILL 2018'!$E:$V,18,0),IFERROR(VLOOKUP(A1584,'[2]UPDATE BILL 2018'!$F:$V,17,0),IFERROR(VLOOKUP(A1584,'[2]UPDATE BILL 2018'!$G:$V,16,0),IFERROR(VLOOKUP(A1584,'[2]UPDATE BILL 2018'!$H:$V,15,0),IFERROR(VLOOKUP(A1584,'[2]UPDATE BILL 2018'!$I:$V,14,0),VLOOKUP(A1584,'[2]UPDATE BILL 2018'!$B:$V,21,0)))))))))</f>
        <v>RESURGENCE 1823N</v>
      </c>
      <c r="AD1584" s="14" t="s">
        <v>50</v>
      </c>
      <c r="AE1584" s="24" t="s">
        <v>3937</v>
      </c>
      <c r="AF1584" s="25" t="str">
        <f t="shared" si="147"/>
        <v>VW</v>
      </c>
      <c r="AG1584" t="e">
        <f t="shared" si="146"/>
        <v>#REF!</v>
      </c>
      <c r="AI1584" s="58" t="s">
        <v>3927</v>
      </c>
    </row>
    <row r="1585" spans="1:41" ht="15.75" customHeight="1">
      <c r="A1585" s="6" t="s">
        <v>3938</v>
      </c>
      <c r="D1585" s="7">
        <f t="shared" si="148"/>
        <v>0</v>
      </c>
      <c r="E1585" s="7">
        <v>0</v>
      </c>
      <c r="F1585" s="5">
        <v>0</v>
      </c>
      <c r="G1585" s="7">
        <v>0</v>
      </c>
      <c r="H1585" s="5">
        <v>0</v>
      </c>
      <c r="I1585" s="7">
        <v>0</v>
      </c>
      <c r="J1585" s="7">
        <v>0</v>
      </c>
      <c r="K1585" s="5">
        <v>0</v>
      </c>
      <c r="L1585" s="5">
        <v>0</v>
      </c>
      <c r="M1585" s="5">
        <v>0</v>
      </c>
      <c r="N1585" s="7">
        <f t="shared" si="149"/>
        <v>0</v>
      </c>
      <c r="O1585" s="7">
        <v>0</v>
      </c>
      <c r="P1585" s="7">
        <v>0</v>
      </c>
      <c r="Q1585" s="5">
        <v>0</v>
      </c>
      <c r="R1585" s="5">
        <v>334</v>
      </c>
      <c r="S1585" s="7">
        <v>51117</v>
      </c>
      <c r="T1585" s="12">
        <v>43361</v>
      </c>
      <c r="U1585" s="4">
        <v>2</v>
      </c>
      <c r="V1585" s="4">
        <v>9</v>
      </c>
      <c r="W1585" s="4">
        <v>9</v>
      </c>
      <c r="X1585" s="45">
        <f t="shared" si="150"/>
        <v>51117</v>
      </c>
      <c r="Y1585" s="14" t="s">
        <v>1633</v>
      </c>
      <c r="Z1585" s="14" t="s">
        <v>3780</v>
      </c>
      <c r="AA1585" s="14" t="str">
        <f>IFERROR(VLOOKUP(A1585,'[2]UPDATE BILL 2018'!$B:$P,15,0),IFERROR(VLOOKUP(A1585,'[2]UPDATE BILL 2018'!$C:$P,14,0),IFERROR(VLOOKUP(A1585,'[2]UPDATE BILL 2018'!$D:$P,13,0),IFERROR(VLOOKUP(A1585,'[2]UPDATE BILL 2018'!$E:$P,12,0),IFERROR(VLOOKUP(A1585,'[2]UPDATE BILL 2018'!$F:$P,11,0),IFERROR(VLOOKUP(A1585,'[2]UPDATE BILL 2018'!$G:$P,10,0),IFERROR(VLOOKUP(A1585,'[2]UPDATE BILL 2018'!$H:$P,9,0),IFERROR(VLOOKUP(A1585,'[2]UPDATE BILL 2018'!$I:$P,8,0),VLOOKUP(A1585,'[2]UPDATE BILL 2018'!$B:$P,15,0)))))))))</f>
        <v>KMTCHPH0593195</v>
      </c>
      <c r="AB1585" s="44">
        <f>IFERROR(VLOOKUP(A1585,'[2]UPDATE BILL 2018'!$B:$T,19,0),IFERROR(VLOOKUP(A1585,'[2]UPDATE BILL 2018'!$C:$T,18,0),IFERROR(VLOOKUP(A1585,'[2]UPDATE BILL 2018'!$D:$T,17,0),IFERROR(VLOOKUP(A1585,'[2]UPDATE BILL 2018'!$E:$T,16,0),IFERROR(VLOOKUP(A1585,'[2]UPDATE BILL 2018'!$F:$T,15,0),IFERROR(VLOOKUP(A1585,'[2]UPDATE BILL 2018'!$G:$T,14,0),IFERROR(VLOOKUP(A1585,'[2]UPDATE BILL 2018'!$H:$T,13,0),IFERROR(VLOOKUP(A1585,'[2]UPDATE BILL 2018'!$I:$T,12,0),VLOOKUP(A1585,'[2]UPDATE BILL 2018'!$B:$T,19,0)))))))))</f>
        <v>43367</v>
      </c>
      <c r="AC1585" s="44" t="str">
        <f>IFERROR(VLOOKUP(A1585,'[2]UPDATE BILL 2018'!$B:$V,21,0),IFERROR(VLOOKUP(A1585,'[2]UPDATE BILL 2018'!$C:$V,20,0),IFERROR(VLOOKUP(A1585,'[2]UPDATE BILL 2018'!$D:$V,19,0),IFERROR(VLOOKUP(A1585,'[2]UPDATE BILL 2018'!$E:$V,18,0),IFERROR(VLOOKUP(A1585,'[2]UPDATE BILL 2018'!$F:$V,17,0),IFERROR(VLOOKUP(A1585,'[2]UPDATE BILL 2018'!$G:$V,16,0),IFERROR(VLOOKUP(A1585,'[2]UPDATE BILL 2018'!$H:$V,15,0),IFERROR(VLOOKUP(A1585,'[2]UPDATE BILL 2018'!$I:$V,14,0),VLOOKUP(A1585,'[2]UPDATE BILL 2018'!$B:$V,21,0)))))))))</f>
        <v>SUNNY IRIS 1825N</v>
      </c>
      <c r="AD1585" s="14" t="s">
        <v>70</v>
      </c>
      <c r="AE1585" s="24" t="s">
        <v>3946</v>
      </c>
      <c r="AF1585" s="25" t="str">
        <f t="shared" si="147"/>
        <v>VH</v>
      </c>
      <c r="AG1585" t="e">
        <f t="shared" si="146"/>
        <v>#REF!</v>
      </c>
      <c r="AI1585" s="58" t="s">
        <v>3938</v>
      </c>
    </row>
    <row r="1586" spans="1:41" ht="15.75" customHeight="1">
      <c r="A1586" s="6" t="s">
        <v>3939</v>
      </c>
      <c r="D1586" s="7">
        <f t="shared" si="148"/>
        <v>0</v>
      </c>
      <c r="E1586" s="7">
        <v>0</v>
      </c>
      <c r="F1586" s="5">
        <v>0</v>
      </c>
      <c r="G1586" s="7">
        <v>0</v>
      </c>
      <c r="H1586" s="5">
        <v>1085</v>
      </c>
      <c r="I1586" s="7">
        <v>129626.6</v>
      </c>
      <c r="J1586" s="7">
        <v>0</v>
      </c>
      <c r="K1586" s="5">
        <v>0</v>
      </c>
      <c r="L1586" s="5">
        <v>0</v>
      </c>
      <c r="M1586" s="5">
        <v>0</v>
      </c>
      <c r="N1586" s="7">
        <f t="shared" si="149"/>
        <v>0</v>
      </c>
      <c r="O1586" s="7">
        <v>0</v>
      </c>
      <c r="P1586" s="7">
        <v>0</v>
      </c>
      <c r="Q1586" s="5">
        <v>0</v>
      </c>
      <c r="S1586" s="7">
        <v>0</v>
      </c>
      <c r="T1586" s="12">
        <v>43361</v>
      </c>
      <c r="U1586" s="4">
        <v>10</v>
      </c>
      <c r="V1586" s="4">
        <v>9</v>
      </c>
      <c r="W1586" s="4">
        <v>9</v>
      </c>
      <c r="X1586" s="45">
        <f t="shared" si="150"/>
        <v>129626.6</v>
      </c>
      <c r="Y1586" s="14" t="s">
        <v>54</v>
      </c>
      <c r="Z1586" s="14" t="s">
        <v>59</v>
      </c>
      <c r="AA1586" s="14">
        <f>IFERROR(VLOOKUP(A1586,'[2]UPDATE BILL 2018'!$B:$P,15,0),IFERROR(VLOOKUP(A1586,'[2]UPDATE BILL 2018'!$C:$P,14,0),IFERROR(VLOOKUP(A1586,'[2]UPDATE BILL 2018'!$D:$P,13,0),IFERROR(VLOOKUP(A1586,'[2]UPDATE BILL 2018'!$E:$P,12,0),IFERROR(VLOOKUP(A1586,'[2]UPDATE BILL 2018'!$F:$P,11,0),IFERROR(VLOOKUP(A1586,'[2]UPDATE BILL 2018'!$G:$P,10,0),IFERROR(VLOOKUP(A1586,'[2]UPDATE BILL 2018'!$H:$P,9,0),IFERROR(VLOOKUP(A1586,'[2]UPDATE BILL 2018'!$I:$P,8,0),VLOOKUP(A1586,'[2]UPDATE BILL 2018'!$B:$P,15,0)))))))))</f>
        <v>0</v>
      </c>
      <c r="AB1586" s="44">
        <f>IFERROR(VLOOKUP(A1586,'[2]UPDATE BILL 2018'!$B:$T,19,0),IFERROR(VLOOKUP(A1586,'[2]UPDATE BILL 2018'!$C:$T,18,0),IFERROR(VLOOKUP(A1586,'[2]UPDATE BILL 2018'!$D:$T,17,0),IFERROR(VLOOKUP(A1586,'[2]UPDATE BILL 2018'!$E:$T,16,0),IFERROR(VLOOKUP(A1586,'[2]UPDATE BILL 2018'!$F:$T,15,0),IFERROR(VLOOKUP(A1586,'[2]UPDATE BILL 2018'!$G:$T,14,0),IFERROR(VLOOKUP(A1586,'[2]UPDATE BILL 2018'!$H:$T,13,0),IFERROR(VLOOKUP(A1586,'[2]UPDATE BILL 2018'!$I:$T,12,0),VLOOKUP(A1586,'[2]UPDATE BILL 2018'!$B:$T,19,0)))))))))</f>
        <v>0</v>
      </c>
      <c r="AC1586" s="44">
        <f>IFERROR(VLOOKUP(A1586,'[2]UPDATE BILL 2018'!$B:$V,21,0),IFERROR(VLOOKUP(A1586,'[2]UPDATE BILL 2018'!$C:$V,20,0),IFERROR(VLOOKUP(A1586,'[2]UPDATE BILL 2018'!$D:$V,19,0),IFERROR(VLOOKUP(A1586,'[2]UPDATE BILL 2018'!$E:$V,18,0),IFERROR(VLOOKUP(A1586,'[2]UPDATE BILL 2018'!$F:$V,17,0),IFERROR(VLOOKUP(A1586,'[2]UPDATE BILL 2018'!$G:$V,16,0),IFERROR(VLOOKUP(A1586,'[2]UPDATE BILL 2018'!$H:$V,15,0),IFERROR(VLOOKUP(A1586,'[2]UPDATE BILL 2018'!$I:$V,14,0),VLOOKUP(A1586,'[2]UPDATE BILL 2018'!$B:$V,21,0)))))))))</f>
        <v>0</v>
      </c>
      <c r="AD1586" s="14" t="s">
        <v>49</v>
      </c>
      <c r="AE1586" s="24" t="s">
        <v>3947</v>
      </c>
      <c r="AF1586" s="25" t="str">
        <f t="shared" si="147"/>
        <v>VK</v>
      </c>
      <c r="AG1586" t="e">
        <f t="shared" si="146"/>
        <v>#REF!</v>
      </c>
      <c r="AI1586" s="58"/>
    </row>
    <row r="1587" spans="1:41" ht="15.75" customHeight="1">
      <c r="A1587" s="6" t="s">
        <v>3940</v>
      </c>
      <c r="B1587" s="5">
        <v>198</v>
      </c>
      <c r="C1587" s="7">
        <v>14231.060000000001</v>
      </c>
      <c r="D1587" s="7">
        <f t="shared" si="148"/>
        <v>0</v>
      </c>
      <c r="E1587" s="7">
        <v>0</v>
      </c>
      <c r="F1587" s="5">
        <v>0</v>
      </c>
      <c r="G1587" s="7">
        <v>0</v>
      </c>
      <c r="H1587" s="5">
        <v>0</v>
      </c>
      <c r="I1587" s="7">
        <v>0</v>
      </c>
      <c r="J1587" s="7">
        <v>0</v>
      </c>
      <c r="K1587" s="5">
        <v>0</v>
      </c>
      <c r="L1587" s="5">
        <v>0</v>
      </c>
      <c r="M1587" s="5">
        <v>195</v>
      </c>
      <c r="N1587" s="7">
        <f t="shared" si="149"/>
        <v>195</v>
      </c>
      <c r="O1587" s="7">
        <v>35407.599999999999</v>
      </c>
      <c r="P1587" s="7">
        <v>0</v>
      </c>
      <c r="Q1587" s="5">
        <v>0</v>
      </c>
      <c r="R1587" s="5">
        <v>240</v>
      </c>
      <c r="S1587" s="7">
        <v>30504</v>
      </c>
      <c r="T1587" s="12">
        <v>43361</v>
      </c>
      <c r="U1587" s="4">
        <v>6</v>
      </c>
      <c r="V1587" s="4">
        <v>9</v>
      </c>
      <c r="W1587" s="4">
        <v>9</v>
      </c>
      <c r="X1587" s="45">
        <f t="shared" si="150"/>
        <v>80142.66</v>
      </c>
      <c r="Y1587" s="14" t="s">
        <v>85</v>
      </c>
      <c r="Z1587" s="14" t="s">
        <v>3780</v>
      </c>
      <c r="AA1587" s="14">
        <f>IFERROR(VLOOKUP(A1587,'[2]UPDATE BILL 2018'!$B:$P,15,0),IFERROR(VLOOKUP(A1587,'[2]UPDATE BILL 2018'!$C:$P,14,0),IFERROR(VLOOKUP(A1587,'[2]UPDATE BILL 2018'!$D:$P,13,0),IFERROR(VLOOKUP(A1587,'[2]UPDATE BILL 2018'!$E:$P,12,0),IFERROR(VLOOKUP(A1587,'[2]UPDATE BILL 2018'!$F:$P,11,0),IFERROR(VLOOKUP(A1587,'[2]UPDATE BILL 2018'!$G:$P,10,0),IFERROR(VLOOKUP(A1587,'[2]UPDATE BILL 2018'!$H:$P,9,0),IFERROR(VLOOKUP(A1587,'[2]UPDATE BILL 2018'!$I:$P,8,0),VLOOKUP(A1587,'[2]UPDATE BILL 2018'!$B:$P,15,0)))))))))</f>
        <v>350810113200</v>
      </c>
      <c r="AB1587" s="44">
        <f>IFERROR(VLOOKUP(A1587,'[2]UPDATE BILL 2018'!$B:$T,19,0),IFERROR(VLOOKUP(A1587,'[2]UPDATE BILL 2018'!$C:$T,18,0),IFERROR(VLOOKUP(A1587,'[2]UPDATE BILL 2018'!$D:$T,17,0),IFERROR(VLOOKUP(A1587,'[2]UPDATE BILL 2018'!$E:$T,16,0),IFERROR(VLOOKUP(A1587,'[2]UPDATE BILL 2018'!$F:$T,15,0),IFERROR(VLOOKUP(A1587,'[2]UPDATE BILL 2018'!$G:$T,14,0),IFERROR(VLOOKUP(A1587,'[2]UPDATE BILL 2018'!$H:$T,13,0),IFERROR(VLOOKUP(A1587,'[2]UPDATE BILL 2018'!$I:$T,12,0),VLOOKUP(A1587,'[2]UPDATE BILL 2018'!$B:$T,19,0)))))))))</f>
        <v>43367</v>
      </c>
      <c r="AC1587" s="44" t="str">
        <f>IFERROR(VLOOKUP(A1587,'[2]UPDATE BILL 2018'!$B:$V,21,0),IFERROR(VLOOKUP(A1587,'[2]UPDATE BILL 2018'!$C:$V,20,0),IFERROR(VLOOKUP(A1587,'[2]UPDATE BILL 2018'!$D:$V,19,0),IFERROR(VLOOKUP(A1587,'[2]UPDATE BILL 2018'!$E:$V,18,0),IFERROR(VLOOKUP(A1587,'[2]UPDATE BILL 2018'!$F:$V,17,0),IFERROR(VLOOKUP(A1587,'[2]UPDATE BILL 2018'!$G:$V,16,0),IFERROR(VLOOKUP(A1587,'[2]UPDATE BILL 2018'!$H:$V,15,0),IFERROR(VLOOKUP(A1587,'[2]UPDATE BILL 2018'!$I:$V,14,0),VLOOKUP(A1587,'[2]UPDATE BILL 2018'!$B:$V,21,0)))))))))</f>
        <v>LANTAU BEE 18013N</v>
      </c>
      <c r="AD1587" s="14" t="s">
        <v>52</v>
      </c>
      <c r="AE1587" s="24" t="s">
        <v>3948</v>
      </c>
      <c r="AF1587" s="25" t="str">
        <f t="shared" si="147"/>
        <v>VQ</v>
      </c>
      <c r="AG1587" t="e">
        <f t="shared" si="146"/>
        <v>#REF!</v>
      </c>
      <c r="AI1587" s="58" t="s">
        <v>3940</v>
      </c>
    </row>
    <row r="1588" spans="1:41">
      <c r="A1588" s="6" t="s">
        <v>3941</v>
      </c>
      <c r="B1588" s="5">
        <v>652</v>
      </c>
      <c r="C1588" s="7">
        <v>55352.3</v>
      </c>
      <c r="D1588" s="7">
        <f t="shared" si="148"/>
        <v>0</v>
      </c>
      <c r="E1588" s="7">
        <v>0</v>
      </c>
      <c r="F1588" s="5">
        <v>0</v>
      </c>
      <c r="G1588" s="7">
        <v>0</v>
      </c>
      <c r="H1588" s="5">
        <v>0</v>
      </c>
      <c r="I1588" s="7">
        <v>0</v>
      </c>
      <c r="J1588" s="7">
        <v>0</v>
      </c>
      <c r="K1588" s="5">
        <v>0</v>
      </c>
      <c r="L1588" s="5">
        <v>0</v>
      </c>
      <c r="M1588" s="5">
        <v>144</v>
      </c>
      <c r="N1588" s="7">
        <f t="shared" si="149"/>
        <v>144</v>
      </c>
      <c r="O1588" s="7">
        <v>24401.999999999996</v>
      </c>
      <c r="P1588" s="7">
        <v>0</v>
      </c>
      <c r="Q1588" s="5">
        <v>0</v>
      </c>
      <c r="S1588" s="7">
        <v>0</v>
      </c>
      <c r="T1588" s="12">
        <v>43361</v>
      </c>
      <c r="U1588" s="4">
        <v>7</v>
      </c>
      <c r="V1588" s="4">
        <v>9</v>
      </c>
      <c r="W1588" s="4">
        <v>9</v>
      </c>
      <c r="X1588" s="45">
        <f t="shared" si="150"/>
        <v>79754.3</v>
      </c>
      <c r="Y1588" s="14" t="s">
        <v>56</v>
      </c>
      <c r="Z1588" s="14" t="s">
        <v>1281</v>
      </c>
      <c r="AA1588" s="14" t="str">
        <f>IFERROR(VLOOKUP(A1588,'[2]UPDATE BILL 2018'!$B:$P,15,0),IFERROR(VLOOKUP(A1588,'[2]UPDATE BILL 2018'!$C:$P,14,0),IFERROR(VLOOKUP(A1588,'[2]UPDATE BILL 2018'!$D:$P,13,0),IFERROR(VLOOKUP(A1588,'[2]UPDATE BILL 2018'!$E:$P,12,0),IFERROR(VLOOKUP(A1588,'[2]UPDATE BILL 2018'!$F:$P,11,0),IFERROR(VLOOKUP(A1588,'[2]UPDATE BILL 2018'!$G:$P,10,0),IFERROR(VLOOKUP(A1588,'[2]UPDATE BILL 2018'!$H:$P,9,0),IFERROR(VLOOKUP(A1588,'[2]UPDATE BILL 2018'!$I:$P,8,0),VLOOKUP(A1588,'[2]UPDATE BILL 2018'!$B:$P,15,0)))))))))</f>
        <v>1008X05222</v>
      </c>
      <c r="AB1588" s="44">
        <f>IFERROR(VLOOKUP(A1588,'[2]UPDATE BILL 2018'!$B:$T,19,0),IFERROR(VLOOKUP(A1588,'[2]UPDATE BILL 2018'!$C:$T,18,0),IFERROR(VLOOKUP(A1588,'[2]UPDATE BILL 2018'!$D:$T,17,0),IFERROR(VLOOKUP(A1588,'[2]UPDATE BILL 2018'!$E:$T,16,0),IFERROR(VLOOKUP(A1588,'[2]UPDATE BILL 2018'!$F:$T,15,0),IFERROR(VLOOKUP(A1588,'[2]UPDATE BILL 2018'!$G:$T,14,0),IFERROR(VLOOKUP(A1588,'[2]UPDATE BILL 2018'!$H:$T,13,0),IFERROR(VLOOKUP(A1588,'[2]UPDATE BILL 2018'!$I:$T,12,0),VLOOKUP(A1588,'[2]UPDATE BILL 2018'!$B:$T,19,0)))))))))</f>
        <v>43367</v>
      </c>
      <c r="AC1588" s="44" t="str">
        <f>IFERROR(VLOOKUP(A1588,'[2]UPDATE BILL 2018'!$B:$V,21,0),IFERROR(VLOOKUP(A1588,'[2]UPDATE BILL 2018'!$C:$V,20,0),IFERROR(VLOOKUP(A1588,'[2]UPDATE BILL 2018'!$D:$V,19,0),IFERROR(VLOOKUP(A1588,'[2]UPDATE BILL 2018'!$E:$V,18,0),IFERROR(VLOOKUP(A1588,'[2]UPDATE BILL 2018'!$F:$V,17,0),IFERROR(VLOOKUP(A1588,'[2]UPDATE BILL 2018'!$G:$V,16,0),IFERROR(VLOOKUP(A1588,'[2]UPDATE BILL 2018'!$H:$V,15,0),IFERROR(VLOOKUP(A1588,'[2]UPDATE BILL 2018'!$I:$V,14,0),VLOOKUP(A1588,'[2]UPDATE BILL 2018'!$B:$V,21,0)))))))))</f>
        <v>MOONCHILD N033</v>
      </c>
      <c r="AD1588" s="14" t="s">
        <v>51</v>
      </c>
      <c r="AE1588" s="24" t="s">
        <v>3949</v>
      </c>
      <c r="AF1588" s="25" t="str">
        <f t="shared" si="147"/>
        <v>VS</v>
      </c>
      <c r="AG1588" t="e">
        <f t="shared" si="146"/>
        <v>#REF!</v>
      </c>
      <c r="AI1588" s="58" t="s">
        <v>3941</v>
      </c>
    </row>
    <row r="1589" spans="1:41" ht="15.75" customHeight="1">
      <c r="A1589" s="6" t="s">
        <v>3942</v>
      </c>
      <c r="B1589" s="5">
        <v>473</v>
      </c>
      <c r="C1589" s="7">
        <v>32892.699999999997</v>
      </c>
      <c r="D1589" s="7">
        <f t="shared" si="148"/>
        <v>0</v>
      </c>
      <c r="E1589" s="7">
        <v>0</v>
      </c>
      <c r="F1589" s="5">
        <v>0</v>
      </c>
      <c r="G1589" s="7">
        <v>0</v>
      </c>
      <c r="H1589" s="5">
        <v>510</v>
      </c>
      <c r="I1589" s="7">
        <v>65347.450000000004</v>
      </c>
      <c r="J1589" s="7">
        <v>0</v>
      </c>
      <c r="K1589" s="5">
        <v>0</v>
      </c>
      <c r="L1589" s="5">
        <v>0</v>
      </c>
      <c r="M1589" s="5">
        <v>0</v>
      </c>
      <c r="N1589" s="7">
        <f t="shared" si="149"/>
        <v>0</v>
      </c>
      <c r="O1589" s="7">
        <v>0</v>
      </c>
      <c r="P1589" s="7">
        <v>0</v>
      </c>
      <c r="Q1589" s="5">
        <v>0</v>
      </c>
      <c r="S1589" s="7">
        <v>0</v>
      </c>
      <c r="T1589" s="12">
        <v>43361</v>
      </c>
      <c r="U1589" s="4">
        <v>8</v>
      </c>
      <c r="V1589" s="4">
        <v>9</v>
      </c>
      <c r="W1589" s="4">
        <v>9</v>
      </c>
      <c r="X1589" s="45">
        <f t="shared" si="150"/>
        <v>98240.15</v>
      </c>
      <c r="Y1589" s="14" t="s">
        <v>56</v>
      </c>
      <c r="Z1589" s="14" t="s">
        <v>3376</v>
      </c>
      <c r="AA1589" s="14">
        <f>IFERROR(VLOOKUP(A1589,'[2]UPDATE BILL 2018'!$B:$P,15,0),IFERROR(VLOOKUP(A1589,'[2]UPDATE BILL 2018'!$C:$P,14,0),IFERROR(VLOOKUP(A1589,'[2]UPDATE BILL 2018'!$D:$P,13,0),IFERROR(VLOOKUP(A1589,'[2]UPDATE BILL 2018'!$E:$P,12,0),IFERROR(VLOOKUP(A1589,'[2]UPDATE BILL 2018'!$F:$P,11,0),IFERROR(VLOOKUP(A1589,'[2]UPDATE BILL 2018'!$G:$P,10,0),IFERROR(VLOOKUP(A1589,'[2]UPDATE BILL 2018'!$H:$P,9,0),IFERROR(VLOOKUP(A1589,'[2]UPDATE BILL 2018'!$I:$P,8,0),VLOOKUP(A1589,'[2]UPDATE BILL 2018'!$B:$P,15,0)))))))))</f>
        <v>0</v>
      </c>
      <c r="AB1589" s="44">
        <f>IFERROR(VLOOKUP(A1589,'[2]UPDATE BILL 2018'!$B:$T,19,0),IFERROR(VLOOKUP(A1589,'[2]UPDATE BILL 2018'!$C:$T,18,0),IFERROR(VLOOKUP(A1589,'[2]UPDATE BILL 2018'!$D:$T,17,0),IFERROR(VLOOKUP(A1589,'[2]UPDATE BILL 2018'!$E:$T,16,0),IFERROR(VLOOKUP(A1589,'[2]UPDATE BILL 2018'!$F:$T,15,0),IFERROR(VLOOKUP(A1589,'[2]UPDATE BILL 2018'!$G:$T,14,0),IFERROR(VLOOKUP(A1589,'[2]UPDATE BILL 2018'!$H:$T,13,0),IFERROR(VLOOKUP(A1589,'[2]UPDATE BILL 2018'!$I:$T,12,0),VLOOKUP(A1589,'[2]UPDATE BILL 2018'!$B:$T,19,0)))))))))</f>
        <v>0</v>
      </c>
      <c r="AC1589" s="44">
        <f>IFERROR(VLOOKUP(A1589,'[2]UPDATE BILL 2018'!$B:$V,21,0),IFERROR(VLOOKUP(A1589,'[2]UPDATE BILL 2018'!$C:$V,20,0),IFERROR(VLOOKUP(A1589,'[2]UPDATE BILL 2018'!$D:$V,19,0),IFERROR(VLOOKUP(A1589,'[2]UPDATE BILL 2018'!$E:$V,18,0),IFERROR(VLOOKUP(A1589,'[2]UPDATE BILL 2018'!$F:$V,17,0),IFERROR(VLOOKUP(A1589,'[2]UPDATE BILL 2018'!$G:$V,16,0),IFERROR(VLOOKUP(A1589,'[2]UPDATE BILL 2018'!$H:$V,15,0),IFERROR(VLOOKUP(A1589,'[2]UPDATE BILL 2018'!$I:$V,14,0),VLOOKUP(A1589,'[2]UPDATE BILL 2018'!$B:$V,21,0)))))))))</f>
        <v>0</v>
      </c>
      <c r="AD1589" s="14" t="s">
        <v>51</v>
      </c>
      <c r="AE1589" s="24" t="s">
        <v>3950</v>
      </c>
      <c r="AF1589" s="25" t="str">
        <f t="shared" si="147"/>
        <v>VS</v>
      </c>
      <c r="AG1589" t="e">
        <f t="shared" si="146"/>
        <v>#REF!</v>
      </c>
      <c r="AI1589" s="58"/>
    </row>
    <row r="1590" spans="1:41" ht="15.75" customHeight="1">
      <c r="A1590" s="6" t="s">
        <v>3943</v>
      </c>
      <c r="D1590" s="7">
        <f t="shared" si="148"/>
        <v>0</v>
      </c>
      <c r="E1590" s="7">
        <v>0</v>
      </c>
      <c r="F1590" s="5">
        <v>0</v>
      </c>
      <c r="G1590" s="7">
        <v>0</v>
      </c>
      <c r="H1590" s="5">
        <v>0</v>
      </c>
      <c r="I1590" s="7">
        <v>0</v>
      </c>
      <c r="J1590" s="7">
        <v>0</v>
      </c>
      <c r="K1590" s="5">
        <v>0</v>
      </c>
      <c r="L1590" s="5">
        <v>0</v>
      </c>
      <c r="M1590" s="5">
        <v>106</v>
      </c>
      <c r="N1590" s="7">
        <f t="shared" si="149"/>
        <v>106</v>
      </c>
      <c r="O1590" s="7">
        <v>20008.699999999997</v>
      </c>
      <c r="P1590" s="7">
        <v>0</v>
      </c>
      <c r="Q1590" s="5">
        <v>0</v>
      </c>
      <c r="R1590" s="5">
        <v>358</v>
      </c>
      <c r="S1590" s="7">
        <v>59076.600000000006</v>
      </c>
      <c r="T1590" s="12">
        <v>43361</v>
      </c>
      <c r="U1590" s="4">
        <v>4</v>
      </c>
      <c r="V1590" s="4">
        <v>9</v>
      </c>
      <c r="W1590" s="4">
        <v>9</v>
      </c>
      <c r="X1590" s="45">
        <f t="shared" si="150"/>
        <v>79085.3</v>
      </c>
      <c r="Y1590" s="14" t="s">
        <v>54</v>
      </c>
      <c r="Z1590" s="14" t="s">
        <v>59</v>
      </c>
      <c r="AA1590" s="14" t="str">
        <f>IFERROR(VLOOKUP(A1590,'[2]UPDATE BILL 2018'!$B:$P,15,0),IFERROR(VLOOKUP(A1590,'[2]UPDATE BILL 2018'!$C:$P,14,0),IFERROR(VLOOKUP(A1590,'[2]UPDATE BILL 2018'!$D:$P,13,0),IFERROR(VLOOKUP(A1590,'[2]UPDATE BILL 2018'!$E:$P,12,0),IFERROR(VLOOKUP(A1590,'[2]UPDATE BILL 2018'!$F:$P,11,0),IFERROR(VLOOKUP(A1590,'[2]UPDATE BILL 2018'!$G:$P,10,0),IFERROR(VLOOKUP(A1590,'[2]UPDATE BILL 2018'!$H:$P,9,0),IFERROR(VLOOKUP(A1590,'[2]UPDATE BILL 2018'!$I:$P,8,0),VLOOKUP(A1590,'[2]UPDATE BILL 2018'!$B:$P,15,0)))))))))</f>
        <v>SITWHPKW178480</v>
      </c>
      <c r="AB1590" s="44">
        <f>IFERROR(VLOOKUP(A1590,'[2]UPDATE BILL 2018'!$B:$T,19,0),IFERROR(VLOOKUP(A1590,'[2]UPDATE BILL 2018'!$C:$T,18,0),IFERROR(VLOOKUP(A1590,'[2]UPDATE BILL 2018'!$D:$T,17,0),IFERROR(VLOOKUP(A1590,'[2]UPDATE BILL 2018'!$E:$T,16,0),IFERROR(VLOOKUP(A1590,'[2]UPDATE BILL 2018'!$F:$T,15,0),IFERROR(VLOOKUP(A1590,'[2]UPDATE BILL 2018'!$G:$T,14,0),IFERROR(VLOOKUP(A1590,'[2]UPDATE BILL 2018'!$H:$T,13,0),IFERROR(VLOOKUP(A1590,'[2]UPDATE BILL 2018'!$I:$T,12,0),VLOOKUP(A1590,'[2]UPDATE BILL 2018'!$B:$T,19,0)))))))))</f>
        <v>43363</v>
      </c>
      <c r="AC1590" s="44" t="str">
        <f>IFERROR(VLOOKUP(A1590,'[2]UPDATE BILL 2018'!$B:$V,21,0),IFERROR(VLOOKUP(A1590,'[2]UPDATE BILL 2018'!$C:$V,20,0),IFERROR(VLOOKUP(A1590,'[2]UPDATE BILL 2018'!$D:$V,19,0),IFERROR(VLOOKUP(A1590,'[2]UPDATE BILL 2018'!$E:$V,18,0),IFERROR(VLOOKUP(A1590,'[2]UPDATE BILL 2018'!$F:$V,17,0),IFERROR(VLOOKUP(A1590,'[2]UPDATE BILL 2018'!$G:$V,16,0),IFERROR(VLOOKUP(A1590,'[2]UPDATE BILL 2018'!$H:$V,15,0),IFERROR(VLOOKUP(A1590,'[2]UPDATE BILL 2018'!$I:$V,14,0),VLOOKUP(A1590,'[2]UPDATE BILL 2018'!$B:$V,21,0)))))))))</f>
        <v>RESURGENCE 1823N</v>
      </c>
      <c r="AD1590" s="14" t="s">
        <v>50</v>
      </c>
      <c r="AE1590" s="24" t="s">
        <v>3951</v>
      </c>
      <c r="AF1590" s="25" t="str">
        <f t="shared" si="147"/>
        <v>VW</v>
      </c>
      <c r="AG1590" t="e">
        <f t="shared" si="146"/>
        <v>#REF!</v>
      </c>
      <c r="AI1590" s="58" t="s">
        <v>3943</v>
      </c>
    </row>
    <row r="1591" spans="1:41" ht="15.75" customHeight="1">
      <c r="A1591" s="6" t="s">
        <v>3944</v>
      </c>
      <c r="B1591" s="5">
        <v>251</v>
      </c>
      <c r="C1591" s="7">
        <v>35983.979999999996</v>
      </c>
      <c r="D1591" s="7">
        <f t="shared" si="148"/>
        <v>0</v>
      </c>
      <c r="E1591" s="7">
        <v>0</v>
      </c>
      <c r="F1591" s="5">
        <v>0</v>
      </c>
      <c r="G1591" s="7">
        <v>0</v>
      </c>
      <c r="H1591" s="5">
        <v>0</v>
      </c>
      <c r="I1591" s="7">
        <v>0</v>
      </c>
      <c r="J1591" s="7">
        <v>0</v>
      </c>
      <c r="K1591" s="5">
        <v>0</v>
      </c>
      <c r="L1591" s="5">
        <v>0</v>
      </c>
      <c r="M1591" s="5">
        <v>0</v>
      </c>
      <c r="N1591" s="7">
        <f t="shared" si="149"/>
        <v>0</v>
      </c>
      <c r="O1591" s="7">
        <v>0</v>
      </c>
      <c r="P1591" s="7">
        <v>0</v>
      </c>
      <c r="Q1591" s="5">
        <v>0</v>
      </c>
      <c r="S1591" s="7">
        <v>0</v>
      </c>
      <c r="T1591" s="12">
        <v>43361</v>
      </c>
      <c r="U1591" s="4">
        <v>3</v>
      </c>
      <c r="V1591" s="4">
        <v>9</v>
      </c>
      <c r="W1591" s="4">
        <v>9</v>
      </c>
      <c r="X1591" s="45">
        <f t="shared" si="150"/>
        <v>35983.979999999996</v>
      </c>
      <c r="Y1591" s="14" t="s">
        <v>54</v>
      </c>
      <c r="Z1591" s="14" t="s">
        <v>57</v>
      </c>
      <c r="AA1591" s="14">
        <f>IFERROR(VLOOKUP(A1591,'[2]UPDATE BILL 2018'!$B:$P,15,0),IFERROR(VLOOKUP(A1591,'[2]UPDATE BILL 2018'!$C:$P,14,0),IFERROR(VLOOKUP(A1591,'[2]UPDATE BILL 2018'!$D:$P,13,0),IFERROR(VLOOKUP(A1591,'[2]UPDATE BILL 2018'!$E:$P,12,0),IFERROR(VLOOKUP(A1591,'[2]UPDATE BILL 2018'!$F:$P,11,0),IFERROR(VLOOKUP(A1591,'[2]UPDATE BILL 2018'!$G:$P,10,0),IFERROR(VLOOKUP(A1591,'[2]UPDATE BILL 2018'!$H:$P,9,0),IFERROR(VLOOKUP(A1591,'[2]UPDATE BILL 2018'!$I:$P,8,0),VLOOKUP(A1591,'[2]UPDATE BILL 2018'!$B:$P,15,0)))))))))</f>
        <v>0</v>
      </c>
      <c r="AB1591" s="44">
        <f>IFERROR(VLOOKUP(A1591,'[2]UPDATE BILL 2018'!$B:$T,19,0),IFERROR(VLOOKUP(A1591,'[2]UPDATE BILL 2018'!$C:$T,18,0),IFERROR(VLOOKUP(A1591,'[2]UPDATE BILL 2018'!$D:$T,17,0),IFERROR(VLOOKUP(A1591,'[2]UPDATE BILL 2018'!$E:$T,16,0),IFERROR(VLOOKUP(A1591,'[2]UPDATE BILL 2018'!$F:$T,15,0),IFERROR(VLOOKUP(A1591,'[2]UPDATE BILL 2018'!$G:$T,14,0),IFERROR(VLOOKUP(A1591,'[2]UPDATE BILL 2018'!$H:$T,13,0),IFERROR(VLOOKUP(A1591,'[2]UPDATE BILL 2018'!$I:$T,12,0),VLOOKUP(A1591,'[2]UPDATE BILL 2018'!$B:$T,19,0)))))))))</f>
        <v>0</v>
      </c>
      <c r="AC1591" s="44">
        <f>IFERROR(VLOOKUP(A1591,'[2]UPDATE BILL 2018'!$B:$V,21,0),IFERROR(VLOOKUP(A1591,'[2]UPDATE BILL 2018'!$C:$V,20,0),IFERROR(VLOOKUP(A1591,'[2]UPDATE BILL 2018'!$D:$V,19,0),IFERROR(VLOOKUP(A1591,'[2]UPDATE BILL 2018'!$E:$V,18,0),IFERROR(VLOOKUP(A1591,'[2]UPDATE BILL 2018'!$F:$V,17,0),IFERROR(VLOOKUP(A1591,'[2]UPDATE BILL 2018'!$G:$V,16,0),IFERROR(VLOOKUP(A1591,'[2]UPDATE BILL 2018'!$H:$V,15,0),IFERROR(VLOOKUP(A1591,'[2]UPDATE BILL 2018'!$I:$V,14,0),VLOOKUP(A1591,'[2]UPDATE BILL 2018'!$B:$V,21,0)))))))))</f>
        <v>0</v>
      </c>
      <c r="AD1591" s="14" t="s">
        <v>50</v>
      </c>
      <c r="AE1591" s="24" t="s">
        <v>3952</v>
      </c>
      <c r="AF1591" s="25" t="str">
        <f t="shared" si="147"/>
        <v>VW</v>
      </c>
      <c r="AG1591" t="e">
        <f t="shared" si="146"/>
        <v>#REF!</v>
      </c>
      <c r="AI1591" s="58"/>
    </row>
    <row r="1592" spans="1:41" ht="15.75" customHeight="1">
      <c r="A1592" s="6" t="s">
        <v>3945</v>
      </c>
      <c r="D1592" s="7">
        <f t="shared" ref="D1592:D1654" si="151">E1592+F1592</f>
        <v>0</v>
      </c>
      <c r="E1592" s="7">
        <v>0</v>
      </c>
      <c r="F1592" s="5">
        <v>0</v>
      </c>
      <c r="G1592" s="7">
        <v>0</v>
      </c>
      <c r="H1592" s="5">
        <v>95</v>
      </c>
      <c r="I1592" s="7">
        <v>10706.5</v>
      </c>
      <c r="J1592" s="7">
        <v>0</v>
      </c>
      <c r="K1592" s="5">
        <v>0</v>
      </c>
      <c r="L1592" s="5">
        <v>0</v>
      </c>
      <c r="M1592" s="5">
        <v>0</v>
      </c>
      <c r="N1592" s="7">
        <f t="shared" ref="N1592:N1654" si="152">M1592-K1592</f>
        <v>0</v>
      </c>
      <c r="O1592" s="7">
        <v>0</v>
      </c>
      <c r="P1592" s="7">
        <v>0</v>
      </c>
      <c r="Q1592" s="5">
        <v>0</v>
      </c>
      <c r="S1592" s="7">
        <v>0</v>
      </c>
      <c r="T1592" s="12">
        <v>43361</v>
      </c>
      <c r="U1592" s="4">
        <v>1</v>
      </c>
      <c r="V1592" s="4">
        <v>9</v>
      </c>
      <c r="W1592" s="4">
        <v>9</v>
      </c>
      <c r="X1592" s="45">
        <f t="shared" ref="X1592:X1654" si="153">+C1592+G1592+I1592+O1592+S1592</f>
        <v>10706.5</v>
      </c>
      <c r="Y1592" s="14" t="s">
        <v>54</v>
      </c>
      <c r="Z1592" s="14" t="s">
        <v>59</v>
      </c>
      <c r="AA1592" s="14" t="str">
        <f>IFERROR(VLOOKUP(A1592,'[2]UPDATE BILL 2018'!$B:$P,15,0),IFERROR(VLOOKUP(A1592,'[2]UPDATE BILL 2018'!$C:$P,14,0),IFERROR(VLOOKUP(A1592,'[2]UPDATE BILL 2018'!$D:$P,13,0),IFERROR(VLOOKUP(A1592,'[2]UPDATE BILL 2018'!$E:$P,12,0),IFERROR(VLOOKUP(A1592,'[2]UPDATE BILL 2018'!$F:$P,11,0),IFERROR(VLOOKUP(A1592,'[2]UPDATE BILL 2018'!$G:$P,10,0),IFERROR(VLOOKUP(A1592,'[2]UPDATE BILL 2018'!$H:$P,9,0),IFERROR(VLOOKUP(A1592,'[2]UPDATE BILL 2018'!$I:$P,8,0),VLOOKUP(A1592,'[2]UPDATE BILL 2018'!$B:$P,15,0)))))))))</f>
        <v>SITWHPTK179096</v>
      </c>
      <c r="AB1592" s="44">
        <f>IFERROR(VLOOKUP(A1592,'[2]UPDATE BILL 2018'!$B:$T,19,0),IFERROR(VLOOKUP(A1592,'[2]UPDATE BILL 2018'!$C:$T,18,0),IFERROR(VLOOKUP(A1592,'[2]UPDATE BILL 2018'!$D:$T,17,0),IFERROR(VLOOKUP(A1592,'[2]UPDATE BILL 2018'!$E:$T,16,0),IFERROR(VLOOKUP(A1592,'[2]UPDATE BILL 2018'!$F:$T,15,0),IFERROR(VLOOKUP(A1592,'[2]UPDATE BILL 2018'!$G:$T,14,0),IFERROR(VLOOKUP(A1592,'[2]UPDATE BILL 2018'!$H:$T,13,0),IFERROR(VLOOKUP(A1592,'[2]UPDATE BILL 2018'!$I:$T,12,0),VLOOKUP(A1592,'[2]UPDATE BILL 2018'!$B:$T,19,0)))))))))</f>
        <v>43367</v>
      </c>
      <c r="AC1592" s="44" t="str">
        <f>IFERROR(VLOOKUP(A1592,'[2]UPDATE BILL 2018'!$B:$V,21,0),IFERROR(VLOOKUP(A1592,'[2]UPDATE BILL 2018'!$C:$V,20,0),IFERROR(VLOOKUP(A1592,'[2]UPDATE BILL 2018'!$D:$V,19,0),IFERROR(VLOOKUP(A1592,'[2]UPDATE BILL 2018'!$E:$V,18,0),IFERROR(VLOOKUP(A1592,'[2]UPDATE BILL 2018'!$F:$V,17,0),IFERROR(VLOOKUP(A1592,'[2]UPDATE BILL 2018'!$G:$V,16,0),IFERROR(VLOOKUP(A1592,'[2]UPDATE BILL 2018'!$H:$V,15,0),IFERROR(VLOOKUP(A1592,'[2]UPDATE BILL 2018'!$I:$V,14,0),VLOOKUP(A1592,'[2]UPDATE BILL 2018'!$B:$V,21,0)))))))))</f>
        <v>HYUNDAI HARMONY 1835N</v>
      </c>
      <c r="AD1592" s="14" t="s">
        <v>49</v>
      </c>
      <c r="AE1592" s="24" t="s">
        <v>3953</v>
      </c>
      <c r="AF1592" s="25" t="str">
        <f t="shared" si="147"/>
        <v>VZ</v>
      </c>
      <c r="AG1592" s="58" t="e">
        <f t="shared" si="146"/>
        <v>#REF!</v>
      </c>
      <c r="AH1592" s="58"/>
      <c r="AI1592" s="58" t="s">
        <v>3945</v>
      </c>
      <c r="AJ1592" s="58"/>
      <c r="AK1592" s="58"/>
      <c r="AL1592" s="58"/>
      <c r="AM1592" s="58"/>
      <c r="AN1592" s="58"/>
      <c r="AO1592" s="58"/>
    </row>
    <row r="1593" spans="1:41" ht="15.75" customHeight="1">
      <c r="A1593" s="6" t="s">
        <v>3954</v>
      </c>
      <c r="B1593" s="5">
        <v>123</v>
      </c>
      <c r="C1593" s="7">
        <v>10390.84</v>
      </c>
      <c r="D1593" s="7">
        <f t="shared" si="151"/>
        <v>0</v>
      </c>
      <c r="E1593" s="7">
        <v>0</v>
      </c>
      <c r="F1593" s="5">
        <v>0</v>
      </c>
      <c r="G1593" s="7">
        <v>0</v>
      </c>
      <c r="H1593" s="5">
        <v>5</v>
      </c>
      <c r="I1593" s="7">
        <v>706.55</v>
      </c>
      <c r="J1593" s="7">
        <v>0</v>
      </c>
      <c r="K1593" s="5">
        <v>0</v>
      </c>
      <c r="L1593" s="5">
        <v>0</v>
      </c>
      <c r="M1593" s="5">
        <v>0</v>
      </c>
      <c r="N1593" s="7">
        <f t="shared" si="152"/>
        <v>0</v>
      </c>
      <c r="O1593" s="7">
        <v>0</v>
      </c>
      <c r="P1593" s="7">
        <v>0</v>
      </c>
      <c r="Q1593" s="5">
        <v>0</v>
      </c>
      <c r="S1593" s="7">
        <v>0</v>
      </c>
      <c r="T1593" s="12">
        <v>43362</v>
      </c>
      <c r="U1593" s="4">
        <v>1</v>
      </c>
      <c r="V1593" s="4">
        <v>9</v>
      </c>
      <c r="W1593" s="4">
        <v>9</v>
      </c>
      <c r="X1593" s="45">
        <f t="shared" si="153"/>
        <v>11097.39</v>
      </c>
      <c r="Y1593" s="14" t="s">
        <v>1633</v>
      </c>
      <c r="Z1593" s="14" t="s">
        <v>3780</v>
      </c>
      <c r="AA1593" s="14" t="str">
        <f>IFERROR(VLOOKUP(A1593,'[2]UPDATE BILL 2018'!$B:$P,15,0),IFERROR(VLOOKUP(A1593,'[2]UPDATE BILL 2018'!$C:$P,14,0),IFERROR(VLOOKUP(A1593,'[2]UPDATE BILL 2018'!$D:$P,13,0),IFERROR(VLOOKUP(A1593,'[2]UPDATE BILL 2018'!$E:$P,12,0),IFERROR(VLOOKUP(A1593,'[2]UPDATE BILL 2018'!$F:$P,11,0),IFERROR(VLOOKUP(A1593,'[2]UPDATE BILL 2018'!$G:$P,10,0),IFERROR(VLOOKUP(A1593,'[2]UPDATE BILL 2018'!$H:$P,9,0),IFERROR(VLOOKUP(A1593,'[2]UPDATE BILL 2018'!$I:$P,8,0),VLOOKUP(A1593,'[2]UPDATE BILL 2018'!$B:$P,15,0)))))))))</f>
        <v>KMTCHPH0595245</v>
      </c>
      <c r="AB1593" s="44">
        <f>IFERROR(VLOOKUP(A1593,'[2]UPDATE BILL 2018'!$B:$T,19,0),IFERROR(VLOOKUP(A1593,'[2]UPDATE BILL 2018'!$C:$T,18,0),IFERROR(VLOOKUP(A1593,'[2]UPDATE BILL 2018'!$D:$T,17,0),IFERROR(VLOOKUP(A1593,'[2]UPDATE BILL 2018'!$E:$T,16,0),IFERROR(VLOOKUP(A1593,'[2]UPDATE BILL 2018'!$F:$T,15,0),IFERROR(VLOOKUP(A1593,'[2]UPDATE BILL 2018'!$G:$T,14,0),IFERROR(VLOOKUP(A1593,'[2]UPDATE BILL 2018'!$H:$T,13,0),IFERROR(VLOOKUP(A1593,'[2]UPDATE BILL 2018'!$I:$T,12,0),VLOOKUP(A1593,'[2]UPDATE BILL 2018'!$B:$T,19,0)))))))))</f>
        <v>43367</v>
      </c>
      <c r="AC1593" s="44" t="str">
        <f>IFERROR(VLOOKUP(A1593,'[2]UPDATE BILL 2018'!$B:$V,21,0),IFERROR(VLOOKUP(A1593,'[2]UPDATE BILL 2018'!$C:$V,20,0),IFERROR(VLOOKUP(A1593,'[2]UPDATE BILL 2018'!$D:$V,19,0),IFERROR(VLOOKUP(A1593,'[2]UPDATE BILL 2018'!$E:$V,18,0),IFERROR(VLOOKUP(A1593,'[2]UPDATE BILL 2018'!$F:$V,17,0),IFERROR(VLOOKUP(A1593,'[2]UPDATE BILL 2018'!$G:$V,16,0),IFERROR(VLOOKUP(A1593,'[2]UPDATE BILL 2018'!$H:$V,15,0),IFERROR(VLOOKUP(A1593,'[2]UPDATE BILL 2018'!$I:$V,14,0),VLOOKUP(A1593,'[2]UPDATE BILL 2018'!$B:$V,21,0)))))))))</f>
        <v>SUNNY IRIS 1825N</v>
      </c>
      <c r="AD1593" s="14" t="s">
        <v>70</v>
      </c>
      <c r="AE1593" s="24" t="s">
        <v>3964</v>
      </c>
      <c r="AF1593" s="25" t="str">
        <f t="shared" si="147"/>
        <v>VH</v>
      </c>
      <c r="AG1593" s="58" t="e">
        <f t="shared" si="146"/>
        <v>#REF!</v>
      </c>
      <c r="AH1593" s="58"/>
      <c r="AI1593" s="58" t="s">
        <v>3954</v>
      </c>
      <c r="AJ1593" s="58"/>
      <c r="AK1593" s="58"/>
      <c r="AL1593" s="58"/>
      <c r="AM1593" s="58"/>
      <c r="AN1593" s="58"/>
      <c r="AO1593" s="58"/>
    </row>
    <row r="1594" spans="1:41" ht="15.75" customHeight="1">
      <c r="A1594" s="6" t="s">
        <v>3955</v>
      </c>
      <c r="D1594" s="7">
        <f t="shared" si="151"/>
        <v>0</v>
      </c>
      <c r="E1594" s="7">
        <v>0</v>
      </c>
      <c r="F1594" s="5">
        <v>0</v>
      </c>
      <c r="G1594" s="7">
        <v>0</v>
      </c>
      <c r="H1594" s="5">
        <v>205</v>
      </c>
      <c r="I1594" s="7">
        <v>25304.6</v>
      </c>
      <c r="J1594" s="7">
        <v>0</v>
      </c>
      <c r="K1594" s="5">
        <v>0</v>
      </c>
      <c r="L1594" s="5">
        <v>0</v>
      </c>
      <c r="M1594" s="5">
        <v>0</v>
      </c>
      <c r="N1594" s="7">
        <f t="shared" si="152"/>
        <v>0</v>
      </c>
      <c r="O1594" s="7">
        <v>0</v>
      </c>
      <c r="P1594" s="7">
        <v>0</v>
      </c>
      <c r="Q1594" s="5">
        <v>0</v>
      </c>
      <c r="S1594" s="7">
        <v>0</v>
      </c>
      <c r="T1594" s="12">
        <v>43362</v>
      </c>
      <c r="U1594" s="4">
        <v>2</v>
      </c>
      <c r="V1594" s="4">
        <v>9</v>
      </c>
      <c r="W1594" s="4">
        <v>9</v>
      </c>
      <c r="X1594" s="45">
        <f t="shared" si="153"/>
        <v>25304.6</v>
      </c>
      <c r="Y1594" s="14" t="s">
        <v>54</v>
      </c>
      <c r="Z1594" s="14" t="s">
        <v>59</v>
      </c>
      <c r="AA1594" s="14">
        <f>IFERROR(VLOOKUP(A1594,'[2]UPDATE BILL 2018'!$B:$P,15,0),IFERROR(VLOOKUP(A1594,'[2]UPDATE BILL 2018'!$C:$P,14,0),IFERROR(VLOOKUP(A1594,'[2]UPDATE BILL 2018'!$D:$P,13,0),IFERROR(VLOOKUP(A1594,'[2]UPDATE BILL 2018'!$E:$P,12,0),IFERROR(VLOOKUP(A1594,'[2]UPDATE BILL 2018'!$F:$P,11,0),IFERROR(VLOOKUP(A1594,'[2]UPDATE BILL 2018'!$G:$P,10,0),IFERROR(VLOOKUP(A1594,'[2]UPDATE BILL 2018'!$H:$P,9,0),IFERROR(VLOOKUP(A1594,'[2]UPDATE BILL 2018'!$I:$P,8,0),VLOOKUP(A1594,'[2]UPDATE BILL 2018'!$B:$P,15,0)))))))))</f>
        <v>0</v>
      </c>
      <c r="AB1594" s="44">
        <f>IFERROR(VLOOKUP(A1594,'[2]UPDATE BILL 2018'!$B:$T,19,0),IFERROR(VLOOKUP(A1594,'[2]UPDATE BILL 2018'!$C:$T,18,0),IFERROR(VLOOKUP(A1594,'[2]UPDATE BILL 2018'!$D:$T,17,0),IFERROR(VLOOKUP(A1594,'[2]UPDATE BILL 2018'!$E:$T,16,0),IFERROR(VLOOKUP(A1594,'[2]UPDATE BILL 2018'!$F:$T,15,0),IFERROR(VLOOKUP(A1594,'[2]UPDATE BILL 2018'!$G:$T,14,0),IFERROR(VLOOKUP(A1594,'[2]UPDATE BILL 2018'!$H:$T,13,0),IFERROR(VLOOKUP(A1594,'[2]UPDATE BILL 2018'!$I:$T,12,0),VLOOKUP(A1594,'[2]UPDATE BILL 2018'!$B:$T,19,0)))))))))</f>
        <v>0</v>
      </c>
      <c r="AC1594" s="44">
        <f>IFERROR(VLOOKUP(A1594,'[2]UPDATE BILL 2018'!$B:$V,21,0),IFERROR(VLOOKUP(A1594,'[2]UPDATE BILL 2018'!$C:$V,20,0),IFERROR(VLOOKUP(A1594,'[2]UPDATE BILL 2018'!$D:$V,19,0),IFERROR(VLOOKUP(A1594,'[2]UPDATE BILL 2018'!$E:$V,18,0),IFERROR(VLOOKUP(A1594,'[2]UPDATE BILL 2018'!$F:$V,17,0),IFERROR(VLOOKUP(A1594,'[2]UPDATE BILL 2018'!$G:$V,16,0),IFERROR(VLOOKUP(A1594,'[2]UPDATE BILL 2018'!$H:$V,15,0),IFERROR(VLOOKUP(A1594,'[2]UPDATE BILL 2018'!$I:$V,14,0),VLOOKUP(A1594,'[2]UPDATE BILL 2018'!$B:$V,21,0)))))))))</f>
        <v>0</v>
      </c>
      <c r="AD1594" s="14" t="s">
        <v>49</v>
      </c>
      <c r="AE1594" s="24" t="s">
        <v>3965</v>
      </c>
      <c r="AF1594" s="25" t="str">
        <f t="shared" si="147"/>
        <v>VK</v>
      </c>
      <c r="AG1594" s="58" t="e">
        <f t="shared" si="146"/>
        <v>#REF!</v>
      </c>
      <c r="AH1594" s="58"/>
      <c r="AI1594" s="58"/>
      <c r="AJ1594" s="58"/>
      <c r="AK1594" s="58"/>
      <c r="AL1594" s="58"/>
      <c r="AM1594" s="58"/>
      <c r="AN1594" s="58"/>
      <c r="AO1594" s="58"/>
    </row>
    <row r="1595" spans="1:41" ht="15.75" customHeight="1">
      <c r="A1595" s="6" t="s">
        <v>3957</v>
      </c>
      <c r="B1595" s="5">
        <v>74</v>
      </c>
      <c r="C1595" s="7">
        <v>10185.299999999999</v>
      </c>
      <c r="D1595" s="7">
        <f t="shared" si="151"/>
        <v>0</v>
      </c>
      <c r="E1595" s="7">
        <v>0</v>
      </c>
      <c r="F1595" s="5">
        <v>0</v>
      </c>
      <c r="G1595" s="7">
        <v>0</v>
      </c>
      <c r="H1595" s="5">
        <v>0</v>
      </c>
      <c r="I1595" s="7">
        <v>0</v>
      </c>
      <c r="J1595" s="7">
        <v>0</v>
      </c>
      <c r="K1595" s="5">
        <v>0</v>
      </c>
      <c r="L1595" s="5">
        <v>0</v>
      </c>
      <c r="M1595" s="5">
        <v>6</v>
      </c>
      <c r="N1595" s="7">
        <f t="shared" si="152"/>
        <v>6</v>
      </c>
      <c r="O1595" s="7">
        <v>991.8</v>
      </c>
      <c r="P1595" s="7">
        <v>0</v>
      </c>
      <c r="Q1595" s="5">
        <v>0</v>
      </c>
      <c r="S1595" s="7">
        <v>0</v>
      </c>
      <c r="T1595" s="12">
        <v>43362</v>
      </c>
      <c r="U1595" s="4">
        <v>1</v>
      </c>
      <c r="V1595" s="4">
        <v>9</v>
      </c>
      <c r="W1595" s="4">
        <v>9</v>
      </c>
      <c r="X1595" s="45">
        <f t="shared" si="153"/>
        <v>11177.099999999999</v>
      </c>
      <c r="Y1595" s="14" t="s">
        <v>56</v>
      </c>
      <c r="Z1595" s="14" t="s">
        <v>3376</v>
      </c>
      <c r="AA1595" s="14" t="str">
        <f>IFERROR(VLOOKUP(A1595,'[2]UPDATE BILL 2018'!$B:$P,15,0),IFERROR(VLOOKUP(A1595,'[2]UPDATE BILL 2018'!$C:$P,14,0),IFERROR(VLOOKUP(A1595,'[2]UPDATE BILL 2018'!$D:$P,13,0),IFERROR(VLOOKUP(A1595,'[2]UPDATE BILL 2018'!$E:$P,12,0),IFERROR(VLOOKUP(A1595,'[2]UPDATE BILL 2018'!$F:$P,11,0),IFERROR(VLOOKUP(A1595,'[2]UPDATE BILL 2018'!$G:$P,10,0),IFERROR(VLOOKUP(A1595,'[2]UPDATE BILL 2018'!$H:$P,9,0),IFERROR(VLOOKUP(A1595,'[2]UPDATE BILL 2018'!$I:$P,8,0),VLOOKUP(A1595,'[2]UPDATE BILL 2018'!$B:$P,15,0)))))))))</f>
        <v>1008X05432</v>
      </c>
      <c r="AB1595" s="44">
        <f>IFERROR(VLOOKUP(A1595,'[2]UPDATE BILL 2018'!$B:$T,19,0),IFERROR(VLOOKUP(A1595,'[2]UPDATE BILL 2018'!$C:$T,18,0),IFERROR(VLOOKUP(A1595,'[2]UPDATE BILL 2018'!$D:$T,17,0),IFERROR(VLOOKUP(A1595,'[2]UPDATE BILL 2018'!$E:$T,16,0),IFERROR(VLOOKUP(A1595,'[2]UPDATE BILL 2018'!$F:$T,15,0),IFERROR(VLOOKUP(A1595,'[2]UPDATE BILL 2018'!$G:$T,14,0),IFERROR(VLOOKUP(A1595,'[2]UPDATE BILL 2018'!$H:$T,13,0),IFERROR(VLOOKUP(A1595,'[2]UPDATE BILL 2018'!$I:$T,12,0),VLOOKUP(A1595,'[2]UPDATE BILL 2018'!$B:$T,19,0)))))))))</f>
        <v>43365</v>
      </c>
      <c r="AC1595" s="44" t="str">
        <f>IFERROR(VLOOKUP(A1595,'[2]UPDATE BILL 2018'!$B:$V,21,0),IFERROR(VLOOKUP(A1595,'[2]UPDATE BILL 2018'!$C:$V,20,0),IFERROR(VLOOKUP(A1595,'[2]UPDATE BILL 2018'!$D:$V,19,0),IFERROR(VLOOKUP(A1595,'[2]UPDATE BILL 2018'!$E:$V,18,0),IFERROR(VLOOKUP(A1595,'[2]UPDATE BILL 2018'!$F:$V,17,0),IFERROR(VLOOKUP(A1595,'[2]UPDATE BILL 2018'!$G:$V,16,0),IFERROR(VLOOKUP(A1595,'[2]UPDATE BILL 2018'!$H:$V,15,0),IFERROR(VLOOKUP(A1595,'[2]UPDATE BILL 2018'!$I:$V,14,0),VLOOKUP(A1595,'[2]UPDATE BILL 2018'!$B:$V,21,0)))))))))</f>
        <v>WAN HAI 162 N324</v>
      </c>
      <c r="AD1595" s="14" t="s">
        <v>49</v>
      </c>
      <c r="AE1595" s="24" t="s">
        <v>3966</v>
      </c>
      <c r="AF1595" s="25" t="str">
        <f t="shared" si="147"/>
        <v>VN</v>
      </c>
      <c r="AG1595" s="58" t="e">
        <f t="shared" si="146"/>
        <v>#REF!</v>
      </c>
      <c r="AH1595" s="58"/>
      <c r="AI1595" s="58" t="s">
        <v>3957</v>
      </c>
      <c r="AJ1595" s="58"/>
      <c r="AK1595" s="58"/>
      <c r="AL1595" s="58"/>
      <c r="AM1595" s="58"/>
      <c r="AN1595" s="58"/>
      <c r="AO1595" s="58"/>
    </row>
    <row r="1596" spans="1:41" ht="15.75" customHeight="1">
      <c r="A1596" s="6" t="s">
        <v>3958</v>
      </c>
      <c r="B1596" s="5">
        <v>99</v>
      </c>
      <c r="C1596" s="7">
        <v>9721.48</v>
      </c>
      <c r="D1596" s="7">
        <f t="shared" si="151"/>
        <v>0</v>
      </c>
      <c r="E1596" s="7">
        <v>0</v>
      </c>
      <c r="F1596" s="5">
        <v>0</v>
      </c>
      <c r="G1596" s="7">
        <v>0</v>
      </c>
      <c r="H1596" s="5">
        <v>80</v>
      </c>
      <c r="I1596" s="7">
        <v>2006</v>
      </c>
      <c r="J1596" s="7">
        <v>0</v>
      </c>
      <c r="K1596" s="5">
        <v>0</v>
      </c>
      <c r="L1596" s="5">
        <v>0</v>
      </c>
      <c r="M1596" s="5">
        <v>20</v>
      </c>
      <c r="N1596" s="7">
        <f t="shared" si="152"/>
        <v>20</v>
      </c>
      <c r="O1596" s="7">
        <v>472</v>
      </c>
      <c r="P1596" s="7">
        <v>0</v>
      </c>
      <c r="Q1596" s="5">
        <v>0</v>
      </c>
      <c r="R1596" s="5">
        <v>20</v>
      </c>
      <c r="S1596" s="7">
        <v>1002</v>
      </c>
      <c r="T1596" s="12">
        <v>43362</v>
      </c>
      <c r="U1596" s="4">
        <v>1</v>
      </c>
      <c r="V1596" s="4">
        <v>9</v>
      </c>
      <c r="W1596" s="4">
        <v>9</v>
      </c>
      <c r="X1596" s="45">
        <f t="shared" si="153"/>
        <v>13201.48</v>
      </c>
      <c r="Y1596" s="14" t="s">
        <v>85</v>
      </c>
      <c r="Z1596" s="14" t="s">
        <v>3780</v>
      </c>
      <c r="AA1596" s="14">
        <f>IFERROR(VLOOKUP(A1596,'[2]UPDATE BILL 2018'!$B:$P,15,0),IFERROR(VLOOKUP(A1596,'[2]UPDATE BILL 2018'!$C:$P,14,0),IFERROR(VLOOKUP(A1596,'[2]UPDATE BILL 2018'!$D:$P,13,0),IFERROR(VLOOKUP(A1596,'[2]UPDATE BILL 2018'!$E:$P,12,0),IFERROR(VLOOKUP(A1596,'[2]UPDATE BILL 2018'!$F:$P,11,0),IFERROR(VLOOKUP(A1596,'[2]UPDATE BILL 2018'!$G:$P,10,0),IFERROR(VLOOKUP(A1596,'[2]UPDATE BILL 2018'!$H:$P,9,0),IFERROR(VLOOKUP(A1596,'[2]UPDATE BILL 2018'!$I:$P,8,0),VLOOKUP(A1596,'[2]UPDATE BILL 2018'!$B:$P,15,0)))))))))</f>
        <v>350810113200</v>
      </c>
      <c r="AB1596" s="44">
        <f>IFERROR(VLOOKUP(A1596,'[2]UPDATE BILL 2018'!$B:$T,19,0),IFERROR(VLOOKUP(A1596,'[2]UPDATE BILL 2018'!$C:$T,18,0),IFERROR(VLOOKUP(A1596,'[2]UPDATE BILL 2018'!$D:$T,17,0),IFERROR(VLOOKUP(A1596,'[2]UPDATE BILL 2018'!$E:$T,16,0),IFERROR(VLOOKUP(A1596,'[2]UPDATE BILL 2018'!$F:$T,15,0),IFERROR(VLOOKUP(A1596,'[2]UPDATE BILL 2018'!$G:$T,14,0),IFERROR(VLOOKUP(A1596,'[2]UPDATE BILL 2018'!$H:$T,13,0),IFERROR(VLOOKUP(A1596,'[2]UPDATE BILL 2018'!$I:$T,12,0),VLOOKUP(A1596,'[2]UPDATE BILL 2018'!$B:$T,19,0)))))))))</f>
        <v>43367</v>
      </c>
      <c r="AC1596" s="44" t="str">
        <f>IFERROR(VLOOKUP(A1596,'[2]UPDATE BILL 2018'!$B:$V,21,0),IFERROR(VLOOKUP(A1596,'[2]UPDATE BILL 2018'!$C:$V,20,0),IFERROR(VLOOKUP(A1596,'[2]UPDATE BILL 2018'!$D:$V,19,0),IFERROR(VLOOKUP(A1596,'[2]UPDATE BILL 2018'!$E:$V,18,0),IFERROR(VLOOKUP(A1596,'[2]UPDATE BILL 2018'!$F:$V,17,0),IFERROR(VLOOKUP(A1596,'[2]UPDATE BILL 2018'!$G:$V,16,0),IFERROR(VLOOKUP(A1596,'[2]UPDATE BILL 2018'!$H:$V,15,0),IFERROR(VLOOKUP(A1596,'[2]UPDATE BILL 2018'!$I:$V,14,0),VLOOKUP(A1596,'[2]UPDATE BILL 2018'!$B:$V,21,0)))))))))</f>
        <v>LANTAU BEE 18013N</v>
      </c>
      <c r="AD1596" s="14" t="s">
        <v>52</v>
      </c>
      <c r="AE1596" s="24" t="s">
        <v>3967</v>
      </c>
      <c r="AF1596" s="25" t="str">
        <f t="shared" si="147"/>
        <v>VQ</v>
      </c>
      <c r="AG1596" s="58" t="e">
        <f t="shared" si="146"/>
        <v>#REF!</v>
      </c>
      <c r="AH1596" s="58"/>
      <c r="AI1596" s="58" t="s">
        <v>3958</v>
      </c>
      <c r="AJ1596" s="58"/>
      <c r="AK1596" s="58"/>
      <c r="AL1596" s="58"/>
      <c r="AM1596" s="58"/>
      <c r="AN1596" s="58"/>
      <c r="AO1596" s="58"/>
    </row>
    <row r="1597" spans="1:41" ht="15.75" customHeight="1">
      <c r="A1597" s="6" t="s">
        <v>3959</v>
      </c>
      <c r="B1597" s="5">
        <v>434</v>
      </c>
      <c r="C1597" s="7">
        <v>48883.549999999988</v>
      </c>
      <c r="D1597" s="7">
        <f t="shared" si="151"/>
        <v>0</v>
      </c>
      <c r="E1597" s="7">
        <v>0</v>
      </c>
      <c r="F1597" s="5">
        <v>0</v>
      </c>
      <c r="G1597" s="7">
        <v>0</v>
      </c>
      <c r="H1597" s="5">
        <v>195</v>
      </c>
      <c r="I1597" s="7">
        <v>23067.700000000004</v>
      </c>
      <c r="J1597" s="7">
        <v>0</v>
      </c>
      <c r="K1597" s="5">
        <v>0</v>
      </c>
      <c r="L1597" s="5">
        <v>0</v>
      </c>
      <c r="M1597" s="5">
        <v>0</v>
      </c>
      <c r="N1597" s="7">
        <f t="shared" si="152"/>
        <v>0</v>
      </c>
      <c r="O1597" s="7">
        <v>0</v>
      </c>
      <c r="P1597" s="7">
        <v>0</v>
      </c>
      <c r="Q1597" s="5">
        <v>0</v>
      </c>
      <c r="S1597" s="7">
        <v>0</v>
      </c>
      <c r="T1597" s="12">
        <v>43362</v>
      </c>
      <c r="U1597" s="4">
        <v>6</v>
      </c>
      <c r="V1597" s="4">
        <v>9</v>
      </c>
      <c r="W1597" s="4">
        <v>9</v>
      </c>
      <c r="X1597" s="45">
        <f t="shared" si="153"/>
        <v>71951.25</v>
      </c>
      <c r="Y1597" s="14" t="s">
        <v>56</v>
      </c>
      <c r="Z1597" s="14" t="s">
        <v>3780</v>
      </c>
      <c r="AA1597" s="14" t="str">
        <f>IFERROR(VLOOKUP(A1597,'[2]UPDATE BILL 2018'!$B:$P,15,0),IFERROR(VLOOKUP(A1597,'[2]UPDATE BILL 2018'!$C:$P,14,0),IFERROR(VLOOKUP(A1597,'[2]UPDATE BILL 2018'!$D:$P,13,0),IFERROR(VLOOKUP(A1597,'[2]UPDATE BILL 2018'!$E:$P,12,0),IFERROR(VLOOKUP(A1597,'[2]UPDATE BILL 2018'!$F:$P,11,0),IFERROR(VLOOKUP(A1597,'[2]UPDATE BILL 2018'!$G:$P,10,0),IFERROR(VLOOKUP(A1597,'[2]UPDATE BILL 2018'!$H:$P,9,0),IFERROR(VLOOKUP(A1597,'[2]UPDATE BILL 2018'!$I:$P,8,0),VLOOKUP(A1597,'[2]UPDATE BILL 2018'!$B:$P,15,0)))))))))</f>
        <v>1008X05428</v>
      </c>
      <c r="AB1597" s="44">
        <f>IFERROR(VLOOKUP(A1597,'[2]UPDATE BILL 2018'!$B:$T,19,0),IFERROR(VLOOKUP(A1597,'[2]UPDATE BILL 2018'!$C:$T,18,0),IFERROR(VLOOKUP(A1597,'[2]UPDATE BILL 2018'!$D:$T,17,0),IFERROR(VLOOKUP(A1597,'[2]UPDATE BILL 2018'!$E:$T,16,0),IFERROR(VLOOKUP(A1597,'[2]UPDATE BILL 2018'!$F:$T,15,0),IFERROR(VLOOKUP(A1597,'[2]UPDATE BILL 2018'!$G:$T,14,0),IFERROR(VLOOKUP(A1597,'[2]UPDATE BILL 2018'!$H:$T,13,0),IFERROR(VLOOKUP(A1597,'[2]UPDATE BILL 2018'!$I:$T,12,0),VLOOKUP(A1597,'[2]UPDATE BILL 2018'!$B:$T,19,0)))))))))</f>
        <v>43369</v>
      </c>
      <c r="AC1597" s="44" t="str">
        <f>IFERROR(VLOOKUP(A1597,'[2]UPDATE BILL 2018'!$B:$V,21,0),IFERROR(VLOOKUP(A1597,'[2]UPDATE BILL 2018'!$C:$V,20,0),IFERROR(VLOOKUP(A1597,'[2]UPDATE BILL 2018'!$D:$V,19,0),IFERROR(VLOOKUP(A1597,'[2]UPDATE BILL 2018'!$E:$V,18,0),IFERROR(VLOOKUP(A1597,'[2]UPDATE BILL 2018'!$F:$V,17,0),IFERROR(VLOOKUP(A1597,'[2]UPDATE BILL 2018'!$G:$V,16,0),IFERROR(VLOOKUP(A1597,'[2]UPDATE BILL 2018'!$H:$V,15,0),IFERROR(VLOOKUP(A1597,'[2]UPDATE BILL 2018'!$I:$V,14,0),VLOOKUP(A1597,'[2]UPDATE BILL 2018'!$B:$V,21,0)))))))))</f>
        <v xml:space="preserve"> CAPE FLINT  N006</v>
      </c>
      <c r="AD1597" s="14" t="s">
        <v>52</v>
      </c>
      <c r="AE1597" s="24" t="s">
        <v>3968</v>
      </c>
      <c r="AF1597" s="25" t="str">
        <f t="shared" si="147"/>
        <v>VQ</v>
      </c>
      <c r="AG1597" s="58" t="e">
        <f t="shared" si="146"/>
        <v>#REF!</v>
      </c>
      <c r="AH1597" s="58"/>
      <c r="AI1597" s="58"/>
      <c r="AJ1597" s="58"/>
      <c r="AK1597" s="58"/>
      <c r="AL1597" s="58"/>
      <c r="AM1597" s="58"/>
      <c r="AN1597" s="58"/>
      <c r="AO1597" s="58"/>
    </row>
    <row r="1598" spans="1:41" ht="16.5" customHeight="1">
      <c r="A1598" s="6" t="s">
        <v>3960</v>
      </c>
      <c r="B1598" s="5">
        <v>351</v>
      </c>
      <c r="C1598" s="7">
        <v>26040.9</v>
      </c>
      <c r="D1598" s="7">
        <f t="shared" si="151"/>
        <v>0</v>
      </c>
      <c r="E1598" s="7">
        <v>0</v>
      </c>
      <c r="F1598" s="5">
        <v>0</v>
      </c>
      <c r="G1598" s="7">
        <v>0</v>
      </c>
      <c r="H1598" s="5">
        <v>0</v>
      </c>
      <c r="I1598" s="7">
        <v>0</v>
      </c>
      <c r="J1598" s="7">
        <v>0</v>
      </c>
      <c r="K1598" s="5">
        <v>0</v>
      </c>
      <c r="L1598" s="5">
        <v>0</v>
      </c>
      <c r="M1598" s="5">
        <v>216</v>
      </c>
      <c r="N1598" s="7">
        <f t="shared" si="152"/>
        <v>216</v>
      </c>
      <c r="O1598" s="7">
        <v>29034</v>
      </c>
      <c r="P1598" s="7">
        <v>0</v>
      </c>
      <c r="Q1598" s="5">
        <v>0</v>
      </c>
      <c r="R1598" s="5">
        <v>65</v>
      </c>
      <c r="S1598" s="7">
        <v>16562</v>
      </c>
      <c r="T1598" s="12">
        <v>43362</v>
      </c>
      <c r="U1598" s="4">
        <v>6</v>
      </c>
      <c r="V1598" s="4">
        <v>9</v>
      </c>
      <c r="W1598" s="4">
        <v>9</v>
      </c>
      <c r="X1598" s="45">
        <f t="shared" si="153"/>
        <v>71636.899999999994</v>
      </c>
      <c r="Y1598" s="14" t="s">
        <v>56</v>
      </c>
      <c r="Z1598" s="14" t="s">
        <v>1281</v>
      </c>
      <c r="AA1598" s="14" t="str">
        <f>IFERROR(VLOOKUP(A1598,'[2]UPDATE BILL 2018'!$B:$P,15,0),IFERROR(VLOOKUP(A1598,'[2]UPDATE BILL 2018'!$C:$P,14,0),IFERROR(VLOOKUP(A1598,'[2]UPDATE BILL 2018'!$D:$P,13,0),IFERROR(VLOOKUP(A1598,'[2]UPDATE BILL 2018'!$E:$P,12,0),IFERROR(VLOOKUP(A1598,'[2]UPDATE BILL 2018'!$F:$P,11,0),IFERROR(VLOOKUP(A1598,'[2]UPDATE BILL 2018'!$G:$P,10,0),IFERROR(VLOOKUP(A1598,'[2]UPDATE BILL 2018'!$H:$P,9,0),IFERROR(VLOOKUP(A1598,'[2]UPDATE BILL 2018'!$I:$P,8,0),VLOOKUP(A1598,'[2]UPDATE BILL 2018'!$B:$P,15,0)))))))))</f>
        <v>1008X05433</v>
      </c>
      <c r="AB1598" s="44">
        <f>IFERROR(VLOOKUP(A1598,'[2]UPDATE BILL 2018'!$B:$T,19,0),IFERROR(VLOOKUP(A1598,'[2]UPDATE BILL 2018'!$C:$T,18,0),IFERROR(VLOOKUP(A1598,'[2]UPDATE BILL 2018'!$D:$T,17,0),IFERROR(VLOOKUP(A1598,'[2]UPDATE BILL 2018'!$E:$T,16,0),IFERROR(VLOOKUP(A1598,'[2]UPDATE BILL 2018'!$F:$T,15,0),IFERROR(VLOOKUP(A1598,'[2]UPDATE BILL 2018'!$G:$T,14,0),IFERROR(VLOOKUP(A1598,'[2]UPDATE BILL 2018'!$H:$T,13,0),IFERROR(VLOOKUP(A1598,'[2]UPDATE BILL 2018'!$I:$T,12,0),VLOOKUP(A1598,'[2]UPDATE BILL 2018'!$B:$T,19,0)))))))))</f>
        <v>43365</v>
      </c>
      <c r="AC1598" s="44" t="str">
        <f>IFERROR(VLOOKUP(A1598,'[2]UPDATE BILL 2018'!$B:$V,21,0),IFERROR(VLOOKUP(A1598,'[2]UPDATE BILL 2018'!$C:$V,20,0),IFERROR(VLOOKUP(A1598,'[2]UPDATE BILL 2018'!$D:$V,19,0),IFERROR(VLOOKUP(A1598,'[2]UPDATE BILL 2018'!$E:$V,18,0),IFERROR(VLOOKUP(A1598,'[2]UPDATE BILL 2018'!$F:$V,17,0),IFERROR(VLOOKUP(A1598,'[2]UPDATE BILL 2018'!$G:$V,16,0),IFERROR(VLOOKUP(A1598,'[2]UPDATE BILL 2018'!$H:$V,15,0),IFERROR(VLOOKUP(A1598,'[2]UPDATE BILL 2018'!$I:$V,14,0),VLOOKUP(A1598,'[2]UPDATE BILL 2018'!$B:$V,21,0)))))))))</f>
        <v>WAN HAI 162 N324</v>
      </c>
      <c r="AD1598" s="14" t="s">
        <v>51</v>
      </c>
      <c r="AE1598" s="24" t="s">
        <v>3969</v>
      </c>
      <c r="AF1598" s="25" t="str">
        <f t="shared" si="147"/>
        <v>VS</v>
      </c>
      <c r="AG1598" s="58" t="e">
        <f t="shared" si="146"/>
        <v>#REF!</v>
      </c>
      <c r="AH1598" s="58"/>
      <c r="AI1598" s="58" t="s">
        <v>3960</v>
      </c>
      <c r="AJ1598" s="58"/>
      <c r="AK1598" s="58"/>
      <c r="AL1598" s="58"/>
      <c r="AM1598" s="58"/>
      <c r="AN1598" s="58"/>
      <c r="AO1598" s="58"/>
    </row>
    <row r="1599" spans="1:41" ht="15.75" customHeight="1">
      <c r="A1599" s="6" t="s">
        <v>3961</v>
      </c>
      <c r="B1599" s="5">
        <v>291</v>
      </c>
      <c r="C1599" s="7">
        <v>34285.100000000006</v>
      </c>
      <c r="D1599" s="7">
        <f t="shared" si="151"/>
        <v>0</v>
      </c>
      <c r="E1599" s="7">
        <v>0</v>
      </c>
      <c r="F1599" s="5">
        <v>0</v>
      </c>
      <c r="G1599" s="7">
        <v>0</v>
      </c>
      <c r="H1599" s="5">
        <v>220</v>
      </c>
      <c r="I1599" s="7">
        <v>26484.45</v>
      </c>
      <c r="J1599" s="7">
        <v>0</v>
      </c>
      <c r="K1599" s="5">
        <v>0</v>
      </c>
      <c r="L1599" s="5">
        <v>0</v>
      </c>
      <c r="M1599" s="5">
        <v>0</v>
      </c>
      <c r="N1599" s="7">
        <f t="shared" si="152"/>
        <v>0</v>
      </c>
      <c r="O1599" s="7">
        <v>0</v>
      </c>
      <c r="P1599" s="7">
        <v>0</v>
      </c>
      <c r="Q1599" s="5">
        <v>0</v>
      </c>
      <c r="S1599" s="7">
        <v>0</v>
      </c>
      <c r="T1599" s="12">
        <v>43362</v>
      </c>
      <c r="U1599" s="4">
        <v>5</v>
      </c>
      <c r="V1599" s="4">
        <v>9</v>
      </c>
      <c r="W1599" s="4">
        <v>9</v>
      </c>
      <c r="X1599" s="45">
        <f t="shared" si="153"/>
        <v>60769.55</v>
      </c>
      <c r="Y1599" s="14" t="s">
        <v>56</v>
      </c>
      <c r="Z1599" s="14" t="s">
        <v>1281</v>
      </c>
      <c r="AA1599" s="14">
        <f>IFERROR(VLOOKUP(A1599,'[2]UPDATE BILL 2018'!$B:$P,15,0),IFERROR(VLOOKUP(A1599,'[2]UPDATE BILL 2018'!$C:$P,14,0),IFERROR(VLOOKUP(A1599,'[2]UPDATE BILL 2018'!$D:$P,13,0),IFERROR(VLOOKUP(A1599,'[2]UPDATE BILL 2018'!$E:$P,12,0),IFERROR(VLOOKUP(A1599,'[2]UPDATE BILL 2018'!$F:$P,11,0),IFERROR(VLOOKUP(A1599,'[2]UPDATE BILL 2018'!$G:$P,10,0),IFERROR(VLOOKUP(A1599,'[2]UPDATE BILL 2018'!$H:$P,9,0),IFERROR(VLOOKUP(A1599,'[2]UPDATE BILL 2018'!$I:$P,8,0),VLOOKUP(A1599,'[2]UPDATE BILL 2018'!$B:$P,15,0)))))))))</f>
        <v>0</v>
      </c>
      <c r="AB1599" s="44">
        <f>IFERROR(VLOOKUP(A1599,'[2]UPDATE BILL 2018'!$B:$T,19,0),IFERROR(VLOOKUP(A1599,'[2]UPDATE BILL 2018'!$C:$T,18,0),IFERROR(VLOOKUP(A1599,'[2]UPDATE BILL 2018'!$D:$T,17,0),IFERROR(VLOOKUP(A1599,'[2]UPDATE BILL 2018'!$E:$T,16,0),IFERROR(VLOOKUP(A1599,'[2]UPDATE BILL 2018'!$F:$T,15,0),IFERROR(VLOOKUP(A1599,'[2]UPDATE BILL 2018'!$G:$T,14,0),IFERROR(VLOOKUP(A1599,'[2]UPDATE BILL 2018'!$H:$T,13,0),IFERROR(VLOOKUP(A1599,'[2]UPDATE BILL 2018'!$I:$T,12,0),VLOOKUP(A1599,'[2]UPDATE BILL 2018'!$B:$T,19,0)))))))))</f>
        <v>0</v>
      </c>
      <c r="AC1599" s="44">
        <f>IFERROR(VLOOKUP(A1599,'[2]UPDATE BILL 2018'!$B:$V,21,0),IFERROR(VLOOKUP(A1599,'[2]UPDATE BILL 2018'!$C:$V,20,0),IFERROR(VLOOKUP(A1599,'[2]UPDATE BILL 2018'!$D:$V,19,0),IFERROR(VLOOKUP(A1599,'[2]UPDATE BILL 2018'!$E:$V,18,0),IFERROR(VLOOKUP(A1599,'[2]UPDATE BILL 2018'!$F:$V,17,0),IFERROR(VLOOKUP(A1599,'[2]UPDATE BILL 2018'!$G:$V,16,0),IFERROR(VLOOKUP(A1599,'[2]UPDATE BILL 2018'!$H:$V,15,0),IFERROR(VLOOKUP(A1599,'[2]UPDATE BILL 2018'!$I:$V,14,0),VLOOKUP(A1599,'[2]UPDATE BILL 2018'!$B:$V,21,0)))))))))</f>
        <v>0</v>
      </c>
      <c r="AD1599" s="14" t="s">
        <v>51</v>
      </c>
      <c r="AE1599" s="24" t="s">
        <v>3970</v>
      </c>
      <c r="AF1599" s="25" t="str">
        <f t="shared" si="147"/>
        <v>VS</v>
      </c>
      <c r="AG1599" s="58" t="e">
        <f t="shared" si="146"/>
        <v>#REF!</v>
      </c>
      <c r="AH1599" s="58"/>
      <c r="AI1599" s="58"/>
      <c r="AJ1599" s="58"/>
      <c r="AK1599" s="58"/>
      <c r="AL1599" s="58"/>
      <c r="AM1599" s="58"/>
      <c r="AN1599" s="58"/>
      <c r="AO1599" s="58"/>
    </row>
    <row r="1600" spans="1:41" ht="15.75" customHeight="1">
      <c r="A1600" s="6" t="s">
        <v>3962</v>
      </c>
      <c r="B1600" s="5">
        <v>248</v>
      </c>
      <c r="C1600" s="7">
        <v>14039.8</v>
      </c>
      <c r="D1600" s="7">
        <f t="shared" si="151"/>
        <v>0</v>
      </c>
      <c r="E1600" s="7">
        <v>0</v>
      </c>
      <c r="F1600" s="5">
        <v>0</v>
      </c>
      <c r="G1600" s="7">
        <v>0</v>
      </c>
      <c r="H1600" s="5">
        <v>0</v>
      </c>
      <c r="I1600" s="7">
        <v>0</v>
      </c>
      <c r="J1600" s="7">
        <v>0</v>
      </c>
      <c r="K1600" s="5">
        <v>0</v>
      </c>
      <c r="L1600" s="5">
        <v>0</v>
      </c>
      <c r="M1600" s="5">
        <v>443</v>
      </c>
      <c r="N1600" s="7">
        <f t="shared" si="152"/>
        <v>443</v>
      </c>
      <c r="O1600" s="7">
        <v>27685.899999999998</v>
      </c>
      <c r="P1600" s="7">
        <v>0</v>
      </c>
      <c r="Q1600" s="5">
        <v>0</v>
      </c>
      <c r="R1600" s="5">
        <v>375</v>
      </c>
      <c r="S1600" s="7">
        <v>66327.199999999997</v>
      </c>
      <c r="T1600" s="12">
        <v>43362</v>
      </c>
      <c r="U1600" s="4">
        <v>6</v>
      </c>
      <c r="V1600" s="4">
        <v>9</v>
      </c>
      <c r="W1600" s="4">
        <v>9</v>
      </c>
      <c r="X1600" s="45">
        <f t="shared" si="153"/>
        <v>108052.9</v>
      </c>
      <c r="Y1600" s="14" t="s">
        <v>54</v>
      </c>
      <c r="Z1600" s="14" t="s">
        <v>59</v>
      </c>
      <c r="AA1600" s="14" t="str">
        <f>IFERROR(VLOOKUP(A1600,'[2]UPDATE BILL 2018'!$B:$P,15,0),IFERROR(VLOOKUP(A1600,'[2]UPDATE BILL 2018'!$C:$P,14,0),IFERROR(VLOOKUP(A1600,'[2]UPDATE BILL 2018'!$D:$P,13,0),IFERROR(VLOOKUP(A1600,'[2]UPDATE BILL 2018'!$E:$P,12,0),IFERROR(VLOOKUP(A1600,'[2]UPDATE BILL 2018'!$F:$P,11,0),IFERROR(VLOOKUP(A1600,'[2]UPDATE BILL 2018'!$G:$P,10,0),IFERROR(VLOOKUP(A1600,'[2]UPDATE BILL 2018'!$H:$P,9,0),IFERROR(VLOOKUP(A1600,'[2]UPDATE BILL 2018'!$I:$P,8,0),VLOOKUP(A1600,'[2]UPDATE BILL 2018'!$B:$P,15,0)))))))))</f>
        <v>SITWHPKW178484</v>
      </c>
      <c r="AB1600" s="44">
        <f>IFERROR(VLOOKUP(A1600,'[2]UPDATE BILL 2018'!$B:$T,19,0),IFERROR(VLOOKUP(A1600,'[2]UPDATE BILL 2018'!$C:$T,18,0),IFERROR(VLOOKUP(A1600,'[2]UPDATE BILL 2018'!$D:$T,17,0),IFERROR(VLOOKUP(A1600,'[2]UPDATE BILL 2018'!$E:$T,16,0),IFERROR(VLOOKUP(A1600,'[2]UPDATE BILL 2018'!$F:$T,15,0),IFERROR(VLOOKUP(A1600,'[2]UPDATE BILL 2018'!$G:$T,14,0),IFERROR(VLOOKUP(A1600,'[2]UPDATE BILL 2018'!$H:$T,13,0),IFERROR(VLOOKUP(A1600,'[2]UPDATE BILL 2018'!$I:$T,12,0),VLOOKUP(A1600,'[2]UPDATE BILL 2018'!$B:$T,19,0)))))))))</f>
        <v>43367</v>
      </c>
      <c r="AC1600" s="44" t="str">
        <f>IFERROR(VLOOKUP(A1600,'[2]UPDATE BILL 2018'!$B:$V,21,0),IFERROR(VLOOKUP(A1600,'[2]UPDATE BILL 2018'!$C:$V,20,0),IFERROR(VLOOKUP(A1600,'[2]UPDATE BILL 2018'!$D:$V,19,0),IFERROR(VLOOKUP(A1600,'[2]UPDATE BILL 2018'!$E:$V,18,0),IFERROR(VLOOKUP(A1600,'[2]UPDATE BILL 2018'!$F:$V,17,0),IFERROR(VLOOKUP(A1600,'[2]UPDATE BILL 2018'!$G:$V,16,0),IFERROR(VLOOKUP(A1600,'[2]UPDATE BILL 2018'!$H:$V,15,0),IFERROR(VLOOKUP(A1600,'[2]UPDATE BILL 2018'!$I:$V,14,0),VLOOKUP(A1600,'[2]UPDATE BILL 2018'!$B:$V,21,0)))))))))</f>
        <v>HYUNDAI HARMONY 1835N</v>
      </c>
      <c r="AD1600" s="14" t="s">
        <v>50</v>
      </c>
      <c r="AE1600" s="24" t="s">
        <v>3971</v>
      </c>
      <c r="AF1600" s="25" t="str">
        <f t="shared" si="147"/>
        <v>VW</v>
      </c>
      <c r="AG1600" s="58" t="e">
        <f t="shared" si="146"/>
        <v>#REF!</v>
      </c>
      <c r="AH1600" s="58"/>
      <c r="AI1600" s="58" t="s">
        <v>3962</v>
      </c>
      <c r="AJ1600" s="58"/>
      <c r="AK1600" s="58"/>
      <c r="AL1600" s="58"/>
      <c r="AM1600" s="58"/>
      <c r="AN1600" s="58"/>
      <c r="AO1600" s="58"/>
    </row>
    <row r="1601" spans="1:41" ht="15.75" customHeight="1">
      <c r="A1601" s="6" t="s">
        <v>3963</v>
      </c>
      <c r="B1601" s="5">
        <v>862</v>
      </c>
      <c r="C1601" s="7">
        <v>90332.51</v>
      </c>
      <c r="D1601" s="7">
        <f t="shared" si="151"/>
        <v>0</v>
      </c>
      <c r="E1601" s="7">
        <v>0</v>
      </c>
      <c r="F1601" s="5">
        <v>0</v>
      </c>
      <c r="G1601" s="7">
        <v>0</v>
      </c>
      <c r="H1601" s="5">
        <v>0</v>
      </c>
      <c r="I1601" s="7">
        <v>0</v>
      </c>
      <c r="J1601" s="7">
        <v>0</v>
      </c>
      <c r="K1601" s="5">
        <v>0</v>
      </c>
      <c r="L1601" s="5">
        <v>0</v>
      </c>
      <c r="M1601" s="5">
        <v>118</v>
      </c>
      <c r="N1601" s="7">
        <f t="shared" si="152"/>
        <v>118</v>
      </c>
      <c r="O1601" s="7">
        <v>20933.599999999999</v>
      </c>
      <c r="P1601" s="7">
        <v>0</v>
      </c>
      <c r="Q1601" s="5">
        <v>0</v>
      </c>
      <c r="S1601" s="7">
        <v>0</v>
      </c>
      <c r="T1601" s="12">
        <v>43362</v>
      </c>
      <c r="U1601" s="4">
        <v>10</v>
      </c>
      <c r="V1601" s="4">
        <v>9</v>
      </c>
      <c r="W1601" s="4">
        <v>9</v>
      </c>
      <c r="X1601" s="45">
        <f t="shared" si="153"/>
        <v>111266.10999999999</v>
      </c>
      <c r="Y1601" s="14" t="s">
        <v>54</v>
      </c>
      <c r="Z1601" s="14" t="s">
        <v>57</v>
      </c>
      <c r="AA1601" s="14">
        <f>IFERROR(VLOOKUP(A1601,'[2]UPDATE BILL 2018'!$B:$P,15,0),IFERROR(VLOOKUP(A1601,'[2]UPDATE BILL 2018'!$C:$P,14,0),IFERROR(VLOOKUP(A1601,'[2]UPDATE BILL 2018'!$D:$P,13,0),IFERROR(VLOOKUP(A1601,'[2]UPDATE BILL 2018'!$E:$P,12,0),IFERROR(VLOOKUP(A1601,'[2]UPDATE BILL 2018'!$F:$P,11,0),IFERROR(VLOOKUP(A1601,'[2]UPDATE BILL 2018'!$G:$P,10,0),IFERROR(VLOOKUP(A1601,'[2]UPDATE BILL 2018'!$H:$P,9,0),IFERROR(VLOOKUP(A1601,'[2]UPDATE BILL 2018'!$I:$P,8,0),VLOOKUP(A1601,'[2]UPDATE BILL 2018'!$B:$P,15,0)))))))))</f>
        <v>0</v>
      </c>
      <c r="AB1601" s="44">
        <f>IFERROR(VLOOKUP(A1601,'[2]UPDATE BILL 2018'!$B:$T,19,0),IFERROR(VLOOKUP(A1601,'[2]UPDATE BILL 2018'!$C:$T,18,0),IFERROR(VLOOKUP(A1601,'[2]UPDATE BILL 2018'!$D:$T,17,0),IFERROR(VLOOKUP(A1601,'[2]UPDATE BILL 2018'!$E:$T,16,0),IFERROR(VLOOKUP(A1601,'[2]UPDATE BILL 2018'!$F:$T,15,0),IFERROR(VLOOKUP(A1601,'[2]UPDATE BILL 2018'!$G:$T,14,0),IFERROR(VLOOKUP(A1601,'[2]UPDATE BILL 2018'!$H:$T,13,0),IFERROR(VLOOKUP(A1601,'[2]UPDATE BILL 2018'!$I:$T,12,0),VLOOKUP(A1601,'[2]UPDATE BILL 2018'!$B:$T,19,0)))))))))</f>
        <v>0</v>
      </c>
      <c r="AC1601" s="44">
        <f>IFERROR(VLOOKUP(A1601,'[2]UPDATE BILL 2018'!$B:$V,21,0),IFERROR(VLOOKUP(A1601,'[2]UPDATE BILL 2018'!$C:$V,20,0),IFERROR(VLOOKUP(A1601,'[2]UPDATE BILL 2018'!$D:$V,19,0),IFERROR(VLOOKUP(A1601,'[2]UPDATE BILL 2018'!$E:$V,18,0),IFERROR(VLOOKUP(A1601,'[2]UPDATE BILL 2018'!$F:$V,17,0),IFERROR(VLOOKUP(A1601,'[2]UPDATE BILL 2018'!$G:$V,16,0),IFERROR(VLOOKUP(A1601,'[2]UPDATE BILL 2018'!$H:$V,15,0),IFERROR(VLOOKUP(A1601,'[2]UPDATE BILL 2018'!$I:$V,14,0),VLOOKUP(A1601,'[2]UPDATE BILL 2018'!$B:$V,21,0)))))))))</f>
        <v>0</v>
      </c>
      <c r="AD1601" s="14" t="s">
        <v>50</v>
      </c>
      <c r="AE1601" s="24" t="s">
        <v>3972</v>
      </c>
      <c r="AF1601" s="25" t="str">
        <f t="shared" si="147"/>
        <v>VW</v>
      </c>
      <c r="AG1601" s="58" t="e">
        <f t="shared" si="146"/>
        <v>#REF!</v>
      </c>
      <c r="AH1601" s="58"/>
      <c r="AI1601" s="58"/>
      <c r="AJ1601" s="58"/>
      <c r="AK1601" s="58"/>
      <c r="AL1601" s="58"/>
      <c r="AM1601" s="58"/>
      <c r="AN1601" s="58"/>
      <c r="AO1601" s="58"/>
    </row>
    <row r="1602" spans="1:41" ht="15.75" customHeight="1">
      <c r="A1602" s="6" t="s">
        <v>3974</v>
      </c>
      <c r="B1602" s="5">
        <v>155</v>
      </c>
      <c r="C1602" s="7">
        <v>12307.549999999997</v>
      </c>
      <c r="D1602" s="7">
        <f t="shared" si="151"/>
        <v>0</v>
      </c>
      <c r="E1602" s="7">
        <v>0</v>
      </c>
      <c r="F1602" s="5">
        <v>0</v>
      </c>
      <c r="G1602" s="7">
        <v>0</v>
      </c>
      <c r="H1602" s="5">
        <v>92</v>
      </c>
      <c r="I1602" s="7">
        <v>10928.01</v>
      </c>
      <c r="J1602" s="7">
        <v>0</v>
      </c>
      <c r="K1602" s="5">
        <v>0</v>
      </c>
      <c r="L1602" s="5">
        <v>0</v>
      </c>
      <c r="M1602" s="5">
        <v>0</v>
      </c>
      <c r="N1602" s="7">
        <f t="shared" si="152"/>
        <v>0</v>
      </c>
      <c r="O1602" s="7">
        <v>0</v>
      </c>
      <c r="P1602" s="7">
        <v>0</v>
      </c>
      <c r="Q1602" s="5">
        <v>0</v>
      </c>
      <c r="S1602" s="7">
        <v>0</v>
      </c>
      <c r="T1602" s="12">
        <v>43363</v>
      </c>
      <c r="U1602" s="4">
        <v>2</v>
      </c>
      <c r="V1602" s="4">
        <v>9</v>
      </c>
      <c r="W1602" s="4">
        <v>9</v>
      </c>
      <c r="X1602" s="45">
        <f t="shared" si="153"/>
        <v>23235.559999999998</v>
      </c>
      <c r="Y1602" s="14" t="s">
        <v>1633</v>
      </c>
      <c r="Z1602" s="14" t="s">
        <v>3780</v>
      </c>
      <c r="AA1602" s="14">
        <f>IFERROR(VLOOKUP(A1602,'[2]UPDATE BILL 2018'!$B:$P,15,0),IFERROR(VLOOKUP(A1602,'[2]UPDATE BILL 2018'!$C:$P,14,0),IFERROR(VLOOKUP(A1602,'[2]UPDATE BILL 2018'!$D:$P,13,0),IFERROR(VLOOKUP(A1602,'[2]UPDATE BILL 2018'!$E:$P,12,0),IFERROR(VLOOKUP(A1602,'[2]UPDATE BILL 2018'!$F:$P,11,0),IFERROR(VLOOKUP(A1602,'[2]UPDATE BILL 2018'!$G:$P,10,0),IFERROR(VLOOKUP(A1602,'[2]UPDATE BILL 2018'!$H:$P,9,0),IFERROR(VLOOKUP(A1602,'[2]UPDATE BILL 2018'!$I:$P,8,0),VLOOKUP(A1602,'[2]UPDATE BILL 2018'!$B:$P,15,0)))))))))</f>
        <v>0</v>
      </c>
      <c r="AB1602" s="44">
        <f>IFERROR(VLOOKUP(A1602,'[2]UPDATE BILL 2018'!$B:$T,19,0),IFERROR(VLOOKUP(A1602,'[2]UPDATE BILL 2018'!$C:$T,18,0),IFERROR(VLOOKUP(A1602,'[2]UPDATE BILL 2018'!$D:$T,17,0),IFERROR(VLOOKUP(A1602,'[2]UPDATE BILL 2018'!$E:$T,16,0),IFERROR(VLOOKUP(A1602,'[2]UPDATE BILL 2018'!$F:$T,15,0),IFERROR(VLOOKUP(A1602,'[2]UPDATE BILL 2018'!$G:$T,14,0),IFERROR(VLOOKUP(A1602,'[2]UPDATE BILL 2018'!$H:$T,13,0),IFERROR(VLOOKUP(A1602,'[2]UPDATE BILL 2018'!$I:$T,12,0),VLOOKUP(A1602,'[2]UPDATE BILL 2018'!$B:$T,19,0)))))))))</f>
        <v>0</v>
      </c>
      <c r="AC1602" s="44">
        <f>IFERROR(VLOOKUP(A1602,'[2]UPDATE BILL 2018'!$B:$V,21,0),IFERROR(VLOOKUP(A1602,'[2]UPDATE BILL 2018'!$C:$V,20,0),IFERROR(VLOOKUP(A1602,'[2]UPDATE BILL 2018'!$D:$V,19,0),IFERROR(VLOOKUP(A1602,'[2]UPDATE BILL 2018'!$E:$V,18,0),IFERROR(VLOOKUP(A1602,'[2]UPDATE BILL 2018'!$F:$V,17,0),IFERROR(VLOOKUP(A1602,'[2]UPDATE BILL 2018'!$G:$V,16,0),IFERROR(VLOOKUP(A1602,'[2]UPDATE BILL 2018'!$H:$V,15,0),IFERROR(VLOOKUP(A1602,'[2]UPDATE BILL 2018'!$I:$V,14,0),VLOOKUP(A1602,'[2]UPDATE BILL 2018'!$B:$V,21,0)))))))))</f>
        <v>0</v>
      </c>
      <c r="AD1602" s="14" t="s">
        <v>70</v>
      </c>
      <c r="AE1602" s="24" t="s">
        <v>3982</v>
      </c>
      <c r="AF1602" s="25" t="str">
        <f t="shared" si="147"/>
        <v>VH</v>
      </c>
      <c r="AG1602" s="58" t="e">
        <f t="shared" si="146"/>
        <v>#REF!</v>
      </c>
      <c r="AH1602" s="58"/>
      <c r="AI1602" s="58"/>
      <c r="AJ1602" s="58"/>
      <c r="AK1602" s="58"/>
      <c r="AL1602" s="58"/>
      <c r="AM1602" s="58"/>
      <c r="AN1602" s="58"/>
      <c r="AO1602" s="58"/>
    </row>
    <row r="1603" spans="1:41" ht="15.75" customHeight="1">
      <c r="A1603" s="6" t="s">
        <v>3975</v>
      </c>
      <c r="B1603" s="5">
        <v>420</v>
      </c>
      <c r="C1603" s="7">
        <v>12660.6</v>
      </c>
      <c r="D1603" s="7">
        <f t="shared" si="151"/>
        <v>0</v>
      </c>
      <c r="E1603" s="7">
        <v>0</v>
      </c>
      <c r="F1603" s="5">
        <v>0</v>
      </c>
      <c r="G1603" s="7">
        <v>0</v>
      </c>
      <c r="H1603" s="5">
        <v>60</v>
      </c>
      <c r="I1603" s="7">
        <v>6485.95</v>
      </c>
      <c r="J1603" s="7">
        <v>0</v>
      </c>
      <c r="K1603" s="5">
        <v>0</v>
      </c>
      <c r="L1603" s="5">
        <v>0</v>
      </c>
      <c r="M1603" s="5">
        <v>0</v>
      </c>
      <c r="N1603" s="7">
        <f t="shared" si="152"/>
        <v>0</v>
      </c>
      <c r="O1603" s="7">
        <v>0</v>
      </c>
      <c r="P1603" s="7">
        <v>0</v>
      </c>
      <c r="Q1603" s="5">
        <v>0</v>
      </c>
      <c r="S1603" s="7">
        <v>0</v>
      </c>
      <c r="T1603" s="12">
        <v>43363</v>
      </c>
      <c r="U1603" s="4">
        <v>1</v>
      </c>
      <c r="V1603" s="4">
        <v>9</v>
      </c>
      <c r="W1603" s="4">
        <v>9</v>
      </c>
      <c r="X1603" s="45">
        <f t="shared" si="153"/>
        <v>19146.55</v>
      </c>
      <c r="Y1603" s="14" t="s">
        <v>56</v>
      </c>
      <c r="Z1603" s="14" t="s">
        <v>3780</v>
      </c>
      <c r="AA1603" s="14" t="str">
        <f>IFERROR(VLOOKUP(A1603,'[2]UPDATE BILL 2018'!$B:$P,15,0),IFERROR(VLOOKUP(A1603,'[2]UPDATE BILL 2018'!$C:$P,14,0),IFERROR(VLOOKUP(A1603,'[2]UPDATE BILL 2018'!$D:$P,13,0),IFERROR(VLOOKUP(A1603,'[2]UPDATE BILL 2018'!$E:$P,12,0),IFERROR(VLOOKUP(A1603,'[2]UPDATE BILL 2018'!$F:$P,11,0),IFERROR(VLOOKUP(A1603,'[2]UPDATE BILL 2018'!$G:$P,10,0),IFERROR(VLOOKUP(A1603,'[2]UPDATE BILL 2018'!$H:$P,9,0),IFERROR(VLOOKUP(A1603,'[2]UPDATE BILL 2018'!$I:$P,8,0),VLOOKUP(A1603,'[2]UPDATE BILL 2018'!$B:$P,15,0)))))))))</f>
        <v>1008X05423</v>
      </c>
      <c r="AB1603" s="44">
        <f>IFERROR(VLOOKUP(A1603,'[2]UPDATE BILL 2018'!$B:$T,19,0),IFERROR(VLOOKUP(A1603,'[2]UPDATE BILL 2018'!$C:$T,18,0),IFERROR(VLOOKUP(A1603,'[2]UPDATE BILL 2018'!$D:$T,17,0),IFERROR(VLOOKUP(A1603,'[2]UPDATE BILL 2018'!$E:$T,16,0),IFERROR(VLOOKUP(A1603,'[2]UPDATE BILL 2018'!$F:$T,15,0),IFERROR(VLOOKUP(A1603,'[2]UPDATE BILL 2018'!$G:$T,14,0),IFERROR(VLOOKUP(A1603,'[2]UPDATE BILL 2018'!$H:$T,13,0),IFERROR(VLOOKUP(A1603,'[2]UPDATE BILL 2018'!$I:$T,12,0),VLOOKUP(A1603,'[2]UPDATE BILL 2018'!$B:$T,19,0)))))))))</f>
        <v>43367</v>
      </c>
      <c r="AC1603" s="44" t="str">
        <f>IFERROR(VLOOKUP(A1603,'[2]UPDATE BILL 2018'!$B:$V,21,0),IFERROR(VLOOKUP(A1603,'[2]UPDATE BILL 2018'!$C:$V,20,0),IFERROR(VLOOKUP(A1603,'[2]UPDATE BILL 2018'!$D:$V,19,0),IFERROR(VLOOKUP(A1603,'[2]UPDATE BILL 2018'!$E:$V,18,0),IFERROR(VLOOKUP(A1603,'[2]UPDATE BILL 2018'!$F:$V,17,0),IFERROR(VLOOKUP(A1603,'[2]UPDATE BILL 2018'!$G:$V,16,0),IFERROR(VLOOKUP(A1603,'[2]UPDATE BILL 2018'!$H:$V,15,0),IFERROR(VLOOKUP(A1603,'[2]UPDATE BILL 2018'!$I:$V,14,0),VLOOKUP(A1603,'[2]UPDATE BILL 2018'!$B:$V,21,0)))))))))</f>
        <v>MOONCHILD N033</v>
      </c>
      <c r="AD1603" s="14" t="s">
        <v>49</v>
      </c>
      <c r="AE1603" s="24" t="s">
        <v>3983</v>
      </c>
      <c r="AF1603" s="25" t="str">
        <f t="shared" si="147"/>
        <v>VK</v>
      </c>
      <c r="AG1603" s="58" t="e">
        <f t="shared" si="146"/>
        <v>#REF!</v>
      </c>
      <c r="AH1603" s="58"/>
      <c r="AI1603" s="58" t="s">
        <v>3975</v>
      </c>
      <c r="AJ1603" s="58"/>
      <c r="AK1603" s="58"/>
      <c r="AL1603" s="58"/>
      <c r="AM1603" s="58"/>
      <c r="AN1603" s="58"/>
      <c r="AO1603" s="58"/>
    </row>
    <row r="1604" spans="1:41" ht="15.75" customHeight="1">
      <c r="A1604" s="6" t="s">
        <v>3956</v>
      </c>
      <c r="D1604" s="7">
        <f t="shared" si="151"/>
        <v>0</v>
      </c>
      <c r="E1604" s="7">
        <v>0</v>
      </c>
      <c r="F1604" s="5">
        <v>0</v>
      </c>
      <c r="G1604" s="7">
        <v>0</v>
      </c>
      <c r="H1604" s="5">
        <v>1650</v>
      </c>
      <c r="I1604" s="7">
        <v>185236.85</v>
      </c>
      <c r="J1604" s="7">
        <v>0</v>
      </c>
      <c r="K1604" s="5">
        <v>0</v>
      </c>
      <c r="L1604" s="5">
        <v>0</v>
      </c>
      <c r="M1604" s="5">
        <v>0</v>
      </c>
      <c r="N1604" s="7">
        <f t="shared" si="152"/>
        <v>0</v>
      </c>
      <c r="O1604" s="7">
        <v>0</v>
      </c>
      <c r="P1604" s="7">
        <v>0</v>
      </c>
      <c r="Q1604" s="5">
        <v>0</v>
      </c>
      <c r="R1604" s="5">
        <v>553</v>
      </c>
      <c r="S1604" s="7">
        <v>36221.5</v>
      </c>
      <c r="T1604" s="12">
        <v>43363</v>
      </c>
      <c r="U1604" s="4">
        <v>18</v>
      </c>
      <c r="V1604" s="4">
        <v>9</v>
      </c>
      <c r="W1604" s="4">
        <v>9</v>
      </c>
      <c r="X1604" s="45">
        <f t="shared" si="153"/>
        <v>221458.35</v>
      </c>
      <c r="Y1604" s="14" t="s">
        <v>56</v>
      </c>
      <c r="Z1604" s="14" t="s">
        <v>59</v>
      </c>
      <c r="AA1604" s="14">
        <f>IFERROR(VLOOKUP(A1604,'[2]UPDATE BILL 2018'!$B:$P,15,0),IFERROR(VLOOKUP(A1604,'[2]UPDATE BILL 2018'!$C:$P,14,0),IFERROR(VLOOKUP(A1604,'[2]UPDATE BILL 2018'!$D:$P,13,0),IFERROR(VLOOKUP(A1604,'[2]UPDATE BILL 2018'!$E:$P,12,0),IFERROR(VLOOKUP(A1604,'[2]UPDATE BILL 2018'!$F:$P,11,0),IFERROR(VLOOKUP(A1604,'[2]UPDATE BILL 2018'!$G:$P,10,0),IFERROR(VLOOKUP(A1604,'[2]UPDATE BILL 2018'!$H:$P,9,0),IFERROR(VLOOKUP(A1604,'[2]UPDATE BILL 2018'!$I:$P,8,0),VLOOKUP(A1604,'[2]UPDATE BILL 2018'!$B:$P,15,0)))))))))</f>
        <v>0</v>
      </c>
      <c r="AB1604" s="44">
        <f>IFERROR(VLOOKUP(A1604,'[2]UPDATE BILL 2018'!$B:$T,19,0),IFERROR(VLOOKUP(A1604,'[2]UPDATE BILL 2018'!$C:$T,18,0),IFERROR(VLOOKUP(A1604,'[2]UPDATE BILL 2018'!$D:$T,17,0),IFERROR(VLOOKUP(A1604,'[2]UPDATE BILL 2018'!$E:$T,16,0),IFERROR(VLOOKUP(A1604,'[2]UPDATE BILL 2018'!$F:$T,15,0),IFERROR(VLOOKUP(A1604,'[2]UPDATE BILL 2018'!$G:$T,14,0),IFERROR(VLOOKUP(A1604,'[2]UPDATE BILL 2018'!$H:$T,13,0),IFERROR(VLOOKUP(A1604,'[2]UPDATE BILL 2018'!$I:$T,12,0),VLOOKUP(A1604,'[2]UPDATE BILL 2018'!$B:$T,19,0)))))))))</f>
        <v>0</v>
      </c>
      <c r="AC1604" s="44">
        <f>IFERROR(VLOOKUP(A1604,'[2]UPDATE BILL 2018'!$B:$V,21,0),IFERROR(VLOOKUP(A1604,'[2]UPDATE BILL 2018'!$C:$V,20,0),IFERROR(VLOOKUP(A1604,'[2]UPDATE BILL 2018'!$D:$V,19,0),IFERROR(VLOOKUP(A1604,'[2]UPDATE BILL 2018'!$E:$V,18,0),IFERROR(VLOOKUP(A1604,'[2]UPDATE BILL 2018'!$F:$V,17,0),IFERROR(VLOOKUP(A1604,'[2]UPDATE BILL 2018'!$G:$V,16,0),IFERROR(VLOOKUP(A1604,'[2]UPDATE BILL 2018'!$H:$V,15,0),IFERROR(VLOOKUP(A1604,'[2]UPDATE BILL 2018'!$I:$V,14,0),VLOOKUP(A1604,'[2]UPDATE BILL 2018'!$B:$V,21,0)))))))))</f>
        <v>0</v>
      </c>
      <c r="AD1604" s="14" t="s">
        <v>49</v>
      </c>
      <c r="AE1604" s="24" t="s">
        <v>3984</v>
      </c>
      <c r="AF1604" s="25" t="str">
        <f t="shared" si="147"/>
        <v>VK</v>
      </c>
      <c r="AG1604" s="58" t="e">
        <f t="shared" ref="AG1604:AG1667" si="154">+VLOOKUP(AF1604,AH:AH,2,0)</f>
        <v>#REF!</v>
      </c>
      <c r="AH1604" s="58"/>
      <c r="AI1604" s="58"/>
      <c r="AJ1604" s="58"/>
      <c r="AK1604" s="58"/>
      <c r="AL1604" s="58"/>
      <c r="AM1604" s="58"/>
      <c r="AN1604" s="58"/>
      <c r="AO1604" s="58"/>
    </row>
    <row r="1605" spans="1:41" ht="15.75" customHeight="1">
      <c r="A1605" s="6" t="s">
        <v>3976</v>
      </c>
      <c r="B1605" s="5">
        <v>109</v>
      </c>
      <c r="C1605" s="7">
        <v>12289.5</v>
      </c>
      <c r="D1605" s="7">
        <f t="shared" si="151"/>
        <v>0</v>
      </c>
      <c r="E1605" s="7">
        <v>0</v>
      </c>
      <c r="F1605" s="5">
        <v>0</v>
      </c>
      <c r="G1605" s="7">
        <v>0</v>
      </c>
      <c r="H1605" s="5">
        <v>95</v>
      </c>
      <c r="I1605" s="7">
        <v>13933.299999999997</v>
      </c>
      <c r="J1605" s="7">
        <v>0</v>
      </c>
      <c r="K1605" s="5">
        <v>0</v>
      </c>
      <c r="L1605" s="5">
        <v>0</v>
      </c>
      <c r="M1605" s="5">
        <v>0</v>
      </c>
      <c r="N1605" s="7">
        <f t="shared" si="152"/>
        <v>0</v>
      </c>
      <c r="O1605" s="7">
        <v>0</v>
      </c>
      <c r="P1605" s="7">
        <v>0</v>
      </c>
      <c r="Q1605" s="5">
        <v>0</v>
      </c>
      <c r="S1605" s="7">
        <v>0</v>
      </c>
      <c r="T1605" s="12">
        <v>43363</v>
      </c>
      <c r="U1605" s="4">
        <v>2</v>
      </c>
      <c r="V1605" s="4">
        <v>9</v>
      </c>
      <c r="W1605" s="4">
        <v>9</v>
      </c>
      <c r="X1605" s="45">
        <f t="shared" si="153"/>
        <v>26222.799999999996</v>
      </c>
      <c r="Y1605" s="14" t="s">
        <v>85</v>
      </c>
      <c r="Z1605" s="14" t="s">
        <v>3780</v>
      </c>
      <c r="AA1605" s="14">
        <f>IFERROR(VLOOKUP(A1605,'[2]UPDATE BILL 2018'!$B:$P,15,0),IFERROR(VLOOKUP(A1605,'[2]UPDATE BILL 2018'!$C:$P,14,0),IFERROR(VLOOKUP(A1605,'[2]UPDATE BILL 2018'!$D:$P,13,0),IFERROR(VLOOKUP(A1605,'[2]UPDATE BILL 2018'!$E:$P,12,0),IFERROR(VLOOKUP(A1605,'[2]UPDATE BILL 2018'!$F:$P,11,0),IFERROR(VLOOKUP(A1605,'[2]UPDATE BILL 2018'!$G:$P,10,0),IFERROR(VLOOKUP(A1605,'[2]UPDATE BILL 2018'!$H:$P,9,0),IFERROR(VLOOKUP(A1605,'[2]UPDATE BILL 2018'!$I:$P,8,0),VLOOKUP(A1605,'[2]UPDATE BILL 2018'!$B:$P,15,0)))))))))</f>
        <v>350810117208</v>
      </c>
      <c r="AB1605" s="44">
        <f>IFERROR(VLOOKUP(A1605,'[2]UPDATE BILL 2018'!$B:$T,19,0),IFERROR(VLOOKUP(A1605,'[2]UPDATE BILL 2018'!$C:$T,18,0),IFERROR(VLOOKUP(A1605,'[2]UPDATE BILL 2018'!$D:$T,17,0),IFERROR(VLOOKUP(A1605,'[2]UPDATE BILL 2018'!$E:$T,16,0),IFERROR(VLOOKUP(A1605,'[2]UPDATE BILL 2018'!$F:$T,15,0),IFERROR(VLOOKUP(A1605,'[2]UPDATE BILL 2018'!$G:$T,14,0),IFERROR(VLOOKUP(A1605,'[2]UPDATE BILL 2018'!$H:$T,13,0),IFERROR(VLOOKUP(A1605,'[2]UPDATE BILL 2018'!$I:$T,12,0),VLOOKUP(A1605,'[2]UPDATE BILL 2018'!$B:$T,19,0)))))))))</f>
        <v>43370</v>
      </c>
      <c r="AC1605" s="44" t="str">
        <f>IFERROR(VLOOKUP(A1605,'[2]UPDATE BILL 2018'!$B:$V,21,0),IFERROR(VLOOKUP(A1605,'[2]UPDATE BILL 2018'!$C:$V,20,0),IFERROR(VLOOKUP(A1605,'[2]UPDATE BILL 2018'!$D:$V,19,0),IFERROR(VLOOKUP(A1605,'[2]UPDATE BILL 2018'!$E:$V,18,0),IFERROR(VLOOKUP(A1605,'[2]UPDATE BILL 2018'!$F:$V,17,0),IFERROR(VLOOKUP(A1605,'[2]UPDATE BILL 2018'!$G:$V,16,0),IFERROR(VLOOKUP(A1605,'[2]UPDATE BILL 2018'!$H:$V,15,0),IFERROR(VLOOKUP(A1605,'[2]UPDATE BILL 2018'!$I:$V,14,0),VLOOKUP(A1605,'[2]UPDATE BILL 2018'!$B:$V,21,0)))))))))</f>
        <v>MARCARRIER 18016N</v>
      </c>
      <c r="AD1605" s="14" t="s">
        <v>52</v>
      </c>
      <c r="AE1605" s="24" t="s">
        <v>3985</v>
      </c>
      <c r="AF1605" s="25" t="str">
        <f t="shared" si="147"/>
        <v>VQ</v>
      </c>
      <c r="AG1605" s="58" t="e">
        <f t="shared" si="154"/>
        <v>#REF!</v>
      </c>
      <c r="AH1605" s="58"/>
      <c r="AI1605" s="58"/>
      <c r="AJ1605" s="58"/>
      <c r="AK1605" s="58"/>
      <c r="AL1605" s="58"/>
      <c r="AM1605" s="58"/>
      <c r="AN1605" s="58"/>
      <c r="AO1605" s="58"/>
    </row>
    <row r="1606" spans="1:41" ht="15.75" customHeight="1">
      <c r="A1606" s="6" t="s">
        <v>3977</v>
      </c>
      <c r="D1606" s="7">
        <f t="shared" si="151"/>
        <v>0</v>
      </c>
      <c r="E1606" s="7">
        <v>0</v>
      </c>
      <c r="F1606" s="5">
        <v>0</v>
      </c>
      <c r="G1606" s="7">
        <v>0</v>
      </c>
      <c r="H1606" s="5">
        <v>0</v>
      </c>
      <c r="I1606" s="7">
        <v>0</v>
      </c>
      <c r="J1606" s="7">
        <v>0</v>
      </c>
      <c r="K1606" s="5">
        <v>0</v>
      </c>
      <c r="L1606" s="5">
        <v>0</v>
      </c>
      <c r="M1606" s="5">
        <v>105</v>
      </c>
      <c r="N1606" s="7">
        <f t="shared" si="152"/>
        <v>105</v>
      </c>
      <c r="O1606" s="7">
        <v>9080.2000000000007</v>
      </c>
      <c r="P1606" s="7">
        <v>0</v>
      </c>
      <c r="Q1606" s="5">
        <v>0</v>
      </c>
      <c r="R1606" s="5">
        <v>90</v>
      </c>
      <c r="S1606" s="7">
        <v>27004</v>
      </c>
      <c r="T1606" s="12">
        <v>43363</v>
      </c>
      <c r="U1606" s="4">
        <v>2</v>
      </c>
      <c r="V1606" s="4">
        <v>9</v>
      </c>
      <c r="W1606" s="4">
        <v>9</v>
      </c>
      <c r="X1606" s="45">
        <f t="shared" si="153"/>
        <v>36084.199999999997</v>
      </c>
      <c r="Y1606" s="14" t="s">
        <v>85</v>
      </c>
      <c r="Z1606" s="14" t="s">
        <v>3780</v>
      </c>
      <c r="AA1606" s="14">
        <f>IFERROR(VLOOKUP(A1606,'[2]UPDATE BILL 2018'!$B:$P,15,0),IFERROR(VLOOKUP(A1606,'[2]UPDATE BILL 2018'!$C:$P,14,0),IFERROR(VLOOKUP(A1606,'[2]UPDATE BILL 2018'!$D:$P,13,0),IFERROR(VLOOKUP(A1606,'[2]UPDATE BILL 2018'!$E:$P,12,0),IFERROR(VLOOKUP(A1606,'[2]UPDATE BILL 2018'!$F:$P,11,0),IFERROR(VLOOKUP(A1606,'[2]UPDATE BILL 2018'!$G:$P,10,0),IFERROR(VLOOKUP(A1606,'[2]UPDATE BILL 2018'!$H:$P,9,0),IFERROR(VLOOKUP(A1606,'[2]UPDATE BILL 2018'!$I:$P,8,0),VLOOKUP(A1606,'[2]UPDATE BILL 2018'!$B:$P,15,0)))))))))</f>
        <v>350810113200</v>
      </c>
      <c r="AB1606" s="44">
        <f>IFERROR(VLOOKUP(A1606,'[2]UPDATE BILL 2018'!$B:$T,19,0),IFERROR(VLOOKUP(A1606,'[2]UPDATE BILL 2018'!$C:$T,18,0),IFERROR(VLOOKUP(A1606,'[2]UPDATE BILL 2018'!$D:$T,17,0),IFERROR(VLOOKUP(A1606,'[2]UPDATE BILL 2018'!$E:$T,16,0),IFERROR(VLOOKUP(A1606,'[2]UPDATE BILL 2018'!$F:$T,15,0),IFERROR(VLOOKUP(A1606,'[2]UPDATE BILL 2018'!$G:$T,14,0),IFERROR(VLOOKUP(A1606,'[2]UPDATE BILL 2018'!$H:$T,13,0),IFERROR(VLOOKUP(A1606,'[2]UPDATE BILL 2018'!$I:$T,12,0),VLOOKUP(A1606,'[2]UPDATE BILL 2018'!$B:$T,19,0)))))))))</f>
        <v>43367</v>
      </c>
      <c r="AC1606" s="44" t="str">
        <f>IFERROR(VLOOKUP(A1606,'[2]UPDATE BILL 2018'!$B:$V,21,0),IFERROR(VLOOKUP(A1606,'[2]UPDATE BILL 2018'!$C:$V,20,0),IFERROR(VLOOKUP(A1606,'[2]UPDATE BILL 2018'!$D:$V,19,0),IFERROR(VLOOKUP(A1606,'[2]UPDATE BILL 2018'!$E:$V,18,0),IFERROR(VLOOKUP(A1606,'[2]UPDATE BILL 2018'!$F:$V,17,0),IFERROR(VLOOKUP(A1606,'[2]UPDATE BILL 2018'!$G:$V,16,0),IFERROR(VLOOKUP(A1606,'[2]UPDATE BILL 2018'!$H:$V,15,0),IFERROR(VLOOKUP(A1606,'[2]UPDATE BILL 2018'!$I:$V,14,0),VLOOKUP(A1606,'[2]UPDATE BILL 2018'!$B:$V,21,0)))))))))</f>
        <v>LANTAU BEE 18013N</v>
      </c>
      <c r="AD1606" s="14" t="s">
        <v>52</v>
      </c>
      <c r="AE1606" s="24" t="s">
        <v>3986</v>
      </c>
      <c r="AF1606" s="25" t="str">
        <f t="shared" si="147"/>
        <v>VQ</v>
      </c>
      <c r="AG1606" s="58" t="e">
        <f t="shared" si="154"/>
        <v>#REF!</v>
      </c>
      <c r="AH1606" s="58"/>
      <c r="AI1606" s="58" t="s">
        <v>3977</v>
      </c>
      <c r="AJ1606" s="58"/>
      <c r="AK1606" s="58"/>
      <c r="AL1606" s="58"/>
      <c r="AM1606" s="58"/>
      <c r="AN1606" s="58"/>
      <c r="AO1606" s="58"/>
    </row>
    <row r="1607" spans="1:41" ht="15.75" customHeight="1">
      <c r="A1607" s="6" t="s">
        <v>3978</v>
      </c>
      <c r="B1607" s="5">
        <v>300</v>
      </c>
      <c r="C1607" s="7">
        <v>14850.18</v>
      </c>
      <c r="D1607" s="7">
        <f t="shared" si="151"/>
        <v>0</v>
      </c>
      <c r="E1607" s="7">
        <v>0</v>
      </c>
      <c r="F1607" s="5">
        <v>0</v>
      </c>
      <c r="G1607" s="7">
        <v>0</v>
      </c>
      <c r="H1607" s="5">
        <v>0</v>
      </c>
      <c r="I1607" s="7">
        <v>0</v>
      </c>
      <c r="J1607" s="7">
        <v>0</v>
      </c>
      <c r="K1607" s="5">
        <v>0</v>
      </c>
      <c r="L1607" s="5">
        <v>0</v>
      </c>
      <c r="M1607" s="5">
        <v>217</v>
      </c>
      <c r="N1607" s="7">
        <f t="shared" si="152"/>
        <v>217</v>
      </c>
      <c r="O1607" s="7">
        <v>21009.300000000003</v>
      </c>
      <c r="P1607" s="7">
        <v>0</v>
      </c>
      <c r="Q1607" s="5">
        <v>0</v>
      </c>
      <c r="R1607" s="5">
        <v>248</v>
      </c>
      <c r="S1607" s="7">
        <v>36654.400000000001</v>
      </c>
      <c r="T1607" s="12">
        <v>43363</v>
      </c>
      <c r="U1607" s="4">
        <v>4</v>
      </c>
      <c r="V1607" s="4">
        <v>9</v>
      </c>
      <c r="W1607" s="4">
        <v>9</v>
      </c>
      <c r="X1607" s="45">
        <f t="shared" si="153"/>
        <v>72513.88</v>
      </c>
      <c r="Y1607" s="14" t="s">
        <v>54</v>
      </c>
      <c r="Z1607" s="14" t="s">
        <v>1281</v>
      </c>
      <c r="AA1607" s="14" t="str">
        <f>IFERROR(VLOOKUP(A1607,'[2]UPDATE BILL 2018'!$B:$P,15,0),IFERROR(VLOOKUP(A1607,'[2]UPDATE BILL 2018'!$C:$P,14,0),IFERROR(VLOOKUP(A1607,'[2]UPDATE BILL 2018'!$D:$P,13,0),IFERROR(VLOOKUP(A1607,'[2]UPDATE BILL 2018'!$E:$P,12,0),IFERROR(VLOOKUP(A1607,'[2]UPDATE BILL 2018'!$F:$P,11,0),IFERROR(VLOOKUP(A1607,'[2]UPDATE BILL 2018'!$G:$P,10,0),IFERROR(VLOOKUP(A1607,'[2]UPDATE BILL 2018'!$H:$P,9,0),IFERROR(VLOOKUP(A1607,'[2]UPDATE BILL 2018'!$I:$P,8,0),VLOOKUP(A1607,'[2]UPDATE BILL 2018'!$B:$P,15,0)))))))))</f>
        <v>SITWHPOS178489</v>
      </c>
      <c r="AB1607" s="44">
        <f>IFERROR(VLOOKUP(A1607,'[2]UPDATE BILL 2018'!$B:$T,19,0),IFERROR(VLOOKUP(A1607,'[2]UPDATE BILL 2018'!$C:$T,18,0),IFERROR(VLOOKUP(A1607,'[2]UPDATE BILL 2018'!$D:$T,17,0),IFERROR(VLOOKUP(A1607,'[2]UPDATE BILL 2018'!$E:$T,16,0),IFERROR(VLOOKUP(A1607,'[2]UPDATE BILL 2018'!$F:$T,15,0),IFERROR(VLOOKUP(A1607,'[2]UPDATE BILL 2018'!$G:$T,14,0),IFERROR(VLOOKUP(A1607,'[2]UPDATE BILL 2018'!$H:$T,13,0),IFERROR(VLOOKUP(A1607,'[2]UPDATE BILL 2018'!$I:$T,12,0),VLOOKUP(A1607,'[2]UPDATE BILL 2018'!$B:$T,19,0)))))))))</f>
        <v>43366</v>
      </c>
      <c r="AC1607" s="44" t="str">
        <f>IFERROR(VLOOKUP(A1607,'[2]UPDATE BILL 2018'!$B:$V,21,0),IFERROR(VLOOKUP(A1607,'[2]UPDATE BILL 2018'!$C:$V,20,0),IFERROR(VLOOKUP(A1607,'[2]UPDATE BILL 2018'!$D:$V,19,0),IFERROR(VLOOKUP(A1607,'[2]UPDATE BILL 2018'!$E:$V,18,0),IFERROR(VLOOKUP(A1607,'[2]UPDATE BILL 2018'!$F:$V,17,0),IFERROR(VLOOKUP(A1607,'[2]UPDATE BILL 2018'!$G:$V,16,0),IFERROR(VLOOKUP(A1607,'[2]UPDATE BILL 2018'!$H:$V,15,0),IFERROR(VLOOKUP(A1607,'[2]UPDATE BILL 2018'!$I:$V,14,0),VLOOKUP(A1607,'[2]UPDATE BILL 2018'!$B:$V,21,0)))))))))</f>
        <v>SITC YANTAI 1821N</v>
      </c>
      <c r="AD1607" s="14" t="s">
        <v>51</v>
      </c>
      <c r="AE1607" s="24" t="s">
        <v>3987</v>
      </c>
      <c r="AF1607" s="25" t="str">
        <f t="shared" si="147"/>
        <v>VS</v>
      </c>
      <c r="AG1607" s="58" t="e">
        <f t="shared" si="154"/>
        <v>#REF!</v>
      </c>
      <c r="AH1607" s="58"/>
      <c r="AI1607" s="58" t="s">
        <v>3978</v>
      </c>
      <c r="AJ1607" s="58"/>
      <c r="AK1607" s="58"/>
      <c r="AL1607" s="58"/>
      <c r="AM1607" s="58"/>
      <c r="AN1607" s="58"/>
      <c r="AO1607" s="58"/>
    </row>
    <row r="1608" spans="1:41" ht="15.75" customHeight="1">
      <c r="A1608" s="6" t="s">
        <v>3979</v>
      </c>
      <c r="B1608" s="5">
        <v>241</v>
      </c>
      <c r="C1608" s="7">
        <v>25090.260000000002</v>
      </c>
      <c r="D1608" s="7">
        <f t="shared" si="151"/>
        <v>0</v>
      </c>
      <c r="E1608" s="7">
        <v>0</v>
      </c>
      <c r="F1608" s="5">
        <v>0</v>
      </c>
      <c r="G1608" s="7">
        <v>0</v>
      </c>
      <c r="H1608" s="5">
        <v>0</v>
      </c>
      <c r="I1608" s="7">
        <v>0</v>
      </c>
      <c r="J1608" s="7">
        <v>0</v>
      </c>
      <c r="K1608" s="5">
        <v>0</v>
      </c>
      <c r="L1608" s="5">
        <v>0</v>
      </c>
      <c r="M1608" s="5">
        <v>97</v>
      </c>
      <c r="N1608" s="7">
        <f t="shared" si="152"/>
        <v>97</v>
      </c>
      <c r="O1608" s="7">
        <v>10319.649999999998</v>
      </c>
      <c r="P1608" s="7">
        <v>0</v>
      </c>
      <c r="Q1608" s="5">
        <v>0</v>
      </c>
      <c r="S1608" s="7">
        <v>0</v>
      </c>
      <c r="T1608" s="12">
        <v>43363</v>
      </c>
      <c r="U1608" s="4">
        <v>3</v>
      </c>
      <c r="V1608" s="4">
        <v>9</v>
      </c>
      <c r="W1608" s="4">
        <v>9</v>
      </c>
      <c r="X1608" s="45">
        <f t="shared" si="153"/>
        <v>35409.910000000003</v>
      </c>
      <c r="Y1608" s="14" t="s">
        <v>58</v>
      </c>
      <c r="Z1608" s="14" t="s">
        <v>1492</v>
      </c>
      <c r="AA1608" s="14" t="str">
        <f>IFERROR(VLOOKUP(A1608,'[2]UPDATE BILL 2018'!$B:$P,15,0),IFERROR(VLOOKUP(A1608,'[2]UPDATE BILL 2018'!$C:$P,14,0),IFERROR(VLOOKUP(A1608,'[2]UPDATE BILL 2018'!$D:$P,13,0),IFERROR(VLOOKUP(A1608,'[2]UPDATE BILL 2018'!$E:$P,12,0),IFERROR(VLOOKUP(A1608,'[2]UPDATE BILL 2018'!$F:$P,11,0),IFERROR(VLOOKUP(A1608,'[2]UPDATE BILL 2018'!$G:$P,10,0),IFERROR(VLOOKUP(A1608,'[2]UPDATE BILL 2018'!$H:$P,9,0),IFERROR(VLOOKUP(A1608,'[2]UPDATE BILL 2018'!$I:$P,8,0),VLOOKUP(A1608,'[2]UPDATE BILL 2018'!$B:$P,15,0)))))))))</f>
        <v>EGLV237800311401</v>
      </c>
      <c r="AB1608" s="44">
        <f>IFERROR(VLOOKUP(A1608,'[2]UPDATE BILL 2018'!$B:$T,19,0),IFERROR(VLOOKUP(A1608,'[2]UPDATE BILL 2018'!$C:$T,18,0),IFERROR(VLOOKUP(A1608,'[2]UPDATE BILL 2018'!$D:$T,17,0),IFERROR(VLOOKUP(A1608,'[2]UPDATE BILL 2018'!$E:$T,16,0),IFERROR(VLOOKUP(A1608,'[2]UPDATE BILL 2018'!$F:$T,15,0),IFERROR(VLOOKUP(A1608,'[2]UPDATE BILL 2018'!$G:$T,14,0),IFERROR(VLOOKUP(A1608,'[2]UPDATE BILL 2018'!$H:$T,13,0),IFERROR(VLOOKUP(A1608,'[2]UPDATE BILL 2018'!$I:$T,12,0),VLOOKUP(A1608,'[2]UPDATE BILL 2018'!$B:$T,19,0)))))))))</f>
        <v>43371</v>
      </c>
      <c r="AC1608" s="44" t="str">
        <f>IFERROR(VLOOKUP(A1608,'[2]UPDATE BILL 2018'!$B:$V,21,0),IFERROR(VLOOKUP(A1608,'[2]UPDATE BILL 2018'!$C:$V,20,0),IFERROR(VLOOKUP(A1608,'[2]UPDATE BILL 2018'!$D:$V,19,0),IFERROR(VLOOKUP(A1608,'[2]UPDATE BILL 2018'!$E:$V,18,0),IFERROR(VLOOKUP(A1608,'[2]UPDATE BILL 2018'!$F:$V,17,0),IFERROR(VLOOKUP(A1608,'[2]UPDATE BILL 2018'!$G:$V,16,0),IFERROR(VLOOKUP(A1608,'[2]UPDATE BILL 2018'!$H:$V,15,0),IFERROR(VLOOKUP(A1608,'[2]UPDATE BILL 2018'!$I:$V,14,0),VLOOKUP(A1608,'[2]UPDATE BILL 2018'!$B:$V,21,0)))))))))</f>
        <v>WAN HAI 267 N272</v>
      </c>
      <c r="AD1608" s="14" t="s">
        <v>51</v>
      </c>
      <c r="AE1608" s="24" t="s">
        <v>3988</v>
      </c>
      <c r="AF1608" s="25" t="str">
        <f t="shared" si="147"/>
        <v>VS</v>
      </c>
      <c r="AG1608" s="58" t="e">
        <f t="shared" si="154"/>
        <v>#REF!</v>
      </c>
      <c r="AH1608" s="58"/>
      <c r="AI1608" s="58"/>
      <c r="AJ1608" s="58"/>
      <c r="AK1608" s="58"/>
      <c r="AL1608" s="58"/>
      <c r="AM1608" s="58"/>
      <c r="AN1608" s="58"/>
      <c r="AO1608" s="58"/>
    </row>
    <row r="1609" spans="1:41" ht="15.75" customHeight="1">
      <c r="A1609" s="6" t="s">
        <v>3980</v>
      </c>
      <c r="B1609" s="5">
        <v>210</v>
      </c>
      <c r="C1609" s="7">
        <v>17145.5</v>
      </c>
      <c r="D1609" s="7">
        <f t="shared" si="151"/>
        <v>0</v>
      </c>
      <c r="E1609" s="7">
        <v>0</v>
      </c>
      <c r="F1609" s="5">
        <v>0</v>
      </c>
      <c r="G1609" s="7">
        <v>0</v>
      </c>
      <c r="H1609" s="5">
        <v>0</v>
      </c>
      <c r="I1609" s="7">
        <v>0</v>
      </c>
      <c r="J1609" s="7">
        <v>0</v>
      </c>
      <c r="K1609" s="5">
        <v>0</v>
      </c>
      <c r="L1609" s="5">
        <v>0</v>
      </c>
      <c r="M1609" s="5">
        <v>159</v>
      </c>
      <c r="N1609" s="7">
        <f t="shared" si="152"/>
        <v>159</v>
      </c>
      <c r="O1609" s="7">
        <v>29713.1</v>
      </c>
      <c r="P1609" s="7">
        <v>0</v>
      </c>
      <c r="Q1609" s="5">
        <v>0</v>
      </c>
      <c r="R1609" s="5">
        <v>197</v>
      </c>
      <c r="S1609" s="7">
        <v>44074.2</v>
      </c>
      <c r="T1609" s="12">
        <v>43363</v>
      </c>
      <c r="U1609" s="4">
        <v>6</v>
      </c>
      <c r="V1609" s="4">
        <v>9</v>
      </c>
      <c r="W1609" s="4">
        <v>9</v>
      </c>
      <c r="X1609" s="45">
        <f t="shared" si="153"/>
        <v>90932.799999999988</v>
      </c>
      <c r="Y1609" s="14" t="s">
        <v>54</v>
      </c>
      <c r="Z1609" s="14" t="s">
        <v>2525</v>
      </c>
      <c r="AA1609" s="14" t="str">
        <f>IFERROR(VLOOKUP(A1609,'[2]UPDATE BILL 2018'!$B:$P,15,0),IFERROR(VLOOKUP(A1609,'[2]UPDATE BILL 2018'!$C:$P,14,0),IFERROR(VLOOKUP(A1609,'[2]UPDATE BILL 2018'!$D:$P,13,0),IFERROR(VLOOKUP(A1609,'[2]UPDATE BILL 2018'!$E:$P,12,0),IFERROR(VLOOKUP(A1609,'[2]UPDATE BILL 2018'!$F:$P,11,0),IFERROR(VLOOKUP(A1609,'[2]UPDATE BILL 2018'!$G:$P,10,0),IFERROR(VLOOKUP(A1609,'[2]UPDATE BILL 2018'!$H:$P,9,0),IFERROR(VLOOKUP(A1609,'[2]UPDATE BILL 2018'!$I:$P,8,0),VLOOKUP(A1609,'[2]UPDATE BILL 2018'!$B:$P,15,0)))))))))</f>
        <v>SITWHPKW178484</v>
      </c>
      <c r="AB1609" s="44">
        <f>IFERROR(VLOOKUP(A1609,'[2]UPDATE BILL 2018'!$B:$T,19,0),IFERROR(VLOOKUP(A1609,'[2]UPDATE BILL 2018'!$C:$T,18,0),IFERROR(VLOOKUP(A1609,'[2]UPDATE BILL 2018'!$D:$T,17,0),IFERROR(VLOOKUP(A1609,'[2]UPDATE BILL 2018'!$E:$T,16,0),IFERROR(VLOOKUP(A1609,'[2]UPDATE BILL 2018'!$F:$T,15,0),IFERROR(VLOOKUP(A1609,'[2]UPDATE BILL 2018'!$G:$T,14,0),IFERROR(VLOOKUP(A1609,'[2]UPDATE BILL 2018'!$H:$T,13,0),IFERROR(VLOOKUP(A1609,'[2]UPDATE BILL 2018'!$I:$T,12,0),VLOOKUP(A1609,'[2]UPDATE BILL 2018'!$B:$T,19,0)))))))))</f>
        <v>43367</v>
      </c>
      <c r="AC1609" s="44" t="str">
        <f>IFERROR(VLOOKUP(A1609,'[2]UPDATE BILL 2018'!$B:$V,21,0),IFERROR(VLOOKUP(A1609,'[2]UPDATE BILL 2018'!$C:$V,20,0),IFERROR(VLOOKUP(A1609,'[2]UPDATE BILL 2018'!$D:$V,19,0),IFERROR(VLOOKUP(A1609,'[2]UPDATE BILL 2018'!$E:$V,18,0),IFERROR(VLOOKUP(A1609,'[2]UPDATE BILL 2018'!$F:$V,17,0),IFERROR(VLOOKUP(A1609,'[2]UPDATE BILL 2018'!$G:$V,16,0),IFERROR(VLOOKUP(A1609,'[2]UPDATE BILL 2018'!$H:$V,15,0),IFERROR(VLOOKUP(A1609,'[2]UPDATE BILL 2018'!$I:$V,14,0),VLOOKUP(A1609,'[2]UPDATE BILL 2018'!$B:$V,21,0)))))))))</f>
        <v>HYUNDAI HARMONY 1835N</v>
      </c>
      <c r="AD1609" s="14" t="s">
        <v>50</v>
      </c>
      <c r="AE1609" s="24" t="s">
        <v>3989</v>
      </c>
      <c r="AF1609" s="25" t="str">
        <f t="shared" si="147"/>
        <v>VW</v>
      </c>
      <c r="AG1609" s="58" t="e">
        <f t="shared" si="154"/>
        <v>#REF!</v>
      </c>
      <c r="AH1609" s="58"/>
      <c r="AI1609" s="58" t="s">
        <v>3980</v>
      </c>
      <c r="AJ1609" s="58"/>
      <c r="AK1609" s="58"/>
      <c r="AL1609" s="58"/>
      <c r="AM1609" s="58"/>
      <c r="AN1609" s="58"/>
      <c r="AO1609" s="58"/>
    </row>
    <row r="1610" spans="1:41" ht="15.75" customHeight="1">
      <c r="A1610" s="6" t="s">
        <v>3981</v>
      </c>
      <c r="B1610" s="5">
        <v>261</v>
      </c>
      <c r="C1610" s="7">
        <v>27595.98</v>
      </c>
      <c r="D1610" s="7">
        <f t="shared" si="151"/>
        <v>0</v>
      </c>
      <c r="E1610" s="7">
        <v>0</v>
      </c>
      <c r="F1610" s="5">
        <v>0</v>
      </c>
      <c r="G1610" s="7">
        <v>0</v>
      </c>
      <c r="H1610" s="5">
        <v>0</v>
      </c>
      <c r="I1610" s="7">
        <v>0</v>
      </c>
      <c r="J1610" s="7">
        <v>0</v>
      </c>
      <c r="K1610" s="5">
        <v>0</v>
      </c>
      <c r="L1610" s="5">
        <v>0</v>
      </c>
      <c r="M1610" s="5">
        <v>0</v>
      </c>
      <c r="N1610" s="7">
        <f t="shared" si="152"/>
        <v>0</v>
      </c>
      <c r="O1610" s="7">
        <v>0</v>
      </c>
      <c r="P1610" s="7">
        <v>0</v>
      </c>
      <c r="Q1610" s="5">
        <v>0</v>
      </c>
      <c r="S1610" s="7">
        <v>0</v>
      </c>
      <c r="T1610" s="12">
        <v>43363</v>
      </c>
      <c r="U1610" s="4">
        <v>3</v>
      </c>
      <c r="V1610" s="4">
        <v>9</v>
      </c>
      <c r="W1610" s="4">
        <v>9</v>
      </c>
      <c r="X1610" s="45">
        <f t="shared" si="153"/>
        <v>27595.98</v>
      </c>
      <c r="Y1610" s="14" t="s">
        <v>54</v>
      </c>
      <c r="Z1610" s="14" t="s">
        <v>57</v>
      </c>
      <c r="AA1610" s="14">
        <f>IFERROR(VLOOKUP(A1610,'[2]UPDATE BILL 2018'!$B:$P,15,0),IFERROR(VLOOKUP(A1610,'[2]UPDATE BILL 2018'!$C:$P,14,0),IFERROR(VLOOKUP(A1610,'[2]UPDATE BILL 2018'!$D:$P,13,0),IFERROR(VLOOKUP(A1610,'[2]UPDATE BILL 2018'!$E:$P,12,0),IFERROR(VLOOKUP(A1610,'[2]UPDATE BILL 2018'!$F:$P,11,0),IFERROR(VLOOKUP(A1610,'[2]UPDATE BILL 2018'!$G:$P,10,0),IFERROR(VLOOKUP(A1610,'[2]UPDATE BILL 2018'!$H:$P,9,0),IFERROR(VLOOKUP(A1610,'[2]UPDATE BILL 2018'!$I:$P,8,0),VLOOKUP(A1610,'[2]UPDATE BILL 2018'!$B:$P,15,0)))))))))</f>
        <v>0</v>
      </c>
      <c r="AB1610" s="44">
        <f>IFERROR(VLOOKUP(A1610,'[2]UPDATE BILL 2018'!$B:$T,19,0),IFERROR(VLOOKUP(A1610,'[2]UPDATE BILL 2018'!$C:$T,18,0),IFERROR(VLOOKUP(A1610,'[2]UPDATE BILL 2018'!$D:$T,17,0),IFERROR(VLOOKUP(A1610,'[2]UPDATE BILL 2018'!$E:$T,16,0),IFERROR(VLOOKUP(A1610,'[2]UPDATE BILL 2018'!$F:$T,15,0),IFERROR(VLOOKUP(A1610,'[2]UPDATE BILL 2018'!$G:$T,14,0),IFERROR(VLOOKUP(A1610,'[2]UPDATE BILL 2018'!$H:$T,13,0),IFERROR(VLOOKUP(A1610,'[2]UPDATE BILL 2018'!$I:$T,12,0),VLOOKUP(A1610,'[2]UPDATE BILL 2018'!$B:$T,19,0)))))))))</f>
        <v>0</v>
      </c>
      <c r="AC1610" s="44">
        <f>IFERROR(VLOOKUP(A1610,'[2]UPDATE BILL 2018'!$B:$V,21,0),IFERROR(VLOOKUP(A1610,'[2]UPDATE BILL 2018'!$C:$V,20,0),IFERROR(VLOOKUP(A1610,'[2]UPDATE BILL 2018'!$D:$V,19,0),IFERROR(VLOOKUP(A1610,'[2]UPDATE BILL 2018'!$E:$V,18,0),IFERROR(VLOOKUP(A1610,'[2]UPDATE BILL 2018'!$F:$V,17,0),IFERROR(VLOOKUP(A1610,'[2]UPDATE BILL 2018'!$G:$V,16,0),IFERROR(VLOOKUP(A1610,'[2]UPDATE BILL 2018'!$H:$V,15,0),IFERROR(VLOOKUP(A1610,'[2]UPDATE BILL 2018'!$I:$V,14,0),VLOOKUP(A1610,'[2]UPDATE BILL 2018'!$B:$V,21,0)))))))))</f>
        <v>0</v>
      </c>
      <c r="AD1610" s="14" t="s">
        <v>50</v>
      </c>
      <c r="AE1610" s="24" t="s">
        <v>3990</v>
      </c>
      <c r="AF1610" s="25" t="str">
        <f t="shared" si="147"/>
        <v>VW</v>
      </c>
      <c r="AG1610" s="58" t="e">
        <f t="shared" si="154"/>
        <v>#REF!</v>
      </c>
      <c r="AH1610" s="58"/>
      <c r="AI1610" s="58"/>
      <c r="AJ1610" s="58"/>
      <c r="AK1610" s="58"/>
      <c r="AL1610" s="58"/>
      <c r="AM1610" s="58"/>
      <c r="AN1610" s="58"/>
      <c r="AO1610" s="58"/>
    </row>
    <row r="1611" spans="1:41" ht="15.75" customHeight="1">
      <c r="A1611" s="6" t="s">
        <v>3991</v>
      </c>
      <c r="B1611" s="5">
        <v>321</v>
      </c>
      <c r="C1611" s="7">
        <v>37727.200000000012</v>
      </c>
      <c r="D1611" s="7">
        <f t="shared" si="151"/>
        <v>0</v>
      </c>
      <c r="E1611" s="7">
        <v>0</v>
      </c>
      <c r="F1611" s="5">
        <v>0</v>
      </c>
      <c r="G1611" s="7">
        <v>0</v>
      </c>
      <c r="H1611" s="5">
        <v>0</v>
      </c>
      <c r="I1611" s="7">
        <v>0</v>
      </c>
      <c r="J1611" s="7">
        <v>0</v>
      </c>
      <c r="K1611" s="5">
        <v>0</v>
      </c>
      <c r="L1611" s="5">
        <v>0</v>
      </c>
      <c r="M1611" s="5">
        <v>78</v>
      </c>
      <c r="N1611" s="7">
        <f t="shared" si="152"/>
        <v>78</v>
      </c>
      <c r="O1611" s="7">
        <v>9660.7000000000007</v>
      </c>
      <c r="P1611" s="7">
        <v>0</v>
      </c>
      <c r="Q1611" s="5">
        <v>0</v>
      </c>
      <c r="S1611" s="7">
        <v>0</v>
      </c>
      <c r="T1611" s="12">
        <v>43364</v>
      </c>
      <c r="U1611" s="4">
        <v>4</v>
      </c>
      <c r="V1611" s="4">
        <v>9</v>
      </c>
      <c r="W1611" s="4">
        <v>9</v>
      </c>
      <c r="X1611" s="45">
        <f t="shared" si="153"/>
        <v>47387.900000000009</v>
      </c>
      <c r="Y1611" s="14" t="s">
        <v>54</v>
      </c>
      <c r="Z1611" s="14" t="s">
        <v>59</v>
      </c>
      <c r="AA1611" s="14">
        <f>IFERROR(VLOOKUP(A1611,'[2]UPDATE BILL 2018'!$B:$P,15,0),IFERROR(VLOOKUP(A1611,'[2]UPDATE BILL 2018'!$C:$P,14,0),IFERROR(VLOOKUP(A1611,'[2]UPDATE BILL 2018'!$D:$P,13,0),IFERROR(VLOOKUP(A1611,'[2]UPDATE BILL 2018'!$E:$P,12,0),IFERROR(VLOOKUP(A1611,'[2]UPDATE BILL 2018'!$F:$P,11,0),IFERROR(VLOOKUP(A1611,'[2]UPDATE BILL 2018'!$G:$P,10,0),IFERROR(VLOOKUP(A1611,'[2]UPDATE BILL 2018'!$H:$P,9,0),IFERROR(VLOOKUP(A1611,'[2]UPDATE BILL 2018'!$I:$P,8,0),VLOOKUP(A1611,'[2]UPDATE BILL 2018'!$B:$P,15,0)))))))))</f>
        <v>0</v>
      </c>
      <c r="AB1611" s="44">
        <f>IFERROR(VLOOKUP(A1611,'[2]UPDATE BILL 2018'!$B:$T,19,0),IFERROR(VLOOKUP(A1611,'[2]UPDATE BILL 2018'!$C:$T,18,0),IFERROR(VLOOKUP(A1611,'[2]UPDATE BILL 2018'!$D:$T,17,0),IFERROR(VLOOKUP(A1611,'[2]UPDATE BILL 2018'!$E:$T,16,0),IFERROR(VLOOKUP(A1611,'[2]UPDATE BILL 2018'!$F:$T,15,0),IFERROR(VLOOKUP(A1611,'[2]UPDATE BILL 2018'!$G:$T,14,0),IFERROR(VLOOKUP(A1611,'[2]UPDATE BILL 2018'!$H:$T,13,0),IFERROR(VLOOKUP(A1611,'[2]UPDATE BILL 2018'!$I:$T,12,0),VLOOKUP(A1611,'[2]UPDATE BILL 2018'!$B:$T,19,0)))))))))</f>
        <v>0</v>
      </c>
      <c r="AC1611" s="44">
        <f>IFERROR(VLOOKUP(A1611,'[2]UPDATE BILL 2018'!$B:$V,21,0),IFERROR(VLOOKUP(A1611,'[2]UPDATE BILL 2018'!$C:$V,20,0),IFERROR(VLOOKUP(A1611,'[2]UPDATE BILL 2018'!$D:$V,19,0),IFERROR(VLOOKUP(A1611,'[2]UPDATE BILL 2018'!$E:$V,18,0),IFERROR(VLOOKUP(A1611,'[2]UPDATE BILL 2018'!$F:$V,17,0),IFERROR(VLOOKUP(A1611,'[2]UPDATE BILL 2018'!$G:$V,16,0),IFERROR(VLOOKUP(A1611,'[2]UPDATE BILL 2018'!$H:$V,15,0),IFERROR(VLOOKUP(A1611,'[2]UPDATE BILL 2018'!$I:$V,14,0),VLOOKUP(A1611,'[2]UPDATE BILL 2018'!$B:$V,21,0)))))))))</f>
        <v>0</v>
      </c>
      <c r="AD1611" s="14" t="s">
        <v>50</v>
      </c>
      <c r="AE1611" s="24" t="s">
        <v>3999</v>
      </c>
      <c r="AF1611" s="25" t="str">
        <f t="shared" si="147"/>
        <v>VW</v>
      </c>
      <c r="AG1611" s="58" t="e">
        <f t="shared" si="154"/>
        <v>#REF!</v>
      </c>
      <c r="AH1611" s="58"/>
      <c r="AI1611" s="58"/>
      <c r="AJ1611" s="58"/>
      <c r="AK1611" s="58"/>
      <c r="AL1611" s="58"/>
      <c r="AM1611" s="58"/>
      <c r="AN1611" s="58"/>
      <c r="AO1611" s="58"/>
    </row>
    <row r="1612" spans="1:41" ht="15.75" customHeight="1">
      <c r="A1612" s="6" t="s">
        <v>3992</v>
      </c>
      <c r="B1612" s="5">
        <v>212</v>
      </c>
      <c r="C1612" s="7">
        <v>18979.32</v>
      </c>
      <c r="D1612" s="7">
        <f t="shared" si="151"/>
        <v>0</v>
      </c>
      <c r="E1612" s="7">
        <v>0</v>
      </c>
      <c r="F1612" s="5">
        <v>0</v>
      </c>
      <c r="G1612" s="7">
        <v>0</v>
      </c>
      <c r="H1612" s="5">
        <v>160</v>
      </c>
      <c r="I1612" s="7">
        <v>3964.0000000000005</v>
      </c>
      <c r="J1612" s="7">
        <v>0</v>
      </c>
      <c r="K1612" s="5">
        <v>0</v>
      </c>
      <c r="L1612" s="5">
        <v>0</v>
      </c>
      <c r="M1612" s="5">
        <v>40</v>
      </c>
      <c r="N1612" s="7">
        <f t="shared" si="152"/>
        <v>40</v>
      </c>
      <c r="O1612" s="7">
        <v>932</v>
      </c>
      <c r="P1612" s="7">
        <v>0</v>
      </c>
      <c r="Q1612" s="5">
        <v>0</v>
      </c>
      <c r="R1612" s="5">
        <v>808</v>
      </c>
      <c r="S1612" s="7">
        <v>162761</v>
      </c>
      <c r="T1612" s="12">
        <v>43364</v>
      </c>
      <c r="U1612" s="4">
        <v>7</v>
      </c>
      <c r="V1612" s="4">
        <v>9</v>
      </c>
      <c r="W1612" s="4">
        <v>9</v>
      </c>
      <c r="X1612" s="45">
        <f t="shared" si="153"/>
        <v>186636.32</v>
      </c>
      <c r="Y1612" s="14" t="s">
        <v>54</v>
      </c>
      <c r="Z1612" s="14" t="s">
        <v>2525</v>
      </c>
      <c r="AA1612" s="14" t="str">
        <f>IFERROR(VLOOKUP(A1612,'[2]UPDATE BILL 2018'!$B:$P,15,0),IFERROR(VLOOKUP(A1612,'[2]UPDATE BILL 2018'!$C:$P,14,0),IFERROR(VLOOKUP(A1612,'[2]UPDATE BILL 2018'!$D:$P,13,0),IFERROR(VLOOKUP(A1612,'[2]UPDATE BILL 2018'!$E:$P,12,0),IFERROR(VLOOKUP(A1612,'[2]UPDATE BILL 2018'!$F:$P,11,0),IFERROR(VLOOKUP(A1612,'[2]UPDATE BILL 2018'!$G:$P,10,0),IFERROR(VLOOKUP(A1612,'[2]UPDATE BILL 2018'!$H:$P,9,0),IFERROR(VLOOKUP(A1612,'[2]UPDATE BILL 2018'!$I:$P,8,0),VLOOKUP(A1612,'[2]UPDATE BILL 2018'!$B:$P,15,0)))))))))</f>
        <v>SITWHPKW178484</v>
      </c>
      <c r="AB1612" s="44">
        <f>IFERROR(VLOOKUP(A1612,'[2]UPDATE BILL 2018'!$B:$T,19,0),IFERROR(VLOOKUP(A1612,'[2]UPDATE BILL 2018'!$C:$T,18,0),IFERROR(VLOOKUP(A1612,'[2]UPDATE BILL 2018'!$D:$T,17,0),IFERROR(VLOOKUP(A1612,'[2]UPDATE BILL 2018'!$E:$T,16,0),IFERROR(VLOOKUP(A1612,'[2]UPDATE BILL 2018'!$F:$T,15,0),IFERROR(VLOOKUP(A1612,'[2]UPDATE BILL 2018'!$G:$T,14,0),IFERROR(VLOOKUP(A1612,'[2]UPDATE BILL 2018'!$H:$T,13,0),IFERROR(VLOOKUP(A1612,'[2]UPDATE BILL 2018'!$I:$T,12,0),VLOOKUP(A1612,'[2]UPDATE BILL 2018'!$B:$T,19,0)))))))))</f>
        <v>43367</v>
      </c>
      <c r="AC1612" s="44" t="str">
        <f>IFERROR(VLOOKUP(A1612,'[2]UPDATE BILL 2018'!$B:$V,21,0),IFERROR(VLOOKUP(A1612,'[2]UPDATE BILL 2018'!$C:$V,20,0),IFERROR(VLOOKUP(A1612,'[2]UPDATE BILL 2018'!$D:$V,19,0),IFERROR(VLOOKUP(A1612,'[2]UPDATE BILL 2018'!$E:$V,18,0),IFERROR(VLOOKUP(A1612,'[2]UPDATE BILL 2018'!$F:$V,17,0),IFERROR(VLOOKUP(A1612,'[2]UPDATE BILL 2018'!$G:$V,16,0),IFERROR(VLOOKUP(A1612,'[2]UPDATE BILL 2018'!$H:$V,15,0),IFERROR(VLOOKUP(A1612,'[2]UPDATE BILL 2018'!$I:$V,14,0),VLOOKUP(A1612,'[2]UPDATE BILL 2018'!$B:$V,21,0)))))))))</f>
        <v>HYUNDAI HARMONY 1835N</v>
      </c>
      <c r="AD1612" s="14" t="s">
        <v>50</v>
      </c>
      <c r="AE1612" s="24" t="s">
        <v>4000</v>
      </c>
      <c r="AF1612" s="25" t="str">
        <f t="shared" si="147"/>
        <v>VW</v>
      </c>
      <c r="AG1612" s="58" t="e">
        <f t="shared" si="154"/>
        <v>#REF!</v>
      </c>
      <c r="AH1612" s="58"/>
      <c r="AI1612" s="58" t="s">
        <v>3992</v>
      </c>
      <c r="AJ1612" s="58"/>
      <c r="AK1612" s="58"/>
      <c r="AL1612" s="58"/>
      <c r="AM1612" s="58"/>
      <c r="AN1612" s="58"/>
      <c r="AO1612" s="58"/>
    </row>
    <row r="1613" spans="1:41" ht="15.75" customHeight="1">
      <c r="A1613" s="6" t="s">
        <v>3993</v>
      </c>
      <c r="B1613" s="5">
        <v>401</v>
      </c>
      <c r="C1613" s="7">
        <v>45237.850000000006</v>
      </c>
      <c r="D1613" s="7">
        <f t="shared" si="151"/>
        <v>0</v>
      </c>
      <c r="E1613" s="7">
        <v>0</v>
      </c>
      <c r="F1613" s="5">
        <v>0</v>
      </c>
      <c r="G1613" s="7">
        <v>0</v>
      </c>
      <c r="H1613" s="5">
        <v>100</v>
      </c>
      <c r="I1613" s="7">
        <v>12362.900000000001</v>
      </c>
      <c r="J1613" s="7">
        <v>0</v>
      </c>
      <c r="K1613" s="5">
        <v>0</v>
      </c>
      <c r="L1613" s="5">
        <v>0</v>
      </c>
      <c r="M1613" s="5">
        <v>147</v>
      </c>
      <c r="N1613" s="7">
        <f t="shared" si="152"/>
        <v>147</v>
      </c>
      <c r="O1613" s="7">
        <v>20078.099999999999</v>
      </c>
      <c r="P1613" s="7">
        <v>0</v>
      </c>
      <c r="Q1613" s="5">
        <v>0</v>
      </c>
      <c r="S1613" s="7">
        <v>0</v>
      </c>
      <c r="T1613" s="12">
        <v>43364</v>
      </c>
      <c r="U1613" s="4">
        <v>7</v>
      </c>
      <c r="V1613" s="4">
        <v>9</v>
      </c>
      <c r="W1613" s="4">
        <v>9</v>
      </c>
      <c r="X1613" s="45">
        <f t="shared" si="153"/>
        <v>77678.850000000006</v>
      </c>
      <c r="Y1613" s="14" t="s">
        <v>56</v>
      </c>
      <c r="Z1613" s="14" t="s">
        <v>3780</v>
      </c>
      <c r="AA1613" s="14">
        <f>IFERROR(VLOOKUP(A1613,'[2]UPDATE BILL 2018'!$B:$P,15,0),IFERROR(VLOOKUP(A1613,'[2]UPDATE BILL 2018'!$C:$P,14,0),IFERROR(VLOOKUP(A1613,'[2]UPDATE BILL 2018'!$D:$P,13,0),IFERROR(VLOOKUP(A1613,'[2]UPDATE BILL 2018'!$E:$P,12,0),IFERROR(VLOOKUP(A1613,'[2]UPDATE BILL 2018'!$F:$P,11,0),IFERROR(VLOOKUP(A1613,'[2]UPDATE BILL 2018'!$G:$P,10,0),IFERROR(VLOOKUP(A1613,'[2]UPDATE BILL 2018'!$H:$P,9,0),IFERROR(VLOOKUP(A1613,'[2]UPDATE BILL 2018'!$I:$P,8,0),VLOOKUP(A1613,'[2]UPDATE BILL 2018'!$B:$P,15,0)))))))))</f>
        <v>0</v>
      </c>
      <c r="AB1613" s="44">
        <f>IFERROR(VLOOKUP(A1613,'[2]UPDATE BILL 2018'!$B:$T,19,0),IFERROR(VLOOKUP(A1613,'[2]UPDATE BILL 2018'!$C:$T,18,0),IFERROR(VLOOKUP(A1613,'[2]UPDATE BILL 2018'!$D:$T,17,0),IFERROR(VLOOKUP(A1613,'[2]UPDATE BILL 2018'!$E:$T,16,0),IFERROR(VLOOKUP(A1613,'[2]UPDATE BILL 2018'!$F:$T,15,0),IFERROR(VLOOKUP(A1613,'[2]UPDATE BILL 2018'!$G:$T,14,0),IFERROR(VLOOKUP(A1613,'[2]UPDATE BILL 2018'!$H:$T,13,0),IFERROR(VLOOKUP(A1613,'[2]UPDATE BILL 2018'!$I:$T,12,0),VLOOKUP(A1613,'[2]UPDATE BILL 2018'!$B:$T,19,0)))))))))</f>
        <v>0</v>
      </c>
      <c r="AC1613" s="44">
        <f>IFERROR(VLOOKUP(A1613,'[2]UPDATE BILL 2018'!$B:$V,21,0),IFERROR(VLOOKUP(A1613,'[2]UPDATE BILL 2018'!$C:$V,20,0),IFERROR(VLOOKUP(A1613,'[2]UPDATE BILL 2018'!$D:$V,19,0),IFERROR(VLOOKUP(A1613,'[2]UPDATE BILL 2018'!$E:$V,18,0),IFERROR(VLOOKUP(A1613,'[2]UPDATE BILL 2018'!$F:$V,17,0),IFERROR(VLOOKUP(A1613,'[2]UPDATE BILL 2018'!$G:$V,16,0),IFERROR(VLOOKUP(A1613,'[2]UPDATE BILL 2018'!$H:$V,15,0),IFERROR(VLOOKUP(A1613,'[2]UPDATE BILL 2018'!$I:$V,14,0),VLOOKUP(A1613,'[2]UPDATE BILL 2018'!$B:$V,21,0)))))))))</f>
        <v>0</v>
      </c>
      <c r="AD1613" s="14" t="s">
        <v>51</v>
      </c>
      <c r="AE1613" s="24" t="s">
        <v>4001</v>
      </c>
      <c r="AF1613" s="25" t="str">
        <f t="shared" si="147"/>
        <v>VS</v>
      </c>
      <c r="AG1613" s="58" t="e">
        <f t="shared" si="154"/>
        <v>#REF!</v>
      </c>
      <c r="AH1613" s="58"/>
      <c r="AI1613" s="58"/>
      <c r="AJ1613" s="58"/>
      <c r="AK1613" s="58"/>
      <c r="AL1613" s="58"/>
      <c r="AM1613" s="58"/>
      <c r="AN1613" s="58"/>
      <c r="AO1613" s="58"/>
    </row>
    <row r="1614" spans="1:41" ht="15.75" customHeight="1">
      <c r="A1614" s="6" t="s">
        <v>3994</v>
      </c>
      <c r="B1614" s="5">
        <v>352</v>
      </c>
      <c r="C1614" s="7">
        <v>18922.36</v>
      </c>
      <c r="D1614" s="7">
        <f t="shared" si="151"/>
        <v>0</v>
      </c>
      <c r="E1614" s="7">
        <v>0</v>
      </c>
      <c r="F1614" s="5">
        <v>0</v>
      </c>
      <c r="G1614" s="7">
        <v>0</v>
      </c>
      <c r="H1614" s="5">
        <v>255</v>
      </c>
      <c r="I1614" s="7">
        <v>21395.800000000003</v>
      </c>
      <c r="J1614" s="7">
        <v>0</v>
      </c>
      <c r="K1614" s="5">
        <v>0</v>
      </c>
      <c r="L1614" s="5">
        <v>0</v>
      </c>
      <c r="M1614" s="5">
        <v>44</v>
      </c>
      <c r="N1614" s="7">
        <f t="shared" si="152"/>
        <v>44</v>
      </c>
      <c r="O1614" s="7">
        <v>10122.200000000001</v>
      </c>
      <c r="P1614" s="7">
        <v>0</v>
      </c>
      <c r="Q1614" s="5">
        <v>0</v>
      </c>
      <c r="R1614" s="5">
        <v>742</v>
      </c>
      <c r="S1614" s="7">
        <v>114950.8</v>
      </c>
      <c r="T1614" s="12">
        <v>43364</v>
      </c>
      <c r="U1614" s="4">
        <v>7</v>
      </c>
      <c r="V1614" s="4">
        <v>9</v>
      </c>
      <c r="W1614" s="4">
        <v>9</v>
      </c>
      <c r="X1614" s="45">
        <f t="shared" si="153"/>
        <v>165391.16</v>
      </c>
      <c r="Y1614" s="14" t="s">
        <v>54</v>
      </c>
      <c r="Z1614" s="14" t="s">
        <v>1281</v>
      </c>
      <c r="AA1614" s="14" t="str">
        <f>IFERROR(VLOOKUP(A1614,'[2]UPDATE BILL 2018'!$B:$P,15,0),IFERROR(VLOOKUP(A1614,'[2]UPDATE BILL 2018'!$C:$P,14,0),IFERROR(VLOOKUP(A1614,'[2]UPDATE BILL 2018'!$D:$P,13,0),IFERROR(VLOOKUP(A1614,'[2]UPDATE BILL 2018'!$E:$P,12,0),IFERROR(VLOOKUP(A1614,'[2]UPDATE BILL 2018'!$F:$P,11,0),IFERROR(VLOOKUP(A1614,'[2]UPDATE BILL 2018'!$G:$P,10,0),IFERROR(VLOOKUP(A1614,'[2]UPDATE BILL 2018'!$H:$P,9,0),IFERROR(VLOOKUP(A1614,'[2]UPDATE BILL 2018'!$I:$P,8,0),VLOOKUP(A1614,'[2]UPDATE BILL 2018'!$B:$P,15,0)))))))))</f>
        <v>SITWHPOS178489</v>
      </c>
      <c r="AB1614" s="44">
        <f>IFERROR(VLOOKUP(A1614,'[2]UPDATE BILL 2018'!$B:$T,19,0),IFERROR(VLOOKUP(A1614,'[2]UPDATE BILL 2018'!$C:$T,18,0),IFERROR(VLOOKUP(A1614,'[2]UPDATE BILL 2018'!$D:$T,17,0),IFERROR(VLOOKUP(A1614,'[2]UPDATE BILL 2018'!$E:$T,16,0),IFERROR(VLOOKUP(A1614,'[2]UPDATE BILL 2018'!$F:$T,15,0),IFERROR(VLOOKUP(A1614,'[2]UPDATE BILL 2018'!$G:$T,14,0),IFERROR(VLOOKUP(A1614,'[2]UPDATE BILL 2018'!$H:$T,13,0),IFERROR(VLOOKUP(A1614,'[2]UPDATE BILL 2018'!$I:$T,12,0),VLOOKUP(A1614,'[2]UPDATE BILL 2018'!$B:$T,19,0)))))))))</f>
        <v>43366</v>
      </c>
      <c r="AC1614" s="44" t="str">
        <f>IFERROR(VLOOKUP(A1614,'[2]UPDATE BILL 2018'!$B:$V,21,0),IFERROR(VLOOKUP(A1614,'[2]UPDATE BILL 2018'!$C:$V,20,0),IFERROR(VLOOKUP(A1614,'[2]UPDATE BILL 2018'!$D:$V,19,0),IFERROR(VLOOKUP(A1614,'[2]UPDATE BILL 2018'!$E:$V,18,0),IFERROR(VLOOKUP(A1614,'[2]UPDATE BILL 2018'!$F:$V,17,0),IFERROR(VLOOKUP(A1614,'[2]UPDATE BILL 2018'!$G:$V,16,0),IFERROR(VLOOKUP(A1614,'[2]UPDATE BILL 2018'!$H:$V,15,0),IFERROR(VLOOKUP(A1614,'[2]UPDATE BILL 2018'!$I:$V,14,0),VLOOKUP(A1614,'[2]UPDATE BILL 2018'!$B:$V,21,0)))))))))</f>
        <v>SITC YANTAI 1821N</v>
      </c>
      <c r="AD1614" s="14" t="s">
        <v>51</v>
      </c>
      <c r="AE1614" s="24" t="s">
        <v>4002</v>
      </c>
      <c r="AF1614" s="25" t="str">
        <f t="shared" si="147"/>
        <v>VS</v>
      </c>
      <c r="AG1614" s="58" t="e">
        <f t="shared" si="154"/>
        <v>#REF!</v>
      </c>
      <c r="AH1614" s="58"/>
      <c r="AI1614" s="58" t="s">
        <v>3994</v>
      </c>
      <c r="AJ1614" s="58"/>
      <c r="AK1614" s="58"/>
      <c r="AL1614" s="58"/>
      <c r="AM1614" s="58"/>
      <c r="AN1614" s="58"/>
      <c r="AO1614" s="58"/>
    </row>
    <row r="1615" spans="1:41" ht="15.75" customHeight="1">
      <c r="A1615" s="6" t="s">
        <v>3995</v>
      </c>
      <c r="D1615" s="7">
        <f t="shared" si="151"/>
        <v>0</v>
      </c>
      <c r="E1615" s="7">
        <v>0</v>
      </c>
      <c r="F1615" s="5">
        <v>0</v>
      </c>
      <c r="G1615" s="7">
        <v>0</v>
      </c>
      <c r="H1615" s="5">
        <v>408</v>
      </c>
      <c r="I1615" s="7">
        <v>42944.659999999989</v>
      </c>
      <c r="J1615" s="7">
        <v>0</v>
      </c>
      <c r="K1615" s="5">
        <v>0</v>
      </c>
      <c r="L1615" s="5">
        <v>0</v>
      </c>
      <c r="M1615" s="5">
        <v>0</v>
      </c>
      <c r="N1615" s="7">
        <f t="shared" si="152"/>
        <v>0</v>
      </c>
      <c r="O1615" s="7">
        <v>0</v>
      </c>
      <c r="P1615" s="7">
        <v>0</v>
      </c>
      <c r="Q1615" s="5">
        <v>0</v>
      </c>
      <c r="S1615" s="7">
        <v>0</v>
      </c>
      <c r="T1615" s="12">
        <v>43364</v>
      </c>
      <c r="U1615" s="4">
        <v>3</v>
      </c>
      <c r="V1615" s="4">
        <v>9</v>
      </c>
      <c r="W1615" s="4">
        <v>9</v>
      </c>
      <c r="X1615" s="45">
        <f t="shared" si="153"/>
        <v>42944.659999999989</v>
      </c>
      <c r="Y1615" s="14" t="s">
        <v>85</v>
      </c>
      <c r="Z1615" s="14" t="s">
        <v>3376</v>
      </c>
      <c r="AA1615" s="14">
        <f>IFERROR(VLOOKUP(A1615,'[2]UPDATE BILL 2018'!$B:$P,15,0),IFERROR(VLOOKUP(A1615,'[2]UPDATE BILL 2018'!$C:$P,14,0),IFERROR(VLOOKUP(A1615,'[2]UPDATE BILL 2018'!$D:$P,13,0),IFERROR(VLOOKUP(A1615,'[2]UPDATE BILL 2018'!$E:$P,12,0),IFERROR(VLOOKUP(A1615,'[2]UPDATE BILL 2018'!$F:$P,11,0),IFERROR(VLOOKUP(A1615,'[2]UPDATE BILL 2018'!$G:$P,10,0),IFERROR(VLOOKUP(A1615,'[2]UPDATE BILL 2018'!$H:$P,9,0),IFERROR(VLOOKUP(A1615,'[2]UPDATE BILL 2018'!$I:$P,8,0),VLOOKUP(A1615,'[2]UPDATE BILL 2018'!$B:$P,15,0)))))))))</f>
        <v>350810117215</v>
      </c>
      <c r="AB1615" s="44">
        <f>IFERROR(VLOOKUP(A1615,'[2]UPDATE BILL 2018'!$B:$T,19,0),IFERROR(VLOOKUP(A1615,'[2]UPDATE BILL 2018'!$C:$T,18,0),IFERROR(VLOOKUP(A1615,'[2]UPDATE BILL 2018'!$D:$T,17,0),IFERROR(VLOOKUP(A1615,'[2]UPDATE BILL 2018'!$E:$T,16,0),IFERROR(VLOOKUP(A1615,'[2]UPDATE BILL 2018'!$F:$T,15,0),IFERROR(VLOOKUP(A1615,'[2]UPDATE BILL 2018'!$G:$T,14,0),IFERROR(VLOOKUP(A1615,'[2]UPDATE BILL 2018'!$H:$T,13,0),IFERROR(VLOOKUP(A1615,'[2]UPDATE BILL 2018'!$I:$T,12,0),VLOOKUP(A1615,'[2]UPDATE BILL 2018'!$B:$T,19,0)))))))))</f>
        <v>43370</v>
      </c>
      <c r="AC1615" s="44" t="str">
        <f>IFERROR(VLOOKUP(A1615,'[2]UPDATE BILL 2018'!$B:$V,21,0),IFERROR(VLOOKUP(A1615,'[2]UPDATE BILL 2018'!$C:$V,20,0),IFERROR(VLOOKUP(A1615,'[2]UPDATE BILL 2018'!$D:$V,19,0),IFERROR(VLOOKUP(A1615,'[2]UPDATE BILL 2018'!$E:$V,18,0),IFERROR(VLOOKUP(A1615,'[2]UPDATE BILL 2018'!$F:$V,17,0),IFERROR(VLOOKUP(A1615,'[2]UPDATE BILL 2018'!$G:$V,16,0),IFERROR(VLOOKUP(A1615,'[2]UPDATE BILL 2018'!$H:$V,15,0),IFERROR(VLOOKUP(A1615,'[2]UPDATE BILL 2018'!$I:$V,14,0),VLOOKUP(A1615,'[2]UPDATE BILL 2018'!$B:$V,21,0)))))))))</f>
        <v>MARCARRIER 18016N</v>
      </c>
      <c r="AD1615" s="14" t="s">
        <v>49</v>
      </c>
      <c r="AE1615" s="24" t="s">
        <v>4003</v>
      </c>
      <c r="AF1615" s="25" t="str">
        <f t="shared" si="147"/>
        <v>VK</v>
      </c>
      <c r="AG1615" s="58" t="e">
        <f t="shared" si="154"/>
        <v>#REF!</v>
      </c>
      <c r="AH1615" s="58"/>
      <c r="AI1615" s="58"/>
      <c r="AJ1615" s="58"/>
      <c r="AK1615" s="58"/>
      <c r="AL1615" s="58"/>
      <c r="AM1615" s="58"/>
      <c r="AN1615" s="58"/>
      <c r="AO1615" s="58"/>
    </row>
    <row r="1616" spans="1:41" ht="15.75" customHeight="1">
      <c r="A1616" s="6" t="s">
        <v>3996</v>
      </c>
      <c r="D1616" s="7">
        <f t="shared" si="151"/>
        <v>0</v>
      </c>
      <c r="E1616" s="7">
        <v>0</v>
      </c>
      <c r="F1616" s="5">
        <v>0</v>
      </c>
      <c r="G1616" s="7">
        <v>0</v>
      </c>
      <c r="H1616" s="5">
        <v>338</v>
      </c>
      <c r="I1616" s="7">
        <v>39016.639999999992</v>
      </c>
      <c r="J1616" s="7">
        <v>0</v>
      </c>
      <c r="K1616" s="5">
        <v>0</v>
      </c>
      <c r="L1616" s="5">
        <v>0</v>
      </c>
      <c r="M1616" s="5">
        <v>0</v>
      </c>
      <c r="N1616" s="7">
        <f t="shared" si="152"/>
        <v>0</v>
      </c>
      <c r="O1616" s="7">
        <v>0</v>
      </c>
      <c r="P1616" s="7">
        <v>0</v>
      </c>
      <c r="Q1616" s="5">
        <v>0</v>
      </c>
      <c r="S1616" s="7">
        <v>0</v>
      </c>
      <c r="T1616" s="12">
        <v>43364</v>
      </c>
      <c r="U1616" s="4">
        <v>2</v>
      </c>
      <c r="V1616" s="4">
        <v>9</v>
      </c>
      <c r="W1616" s="4">
        <v>9</v>
      </c>
      <c r="X1616" s="45">
        <f t="shared" si="153"/>
        <v>39016.639999999992</v>
      </c>
      <c r="Y1616" s="14" t="s">
        <v>1633</v>
      </c>
      <c r="Z1616" s="14" t="s">
        <v>1492</v>
      </c>
      <c r="AA1616" s="14">
        <f>IFERROR(VLOOKUP(A1616,'[2]UPDATE BILL 2018'!$B:$P,15,0),IFERROR(VLOOKUP(A1616,'[2]UPDATE BILL 2018'!$C:$P,14,0),IFERROR(VLOOKUP(A1616,'[2]UPDATE BILL 2018'!$D:$P,13,0),IFERROR(VLOOKUP(A1616,'[2]UPDATE BILL 2018'!$E:$P,12,0),IFERROR(VLOOKUP(A1616,'[2]UPDATE BILL 2018'!$F:$P,11,0),IFERROR(VLOOKUP(A1616,'[2]UPDATE BILL 2018'!$G:$P,10,0),IFERROR(VLOOKUP(A1616,'[2]UPDATE BILL 2018'!$H:$P,9,0),IFERROR(VLOOKUP(A1616,'[2]UPDATE BILL 2018'!$I:$P,8,0),VLOOKUP(A1616,'[2]UPDATE BILL 2018'!$B:$P,15,0)))))))))</f>
        <v>0</v>
      </c>
      <c r="AB1616" s="44">
        <f>IFERROR(VLOOKUP(A1616,'[2]UPDATE BILL 2018'!$B:$T,19,0),IFERROR(VLOOKUP(A1616,'[2]UPDATE BILL 2018'!$C:$T,18,0),IFERROR(VLOOKUP(A1616,'[2]UPDATE BILL 2018'!$D:$T,17,0),IFERROR(VLOOKUP(A1616,'[2]UPDATE BILL 2018'!$E:$T,16,0),IFERROR(VLOOKUP(A1616,'[2]UPDATE BILL 2018'!$F:$T,15,0),IFERROR(VLOOKUP(A1616,'[2]UPDATE BILL 2018'!$G:$T,14,0),IFERROR(VLOOKUP(A1616,'[2]UPDATE BILL 2018'!$H:$T,13,0),IFERROR(VLOOKUP(A1616,'[2]UPDATE BILL 2018'!$I:$T,12,0),VLOOKUP(A1616,'[2]UPDATE BILL 2018'!$B:$T,19,0)))))))))</f>
        <v>0</v>
      </c>
      <c r="AC1616" s="44">
        <f>IFERROR(VLOOKUP(A1616,'[2]UPDATE BILL 2018'!$B:$V,21,0),IFERROR(VLOOKUP(A1616,'[2]UPDATE BILL 2018'!$C:$V,20,0),IFERROR(VLOOKUP(A1616,'[2]UPDATE BILL 2018'!$D:$V,19,0),IFERROR(VLOOKUP(A1616,'[2]UPDATE BILL 2018'!$E:$V,18,0),IFERROR(VLOOKUP(A1616,'[2]UPDATE BILL 2018'!$F:$V,17,0),IFERROR(VLOOKUP(A1616,'[2]UPDATE BILL 2018'!$G:$V,16,0),IFERROR(VLOOKUP(A1616,'[2]UPDATE BILL 2018'!$H:$V,15,0),IFERROR(VLOOKUP(A1616,'[2]UPDATE BILL 2018'!$I:$V,14,0),VLOOKUP(A1616,'[2]UPDATE BILL 2018'!$B:$V,21,0)))))))))</f>
        <v>0</v>
      </c>
      <c r="AD1616" s="14" t="s">
        <v>70</v>
      </c>
      <c r="AE1616" s="24" t="s">
        <v>4004</v>
      </c>
      <c r="AF1616" s="25" t="str">
        <f t="shared" si="147"/>
        <v>VH</v>
      </c>
      <c r="AG1616" s="58" t="e">
        <f t="shared" si="154"/>
        <v>#REF!</v>
      </c>
      <c r="AH1616" s="58"/>
      <c r="AI1616" s="58"/>
      <c r="AJ1616" s="58"/>
      <c r="AK1616" s="58"/>
      <c r="AL1616" s="58"/>
      <c r="AM1616" s="58"/>
      <c r="AN1616" s="58"/>
      <c r="AO1616" s="58"/>
    </row>
    <row r="1617" spans="1:41" ht="15.75" customHeight="1">
      <c r="A1617" s="6" t="s">
        <v>3997</v>
      </c>
      <c r="B1617" s="5">
        <v>98</v>
      </c>
      <c r="C1617" s="7">
        <v>11465.9</v>
      </c>
      <c r="D1617" s="7">
        <f t="shared" si="151"/>
        <v>0</v>
      </c>
      <c r="E1617" s="7">
        <v>0</v>
      </c>
      <c r="F1617" s="5">
        <v>0</v>
      </c>
      <c r="G1617" s="7">
        <v>0</v>
      </c>
      <c r="H1617" s="5">
        <v>730</v>
      </c>
      <c r="I1617" s="7">
        <v>87380.569999999992</v>
      </c>
      <c r="J1617" s="7">
        <v>0</v>
      </c>
      <c r="K1617" s="5">
        <v>0</v>
      </c>
      <c r="L1617" s="5">
        <v>0</v>
      </c>
      <c r="M1617" s="5">
        <v>0</v>
      </c>
      <c r="N1617" s="7">
        <f t="shared" si="152"/>
        <v>0</v>
      </c>
      <c r="O1617" s="7">
        <v>0</v>
      </c>
      <c r="P1617" s="7">
        <v>0</v>
      </c>
      <c r="Q1617" s="5">
        <v>0</v>
      </c>
      <c r="S1617" s="7">
        <v>0</v>
      </c>
      <c r="T1617" s="12">
        <v>43364</v>
      </c>
      <c r="U1617" s="4">
        <v>7</v>
      </c>
      <c r="V1617" s="4">
        <v>9</v>
      </c>
      <c r="W1617" s="4">
        <v>9</v>
      </c>
      <c r="X1617" s="45">
        <f t="shared" si="153"/>
        <v>98846.469999999987</v>
      </c>
      <c r="Y1617" s="14" t="s">
        <v>1633</v>
      </c>
      <c r="Z1617" s="14" t="s">
        <v>3780</v>
      </c>
      <c r="AA1617" s="14">
        <f>IFERROR(VLOOKUP(A1617,'[2]UPDATE BILL 2018'!$B:$P,15,0),IFERROR(VLOOKUP(A1617,'[2]UPDATE BILL 2018'!$C:$P,14,0),IFERROR(VLOOKUP(A1617,'[2]UPDATE BILL 2018'!$D:$P,13,0),IFERROR(VLOOKUP(A1617,'[2]UPDATE BILL 2018'!$E:$P,12,0),IFERROR(VLOOKUP(A1617,'[2]UPDATE BILL 2018'!$F:$P,11,0),IFERROR(VLOOKUP(A1617,'[2]UPDATE BILL 2018'!$G:$P,10,0),IFERROR(VLOOKUP(A1617,'[2]UPDATE BILL 2018'!$H:$P,9,0),IFERROR(VLOOKUP(A1617,'[2]UPDATE BILL 2018'!$I:$P,8,0),VLOOKUP(A1617,'[2]UPDATE BILL 2018'!$B:$P,15,0)))))))))</f>
        <v>0</v>
      </c>
      <c r="AB1617" s="44">
        <f>IFERROR(VLOOKUP(A1617,'[2]UPDATE BILL 2018'!$B:$T,19,0),IFERROR(VLOOKUP(A1617,'[2]UPDATE BILL 2018'!$C:$T,18,0),IFERROR(VLOOKUP(A1617,'[2]UPDATE BILL 2018'!$D:$T,17,0),IFERROR(VLOOKUP(A1617,'[2]UPDATE BILL 2018'!$E:$T,16,0),IFERROR(VLOOKUP(A1617,'[2]UPDATE BILL 2018'!$F:$T,15,0),IFERROR(VLOOKUP(A1617,'[2]UPDATE BILL 2018'!$G:$T,14,0),IFERROR(VLOOKUP(A1617,'[2]UPDATE BILL 2018'!$H:$T,13,0),IFERROR(VLOOKUP(A1617,'[2]UPDATE BILL 2018'!$I:$T,12,0),VLOOKUP(A1617,'[2]UPDATE BILL 2018'!$B:$T,19,0)))))))))</f>
        <v>0</v>
      </c>
      <c r="AC1617" s="44">
        <f>IFERROR(VLOOKUP(A1617,'[2]UPDATE BILL 2018'!$B:$V,21,0),IFERROR(VLOOKUP(A1617,'[2]UPDATE BILL 2018'!$C:$V,20,0),IFERROR(VLOOKUP(A1617,'[2]UPDATE BILL 2018'!$D:$V,19,0),IFERROR(VLOOKUP(A1617,'[2]UPDATE BILL 2018'!$E:$V,18,0),IFERROR(VLOOKUP(A1617,'[2]UPDATE BILL 2018'!$F:$V,17,0),IFERROR(VLOOKUP(A1617,'[2]UPDATE BILL 2018'!$G:$V,16,0),IFERROR(VLOOKUP(A1617,'[2]UPDATE BILL 2018'!$H:$V,15,0),IFERROR(VLOOKUP(A1617,'[2]UPDATE BILL 2018'!$I:$V,14,0),VLOOKUP(A1617,'[2]UPDATE BILL 2018'!$B:$V,21,0)))))))))</f>
        <v>0</v>
      </c>
      <c r="AD1617" s="14" t="s">
        <v>70</v>
      </c>
      <c r="AE1617" s="24" t="s">
        <v>4005</v>
      </c>
      <c r="AF1617" s="25" t="str">
        <f t="shared" si="147"/>
        <v>VH</v>
      </c>
      <c r="AG1617" s="58" t="e">
        <f t="shared" si="154"/>
        <v>#REF!</v>
      </c>
      <c r="AH1617" s="58"/>
      <c r="AI1617" s="58"/>
      <c r="AJ1617" s="58"/>
      <c r="AK1617" s="58"/>
      <c r="AL1617" s="58"/>
      <c r="AM1617" s="58"/>
      <c r="AN1617" s="58"/>
      <c r="AO1617" s="58"/>
    </row>
    <row r="1618" spans="1:41" ht="15.75" customHeight="1">
      <c r="A1618" s="6" t="s">
        <v>3998</v>
      </c>
      <c r="B1618" s="5">
        <v>200</v>
      </c>
      <c r="C1618" s="7">
        <v>31472.5</v>
      </c>
      <c r="D1618" s="7">
        <f t="shared" si="151"/>
        <v>0</v>
      </c>
      <c r="E1618" s="7">
        <v>0</v>
      </c>
      <c r="F1618" s="5">
        <v>0</v>
      </c>
      <c r="G1618" s="7">
        <v>0</v>
      </c>
      <c r="H1618" s="5">
        <v>0</v>
      </c>
      <c r="I1618" s="7">
        <v>0</v>
      </c>
      <c r="J1618" s="7">
        <v>0</v>
      </c>
      <c r="K1618" s="5">
        <v>0</v>
      </c>
      <c r="L1618" s="5">
        <v>0</v>
      </c>
      <c r="M1618" s="5">
        <v>0</v>
      </c>
      <c r="N1618" s="7">
        <f t="shared" si="152"/>
        <v>0</v>
      </c>
      <c r="O1618" s="7">
        <v>0</v>
      </c>
      <c r="P1618" s="7">
        <v>0</v>
      </c>
      <c r="Q1618" s="5">
        <v>0</v>
      </c>
      <c r="S1618" s="7">
        <v>0</v>
      </c>
      <c r="T1618" s="12">
        <v>43364</v>
      </c>
      <c r="U1618" s="4">
        <v>2</v>
      </c>
      <c r="V1618" s="4">
        <v>9</v>
      </c>
      <c r="W1618" s="4">
        <v>9</v>
      </c>
      <c r="X1618" s="45">
        <f t="shared" si="153"/>
        <v>31472.5</v>
      </c>
      <c r="Y1618" s="14" t="s">
        <v>85</v>
      </c>
      <c r="Z1618" s="14" t="s">
        <v>59</v>
      </c>
      <c r="AA1618" s="14">
        <f>IFERROR(VLOOKUP(A1618,'[2]UPDATE BILL 2018'!$B:$P,15,0),IFERROR(VLOOKUP(A1618,'[2]UPDATE BILL 2018'!$C:$P,14,0),IFERROR(VLOOKUP(A1618,'[2]UPDATE BILL 2018'!$D:$P,13,0),IFERROR(VLOOKUP(A1618,'[2]UPDATE BILL 2018'!$E:$P,12,0),IFERROR(VLOOKUP(A1618,'[2]UPDATE BILL 2018'!$F:$P,11,0),IFERROR(VLOOKUP(A1618,'[2]UPDATE BILL 2018'!$G:$P,10,0),IFERROR(VLOOKUP(A1618,'[2]UPDATE BILL 2018'!$H:$P,9,0),IFERROR(VLOOKUP(A1618,'[2]UPDATE BILL 2018'!$I:$P,8,0),VLOOKUP(A1618,'[2]UPDATE BILL 2018'!$B:$P,15,0)))))))))</f>
        <v>350810117819</v>
      </c>
      <c r="AB1618" s="44">
        <f>IFERROR(VLOOKUP(A1618,'[2]UPDATE BILL 2018'!$B:$T,19,0),IFERROR(VLOOKUP(A1618,'[2]UPDATE BILL 2018'!$C:$T,18,0),IFERROR(VLOOKUP(A1618,'[2]UPDATE BILL 2018'!$D:$T,17,0),IFERROR(VLOOKUP(A1618,'[2]UPDATE BILL 2018'!$E:$T,16,0),IFERROR(VLOOKUP(A1618,'[2]UPDATE BILL 2018'!$F:$T,15,0),IFERROR(VLOOKUP(A1618,'[2]UPDATE BILL 2018'!$G:$T,14,0),IFERROR(VLOOKUP(A1618,'[2]UPDATE BILL 2018'!$H:$T,13,0),IFERROR(VLOOKUP(A1618,'[2]UPDATE BILL 2018'!$I:$T,12,0),VLOOKUP(A1618,'[2]UPDATE BILL 2018'!$B:$T,19,0)))))))))</f>
        <v>43367</v>
      </c>
      <c r="AC1618" s="44" t="str">
        <f>IFERROR(VLOOKUP(A1618,'[2]UPDATE BILL 2018'!$B:$V,21,0),IFERROR(VLOOKUP(A1618,'[2]UPDATE BILL 2018'!$C:$V,20,0),IFERROR(VLOOKUP(A1618,'[2]UPDATE BILL 2018'!$D:$V,19,0),IFERROR(VLOOKUP(A1618,'[2]UPDATE BILL 2018'!$E:$V,18,0),IFERROR(VLOOKUP(A1618,'[2]UPDATE BILL 2018'!$F:$V,17,0),IFERROR(VLOOKUP(A1618,'[2]UPDATE BILL 2018'!$G:$V,16,0),IFERROR(VLOOKUP(A1618,'[2]UPDATE BILL 2018'!$H:$V,15,0),IFERROR(VLOOKUP(A1618,'[2]UPDATE BILL 2018'!$I:$V,14,0),VLOOKUP(A1618,'[2]UPDATE BILL 2018'!$B:$V,21,0)))))))))</f>
        <v>LANTAU BEE 18013N</v>
      </c>
      <c r="AD1618" s="14" t="s">
        <v>49</v>
      </c>
      <c r="AE1618" s="24" t="s">
        <v>4006</v>
      </c>
      <c r="AF1618" s="25" t="str">
        <f t="shared" si="147"/>
        <v>VK</v>
      </c>
      <c r="AG1618" s="58" t="e">
        <f t="shared" si="154"/>
        <v>#REF!</v>
      </c>
      <c r="AH1618" s="58"/>
      <c r="AI1618" s="58" t="s">
        <v>3998</v>
      </c>
      <c r="AJ1618" s="58"/>
      <c r="AK1618" s="58"/>
      <c r="AL1618" s="58"/>
      <c r="AM1618" s="58"/>
      <c r="AN1618" s="58"/>
      <c r="AO1618" s="58"/>
    </row>
    <row r="1619" spans="1:41" ht="15.75" customHeight="1">
      <c r="A1619" s="6" t="s">
        <v>4007</v>
      </c>
      <c r="B1619" s="5">
        <v>46</v>
      </c>
      <c r="C1619" s="7">
        <v>5281</v>
      </c>
      <c r="D1619" s="7">
        <f t="shared" si="151"/>
        <v>0</v>
      </c>
      <c r="E1619" s="7">
        <v>0</v>
      </c>
      <c r="F1619" s="5">
        <v>0</v>
      </c>
      <c r="G1619" s="7">
        <v>0</v>
      </c>
      <c r="H1619" s="5">
        <v>52</v>
      </c>
      <c r="I1619" s="7">
        <v>2469.2000000000003</v>
      </c>
      <c r="J1619" s="7">
        <v>0</v>
      </c>
      <c r="K1619" s="5">
        <v>0</v>
      </c>
      <c r="L1619" s="5">
        <v>0</v>
      </c>
      <c r="M1619" s="5">
        <v>47</v>
      </c>
      <c r="N1619" s="7">
        <f t="shared" si="152"/>
        <v>47</v>
      </c>
      <c r="O1619" s="7">
        <v>3372.5999999999995</v>
      </c>
      <c r="P1619" s="7">
        <v>0</v>
      </c>
      <c r="Q1619" s="5">
        <v>0</v>
      </c>
      <c r="R1619" s="5">
        <v>164</v>
      </c>
      <c r="S1619" s="7">
        <v>29436.76</v>
      </c>
      <c r="T1619" s="12">
        <v>43365</v>
      </c>
      <c r="U1619" s="4">
        <v>2</v>
      </c>
      <c r="V1619" s="4">
        <v>9</v>
      </c>
      <c r="W1619" s="4">
        <v>9</v>
      </c>
      <c r="X1619" s="45">
        <f t="shared" si="153"/>
        <v>40559.56</v>
      </c>
      <c r="Y1619" s="14" t="s">
        <v>1633</v>
      </c>
      <c r="Z1619" s="14" t="s">
        <v>3780</v>
      </c>
      <c r="AA1619" s="14" t="str">
        <f>IFERROR(VLOOKUP(A1619,'[2]UPDATE BILL 2018'!$B:$P,15,0),IFERROR(VLOOKUP(A1619,'[2]UPDATE BILL 2018'!$C:$P,14,0),IFERROR(VLOOKUP(A1619,'[2]UPDATE BILL 2018'!$D:$P,13,0),IFERROR(VLOOKUP(A1619,'[2]UPDATE BILL 2018'!$E:$P,12,0),IFERROR(VLOOKUP(A1619,'[2]UPDATE BILL 2018'!$F:$P,11,0),IFERROR(VLOOKUP(A1619,'[2]UPDATE BILL 2018'!$G:$P,10,0),IFERROR(VLOOKUP(A1619,'[2]UPDATE BILL 2018'!$H:$P,9,0),IFERROR(VLOOKUP(A1619,'[2]UPDATE BILL 2018'!$I:$P,8,0),VLOOKUP(A1619,'[2]UPDATE BILL 2018'!$B:$P,15,0)))))))))</f>
        <v>KMTCHPH0595245</v>
      </c>
      <c r="AB1619" s="44">
        <f>IFERROR(VLOOKUP(A1619,'[2]UPDATE BILL 2018'!$B:$T,19,0),IFERROR(VLOOKUP(A1619,'[2]UPDATE BILL 2018'!$C:$T,18,0),IFERROR(VLOOKUP(A1619,'[2]UPDATE BILL 2018'!$D:$T,17,0),IFERROR(VLOOKUP(A1619,'[2]UPDATE BILL 2018'!$E:$T,16,0),IFERROR(VLOOKUP(A1619,'[2]UPDATE BILL 2018'!$F:$T,15,0),IFERROR(VLOOKUP(A1619,'[2]UPDATE BILL 2018'!$G:$T,14,0),IFERROR(VLOOKUP(A1619,'[2]UPDATE BILL 2018'!$H:$T,13,0),IFERROR(VLOOKUP(A1619,'[2]UPDATE BILL 2018'!$I:$T,12,0),VLOOKUP(A1619,'[2]UPDATE BILL 2018'!$B:$T,19,0)))))))))</f>
        <v>43367</v>
      </c>
      <c r="AC1619" s="44" t="str">
        <f>IFERROR(VLOOKUP(A1619,'[2]UPDATE BILL 2018'!$B:$V,21,0),IFERROR(VLOOKUP(A1619,'[2]UPDATE BILL 2018'!$C:$V,20,0),IFERROR(VLOOKUP(A1619,'[2]UPDATE BILL 2018'!$D:$V,19,0),IFERROR(VLOOKUP(A1619,'[2]UPDATE BILL 2018'!$E:$V,18,0),IFERROR(VLOOKUP(A1619,'[2]UPDATE BILL 2018'!$F:$V,17,0),IFERROR(VLOOKUP(A1619,'[2]UPDATE BILL 2018'!$G:$V,16,0),IFERROR(VLOOKUP(A1619,'[2]UPDATE BILL 2018'!$H:$V,15,0),IFERROR(VLOOKUP(A1619,'[2]UPDATE BILL 2018'!$I:$V,14,0),VLOOKUP(A1619,'[2]UPDATE BILL 2018'!$B:$V,21,0)))))))))</f>
        <v>SUNNY IRIS 1825N</v>
      </c>
      <c r="AD1619" s="14" t="s">
        <v>70</v>
      </c>
      <c r="AE1619" s="24" t="s">
        <v>4014</v>
      </c>
      <c r="AF1619" s="25" t="str">
        <f t="shared" si="147"/>
        <v>VH</v>
      </c>
      <c r="AG1619" s="58" t="e">
        <f t="shared" si="154"/>
        <v>#REF!</v>
      </c>
      <c r="AH1619" s="58"/>
      <c r="AI1619" s="58" t="s">
        <v>4007</v>
      </c>
      <c r="AJ1619" s="58"/>
      <c r="AK1619" s="58"/>
      <c r="AL1619" s="58"/>
      <c r="AM1619" s="58"/>
      <c r="AN1619" s="58"/>
      <c r="AO1619" s="58"/>
    </row>
    <row r="1620" spans="1:41" ht="15.75" customHeight="1">
      <c r="A1620" s="6" t="s">
        <v>4008</v>
      </c>
      <c r="B1620" s="5">
        <v>246</v>
      </c>
      <c r="C1620" s="7">
        <v>17873.16</v>
      </c>
      <c r="D1620" s="7">
        <f t="shared" si="151"/>
        <v>0</v>
      </c>
      <c r="E1620" s="7">
        <v>0</v>
      </c>
      <c r="F1620" s="5">
        <v>0</v>
      </c>
      <c r="G1620" s="7">
        <v>0</v>
      </c>
      <c r="H1620" s="5">
        <v>140</v>
      </c>
      <c r="I1620" s="7">
        <v>9196.7000000000007</v>
      </c>
      <c r="J1620" s="7">
        <v>0</v>
      </c>
      <c r="K1620" s="5">
        <v>0</v>
      </c>
      <c r="L1620" s="5">
        <v>0</v>
      </c>
      <c r="M1620" s="5">
        <v>95</v>
      </c>
      <c r="N1620" s="7">
        <f t="shared" si="152"/>
        <v>95</v>
      </c>
      <c r="O1620" s="7">
        <v>10340.5</v>
      </c>
      <c r="P1620" s="7">
        <v>0</v>
      </c>
      <c r="Q1620" s="5">
        <v>0</v>
      </c>
      <c r="R1620" s="5">
        <v>457</v>
      </c>
      <c r="S1620" s="7">
        <v>73639.350000000006</v>
      </c>
      <c r="T1620" s="12">
        <v>43365</v>
      </c>
      <c r="U1620" s="4">
        <v>5</v>
      </c>
      <c r="V1620" s="4">
        <v>9</v>
      </c>
      <c r="W1620" s="4">
        <v>9</v>
      </c>
      <c r="X1620" s="45">
        <f t="shared" si="153"/>
        <v>111049.71</v>
      </c>
      <c r="Y1620" s="14" t="s">
        <v>54</v>
      </c>
      <c r="Z1620" s="14" t="s">
        <v>1281</v>
      </c>
      <c r="AA1620" s="14" t="str">
        <f>IFERROR(VLOOKUP(A1620,'[2]UPDATE BILL 2018'!$B:$P,15,0),IFERROR(VLOOKUP(A1620,'[2]UPDATE BILL 2018'!$C:$P,14,0),IFERROR(VLOOKUP(A1620,'[2]UPDATE BILL 2018'!$D:$P,13,0),IFERROR(VLOOKUP(A1620,'[2]UPDATE BILL 2018'!$E:$P,12,0),IFERROR(VLOOKUP(A1620,'[2]UPDATE BILL 2018'!$F:$P,11,0),IFERROR(VLOOKUP(A1620,'[2]UPDATE BILL 2018'!$G:$P,10,0),IFERROR(VLOOKUP(A1620,'[2]UPDATE BILL 2018'!$H:$P,9,0),IFERROR(VLOOKUP(A1620,'[2]UPDATE BILL 2018'!$I:$P,8,0),VLOOKUP(A1620,'[2]UPDATE BILL 2018'!$B:$P,15,0)))))))))</f>
        <v>SITWHPHT178507</v>
      </c>
      <c r="AB1620" s="44">
        <f>IFERROR(VLOOKUP(A1620,'[2]UPDATE BILL 2018'!$B:$T,19,0),IFERROR(VLOOKUP(A1620,'[2]UPDATE BILL 2018'!$C:$T,18,0),IFERROR(VLOOKUP(A1620,'[2]UPDATE BILL 2018'!$D:$T,17,0),IFERROR(VLOOKUP(A1620,'[2]UPDATE BILL 2018'!$E:$T,16,0),IFERROR(VLOOKUP(A1620,'[2]UPDATE BILL 2018'!$F:$T,15,0),IFERROR(VLOOKUP(A1620,'[2]UPDATE BILL 2018'!$G:$T,14,0),IFERROR(VLOOKUP(A1620,'[2]UPDATE BILL 2018'!$H:$T,13,0),IFERROR(VLOOKUP(A1620,'[2]UPDATE BILL 2018'!$I:$T,12,0),VLOOKUP(A1620,'[2]UPDATE BILL 2018'!$B:$T,19,0)))))))))</f>
        <v>43366</v>
      </c>
      <c r="AC1620" s="44" t="str">
        <f>IFERROR(VLOOKUP(A1620,'[2]UPDATE BILL 2018'!$B:$V,21,0),IFERROR(VLOOKUP(A1620,'[2]UPDATE BILL 2018'!$C:$V,20,0),IFERROR(VLOOKUP(A1620,'[2]UPDATE BILL 2018'!$D:$V,19,0),IFERROR(VLOOKUP(A1620,'[2]UPDATE BILL 2018'!$E:$V,18,0),IFERROR(VLOOKUP(A1620,'[2]UPDATE BILL 2018'!$F:$V,17,0),IFERROR(VLOOKUP(A1620,'[2]UPDATE BILL 2018'!$G:$V,16,0),IFERROR(VLOOKUP(A1620,'[2]UPDATE BILL 2018'!$H:$V,15,0),IFERROR(VLOOKUP(A1620,'[2]UPDATE BILL 2018'!$I:$V,14,0),VLOOKUP(A1620,'[2]UPDATE BILL 2018'!$B:$V,21,0)))))))))</f>
        <v>SITC YANTAI 1821N</v>
      </c>
      <c r="AD1620" s="14" t="s">
        <v>52</v>
      </c>
      <c r="AE1620" s="24" t="s">
        <v>4015</v>
      </c>
      <c r="AF1620" s="25" t="str">
        <f t="shared" si="147"/>
        <v>VQ</v>
      </c>
      <c r="AG1620" s="58" t="e">
        <f t="shared" si="154"/>
        <v>#REF!</v>
      </c>
      <c r="AH1620" s="58"/>
      <c r="AI1620" s="58" t="s">
        <v>4008</v>
      </c>
      <c r="AJ1620" s="58"/>
      <c r="AK1620" s="58"/>
      <c r="AL1620" s="58"/>
      <c r="AM1620" s="58"/>
      <c r="AN1620" s="58"/>
      <c r="AO1620" s="58"/>
    </row>
    <row r="1621" spans="1:41" ht="15.75" customHeight="1">
      <c r="A1621" s="6" t="s">
        <v>4009</v>
      </c>
      <c r="B1621" s="5">
        <v>17</v>
      </c>
      <c r="C1621" s="7">
        <v>1606.4</v>
      </c>
      <c r="D1621" s="7">
        <f t="shared" si="151"/>
        <v>0</v>
      </c>
      <c r="E1621" s="7">
        <v>0</v>
      </c>
      <c r="F1621" s="5">
        <v>0</v>
      </c>
      <c r="G1621" s="7">
        <v>0</v>
      </c>
      <c r="H1621" s="5">
        <v>0</v>
      </c>
      <c r="I1621" s="7">
        <v>0</v>
      </c>
      <c r="J1621" s="7">
        <v>0</v>
      </c>
      <c r="K1621" s="5">
        <v>0</v>
      </c>
      <c r="L1621" s="5">
        <v>0</v>
      </c>
      <c r="M1621" s="5">
        <v>42</v>
      </c>
      <c r="N1621" s="7">
        <f t="shared" si="152"/>
        <v>42</v>
      </c>
      <c r="O1621" s="7">
        <v>6773.8</v>
      </c>
      <c r="P1621" s="7">
        <v>0</v>
      </c>
      <c r="Q1621" s="5">
        <v>0</v>
      </c>
      <c r="S1621" s="7">
        <v>0</v>
      </c>
      <c r="T1621" s="12">
        <v>43365</v>
      </c>
      <c r="U1621" s="4">
        <v>1</v>
      </c>
      <c r="V1621" s="4">
        <v>9</v>
      </c>
      <c r="W1621" s="4">
        <v>9</v>
      </c>
      <c r="X1621" s="45">
        <f t="shared" si="153"/>
        <v>8380.2000000000007</v>
      </c>
      <c r="Y1621" s="14" t="s">
        <v>54</v>
      </c>
      <c r="Z1621" s="14" t="s">
        <v>2525</v>
      </c>
      <c r="AA1621" s="14" t="str">
        <f>IFERROR(VLOOKUP(A1621,'[2]UPDATE BILL 2018'!$B:$P,15,0),IFERROR(VLOOKUP(A1621,'[2]UPDATE BILL 2018'!$C:$P,14,0),IFERROR(VLOOKUP(A1621,'[2]UPDATE BILL 2018'!$D:$P,13,0),IFERROR(VLOOKUP(A1621,'[2]UPDATE BILL 2018'!$E:$P,12,0),IFERROR(VLOOKUP(A1621,'[2]UPDATE BILL 2018'!$F:$P,11,0),IFERROR(VLOOKUP(A1621,'[2]UPDATE BILL 2018'!$G:$P,10,0),IFERROR(VLOOKUP(A1621,'[2]UPDATE BILL 2018'!$H:$P,9,0),IFERROR(VLOOKUP(A1621,'[2]UPDATE BILL 2018'!$I:$P,8,0),VLOOKUP(A1621,'[2]UPDATE BILL 2018'!$B:$P,15,0)))))))))</f>
        <v>SITWHPTK179096</v>
      </c>
      <c r="AB1621" s="44">
        <f>IFERROR(VLOOKUP(A1621,'[2]UPDATE BILL 2018'!$B:$T,19,0),IFERROR(VLOOKUP(A1621,'[2]UPDATE BILL 2018'!$C:$T,18,0),IFERROR(VLOOKUP(A1621,'[2]UPDATE BILL 2018'!$D:$T,17,0),IFERROR(VLOOKUP(A1621,'[2]UPDATE BILL 2018'!$E:$T,16,0),IFERROR(VLOOKUP(A1621,'[2]UPDATE BILL 2018'!$F:$T,15,0),IFERROR(VLOOKUP(A1621,'[2]UPDATE BILL 2018'!$G:$T,14,0),IFERROR(VLOOKUP(A1621,'[2]UPDATE BILL 2018'!$H:$T,13,0),IFERROR(VLOOKUP(A1621,'[2]UPDATE BILL 2018'!$I:$T,12,0),VLOOKUP(A1621,'[2]UPDATE BILL 2018'!$B:$T,19,0)))))))))</f>
        <v>43367</v>
      </c>
      <c r="AC1621" s="44" t="str">
        <f>IFERROR(VLOOKUP(A1621,'[2]UPDATE BILL 2018'!$B:$V,21,0),IFERROR(VLOOKUP(A1621,'[2]UPDATE BILL 2018'!$C:$V,20,0),IFERROR(VLOOKUP(A1621,'[2]UPDATE BILL 2018'!$D:$V,19,0),IFERROR(VLOOKUP(A1621,'[2]UPDATE BILL 2018'!$E:$V,18,0),IFERROR(VLOOKUP(A1621,'[2]UPDATE BILL 2018'!$F:$V,17,0),IFERROR(VLOOKUP(A1621,'[2]UPDATE BILL 2018'!$G:$V,16,0),IFERROR(VLOOKUP(A1621,'[2]UPDATE BILL 2018'!$H:$V,15,0),IFERROR(VLOOKUP(A1621,'[2]UPDATE BILL 2018'!$I:$V,14,0),VLOOKUP(A1621,'[2]UPDATE BILL 2018'!$B:$V,21,0)))))))))</f>
        <v>HYUNDAI HARMONY 1835N</v>
      </c>
      <c r="AD1621" s="14" t="s">
        <v>49</v>
      </c>
      <c r="AE1621" s="24" t="s">
        <v>4016</v>
      </c>
      <c r="AF1621" s="25" t="str">
        <f t="shared" si="147"/>
        <v>VZ</v>
      </c>
      <c r="AG1621" s="58" t="e">
        <f t="shared" si="154"/>
        <v>#REF!</v>
      </c>
      <c r="AH1621" s="58"/>
      <c r="AI1621" s="58" t="s">
        <v>4009</v>
      </c>
      <c r="AJ1621" s="58"/>
      <c r="AK1621" s="58"/>
      <c r="AL1621" s="58"/>
      <c r="AM1621" s="58"/>
      <c r="AN1621" s="58"/>
      <c r="AO1621" s="58"/>
    </row>
    <row r="1622" spans="1:41" ht="15.75" customHeight="1">
      <c r="A1622" s="6" t="s">
        <v>4010</v>
      </c>
      <c r="B1622" s="5">
        <v>458</v>
      </c>
      <c r="C1622" s="7">
        <v>25436.5</v>
      </c>
      <c r="D1622" s="7">
        <f t="shared" si="151"/>
        <v>0</v>
      </c>
      <c r="E1622" s="7">
        <v>0</v>
      </c>
      <c r="F1622" s="5">
        <v>0</v>
      </c>
      <c r="G1622" s="7">
        <v>0</v>
      </c>
      <c r="H1622" s="5">
        <v>177</v>
      </c>
      <c r="I1622" s="7">
        <v>7192.1</v>
      </c>
      <c r="J1622" s="7">
        <v>0</v>
      </c>
      <c r="K1622" s="5">
        <v>0</v>
      </c>
      <c r="L1622" s="5">
        <v>0</v>
      </c>
      <c r="M1622" s="5">
        <v>305</v>
      </c>
      <c r="N1622" s="7">
        <f t="shared" si="152"/>
        <v>305</v>
      </c>
      <c r="O1622" s="7">
        <v>54818.700000000004</v>
      </c>
      <c r="P1622" s="7">
        <v>0</v>
      </c>
      <c r="Q1622" s="5">
        <v>0</v>
      </c>
      <c r="R1622" s="5">
        <v>471</v>
      </c>
      <c r="S1622" s="7">
        <v>74846.570000000007</v>
      </c>
      <c r="T1622" s="12">
        <v>43365</v>
      </c>
      <c r="U1622" s="4">
        <v>11</v>
      </c>
      <c r="V1622" s="4">
        <v>9</v>
      </c>
      <c r="W1622" s="4">
        <v>9</v>
      </c>
      <c r="X1622" s="45">
        <f t="shared" si="153"/>
        <v>162293.87</v>
      </c>
      <c r="Y1622" s="14" t="s">
        <v>54</v>
      </c>
      <c r="Z1622" s="14" t="s">
        <v>59</v>
      </c>
      <c r="AA1622" s="14" t="str">
        <f>IFERROR(VLOOKUP(A1622,'[2]UPDATE BILL 2018'!$B:$P,15,0),IFERROR(VLOOKUP(A1622,'[2]UPDATE BILL 2018'!$C:$P,14,0),IFERROR(VLOOKUP(A1622,'[2]UPDATE BILL 2018'!$D:$P,13,0),IFERROR(VLOOKUP(A1622,'[2]UPDATE BILL 2018'!$E:$P,12,0),IFERROR(VLOOKUP(A1622,'[2]UPDATE BILL 2018'!$F:$P,11,0),IFERROR(VLOOKUP(A1622,'[2]UPDATE BILL 2018'!$G:$P,10,0),IFERROR(VLOOKUP(A1622,'[2]UPDATE BILL 2018'!$H:$P,9,0),IFERROR(VLOOKUP(A1622,'[2]UPDATE BILL 2018'!$I:$P,8,0),VLOOKUP(A1622,'[2]UPDATE BILL 2018'!$B:$P,15,0)))))))))</f>
        <v>SITWHPKW178484</v>
      </c>
      <c r="AB1622" s="44">
        <f>IFERROR(VLOOKUP(A1622,'[2]UPDATE BILL 2018'!$B:$T,19,0),IFERROR(VLOOKUP(A1622,'[2]UPDATE BILL 2018'!$C:$T,18,0),IFERROR(VLOOKUP(A1622,'[2]UPDATE BILL 2018'!$D:$T,17,0),IFERROR(VLOOKUP(A1622,'[2]UPDATE BILL 2018'!$E:$T,16,0),IFERROR(VLOOKUP(A1622,'[2]UPDATE BILL 2018'!$F:$T,15,0),IFERROR(VLOOKUP(A1622,'[2]UPDATE BILL 2018'!$G:$T,14,0),IFERROR(VLOOKUP(A1622,'[2]UPDATE BILL 2018'!$H:$T,13,0),IFERROR(VLOOKUP(A1622,'[2]UPDATE BILL 2018'!$I:$T,12,0),VLOOKUP(A1622,'[2]UPDATE BILL 2018'!$B:$T,19,0)))))))))</f>
        <v>43367</v>
      </c>
      <c r="AC1622" s="44" t="str">
        <f>IFERROR(VLOOKUP(A1622,'[2]UPDATE BILL 2018'!$B:$V,21,0),IFERROR(VLOOKUP(A1622,'[2]UPDATE BILL 2018'!$C:$V,20,0),IFERROR(VLOOKUP(A1622,'[2]UPDATE BILL 2018'!$D:$V,19,0),IFERROR(VLOOKUP(A1622,'[2]UPDATE BILL 2018'!$E:$V,18,0),IFERROR(VLOOKUP(A1622,'[2]UPDATE BILL 2018'!$F:$V,17,0),IFERROR(VLOOKUP(A1622,'[2]UPDATE BILL 2018'!$G:$V,16,0),IFERROR(VLOOKUP(A1622,'[2]UPDATE BILL 2018'!$H:$V,15,0),IFERROR(VLOOKUP(A1622,'[2]UPDATE BILL 2018'!$I:$V,14,0),VLOOKUP(A1622,'[2]UPDATE BILL 2018'!$B:$V,21,0)))))))))</f>
        <v>HYUNDAI HARMONY 1835N</v>
      </c>
      <c r="AD1622" s="14" t="s">
        <v>50</v>
      </c>
      <c r="AE1622" s="24" t="s">
        <v>4017</v>
      </c>
      <c r="AF1622" s="25" t="str">
        <f t="shared" si="147"/>
        <v>VW</v>
      </c>
      <c r="AG1622" s="58" t="e">
        <f t="shared" si="154"/>
        <v>#REF!</v>
      </c>
      <c r="AH1622" s="58"/>
      <c r="AI1622" s="58" t="s">
        <v>4010</v>
      </c>
      <c r="AJ1622" s="58"/>
      <c r="AK1622" s="58"/>
      <c r="AL1622" s="58"/>
      <c r="AM1622" s="58"/>
      <c r="AN1622" s="58"/>
      <c r="AO1622" s="58"/>
    </row>
    <row r="1623" spans="1:41" ht="15.75" customHeight="1">
      <c r="A1623" s="6" t="s">
        <v>4011</v>
      </c>
      <c r="B1623" s="5">
        <v>188</v>
      </c>
      <c r="C1623" s="7">
        <v>13012.46</v>
      </c>
      <c r="D1623" s="7">
        <f t="shared" si="151"/>
        <v>0</v>
      </c>
      <c r="E1623" s="7">
        <v>0</v>
      </c>
      <c r="F1623" s="5">
        <v>0</v>
      </c>
      <c r="G1623" s="7">
        <v>0</v>
      </c>
      <c r="H1623" s="5">
        <v>390</v>
      </c>
      <c r="I1623" s="7">
        <v>20786.849999999995</v>
      </c>
      <c r="J1623" s="7">
        <v>0</v>
      </c>
      <c r="K1623" s="5">
        <v>0</v>
      </c>
      <c r="L1623" s="5">
        <v>0</v>
      </c>
      <c r="M1623" s="5">
        <v>344</v>
      </c>
      <c r="N1623" s="7">
        <f t="shared" si="152"/>
        <v>344</v>
      </c>
      <c r="O1623" s="7">
        <v>39355.599999999991</v>
      </c>
      <c r="P1623" s="7">
        <v>0</v>
      </c>
      <c r="Q1623" s="5">
        <v>0</v>
      </c>
      <c r="R1623" s="5">
        <v>601</v>
      </c>
      <c r="S1623" s="7">
        <v>84793</v>
      </c>
      <c r="T1623" s="12">
        <v>43365</v>
      </c>
      <c r="U1623" s="4">
        <v>10</v>
      </c>
      <c r="V1623" s="4">
        <v>9</v>
      </c>
      <c r="W1623" s="4">
        <v>9</v>
      </c>
      <c r="X1623" s="45">
        <f t="shared" si="153"/>
        <v>157947.90999999997</v>
      </c>
      <c r="Y1623" s="14" t="s">
        <v>54</v>
      </c>
      <c r="Z1623" s="14" t="s">
        <v>1281</v>
      </c>
      <c r="AA1623" s="14" t="str">
        <f>IFERROR(VLOOKUP(A1623,'[2]UPDATE BILL 2018'!$B:$P,15,0),IFERROR(VLOOKUP(A1623,'[2]UPDATE BILL 2018'!$C:$P,14,0),IFERROR(VLOOKUP(A1623,'[2]UPDATE BILL 2018'!$D:$P,13,0),IFERROR(VLOOKUP(A1623,'[2]UPDATE BILL 2018'!$E:$P,12,0),IFERROR(VLOOKUP(A1623,'[2]UPDATE BILL 2018'!$F:$P,11,0),IFERROR(VLOOKUP(A1623,'[2]UPDATE BILL 2018'!$G:$P,10,0),IFERROR(VLOOKUP(A1623,'[2]UPDATE BILL 2018'!$H:$P,9,0),IFERROR(VLOOKUP(A1623,'[2]UPDATE BILL 2018'!$I:$P,8,0),VLOOKUP(A1623,'[2]UPDATE BILL 2018'!$B:$P,15,0)))))))))</f>
        <v>SITWHPOS178489</v>
      </c>
      <c r="AB1623" s="44">
        <f>IFERROR(VLOOKUP(A1623,'[2]UPDATE BILL 2018'!$B:$T,19,0),IFERROR(VLOOKUP(A1623,'[2]UPDATE BILL 2018'!$C:$T,18,0),IFERROR(VLOOKUP(A1623,'[2]UPDATE BILL 2018'!$D:$T,17,0),IFERROR(VLOOKUP(A1623,'[2]UPDATE BILL 2018'!$E:$T,16,0),IFERROR(VLOOKUP(A1623,'[2]UPDATE BILL 2018'!$F:$T,15,0),IFERROR(VLOOKUP(A1623,'[2]UPDATE BILL 2018'!$G:$T,14,0),IFERROR(VLOOKUP(A1623,'[2]UPDATE BILL 2018'!$H:$T,13,0),IFERROR(VLOOKUP(A1623,'[2]UPDATE BILL 2018'!$I:$T,12,0),VLOOKUP(A1623,'[2]UPDATE BILL 2018'!$B:$T,19,0)))))))))</f>
        <v>43366</v>
      </c>
      <c r="AC1623" s="44" t="str">
        <f>IFERROR(VLOOKUP(A1623,'[2]UPDATE BILL 2018'!$B:$V,21,0),IFERROR(VLOOKUP(A1623,'[2]UPDATE BILL 2018'!$C:$V,20,0),IFERROR(VLOOKUP(A1623,'[2]UPDATE BILL 2018'!$D:$V,19,0),IFERROR(VLOOKUP(A1623,'[2]UPDATE BILL 2018'!$E:$V,18,0),IFERROR(VLOOKUP(A1623,'[2]UPDATE BILL 2018'!$F:$V,17,0),IFERROR(VLOOKUP(A1623,'[2]UPDATE BILL 2018'!$G:$V,16,0),IFERROR(VLOOKUP(A1623,'[2]UPDATE BILL 2018'!$H:$V,15,0),IFERROR(VLOOKUP(A1623,'[2]UPDATE BILL 2018'!$I:$V,14,0),VLOOKUP(A1623,'[2]UPDATE BILL 2018'!$B:$V,21,0)))))))))</f>
        <v>SITC YANTAI 1821N</v>
      </c>
      <c r="AD1623" s="14" t="s">
        <v>51</v>
      </c>
      <c r="AE1623" s="24" t="s">
        <v>4018</v>
      </c>
      <c r="AF1623" s="25" t="str">
        <f t="shared" si="147"/>
        <v>VS</v>
      </c>
      <c r="AG1623" s="58" t="e">
        <f t="shared" si="154"/>
        <v>#REF!</v>
      </c>
      <c r="AH1623" s="58"/>
      <c r="AI1623" s="58" t="s">
        <v>4011</v>
      </c>
      <c r="AJ1623" s="58"/>
      <c r="AK1623" s="58"/>
      <c r="AL1623" s="58"/>
      <c r="AM1623" s="58"/>
      <c r="AN1623" s="58"/>
      <c r="AO1623" s="58"/>
    </row>
    <row r="1624" spans="1:41" ht="15.75" customHeight="1">
      <c r="A1624" s="6" t="s">
        <v>4012</v>
      </c>
      <c r="B1624" s="5">
        <v>42</v>
      </c>
      <c r="C1624" s="7">
        <v>3978.3</v>
      </c>
      <c r="D1624" s="7">
        <f t="shared" si="151"/>
        <v>0</v>
      </c>
      <c r="E1624" s="7">
        <v>0</v>
      </c>
      <c r="F1624" s="5">
        <v>0</v>
      </c>
      <c r="G1624" s="7">
        <v>0</v>
      </c>
      <c r="H1624" s="5">
        <v>0</v>
      </c>
      <c r="I1624" s="7">
        <v>0</v>
      </c>
      <c r="J1624" s="7">
        <v>0</v>
      </c>
      <c r="K1624" s="5">
        <v>0</v>
      </c>
      <c r="L1624" s="5">
        <v>0</v>
      </c>
      <c r="M1624" s="5">
        <v>89</v>
      </c>
      <c r="N1624" s="7">
        <f t="shared" si="152"/>
        <v>89</v>
      </c>
      <c r="O1624" s="7">
        <v>14221.3</v>
      </c>
      <c r="P1624" s="7">
        <v>0</v>
      </c>
      <c r="Q1624" s="5">
        <v>0</v>
      </c>
      <c r="S1624" s="7">
        <v>0</v>
      </c>
      <c r="T1624" s="12">
        <v>43365</v>
      </c>
      <c r="U1624" s="4">
        <v>2</v>
      </c>
      <c r="V1624" s="4">
        <v>9</v>
      </c>
      <c r="W1624" s="4">
        <v>9</v>
      </c>
      <c r="X1624" s="45">
        <f t="shared" si="153"/>
        <v>18199.599999999999</v>
      </c>
      <c r="Y1624" s="14" t="s">
        <v>54</v>
      </c>
      <c r="Z1624" s="14" t="s">
        <v>3376</v>
      </c>
      <c r="AA1624" s="14" t="str">
        <f>IFERROR(VLOOKUP(A1624,'[2]UPDATE BILL 2018'!$B:$P,15,0),IFERROR(VLOOKUP(A1624,'[2]UPDATE BILL 2018'!$C:$P,14,0),IFERROR(VLOOKUP(A1624,'[2]UPDATE BILL 2018'!$D:$P,13,0),IFERROR(VLOOKUP(A1624,'[2]UPDATE BILL 2018'!$E:$P,12,0),IFERROR(VLOOKUP(A1624,'[2]UPDATE BILL 2018'!$F:$P,11,0),IFERROR(VLOOKUP(A1624,'[2]UPDATE BILL 2018'!$G:$P,10,0),IFERROR(VLOOKUP(A1624,'[2]UPDATE BILL 2018'!$H:$P,9,0),IFERROR(VLOOKUP(A1624,'[2]UPDATE BILL 2018'!$I:$P,8,0),VLOOKUP(A1624,'[2]UPDATE BILL 2018'!$B:$P,15,0)))))))))</f>
        <v>SITWHPTK179096</v>
      </c>
      <c r="AB1624" s="44">
        <f>IFERROR(VLOOKUP(A1624,'[2]UPDATE BILL 2018'!$B:$T,19,0),IFERROR(VLOOKUP(A1624,'[2]UPDATE BILL 2018'!$C:$T,18,0),IFERROR(VLOOKUP(A1624,'[2]UPDATE BILL 2018'!$D:$T,17,0),IFERROR(VLOOKUP(A1624,'[2]UPDATE BILL 2018'!$E:$T,16,0),IFERROR(VLOOKUP(A1624,'[2]UPDATE BILL 2018'!$F:$T,15,0),IFERROR(VLOOKUP(A1624,'[2]UPDATE BILL 2018'!$G:$T,14,0),IFERROR(VLOOKUP(A1624,'[2]UPDATE BILL 2018'!$H:$T,13,0),IFERROR(VLOOKUP(A1624,'[2]UPDATE BILL 2018'!$I:$T,12,0),VLOOKUP(A1624,'[2]UPDATE BILL 2018'!$B:$T,19,0)))))))))</f>
        <v>43367</v>
      </c>
      <c r="AC1624" s="44" t="str">
        <f>IFERROR(VLOOKUP(A1624,'[2]UPDATE BILL 2018'!$B:$V,21,0),IFERROR(VLOOKUP(A1624,'[2]UPDATE BILL 2018'!$C:$V,20,0),IFERROR(VLOOKUP(A1624,'[2]UPDATE BILL 2018'!$D:$V,19,0),IFERROR(VLOOKUP(A1624,'[2]UPDATE BILL 2018'!$E:$V,18,0),IFERROR(VLOOKUP(A1624,'[2]UPDATE BILL 2018'!$F:$V,17,0),IFERROR(VLOOKUP(A1624,'[2]UPDATE BILL 2018'!$G:$V,16,0),IFERROR(VLOOKUP(A1624,'[2]UPDATE BILL 2018'!$H:$V,15,0),IFERROR(VLOOKUP(A1624,'[2]UPDATE BILL 2018'!$I:$V,14,0),VLOOKUP(A1624,'[2]UPDATE BILL 2018'!$B:$V,21,0)))))))))</f>
        <v>HYUNDAI HARMONY 1835N</v>
      </c>
      <c r="AD1624" s="14" t="s">
        <v>49</v>
      </c>
      <c r="AE1624" s="24" t="s">
        <v>4019</v>
      </c>
      <c r="AF1624" s="25" t="str">
        <f t="shared" si="147"/>
        <v>VN</v>
      </c>
      <c r="AG1624" s="58" t="e">
        <f t="shared" si="154"/>
        <v>#REF!</v>
      </c>
      <c r="AH1624" s="58"/>
      <c r="AI1624" s="58" t="s">
        <v>4012</v>
      </c>
      <c r="AJ1624" s="58"/>
      <c r="AK1624" s="58"/>
      <c r="AL1624" s="58"/>
      <c r="AM1624" s="58"/>
      <c r="AN1624" s="58"/>
      <c r="AO1624" s="58"/>
    </row>
    <row r="1625" spans="1:41" ht="15.75" customHeight="1">
      <c r="A1625" s="6" t="s">
        <v>4013</v>
      </c>
      <c r="D1625" s="7">
        <f t="shared" si="151"/>
        <v>0</v>
      </c>
      <c r="E1625" s="7">
        <v>0</v>
      </c>
      <c r="F1625" s="5">
        <v>0</v>
      </c>
      <c r="G1625" s="7">
        <v>0</v>
      </c>
      <c r="H1625" s="5">
        <v>215</v>
      </c>
      <c r="I1625" s="7">
        <v>15867.15</v>
      </c>
      <c r="J1625" s="7">
        <v>0</v>
      </c>
      <c r="K1625" s="5">
        <v>0</v>
      </c>
      <c r="L1625" s="5">
        <v>0</v>
      </c>
      <c r="M1625" s="5">
        <v>345</v>
      </c>
      <c r="N1625" s="7">
        <f t="shared" si="152"/>
        <v>345</v>
      </c>
      <c r="O1625" s="7">
        <v>10525.95</v>
      </c>
      <c r="P1625" s="7">
        <v>0</v>
      </c>
      <c r="Q1625" s="5">
        <v>0</v>
      </c>
      <c r="S1625" s="7">
        <v>0</v>
      </c>
      <c r="T1625" s="12">
        <v>43365</v>
      </c>
      <c r="U1625" s="4">
        <v>2</v>
      </c>
      <c r="V1625" s="4">
        <v>9</v>
      </c>
      <c r="W1625" s="4">
        <v>9</v>
      </c>
      <c r="X1625" s="45">
        <f t="shared" si="153"/>
        <v>26393.1</v>
      </c>
      <c r="Y1625" s="14" t="s">
        <v>85</v>
      </c>
      <c r="Z1625" s="14" t="s">
        <v>59</v>
      </c>
      <c r="AA1625" s="14">
        <f>IFERROR(VLOOKUP(A1625,'[2]UPDATE BILL 2018'!$B:$P,15,0),IFERROR(VLOOKUP(A1625,'[2]UPDATE BILL 2018'!$C:$P,14,0),IFERROR(VLOOKUP(A1625,'[2]UPDATE BILL 2018'!$D:$P,13,0),IFERROR(VLOOKUP(A1625,'[2]UPDATE BILL 2018'!$E:$P,12,0),IFERROR(VLOOKUP(A1625,'[2]UPDATE BILL 2018'!$F:$P,11,0),IFERROR(VLOOKUP(A1625,'[2]UPDATE BILL 2018'!$G:$P,10,0),IFERROR(VLOOKUP(A1625,'[2]UPDATE BILL 2018'!$H:$P,9,0),IFERROR(VLOOKUP(A1625,'[2]UPDATE BILL 2018'!$I:$P,8,0),VLOOKUP(A1625,'[2]UPDATE BILL 2018'!$B:$P,15,0)))))))))</f>
        <v>350810117819</v>
      </c>
      <c r="AB1625" s="44">
        <f>IFERROR(VLOOKUP(A1625,'[2]UPDATE BILL 2018'!$B:$T,19,0),IFERROR(VLOOKUP(A1625,'[2]UPDATE BILL 2018'!$C:$T,18,0),IFERROR(VLOOKUP(A1625,'[2]UPDATE BILL 2018'!$D:$T,17,0),IFERROR(VLOOKUP(A1625,'[2]UPDATE BILL 2018'!$E:$T,16,0),IFERROR(VLOOKUP(A1625,'[2]UPDATE BILL 2018'!$F:$T,15,0),IFERROR(VLOOKUP(A1625,'[2]UPDATE BILL 2018'!$G:$T,14,0),IFERROR(VLOOKUP(A1625,'[2]UPDATE BILL 2018'!$H:$T,13,0),IFERROR(VLOOKUP(A1625,'[2]UPDATE BILL 2018'!$I:$T,12,0),VLOOKUP(A1625,'[2]UPDATE BILL 2018'!$B:$T,19,0)))))))))</f>
        <v>43367</v>
      </c>
      <c r="AC1625" s="44" t="str">
        <f>IFERROR(VLOOKUP(A1625,'[2]UPDATE BILL 2018'!$B:$V,21,0),IFERROR(VLOOKUP(A1625,'[2]UPDATE BILL 2018'!$C:$V,20,0),IFERROR(VLOOKUP(A1625,'[2]UPDATE BILL 2018'!$D:$V,19,0),IFERROR(VLOOKUP(A1625,'[2]UPDATE BILL 2018'!$E:$V,18,0),IFERROR(VLOOKUP(A1625,'[2]UPDATE BILL 2018'!$F:$V,17,0),IFERROR(VLOOKUP(A1625,'[2]UPDATE BILL 2018'!$G:$V,16,0),IFERROR(VLOOKUP(A1625,'[2]UPDATE BILL 2018'!$H:$V,15,0),IFERROR(VLOOKUP(A1625,'[2]UPDATE BILL 2018'!$I:$V,14,0),VLOOKUP(A1625,'[2]UPDATE BILL 2018'!$B:$V,21,0)))))))))</f>
        <v>LANTAU BEE 18013N</v>
      </c>
      <c r="AD1625" s="14" t="s">
        <v>49</v>
      </c>
      <c r="AE1625" s="24" t="s">
        <v>4020</v>
      </c>
      <c r="AF1625" s="25" t="str">
        <f t="shared" si="147"/>
        <v>VK</v>
      </c>
      <c r="AG1625" s="58" t="e">
        <f t="shared" si="154"/>
        <v>#REF!</v>
      </c>
      <c r="AH1625" s="58"/>
      <c r="AI1625" s="58" t="s">
        <v>4013</v>
      </c>
      <c r="AJ1625" s="58"/>
      <c r="AK1625" s="58"/>
      <c r="AL1625" s="58"/>
      <c r="AM1625" s="58"/>
      <c r="AN1625" s="58"/>
      <c r="AO1625" s="58"/>
    </row>
    <row r="1626" spans="1:41" ht="15.75" customHeight="1">
      <c r="A1626" s="6" t="s">
        <v>4022</v>
      </c>
      <c r="B1626" s="5">
        <v>539</v>
      </c>
      <c r="C1626" s="7">
        <v>59861.599999999991</v>
      </c>
      <c r="D1626" s="7">
        <f t="shared" si="151"/>
        <v>0</v>
      </c>
      <c r="E1626" s="7">
        <v>0</v>
      </c>
      <c r="F1626" s="5">
        <v>0</v>
      </c>
      <c r="G1626" s="7">
        <v>0</v>
      </c>
      <c r="H1626" s="5">
        <v>0</v>
      </c>
      <c r="I1626" s="7">
        <v>0</v>
      </c>
      <c r="J1626" s="7">
        <v>0</v>
      </c>
      <c r="K1626" s="5">
        <v>0</v>
      </c>
      <c r="L1626" s="5">
        <v>0</v>
      </c>
      <c r="M1626" s="5">
        <v>0</v>
      </c>
      <c r="N1626" s="7">
        <f t="shared" si="152"/>
        <v>0</v>
      </c>
      <c r="O1626" s="7">
        <v>0</v>
      </c>
      <c r="P1626" s="7">
        <v>0</v>
      </c>
      <c r="Q1626" s="5">
        <v>0</v>
      </c>
      <c r="S1626" s="7">
        <v>0</v>
      </c>
      <c r="T1626" s="12">
        <v>43365</v>
      </c>
      <c r="U1626" s="4">
        <v>5</v>
      </c>
      <c r="V1626" s="4">
        <v>9</v>
      </c>
      <c r="W1626" s="4">
        <v>9</v>
      </c>
      <c r="X1626" s="45">
        <f t="shared" si="153"/>
        <v>59861.599999999991</v>
      </c>
      <c r="Y1626" s="14" t="str">
        <f>VLOOKUP(A1626,'[3]LIST OF BOOKING 2018 (2)'!$B:$G,6,0)</f>
        <v>WHL</v>
      </c>
      <c r="Z1626" s="14" t="str">
        <f>VLOOKUP(A1626,'[3]LIST OF BOOKING 2018 (2)'!$B:$D,3,0)</f>
        <v>NIP</v>
      </c>
      <c r="AA1626" s="14">
        <f>IFERROR(VLOOKUP(A1626,'[2]UPDATE BILL 2018'!$B:$P,15,0),IFERROR(VLOOKUP(A1626,'[2]UPDATE BILL 2018'!$C:$P,14,0),IFERROR(VLOOKUP(A1626,'[2]UPDATE BILL 2018'!$D:$P,13,0),IFERROR(VLOOKUP(A1626,'[2]UPDATE BILL 2018'!$E:$P,12,0),IFERROR(VLOOKUP(A1626,'[2]UPDATE BILL 2018'!$F:$P,11,0),IFERROR(VLOOKUP(A1626,'[2]UPDATE BILL 2018'!$G:$P,10,0),IFERROR(VLOOKUP(A1626,'[2]UPDATE BILL 2018'!$H:$P,9,0),IFERROR(VLOOKUP(A1626,'[2]UPDATE BILL 2018'!$I:$P,8,0),VLOOKUP(A1626,'[2]UPDATE BILL 2018'!$B:$P,15,0)))))))))</f>
        <v>0</v>
      </c>
      <c r="AB1626" s="44">
        <f>IFERROR(VLOOKUP(A1626,'[2]UPDATE BILL 2018'!$B:$T,19,0),IFERROR(VLOOKUP(A1626,'[2]UPDATE BILL 2018'!$C:$T,18,0),IFERROR(VLOOKUP(A1626,'[2]UPDATE BILL 2018'!$D:$T,17,0),IFERROR(VLOOKUP(A1626,'[2]UPDATE BILL 2018'!$E:$T,16,0),IFERROR(VLOOKUP(A1626,'[2]UPDATE BILL 2018'!$F:$T,15,0),IFERROR(VLOOKUP(A1626,'[2]UPDATE BILL 2018'!$G:$T,14,0),IFERROR(VLOOKUP(A1626,'[2]UPDATE BILL 2018'!$H:$T,13,0),IFERROR(VLOOKUP(A1626,'[2]UPDATE BILL 2018'!$I:$T,12,0),VLOOKUP(A1626,'[2]UPDATE BILL 2018'!$B:$T,19,0)))))))))</f>
        <v>0</v>
      </c>
      <c r="AC1626" s="44">
        <f>IFERROR(VLOOKUP(A1626,'[2]UPDATE BILL 2018'!$B:$V,21,0),IFERROR(VLOOKUP(A1626,'[2]UPDATE BILL 2018'!$C:$V,20,0),IFERROR(VLOOKUP(A1626,'[2]UPDATE BILL 2018'!$D:$V,19,0),IFERROR(VLOOKUP(A1626,'[2]UPDATE BILL 2018'!$E:$V,18,0),IFERROR(VLOOKUP(A1626,'[2]UPDATE BILL 2018'!$F:$V,17,0),IFERROR(VLOOKUP(A1626,'[2]UPDATE BILL 2018'!$G:$V,16,0),IFERROR(VLOOKUP(A1626,'[2]UPDATE BILL 2018'!$H:$V,15,0),IFERROR(VLOOKUP(A1626,'[2]UPDATE BILL 2018'!$I:$V,14,0),VLOOKUP(A1626,'[2]UPDATE BILL 2018'!$B:$V,21,0)))))))))</f>
        <v>0</v>
      </c>
      <c r="AD1626" s="14" t="s">
        <v>51</v>
      </c>
      <c r="AE1626" s="24" t="s">
        <v>4023</v>
      </c>
      <c r="AF1626" s="25"/>
      <c r="AG1626" s="58" t="e">
        <f t="shared" si="154"/>
        <v>#N/A</v>
      </c>
      <c r="AH1626" s="58"/>
      <c r="AI1626" s="58"/>
      <c r="AJ1626" s="58"/>
      <c r="AK1626" s="58"/>
      <c r="AL1626" s="58"/>
      <c r="AM1626" s="58"/>
      <c r="AN1626" s="58"/>
      <c r="AO1626" s="58"/>
    </row>
    <row r="1627" spans="1:41" ht="15.75" customHeight="1">
      <c r="A1627" s="6" t="s">
        <v>4026</v>
      </c>
      <c r="D1627" s="7">
        <f t="shared" si="151"/>
        <v>0</v>
      </c>
      <c r="E1627" s="7">
        <v>0</v>
      </c>
      <c r="F1627" s="5">
        <v>0</v>
      </c>
      <c r="G1627" s="7">
        <v>0</v>
      </c>
      <c r="H1627" s="5">
        <v>547</v>
      </c>
      <c r="I1627" s="7">
        <v>67795.600000000006</v>
      </c>
      <c r="J1627" s="7">
        <v>0</v>
      </c>
      <c r="K1627" s="5">
        <v>0</v>
      </c>
      <c r="L1627" s="5">
        <v>0</v>
      </c>
      <c r="M1627" s="5">
        <v>0</v>
      </c>
      <c r="N1627" s="7">
        <f t="shared" si="152"/>
        <v>0</v>
      </c>
      <c r="O1627" s="7">
        <v>0</v>
      </c>
      <c r="P1627" s="7">
        <v>0</v>
      </c>
      <c r="Q1627" s="5">
        <v>0</v>
      </c>
      <c r="S1627" s="7">
        <v>0</v>
      </c>
      <c r="T1627" s="12">
        <v>43367</v>
      </c>
      <c r="U1627" s="4">
        <v>5</v>
      </c>
      <c r="V1627" s="4">
        <v>9</v>
      </c>
      <c r="W1627" s="4">
        <v>9</v>
      </c>
      <c r="X1627" s="45">
        <f t="shared" si="153"/>
        <v>67795.600000000006</v>
      </c>
      <c r="Y1627" s="14" t="str">
        <f>VLOOKUP(A1627,'[3]LIST OF BOOKING 2018 (2)'!$B:$G,6,0)</f>
        <v>TSL</v>
      </c>
      <c r="Z1627" s="14" t="str">
        <f>VLOOKUP(A1627,'[3]LIST OF BOOKING 2018 (2)'!$B:$D,3,0)</f>
        <v>DEL</v>
      </c>
      <c r="AA1627" s="14">
        <f>IFERROR(VLOOKUP(A1627,'[2]UPDATE BILL 2018'!$B:$P,15,0),IFERROR(VLOOKUP(A1627,'[2]UPDATE BILL 2018'!$C:$P,14,0),IFERROR(VLOOKUP(A1627,'[2]UPDATE BILL 2018'!$D:$P,13,0),IFERROR(VLOOKUP(A1627,'[2]UPDATE BILL 2018'!$E:$P,12,0),IFERROR(VLOOKUP(A1627,'[2]UPDATE BILL 2018'!$F:$P,11,0),IFERROR(VLOOKUP(A1627,'[2]UPDATE BILL 2018'!$G:$P,10,0),IFERROR(VLOOKUP(A1627,'[2]UPDATE BILL 2018'!$H:$P,9,0),IFERROR(VLOOKUP(A1627,'[2]UPDATE BILL 2018'!$I:$P,8,0),VLOOKUP(A1627,'[2]UPDATE BILL 2018'!$B:$P,15,0)))))))))</f>
        <v>350810117215</v>
      </c>
      <c r="AB1627" s="44">
        <f>IFERROR(VLOOKUP(A1627,'[2]UPDATE BILL 2018'!$B:$T,19,0),IFERROR(VLOOKUP(A1627,'[2]UPDATE BILL 2018'!$C:$T,18,0),IFERROR(VLOOKUP(A1627,'[2]UPDATE BILL 2018'!$D:$T,17,0),IFERROR(VLOOKUP(A1627,'[2]UPDATE BILL 2018'!$E:$T,16,0),IFERROR(VLOOKUP(A1627,'[2]UPDATE BILL 2018'!$F:$T,15,0),IFERROR(VLOOKUP(A1627,'[2]UPDATE BILL 2018'!$G:$T,14,0),IFERROR(VLOOKUP(A1627,'[2]UPDATE BILL 2018'!$H:$T,13,0),IFERROR(VLOOKUP(A1627,'[2]UPDATE BILL 2018'!$I:$T,12,0),VLOOKUP(A1627,'[2]UPDATE BILL 2018'!$B:$T,19,0)))))))))</f>
        <v>43370</v>
      </c>
      <c r="AC1627" s="44" t="str">
        <f>IFERROR(VLOOKUP(A1627,'[2]UPDATE BILL 2018'!$B:$V,21,0),IFERROR(VLOOKUP(A1627,'[2]UPDATE BILL 2018'!$C:$V,20,0),IFERROR(VLOOKUP(A1627,'[2]UPDATE BILL 2018'!$D:$V,19,0),IFERROR(VLOOKUP(A1627,'[2]UPDATE BILL 2018'!$E:$V,18,0),IFERROR(VLOOKUP(A1627,'[2]UPDATE BILL 2018'!$F:$V,17,0),IFERROR(VLOOKUP(A1627,'[2]UPDATE BILL 2018'!$G:$V,16,0),IFERROR(VLOOKUP(A1627,'[2]UPDATE BILL 2018'!$H:$V,15,0),IFERROR(VLOOKUP(A1627,'[2]UPDATE BILL 2018'!$I:$V,14,0),VLOOKUP(A1627,'[2]UPDATE BILL 2018'!$B:$V,21,0)))))))))</f>
        <v>MARCARRIER 18016N</v>
      </c>
      <c r="AD1627" s="14" t="s">
        <v>49</v>
      </c>
      <c r="AE1627" s="24" t="s">
        <v>4033</v>
      </c>
      <c r="AF1627" s="25"/>
      <c r="AG1627" s="58" t="e">
        <f t="shared" si="154"/>
        <v>#N/A</v>
      </c>
      <c r="AH1627" s="58"/>
      <c r="AI1627" s="58"/>
      <c r="AJ1627" s="58"/>
      <c r="AK1627" s="58"/>
      <c r="AL1627" s="58"/>
      <c r="AM1627" s="58"/>
      <c r="AN1627" s="58"/>
      <c r="AO1627" s="58"/>
    </row>
    <row r="1628" spans="1:41" ht="15.75" customHeight="1">
      <c r="A1628" s="6" t="s">
        <v>4027</v>
      </c>
      <c r="B1628" s="5">
        <v>380</v>
      </c>
      <c r="C1628" s="7">
        <v>32155.5</v>
      </c>
      <c r="D1628" s="7">
        <f t="shared" si="151"/>
        <v>0</v>
      </c>
      <c r="E1628" s="7">
        <v>0</v>
      </c>
      <c r="F1628" s="5">
        <v>0</v>
      </c>
      <c r="G1628" s="7">
        <v>0</v>
      </c>
      <c r="H1628" s="5">
        <v>325</v>
      </c>
      <c r="I1628" s="7">
        <v>40806.050000000003</v>
      </c>
      <c r="J1628" s="7">
        <v>0</v>
      </c>
      <c r="K1628" s="5">
        <v>0</v>
      </c>
      <c r="L1628" s="5">
        <v>0</v>
      </c>
      <c r="M1628" s="5">
        <v>0</v>
      </c>
      <c r="N1628" s="7">
        <f t="shared" si="152"/>
        <v>0</v>
      </c>
      <c r="O1628" s="7">
        <v>0</v>
      </c>
      <c r="P1628" s="7">
        <v>0</v>
      </c>
      <c r="Q1628" s="5">
        <v>0</v>
      </c>
      <c r="S1628" s="7">
        <v>0</v>
      </c>
      <c r="T1628" s="12">
        <v>43367</v>
      </c>
      <c r="U1628" s="4">
        <v>6</v>
      </c>
      <c r="V1628" s="4">
        <v>9</v>
      </c>
      <c r="W1628" s="4">
        <v>9</v>
      </c>
      <c r="X1628" s="45">
        <f t="shared" si="153"/>
        <v>72961.55</v>
      </c>
      <c r="Y1628" s="14" t="str">
        <f>VLOOKUP(A1628,'[3]LIST OF BOOKING 2018 (2)'!$B:$G,6,0)</f>
        <v>WHL</v>
      </c>
      <c r="Z1628" s="14" t="str">
        <f>VLOOKUP(A1628,'[3]LIST OF BOOKING 2018 (2)'!$B:$D,3,0)</f>
        <v>NKV</v>
      </c>
      <c r="AA1628" s="14">
        <f>IFERROR(VLOOKUP(A1628,'[2]UPDATE BILL 2018'!$B:$P,15,0),IFERROR(VLOOKUP(A1628,'[2]UPDATE BILL 2018'!$C:$P,14,0),IFERROR(VLOOKUP(A1628,'[2]UPDATE BILL 2018'!$D:$P,13,0),IFERROR(VLOOKUP(A1628,'[2]UPDATE BILL 2018'!$E:$P,12,0),IFERROR(VLOOKUP(A1628,'[2]UPDATE BILL 2018'!$F:$P,11,0),IFERROR(VLOOKUP(A1628,'[2]UPDATE BILL 2018'!$G:$P,10,0),IFERROR(VLOOKUP(A1628,'[2]UPDATE BILL 2018'!$H:$P,9,0),IFERROR(VLOOKUP(A1628,'[2]UPDATE BILL 2018'!$I:$P,8,0),VLOOKUP(A1628,'[2]UPDATE BILL 2018'!$B:$P,15,0)))))))))</f>
        <v>0</v>
      </c>
      <c r="AB1628" s="44">
        <f>IFERROR(VLOOKUP(A1628,'[2]UPDATE BILL 2018'!$B:$T,19,0),IFERROR(VLOOKUP(A1628,'[2]UPDATE BILL 2018'!$C:$T,18,0),IFERROR(VLOOKUP(A1628,'[2]UPDATE BILL 2018'!$D:$T,17,0),IFERROR(VLOOKUP(A1628,'[2]UPDATE BILL 2018'!$E:$T,16,0),IFERROR(VLOOKUP(A1628,'[2]UPDATE BILL 2018'!$F:$T,15,0),IFERROR(VLOOKUP(A1628,'[2]UPDATE BILL 2018'!$G:$T,14,0),IFERROR(VLOOKUP(A1628,'[2]UPDATE BILL 2018'!$H:$T,13,0),IFERROR(VLOOKUP(A1628,'[2]UPDATE BILL 2018'!$I:$T,12,0),VLOOKUP(A1628,'[2]UPDATE BILL 2018'!$B:$T,19,0)))))))))</f>
        <v>0</v>
      </c>
      <c r="AC1628" s="44">
        <f>IFERROR(VLOOKUP(A1628,'[2]UPDATE BILL 2018'!$B:$V,21,0),IFERROR(VLOOKUP(A1628,'[2]UPDATE BILL 2018'!$C:$V,20,0),IFERROR(VLOOKUP(A1628,'[2]UPDATE BILL 2018'!$D:$V,19,0),IFERROR(VLOOKUP(A1628,'[2]UPDATE BILL 2018'!$E:$V,18,0),IFERROR(VLOOKUP(A1628,'[2]UPDATE BILL 2018'!$F:$V,17,0),IFERROR(VLOOKUP(A1628,'[2]UPDATE BILL 2018'!$G:$V,16,0),IFERROR(VLOOKUP(A1628,'[2]UPDATE BILL 2018'!$H:$V,15,0),IFERROR(VLOOKUP(A1628,'[2]UPDATE BILL 2018'!$I:$V,14,0),VLOOKUP(A1628,'[2]UPDATE BILL 2018'!$B:$V,21,0)))))))))</f>
        <v>0</v>
      </c>
      <c r="AD1628" s="14" t="s">
        <v>49</v>
      </c>
      <c r="AE1628" s="24" t="s">
        <v>4034</v>
      </c>
      <c r="AF1628" s="25"/>
      <c r="AG1628" s="58" t="e">
        <f t="shared" si="154"/>
        <v>#N/A</v>
      </c>
      <c r="AH1628" s="58"/>
      <c r="AI1628" s="58"/>
      <c r="AJ1628" s="58"/>
      <c r="AK1628" s="58"/>
      <c r="AL1628" s="58"/>
      <c r="AM1628" s="58"/>
      <c r="AN1628" s="58"/>
      <c r="AO1628" s="58"/>
    </row>
    <row r="1629" spans="1:41" ht="15.75" customHeight="1">
      <c r="A1629" s="6" t="s">
        <v>4028</v>
      </c>
      <c r="B1629" s="5">
        <v>329</v>
      </c>
      <c r="C1629" s="7">
        <v>27777.159999999996</v>
      </c>
      <c r="D1629" s="7">
        <f t="shared" si="151"/>
        <v>0</v>
      </c>
      <c r="E1629" s="7">
        <v>0</v>
      </c>
      <c r="F1629" s="5">
        <v>0</v>
      </c>
      <c r="G1629" s="7">
        <v>0</v>
      </c>
      <c r="H1629" s="5">
        <v>0</v>
      </c>
      <c r="I1629" s="7">
        <v>0</v>
      </c>
      <c r="J1629" s="7">
        <v>0</v>
      </c>
      <c r="K1629" s="5">
        <v>0</v>
      </c>
      <c r="L1629" s="5">
        <v>0</v>
      </c>
      <c r="M1629" s="5">
        <v>382</v>
      </c>
      <c r="N1629" s="7">
        <f t="shared" si="152"/>
        <v>382</v>
      </c>
      <c r="O1629" s="7">
        <v>31343.699999999997</v>
      </c>
      <c r="P1629" s="7">
        <v>0</v>
      </c>
      <c r="Q1629" s="5">
        <v>0</v>
      </c>
      <c r="S1629" s="7">
        <v>0</v>
      </c>
      <c r="T1629" s="12">
        <v>43367</v>
      </c>
      <c r="U1629" s="4">
        <v>5</v>
      </c>
      <c r="V1629" s="4">
        <v>9</v>
      </c>
      <c r="W1629" s="4">
        <v>9</v>
      </c>
      <c r="X1629" s="45">
        <f t="shared" si="153"/>
        <v>59120.859999999993</v>
      </c>
      <c r="Y1629" s="14" t="str">
        <f>VLOOKUP(A1629,'[3]LIST OF BOOKING 2018 (2)'!$B:$G,6,0)</f>
        <v>TSL</v>
      </c>
      <c r="Z1629" s="14" t="str">
        <f>VLOOKUP(A1629,'[3]LIST OF BOOKING 2018 (2)'!$B:$D,3,0)</f>
        <v>SHI</v>
      </c>
      <c r="AA1629" s="14">
        <f>IFERROR(VLOOKUP(A1629,'[2]UPDATE BILL 2018'!$B:$P,15,0),IFERROR(VLOOKUP(A1629,'[2]UPDATE BILL 2018'!$C:$P,14,0),IFERROR(VLOOKUP(A1629,'[2]UPDATE BILL 2018'!$D:$P,13,0),IFERROR(VLOOKUP(A1629,'[2]UPDATE BILL 2018'!$E:$P,12,0),IFERROR(VLOOKUP(A1629,'[2]UPDATE BILL 2018'!$F:$P,11,0),IFERROR(VLOOKUP(A1629,'[2]UPDATE BILL 2018'!$G:$P,10,0),IFERROR(VLOOKUP(A1629,'[2]UPDATE BILL 2018'!$H:$P,9,0),IFERROR(VLOOKUP(A1629,'[2]UPDATE BILL 2018'!$I:$P,8,0),VLOOKUP(A1629,'[2]UPDATE BILL 2018'!$B:$P,15,0)))))))))</f>
        <v>350810117208</v>
      </c>
      <c r="AB1629" s="44">
        <f>IFERROR(VLOOKUP(A1629,'[2]UPDATE BILL 2018'!$B:$T,19,0),IFERROR(VLOOKUP(A1629,'[2]UPDATE BILL 2018'!$C:$T,18,0),IFERROR(VLOOKUP(A1629,'[2]UPDATE BILL 2018'!$D:$T,17,0),IFERROR(VLOOKUP(A1629,'[2]UPDATE BILL 2018'!$E:$T,16,0),IFERROR(VLOOKUP(A1629,'[2]UPDATE BILL 2018'!$F:$T,15,0),IFERROR(VLOOKUP(A1629,'[2]UPDATE BILL 2018'!$G:$T,14,0),IFERROR(VLOOKUP(A1629,'[2]UPDATE BILL 2018'!$H:$T,13,0),IFERROR(VLOOKUP(A1629,'[2]UPDATE BILL 2018'!$I:$T,12,0),VLOOKUP(A1629,'[2]UPDATE BILL 2018'!$B:$T,19,0)))))))))</f>
        <v>43370</v>
      </c>
      <c r="AC1629" s="44" t="str">
        <f>IFERROR(VLOOKUP(A1629,'[2]UPDATE BILL 2018'!$B:$V,21,0),IFERROR(VLOOKUP(A1629,'[2]UPDATE BILL 2018'!$C:$V,20,0),IFERROR(VLOOKUP(A1629,'[2]UPDATE BILL 2018'!$D:$V,19,0),IFERROR(VLOOKUP(A1629,'[2]UPDATE BILL 2018'!$E:$V,18,0),IFERROR(VLOOKUP(A1629,'[2]UPDATE BILL 2018'!$F:$V,17,0),IFERROR(VLOOKUP(A1629,'[2]UPDATE BILL 2018'!$G:$V,16,0),IFERROR(VLOOKUP(A1629,'[2]UPDATE BILL 2018'!$H:$V,15,0),IFERROR(VLOOKUP(A1629,'[2]UPDATE BILL 2018'!$I:$V,14,0),VLOOKUP(A1629,'[2]UPDATE BILL 2018'!$B:$V,21,0)))))))))</f>
        <v>MARCARRIER 18016N</v>
      </c>
      <c r="AD1629" s="14" t="s">
        <v>52</v>
      </c>
      <c r="AE1629" s="24" t="s">
        <v>4035</v>
      </c>
      <c r="AF1629" s="25"/>
      <c r="AG1629" s="58" t="e">
        <f t="shared" si="154"/>
        <v>#N/A</v>
      </c>
      <c r="AH1629" s="58"/>
      <c r="AI1629" s="58"/>
      <c r="AJ1629" s="58"/>
      <c r="AK1629" s="58"/>
      <c r="AL1629" s="58"/>
      <c r="AM1629" s="58"/>
      <c r="AN1629" s="58"/>
      <c r="AO1629" s="58"/>
    </row>
    <row r="1630" spans="1:41" ht="15.75" customHeight="1">
      <c r="A1630" s="6" t="s">
        <v>4029</v>
      </c>
      <c r="B1630" s="5">
        <v>326</v>
      </c>
      <c r="C1630" s="7">
        <v>45232.95</v>
      </c>
      <c r="D1630" s="7">
        <f t="shared" si="151"/>
        <v>0</v>
      </c>
      <c r="E1630" s="7">
        <v>0</v>
      </c>
      <c r="F1630" s="5">
        <v>0</v>
      </c>
      <c r="G1630" s="7">
        <v>0</v>
      </c>
      <c r="H1630" s="5">
        <v>469</v>
      </c>
      <c r="I1630" s="7">
        <v>57507.17</v>
      </c>
      <c r="J1630" s="7">
        <v>0</v>
      </c>
      <c r="K1630" s="5">
        <v>0</v>
      </c>
      <c r="L1630" s="5">
        <v>0</v>
      </c>
      <c r="M1630" s="5">
        <v>48</v>
      </c>
      <c r="N1630" s="7">
        <f t="shared" si="152"/>
        <v>48</v>
      </c>
      <c r="O1630" s="7">
        <v>9184.7000000000007</v>
      </c>
      <c r="P1630" s="7">
        <v>0</v>
      </c>
      <c r="Q1630" s="5">
        <v>0</v>
      </c>
      <c r="S1630" s="7">
        <v>0</v>
      </c>
      <c r="T1630" s="12">
        <v>43367</v>
      </c>
      <c r="U1630" s="4">
        <v>9</v>
      </c>
      <c r="V1630" s="4">
        <v>9</v>
      </c>
      <c r="W1630" s="4">
        <v>9</v>
      </c>
      <c r="X1630" s="45">
        <f t="shared" si="153"/>
        <v>111924.81999999999</v>
      </c>
      <c r="Y1630" s="14" t="str">
        <f>VLOOKUP(A1630,'[3]LIST OF BOOKING 2018 (2)'!$B:$G,6,0)</f>
        <v>SITC</v>
      </c>
      <c r="Z1630" s="14" t="str">
        <f>VLOOKUP(A1630,'[3]LIST OF BOOKING 2018 (2)'!$B:$D,3,0)</f>
        <v>EXP</v>
      </c>
      <c r="AA1630" s="14">
        <f>IFERROR(VLOOKUP(A1630,'[2]UPDATE BILL 2018'!$B:$P,15,0),IFERROR(VLOOKUP(A1630,'[2]UPDATE BILL 2018'!$C:$P,14,0),IFERROR(VLOOKUP(A1630,'[2]UPDATE BILL 2018'!$D:$P,13,0),IFERROR(VLOOKUP(A1630,'[2]UPDATE BILL 2018'!$E:$P,12,0),IFERROR(VLOOKUP(A1630,'[2]UPDATE BILL 2018'!$F:$P,11,0),IFERROR(VLOOKUP(A1630,'[2]UPDATE BILL 2018'!$G:$P,10,0),IFERROR(VLOOKUP(A1630,'[2]UPDATE BILL 2018'!$H:$P,9,0),IFERROR(VLOOKUP(A1630,'[2]UPDATE BILL 2018'!$I:$P,8,0),VLOOKUP(A1630,'[2]UPDATE BILL 2018'!$B:$P,15,0)))))))))</f>
        <v>0</v>
      </c>
      <c r="AB1630" s="44">
        <f>IFERROR(VLOOKUP(A1630,'[2]UPDATE BILL 2018'!$B:$T,19,0),IFERROR(VLOOKUP(A1630,'[2]UPDATE BILL 2018'!$C:$T,18,0),IFERROR(VLOOKUP(A1630,'[2]UPDATE BILL 2018'!$D:$T,17,0),IFERROR(VLOOKUP(A1630,'[2]UPDATE BILL 2018'!$E:$T,16,0),IFERROR(VLOOKUP(A1630,'[2]UPDATE BILL 2018'!$F:$T,15,0),IFERROR(VLOOKUP(A1630,'[2]UPDATE BILL 2018'!$G:$T,14,0),IFERROR(VLOOKUP(A1630,'[2]UPDATE BILL 2018'!$H:$T,13,0),IFERROR(VLOOKUP(A1630,'[2]UPDATE BILL 2018'!$I:$T,12,0),VLOOKUP(A1630,'[2]UPDATE BILL 2018'!$B:$T,19,0)))))))))</f>
        <v>0</v>
      </c>
      <c r="AC1630" s="44">
        <f>IFERROR(VLOOKUP(A1630,'[2]UPDATE BILL 2018'!$B:$V,21,0),IFERROR(VLOOKUP(A1630,'[2]UPDATE BILL 2018'!$C:$V,20,0),IFERROR(VLOOKUP(A1630,'[2]UPDATE BILL 2018'!$D:$V,19,0),IFERROR(VLOOKUP(A1630,'[2]UPDATE BILL 2018'!$E:$V,18,0),IFERROR(VLOOKUP(A1630,'[2]UPDATE BILL 2018'!$F:$V,17,0),IFERROR(VLOOKUP(A1630,'[2]UPDATE BILL 2018'!$G:$V,16,0),IFERROR(VLOOKUP(A1630,'[2]UPDATE BILL 2018'!$H:$V,15,0),IFERROR(VLOOKUP(A1630,'[2]UPDATE BILL 2018'!$I:$V,14,0),VLOOKUP(A1630,'[2]UPDATE BILL 2018'!$B:$V,21,0)))))))))</f>
        <v>0</v>
      </c>
      <c r="AD1630" s="14" t="s">
        <v>51</v>
      </c>
      <c r="AE1630" s="24" t="s">
        <v>4036</v>
      </c>
      <c r="AF1630" s="25"/>
      <c r="AG1630" s="58" t="e">
        <f t="shared" si="154"/>
        <v>#N/A</v>
      </c>
      <c r="AH1630" s="58"/>
      <c r="AI1630" s="58"/>
      <c r="AJ1630" s="58"/>
      <c r="AK1630" s="58"/>
      <c r="AL1630" s="58"/>
      <c r="AM1630" s="58"/>
      <c r="AN1630" s="58"/>
      <c r="AO1630" s="58"/>
    </row>
    <row r="1631" spans="1:41" ht="15.75" customHeight="1">
      <c r="A1631" s="6" t="s">
        <v>4030</v>
      </c>
      <c r="D1631" s="7">
        <f t="shared" si="151"/>
        <v>0</v>
      </c>
      <c r="E1631" s="7">
        <v>0</v>
      </c>
      <c r="F1631" s="5">
        <v>0</v>
      </c>
      <c r="G1631" s="7">
        <v>0</v>
      </c>
      <c r="H1631" s="5">
        <v>575</v>
      </c>
      <c r="I1631" s="7">
        <v>64730.5</v>
      </c>
      <c r="J1631" s="7">
        <v>0</v>
      </c>
      <c r="K1631" s="5">
        <v>0</v>
      </c>
      <c r="L1631" s="5">
        <v>0</v>
      </c>
      <c r="M1631" s="5">
        <v>0</v>
      </c>
      <c r="N1631" s="7">
        <f t="shared" si="152"/>
        <v>0</v>
      </c>
      <c r="O1631" s="7">
        <v>0</v>
      </c>
      <c r="P1631" s="7">
        <v>0</v>
      </c>
      <c r="Q1631" s="5">
        <v>0</v>
      </c>
      <c r="R1631" s="5">
        <v>553</v>
      </c>
      <c r="S1631" s="7">
        <v>36221.5</v>
      </c>
      <c r="T1631" s="12">
        <v>43367</v>
      </c>
      <c r="U1631" s="4">
        <v>7</v>
      </c>
      <c r="V1631" s="4">
        <v>9</v>
      </c>
      <c r="W1631" s="4">
        <v>9</v>
      </c>
      <c r="X1631" s="45">
        <f t="shared" si="153"/>
        <v>100952</v>
      </c>
      <c r="Y1631" s="14" t="str">
        <f>VLOOKUP(A1631,'[3]LIST OF BOOKING 2018 (2)'!$B:$G,6,0)</f>
        <v>WHL</v>
      </c>
      <c r="Z1631" s="14" t="str">
        <f>VLOOKUP(A1631,'[3]LIST OF BOOKING 2018 (2)'!$B:$D,3,0)</f>
        <v>DEL</v>
      </c>
      <c r="AA1631" s="14">
        <f>IFERROR(VLOOKUP(A1631,'[2]UPDATE BILL 2018'!$B:$P,15,0),IFERROR(VLOOKUP(A1631,'[2]UPDATE BILL 2018'!$C:$P,14,0),IFERROR(VLOOKUP(A1631,'[2]UPDATE BILL 2018'!$D:$P,13,0),IFERROR(VLOOKUP(A1631,'[2]UPDATE BILL 2018'!$E:$P,12,0),IFERROR(VLOOKUP(A1631,'[2]UPDATE BILL 2018'!$F:$P,11,0),IFERROR(VLOOKUP(A1631,'[2]UPDATE BILL 2018'!$G:$P,10,0),IFERROR(VLOOKUP(A1631,'[2]UPDATE BILL 2018'!$H:$P,9,0),IFERROR(VLOOKUP(A1631,'[2]UPDATE BILL 2018'!$I:$P,8,0),VLOOKUP(A1631,'[2]UPDATE BILL 2018'!$B:$P,15,0)))))))))</f>
        <v>0</v>
      </c>
      <c r="AB1631" s="44">
        <f>IFERROR(VLOOKUP(A1631,'[2]UPDATE BILL 2018'!$B:$T,19,0),IFERROR(VLOOKUP(A1631,'[2]UPDATE BILL 2018'!$C:$T,18,0),IFERROR(VLOOKUP(A1631,'[2]UPDATE BILL 2018'!$D:$T,17,0),IFERROR(VLOOKUP(A1631,'[2]UPDATE BILL 2018'!$E:$T,16,0),IFERROR(VLOOKUP(A1631,'[2]UPDATE BILL 2018'!$F:$T,15,0),IFERROR(VLOOKUP(A1631,'[2]UPDATE BILL 2018'!$G:$T,14,0),IFERROR(VLOOKUP(A1631,'[2]UPDATE BILL 2018'!$H:$T,13,0),IFERROR(VLOOKUP(A1631,'[2]UPDATE BILL 2018'!$I:$T,12,0),VLOOKUP(A1631,'[2]UPDATE BILL 2018'!$B:$T,19,0)))))))))</f>
        <v>0</v>
      </c>
      <c r="AC1631" s="44">
        <f>IFERROR(VLOOKUP(A1631,'[2]UPDATE BILL 2018'!$B:$V,21,0),IFERROR(VLOOKUP(A1631,'[2]UPDATE BILL 2018'!$C:$V,20,0),IFERROR(VLOOKUP(A1631,'[2]UPDATE BILL 2018'!$D:$V,19,0),IFERROR(VLOOKUP(A1631,'[2]UPDATE BILL 2018'!$E:$V,18,0),IFERROR(VLOOKUP(A1631,'[2]UPDATE BILL 2018'!$F:$V,17,0),IFERROR(VLOOKUP(A1631,'[2]UPDATE BILL 2018'!$G:$V,16,0),IFERROR(VLOOKUP(A1631,'[2]UPDATE BILL 2018'!$H:$V,15,0),IFERROR(VLOOKUP(A1631,'[2]UPDATE BILL 2018'!$I:$V,14,0),VLOOKUP(A1631,'[2]UPDATE BILL 2018'!$B:$V,21,0)))))))))</f>
        <v>0</v>
      </c>
      <c r="AD1631" s="14" t="s">
        <v>51</v>
      </c>
      <c r="AE1631" s="24" t="s">
        <v>4037</v>
      </c>
      <c r="AF1631" s="25"/>
      <c r="AG1631" s="58" t="e">
        <f t="shared" si="154"/>
        <v>#N/A</v>
      </c>
      <c r="AH1631" s="58"/>
      <c r="AI1631" s="58"/>
      <c r="AJ1631" s="58"/>
      <c r="AK1631" s="58"/>
      <c r="AL1631" s="58"/>
      <c r="AM1631" s="58"/>
      <c r="AN1631" s="58"/>
      <c r="AO1631" s="58"/>
    </row>
    <row r="1632" spans="1:41" ht="15.75" customHeight="1">
      <c r="A1632" s="6" t="s">
        <v>4031</v>
      </c>
      <c r="B1632" s="5">
        <v>306</v>
      </c>
      <c r="C1632" s="7">
        <v>24359.550000000003</v>
      </c>
      <c r="D1632" s="7">
        <f t="shared" si="151"/>
        <v>0</v>
      </c>
      <c r="E1632" s="7">
        <v>0</v>
      </c>
      <c r="F1632" s="5">
        <v>0</v>
      </c>
      <c r="G1632" s="7">
        <v>0</v>
      </c>
      <c r="H1632" s="5">
        <v>0</v>
      </c>
      <c r="I1632" s="7">
        <v>0</v>
      </c>
      <c r="J1632" s="7">
        <v>0</v>
      </c>
      <c r="K1632" s="5">
        <v>0</v>
      </c>
      <c r="L1632" s="5">
        <v>0</v>
      </c>
      <c r="M1632" s="5">
        <v>44</v>
      </c>
      <c r="N1632" s="7">
        <f t="shared" si="152"/>
        <v>44</v>
      </c>
      <c r="O1632" s="7">
        <v>9549.7999999999993</v>
      </c>
      <c r="P1632" s="7">
        <v>0</v>
      </c>
      <c r="Q1632" s="5">
        <v>0</v>
      </c>
      <c r="R1632" s="5">
        <v>589</v>
      </c>
      <c r="S1632" s="7">
        <v>86722.8</v>
      </c>
      <c r="T1632" s="12">
        <v>43367</v>
      </c>
      <c r="U1632" s="4">
        <v>6</v>
      </c>
      <c r="V1632" s="4">
        <v>9</v>
      </c>
      <c r="W1632" s="4">
        <v>9</v>
      </c>
      <c r="X1632" s="45">
        <f t="shared" si="153"/>
        <v>120632.15000000001</v>
      </c>
      <c r="Y1632" s="14" t="str">
        <f>VLOOKUP(A1632,'[3]LIST OF BOOKING 2018 (2)'!$B:$G,6,0)</f>
        <v>SITC</v>
      </c>
      <c r="Z1632" s="14" t="str">
        <f>VLOOKUP(A1632,'[3]LIST OF BOOKING 2018 (2)'!$B:$D,3,0)</f>
        <v>KWE</v>
      </c>
      <c r="AA1632" s="14">
        <f>IFERROR(VLOOKUP(A1632,'[2]UPDATE BILL 2018'!$B:$P,15,0),IFERROR(VLOOKUP(A1632,'[2]UPDATE BILL 2018'!$C:$P,14,0),IFERROR(VLOOKUP(A1632,'[2]UPDATE BILL 2018'!$D:$P,13,0),IFERROR(VLOOKUP(A1632,'[2]UPDATE BILL 2018'!$E:$P,12,0),IFERROR(VLOOKUP(A1632,'[2]UPDATE BILL 2018'!$F:$P,11,0),IFERROR(VLOOKUP(A1632,'[2]UPDATE BILL 2018'!$G:$P,10,0),IFERROR(VLOOKUP(A1632,'[2]UPDATE BILL 2018'!$H:$P,9,0),IFERROR(VLOOKUP(A1632,'[2]UPDATE BILL 2018'!$I:$P,8,0),VLOOKUP(A1632,'[2]UPDATE BILL 2018'!$B:$P,15,0)))))))))</f>
        <v>0</v>
      </c>
      <c r="AB1632" s="44">
        <f>IFERROR(VLOOKUP(A1632,'[2]UPDATE BILL 2018'!$B:$T,19,0),IFERROR(VLOOKUP(A1632,'[2]UPDATE BILL 2018'!$C:$T,18,0),IFERROR(VLOOKUP(A1632,'[2]UPDATE BILL 2018'!$D:$T,17,0),IFERROR(VLOOKUP(A1632,'[2]UPDATE BILL 2018'!$E:$T,16,0),IFERROR(VLOOKUP(A1632,'[2]UPDATE BILL 2018'!$F:$T,15,0),IFERROR(VLOOKUP(A1632,'[2]UPDATE BILL 2018'!$G:$T,14,0),IFERROR(VLOOKUP(A1632,'[2]UPDATE BILL 2018'!$H:$T,13,0),IFERROR(VLOOKUP(A1632,'[2]UPDATE BILL 2018'!$I:$T,12,0),VLOOKUP(A1632,'[2]UPDATE BILL 2018'!$B:$T,19,0)))))))))</f>
        <v>0</v>
      </c>
      <c r="AC1632" s="44">
        <f>IFERROR(VLOOKUP(A1632,'[2]UPDATE BILL 2018'!$B:$V,21,0),IFERROR(VLOOKUP(A1632,'[2]UPDATE BILL 2018'!$C:$V,20,0),IFERROR(VLOOKUP(A1632,'[2]UPDATE BILL 2018'!$D:$V,19,0),IFERROR(VLOOKUP(A1632,'[2]UPDATE BILL 2018'!$E:$V,18,0),IFERROR(VLOOKUP(A1632,'[2]UPDATE BILL 2018'!$F:$V,17,0),IFERROR(VLOOKUP(A1632,'[2]UPDATE BILL 2018'!$G:$V,16,0),IFERROR(VLOOKUP(A1632,'[2]UPDATE BILL 2018'!$H:$V,15,0),IFERROR(VLOOKUP(A1632,'[2]UPDATE BILL 2018'!$I:$V,14,0),VLOOKUP(A1632,'[2]UPDATE BILL 2018'!$B:$V,21,0)))))))))</f>
        <v>0</v>
      </c>
      <c r="AD1632" s="14" t="s">
        <v>50</v>
      </c>
      <c r="AE1632" s="24" t="s">
        <v>4038</v>
      </c>
      <c r="AF1632" s="25"/>
      <c r="AG1632" s="58" t="e">
        <f t="shared" si="154"/>
        <v>#N/A</v>
      </c>
      <c r="AH1632" s="58"/>
      <c r="AI1632" s="58"/>
      <c r="AJ1632" s="58"/>
      <c r="AK1632" s="58"/>
      <c r="AL1632" s="58"/>
      <c r="AM1632" s="58"/>
      <c r="AN1632" s="58"/>
      <c r="AO1632" s="58"/>
    </row>
    <row r="1633" spans="1:41" ht="15.75" customHeight="1">
      <c r="A1633" s="6" t="s">
        <v>4032</v>
      </c>
      <c r="B1633" s="5">
        <v>102</v>
      </c>
      <c r="C1633" s="7">
        <v>11793.599999999999</v>
      </c>
      <c r="D1633" s="7">
        <f t="shared" si="151"/>
        <v>0</v>
      </c>
      <c r="E1633" s="7">
        <v>0</v>
      </c>
      <c r="F1633" s="5">
        <v>0</v>
      </c>
      <c r="G1633" s="7">
        <v>0</v>
      </c>
      <c r="H1633" s="5">
        <v>95</v>
      </c>
      <c r="I1633" s="7">
        <v>10706.5</v>
      </c>
      <c r="J1633" s="7">
        <v>0</v>
      </c>
      <c r="K1633" s="5">
        <v>0</v>
      </c>
      <c r="L1633" s="5">
        <v>0</v>
      </c>
      <c r="M1633" s="5">
        <v>0</v>
      </c>
      <c r="N1633" s="7">
        <f t="shared" si="152"/>
        <v>0</v>
      </c>
      <c r="O1633" s="7">
        <v>0</v>
      </c>
      <c r="P1633" s="7">
        <v>0</v>
      </c>
      <c r="Q1633" s="5">
        <v>0</v>
      </c>
      <c r="S1633" s="7">
        <v>0</v>
      </c>
      <c r="T1633" s="12">
        <v>43367</v>
      </c>
      <c r="U1633" s="4">
        <v>2</v>
      </c>
      <c r="V1633" s="4">
        <v>9</v>
      </c>
      <c r="W1633" s="4">
        <v>9</v>
      </c>
      <c r="X1633" s="45">
        <f t="shared" si="153"/>
        <v>22500.1</v>
      </c>
      <c r="Y1633" s="14" t="str">
        <f>VLOOKUP(A1633,'[3]LIST OF BOOKING 2018 (2)'!$B:$G,6,0)</f>
        <v>EGLV</v>
      </c>
      <c r="Z1633" s="14" t="str">
        <f>VLOOKUP(A1633,'[3]LIST OF BOOKING 2018 (2)'!$B:$D,3,0)</f>
        <v>SHI</v>
      </c>
      <c r="AA1633" s="14" t="str">
        <f>IFERROR(VLOOKUP(A1633,'[2]UPDATE BILL 2018'!$B:$P,15,0),IFERROR(VLOOKUP(A1633,'[2]UPDATE BILL 2018'!$C:$P,14,0),IFERROR(VLOOKUP(A1633,'[2]UPDATE BILL 2018'!$D:$P,13,0),IFERROR(VLOOKUP(A1633,'[2]UPDATE BILL 2018'!$E:$P,12,0),IFERROR(VLOOKUP(A1633,'[2]UPDATE BILL 2018'!$F:$P,11,0),IFERROR(VLOOKUP(A1633,'[2]UPDATE BILL 2018'!$G:$P,10,0),IFERROR(VLOOKUP(A1633,'[2]UPDATE BILL 2018'!$H:$P,9,0),IFERROR(VLOOKUP(A1633,'[2]UPDATE BILL 2018'!$I:$P,8,0),VLOOKUP(A1633,'[2]UPDATE BILL 2018'!$B:$P,15,0)))))))))</f>
        <v>EGLV237800311410</v>
      </c>
      <c r="AB1633" s="44">
        <f>IFERROR(VLOOKUP(A1633,'[2]UPDATE BILL 2018'!$B:$T,19,0),IFERROR(VLOOKUP(A1633,'[2]UPDATE BILL 2018'!$C:$T,18,0),IFERROR(VLOOKUP(A1633,'[2]UPDATE BILL 2018'!$D:$T,17,0),IFERROR(VLOOKUP(A1633,'[2]UPDATE BILL 2018'!$E:$T,16,0),IFERROR(VLOOKUP(A1633,'[2]UPDATE BILL 2018'!$F:$T,15,0),IFERROR(VLOOKUP(A1633,'[2]UPDATE BILL 2018'!$G:$T,14,0),IFERROR(VLOOKUP(A1633,'[2]UPDATE BILL 2018'!$H:$T,13,0),IFERROR(VLOOKUP(A1633,'[2]UPDATE BILL 2018'!$I:$T,12,0),VLOOKUP(A1633,'[2]UPDATE BILL 2018'!$B:$T,19,0)))))))))</f>
        <v>43371</v>
      </c>
      <c r="AC1633" s="44" t="str">
        <f>IFERROR(VLOOKUP(A1633,'[2]UPDATE BILL 2018'!$B:$V,21,0),IFERROR(VLOOKUP(A1633,'[2]UPDATE BILL 2018'!$C:$V,20,0),IFERROR(VLOOKUP(A1633,'[2]UPDATE BILL 2018'!$D:$V,19,0),IFERROR(VLOOKUP(A1633,'[2]UPDATE BILL 2018'!$E:$V,18,0),IFERROR(VLOOKUP(A1633,'[2]UPDATE BILL 2018'!$F:$V,17,0),IFERROR(VLOOKUP(A1633,'[2]UPDATE BILL 2018'!$G:$V,16,0),IFERROR(VLOOKUP(A1633,'[2]UPDATE BILL 2018'!$H:$V,15,0),IFERROR(VLOOKUP(A1633,'[2]UPDATE BILL 2018'!$I:$V,14,0),VLOOKUP(A1633,'[2]UPDATE BILL 2018'!$B:$V,21,0)))))))))</f>
        <v>WAN HAI 267 N272</v>
      </c>
      <c r="AD1633" s="14" t="s">
        <v>49</v>
      </c>
      <c r="AE1633" s="24" t="s">
        <v>4039</v>
      </c>
      <c r="AF1633" s="25"/>
      <c r="AG1633" s="58" t="e">
        <f t="shared" si="154"/>
        <v>#N/A</v>
      </c>
      <c r="AH1633" s="58"/>
      <c r="AI1633" s="58"/>
      <c r="AJ1633" s="58"/>
      <c r="AK1633" s="58"/>
      <c r="AL1633" s="58"/>
      <c r="AM1633" s="58"/>
      <c r="AN1633" s="58"/>
      <c r="AO1633" s="58"/>
    </row>
    <row r="1634" spans="1:41" ht="15.75" customHeight="1">
      <c r="D1634" s="7">
        <f t="shared" si="151"/>
        <v>0</v>
      </c>
      <c r="E1634" s="7">
        <v>0</v>
      </c>
      <c r="F1634" s="5">
        <v>0</v>
      </c>
      <c r="G1634" s="7">
        <v>0</v>
      </c>
      <c r="H1634" s="5">
        <v>0</v>
      </c>
      <c r="I1634" s="7">
        <v>0</v>
      </c>
      <c r="J1634" s="7">
        <v>0</v>
      </c>
      <c r="K1634" s="5">
        <v>0</v>
      </c>
      <c r="L1634" s="5">
        <v>0</v>
      </c>
      <c r="M1634" s="5">
        <v>0</v>
      </c>
      <c r="N1634" s="7">
        <f t="shared" si="152"/>
        <v>0</v>
      </c>
      <c r="O1634" s="7">
        <v>0</v>
      </c>
      <c r="P1634" s="7">
        <v>0</v>
      </c>
      <c r="Q1634" s="5">
        <v>0</v>
      </c>
      <c r="S1634" s="7">
        <v>0</v>
      </c>
      <c r="V1634" s="4">
        <v>9</v>
      </c>
      <c r="W1634" s="4">
        <v>9</v>
      </c>
      <c r="X1634" s="45">
        <f t="shared" si="153"/>
        <v>0</v>
      </c>
      <c r="AB1634" s="44"/>
      <c r="AC1634" s="44"/>
      <c r="AF1634" s="25"/>
      <c r="AG1634" s="58" t="e">
        <f t="shared" si="154"/>
        <v>#N/A</v>
      </c>
      <c r="AH1634" s="58"/>
      <c r="AI1634" s="58"/>
      <c r="AJ1634" s="58"/>
      <c r="AK1634" s="58"/>
      <c r="AL1634" s="58"/>
      <c r="AM1634" s="58"/>
      <c r="AN1634" s="58"/>
      <c r="AO1634" s="58"/>
    </row>
    <row r="1635" spans="1:41" ht="15.75" customHeight="1">
      <c r="D1635" s="7">
        <f t="shared" si="151"/>
        <v>0</v>
      </c>
      <c r="E1635" s="7">
        <v>0</v>
      </c>
      <c r="F1635" s="5">
        <v>0</v>
      </c>
      <c r="G1635" s="7">
        <v>0</v>
      </c>
      <c r="H1635" s="5">
        <v>0</v>
      </c>
      <c r="I1635" s="7">
        <v>0</v>
      </c>
      <c r="J1635" s="7">
        <v>0</v>
      </c>
      <c r="K1635" s="5">
        <v>0</v>
      </c>
      <c r="L1635" s="5">
        <v>0</v>
      </c>
      <c r="M1635" s="5">
        <v>0</v>
      </c>
      <c r="N1635" s="7">
        <f t="shared" si="152"/>
        <v>0</v>
      </c>
      <c r="O1635" s="7">
        <v>0</v>
      </c>
      <c r="P1635" s="7">
        <v>0</v>
      </c>
      <c r="Q1635" s="5">
        <v>0</v>
      </c>
      <c r="S1635" s="7">
        <v>0</v>
      </c>
      <c r="V1635" s="4">
        <v>9</v>
      </c>
      <c r="W1635" s="4">
        <v>9</v>
      </c>
      <c r="X1635" s="45" t="s">
        <v>4021</v>
      </c>
      <c r="AB1635" s="44"/>
      <c r="AC1635" s="44"/>
      <c r="AF1635" s="25"/>
      <c r="AG1635" s="58" t="e">
        <f t="shared" si="154"/>
        <v>#N/A</v>
      </c>
      <c r="AH1635" s="58"/>
      <c r="AI1635" s="58"/>
      <c r="AJ1635" s="58"/>
      <c r="AK1635" s="58"/>
      <c r="AL1635" s="58"/>
      <c r="AM1635" s="58"/>
      <c r="AN1635" s="58"/>
      <c r="AO1635" s="58"/>
    </row>
    <row r="1636" spans="1:41" ht="15.75" customHeight="1">
      <c r="D1636" s="7">
        <f t="shared" si="151"/>
        <v>0</v>
      </c>
      <c r="E1636" s="7">
        <v>0</v>
      </c>
      <c r="F1636" s="5">
        <v>0</v>
      </c>
      <c r="G1636" s="7">
        <v>0</v>
      </c>
      <c r="H1636" s="5">
        <v>0</v>
      </c>
      <c r="I1636" s="7">
        <v>0</v>
      </c>
      <c r="J1636" s="7">
        <v>0</v>
      </c>
      <c r="K1636" s="5">
        <v>0</v>
      </c>
      <c r="L1636" s="5">
        <v>0</v>
      </c>
      <c r="M1636" s="5">
        <v>0</v>
      </c>
      <c r="N1636" s="7">
        <f t="shared" si="152"/>
        <v>0</v>
      </c>
      <c r="O1636" s="7">
        <v>0</v>
      </c>
      <c r="P1636" s="7">
        <v>0</v>
      </c>
      <c r="Q1636" s="5">
        <v>0</v>
      </c>
      <c r="S1636" s="7">
        <v>0</v>
      </c>
      <c r="V1636" s="4">
        <v>9</v>
      </c>
      <c r="W1636" s="4">
        <v>9</v>
      </c>
      <c r="X1636" s="45">
        <f t="shared" si="153"/>
        <v>0</v>
      </c>
      <c r="AB1636" s="44"/>
      <c r="AC1636" s="44"/>
      <c r="AF1636" s="25"/>
      <c r="AG1636" s="58" t="e">
        <f t="shared" si="154"/>
        <v>#N/A</v>
      </c>
      <c r="AH1636" s="58"/>
      <c r="AI1636" s="58"/>
      <c r="AJ1636" s="58"/>
      <c r="AK1636" s="58"/>
      <c r="AL1636" s="58"/>
      <c r="AM1636" s="58"/>
      <c r="AN1636" s="58"/>
      <c r="AO1636" s="58"/>
    </row>
    <row r="1637" spans="1:41" ht="15.75" customHeight="1">
      <c r="D1637" s="7">
        <f t="shared" si="151"/>
        <v>0</v>
      </c>
      <c r="E1637" s="7">
        <v>0</v>
      </c>
      <c r="F1637" s="5">
        <v>0</v>
      </c>
      <c r="G1637" s="7">
        <v>0</v>
      </c>
      <c r="H1637" s="5">
        <v>0</v>
      </c>
      <c r="I1637" s="7">
        <v>0</v>
      </c>
      <c r="J1637" s="7">
        <v>0</v>
      </c>
      <c r="K1637" s="5">
        <v>0</v>
      </c>
      <c r="L1637" s="5">
        <v>0</v>
      </c>
      <c r="M1637" s="5">
        <v>0</v>
      </c>
      <c r="N1637" s="7">
        <f t="shared" si="152"/>
        <v>0</v>
      </c>
      <c r="O1637" s="7">
        <v>0</v>
      </c>
      <c r="P1637" s="7">
        <v>0</v>
      </c>
      <c r="Q1637" s="5">
        <v>0</v>
      </c>
      <c r="S1637" s="7">
        <v>0</v>
      </c>
      <c r="V1637" s="4">
        <v>9</v>
      </c>
      <c r="W1637" s="4">
        <v>9</v>
      </c>
      <c r="X1637" s="45">
        <f t="shared" si="153"/>
        <v>0</v>
      </c>
      <c r="AB1637" s="44"/>
      <c r="AC1637" s="44"/>
      <c r="AF1637" s="25"/>
      <c r="AG1637" s="58" t="e">
        <f t="shared" si="154"/>
        <v>#N/A</v>
      </c>
      <c r="AH1637" s="58"/>
      <c r="AI1637" s="58"/>
      <c r="AJ1637" s="58"/>
      <c r="AK1637" s="58"/>
      <c r="AL1637" s="58"/>
      <c r="AM1637" s="58"/>
      <c r="AN1637" s="58"/>
      <c r="AO1637" s="58"/>
    </row>
    <row r="1638" spans="1:41" ht="15.75" customHeight="1">
      <c r="D1638" s="7">
        <f t="shared" si="151"/>
        <v>0</v>
      </c>
      <c r="E1638" s="7">
        <v>0</v>
      </c>
      <c r="F1638" s="5">
        <v>0</v>
      </c>
      <c r="G1638" s="7">
        <v>0</v>
      </c>
      <c r="H1638" s="5">
        <v>0</v>
      </c>
      <c r="I1638" s="7">
        <v>0</v>
      </c>
      <c r="J1638" s="7">
        <v>0</v>
      </c>
      <c r="K1638" s="5">
        <v>0</v>
      </c>
      <c r="L1638" s="5">
        <v>0</v>
      </c>
      <c r="M1638" s="5">
        <v>0</v>
      </c>
      <c r="N1638" s="7">
        <f t="shared" si="152"/>
        <v>0</v>
      </c>
      <c r="O1638" s="7">
        <v>0</v>
      </c>
      <c r="P1638" s="7">
        <v>0</v>
      </c>
      <c r="Q1638" s="5">
        <v>0</v>
      </c>
      <c r="S1638" s="7">
        <v>0</v>
      </c>
      <c r="V1638" s="4">
        <v>9</v>
      </c>
      <c r="W1638" s="4">
        <v>9</v>
      </c>
      <c r="X1638" s="45">
        <f t="shared" si="153"/>
        <v>0</v>
      </c>
      <c r="AB1638" s="44"/>
      <c r="AC1638" s="44"/>
      <c r="AF1638" s="25"/>
      <c r="AG1638" s="58" t="e">
        <f t="shared" si="154"/>
        <v>#N/A</v>
      </c>
      <c r="AH1638" s="58"/>
      <c r="AI1638" s="58"/>
      <c r="AJ1638" s="58"/>
      <c r="AK1638" s="58"/>
      <c r="AL1638" s="58"/>
      <c r="AM1638" s="58"/>
      <c r="AN1638" s="58"/>
      <c r="AO1638" s="58"/>
    </row>
    <row r="1639" spans="1:41" ht="15.75" customHeight="1">
      <c r="D1639" s="7">
        <f t="shared" si="151"/>
        <v>0</v>
      </c>
      <c r="E1639" s="7">
        <v>0</v>
      </c>
      <c r="F1639" s="5">
        <v>0</v>
      </c>
      <c r="G1639" s="7">
        <v>0</v>
      </c>
      <c r="H1639" s="5">
        <v>0</v>
      </c>
      <c r="I1639" s="7">
        <v>0</v>
      </c>
      <c r="J1639" s="7">
        <v>0</v>
      </c>
      <c r="K1639" s="5">
        <v>0</v>
      </c>
      <c r="L1639" s="5">
        <v>0</v>
      </c>
      <c r="M1639" s="5">
        <v>0</v>
      </c>
      <c r="N1639" s="7">
        <f t="shared" si="152"/>
        <v>0</v>
      </c>
      <c r="O1639" s="7">
        <v>0</v>
      </c>
      <c r="P1639" s="7">
        <v>0</v>
      </c>
      <c r="Q1639" s="5">
        <v>0</v>
      </c>
      <c r="S1639" s="7">
        <v>0</v>
      </c>
      <c r="V1639" s="4">
        <v>9</v>
      </c>
      <c r="W1639" s="4">
        <v>9</v>
      </c>
      <c r="X1639" s="45">
        <f t="shared" si="153"/>
        <v>0</v>
      </c>
      <c r="AB1639" s="44"/>
      <c r="AC1639" s="44"/>
      <c r="AF1639" s="25"/>
      <c r="AG1639" s="58" t="e">
        <f t="shared" si="154"/>
        <v>#N/A</v>
      </c>
      <c r="AH1639" s="58"/>
      <c r="AI1639" s="58"/>
      <c r="AJ1639" s="58"/>
      <c r="AK1639" s="58"/>
      <c r="AL1639" s="58"/>
      <c r="AM1639" s="58"/>
      <c r="AN1639" s="58"/>
      <c r="AO1639" s="58"/>
    </row>
    <row r="1640" spans="1:41" ht="15.75" customHeight="1">
      <c r="D1640" s="7">
        <f t="shared" si="151"/>
        <v>0</v>
      </c>
      <c r="E1640" s="7">
        <v>0</v>
      </c>
      <c r="F1640" s="5">
        <v>0</v>
      </c>
      <c r="G1640" s="7">
        <v>0</v>
      </c>
      <c r="H1640" s="5">
        <v>0</v>
      </c>
      <c r="I1640" s="7">
        <v>0</v>
      </c>
      <c r="J1640" s="7">
        <v>0</v>
      </c>
      <c r="K1640" s="5">
        <v>0</v>
      </c>
      <c r="L1640" s="5">
        <v>0</v>
      </c>
      <c r="M1640" s="5">
        <v>0</v>
      </c>
      <c r="N1640" s="7">
        <f t="shared" si="152"/>
        <v>0</v>
      </c>
      <c r="O1640" s="7">
        <v>0</v>
      </c>
      <c r="P1640" s="7">
        <v>0</v>
      </c>
      <c r="Q1640" s="5">
        <v>0</v>
      </c>
      <c r="S1640" s="7">
        <v>0</v>
      </c>
      <c r="V1640" s="4">
        <v>9</v>
      </c>
      <c r="W1640" s="4">
        <v>9</v>
      </c>
      <c r="X1640" s="45">
        <f t="shared" si="153"/>
        <v>0</v>
      </c>
      <c r="AB1640" s="44"/>
      <c r="AC1640" s="44"/>
      <c r="AF1640" s="25"/>
      <c r="AG1640" s="58" t="e">
        <f t="shared" si="154"/>
        <v>#N/A</v>
      </c>
      <c r="AH1640" s="58"/>
      <c r="AI1640" s="58"/>
      <c r="AJ1640" s="58"/>
      <c r="AK1640" s="58"/>
      <c r="AL1640" s="58"/>
      <c r="AM1640" s="58"/>
      <c r="AN1640" s="58"/>
      <c r="AO1640" s="58"/>
    </row>
    <row r="1641" spans="1:41" ht="15.75" customHeight="1">
      <c r="D1641" s="7">
        <f t="shared" si="151"/>
        <v>0</v>
      </c>
      <c r="E1641" s="7">
        <v>0</v>
      </c>
      <c r="F1641" s="5">
        <v>0</v>
      </c>
      <c r="G1641" s="7">
        <v>0</v>
      </c>
      <c r="H1641" s="5">
        <v>0</v>
      </c>
      <c r="I1641" s="7">
        <v>0</v>
      </c>
      <c r="J1641" s="7">
        <v>0</v>
      </c>
      <c r="K1641" s="5">
        <v>0</v>
      </c>
      <c r="L1641" s="5">
        <v>0</v>
      </c>
      <c r="M1641" s="5">
        <v>0</v>
      </c>
      <c r="N1641" s="7">
        <f t="shared" si="152"/>
        <v>0</v>
      </c>
      <c r="O1641" s="7">
        <v>0</v>
      </c>
      <c r="P1641" s="7">
        <v>0</v>
      </c>
      <c r="Q1641" s="5">
        <v>0</v>
      </c>
      <c r="S1641" s="7">
        <v>0</v>
      </c>
      <c r="V1641" s="4">
        <v>9</v>
      </c>
      <c r="W1641" s="4">
        <v>9</v>
      </c>
      <c r="X1641" s="45">
        <f t="shared" si="153"/>
        <v>0</v>
      </c>
      <c r="AB1641" s="44"/>
      <c r="AC1641" s="44"/>
      <c r="AF1641" s="25"/>
      <c r="AG1641" s="58" t="e">
        <f t="shared" si="154"/>
        <v>#N/A</v>
      </c>
      <c r="AH1641" s="58"/>
      <c r="AI1641" s="58"/>
      <c r="AJ1641" s="58"/>
      <c r="AK1641" s="58"/>
      <c r="AL1641" s="58"/>
      <c r="AM1641" s="58"/>
      <c r="AN1641" s="58"/>
      <c r="AO1641" s="58"/>
    </row>
    <row r="1642" spans="1:41" ht="15.75" customHeight="1">
      <c r="D1642" s="7">
        <f t="shared" si="151"/>
        <v>0</v>
      </c>
      <c r="E1642" s="7">
        <v>0</v>
      </c>
      <c r="F1642" s="5">
        <v>0</v>
      </c>
      <c r="G1642" s="7">
        <v>0</v>
      </c>
      <c r="H1642" s="5">
        <v>0</v>
      </c>
      <c r="I1642" s="7">
        <v>0</v>
      </c>
      <c r="J1642" s="7">
        <v>0</v>
      </c>
      <c r="K1642" s="5">
        <v>0</v>
      </c>
      <c r="L1642" s="5">
        <v>0</v>
      </c>
      <c r="M1642" s="5">
        <v>0</v>
      </c>
      <c r="N1642" s="7">
        <f t="shared" si="152"/>
        <v>0</v>
      </c>
      <c r="O1642" s="7">
        <v>0</v>
      </c>
      <c r="P1642" s="7">
        <v>0</v>
      </c>
      <c r="Q1642" s="5">
        <v>0</v>
      </c>
      <c r="S1642" s="7">
        <v>0</v>
      </c>
      <c r="V1642" s="4">
        <v>9</v>
      </c>
      <c r="W1642" s="4">
        <v>9</v>
      </c>
      <c r="X1642" s="45">
        <f t="shared" si="153"/>
        <v>0</v>
      </c>
      <c r="AB1642" s="44"/>
      <c r="AC1642" s="44"/>
      <c r="AF1642" s="25"/>
      <c r="AG1642" s="58" t="e">
        <f t="shared" si="154"/>
        <v>#N/A</v>
      </c>
      <c r="AH1642" s="58"/>
      <c r="AI1642" s="58"/>
      <c r="AJ1642" s="58"/>
      <c r="AK1642" s="58"/>
      <c r="AL1642" s="58"/>
      <c r="AM1642" s="58"/>
      <c r="AN1642" s="58"/>
      <c r="AO1642" s="58"/>
    </row>
    <row r="1643" spans="1:41" ht="15.75" customHeight="1">
      <c r="D1643" s="7">
        <f t="shared" si="151"/>
        <v>0</v>
      </c>
      <c r="E1643" s="7">
        <v>0</v>
      </c>
      <c r="F1643" s="5">
        <v>0</v>
      </c>
      <c r="G1643" s="7">
        <v>0</v>
      </c>
      <c r="H1643" s="5">
        <v>0</v>
      </c>
      <c r="I1643" s="7">
        <v>0</v>
      </c>
      <c r="J1643" s="7">
        <v>0</v>
      </c>
      <c r="K1643" s="5">
        <v>0</v>
      </c>
      <c r="L1643" s="5">
        <v>0</v>
      </c>
      <c r="M1643" s="5">
        <v>0</v>
      </c>
      <c r="N1643" s="7">
        <f t="shared" si="152"/>
        <v>0</v>
      </c>
      <c r="O1643" s="7">
        <v>0</v>
      </c>
      <c r="P1643" s="7">
        <v>0</v>
      </c>
      <c r="Q1643" s="5">
        <v>0</v>
      </c>
      <c r="S1643" s="7">
        <v>0</v>
      </c>
      <c r="V1643" s="4">
        <v>9</v>
      </c>
      <c r="W1643" s="4">
        <v>9</v>
      </c>
      <c r="X1643" s="45">
        <f t="shared" si="153"/>
        <v>0</v>
      </c>
      <c r="AB1643" s="44"/>
      <c r="AC1643" s="44"/>
      <c r="AF1643" s="25"/>
      <c r="AG1643" s="58" t="e">
        <f t="shared" si="154"/>
        <v>#N/A</v>
      </c>
      <c r="AH1643" s="58"/>
      <c r="AI1643" s="58"/>
      <c r="AJ1643" s="58"/>
      <c r="AK1643" s="58"/>
      <c r="AL1643" s="58"/>
      <c r="AM1643" s="58"/>
      <c r="AN1643" s="58"/>
      <c r="AO1643" s="58"/>
    </row>
    <row r="1644" spans="1:41" ht="15.75" customHeight="1">
      <c r="D1644" s="7">
        <f t="shared" si="151"/>
        <v>0</v>
      </c>
      <c r="E1644" s="7">
        <v>0</v>
      </c>
      <c r="F1644" s="5">
        <v>0</v>
      </c>
      <c r="G1644" s="7">
        <v>0</v>
      </c>
      <c r="H1644" s="5">
        <v>0</v>
      </c>
      <c r="I1644" s="7">
        <v>0</v>
      </c>
      <c r="J1644" s="7">
        <v>0</v>
      </c>
      <c r="K1644" s="5">
        <v>0</v>
      </c>
      <c r="L1644" s="5">
        <v>0</v>
      </c>
      <c r="M1644" s="5">
        <v>0</v>
      </c>
      <c r="N1644" s="7">
        <f t="shared" si="152"/>
        <v>0</v>
      </c>
      <c r="O1644" s="7">
        <v>0</v>
      </c>
      <c r="P1644" s="7">
        <v>0</v>
      </c>
      <c r="Q1644" s="5">
        <v>0</v>
      </c>
      <c r="S1644" s="7">
        <v>0</v>
      </c>
      <c r="V1644" s="4">
        <v>9</v>
      </c>
      <c r="W1644" s="4">
        <v>9</v>
      </c>
      <c r="X1644" s="45">
        <f t="shared" si="153"/>
        <v>0</v>
      </c>
      <c r="AB1644" s="44"/>
      <c r="AC1644" s="44"/>
      <c r="AF1644" s="25"/>
      <c r="AG1644" s="58" t="e">
        <f t="shared" si="154"/>
        <v>#N/A</v>
      </c>
      <c r="AH1644" s="58"/>
      <c r="AI1644" s="58"/>
      <c r="AJ1644" s="58"/>
      <c r="AK1644" s="58"/>
      <c r="AL1644" s="58"/>
      <c r="AM1644" s="58"/>
      <c r="AN1644" s="58"/>
      <c r="AO1644" s="58"/>
    </row>
    <row r="1645" spans="1:41" ht="15.75" customHeight="1">
      <c r="D1645" s="7">
        <f t="shared" si="151"/>
        <v>0</v>
      </c>
      <c r="E1645" s="7">
        <v>0</v>
      </c>
      <c r="F1645" s="5">
        <v>0</v>
      </c>
      <c r="G1645" s="7">
        <v>0</v>
      </c>
      <c r="H1645" s="5">
        <v>0</v>
      </c>
      <c r="I1645" s="7">
        <v>0</v>
      </c>
      <c r="J1645" s="7">
        <v>0</v>
      </c>
      <c r="K1645" s="5">
        <v>0</v>
      </c>
      <c r="L1645" s="5">
        <v>0</v>
      </c>
      <c r="M1645" s="5">
        <v>0</v>
      </c>
      <c r="N1645" s="7">
        <f t="shared" si="152"/>
        <v>0</v>
      </c>
      <c r="O1645" s="7">
        <v>0</v>
      </c>
      <c r="P1645" s="7">
        <v>0</v>
      </c>
      <c r="Q1645" s="5">
        <v>0</v>
      </c>
      <c r="S1645" s="7">
        <v>0</v>
      </c>
      <c r="V1645" s="4">
        <v>9</v>
      </c>
      <c r="W1645" s="4">
        <v>9</v>
      </c>
      <c r="X1645" s="45">
        <f t="shared" si="153"/>
        <v>0</v>
      </c>
      <c r="AB1645" s="44"/>
      <c r="AC1645" s="44"/>
      <c r="AF1645" s="25"/>
      <c r="AG1645" s="58" t="e">
        <f t="shared" si="154"/>
        <v>#N/A</v>
      </c>
      <c r="AH1645" s="58"/>
      <c r="AI1645" s="58"/>
      <c r="AJ1645" s="58"/>
      <c r="AK1645" s="58"/>
      <c r="AL1645" s="58"/>
      <c r="AM1645" s="58"/>
      <c r="AN1645" s="58"/>
      <c r="AO1645" s="58"/>
    </row>
    <row r="1646" spans="1:41" ht="15.75" customHeight="1">
      <c r="D1646" s="7">
        <f t="shared" si="151"/>
        <v>0</v>
      </c>
      <c r="E1646" s="7">
        <v>0</v>
      </c>
      <c r="F1646" s="5">
        <v>0</v>
      </c>
      <c r="G1646" s="7">
        <v>0</v>
      </c>
      <c r="H1646" s="5">
        <v>0</v>
      </c>
      <c r="I1646" s="7">
        <v>0</v>
      </c>
      <c r="J1646" s="7">
        <v>0</v>
      </c>
      <c r="K1646" s="5">
        <v>0</v>
      </c>
      <c r="L1646" s="5">
        <v>0</v>
      </c>
      <c r="M1646" s="5">
        <v>0</v>
      </c>
      <c r="N1646" s="7">
        <f t="shared" si="152"/>
        <v>0</v>
      </c>
      <c r="O1646" s="7">
        <v>0</v>
      </c>
      <c r="P1646" s="7">
        <v>0</v>
      </c>
      <c r="Q1646" s="5">
        <v>0</v>
      </c>
      <c r="S1646" s="7">
        <v>0</v>
      </c>
      <c r="V1646" s="4">
        <v>9</v>
      </c>
      <c r="W1646" s="4">
        <v>9</v>
      </c>
      <c r="X1646" s="45">
        <f t="shared" si="153"/>
        <v>0</v>
      </c>
      <c r="AB1646" s="44"/>
      <c r="AC1646" s="44"/>
      <c r="AF1646" s="25"/>
      <c r="AG1646" s="58" t="e">
        <f t="shared" si="154"/>
        <v>#N/A</v>
      </c>
      <c r="AH1646" s="58"/>
      <c r="AI1646" s="58"/>
      <c r="AJ1646" s="58"/>
      <c r="AK1646" s="58"/>
      <c r="AL1646" s="58"/>
      <c r="AM1646" s="58"/>
      <c r="AN1646" s="58"/>
      <c r="AO1646" s="58"/>
    </row>
    <row r="1647" spans="1:41" ht="15.75" customHeight="1">
      <c r="D1647" s="7">
        <f t="shared" si="151"/>
        <v>0</v>
      </c>
      <c r="E1647" s="7">
        <v>0</v>
      </c>
      <c r="F1647" s="5">
        <v>0</v>
      </c>
      <c r="G1647" s="7">
        <v>0</v>
      </c>
      <c r="H1647" s="5">
        <v>0</v>
      </c>
      <c r="I1647" s="7">
        <v>0</v>
      </c>
      <c r="J1647" s="7">
        <v>0</v>
      </c>
      <c r="K1647" s="5">
        <v>0</v>
      </c>
      <c r="L1647" s="5">
        <v>0</v>
      </c>
      <c r="M1647" s="5">
        <v>0</v>
      </c>
      <c r="N1647" s="7">
        <f t="shared" si="152"/>
        <v>0</v>
      </c>
      <c r="O1647" s="7">
        <v>0</v>
      </c>
      <c r="P1647" s="7">
        <v>0</v>
      </c>
      <c r="Q1647" s="5">
        <v>0</v>
      </c>
      <c r="S1647" s="7">
        <v>0</v>
      </c>
      <c r="V1647" s="4">
        <v>9</v>
      </c>
      <c r="W1647" s="4">
        <v>9</v>
      </c>
      <c r="X1647" s="45">
        <f t="shared" si="153"/>
        <v>0</v>
      </c>
      <c r="AB1647" s="44"/>
      <c r="AC1647" s="44"/>
      <c r="AF1647" s="25"/>
      <c r="AG1647" s="58" t="e">
        <f t="shared" si="154"/>
        <v>#N/A</v>
      </c>
      <c r="AH1647" s="58"/>
      <c r="AI1647" s="58"/>
      <c r="AJ1647" s="58"/>
      <c r="AK1647" s="58"/>
      <c r="AL1647" s="58"/>
      <c r="AM1647" s="58"/>
      <c r="AN1647" s="58"/>
      <c r="AO1647" s="58"/>
    </row>
    <row r="1648" spans="1:41" ht="15.75" customHeight="1">
      <c r="D1648" s="7">
        <f t="shared" si="151"/>
        <v>0</v>
      </c>
      <c r="E1648" s="7">
        <v>0</v>
      </c>
      <c r="F1648" s="5">
        <v>0</v>
      </c>
      <c r="G1648" s="7">
        <v>0</v>
      </c>
      <c r="H1648" s="5">
        <v>0</v>
      </c>
      <c r="I1648" s="7">
        <v>0</v>
      </c>
      <c r="J1648" s="7">
        <v>0</v>
      </c>
      <c r="K1648" s="5">
        <v>0</v>
      </c>
      <c r="L1648" s="5">
        <v>0</v>
      </c>
      <c r="M1648" s="5">
        <v>0</v>
      </c>
      <c r="N1648" s="7">
        <f t="shared" si="152"/>
        <v>0</v>
      </c>
      <c r="O1648" s="7">
        <v>0</v>
      </c>
      <c r="P1648" s="7">
        <v>0</v>
      </c>
      <c r="Q1648" s="5">
        <v>0</v>
      </c>
      <c r="S1648" s="7">
        <v>0</v>
      </c>
      <c r="V1648" s="4">
        <v>9</v>
      </c>
      <c r="W1648" s="4">
        <v>9</v>
      </c>
      <c r="X1648" s="45">
        <f t="shared" si="153"/>
        <v>0</v>
      </c>
      <c r="AB1648" s="44"/>
      <c r="AC1648" s="44"/>
      <c r="AF1648" s="25"/>
      <c r="AG1648" s="58" t="e">
        <f t="shared" si="154"/>
        <v>#N/A</v>
      </c>
      <c r="AH1648" s="58"/>
      <c r="AI1648" s="58"/>
      <c r="AJ1648" s="58"/>
      <c r="AK1648" s="58"/>
      <c r="AL1648" s="58"/>
      <c r="AM1648" s="58"/>
      <c r="AN1648" s="58"/>
      <c r="AO1648" s="58"/>
    </row>
    <row r="1649" spans="4:41" ht="15.75" customHeight="1">
      <c r="D1649" s="7">
        <f t="shared" si="151"/>
        <v>0</v>
      </c>
      <c r="E1649" s="7">
        <v>0</v>
      </c>
      <c r="F1649" s="5">
        <v>0</v>
      </c>
      <c r="G1649" s="7">
        <v>0</v>
      </c>
      <c r="H1649" s="5">
        <v>0</v>
      </c>
      <c r="I1649" s="7">
        <v>0</v>
      </c>
      <c r="J1649" s="7">
        <v>0</v>
      </c>
      <c r="K1649" s="5">
        <v>0</v>
      </c>
      <c r="L1649" s="5">
        <v>0</v>
      </c>
      <c r="M1649" s="5">
        <v>0</v>
      </c>
      <c r="N1649" s="7">
        <f t="shared" si="152"/>
        <v>0</v>
      </c>
      <c r="O1649" s="7">
        <v>0</v>
      </c>
      <c r="P1649" s="7">
        <v>0</v>
      </c>
      <c r="Q1649" s="5">
        <v>0</v>
      </c>
      <c r="S1649" s="7">
        <v>0</v>
      </c>
      <c r="V1649" s="4">
        <v>9</v>
      </c>
      <c r="W1649" s="4">
        <v>9</v>
      </c>
      <c r="X1649" s="45">
        <f t="shared" si="153"/>
        <v>0</v>
      </c>
      <c r="AB1649" s="44"/>
      <c r="AC1649" s="44"/>
      <c r="AF1649" s="25"/>
      <c r="AG1649" s="58" t="e">
        <f t="shared" si="154"/>
        <v>#N/A</v>
      </c>
      <c r="AH1649" s="58"/>
      <c r="AI1649" s="58"/>
      <c r="AJ1649" s="58"/>
      <c r="AK1649" s="58"/>
      <c r="AL1649" s="58"/>
      <c r="AM1649" s="58"/>
      <c r="AN1649" s="58"/>
      <c r="AO1649" s="58"/>
    </row>
    <row r="1650" spans="4:41" ht="15.75" customHeight="1">
      <c r="D1650" s="7">
        <f t="shared" si="151"/>
        <v>0</v>
      </c>
      <c r="E1650" s="7">
        <v>0</v>
      </c>
      <c r="F1650" s="5">
        <v>0</v>
      </c>
      <c r="G1650" s="7">
        <v>0</v>
      </c>
      <c r="H1650" s="5">
        <v>0</v>
      </c>
      <c r="I1650" s="7">
        <v>0</v>
      </c>
      <c r="J1650" s="7">
        <v>0</v>
      </c>
      <c r="K1650" s="5">
        <v>0</v>
      </c>
      <c r="L1650" s="5">
        <v>0</v>
      </c>
      <c r="M1650" s="5">
        <v>0</v>
      </c>
      <c r="N1650" s="7">
        <f t="shared" si="152"/>
        <v>0</v>
      </c>
      <c r="O1650" s="7">
        <v>0</v>
      </c>
      <c r="P1650" s="7">
        <v>0</v>
      </c>
      <c r="Q1650" s="5">
        <v>0</v>
      </c>
      <c r="S1650" s="7">
        <v>0</v>
      </c>
      <c r="V1650" s="4">
        <v>9</v>
      </c>
      <c r="W1650" s="4">
        <v>9</v>
      </c>
      <c r="X1650" s="45">
        <f t="shared" si="153"/>
        <v>0</v>
      </c>
      <c r="AB1650" s="44"/>
      <c r="AC1650" s="44"/>
      <c r="AF1650" s="25"/>
      <c r="AG1650" s="58" t="e">
        <f t="shared" si="154"/>
        <v>#N/A</v>
      </c>
      <c r="AH1650" s="58"/>
      <c r="AI1650" s="58"/>
      <c r="AJ1650" s="58"/>
      <c r="AK1650" s="58"/>
      <c r="AL1650" s="58"/>
      <c r="AM1650" s="58"/>
      <c r="AN1650" s="58"/>
      <c r="AO1650" s="58"/>
    </row>
    <row r="1651" spans="4:41" ht="15.75" customHeight="1">
      <c r="D1651" s="7">
        <f t="shared" si="151"/>
        <v>0</v>
      </c>
      <c r="E1651" s="7">
        <v>0</v>
      </c>
      <c r="F1651" s="5">
        <v>0</v>
      </c>
      <c r="G1651" s="7">
        <v>0</v>
      </c>
      <c r="H1651" s="5">
        <v>0</v>
      </c>
      <c r="I1651" s="7">
        <v>0</v>
      </c>
      <c r="J1651" s="7">
        <v>0</v>
      </c>
      <c r="K1651" s="5">
        <v>0</v>
      </c>
      <c r="L1651" s="5">
        <v>0</v>
      </c>
      <c r="M1651" s="5">
        <v>0</v>
      </c>
      <c r="N1651" s="7">
        <f t="shared" si="152"/>
        <v>0</v>
      </c>
      <c r="O1651" s="7">
        <v>0</v>
      </c>
      <c r="P1651" s="7">
        <v>0</v>
      </c>
      <c r="Q1651" s="5">
        <v>0</v>
      </c>
      <c r="S1651" s="7">
        <v>0</v>
      </c>
      <c r="V1651" s="4">
        <v>9</v>
      </c>
      <c r="W1651" s="4">
        <v>9</v>
      </c>
      <c r="X1651" s="45">
        <f t="shared" si="153"/>
        <v>0</v>
      </c>
      <c r="AB1651" s="44"/>
      <c r="AC1651" s="44"/>
      <c r="AF1651" s="25"/>
      <c r="AG1651" s="58" t="e">
        <f t="shared" si="154"/>
        <v>#N/A</v>
      </c>
      <c r="AH1651" s="58"/>
      <c r="AI1651" s="58"/>
      <c r="AJ1651" s="58"/>
      <c r="AK1651" s="58"/>
      <c r="AL1651" s="58"/>
      <c r="AM1651" s="58"/>
      <c r="AN1651" s="58"/>
      <c r="AO1651" s="58"/>
    </row>
    <row r="1652" spans="4:41" ht="15.75" customHeight="1">
      <c r="D1652" s="7">
        <f t="shared" si="151"/>
        <v>0</v>
      </c>
      <c r="E1652" s="7">
        <v>0</v>
      </c>
      <c r="F1652" s="5">
        <v>0</v>
      </c>
      <c r="G1652" s="7">
        <v>0</v>
      </c>
      <c r="H1652" s="5">
        <v>0</v>
      </c>
      <c r="I1652" s="7">
        <v>0</v>
      </c>
      <c r="J1652" s="7">
        <v>0</v>
      </c>
      <c r="K1652" s="5">
        <v>0</v>
      </c>
      <c r="L1652" s="5">
        <v>0</v>
      </c>
      <c r="M1652" s="5">
        <v>0</v>
      </c>
      <c r="N1652" s="7">
        <f t="shared" si="152"/>
        <v>0</v>
      </c>
      <c r="O1652" s="7">
        <v>0</v>
      </c>
      <c r="P1652" s="7">
        <v>0</v>
      </c>
      <c r="Q1652" s="5">
        <v>0</v>
      </c>
      <c r="S1652" s="7">
        <v>0</v>
      </c>
      <c r="V1652" s="4">
        <v>9</v>
      </c>
      <c r="W1652" s="4">
        <v>9</v>
      </c>
      <c r="X1652" s="45">
        <f t="shared" si="153"/>
        <v>0</v>
      </c>
      <c r="AB1652" s="44"/>
      <c r="AC1652" s="44"/>
      <c r="AF1652" s="25"/>
      <c r="AG1652" s="58" t="e">
        <f t="shared" si="154"/>
        <v>#N/A</v>
      </c>
      <c r="AH1652" s="58"/>
      <c r="AI1652" s="58"/>
      <c r="AJ1652" s="58"/>
      <c r="AK1652" s="58"/>
      <c r="AL1652" s="58"/>
      <c r="AM1652" s="58"/>
      <c r="AN1652" s="58"/>
      <c r="AO1652" s="58"/>
    </row>
    <row r="1653" spans="4:41" ht="15.75" customHeight="1">
      <c r="D1653" s="7">
        <f t="shared" si="151"/>
        <v>0</v>
      </c>
      <c r="E1653" s="7">
        <v>0</v>
      </c>
      <c r="F1653" s="5">
        <v>0</v>
      </c>
      <c r="G1653" s="7">
        <v>0</v>
      </c>
      <c r="H1653" s="5">
        <v>0</v>
      </c>
      <c r="I1653" s="7">
        <v>0</v>
      </c>
      <c r="J1653" s="7">
        <v>0</v>
      </c>
      <c r="K1653" s="5">
        <v>0</v>
      </c>
      <c r="L1653" s="5">
        <v>0</v>
      </c>
      <c r="M1653" s="5">
        <v>0</v>
      </c>
      <c r="N1653" s="7">
        <f t="shared" si="152"/>
        <v>0</v>
      </c>
      <c r="O1653" s="7">
        <v>0</v>
      </c>
      <c r="P1653" s="7">
        <v>0</v>
      </c>
      <c r="Q1653" s="5">
        <v>0</v>
      </c>
      <c r="S1653" s="7">
        <v>0</v>
      </c>
      <c r="V1653" s="4">
        <v>9</v>
      </c>
      <c r="W1653" s="4">
        <v>9</v>
      </c>
      <c r="X1653" s="45">
        <f t="shared" si="153"/>
        <v>0</v>
      </c>
      <c r="AB1653" s="44"/>
      <c r="AC1653" s="44"/>
      <c r="AF1653" s="25"/>
      <c r="AG1653" s="58" t="e">
        <f t="shared" si="154"/>
        <v>#N/A</v>
      </c>
      <c r="AH1653" s="58"/>
      <c r="AI1653" s="58"/>
      <c r="AJ1653" s="58"/>
      <c r="AK1653" s="58"/>
      <c r="AL1653" s="58"/>
      <c r="AM1653" s="58"/>
      <c r="AN1653" s="58"/>
      <c r="AO1653" s="58"/>
    </row>
    <row r="1654" spans="4:41" ht="15.75" customHeight="1">
      <c r="D1654" s="7">
        <f t="shared" si="151"/>
        <v>0</v>
      </c>
      <c r="E1654" s="7">
        <v>0</v>
      </c>
      <c r="F1654" s="5">
        <v>0</v>
      </c>
      <c r="G1654" s="7">
        <v>0</v>
      </c>
      <c r="H1654" s="5">
        <v>0</v>
      </c>
      <c r="I1654" s="7">
        <v>0</v>
      </c>
      <c r="J1654" s="7">
        <v>0</v>
      </c>
      <c r="K1654" s="5">
        <v>0</v>
      </c>
      <c r="L1654" s="5">
        <v>0</v>
      </c>
      <c r="M1654" s="5">
        <v>0</v>
      </c>
      <c r="N1654" s="7">
        <f t="shared" si="152"/>
        <v>0</v>
      </c>
      <c r="O1654" s="7">
        <v>0</v>
      </c>
      <c r="P1654" s="7">
        <v>0</v>
      </c>
      <c r="Q1654" s="5">
        <v>0</v>
      </c>
      <c r="S1654" s="7">
        <v>0</v>
      </c>
      <c r="V1654" s="4">
        <v>9</v>
      </c>
      <c r="W1654" s="4">
        <v>9</v>
      </c>
      <c r="X1654" s="45">
        <f t="shared" si="153"/>
        <v>0</v>
      </c>
      <c r="AB1654" s="44"/>
      <c r="AC1654" s="44"/>
      <c r="AF1654" s="25"/>
      <c r="AG1654" s="58" t="e">
        <f t="shared" si="154"/>
        <v>#N/A</v>
      </c>
      <c r="AH1654" s="58"/>
      <c r="AI1654" s="58"/>
      <c r="AJ1654" s="58"/>
      <c r="AK1654" s="58"/>
      <c r="AL1654" s="58"/>
      <c r="AM1654" s="58"/>
      <c r="AN1654" s="58"/>
      <c r="AO1654" s="58"/>
    </row>
    <row r="1655" spans="4:41" ht="15.75" customHeight="1">
      <c r="D1655" s="7">
        <f t="shared" ref="D1655:D1718" si="155">E1655+F1655</f>
        <v>0</v>
      </c>
      <c r="E1655" s="7">
        <v>0</v>
      </c>
      <c r="F1655" s="5">
        <v>0</v>
      </c>
      <c r="G1655" s="7">
        <v>0</v>
      </c>
      <c r="H1655" s="5">
        <v>0</v>
      </c>
      <c r="I1655" s="7">
        <v>0</v>
      </c>
      <c r="J1655" s="7">
        <v>0</v>
      </c>
      <c r="K1655" s="5">
        <v>0</v>
      </c>
      <c r="L1655" s="5">
        <v>0</v>
      </c>
      <c r="M1655" s="5">
        <v>0</v>
      </c>
      <c r="N1655" s="7">
        <f t="shared" ref="N1655:N1718" si="156">M1655-K1655</f>
        <v>0</v>
      </c>
      <c r="O1655" s="7">
        <v>0</v>
      </c>
      <c r="P1655" s="7">
        <v>0</v>
      </c>
      <c r="Q1655" s="5">
        <v>0</v>
      </c>
      <c r="S1655" s="7">
        <v>0</v>
      </c>
      <c r="V1655" s="4">
        <v>9</v>
      </c>
      <c r="W1655" s="4">
        <v>9</v>
      </c>
      <c r="X1655" s="45">
        <f t="shared" ref="X1655:X1718" si="157">+C1655+G1655+I1655+O1655+S1655</f>
        <v>0</v>
      </c>
      <c r="AB1655" s="44"/>
      <c r="AC1655" s="44"/>
      <c r="AF1655" s="25"/>
      <c r="AG1655" s="58" t="e">
        <f t="shared" si="154"/>
        <v>#N/A</v>
      </c>
      <c r="AH1655" s="58"/>
      <c r="AI1655" s="58"/>
      <c r="AJ1655" s="58"/>
      <c r="AK1655" s="58"/>
      <c r="AL1655" s="58"/>
      <c r="AM1655" s="58"/>
      <c r="AN1655" s="58"/>
      <c r="AO1655" s="58"/>
    </row>
    <row r="1656" spans="4:41" ht="15.75" customHeight="1">
      <c r="D1656" s="7">
        <f t="shared" si="155"/>
        <v>0</v>
      </c>
      <c r="E1656" s="7">
        <v>0</v>
      </c>
      <c r="F1656" s="5">
        <v>0</v>
      </c>
      <c r="G1656" s="7">
        <v>0</v>
      </c>
      <c r="H1656" s="5">
        <v>0</v>
      </c>
      <c r="I1656" s="7">
        <v>0</v>
      </c>
      <c r="J1656" s="7">
        <v>0</v>
      </c>
      <c r="K1656" s="5">
        <v>0</v>
      </c>
      <c r="L1656" s="5">
        <v>0</v>
      </c>
      <c r="M1656" s="5">
        <v>0</v>
      </c>
      <c r="N1656" s="7">
        <f t="shared" si="156"/>
        <v>0</v>
      </c>
      <c r="O1656" s="7">
        <v>0</v>
      </c>
      <c r="P1656" s="7">
        <v>0</v>
      </c>
      <c r="Q1656" s="5">
        <v>0</v>
      </c>
      <c r="S1656" s="7">
        <v>0</v>
      </c>
      <c r="V1656" s="4">
        <v>9</v>
      </c>
      <c r="W1656" s="4">
        <v>9</v>
      </c>
      <c r="X1656" s="45">
        <f t="shared" si="157"/>
        <v>0</v>
      </c>
      <c r="AB1656" s="44"/>
      <c r="AC1656" s="44"/>
      <c r="AF1656" s="25"/>
      <c r="AG1656" s="58" t="e">
        <f t="shared" si="154"/>
        <v>#N/A</v>
      </c>
      <c r="AH1656" s="58"/>
      <c r="AI1656" s="58"/>
      <c r="AJ1656" s="58"/>
      <c r="AK1656" s="58"/>
      <c r="AL1656" s="58"/>
      <c r="AM1656" s="58"/>
      <c r="AN1656" s="58"/>
      <c r="AO1656" s="58"/>
    </row>
    <row r="1657" spans="4:41" ht="15.75" customHeight="1">
      <c r="D1657" s="7">
        <f t="shared" si="155"/>
        <v>0</v>
      </c>
      <c r="E1657" s="7">
        <v>0</v>
      </c>
      <c r="F1657" s="5">
        <v>0</v>
      </c>
      <c r="G1657" s="7">
        <v>0</v>
      </c>
      <c r="H1657" s="5">
        <v>0</v>
      </c>
      <c r="I1657" s="7">
        <v>0</v>
      </c>
      <c r="J1657" s="7">
        <v>0</v>
      </c>
      <c r="K1657" s="5">
        <v>0</v>
      </c>
      <c r="L1657" s="5">
        <v>0</v>
      </c>
      <c r="M1657" s="5">
        <v>0</v>
      </c>
      <c r="N1657" s="7">
        <f t="shared" si="156"/>
        <v>0</v>
      </c>
      <c r="O1657" s="7">
        <v>0</v>
      </c>
      <c r="P1657" s="7">
        <v>0</v>
      </c>
      <c r="Q1657" s="5">
        <v>0</v>
      </c>
      <c r="S1657" s="7">
        <v>0</v>
      </c>
      <c r="V1657" s="4">
        <v>9</v>
      </c>
      <c r="W1657" s="4">
        <v>9</v>
      </c>
      <c r="X1657" s="45">
        <f t="shared" si="157"/>
        <v>0</v>
      </c>
      <c r="AB1657" s="44"/>
      <c r="AC1657" s="44"/>
      <c r="AF1657" s="25"/>
      <c r="AG1657" s="58" t="e">
        <f t="shared" si="154"/>
        <v>#N/A</v>
      </c>
      <c r="AH1657" s="58"/>
      <c r="AI1657" s="58"/>
      <c r="AJ1657" s="58"/>
      <c r="AK1657" s="58"/>
      <c r="AL1657" s="58"/>
      <c r="AM1657" s="58"/>
      <c r="AN1657" s="58"/>
      <c r="AO1657" s="58"/>
    </row>
    <row r="1658" spans="4:41" ht="15.75" customHeight="1">
      <c r="D1658" s="7">
        <f t="shared" si="155"/>
        <v>0</v>
      </c>
      <c r="E1658" s="7">
        <v>0</v>
      </c>
      <c r="F1658" s="5">
        <v>0</v>
      </c>
      <c r="G1658" s="7">
        <v>0</v>
      </c>
      <c r="H1658" s="5">
        <v>0</v>
      </c>
      <c r="I1658" s="7">
        <v>0</v>
      </c>
      <c r="J1658" s="7">
        <v>0</v>
      </c>
      <c r="K1658" s="5">
        <v>0</v>
      </c>
      <c r="L1658" s="5">
        <v>0</v>
      </c>
      <c r="M1658" s="5">
        <v>0</v>
      </c>
      <c r="N1658" s="7">
        <f t="shared" si="156"/>
        <v>0</v>
      </c>
      <c r="O1658" s="7">
        <v>0</v>
      </c>
      <c r="P1658" s="7">
        <v>0</v>
      </c>
      <c r="Q1658" s="5">
        <v>0</v>
      </c>
      <c r="S1658" s="7">
        <v>0</v>
      </c>
      <c r="V1658" s="4">
        <v>9</v>
      </c>
      <c r="W1658" s="4">
        <v>9</v>
      </c>
      <c r="X1658" s="45">
        <f t="shared" si="157"/>
        <v>0</v>
      </c>
      <c r="AB1658" s="44"/>
      <c r="AC1658" s="44"/>
      <c r="AF1658" s="25"/>
      <c r="AG1658" s="58" t="e">
        <f t="shared" si="154"/>
        <v>#N/A</v>
      </c>
      <c r="AH1658" s="58"/>
      <c r="AI1658" s="58"/>
      <c r="AJ1658" s="58"/>
      <c r="AK1658" s="58"/>
      <c r="AL1658" s="58"/>
      <c r="AM1658" s="58"/>
      <c r="AN1658" s="58"/>
      <c r="AO1658" s="58"/>
    </row>
    <row r="1659" spans="4:41" ht="15.75" customHeight="1">
      <c r="D1659" s="7">
        <f t="shared" si="155"/>
        <v>0</v>
      </c>
      <c r="E1659" s="7">
        <v>0</v>
      </c>
      <c r="F1659" s="5">
        <v>0</v>
      </c>
      <c r="G1659" s="7">
        <v>0</v>
      </c>
      <c r="H1659" s="5">
        <v>0</v>
      </c>
      <c r="I1659" s="7">
        <v>0</v>
      </c>
      <c r="J1659" s="7">
        <v>0</v>
      </c>
      <c r="K1659" s="5">
        <v>0</v>
      </c>
      <c r="L1659" s="5">
        <v>0</v>
      </c>
      <c r="M1659" s="5">
        <v>0</v>
      </c>
      <c r="N1659" s="7">
        <f t="shared" si="156"/>
        <v>0</v>
      </c>
      <c r="O1659" s="7">
        <v>0</v>
      </c>
      <c r="P1659" s="7">
        <v>0</v>
      </c>
      <c r="Q1659" s="5">
        <v>0</v>
      </c>
      <c r="S1659" s="7">
        <v>0</v>
      </c>
      <c r="V1659" s="4">
        <v>9</v>
      </c>
      <c r="W1659" s="4">
        <v>9</v>
      </c>
      <c r="X1659" s="45">
        <f t="shared" si="157"/>
        <v>0</v>
      </c>
      <c r="AB1659" s="44"/>
      <c r="AC1659" s="44"/>
      <c r="AF1659" s="25"/>
      <c r="AG1659" s="58" t="e">
        <f t="shared" si="154"/>
        <v>#N/A</v>
      </c>
      <c r="AH1659" s="58"/>
      <c r="AI1659" s="58"/>
      <c r="AJ1659" s="58"/>
      <c r="AK1659" s="58"/>
      <c r="AL1659" s="58"/>
      <c r="AM1659" s="58"/>
      <c r="AN1659" s="58"/>
      <c r="AO1659" s="58"/>
    </row>
    <row r="1660" spans="4:41" ht="15.75" customHeight="1">
      <c r="D1660" s="7">
        <f t="shared" si="155"/>
        <v>0</v>
      </c>
      <c r="E1660" s="7">
        <v>0</v>
      </c>
      <c r="F1660" s="5">
        <v>0</v>
      </c>
      <c r="G1660" s="7">
        <v>0</v>
      </c>
      <c r="H1660" s="5">
        <v>0</v>
      </c>
      <c r="I1660" s="7">
        <v>0</v>
      </c>
      <c r="J1660" s="7">
        <v>0</v>
      </c>
      <c r="K1660" s="5">
        <v>0</v>
      </c>
      <c r="L1660" s="5">
        <v>0</v>
      </c>
      <c r="M1660" s="5">
        <v>0</v>
      </c>
      <c r="N1660" s="7">
        <f t="shared" si="156"/>
        <v>0</v>
      </c>
      <c r="O1660" s="7">
        <v>0</v>
      </c>
      <c r="P1660" s="7">
        <v>0</v>
      </c>
      <c r="Q1660" s="5">
        <v>0</v>
      </c>
      <c r="S1660" s="7">
        <v>0</v>
      </c>
      <c r="V1660" s="4">
        <v>9</v>
      </c>
      <c r="W1660" s="4">
        <v>9</v>
      </c>
      <c r="X1660" s="45">
        <f t="shared" si="157"/>
        <v>0</v>
      </c>
      <c r="AB1660" s="44"/>
      <c r="AC1660" s="44"/>
      <c r="AF1660" s="25"/>
      <c r="AG1660" s="58" t="e">
        <f t="shared" si="154"/>
        <v>#N/A</v>
      </c>
      <c r="AH1660" s="58"/>
      <c r="AI1660" s="58"/>
      <c r="AJ1660" s="58"/>
      <c r="AK1660" s="58"/>
      <c r="AL1660" s="58"/>
      <c r="AM1660" s="58"/>
      <c r="AN1660" s="58"/>
      <c r="AO1660" s="58"/>
    </row>
    <row r="1661" spans="4:41" ht="15.75" customHeight="1">
      <c r="D1661" s="7">
        <f t="shared" si="155"/>
        <v>0</v>
      </c>
      <c r="E1661" s="7">
        <v>0</v>
      </c>
      <c r="F1661" s="5">
        <v>0</v>
      </c>
      <c r="G1661" s="7">
        <v>0</v>
      </c>
      <c r="H1661" s="5">
        <v>0</v>
      </c>
      <c r="I1661" s="7">
        <v>0</v>
      </c>
      <c r="J1661" s="7">
        <v>0</v>
      </c>
      <c r="K1661" s="5">
        <v>0</v>
      </c>
      <c r="L1661" s="5">
        <v>0</v>
      </c>
      <c r="M1661" s="5">
        <v>0</v>
      </c>
      <c r="N1661" s="7">
        <f t="shared" si="156"/>
        <v>0</v>
      </c>
      <c r="O1661" s="7">
        <v>0</v>
      </c>
      <c r="P1661" s="7">
        <v>0</v>
      </c>
      <c r="Q1661" s="5">
        <v>0</v>
      </c>
      <c r="S1661" s="7">
        <v>0</v>
      </c>
      <c r="V1661" s="4">
        <v>9</v>
      </c>
      <c r="W1661" s="4">
        <v>9</v>
      </c>
      <c r="X1661" s="45">
        <f t="shared" si="157"/>
        <v>0</v>
      </c>
      <c r="AB1661" s="44"/>
      <c r="AC1661" s="44"/>
      <c r="AF1661" s="25"/>
      <c r="AG1661" s="58" t="e">
        <f t="shared" si="154"/>
        <v>#N/A</v>
      </c>
      <c r="AH1661" s="58"/>
      <c r="AI1661" s="58"/>
      <c r="AJ1661" s="58"/>
      <c r="AK1661" s="58"/>
      <c r="AL1661" s="58"/>
      <c r="AM1661" s="58"/>
      <c r="AN1661" s="58"/>
      <c r="AO1661" s="58"/>
    </row>
    <row r="1662" spans="4:41" ht="15.75" customHeight="1">
      <c r="D1662" s="7">
        <f t="shared" si="155"/>
        <v>0</v>
      </c>
      <c r="E1662" s="7">
        <v>0</v>
      </c>
      <c r="F1662" s="5">
        <v>0</v>
      </c>
      <c r="G1662" s="7">
        <v>0</v>
      </c>
      <c r="H1662" s="5">
        <v>0</v>
      </c>
      <c r="I1662" s="7">
        <v>0</v>
      </c>
      <c r="J1662" s="7">
        <v>0</v>
      </c>
      <c r="K1662" s="5">
        <v>0</v>
      </c>
      <c r="L1662" s="5">
        <v>0</v>
      </c>
      <c r="M1662" s="5">
        <v>0</v>
      </c>
      <c r="N1662" s="7">
        <f t="shared" si="156"/>
        <v>0</v>
      </c>
      <c r="O1662" s="7">
        <v>0</v>
      </c>
      <c r="P1662" s="7">
        <v>0</v>
      </c>
      <c r="Q1662" s="5">
        <v>0</v>
      </c>
      <c r="S1662" s="7">
        <v>0</v>
      </c>
      <c r="V1662" s="4">
        <v>9</v>
      </c>
      <c r="W1662" s="4">
        <v>9</v>
      </c>
      <c r="X1662" s="45">
        <f t="shared" si="157"/>
        <v>0</v>
      </c>
      <c r="AB1662" s="44"/>
      <c r="AC1662" s="44"/>
      <c r="AF1662" s="25"/>
      <c r="AG1662" s="58" t="e">
        <f t="shared" si="154"/>
        <v>#N/A</v>
      </c>
      <c r="AH1662" s="58"/>
      <c r="AI1662" s="58"/>
      <c r="AJ1662" s="58"/>
      <c r="AK1662" s="58"/>
      <c r="AL1662" s="58"/>
      <c r="AM1662" s="58"/>
      <c r="AN1662" s="58"/>
      <c r="AO1662" s="58"/>
    </row>
    <row r="1663" spans="4:41" ht="15.75" customHeight="1">
      <c r="D1663" s="7">
        <f t="shared" si="155"/>
        <v>0</v>
      </c>
      <c r="E1663" s="7">
        <v>0</v>
      </c>
      <c r="F1663" s="5">
        <v>0</v>
      </c>
      <c r="G1663" s="7">
        <v>0</v>
      </c>
      <c r="H1663" s="5">
        <v>0</v>
      </c>
      <c r="I1663" s="7">
        <v>0</v>
      </c>
      <c r="J1663" s="7">
        <v>0</v>
      </c>
      <c r="K1663" s="5">
        <v>0</v>
      </c>
      <c r="L1663" s="5">
        <v>0</v>
      </c>
      <c r="M1663" s="5">
        <v>0</v>
      </c>
      <c r="N1663" s="7">
        <f t="shared" si="156"/>
        <v>0</v>
      </c>
      <c r="O1663" s="7">
        <v>0</v>
      </c>
      <c r="P1663" s="7">
        <v>0</v>
      </c>
      <c r="Q1663" s="5">
        <v>0</v>
      </c>
      <c r="S1663" s="7">
        <v>0</v>
      </c>
      <c r="V1663" s="4">
        <v>9</v>
      </c>
      <c r="W1663" s="4">
        <v>9</v>
      </c>
      <c r="X1663" s="45">
        <f t="shared" si="157"/>
        <v>0</v>
      </c>
      <c r="AB1663" s="44"/>
      <c r="AC1663" s="44"/>
      <c r="AF1663" s="25"/>
      <c r="AG1663" s="58" t="e">
        <f t="shared" si="154"/>
        <v>#N/A</v>
      </c>
      <c r="AH1663" s="58"/>
      <c r="AI1663" s="58"/>
      <c r="AJ1663" s="58"/>
      <c r="AK1663" s="58"/>
      <c r="AL1663" s="58"/>
      <c r="AM1663" s="58"/>
      <c r="AN1663" s="58"/>
      <c r="AO1663" s="58"/>
    </row>
    <row r="1664" spans="4:41" ht="15.75" customHeight="1">
      <c r="D1664" s="7">
        <f t="shared" si="155"/>
        <v>0</v>
      </c>
      <c r="E1664" s="7">
        <v>0</v>
      </c>
      <c r="F1664" s="5">
        <v>0</v>
      </c>
      <c r="G1664" s="7">
        <v>0</v>
      </c>
      <c r="H1664" s="5">
        <v>0</v>
      </c>
      <c r="I1664" s="7">
        <v>0</v>
      </c>
      <c r="J1664" s="7">
        <v>0</v>
      </c>
      <c r="K1664" s="5">
        <v>0</v>
      </c>
      <c r="L1664" s="5">
        <v>0</v>
      </c>
      <c r="M1664" s="5">
        <v>0</v>
      </c>
      <c r="N1664" s="7">
        <f t="shared" si="156"/>
        <v>0</v>
      </c>
      <c r="O1664" s="7">
        <v>0</v>
      </c>
      <c r="P1664" s="7">
        <v>0</v>
      </c>
      <c r="Q1664" s="5">
        <v>0</v>
      </c>
      <c r="S1664" s="7">
        <v>0</v>
      </c>
      <c r="V1664" s="4">
        <v>9</v>
      </c>
      <c r="W1664" s="4">
        <v>9</v>
      </c>
      <c r="X1664" s="45">
        <f t="shared" si="157"/>
        <v>0</v>
      </c>
      <c r="AB1664" s="44"/>
      <c r="AC1664" s="44"/>
      <c r="AF1664" s="25"/>
      <c r="AG1664" s="58" t="e">
        <f t="shared" si="154"/>
        <v>#N/A</v>
      </c>
      <c r="AH1664" s="58"/>
      <c r="AI1664" s="58"/>
      <c r="AJ1664" s="58"/>
      <c r="AK1664" s="58"/>
      <c r="AL1664" s="58"/>
      <c r="AM1664" s="58"/>
      <c r="AN1664" s="58"/>
      <c r="AO1664" s="58"/>
    </row>
    <row r="1665" spans="4:41" ht="15.75" customHeight="1">
      <c r="D1665" s="7">
        <f t="shared" si="155"/>
        <v>0</v>
      </c>
      <c r="E1665" s="7">
        <v>0</v>
      </c>
      <c r="F1665" s="5">
        <v>0</v>
      </c>
      <c r="G1665" s="7">
        <v>0</v>
      </c>
      <c r="H1665" s="5">
        <v>0</v>
      </c>
      <c r="I1665" s="7">
        <v>0</v>
      </c>
      <c r="J1665" s="7">
        <v>0</v>
      </c>
      <c r="K1665" s="5">
        <v>0</v>
      </c>
      <c r="L1665" s="5">
        <v>0</v>
      </c>
      <c r="M1665" s="5">
        <v>0</v>
      </c>
      <c r="N1665" s="7">
        <f t="shared" si="156"/>
        <v>0</v>
      </c>
      <c r="O1665" s="7">
        <v>0</v>
      </c>
      <c r="P1665" s="7">
        <v>0</v>
      </c>
      <c r="Q1665" s="5">
        <v>0</v>
      </c>
      <c r="S1665" s="7">
        <v>0</v>
      </c>
      <c r="V1665" s="4">
        <v>9</v>
      </c>
      <c r="W1665" s="4">
        <v>9</v>
      </c>
      <c r="X1665" s="45">
        <f t="shared" si="157"/>
        <v>0</v>
      </c>
      <c r="AB1665" s="44"/>
      <c r="AC1665" s="44"/>
      <c r="AF1665" s="25"/>
      <c r="AG1665" s="58" t="e">
        <f t="shared" si="154"/>
        <v>#N/A</v>
      </c>
      <c r="AH1665" s="58"/>
      <c r="AI1665" s="58"/>
      <c r="AJ1665" s="58"/>
      <c r="AK1665" s="58"/>
      <c r="AL1665" s="58"/>
      <c r="AM1665" s="58"/>
      <c r="AN1665" s="58"/>
      <c r="AO1665" s="58"/>
    </row>
    <row r="1666" spans="4:41" ht="15.75" customHeight="1">
      <c r="D1666" s="7">
        <f t="shared" si="155"/>
        <v>0</v>
      </c>
      <c r="E1666" s="7">
        <v>0</v>
      </c>
      <c r="F1666" s="5">
        <v>0</v>
      </c>
      <c r="G1666" s="7">
        <v>0</v>
      </c>
      <c r="H1666" s="5">
        <v>0</v>
      </c>
      <c r="I1666" s="7">
        <v>0</v>
      </c>
      <c r="J1666" s="7">
        <v>0</v>
      </c>
      <c r="K1666" s="5">
        <v>0</v>
      </c>
      <c r="L1666" s="5">
        <v>0</v>
      </c>
      <c r="M1666" s="5">
        <v>0</v>
      </c>
      <c r="N1666" s="7">
        <f t="shared" si="156"/>
        <v>0</v>
      </c>
      <c r="O1666" s="7">
        <v>0</v>
      </c>
      <c r="P1666" s="7">
        <v>0</v>
      </c>
      <c r="Q1666" s="5">
        <v>0</v>
      </c>
      <c r="S1666" s="7">
        <v>0</v>
      </c>
      <c r="V1666" s="4">
        <v>9</v>
      </c>
      <c r="W1666" s="4">
        <v>9</v>
      </c>
      <c r="X1666" s="45">
        <f t="shared" si="157"/>
        <v>0</v>
      </c>
      <c r="AB1666" s="44"/>
      <c r="AC1666" s="44"/>
      <c r="AF1666" s="25"/>
      <c r="AG1666" s="58" t="e">
        <f t="shared" si="154"/>
        <v>#N/A</v>
      </c>
      <c r="AH1666" s="58"/>
      <c r="AI1666" s="58"/>
      <c r="AJ1666" s="58"/>
      <c r="AK1666" s="58"/>
      <c r="AL1666" s="58"/>
      <c r="AM1666" s="58"/>
      <c r="AN1666" s="58"/>
      <c r="AO1666" s="58"/>
    </row>
    <row r="1667" spans="4:41" ht="15.75" customHeight="1">
      <c r="D1667" s="7">
        <f t="shared" si="155"/>
        <v>0</v>
      </c>
      <c r="E1667" s="7">
        <v>0</v>
      </c>
      <c r="F1667" s="5">
        <v>0</v>
      </c>
      <c r="G1667" s="7">
        <v>0</v>
      </c>
      <c r="H1667" s="5">
        <v>0</v>
      </c>
      <c r="I1667" s="7">
        <v>0</v>
      </c>
      <c r="J1667" s="7">
        <v>0</v>
      </c>
      <c r="K1667" s="5">
        <v>0</v>
      </c>
      <c r="L1667" s="5">
        <v>0</v>
      </c>
      <c r="M1667" s="5">
        <v>0</v>
      </c>
      <c r="N1667" s="7">
        <f t="shared" si="156"/>
        <v>0</v>
      </c>
      <c r="O1667" s="7">
        <v>0</v>
      </c>
      <c r="P1667" s="7">
        <v>0</v>
      </c>
      <c r="Q1667" s="5">
        <v>0</v>
      </c>
      <c r="S1667" s="7">
        <v>0</v>
      </c>
      <c r="V1667" s="4">
        <v>9</v>
      </c>
      <c r="W1667" s="4">
        <v>9</v>
      </c>
      <c r="X1667" s="45">
        <f t="shared" si="157"/>
        <v>0</v>
      </c>
      <c r="AB1667" s="44"/>
      <c r="AC1667" s="44"/>
      <c r="AF1667" s="25"/>
      <c r="AG1667" s="58" t="e">
        <f t="shared" si="154"/>
        <v>#N/A</v>
      </c>
      <c r="AH1667" s="58"/>
      <c r="AI1667" s="58"/>
      <c r="AJ1667" s="58"/>
      <c r="AK1667" s="58"/>
      <c r="AL1667" s="58"/>
      <c r="AM1667" s="58"/>
      <c r="AN1667" s="58"/>
      <c r="AO1667" s="58"/>
    </row>
    <row r="1668" spans="4:41" ht="15.75" customHeight="1">
      <c r="D1668" s="7">
        <f t="shared" si="155"/>
        <v>0</v>
      </c>
      <c r="E1668" s="7">
        <v>0</v>
      </c>
      <c r="F1668" s="5">
        <v>0</v>
      </c>
      <c r="G1668" s="7">
        <v>0</v>
      </c>
      <c r="H1668" s="5">
        <v>0</v>
      </c>
      <c r="I1668" s="7">
        <v>0</v>
      </c>
      <c r="J1668" s="7">
        <v>0</v>
      </c>
      <c r="K1668" s="5">
        <v>0</v>
      </c>
      <c r="L1668" s="5">
        <v>0</v>
      </c>
      <c r="M1668" s="5">
        <v>0</v>
      </c>
      <c r="N1668" s="7">
        <f t="shared" si="156"/>
        <v>0</v>
      </c>
      <c r="O1668" s="7">
        <v>0</v>
      </c>
      <c r="P1668" s="7">
        <v>0</v>
      </c>
      <c r="Q1668" s="5">
        <v>0</v>
      </c>
      <c r="S1668" s="7">
        <v>0</v>
      </c>
      <c r="V1668" s="4">
        <v>9</v>
      </c>
      <c r="W1668" s="4">
        <v>9</v>
      </c>
      <c r="X1668" s="45">
        <f t="shared" si="157"/>
        <v>0</v>
      </c>
      <c r="AB1668" s="44"/>
      <c r="AC1668" s="44"/>
      <c r="AF1668" s="25"/>
      <c r="AG1668" s="58" t="e">
        <f t="shared" ref="AG1668:AG1731" si="158">+VLOOKUP(AF1668,AH:AH,2,0)</f>
        <v>#N/A</v>
      </c>
      <c r="AH1668" s="58"/>
      <c r="AI1668" s="58"/>
      <c r="AJ1668" s="58"/>
      <c r="AK1668" s="58"/>
      <c r="AL1668" s="58"/>
      <c r="AM1668" s="58"/>
      <c r="AN1668" s="58"/>
      <c r="AO1668" s="58"/>
    </row>
    <row r="1669" spans="4:41" ht="15.75" customHeight="1">
      <c r="D1669" s="7">
        <f t="shared" si="155"/>
        <v>0</v>
      </c>
      <c r="E1669" s="7">
        <v>0</v>
      </c>
      <c r="F1669" s="5">
        <v>0</v>
      </c>
      <c r="G1669" s="7">
        <v>0</v>
      </c>
      <c r="H1669" s="5">
        <v>0</v>
      </c>
      <c r="I1669" s="7">
        <v>0</v>
      </c>
      <c r="J1669" s="7">
        <v>0</v>
      </c>
      <c r="K1669" s="5">
        <v>0</v>
      </c>
      <c r="L1669" s="5">
        <v>0</v>
      </c>
      <c r="M1669" s="5">
        <v>0</v>
      </c>
      <c r="N1669" s="7">
        <f t="shared" si="156"/>
        <v>0</v>
      </c>
      <c r="O1669" s="7">
        <v>0</v>
      </c>
      <c r="P1669" s="7">
        <v>0</v>
      </c>
      <c r="Q1669" s="5">
        <v>0</v>
      </c>
      <c r="S1669" s="7">
        <v>0</v>
      </c>
      <c r="V1669" s="4">
        <v>9</v>
      </c>
      <c r="W1669" s="4">
        <v>9</v>
      </c>
      <c r="X1669" s="45">
        <f t="shared" si="157"/>
        <v>0</v>
      </c>
      <c r="AB1669" s="44"/>
      <c r="AC1669" s="44"/>
      <c r="AF1669" s="25"/>
      <c r="AG1669" s="58" t="e">
        <f t="shared" si="158"/>
        <v>#N/A</v>
      </c>
      <c r="AH1669" s="58"/>
      <c r="AI1669" s="58"/>
      <c r="AJ1669" s="58"/>
      <c r="AK1669" s="58"/>
      <c r="AL1669" s="58"/>
      <c r="AM1669" s="58"/>
      <c r="AN1669" s="58"/>
      <c r="AO1669" s="58"/>
    </row>
    <row r="1670" spans="4:41" ht="15.75" customHeight="1">
      <c r="D1670" s="7">
        <f t="shared" si="155"/>
        <v>0</v>
      </c>
      <c r="E1670" s="7">
        <v>0</v>
      </c>
      <c r="F1670" s="5">
        <v>0</v>
      </c>
      <c r="G1670" s="7">
        <v>0</v>
      </c>
      <c r="H1670" s="5">
        <v>0</v>
      </c>
      <c r="I1670" s="7">
        <v>0</v>
      </c>
      <c r="J1670" s="7">
        <v>0</v>
      </c>
      <c r="K1670" s="5">
        <v>0</v>
      </c>
      <c r="L1670" s="5">
        <v>0</v>
      </c>
      <c r="M1670" s="5">
        <v>0</v>
      </c>
      <c r="N1670" s="7">
        <f t="shared" si="156"/>
        <v>0</v>
      </c>
      <c r="O1670" s="7">
        <v>0</v>
      </c>
      <c r="P1670" s="7">
        <v>0</v>
      </c>
      <c r="Q1670" s="5">
        <v>0</v>
      </c>
      <c r="S1670" s="7">
        <v>0</v>
      </c>
      <c r="V1670" s="4">
        <v>9</v>
      </c>
      <c r="W1670" s="4">
        <v>9</v>
      </c>
      <c r="X1670" s="45">
        <f t="shared" si="157"/>
        <v>0</v>
      </c>
      <c r="AB1670" s="44"/>
      <c r="AC1670" s="44"/>
      <c r="AF1670" s="25"/>
      <c r="AG1670" s="58" t="e">
        <f t="shared" si="158"/>
        <v>#N/A</v>
      </c>
      <c r="AH1670" s="58"/>
      <c r="AI1670" s="58"/>
      <c r="AJ1670" s="58"/>
      <c r="AK1670" s="58"/>
      <c r="AL1670" s="58"/>
      <c r="AM1670" s="58"/>
      <c r="AN1670" s="58"/>
      <c r="AO1670" s="58"/>
    </row>
    <row r="1671" spans="4:41" ht="15.75" customHeight="1">
      <c r="D1671" s="7">
        <f t="shared" si="155"/>
        <v>0</v>
      </c>
      <c r="E1671" s="7">
        <v>0</v>
      </c>
      <c r="F1671" s="5">
        <v>0</v>
      </c>
      <c r="G1671" s="7">
        <v>0</v>
      </c>
      <c r="H1671" s="5">
        <v>0</v>
      </c>
      <c r="I1671" s="7">
        <v>0</v>
      </c>
      <c r="J1671" s="7">
        <v>0</v>
      </c>
      <c r="K1671" s="5">
        <v>0</v>
      </c>
      <c r="L1671" s="5">
        <v>0</v>
      </c>
      <c r="M1671" s="5">
        <v>0</v>
      </c>
      <c r="N1671" s="7">
        <f t="shared" si="156"/>
        <v>0</v>
      </c>
      <c r="O1671" s="7">
        <v>0</v>
      </c>
      <c r="P1671" s="7">
        <v>0</v>
      </c>
      <c r="Q1671" s="5">
        <v>0</v>
      </c>
      <c r="S1671" s="7">
        <v>0</v>
      </c>
      <c r="V1671" s="4">
        <v>9</v>
      </c>
      <c r="W1671" s="4">
        <v>9</v>
      </c>
      <c r="X1671" s="45">
        <f t="shared" si="157"/>
        <v>0</v>
      </c>
      <c r="AB1671" s="44"/>
      <c r="AC1671" s="44"/>
      <c r="AF1671" s="25"/>
      <c r="AG1671" s="58" t="e">
        <f t="shared" si="158"/>
        <v>#N/A</v>
      </c>
      <c r="AH1671" s="58"/>
      <c r="AI1671" s="58"/>
      <c r="AJ1671" s="58"/>
      <c r="AK1671" s="58"/>
      <c r="AL1671" s="58"/>
      <c r="AM1671" s="58"/>
      <c r="AN1671" s="58"/>
      <c r="AO1671" s="58"/>
    </row>
    <row r="1672" spans="4:41" ht="15.75" customHeight="1">
      <c r="D1672" s="7">
        <f t="shared" si="155"/>
        <v>0</v>
      </c>
      <c r="E1672" s="7">
        <v>0</v>
      </c>
      <c r="F1672" s="5">
        <v>0</v>
      </c>
      <c r="G1672" s="7">
        <v>0</v>
      </c>
      <c r="H1672" s="5">
        <v>0</v>
      </c>
      <c r="I1672" s="7">
        <v>0</v>
      </c>
      <c r="J1672" s="7">
        <v>0</v>
      </c>
      <c r="K1672" s="5">
        <v>0</v>
      </c>
      <c r="L1672" s="5">
        <v>0</v>
      </c>
      <c r="M1672" s="5">
        <v>0</v>
      </c>
      <c r="N1672" s="7">
        <f t="shared" si="156"/>
        <v>0</v>
      </c>
      <c r="O1672" s="7">
        <v>0</v>
      </c>
      <c r="P1672" s="7">
        <v>0</v>
      </c>
      <c r="Q1672" s="5">
        <v>0</v>
      </c>
      <c r="S1672" s="7">
        <v>0</v>
      </c>
      <c r="V1672" s="4">
        <v>9</v>
      </c>
      <c r="W1672" s="4">
        <v>9</v>
      </c>
      <c r="X1672" s="45">
        <f t="shared" si="157"/>
        <v>0</v>
      </c>
      <c r="AB1672" s="44"/>
      <c r="AC1672" s="44"/>
      <c r="AF1672" s="25"/>
      <c r="AG1672" s="58" t="e">
        <f t="shared" si="158"/>
        <v>#N/A</v>
      </c>
      <c r="AH1672" s="58"/>
      <c r="AI1672" s="58"/>
      <c r="AJ1672" s="58"/>
      <c r="AK1672" s="58"/>
      <c r="AL1672" s="58"/>
      <c r="AM1672" s="58"/>
      <c r="AN1672" s="58"/>
      <c r="AO1672" s="58"/>
    </row>
    <row r="1673" spans="4:41" ht="15.75" customHeight="1">
      <c r="D1673" s="7">
        <f t="shared" si="155"/>
        <v>0</v>
      </c>
      <c r="E1673" s="7">
        <v>0</v>
      </c>
      <c r="F1673" s="5">
        <v>0</v>
      </c>
      <c r="G1673" s="7">
        <v>0</v>
      </c>
      <c r="H1673" s="5">
        <v>0</v>
      </c>
      <c r="I1673" s="7">
        <v>0</v>
      </c>
      <c r="J1673" s="7">
        <v>0</v>
      </c>
      <c r="K1673" s="5">
        <v>0</v>
      </c>
      <c r="L1673" s="5">
        <v>0</v>
      </c>
      <c r="M1673" s="5">
        <v>0</v>
      </c>
      <c r="N1673" s="7">
        <f t="shared" si="156"/>
        <v>0</v>
      </c>
      <c r="O1673" s="7">
        <v>0</v>
      </c>
      <c r="P1673" s="7">
        <v>0</v>
      </c>
      <c r="Q1673" s="5">
        <v>0</v>
      </c>
      <c r="S1673" s="7">
        <v>0</v>
      </c>
      <c r="V1673" s="4">
        <v>9</v>
      </c>
      <c r="W1673" s="4">
        <v>9</v>
      </c>
      <c r="X1673" s="45">
        <f t="shared" si="157"/>
        <v>0</v>
      </c>
      <c r="AB1673" s="44"/>
      <c r="AC1673" s="44"/>
      <c r="AF1673" s="25"/>
      <c r="AG1673" s="58" t="e">
        <f t="shared" si="158"/>
        <v>#N/A</v>
      </c>
      <c r="AH1673" s="58"/>
      <c r="AI1673" s="58"/>
      <c r="AJ1673" s="58"/>
      <c r="AK1673" s="58"/>
      <c r="AL1673" s="58"/>
      <c r="AM1673" s="58"/>
      <c r="AN1673" s="58"/>
      <c r="AO1673" s="58"/>
    </row>
    <row r="1674" spans="4:41" ht="15.75" customHeight="1">
      <c r="D1674" s="7">
        <f t="shared" si="155"/>
        <v>0</v>
      </c>
      <c r="E1674" s="7">
        <v>0</v>
      </c>
      <c r="F1674" s="5">
        <v>0</v>
      </c>
      <c r="G1674" s="7">
        <v>0</v>
      </c>
      <c r="H1674" s="5">
        <v>0</v>
      </c>
      <c r="I1674" s="7">
        <v>0</v>
      </c>
      <c r="J1674" s="7">
        <v>0</v>
      </c>
      <c r="K1674" s="5">
        <v>0</v>
      </c>
      <c r="L1674" s="5">
        <v>0</v>
      </c>
      <c r="M1674" s="5">
        <v>0</v>
      </c>
      <c r="N1674" s="7">
        <f t="shared" si="156"/>
        <v>0</v>
      </c>
      <c r="O1674" s="7">
        <v>0</v>
      </c>
      <c r="P1674" s="7">
        <v>0</v>
      </c>
      <c r="Q1674" s="5">
        <v>0</v>
      </c>
      <c r="S1674" s="7">
        <v>0</v>
      </c>
      <c r="V1674" s="4">
        <v>9</v>
      </c>
      <c r="W1674" s="4">
        <v>9</v>
      </c>
      <c r="X1674" s="45">
        <f t="shared" si="157"/>
        <v>0</v>
      </c>
      <c r="AB1674" s="44"/>
      <c r="AC1674" s="44"/>
      <c r="AF1674" s="25"/>
      <c r="AG1674" s="58" t="e">
        <f t="shared" si="158"/>
        <v>#N/A</v>
      </c>
      <c r="AH1674" s="58"/>
      <c r="AI1674" s="58"/>
      <c r="AJ1674" s="58"/>
      <c r="AK1674" s="58"/>
      <c r="AL1674" s="58"/>
      <c r="AM1674" s="58"/>
      <c r="AN1674" s="58"/>
      <c r="AO1674" s="58"/>
    </row>
    <row r="1675" spans="4:41" ht="15.75" customHeight="1">
      <c r="D1675" s="7">
        <f t="shared" si="155"/>
        <v>0</v>
      </c>
      <c r="E1675" s="7">
        <v>0</v>
      </c>
      <c r="F1675" s="5">
        <v>0</v>
      </c>
      <c r="G1675" s="7">
        <v>0</v>
      </c>
      <c r="H1675" s="5">
        <v>0</v>
      </c>
      <c r="I1675" s="7">
        <v>0</v>
      </c>
      <c r="J1675" s="7">
        <v>0</v>
      </c>
      <c r="K1675" s="5">
        <v>0</v>
      </c>
      <c r="L1675" s="5">
        <v>0</v>
      </c>
      <c r="M1675" s="5">
        <v>0</v>
      </c>
      <c r="N1675" s="7">
        <f t="shared" si="156"/>
        <v>0</v>
      </c>
      <c r="O1675" s="7">
        <v>0</v>
      </c>
      <c r="P1675" s="7">
        <v>0</v>
      </c>
      <c r="Q1675" s="5">
        <v>0</v>
      </c>
      <c r="S1675" s="7">
        <v>0</v>
      </c>
      <c r="V1675" s="4">
        <v>9</v>
      </c>
      <c r="W1675" s="4">
        <v>9</v>
      </c>
      <c r="X1675" s="45">
        <f t="shared" si="157"/>
        <v>0</v>
      </c>
      <c r="AB1675" s="44"/>
      <c r="AC1675" s="44"/>
      <c r="AF1675" s="25"/>
      <c r="AG1675" s="58" t="e">
        <f t="shared" si="158"/>
        <v>#N/A</v>
      </c>
      <c r="AH1675" s="58"/>
      <c r="AI1675" s="58"/>
      <c r="AJ1675" s="58"/>
      <c r="AK1675" s="58"/>
      <c r="AL1675" s="58"/>
      <c r="AM1675" s="58"/>
      <c r="AN1675" s="58"/>
      <c r="AO1675" s="58"/>
    </row>
    <row r="1676" spans="4:41" ht="15.75" customHeight="1">
      <c r="D1676" s="7">
        <f t="shared" si="155"/>
        <v>0</v>
      </c>
      <c r="E1676" s="7">
        <v>0</v>
      </c>
      <c r="F1676" s="5">
        <v>0</v>
      </c>
      <c r="G1676" s="7">
        <v>0</v>
      </c>
      <c r="H1676" s="5">
        <v>0</v>
      </c>
      <c r="I1676" s="7">
        <v>0</v>
      </c>
      <c r="J1676" s="7">
        <v>0</v>
      </c>
      <c r="K1676" s="5">
        <v>0</v>
      </c>
      <c r="L1676" s="5">
        <v>0</v>
      </c>
      <c r="M1676" s="5">
        <v>0</v>
      </c>
      <c r="N1676" s="7">
        <f t="shared" si="156"/>
        <v>0</v>
      </c>
      <c r="O1676" s="7">
        <v>0</v>
      </c>
      <c r="P1676" s="7">
        <v>0</v>
      </c>
      <c r="Q1676" s="5">
        <v>0</v>
      </c>
      <c r="S1676" s="7">
        <v>0</v>
      </c>
      <c r="V1676" s="4">
        <v>9</v>
      </c>
      <c r="W1676" s="4">
        <v>9</v>
      </c>
      <c r="X1676" s="45">
        <f t="shared" si="157"/>
        <v>0</v>
      </c>
      <c r="AB1676" s="44"/>
      <c r="AC1676" s="44"/>
      <c r="AF1676" s="25"/>
      <c r="AG1676" s="58" t="e">
        <f t="shared" si="158"/>
        <v>#N/A</v>
      </c>
      <c r="AH1676" s="58"/>
      <c r="AI1676" s="58"/>
      <c r="AJ1676" s="58"/>
      <c r="AK1676" s="58"/>
      <c r="AL1676" s="58"/>
      <c r="AM1676" s="58"/>
      <c r="AN1676" s="58"/>
      <c r="AO1676" s="58"/>
    </row>
    <row r="1677" spans="4:41" ht="15.75" customHeight="1">
      <c r="D1677" s="7">
        <f t="shared" si="155"/>
        <v>0</v>
      </c>
      <c r="E1677" s="7">
        <v>0</v>
      </c>
      <c r="F1677" s="5">
        <v>0</v>
      </c>
      <c r="G1677" s="7">
        <v>0</v>
      </c>
      <c r="H1677" s="5">
        <v>0</v>
      </c>
      <c r="I1677" s="7">
        <v>0</v>
      </c>
      <c r="J1677" s="7">
        <v>0</v>
      </c>
      <c r="K1677" s="5">
        <v>0</v>
      </c>
      <c r="L1677" s="5">
        <v>0</v>
      </c>
      <c r="M1677" s="5">
        <v>0</v>
      </c>
      <c r="N1677" s="7">
        <f t="shared" si="156"/>
        <v>0</v>
      </c>
      <c r="O1677" s="7">
        <v>0</v>
      </c>
      <c r="P1677" s="7">
        <v>0</v>
      </c>
      <c r="Q1677" s="5">
        <v>0</v>
      </c>
      <c r="S1677" s="7">
        <v>0</v>
      </c>
      <c r="V1677" s="4">
        <v>9</v>
      </c>
      <c r="W1677" s="4">
        <v>9</v>
      </c>
      <c r="X1677" s="45">
        <f t="shared" si="157"/>
        <v>0</v>
      </c>
      <c r="AB1677" s="44"/>
      <c r="AC1677" s="44"/>
      <c r="AF1677" s="25"/>
      <c r="AG1677" s="58" t="e">
        <f t="shared" si="158"/>
        <v>#N/A</v>
      </c>
      <c r="AH1677" s="58"/>
      <c r="AI1677" s="58"/>
      <c r="AJ1677" s="58"/>
      <c r="AK1677" s="58"/>
      <c r="AL1677" s="58"/>
      <c r="AM1677" s="58"/>
      <c r="AN1677" s="58"/>
      <c r="AO1677" s="58"/>
    </row>
    <row r="1678" spans="4:41" ht="15.75" customHeight="1">
      <c r="D1678" s="7">
        <f t="shared" si="155"/>
        <v>0</v>
      </c>
      <c r="E1678" s="7">
        <v>0</v>
      </c>
      <c r="F1678" s="5">
        <v>0</v>
      </c>
      <c r="G1678" s="7">
        <v>0</v>
      </c>
      <c r="H1678" s="5">
        <v>0</v>
      </c>
      <c r="I1678" s="7">
        <v>0</v>
      </c>
      <c r="J1678" s="7">
        <v>0</v>
      </c>
      <c r="K1678" s="5">
        <v>0</v>
      </c>
      <c r="L1678" s="5">
        <v>0</v>
      </c>
      <c r="M1678" s="5">
        <v>0</v>
      </c>
      <c r="N1678" s="7">
        <f t="shared" si="156"/>
        <v>0</v>
      </c>
      <c r="O1678" s="7">
        <v>0</v>
      </c>
      <c r="P1678" s="7">
        <v>0</v>
      </c>
      <c r="Q1678" s="5">
        <v>0</v>
      </c>
      <c r="S1678" s="7">
        <v>0</v>
      </c>
      <c r="V1678" s="4">
        <v>9</v>
      </c>
      <c r="W1678" s="4">
        <v>9</v>
      </c>
      <c r="X1678" s="45">
        <f t="shared" si="157"/>
        <v>0</v>
      </c>
      <c r="AB1678" s="44"/>
      <c r="AC1678" s="44"/>
      <c r="AF1678" s="25"/>
      <c r="AG1678" s="58" t="e">
        <f t="shared" si="158"/>
        <v>#N/A</v>
      </c>
      <c r="AH1678" s="58"/>
      <c r="AI1678" s="58"/>
      <c r="AJ1678" s="58"/>
      <c r="AK1678" s="58"/>
      <c r="AL1678" s="58"/>
      <c r="AM1678" s="58"/>
      <c r="AN1678" s="58"/>
      <c r="AO1678" s="58"/>
    </row>
    <row r="1679" spans="4:41" ht="15.75" customHeight="1">
      <c r="D1679" s="7">
        <f t="shared" si="155"/>
        <v>0</v>
      </c>
      <c r="E1679" s="7">
        <v>0</v>
      </c>
      <c r="F1679" s="5">
        <v>0</v>
      </c>
      <c r="G1679" s="7">
        <v>0</v>
      </c>
      <c r="H1679" s="5">
        <v>0</v>
      </c>
      <c r="I1679" s="7">
        <v>0</v>
      </c>
      <c r="J1679" s="7">
        <v>0</v>
      </c>
      <c r="K1679" s="5">
        <v>0</v>
      </c>
      <c r="L1679" s="5">
        <v>0</v>
      </c>
      <c r="M1679" s="5">
        <v>0</v>
      </c>
      <c r="N1679" s="7">
        <f t="shared" si="156"/>
        <v>0</v>
      </c>
      <c r="O1679" s="7">
        <v>0</v>
      </c>
      <c r="P1679" s="7">
        <v>0</v>
      </c>
      <c r="Q1679" s="5">
        <v>0</v>
      </c>
      <c r="S1679" s="7">
        <v>0</v>
      </c>
      <c r="V1679" s="4">
        <v>9</v>
      </c>
      <c r="W1679" s="4">
        <v>9</v>
      </c>
      <c r="X1679" s="45">
        <f t="shared" si="157"/>
        <v>0</v>
      </c>
      <c r="AB1679" s="44"/>
      <c r="AC1679" s="44"/>
      <c r="AF1679" s="25"/>
      <c r="AG1679" s="58" t="e">
        <f t="shared" si="158"/>
        <v>#N/A</v>
      </c>
      <c r="AH1679" s="58"/>
      <c r="AI1679" s="58"/>
      <c r="AJ1679" s="58"/>
      <c r="AK1679" s="58"/>
      <c r="AL1679" s="58"/>
      <c r="AM1679" s="58"/>
      <c r="AN1679" s="58"/>
      <c r="AO1679" s="58"/>
    </row>
    <row r="1680" spans="4:41" ht="15.75" customHeight="1">
      <c r="D1680" s="7">
        <f t="shared" si="155"/>
        <v>0</v>
      </c>
      <c r="E1680" s="7">
        <v>0</v>
      </c>
      <c r="F1680" s="5">
        <v>0</v>
      </c>
      <c r="G1680" s="7">
        <v>0</v>
      </c>
      <c r="H1680" s="5">
        <v>0</v>
      </c>
      <c r="I1680" s="7">
        <v>0</v>
      </c>
      <c r="J1680" s="7">
        <v>0</v>
      </c>
      <c r="K1680" s="5">
        <v>0</v>
      </c>
      <c r="L1680" s="5">
        <v>0</v>
      </c>
      <c r="M1680" s="5">
        <v>0</v>
      </c>
      <c r="N1680" s="7">
        <f t="shared" si="156"/>
        <v>0</v>
      </c>
      <c r="O1680" s="7">
        <v>0</v>
      </c>
      <c r="P1680" s="7">
        <v>0</v>
      </c>
      <c r="Q1680" s="5">
        <v>0</v>
      </c>
      <c r="S1680" s="7">
        <v>0</v>
      </c>
      <c r="V1680" s="4">
        <v>9</v>
      </c>
      <c r="W1680" s="4">
        <v>9</v>
      </c>
      <c r="X1680" s="45">
        <f t="shared" si="157"/>
        <v>0</v>
      </c>
      <c r="AB1680" s="44"/>
      <c r="AC1680" s="44"/>
      <c r="AF1680" s="25"/>
      <c r="AG1680" s="58" t="e">
        <f t="shared" si="158"/>
        <v>#N/A</v>
      </c>
      <c r="AH1680" s="58"/>
      <c r="AI1680" s="58"/>
      <c r="AJ1680" s="58"/>
      <c r="AK1680" s="58"/>
      <c r="AL1680" s="58"/>
      <c r="AM1680" s="58"/>
      <c r="AN1680" s="58"/>
      <c r="AO1680" s="58"/>
    </row>
    <row r="1681" spans="4:41" ht="15.75" customHeight="1">
      <c r="D1681" s="7">
        <f t="shared" si="155"/>
        <v>0</v>
      </c>
      <c r="E1681" s="7">
        <v>0</v>
      </c>
      <c r="F1681" s="5">
        <v>0</v>
      </c>
      <c r="G1681" s="7">
        <v>0</v>
      </c>
      <c r="H1681" s="5">
        <v>0</v>
      </c>
      <c r="I1681" s="7">
        <v>0</v>
      </c>
      <c r="J1681" s="7">
        <v>0</v>
      </c>
      <c r="K1681" s="5">
        <v>0</v>
      </c>
      <c r="L1681" s="5">
        <v>0</v>
      </c>
      <c r="M1681" s="5">
        <v>0</v>
      </c>
      <c r="N1681" s="7">
        <f t="shared" si="156"/>
        <v>0</v>
      </c>
      <c r="O1681" s="7">
        <v>0</v>
      </c>
      <c r="P1681" s="7">
        <v>0</v>
      </c>
      <c r="Q1681" s="5">
        <v>0</v>
      </c>
      <c r="S1681" s="7">
        <v>0</v>
      </c>
      <c r="V1681" s="4">
        <v>9</v>
      </c>
      <c r="W1681" s="4">
        <v>9</v>
      </c>
      <c r="X1681" s="45">
        <f t="shared" si="157"/>
        <v>0</v>
      </c>
      <c r="AB1681" s="44"/>
      <c r="AC1681" s="44"/>
      <c r="AF1681" s="25"/>
      <c r="AG1681" s="58" t="e">
        <f t="shared" si="158"/>
        <v>#N/A</v>
      </c>
      <c r="AH1681" s="58"/>
      <c r="AI1681" s="58"/>
      <c r="AJ1681" s="58"/>
      <c r="AK1681" s="58"/>
      <c r="AL1681" s="58"/>
      <c r="AM1681" s="58"/>
      <c r="AN1681" s="58"/>
      <c r="AO1681" s="58"/>
    </row>
    <row r="1682" spans="4:41" ht="15.75" customHeight="1">
      <c r="D1682" s="7">
        <f t="shared" si="155"/>
        <v>0</v>
      </c>
      <c r="E1682" s="7">
        <v>0</v>
      </c>
      <c r="F1682" s="5">
        <v>0</v>
      </c>
      <c r="G1682" s="7">
        <v>0</v>
      </c>
      <c r="H1682" s="5">
        <v>0</v>
      </c>
      <c r="I1682" s="7">
        <v>0</v>
      </c>
      <c r="J1682" s="7">
        <v>0</v>
      </c>
      <c r="K1682" s="5">
        <v>0</v>
      </c>
      <c r="L1682" s="5">
        <v>0</v>
      </c>
      <c r="M1682" s="5">
        <v>0</v>
      </c>
      <c r="N1682" s="7">
        <f t="shared" si="156"/>
        <v>0</v>
      </c>
      <c r="O1682" s="7">
        <v>0</v>
      </c>
      <c r="P1682" s="7">
        <v>0</v>
      </c>
      <c r="Q1682" s="5">
        <v>0</v>
      </c>
      <c r="S1682" s="7">
        <v>0</v>
      </c>
      <c r="V1682" s="4">
        <v>9</v>
      </c>
      <c r="W1682" s="4">
        <v>9</v>
      </c>
      <c r="X1682" s="45">
        <f t="shared" si="157"/>
        <v>0</v>
      </c>
      <c r="AB1682" s="44"/>
      <c r="AC1682" s="44"/>
      <c r="AF1682" s="25"/>
      <c r="AG1682" s="58" t="e">
        <f t="shared" si="158"/>
        <v>#N/A</v>
      </c>
      <c r="AH1682" s="58"/>
      <c r="AI1682" s="58"/>
      <c r="AJ1682" s="58"/>
      <c r="AK1682" s="58"/>
      <c r="AL1682" s="58"/>
      <c r="AM1682" s="58"/>
      <c r="AN1682" s="58"/>
      <c r="AO1682" s="58"/>
    </row>
    <row r="1683" spans="4:41" ht="15.75" customHeight="1">
      <c r="D1683" s="7">
        <f t="shared" si="155"/>
        <v>0</v>
      </c>
      <c r="E1683" s="7">
        <v>0</v>
      </c>
      <c r="F1683" s="5">
        <v>0</v>
      </c>
      <c r="G1683" s="7">
        <v>0</v>
      </c>
      <c r="H1683" s="5">
        <v>0</v>
      </c>
      <c r="I1683" s="7">
        <v>0</v>
      </c>
      <c r="J1683" s="7">
        <v>0</v>
      </c>
      <c r="K1683" s="5">
        <v>0</v>
      </c>
      <c r="L1683" s="5">
        <v>0</v>
      </c>
      <c r="M1683" s="5">
        <v>0</v>
      </c>
      <c r="N1683" s="7">
        <f t="shared" si="156"/>
        <v>0</v>
      </c>
      <c r="O1683" s="7">
        <v>0</v>
      </c>
      <c r="P1683" s="7">
        <v>0</v>
      </c>
      <c r="Q1683" s="5">
        <v>0</v>
      </c>
      <c r="S1683" s="7">
        <v>0</v>
      </c>
      <c r="V1683" s="4">
        <v>9</v>
      </c>
      <c r="W1683" s="4">
        <v>9</v>
      </c>
      <c r="X1683" s="45">
        <f t="shared" si="157"/>
        <v>0</v>
      </c>
      <c r="AB1683" s="44"/>
      <c r="AC1683" s="44"/>
      <c r="AF1683" s="25"/>
      <c r="AG1683" s="58" t="e">
        <f t="shared" si="158"/>
        <v>#N/A</v>
      </c>
      <c r="AH1683" s="58"/>
      <c r="AI1683" s="58"/>
      <c r="AJ1683" s="58"/>
      <c r="AK1683" s="58"/>
      <c r="AL1683" s="58"/>
      <c r="AM1683" s="58"/>
      <c r="AN1683" s="58"/>
      <c r="AO1683" s="58"/>
    </row>
    <row r="1684" spans="4:41" ht="15.75" customHeight="1">
      <c r="D1684" s="7">
        <f t="shared" si="155"/>
        <v>0</v>
      </c>
      <c r="E1684" s="7">
        <v>0</v>
      </c>
      <c r="F1684" s="5">
        <v>0</v>
      </c>
      <c r="G1684" s="7">
        <v>0</v>
      </c>
      <c r="H1684" s="5">
        <v>0</v>
      </c>
      <c r="I1684" s="7">
        <v>0</v>
      </c>
      <c r="J1684" s="7">
        <v>0</v>
      </c>
      <c r="K1684" s="5">
        <v>0</v>
      </c>
      <c r="L1684" s="5">
        <v>0</v>
      </c>
      <c r="M1684" s="5">
        <v>0</v>
      </c>
      <c r="N1684" s="7">
        <f t="shared" si="156"/>
        <v>0</v>
      </c>
      <c r="O1684" s="7">
        <v>0</v>
      </c>
      <c r="P1684" s="7">
        <v>0</v>
      </c>
      <c r="Q1684" s="5">
        <v>0</v>
      </c>
      <c r="S1684" s="7">
        <v>0</v>
      </c>
      <c r="V1684" s="4">
        <v>9</v>
      </c>
      <c r="W1684" s="4">
        <v>9</v>
      </c>
      <c r="X1684" s="45">
        <f t="shared" si="157"/>
        <v>0</v>
      </c>
      <c r="AB1684" s="44"/>
      <c r="AC1684" s="44"/>
      <c r="AF1684" s="25"/>
      <c r="AG1684" s="58" t="e">
        <f t="shared" si="158"/>
        <v>#N/A</v>
      </c>
      <c r="AH1684" s="58"/>
      <c r="AI1684" s="58"/>
      <c r="AJ1684" s="58"/>
      <c r="AK1684" s="58"/>
      <c r="AL1684" s="58"/>
      <c r="AM1684" s="58"/>
      <c r="AN1684" s="58"/>
      <c r="AO1684" s="58"/>
    </row>
    <row r="1685" spans="4:41" ht="15.75" customHeight="1">
      <c r="D1685" s="7">
        <f t="shared" si="155"/>
        <v>0</v>
      </c>
      <c r="E1685" s="7">
        <v>0</v>
      </c>
      <c r="F1685" s="5">
        <v>0</v>
      </c>
      <c r="G1685" s="7">
        <v>0</v>
      </c>
      <c r="H1685" s="5">
        <v>0</v>
      </c>
      <c r="I1685" s="7">
        <v>0</v>
      </c>
      <c r="J1685" s="7">
        <v>0</v>
      </c>
      <c r="K1685" s="5">
        <v>0</v>
      </c>
      <c r="L1685" s="5">
        <v>0</v>
      </c>
      <c r="M1685" s="5">
        <v>0</v>
      </c>
      <c r="N1685" s="7">
        <f t="shared" si="156"/>
        <v>0</v>
      </c>
      <c r="O1685" s="7">
        <v>0</v>
      </c>
      <c r="P1685" s="7">
        <v>0</v>
      </c>
      <c r="Q1685" s="5">
        <v>0</v>
      </c>
      <c r="S1685" s="7">
        <v>0</v>
      </c>
      <c r="V1685" s="4">
        <v>9</v>
      </c>
      <c r="W1685" s="4">
        <v>9</v>
      </c>
      <c r="X1685" s="45">
        <f t="shared" si="157"/>
        <v>0</v>
      </c>
      <c r="AB1685" s="44"/>
      <c r="AC1685" s="44"/>
      <c r="AF1685" s="25"/>
      <c r="AG1685" s="58" t="e">
        <f t="shared" si="158"/>
        <v>#N/A</v>
      </c>
      <c r="AH1685" s="58"/>
      <c r="AI1685" s="58"/>
      <c r="AJ1685" s="58"/>
      <c r="AK1685" s="58"/>
      <c r="AL1685" s="58"/>
      <c r="AM1685" s="58"/>
      <c r="AN1685" s="58"/>
      <c r="AO1685" s="58"/>
    </row>
    <row r="1686" spans="4:41" ht="15.75" customHeight="1">
      <c r="D1686" s="7">
        <f t="shared" si="155"/>
        <v>0</v>
      </c>
      <c r="E1686" s="7">
        <v>0</v>
      </c>
      <c r="F1686" s="5">
        <v>0</v>
      </c>
      <c r="G1686" s="7">
        <v>0</v>
      </c>
      <c r="H1686" s="5">
        <v>0</v>
      </c>
      <c r="I1686" s="7">
        <v>0</v>
      </c>
      <c r="J1686" s="7">
        <v>0</v>
      </c>
      <c r="K1686" s="5">
        <v>0</v>
      </c>
      <c r="L1686" s="5">
        <v>0</v>
      </c>
      <c r="M1686" s="5">
        <v>0</v>
      </c>
      <c r="N1686" s="7">
        <f t="shared" si="156"/>
        <v>0</v>
      </c>
      <c r="O1686" s="7">
        <v>0</v>
      </c>
      <c r="P1686" s="7">
        <v>0</v>
      </c>
      <c r="Q1686" s="5">
        <v>0</v>
      </c>
      <c r="S1686" s="7">
        <v>0</v>
      </c>
      <c r="V1686" s="4">
        <v>9</v>
      </c>
      <c r="W1686" s="4">
        <v>9</v>
      </c>
      <c r="X1686" s="45">
        <f t="shared" si="157"/>
        <v>0</v>
      </c>
      <c r="AB1686" s="44"/>
      <c r="AC1686" s="44"/>
      <c r="AF1686" s="25"/>
      <c r="AG1686" s="58" t="e">
        <f t="shared" si="158"/>
        <v>#N/A</v>
      </c>
      <c r="AH1686" s="58"/>
      <c r="AI1686" s="58"/>
      <c r="AJ1686" s="58"/>
      <c r="AK1686" s="58"/>
      <c r="AL1686" s="58"/>
      <c r="AM1686" s="58"/>
      <c r="AN1686" s="58"/>
      <c r="AO1686" s="58"/>
    </row>
    <row r="1687" spans="4:41" ht="15.75" customHeight="1">
      <c r="D1687" s="7">
        <f t="shared" si="155"/>
        <v>0</v>
      </c>
      <c r="E1687" s="7">
        <v>0</v>
      </c>
      <c r="F1687" s="5">
        <v>0</v>
      </c>
      <c r="G1687" s="7">
        <v>0</v>
      </c>
      <c r="H1687" s="5">
        <v>0</v>
      </c>
      <c r="I1687" s="7">
        <v>0</v>
      </c>
      <c r="J1687" s="7">
        <v>0</v>
      </c>
      <c r="K1687" s="5">
        <v>0</v>
      </c>
      <c r="L1687" s="5">
        <v>0</v>
      </c>
      <c r="M1687" s="5">
        <v>0</v>
      </c>
      <c r="N1687" s="7">
        <f t="shared" si="156"/>
        <v>0</v>
      </c>
      <c r="O1687" s="7">
        <v>0</v>
      </c>
      <c r="P1687" s="7">
        <v>0</v>
      </c>
      <c r="Q1687" s="5">
        <v>0</v>
      </c>
      <c r="S1687" s="7">
        <v>0</v>
      </c>
      <c r="V1687" s="4">
        <v>9</v>
      </c>
      <c r="W1687" s="4">
        <v>9</v>
      </c>
      <c r="X1687" s="45">
        <f t="shared" si="157"/>
        <v>0</v>
      </c>
      <c r="AB1687" s="44"/>
      <c r="AC1687" s="44"/>
      <c r="AF1687" s="25"/>
      <c r="AG1687" s="58" t="e">
        <f t="shared" si="158"/>
        <v>#N/A</v>
      </c>
      <c r="AH1687" s="58"/>
      <c r="AI1687" s="58"/>
      <c r="AJ1687" s="58"/>
      <c r="AK1687" s="58"/>
      <c r="AL1687" s="58"/>
      <c r="AM1687" s="58"/>
      <c r="AN1687" s="58"/>
      <c r="AO1687" s="58"/>
    </row>
    <row r="1688" spans="4:41" ht="15.75" customHeight="1">
      <c r="D1688" s="7">
        <f t="shared" si="155"/>
        <v>0</v>
      </c>
      <c r="E1688" s="7">
        <v>0</v>
      </c>
      <c r="F1688" s="5">
        <v>0</v>
      </c>
      <c r="G1688" s="7">
        <v>0</v>
      </c>
      <c r="H1688" s="5">
        <v>0</v>
      </c>
      <c r="I1688" s="7">
        <v>0</v>
      </c>
      <c r="J1688" s="7">
        <v>0</v>
      </c>
      <c r="K1688" s="5">
        <v>0</v>
      </c>
      <c r="L1688" s="5">
        <v>0</v>
      </c>
      <c r="M1688" s="5">
        <v>0</v>
      </c>
      <c r="N1688" s="7">
        <f t="shared" si="156"/>
        <v>0</v>
      </c>
      <c r="O1688" s="7">
        <v>0</v>
      </c>
      <c r="P1688" s="7">
        <v>0</v>
      </c>
      <c r="Q1688" s="5">
        <v>0</v>
      </c>
      <c r="S1688" s="7">
        <v>0</v>
      </c>
      <c r="V1688" s="4">
        <v>9</v>
      </c>
      <c r="W1688" s="4">
        <v>9</v>
      </c>
      <c r="X1688" s="45">
        <f t="shared" si="157"/>
        <v>0</v>
      </c>
      <c r="AB1688" s="44"/>
      <c r="AC1688" s="44"/>
      <c r="AF1688" s="25"/>
      <c r="AG1688" s="58" t="e">
        <f t="shared" si="158"/>
        <v>#N/A</v>
      </c>
      <c r="AH1688" s="58"/>
      <c r="AI1688" s="58"/>
      <c r="AJ1688" s="58"/>
      <c r="AK1688" s="58"/>
      <c r="AL1688" s="58"/>
      <c r="AM1688" s="58"/>
      <c r="AN1688" s="58"/>
      <c r="AO1688" s="58"/>
    </row>
    <row r="1689" spans="4:41" ht="15.75" customHeight="1">
      <c r="D1689" s="7">
        <f t="shared" si="155"/>
        <v>0</v>
      </c>
      <c r="E1689" s="7">
        <v>0</v>
      </c>
      <c r="F1689" s="5">
        <v>0</v>
      </c>
      <c r="G1689" s="7">
        <v>0</v>
      </c>
      <c r="H1689" s="5">
        <v>0</v>
      </c>
      <c r="I1689" s="7">
        <v>0</v>
      </c>
      <c r="J1689" s="7">
        <v>0</v>
      </c>
      <c r="K1689" s="5">
        <v>0</v>
      </c>
      <c r="L1689" s="5">
        <v>0</v>
      </c>
      <c r="M1689" s="5">
        <v>0</v>
      </c>
      <c r="N1689" s="7">
        <f t="shared" si="156"/>
        <v>0</v>
      </c>
      <c r="O1689" s="7">
        <v>0</v>
      </c>
      <c r="P1689" s="7">
        <v>0</v>
      </c>
      <c r="Q1689" s="5">
        <v>0</v>
      </c>
      <c r="S1689" s="7">
        <v>0</v>
      </c>
      <c r="V1689" s="4">
        <v>9</v>
      </c>
      <c r="W1689" s="4">
        <v>9</v>
      </c>
      <c r="X1689" s="45">
        <f t="shared" si="157"/>
        <v>0</v>
      </c>
      <c r="AB1689" s="44"/>
      <c r="AC1689" s="44"/>
      <c r="AF1689" s="25"/>
      <c r="AG1689" s="58" t="e">
        <f t="shared" si="158"/>
        <v>#N/A</v>
      </c>
      <c r="AH1689" s="58"/>
      <c r="AI1689" s="58"/>
      <c r="AJ1689" s="58"/>
      <c r="AK1689" s="58"/>
      <c r="AL1689" s="58"/>
      <c r="AM1689" s="58"/>
      <c r="AN1689" s="58"/>
      <c r="AO1689" s="58"/>
    </row>
    <row r="1690" spans="4:41" ht="15.75" customHeight="1">
      <c r="D1690" s="7">
        <f t="shared" si="155"/>
        <v>0</v>
      </c>
      <c r="E1690" s="7">
        <v>0</v>
      </c>
      <c r="F1690" s="5">
        <v>0</v>
      </c>
      <c r="G1690" s="7">
        <v>0</v>
      </c>
      <c r="H1690" s="5">
        <v>0</v>
      </c>
      <c r="I1690" s="7">
        <v>0</v>
      </c>
      <c r="J1690" s="7">
        <v>0</v>
      </c>
      <c r="K1690" s="5">
        <v>0</v>
      </c>
      <c r="L1690" s="5">
        <v>0</v>
      </c>
      <c r="M1690" s="5">
        <v>0</v>
      </c>
      <c r="N1690" s="7">
        <f t="shared" si="156"/>
        <v>0</v>
      </c>
      <c r="O1690" s="7">
        <v>0</v>
      </c>
      <c r="P1690" s="7">
        <v>0</v>
      </c>
      <c r="Q1690" s="5">
        <v>0</v>
      </c>
      <c r="S1690" s="7">
        <v>0</v>
      </c>
      <c r="V1690" s="4">
        <v>9</v>
      </c>
      <c r="W1690" s="4">
        <v>9</v>
      </c>
      <c r="X1690" s="45">
        <f t="shared" si="157"/>
        <v>0</v>
      </c>
      <c r="AB1690" s="44"/>
      <c r="AC1690" s="44"/>
      <c r="AF1690" s="25"/>
      <c r="AG1690" s="58" t="e">
        <f t="shared" si="158"/>
        <v>#N/A</v>
      </c>
      <c r="AH1690" s="58"/>
      <c r="AI1690" s="58"/>
      <c r="AJ1690" s="58"/>
      <c r="AK1690" s="58"/>
      <c r="AL1690" s="58"/>
      <c r="AM1690" s="58"/>
      <c r="AN1690" s="58"/>
      <c r="AO1690" s="58"/>
    </row>
    <row r="1691" spans="4:41" ht="15.75" customHeight="1">
      <c r="D1691" s="7">
        <f t="shared" si="155"/>
        <v>0</v>
      </c>
      <c r="E1691" s="7">
        <v>0</v>
      </c>
      <c r="F1691" s="5">
        <v>0</v>
      </c>
      <c r="G1691" s="7">
        <v>0</v>
      </c>
      <c r="H1691" s="5">
        <v>0</v>
      </c>
      <c r="I1691" s="7">
        <v>0</v>
      </c>
      <c r="J1691" s="7">
        <v>0</v>
      </c>
      <c r="K1691" s="5">
        <v>0</v>
      </c>
      <c r="L1691" s="5">
        <v>0</v>
      </c>
      <c r="M1691" s="5">
        <v>0</v>
      </c>
      <c r="N1691" s="7">
        <f t="shared" si="156"/>
        <v>0</v>
      </c>
      <c r="O1691" s="7">
        <v>0</v>
      </c>
      <c r="P1691" s="7">
        <v>0</v>
      </c>
      <c r="Q1691" s="5">
        <v>0</v>
      </c>
      <c r="S1691" s="7">
        <v>0</v>
      </c>
      <c r="V1691" s="4">
        <v>9</v>
      </c>
      <c r="W1691" s="4">
        <v>9</v>
      </c>
      <c r="X1691" s="45">
        <f t="shared" si="157"/>
        <v>0</v>
      </c>
      <c r="AB1691" s="44"/>
      <c r="AC1691" s="44"/>
      <c r="AF1691" s="25"/>
      <c r="AG1691" s="58" t="e">
        <f t="shared" si="158"/>
        <v>#N/A</v>
      </c>
      <c r="AH1691" s="58"/>
      <c r="AI1691" s="58"/>
      <c r="AJ1691" s="58"/>
      <c r="AK1691" s="58"/>
      <c r="AL1691" s="58"/>
      <c r="AM1691" s="58"/>
      <c r="AN1691" s="58"/>
      <c r="AO1691" s="58"/>
    </row>
    <row r="1692" spans="4:41" ht="15.75" customHeight="1">
      <c r="D1692" s="7">
        <f t="shared" si="155"/>
        <v>0</v>
      </c>
      <c r="E1692" s="7">
        <v>0</v>
      </c>
      <c r="F1692" s="5">
        <v>0</v>
      </c>
      <c r="G1692" s="7">
        <v>0</v>
      </c>
      <c r="H1692" s="5">
        <v>0</v>
      </c>
      <c r="I1692" s="7">
        <v>0</v>
      </c>
      <c r="J1692" s="7">
        <v>0</v>
      </c>
      <c r="K1692" s="5">
        <v>0</v>
      </c>
      <c r="L1692" s="5">
        <v>0</v>
      </c>
      <c r="M1692" s="5">
        <v>0</v>
      </c>
      <c r="N1692" s="7">
        <f t="shared" si="156"/>
        <v>0</v>
      </c>
      <c r="O1692" s="7">
        <v>0</v>
      </c>
      <c r="P1692" s="7">
        <v>0</v>
      </c>
      <c r="Q1692" s="5">
        <v>0</v>
      </c>
      <c r="S1692" s="7">
        <v>0</v>
      </c>
      <c r="V1692" s="4">
        <v>9</v>
      </c>
      <c r="W1692" s="4">
        <v>9</v>
      </c>
      <c r="X1692" s="45">
        <f t="shared" si="157"/>
        <v>0</v>
      </c>
      <c r="AB1692" s="44"/>
      <c r="AC1692" s="44"/>
      <c r="AF1692" s="25"/>
      <c r="AG1692" s="58" t="e">
        <f t="shared" si="158"/>
        <v>#N/A</v>
      </c>
      <c r="AH1692" s="58"/>
      <c r="AI1692" s="58"/>
      <c r="AJ1692" s="58"/>
      <c r="AK1692" s="58"/>
      <c r="AL1692" s="58"/>
      <c r="AM1692" s="58"/>
      <c r="AN1692" s="58"/>
      <c r="AO1692" s="58"/>
    </row>
    <row r="1693" spans="4:41" ht="15.75" customHeight="1">
      <c r="D1693" s="7">
        <f t="shared" si="155"/>
        <v>0</v>
      </c>
      <c r="E1693" s="7">
        <v>0</v>
      </c>
      <c r="F1693" s="5">
        <v>0</v>
      </c>
      <c r="G1693" s="7">
        <v>0</v>
      </c>
      <c r="H1693" s="5">
        <v>0</v>
      </c>
      <c r="I1693" s="7">
        <v>0</v>
      </c>
      <c r="J1693" s="7">
        <v>0</v>
      </c>
      <c r="K1693" s="5">
        <v>0</v>
      </c>
      <c r="L1693" s="5">
        <v>0</v>
      </c>
      <c r="M1693" s="5">
        <v>0</v>
      </c>
      <c r="N1693" s="7">
        <f t="shared" si="156"/>
        <v>0</v>
      </c>
      <c r="O1693" s="7">
        <v>0</v>
      </c>
      <c r="P1693" s="7">
        <v>0</v>
      </c>
      <c r="Q1693" s="5">
        <v>0</v>
      </c>
      <c r="S1693" s="7">
        <v>0</v>
      </c>
      <c r="V1693" s="4">
        <v>9</v>
      </c>
      <c r="W1693" s="4">
        <v>9</v>
      </c>
      <c r="X1693" s="45">
        <f t="shared" si="157"/>
        <v>0</v>
      </c>
      <c r="AB1693" s="44"/>
      <c r="AC1693" s="44"/>
      <c r="AF1693" s="25"/>
      <c r="AG1693" s="58" t="e">
        <f t="shared" si="158"/>
        <v>#N/A</v>
      </c>
      <c r="AH1693" s="58"/>
      <c r="AI1693" s="58"/>
      <c r="AJ1693" s="58"/>
      <c r="AK1693" s="58"/>
      <c r="AL1693" s="58"/>
      <c r="AM1693" s="58"/>
      <c r="AN1693" s="58"/>
      <c r="AO1693" s="58"/>
    </row>
    <row r="1694" spans="4:41" ht="15.75" customHeight="1">
      <c r="D1694" s="7">
        <f t="shared" si="155"/>
        <v>0</v>
      </c>
      <c r="E1694" s="7">
        <v>0</v>
      </c>
      <c r="F1694" s="5">
        <v>0</v>
      </c>
      <c r="G1694" s="7">
        <v>0</v>
      </c>
      <c r="H1694" s="5">
        <v>0</v>
      </c>
      <c r="I1694" s="7">
        <v>0</v>
      </c>
      <c r="J1694" s="7">
        <v>0</v>
      </c>
      <c r="K1694" s="5">
        <v>0</v>
      </c>
      <c r="L1694" s="5">
        <v>0</v>
      </c>
      <c r="M1694" s="5">
        <v>0</v>
      </c>
      <c r="N1694" s="7">
        <f t="shared" si="156"/>
        <v>0</v>
      </c>
      <c r="O1694" s="7">
        <v>0</v>
      </c>
      <c r="P1694" s="7">
        <v>0</v>
      </c>
      <c r="Q1694" s="5">
        <v>0</v>
      </c>
      <c r="S1694" s="7">
        <v>0</v>
      </c>
      <c r="V1694" s="4">
        <v>9</v>
      </c>
      <c r="W1694" s="4">
        <v>9</v>
      </c>
      <c r="X1694" s="45">
        <f t="shared" si="157"/>
        <v>0</v>
      </c>
      <c r="AB1694" s="44"/>
      <c r="AC1694" s="44"/>
      <c r="AF1694" s="25"/>
      <c r="AG1694" s="58" t="e">
        <f t="shared" si="158"/>
        <v>#N/A</v>
      </c>
      <c r="AH1694" s="58"/>
      <c r="AI1694" s="58"/>
      <c r="AJ1694" s="58"/>
      <c r="AK1694" s="58"/>
      <c r="AL1694" s="58"/>
      <c r="AM1694" s="58"/>
      <c r="AN1694" s="58"/>
      <c r="AO1694" s="58"/>
    </row>
    <row r="1695" spans="4:41" ht="15.75" customHeight="1">
      <c r="D1695" s="7">
        <f t="shared" si="155"/>
        <v>0</v>
      </c>
      <c r="E1695" s="7">
        <v>0</v>
      </c>
      <c r="F1695" s="5">
        <v>0</v>
      </c>
      <c r="G1695" s="7">
        <v>0</v>
      </c>
      <c r="H1695" s="5">
        <v>0</v>
      </c>
      <c r="I1695" s="7">
        <v>0</v>
      </c>
      <c r="J1695" s="7">
        <v>0</v>
      </c>
      <c r="K1695" s="5">
        <v>0</v>
      </c>
      <c r="L1695" s="5">
        <v>0</v>
      </c>
      <c r="M1695" s="5">
        <v>0</v>
      </c>
      <c r="N1695" s="7">
        <f t="shared" si="156"/>
        <v>0</v>
      </c>
      <c r="O1695" s="7">
        <v>0</v>
      </c>
      <c r="P1695" s="7">
        <v>0</v>
      </c>
      <c r="Q1695" s="5">
        <v>0</v>
      </c>
      <c r="S1695" s="7">
        <v>0</v>
      </c>
      <c r="V1695" s="4">
        <v>9</v>
      </c>
      <c r="W1695" s="4">
        <v>9</v>
      </c>
      <c r="X1695" s="45">
        <f t="shared" si="157"/>
        <v>0</v>
      </c>
      <c r="AB1695" s="44"/>
      <c r="AC1695" s="44"/>
      <c r="AF1695" s="25"/>
      <c r="AG1695" s="58" t="e">
        <f t="shared" si="158"/>
        <v>#N/A</v>
      </c>
      <c r="AH1695" s="58"/>
      <c r="AI1695" s="58"/>
      <c r="AJ1695" s="58"/>
      <c r="AK1695" s="58"/>
      <c r="AL1695" s="58"/>
      <c r="AM1695" s="58"/>
      <c r="AN1695" s="58"/>
      <c r="AO1695" s="58"/>
    </row>
    <row r="1696" spans="4:41" ht="15.75" customHeight="1">
      <c r="D1696" s="7">
        <f t="shared" si="155"/>
        <v>0</v>
      </c>
      <c r="E1696" s="7">
        <v>0</v>
      </c>
      <c r="F1696" s="5">
        <v>0</v>
      </c>
      <c r="G1696" s="7">
        <v>0</v>
      </c>
      <c r="H1696" s="5">
        <v>0</v>
      </c>
      <c r="I1696" s="7">
        <v>0</v>
      </c>
      <c r="J1696" s="7">
        <v>0</v>
      </c>
      <c r="K1696" s="5">
        <v>0</v>
      </c>
      <c r="L1696" s="5">
        <v>0</v>
      </c>
      <c r="M1696" s="5">
        <v>0</v>
      </c>
      <c r="N1696" s="7">
        <f t="shared" si="156"/>
        <v>0</v>
      </c>
      <c r="O1696" s="7">
        <v>0</v>
      </c>
      <c r="P1696" s="7">
        <v>0</v>
      </c>
      <c r="Q1696" s="5">
        <v>0</v>
      </c>
      <c r="S1696" s="7">
        <v>0</v>
      </c>
      <c r="V1696" s="4">
        <v>9</v>
      </c>
      <c r="W1696" s="4">
        <v>9</v>
      </c>
      <c r="X1696" s="45">
        <f t="shared" si="157"/>
        <v>0</v>
      </c>
      <c r="AB1696" s="44"/>
      <c r="AC1696" s="44"/>
      <c r="AF1696" s="25"/>
      <c r="AG1696" s="58" t="e">
        <f t="shared" si="158"/>
        <v>#N/A</v>
      </c>
      <c r="AH1696" s="58"/>
      <c r="AI1696" s="58"/>
      <c r="AJ1696" s="58"/>
      <c r="AK1696" s="58"/>
      <c r="AL1696" s="58"/>
      <c r="AM1696" s="58"/>
      <c r="AN1696" s="58"/>
      <c r="AO1696" s="58"/>
    </row>
    <row r="1697" spans="4:41" ht="15.75" customHeight="1">
      <c r="D1697" s="7">
        <f t="shared" si="155"/>
        <v>0</v>
      </c>
      <c r="E1697" s="7">
        <v>0</v>
      </c>
      <c r="F1697" s="5">
        <v>0</v>
      </c>
      <c r="G1697" s="7">
        <v>0</v>
      </c>
      <c r="H1697" s="5">
        <v>0</v>
      </c>
      <c r="I1697" s="7">
        <v>0</v>
      </c>
      <c r="J1697" s="7">
        <v>0</v>
      </c>
      <c r="K1697" s="5">
        <v>0</v>
      </c>
      <c r="L1697" s="5">
        <v>0</v>
      </c>
      <c r="M1697" s="5">
        <v>0</v>
      </c>
      <c r="N1697" s="7">
        <f t="shared" si="156"/>
        <v>0</v>
      </c>
      <c r="O1697" s="7">
        <v>0</v>
      </c>
      <c r="P1697" s="7">
        <v>0</v>
      </c>
      <c r="Q1697" s="5">
        <v>0</v>
      </c>
      <c r="S1697" s="7">
        <v>0</v>
      </c>
      <c r="V1697" s="4">
        <v>9</v>
      </c>
      <c r="W1697" s="4">
        <v>9</v>
      </c>
      <c r="X1697" s="45">
        <f t="shared" si="157"/>
        <v>0</v>
      </c>
      <c r="AB1697" s="44"/>
      <c r="AC1697" s="44"/>
      <c r="AF1697" s="25"/>
      <c r="AG1697" s="58" t="e">
        <f t="shared" si="158"/>
        <v>#N/A</v>
      </c>
      <c r="AH1697" s="58"/>
      <c r="AI1697" s="58"/>
      <c r="AJ1697" s="58"/>
      <c r="AK1697" s="58"/>
      <c r="AL1697" s="58"/>
      <c r="AM1697" s="58"/>
      <c r="AN1697" s="58"/>
      <c r="AO1697" s="58"/>
    </row>
    <row r="1698" spans="4:41" ht="15.75" customHeight="1">
      <c r="D1698" s="7">
        <f t="shared" si="155"/>
        <v>0</v>
      </c>
      <c r="E1698" s="7">
        <v>0</v>
      </c>
      <c r="F1698" s="5">
        <v>0</v>
      </c>
      <c r="G1698" s="7">
        <v>0</v>
      </c>
      <c r="H1698" s="5">
        <v>0</v>
      </c>
      <c r="I1698" s="7">
        <v>0</v>
      </c>
      <c r="J1698" s="7">
        <v>0</v>
      </c>
      <c r="K1698" s="5">
        <v>0</v>
      </c>
      <c r="L1698" s="5">
        <v>0</v>
      </c>
      <c r="M1698" s="5">
        <v>0</v>
      </c>
      <c r="N1698" s="7">
        <f t="shared" si="156"/>
        <v>0</v>
      </c>
      <c r="O1698" s="7">
        <v>0</v>
      </c>
      <c r="P1698" s="7">
        <v>0</v>
      </c>
      <c r="Q1698" s="5">
        <v>0</v>
      </c>
      <c r="S1698" s="7">
        <v>0</v>
      </c>
      <c r="V1698" s="4">
        <v>9</v>
      </c>
      <c r="W1698" s="4">
        <v>9</v>
      </c>
      <c r="X1698" s="45">
        <f t="shared" si="157"/>
        <v>0</v>
      </c>
      <c r="AB1698" s="44"/>
      <c r="AC1698" s="44"/>
      <c r="AF1698" s="25"/>
      <c r="AG1698" s="58" t="e">
        <f t="shared" si="158"/>
        <v>#N/A</v>
      </c>
      <c r="AH1698" s="58"/>
      <c r="AI1698" s="58"/>
      <c r="AJ1698" s="58"/>
      <c r="AK1698" s="58"/>
      <c r="AL1698" s="58"/>
      <c r="AM1698" s="58"/>
      <c r="AN1698" s="58"/>
      <c r="AO1698" s="58"/>
    </row>
    <row r="1699" spans="4:41" ht="15.75" customHeight="1">
      <c r="D1699" s="7">
        <f t="shared" si="155"/>
        <v>0</v>
      </c>
      <c r="E1699" s="7">
        <v>0</v>
      </c>
      <c r="F1699" s="5">
        <v>0</v>
      </c>
      <c r="G1699" s="7">
        <v>0</v>
      </c>
      <c r="H1699" s="5">
        <v>0</v>
      </c>
      <c r="I1699" s="7">
        <v>0</v>
      </c>
      <c r="J1699" s="7">
        <v>0</v>
      </c>
      <c r="K1699" s="5">
        <v>0</v>
      </c>
      <c r="L1699" s="5">
        <v>0</v>
      </c>
      <c r="M1699" s="5">
        <v>0</v>
      </c>
      <c r="N1699" s="7">
        <f t="shared" si="156"/>
        <v>0</v>
      </c>
      <c r="O1699" s="7">
        <v>0</v>
      </c>
      <c r="P1699" s="7">
        <v>0</v>
      </c>
      <c r="Q1699" s="5">
        <v>0</v>
      </c>
      <c r="S1699" s="7">
        <v>0</v>
      </c>
      <c r="V1699" s="4">
        <v>9</v>
      </c>
      <c r="W1699" s="4">
        <v>9</v>
      </c>
      <c r="X1699" s="45">
        <f t="shared" si="157"/>
        <v>0</v>
      </c>
      <c r="AB1699" s="44"/>
      <c r="AC1699" s="44"/>
      <c r="AF1699" s="25"/>
      <c r="AG1699" s="58" t="e">
        <f t="shared" si="158"/>
        <v>#N/A</v>
      </c>
      <c r="AH1699" s="58"/>
      <c r="AI1699" s="58"/>
      <c r="AJ1699" s="58"/>
      <c r="AK1699" s="58"/>
      <c r="AL1699" s="58"/>
      <c r="AM1699" s="58"/>
      <c r="AN1699" s="58"/>
      <c r="AO1699" s="58"/>
    </row>
    <row r="1700" spans="4:41" ht="15.75" customHeight="1">
      <c r="D1700" s="7">
        <f t="shared" si="155"/>
        <v>0</v>
      </c>
      <c r="E1700" s="7">
        <v>0</v>
      </c>
      <c r="F1700" s="5">
        <v>0</v>
      </c>
      <c r="G1700" s="7">
        <v>0</v>
      </c>
      <c r="H1700" s="5">
        <v>0</v>
      </c>
      <c r="I1700" s="7">
        <v>0</v>
      </c>
      <c r="J1700" s="7">
        <v>0</v>
      </c>
      <c r="K1700" s="5">
        <v>0</v>
      </c>
      <c r="L1700" s="5">
        <v>0</v>
      </c>
      <c r="M1700" s="5">
        <v>0</v>
      </c>
      <c r="N1700" s="7">
        <f t="shared" si="156"/>
        <v>0</v>
      </c>
      <c r="O1700" s="7">
        <v>0</v>
      </c>
      <c r="P1700" s="7">
        <v>0</v>
      </c>
      <c r="Q1700" s="5">
        <v>0</v>
      </c>
      <c r="S1700" s="7">
        <v>0</v>
      </c>
      <c r="V1700" s="4">
        <v>9</v>
      </c>
      <c r="W1700" s="4">
        <v>9</v>
      </c>
      <c r="X1700" s="45">
        <f t="shared" si="157"/>
        <v>0</v>
      </c>
      <c r="AB1700" s="44"/>
      <c r="AC1700" s="44"/>
      <c r="AF1700" s="25"/>
      <c r="AG1700" s="58" t="e">
        <f t="shared" si="158"/>
        <v>#N/A</v>
      </c>
      <c r="AH1700" s="58"/>
      <c r="AI1700" s="58"/>
      <c r="AJ1700" s="58"/>
      <c r="AK1700" s="58"/>
      <c r="AL1700" s="58"/>
      <c r="AM1700" s="58"/>
      <c r="AN1700" s="58"/>
      <c r="AO1700" s="58"/>
    </row>
    <row r="1701" spans="4:41" ht="15.75" customHeight="1">
      <c r="D1701" s="7">
        <f t="shared" si="155"/>
        <v>0</v>
      </c>
      <c r="E1701" s="7">
        <v>0</v>
      </c>
      <c r="F1701" s="5">
        <v>0</v>
      </c>
      <c r="G1701" s="7">
        <v>0</v>
      </c>
      <c r="H1701" s="5">
        <v>0</v>
      </c>
      <c r="I1701" s="7">
        <v>0</v>
      </c>
      <c r="J1701" s="7">
        <v>0</v>
      </c>
      <c r="K1701" s="5">
        <v>0</v>
      </c>
      <c r="L1701" s="5">
        <v>0</v>
      </c>
      <c r="M1701" s="5">
        <v>0</v>
      </c>
      <c r="N1701" s="7">
        <f t="shared" si="156"/>
        <v>0</v>
      </c>
      <c r="O1701" s="7">
        <v>0</v>
      </c>
      <c r="P1701" s="7">
        <v>0</v>
      </c>
      <c r="Q1701" s="5">
        <v>0</v>
      </c>
      <c r="S1701" s="7">
        <v>0</v>
      </c>
      <c r="V1701" s="4">
        <v>9</v>
      </c>
      <c r="W1701" s="4">
        <v>9</v>
      </c>
      <c r="X1701" s="45">
        <f t="shared" si="157"/>
        <v>0</v>
      </c>
      <c r="AB1701" s="44"/>
      <c r="AC1701" s="44"/>
      <c r="AF1701" s="25"/>
      <c r="AG1701" s="58" t="e">
        <f t="shared" si="158"/>
        <v>#N/A</v>
      </c>
      <c r="AH1701" s="58"/>
      <c r="AI1701" s="58"/>
      <c r="AJ1701" s="58"/>
      <c r="AK1701" s="58"/>
      <c r="AL1701" s="58"/>
      <c r="AM1701" s="58"/>
      <c r="AN1701" s="58"/>
      <c r="AO1701" s="58"/>
    </row>
    <row r="1702" spans="4:41" ht="15.75" customHeight="1">
      <c r="D1702" s="7">
        <f t="shared" si="155"/>
        <v>0</v>
      </c>
      <c r="E1702" s="7">
        <v>0</v>
      </c>
      <c r="F1702" s="5">
        <v>0</v>
      </c>
      <c r="G1702" s="7">
        <v>0</v>
      </c>
      <c r="H1702" s="5">
        <v>0</v>
      </c>
      <c r="I1702" s="7">
        <v>0</v>
      </c>
      <c r="J1702" s="7">
        <v>0</v>
      </c>
      <c r="K1702" s="5">
        <v>0</v>
      </c>
      <c r="L1702" s="5">
        <v>0</v>
      </c>
      <c r="M1702" s="5">
        <v>0</v>
      </c>
      <c r="N1702" s="7">
        <f t="shared" si="156"/>
        <v>0</v>
      </c>
      <c r="O1702" s="7">
        <v>0</v>
      </c>
      <c r="P1702" s="7">
        <v>0</v>
      </c>
      <c r="Q1702" s="5">
        <v>0</v>
      </c>
      <c r="S1702" s="7">
        <v>0</v>
      </c>
      <c r="V1702" s="4">
        <v>9</v>
      </c>
      <c r="W1702" s="4">
        <v>9</v>
      </c>
      <c r="X1702" s="45">
        <f t="shared" si="157"/>
        <v>0</v>
      </c>
      <c r="AB1702" s="44"/>
      <c r="AC1702" s="44"/>
      <c r="AF1702" s="25"/>
      <c r="AG1702" s="58" t="e">
        <f t="shared" si="158"/>
        <v>#N/A</v>
      </c>
      <c r="AH1702" s="58"/>
      <c r="AI1702" s="58"/>
      <c r="AJ1702" s="58"/>
      <c r="AK1702" s="58"/>
      <c r="AL1702" s="58"/>
      <c r="AM1702" s="58"/>
      <c r="AN1702" s="58"/>
      <c r="AO1702" s="58"/>
    </row>
    <row r="1703" spans="4:41" ht="15.75" customHeight="1">
      <c r="D1703" s="7">
        <f t="shared" si="155"/>
        <v>0</v>
      </c>
      <c r="E1703" s="7">
        <v>0</v>
      </c>
      <c r="F1703" s="5">
        <v>0</v>
      </c>
      <c r="G1703" s="7">
        <v>0</v>
      </c>
      <c r="H1703" s="5">
        <v>0</v>
      </c>
      <c r="I1703" s="7">
        <v>0</v>
      </c>
      <c r="J1703" s="7">
        <v>0</v>
      </c>
      <c r="K1703" s="5">
        <v>0</v>
      </c>
      <c r="L1703" s="5">
        <v>0</v>
      </c>
      <c r="M1703" s="5">
        <v>0</v>
      </c>
      <c r="N1703" s="7">
        <f t="shared" si="156"/>
        <v>0</v>
      </c>
      <c r="O1703" s="7">
        <v>0</v>
      </c>
      <c r="P1703" s="7">
        <v>0</v>
      </c>
      <c r="Q1703" s="5">
        <v>0</v>
      </c>
      <c r="S1703" s="7">
        <v>0</v>
      </c>
      <c r="V1703" s="4">
        <v>9</v>
      </c>
      <c r="W1703" s="4">
        <v>9</v>
      </c>
      <c r="X1703" s="45">
        <f t="shared" si="157"/>
        <v>0</v>
      </c>
      <c r="AB1703" s="44"/>
      <c r="AC1703" s="44"/>
      <c r="AF1703" s="25"/>
      <c r="AG1703" s="58" t="e">
        <f t="shared" si="158"/>
        <v>#N/A</v>
      </c>
      <c r="AH1703" s="58"/>
      <c r="AI1703" s="58"/>
      <c r="AJ1703" s="58"/>
      <c r="AK1703" s="58"/>
      <c r="AL1703" s="58"/>
      <c r="AM1703" s="58"/>
      <c r="AN1703" s="58"/>
      <c r="AO1703" s="58"/>
    </row>
    <row r="1704" spans="4:41" ht="15.75" customHeight="1">
      <c r="D1704" s="7">
        <f t="shared" si="155"/>
        <v>0</v>
      </c>
      <c r="E1704" s="7">
        <v>0</v>
      </c>
      <c r="F1704" s="5">
        <v>0</v>
      </c>
      <c r="G1704" s="7">
        <v>0</v>
      </c>
      <c r="H1704" s="5">
        <v>0</v>
      </c>
      <c r="I1704" s="7">
        <v>0</v>
      </c>
      <c r="J1704" s="7">
        <v>0</v>
      </c>
      <c r="K1704" s="5">
        <v>0</v>
      </c>
      <c r="L1704" s="5">
        <v>0</v>
      </c>
      <c r="M1704" s="5">
        <v>0</v>
      </c>
      <c r="N1704" s="7">
        <f t="shared" si="156"/>
        <v>0</v>
      </c>
      <c r="O1704" s="7">
        <v>0</v>
      </c>
      <c r="P1704" s="7">
        <v>0</v>
      </c>
      <c r="Q1704" s="5">
        <v>0</v>
      </c>
      <c r="S1704" s="7">
        <v>0</v>
      </c>
      <c r="V1704" s="4">
        <v>9</v>
      </c>
      <c r="W1704" s="4">
        <v>9</v>
      </c>
      <c r="X1704" s="45">
        <f t="shared" si="157"/>
        <v>0</v>
      </c>
      <c r="AB1704" s="44"/>
      <c r="AC1704" s="44"/>
      <c r="AF1704" s="25"/>
      <c r="AG1704" s="58" t="e">
        <f t="shared" si="158"/>
        <v>#N/A</v>
      </c>
      <c r="AH1704" s="58"/>
      <c r="AI1704" s="58"/>
      <c r="AJ1704" s="58"/>
      <c r="AK1704" s="58"/>
      <c r="AL1704" s="58"/>
      <c r="AM1704" s="58"/>
      <c r="AN1704" s="58"/>
      <c r="AO1704" s="58"/>
    </row>
    <row r="1705" spans="4:41" ht="15.75" customHeight="1">
      <c r="D1705" s="7">
        <f t="shared" si="155"/>
        <v>0</v>
      </c>
      <c r="E1705" s="7">
        <v>0</v>
      </c>
      <c r="F1705" s="5">
        <v>0</v>
      </c>
      <c r="G1705" s="7">
        <v>0</v>
      </c>
      <c r="H1705" s="5">
        <v>0</v>
      </c>
      <c r="I1705" s="7">
        <v>0</v>
      </c>
      <c r="J1705" s="7">
        <v>0</v>
      </c>
      <c r="K1705" s="5">
        <v>0</v>
      </c>
      <c r="L1705" s="5">
        <v>0</v>
      </c>
      <c r="M1705" s="5">
        <v>0</v>
      </c>
      <c r="N1705" s="7">
        <f t="shared" si="156"/>
        <v>0</v>
      </c>
      <c r="O1705" s="7">
        <v>0</v>
      </c>
      <c r="P1705" s="7">
        <v>0</v>
      </c>
      <c r="Q1705" s="5">
        <v>0</v>
      </c>
      <c r="S1705" s="7">
        <v>0</v>
      </c>
      <c r="V1705" s="4">
        <v>9</v>
      </c>
      <c r="W1705" s="4">
        <v>9</v>
      </c>
      <c r="X1705" s="45">
        <f t="shared" si="157"/>
        <v>0</v>
      </c>
      <c r="AB1705" s="44"/>
      <c r="AC1705" s="44"/>
      <c r="AF1705" s="25"/>
      <c r="AG1705" s="58" t="e">
        <f t="shared" si="158"/>
        <v>#N/A</v>
      </c>
      <c r="AH1705" s="58"/>
      <c r="AI1705" s="58"/>
      <c r="AJ1705" s="58"/>
      <c r="AK1705" s="58"/>
      <c r="AL1705" s="58"/>
      <c r="AM1705" s="58"/>
      <c r="AN1705" s="58"/>
      <c r="AO1705" s="58"/>
    </row>
    <row r="1706" spans="4:41" ht="15.75" customHeight="1">
      <c r="D1706" s="7">
        <f t="shared" si="155"/>
        <v>0</v>
      </c>
      <c r="E1706" s="7">
        <v>0</v>
      </c>
      <c r="F1706" s="5">
        <v>0</v>
      </c>
      <c r="G1706" s="7">
        <v>0</v>
      </c>
      <c r="H1706" s="5">
        <v>0</v>
      </c>
      <c r="I1706" s="7">
        <v>0</v>
      </c>
      <c r="J1706" s="7">
        <v>0</v>
      </c>
      <c r="K1706" s="5">
        <v>0</v>
      </c>
      <c r="L1706" s="5">
        <v>0</v>
      </c>
      <c r="M1706" s="5">
        <v>0</v>
      </c>
      <c r="N1706" s="7">
        <f t="shared" si="156"/>
        <v>0</v>
      </c>
      <c r="O1706" s="7">
        <v>0</v>
      </c>
      <c r="P1706" s="7">
        <v>0</v>
      </c>
      <c r="Q1706" s="5">
        <v>0</v>
      </c>
      <c r="S1706" s="7">
        <v>0</v>
      </c>
      <c r="V1706" s="4">
        <v>9</v>
      </c>
      <c r="W1706" s="4">
        <v>9</v>
      </c>
      <c r="X1706" s="45">
        <f t="shared" si="157"/>
        <v>0</v>
      </c>
      <c r="AB1706" s="44"/>
      <c r="AC1706" s="44"/>
      <c r="AF1706" s="25"/>
      <c r="AG1706" s="58" t="e">
        <f t="shared" si="158"/>
        <v>#N/A</v>
      </c>
      <c r="AH1706" s="58"/>
      <c r="AI1706" s="58"/>
      <c r="AJ1706" s="58"/>
      <c r="AK1706" s="58"/>
      <c r="AL1706" s="58"/>
      <c r="AM1706" s="58"/>
      <c r="AN1706" s="58"/>
      <c r="AO1706" s="58"/>
    </row>
    <row r="1707" spans="4:41" ht="15.75" customHeight="1">
      <c r="D1707" s="7">
        <f t="shared" si="155"/>
        <v>0</v>
      </c>
      <c r="E1707" s="7">
        <v>0</v>
      </c>
      <c r="F1707" s="5">
        <v>0</v>
      </c>
      <c r="G1707" s="7">
        <v>0</v>
      </c>
      <c r="H1707" s="5">
        <v>0</v>
      </c>
      <c r="I1707" s="7">
        <v>0</v>
      </c>
      <c r="J1707" s="7">
        <v>0</v>
      </c>
      <c r="K1707" s="5">
        <v>0</v>
      </c>
      <c r="L1707" s="5">
        <v>0</v>
      </c>
      <c r="M1707" s="5">
        <v>0</v>
      </c>
      <c r="N1707" s="7">
        <f t="shared" si="156"/>
        <v>0</v>
      </c>
      <c r="O1707" s="7">
        <v>0</v>
      </c>
      <c r="P1707" s="7">
        <v>0</v>
      </c>
      <c r="Q1707" s="5">
        <v>0</v>
      </c>
      <c r="S1707" s="7">
        <v>0</v>
      </c>
      <c r="V1707" s="4">
        <v>9</v>
      </c>
      <c r="W1707" s="4">
        <v>9</v>
      </c>
      <c r="X1707" s="45">
        <f t="shared" si="157"/>
        <v>0</v>
      </c>
      <c r="AB1707" s="44"/>
      <c r="AC1707" s="44"/>
      <c r="AF1707" s="25"/>
      <c r="AG1707" s="58" t="e">
        <f t="shared" si="158"/>
        <v>#N/A</v>
      </c>
      <c r="AH1707" s="58"/>
      <c r="AI1707" s="58"/>
      <c r="AJ1707" s="58"/>
      <c r="AK1707" s="58"/>
      <c r="AL1707" s="58"/>
      <c r="AM1707" s="58"/>
      <c r="AN1707" s="58"/>
      <c r="AO1707" s="58"/>
    </row>
    <row r="1708" spans="4:41" ht="15.75" customHeight="1">
      <c r="D1708" s="7">
        <f t="shared" si="155"/>
        <v>0</v>
      </c>
      <c r="E1708" s="7">
        <v>0</v>
      </c>
      <c r="F1708" s="5">
        <v>0</v>
      </c>
      <c r="G1708" s="7">
        <v>0</v>
      </c>
      <c r="H1708" s="5">
        <v>0</v>
      </c>
      <c r="I1708" s="7">
        <v>0</v>
      </c>
      <c r="J1708" s="7">
        <v>0</v>
      </c>
      <c r="K1708" s="5">
        <v>0</v>
      </c>
      <c r="L1708" s="5">
        <v>0</v>
      </c>
      <c r="M1708" s="5">
        <v>0</v>
      </c>
      <c r="N1708" s="7">
        <f t="shared" si="156"/>
        <v>0</v>
      </c>
      <c r="O1708" s="7">
        <v>0</v>
      </c>
      <c r="P1708" s="7">
        <v>0</v>
      </c>
      <c r="Q1708" s="5">
        <v>0</v>
      </c>
      <c r="S1708" s="7">
        <v>0</v>
      </c>
      <c r="V1708" s="4">
        <v>9</v>
      </c>
      <c r="W1708" s="4">
        <v>9</v>
      </c>
      <c r="X1708" s="45">
        <f t="shared" si="157"/>
        <v>0</v>
      </c>
      <c r="AB1708" s="44"/>
      <c r="AC1708" s="44"/>
      <c r="AF1708" s="25"/>
      <c r="AG1708" s="58" t="e">
        <f t="shared" si="158"/>
        <v>#N/A</v>
      </c>
      <c r="AH1708" s="58"/>
      <c r="AI1708" s="58"/>
      <c r="AJ1708" s="58"/>
      <c r="AK1708" s="58"/>
      <c r="AL1708" s="58"/>
      <c r="AM1708" s="58"/>
      <c r="AN1708" s="58"/>
      <c r="AO1708" s="58"/>
    </row>
    <row r="1709" spans="4:41" ht="15.75" customHeight="1">
      <c r="D1709" s="7">
        <f t="shared" si="155"/>
        <v>0</v>
      </c>
      <c r="E1709" s="7">
        <v>0</v>
      </c>
      <c r="F1709" s="5">
        <v>0</v>
      </c>
      <c r="G1709" s="7">
        <v>0</v>
      </c>
      <c r="H1709" s="5">
        <v>0</v>
      </c>
      <c r="I1709" s="7">
        <v>0</v>
      </c>
      <c r="J1709" s="7">
        <v>0</v>
      </c>
      <c r="K1709" s="5">
        <v>0</v>
      </c>
      <c r="L1709" s="5">
        <v>0</v>
      </c>
      <c r="M1709" s="5">
        <v>0</v>
      </c>
      <c r="N1709" s="7">
        <f t="shared" si="156"/>
        <v>0</v>
      </c>
      <c r="O1709" s="7">
        <v>0</v>
      </c>
      <c r="P1709" s="7">
        <v>0</v>
      </c>
      <c r="Q1709" s="5">
        <v>0</v>
      </c>
      <c r="S1709" s="7">
        <v>0</v>
      </c>
      <c r="V1709" s="4">
        <v>9</v>
      </c>
      <c r="W1709" s="4">
        <v>9</v>
      </c>
      <c r="X1709" s="45">
        <f t="shared" si="157"/>
        <v>0</v>
      </c>
      <c r="AB1709" s="44"/>
      <c r="AC1709" s="44"/>
      <c r="AF1709" s="25"/>
      <c r="AG1709" s="58" t="e">
        <f t="shared" si="158"/>
        <v>#N/A</v>
      </c>
      <c r="AH1709" s="58"/>
      <c r="AI1709" s="58"/>
      <c r="AJ1709" s="58"/>
      <c r="AK1709" s="58"/>
      <c r="AL1709" s="58"/>
      <c r="AM1709" s="58"/>
      <c r="AN1709" s="58"/>
      <c r="AO1709" s="58"/>
    </row>
    <row r="1710" spans="4:41" ht="15.75" customHeight="1">
      <c r="D1710" s="7">
        <f t="shared" si="155"/>
        <v>0</v>
      </c>
      <c r="E1710" s="7">
        <v>0</v>
      </c>
      <c r="F1710" s="5">
        <v>0</v>
      </c>
      <c r="G1710" s="7">
        <v>0</v>
      </c>
      <c r="H1710" s="5">
        <v>0</v>
      </c>
      <c r="I1710" s="7">
        <v>0</v>
      </c>
      <c r="J1710" s="7">
        <v>0</v>
      </c>
      <c r="K1710" s="5">
        <v>0</v>
      </c>
      <c r="L1710" s="5">
        <v>0</v>
      </c>
      <c r="M1710" s="5">
        <v>0</v>
      </c>
      <c r="N1710" s="7">
        <f t="shared" si="156"/>
        <v>0</v>
      </c>
      <c r="O1710" s="7">
        <v>0</v>
      </c>
      <c r="P1710" s="7">
        <v>0</v>
      </c>
      <c r="Q1710" s="5">
        <v>0</v>
      </c>
      <c r="S1710" s="7">
        <v>0</v>
      </c>
      <c r="V1710" s="4">
        <v>9</v>
      </c>
      <c r="W1710" s="4">
        <v>9</v>
      </c>
      <c r="X1710" s="45">
        <f t="shared" si="157"/>
        <v>0</v>
      </c>
      <c r="AB1710" s="44"/>
      <c r="AC1710" s="44"/>
      <c r="AF1710" s="25"/>
      <c r="AG1710" s="58" t="e">
        <f t="shared" si="158"/>
        <v>#N/A</v>
      </c>
      <c r="AH1710" s="58"/>
      <c r="AI1710" s="58"/>
      <c r="AJ1710" s="58"/>
      <c r="AK1710" s="58"/>
      <c r="AL1710" s="58"/>
      <c r="AM1710" s="58"/>
      <c r="AN1710" s="58"/>
      <c r="AO1710" s="58"/>
    </row>
    <row r="1711" spans="4:41" ht="15.75" customHeight="1">
      <c r="D1711" s="7">
        <f t="shared" si="155"/>
        <v>0</v>
      </c>
      <c r="E1711" s="7">
        <v>0</v>
      </c>
      <c r="F1711" s="5">
        <v>0</v>
      </c>
      <c r="G1711" s="7">
        <v>0</v>
      </c>
      <c r="H1711" s="5">
        <v>0</v>
      </c>
      <c r="I1711" s="7">
        <v>0</v>
      </c>
      <c r="J1711" s="7">
        <v>0</v>
      </c>
      <c r="K1711" s="5">
        <v>0</v>
      </c>
      <c r="L1711" s="5">
        <v>0</v>
      </c>
      <c r="M1711" s="5">
        <v>0</v>
      </c>
      <c r="N1711" s="7">
        <f t="shared" si="156"/>
        <v>0</v>
      </c>
      <c r="O1711" s="7">
        <v>0</v>
      </c>
      <c r="P1711" s="7">
        <v>0</v>
      </c>
      <c r="Q1711" s="5">
        <v>0</v>
      </c>
      <c r="S1711" s="7">
        <v>0</v>
      </c>
      <c r="V1711" s="4">
        <v>9</v>
      </c>
      <c r="W1711" s="4">
        <v>9</v>
      </c>
      <c r="X1711" s="45">
        <f t="shared" si="157"/>
        <v>0</v>
      </c>
      <c r="AB1711" s="44"/>
      <c r="AC1711" s="44"/>
      <c r="AF1711" s="25"/>
      <c r="AG1711" s="58" t="e">
        <f t="shared" si="158"/>
        <v>#N/A</v>
      </c>
      <c r="AH1711" s="58"/>
      <c r="AI1711" s="58"/>
      <c r="AJ1711" s="58"/>
      <c r="AK1711" s="58"/>
      <c r="AL1711" s="58"/>
      <c r="AM1711" s="58"/>
      <c r="AN1711" s="58"/>
      <c r="AO1711" s="58"/>
    </row>
    <row r="1712" spans="4:41" ht="15.75" customHeight="1">
      <c r="D1712" s="7">
        <f t="shared" si="155"/>
        <v>0</v>
      </c>
      <c r="E1712" s="7">
        <v>0</v>
      </c>
      <c r="F1712" s="5">
        <v>0</v>
      </c>
      <c r="G1712" s="7">
        <v>0</v>
      </c>
      <c r="H1712" s="5">
        <v>0</v>
      </c>
      <c r="I1712" s="7">
        <v>0</v>
      </c>
      <c r="J1712" s="7">
        <v>0</v>
      </c>
      <c r="K1712" s="5">
        <v>0</v>
      </c>
      <c r="L1712" s="5">
        <v>0</v>
      </c>
      <c r="M1712" s="5">
        <v>0</v>
      </c>
      <c r="N1712" s="7">
        <f t="shared" si="156"/>
        <v>0</v>
      </c>
      <c r="O1712" s="7">
        <v>0</v>
      </c>
      <c r="P1712" s="7">
        <v>0</v>
      </c>
      <c r="Q1712" s="5">
        <v>0</v>
      </c>
      <c r="S1712" s="7">
        <v>0</v>
      </c>
      <c r="V1712" s="4">
        <v>9</v>
      </c>
      <c r="W1712" s="4">
        <v>9</v>
      </c>
      <c r="X1712" s="45">
        <f t="shared" si="157"/>
        <v>0</v>
      </c>
      <c r="AB1712" s="44"/>
      <c r="AC1712" s="44"/>
      <c r="AF1712" s="25"/>
      <c r="AG1712" s="58" t="e">
        <f t="shared" si="158"/>
        <v>#N/A</v>
      </c>
      <c r="AH1712" s="58"/>
      <c r="AI1712" s="58"/>
      <c r="AJ1712" s="58"/>
      <c r="AK1712" s="58"/>
      <c r="AL1712" s="58"/>
      <c r="AM1712" s="58"/>
      <c r="AN1712" s="58"/>
      <c r="AO1712" s="58"/>
    </row>
    <row r="1713" spans="4:41" ht="15.75" customHeight="1">
      <c r="D1713" s="7">
        <f t="shared" si="155"/>
        <v>0</v>
      </c>
      <c r="E1713" s="7">
        <v>0</v>
      </c>
      <c r="F1713" s="5">
        <v>0</v>
      </c>
      <c r="G1713" s="7">
        <v>0</v>
      </c>
      <c r="H1713" s="5">
        <v>0</v>
      </c>
      <c r="I1713" s="7">
        <v>0</v>
      </c>
      <c r="J1713" s="7">
        <v>0</v>
      </c>
      <c r="K1713" s="5">
        <v>0</v>
      </c>
      <c r="L1713" s="5">
        <v>0</v>
      </c>
      <c r="M1713" s="5">
        <v>0</v>
      </c>
      <c r="N1713" s="7">
        <f t="shared" si="156"/>
        <v>0</v>
      </c>
      <c r="O1713" s="7">
        <v>0</v>
      </c>
      <c r="P1713" s="7">
        <v>0</v>
      </c>
      <c r="Q1713" s="5">
        <v>0</v>
      </c>
      <c r="S1713" s="7">
        <v>0</v>
      </c>
      <c r="V1713" s="4">
        <v>9</v>
      </c>
      <c r="W1713" s="4">
        <v>9</v>
      </c>
      <c r="X1713" s="45">
        <f t="shared" si="157"/>
        <v>0</v>
      </c>
      <c r="AB1713" s="44"/>
      <c r="AC1713" s="44"/>
      <c r="AF1713" s="25"/>
      <c r="AG1713" s="58" t="e">
        <f t="shared" si="158"/>
        <v>#N/A</v>
      </c>
      <c r="AH1713" s="58"/>
      <c r="AI1713" s="58"/>
      <c r="AJ1713" s="58"/>
      <c r="AK1713" s="58"/>
      <c r="AL1713" s="58"/>
      <c r="AM1713" s="58"/>
      <c r="AN1713" s="58"/>
      <c r="AO1713" s="58"/>
    </row>
    <row r="1714" spans="4:41" ht="15.75" customHeight="1">
      <c r="D1714" s="7">
        <f t="shared" si="155"/>
        <v>0</v>
      </c>
      <c r="E1714" s="7">
        <v>0</v>
      </c>
      <c r="F1714" s="5">
        <v>0</v>
      </c>
      <c r="G1714" s="7">
        <v>0</v>
      </c>
      <c r="H1714" s="5">
        <v>0</v>
      </c>
      <c r="I1714" s="7">
        <v>0</v>
      </c>
      <c r="J1714" s="7">
        <v>0</v>
      </c>
      <c r="K1714" s="5">
        <v>0</v>
      </c>
      <c r="L1714" s="5">
        <v>0</v>
      </c>
      <c r="M1714" s="5">
        <v>0</v>
      </c>
      <c r="N1714" s="7">
        <f t="shared" si="156"/>
        <v>0</v>
      </c>
      <c r="O1714" s="7">
        <v>0</v>
      </c>
      <c r="P1714" s="7">
        <v>0</v>
      </c>
      <c r="Q1714" s="5">
        <v>0</v>
      </c>
      <c r="S1714" s="7">
        <v>0</v>
      </c>
      <c r="V1714" s="4">
        <v>9</v>
      </c>
      <c r="W1714" s="4">
        <v>9</v>
      </c>
      <c r="X1714" s="45">
        <f t="shared" si="157"/>
        <v>0</v>
      </c>
      <c r="AB1714" s="44"/>
      <c r="AC1714" s="44"/>
      <c r="AF1714" s="25"/>
      <c r="AG1714" s="58" t="e">
        <f t="shared" si="158"/>
        <v>#N/A</v>
      </c>
      <c r="AH1714" s="58"/>
      <c r="AI1714" s="58"/>
      <c r="AJ1714" s="58"/>
      <c r="AK1714" s="58"/>
      <c r="AL1714" s="58"/>
      <c r="AM1714" s="58"/>
      <c r="AN1714" s="58"/>
      <c r="AO1714" s="58"/>
    </row>
    <row r="1715" spans="4:41" ht="15.75" customHeight="1">
      <c r="D1715" s="7">
        <f t="shared" si="155"/>
        <v>0</v>
      </c>
      <c r="E1715" s="7">
        <v>0</v>
      </c>
      <c r="F1715" s="5">
        <v>0</v>
      </c>
      <c r="G1715" s="7">
        <v>0</v>
      </c>
      <c r="H1715" s="5">
        <v>0</v>
      </c>
      <c r="I1715" s="7">
        <v>0</v>
      </c>
      <c r="J1715" s="7">
        <v>0</v>
      </c>
      <c r="K1715" s="5">
        <v>0</v>
      </c>
      <c r="L1715" s="5">
        <v>0</v>
      </c>
      <c r="M1715" s="5">
        <v>0</v>
      </c>
      <c r="N1715" s="7">
        <f t="shared" si="156"/>
        <v>0</v>
      </c>
      <c r="O1715" s="7">
        <v>0</v>
      </c>
      <c r="P1715" s="7">
        <v>0</v>
      </c>
      <c r="Q1715" s="5">
        <v>0</v>
      </c>
      <c r="S1715" s="7">
        <v>0</v>
      </c>
      <c r="V1715" s="4">
        <v>9</v>
      </c>
      <c r="W1715" s="4">
        <v>9</v>
      </c>
      <c r="X1715" s="45">
        <f t="shared" si="157"/>
        <v>0</v>
      </c>
      <c r="AB1715" s="44"/>
      <c r="AC1715" s="44"/>
      <c r="AF1715" s="25"/>
      <c r="AG1715" s="58" t="e">
        <f t="shared" si="158"/>
        <v>#N/A</v>
      </c>
      <c r="AH1715" s="58"/>
      <c r="AI1715" s="58"/>
      <c r="AJ1715" s="58"/>
      <c r="AK1715" s="58"/>
      <c r="AL1715" s="58"/>
      <c r="AM1715" s="58"/>
      <c r="AN1715" s="58"/>
      <c r="AO1715" s="58"/>
    </row>
    <row r="1716" spans="4:41" ht="15.75" customHeight="1">
      <c r="D1716" s="7">
        <f t="shared" si="155"/>
        <v>0</v>
      </c>
      <c r="E1716" s="7">
        <v>0</v>
      </c>
      <c r="F1716" s="5">
        <v>0</v>
      </c>
      <c r="G1716" s="7">
        <v>0</v>
      </c>
      <c r="H1716" s="5">
        <v>0</v>
      </c>
      <c r="I1716" s="7">
        <v>0</v>
      </c>
      <c r="J1716" s="7">
        <v>0</v>
      </c>
      <c r="K1716" s="5">
        <v>0</v>
      </c>
      <c r="L1716" s="5">
        <v>0</v>
      </c>
      <c r="M1716" s="5">
        <v>0</v>
      </c>
      <c r="N1716" s="7">
        <f t="shared" si="156"/>
        <v>0</v>
      </c>
      <c r="O1716" s="7">
        <v>0</v>
      </c>
      <c r="P1716" s="7">
        <v>0</v>
      </c>
      <c r="Q1716" s="5">
        <v>0</v>
      </c>
      <c r="S1716" s="7">
        <v>0</v>
      </c>
      <c r="V1716" s="4">
        <v>9</v>
      </c>
      <c r="W1716" s="4">
        <v>9</v>
      </c>
      <c r="X1716" s="45">
        <f t="shared" si="157"/>
        <v>0</v>
      </c>
      <c r="AB1716" s="44"/>
      <c r="AC1716" s="44"/>
      <c r="AF1716" s="25"/>
      <c r="AG1716" s="58" t="e">
        <f t="shared" si="158"/>
        <v>#N/A</v>
      </c>
      <c r="AH1716" s="58"/>
      <c r="AI1716" s="58"/>
      <c r="AJ1716" s="58"/>
      <c r="AK1716" s="58"/>
      <c r="AL1716" s="58"/>
      <c r="AM1716" s="58"/>
      <c r="AN1716" s="58"/>
      <c r="AO1716" s="58"/>
    </row>
    <row r="1717" spans="4:41" ht="15.75" customHeight="1">
      <c r="D1717" s="7">
        <f t="shared" si="155"/>
        <v>0</v>
      </c>
      <c r="E1717" s="7">
        <v>0</v>
      </c>
      <c r="F1717" s="5">
        <v>0</v>
      </c>
      <c r="G1717" s="7">
        <v>0</v>
      </c>
      <c r="H1717" s="5">
        <v>0</v>
      </c>
      <c r="I1717" s="7">
        <v>0</v>
      </c>
      <c r="J1717" s="7">
        <v>0</v>
      </c>
      <c r="K1717" s="5">
        <v>0</v>
      </c>
      <c r="L1717" s="5">
        <v>0</v>
      </c>
      <c r="M1717" s="5">
        <v>0</v>
      </c>
      <c r="N1717" s="7">
        <f t="shared" si="156"/>
        <v>0</v>
      </c>
      <c r="O1717" s="7">
        <v>0</v>
      </c>
      <c r="P1717" s="7">
        <v>0</v>
      </c>
      <c r="Q1717" s="5">
        <v>0</v>
      </c>
      <c r="S1717" s="7">
        <v>0</v>
      </c>
      <c r="V1717" s="4">
        <v>9</v>
      </c>
      <c r="W1717" s="4">
        <v>9</v>
      </c>
      <c r="X1717" s="45">
        <f t="shared" si="157"/>
        <v>0</v>
      </c>
      <c r="AB1717" s="44"/>
      <c r="AC1717" s="44"/>
      <c r="AF1717" s="25"/>
      <c r="AG1717" s="58" t="e">
        <f t="shared" si="158"/>
        <v>#N/A</v>
      </c>
      <c r="AH1717" s="58"/>
      <c r="AI1717" s="58"/>
      <c r="AJ1717" s="58"/>
      <c r="AK1717" s="58"/>
      <c r="AL1717" s="58"/>
      <c r="AM1717" s="58"/>
      <c r="AN1717" s="58"/>
      <c r="AO1717" s="58"/>
    </row>
    <row r="1718" spans="4:41" ht="15.75" customHeight="1">
      <c r="D1718" s="7">
        <f t="shared" si="155"/>
        <v>0</v>
      </c>
      <c r="E1718" s="7">
        <v>0</v>
      </c>
      <c r="F1718" s="5">
        <v>0</v>
      </c>
      <c r="G1718" s="7">
        <v>0</v>
      </c>
      <c r="H1718" s="5">
        <v>0</v>
      </c>
      <c r="I1718" s="7">
        <v>0</v>
      </c>
      <c r="J1718" s="7">
        <v>0</v>
      </c>
      <c r="K1718" s="5">
        <v>0</v>
      </c>
      <c r="L1718" s="5">
        <v>0</v>
      </c>
      <c r="M1718" s="5">
        <v>0</v>
      </c>
      <c r="N1718" s="7">
        <f t="shared" si="156"/>
        <v>0</v>
      </c>
      <c r="O1718" s="7">
        <v>0</v>
      </c>
      <c r="P1718" s="7">
        <v>0</v>
      </c>
      <c r="Q1718" s="5">
        <v>0</v>
      </c>
      <c r="S1718" s="7">
        <v>0</v>
      </c>
      <c r="V1718" s="4">
        <v>9</v>
      </c>
      <c r="W1718" s="4">
        <v>9</v>
      </c>
      <c r="X1718" s="45">
        <f t="shared" si="157"/>
        <v>0</v>
      </c>
      <c r="AB1718" s="44"/>
      <c r="AC1718" s="44"/>
      <c r="AF1718" s="25"/>
      <c r="AG1718" s="58" t="e">
        <f t="shared" si="158"/>
        <v>#N/A</v>
      </c>
      <c r="AH1718" s="58"/>
      <c r="AI1718" s="58"/>
      <c r="AJ1718" s="58"/>
      <c r="AK1718" s="58"/>
      <c r="AL1718" s="58"/>
      <c r="AM1718" s="58"/>
      <c r="AN1718" s="58"/>
      <c r="AO1718" s="58"/>
    </row>
    <row r="1719" spans="4:41" ht="15.75" customHeight="1">
      <c r="D1719" s="7">
        <f t="shared" ref="D1719:D1748" si="159">E1719+F1719</f>
        <v>0</v>
      </c>
      <c r="E1719" s="7">
        <v>0</v>
      </c>
      <c r="F1719" s="5">
        <v>0</v>
      </c>
      <c r="G1719" s="7">
        <v>0</v>
      </c>
      <c r="H1719" s="5">
        <v>0</v>
      </c>
      <c r="I1719" s="7">
        <v>0</v>
      </c>
      <c r="J1719" s="7">
        <v>0</v>
      </c>
      <c r="K1719" s="5">
        <v>0</v>
      </c>
      <c r="L1719" s="5">
        <v>0</v>
      </c>
      <c r="M1719" s="5">
        <v>0</v>
      </c>
      <c r="N1719" s="7">
        <f t="shared" ref="N1719:N1748" si="160">M1719-K1719</f>
        <v>0</v>
      </c>
      <c r="O1719" s="7">
        <v>0</v>
      </c>
      <c r="P1719" s="7">
        <v>0</v>
      </c>
      <c r="Q1719" s="5">
        <v>0</v>
      </c>
      <c r="S1719" s="7">
        <v>0</v>
      </c>
      <c r="V1719" s="4">
        <v>9</v>
      </c>
      <c r="W1719" s="4">
        <v>9</v>
      </c>
      <c r="X1719" s="45">
        <f t="shared" ref="X1719:X1748" si="161">+C1719+G1719+I1719+O1719+S1719</f>
        <v>0</v>
      </c>
      <c r="AB1719" s="44"/>
      <c r="AC1719" s="44"/>
      <c r="AF1719" s="25"/>
      <c r="AG1719" s="58" t="e">
        <f t="shared" si="158"/>
        <v>#N/A</v>
      </c>
      <c r="AH1719" s="58"/>
      <c r="AI1719" s="58"/>
      <c r="AJ1719" s="58"/>
      <c r="AK1719" s="58"/>
      <c r="AL1719" s="58"/>
      <c r="AM1719" s="58"/>
      <c r="AN1719" s="58"/>
      <c r="AO1719" s="58"/>
    </row>
    <row r="1720" spans="4:41" ht="15.75" customHeight="1">
      <c r="D1720" s="7">
        <f t="shared" si="159"/>
        <v>0</v>
      </c>
      <c r="E1720" s="7">
        <v>0</v>
      </c>
      <c r="F1720" s="5">
        <v>0</v>
      </c>
      <c r="G1720" s="7">
        <v>0</v>
      </c>
      <c r="H1720" s="5">
        <v>0</v>
      </c>
      <c r="I1720" s="7">
        <v>0</v>
      </c>
      <c r="J1720" s="7">
        <v>0</v>
      </c>
      <c r="K1720" s="5">
        <v>0</v>
      </c>
      <c r="L1720" s="5">
        <v>0</v>
      </c>
      <c r="M1720" s="5">
        <v>0</v>
      </c>
      <c r="N1720" s="7">
        <f t="shared" si="160"/>
        <v>0</v>
      </c>
      <c r="O1720" s="7">
        <v>0</v>
      </c>
      <c r="P1720" s="7">
        <v>0</v>
      </c>
      <c r="Q1720" s="5">
        <v>0</v>
      </c>
      <c r="S1720" s="7">
        <v>0</v>
      </c>
      <c r="V1720" s="4">
        <v>9</v>
      </c>
      <c r="W1720" s="4">
        <v>9</v>
      </c>
      <c r="X1720" s="45">
        <f t="shared" si="161"/>
        <v>0</v>
      </c>
      <c r="AB1720" s="44"/>
      <c r="AC1720" s="44"/>
      <c r="AF1720" s="25"/>
      <c r="AG1720" s="58" t="e">
        <f t="shared" si="158"/>
        <v>#N/A</v>
      </c>
      <c r="AH1720" s="58"/>
      <c r="AI1720" s="58"/>
      <c r="AJ1720" s="58"/>
      <c r="AK1720" s="58"/>
      <c r="AL1720" s="58"/>
      <c r="AM1720" s="58"/>
      <c r="AN1720" s="58"/>
      <c r="AO1720" s="58"/>
    </row>
    <row r="1721" spans="4:41" ht="15.75" customHeight="1">
      <c r="D1721" s="7">
        <f t="shared" si="159"/>
        <v>0</v>
      </c>
      <c r="E1721" s="7">
        <v>0</v>
      </c>
      <c r="F1721" s="5">
        <v>0</v>
      </c>
      <c r="G1721" s="7">
        <v>0</v>
      </c>
      <c r="H1721" s="5">
        <v>0</v>
      </c>
      <c r="I1721" s="7">
        <v>0</v>
      </c>
      <c r="J1721" s="7">
        <v>0</v>
      </c>
      <c r="K1721" s="5">
        <v>0</v>
      </c>
      <c r="L1721" s="5">
        <v>0</v>
      </c>
      <c r="M1721" s="5">
        <v>0</v>
      </c>
      <c r="N1721" s="7">
        <f t="shared" si="160"/>
        <v>0</v>
      </c>
      <c r="O1721" s="7">
        <v>0</v>
      </c>
      <c r="P1721" s="7">
        <v>0</v>
      </c>
      <c r="Q1721" s="5">
        <v>0</v>
      </c>
      <c r="S1721" s="7">
        <v>0</v>
      </c>
      <c r="V1721" s="4">
        <v>9</v>
      </c>
      <c r="W1721" s="4">
        <v>9</v>
      </c>
      <c r="X1721" s="45">
        <f t="shared" si="161"/>
        <v>0</v>
      </c>
      <c r="AB1721" s="44"/>
      <c r="AC1721" s="44"/>
      <c r="AF1721" s="25"/>
      <c r="AG1721" s="58" t="e">
        <f t="shared" si="158"/>
        <v>#N/A</v>
      </c>
      <c r="AH1721" s="58"/>
      <c r="AI1721" s="58"/>
      <c r="AJ1721" s="58"/>
      <c r="AK1721" s="58"/>
      <c r="AL1721" s="58"/>
      <c r="AM1721" s="58"/>
      <c r="AN1721" s="58"/>
      <c r="AO1721" s="58"/>
    </row>
    <row r="1722" spans="4:41" ht="15.75" customHeight="1">
      <c r="D1722" s="7">
        <f t="shared" si="159"/>
        <v>0</v>
      </c>
      <c r="E1722" s="7">
        <v>0</v>
      </c>
      <c r="F1722" s="5">
        <v>0</v>
      </c>
      <c r="G1722" s="7">
        <v>0</v>
      </c>
      <c r="H1722" s="5">
        <v>0</v>
      </c>
      <c r="I1722" s="7">
        <v>0</v>
      </c>
      <c r="J1722" s="7">
        <v>0</v>
      </c>
      <c r="K1722" s="5">
        <v>0</v>
      </c>
      <c r="L1722" s="5">
        <v>0</v>
      </c>
      <c r="M1722" s="5">
        <v>0</v>
      </c>
      <c r="N1722" s="7">
        <f t="shared" si="160"/>
        <v>0</v>
      </c>
      <c r="O1722" s="7">
        <v>0</v>
      </c>
      <c r="P1722" s="7">
        <v>0</v>
      </c>
      <c r="Q1722" s="5">
        <v>0</v>
      </c>
      <c r="S1722" s="7">
        <v>0</v>
      </c>
      <c r="V1722" s="4">
        <v>9</v>
      </c>
      <c r="W1722" s="4">
        <v>9</v>
      </c>
      <c r="X1722" s="45">
        <f t="shared" si="161"/>
        <v>0</v>
      </c>
      <c r="AB1722" s="44"/>
      <c r="AC1722" s="44"/>
      <c r="AF1722" s="25"/>
      <c r="AG1722" s="58" t="e">
        <f t="shared" si="158"/>
        <v>#N/A</v>
      </c>
      <c r="AH1722" s="58"/>
      <c r="AI1722" s="58"/>
      <c r="AJ1722" s="58"/>
      <c r="AK1722" s="58"/>
      <c r="AL1722" s="58"/>
      <c r="AM1722" s="58"/>
      <c r="AN1722" s="58"/>
      <c r="AO1722" s="58"/>
    </row>
    <row r="1723" spans="4:41" ht="15.75" customHeight="1">
      <c r="D1723" s="7">
        <f t="shared" si="159"/>
        <v>0</v>
      </c>
      <c r="E1723" s="7">
        <v>0</v>
      </c>
      <c r="F1723" s="5">
        <v>0</v>
      </c>
      <c r="G1723" s="7">
        <v>0</v>
      </c>
      <c r="H1723" s="5">
        <v>0</v>
      </c>
      <c r="I1723" s="7">
        <v>0</v>
      </c>
      <c r="J1723" s="7">
        <v>0</v>
      </c>
      <c r="K1723" s="5">
        <v>0</v>
      </c>
      <c r="L1723" s="5">
        <v>0</v>
      </c>
      <c r="M1723" s="5">
        <v>0</v>
      </c>
      <c r="N1723" s="7">
        <f t="shared" si="160"/>
        <v>0</v>
      </c>
      <c r="O1723" s="7">
        <v>0</v>
      </c>
      <c r="P1723" s="7">
        <v>0</v>
      </c>
      <c r="Q1723" s="5">
        <v>0</v>
      </c>
      <c r="S1723" s="7">
        <v>0</v>
      </c>
      <c r="V1723" s="4">
        <v>9</v>
      </c>
      <c r="W1723" s="4">
        <v>9</v>
      </c>
      <c r="X1723" s="45">
        <f t="shared" si="161"/>
        <v>0</v>
      </c>
      <c r="AB1723" s="44"/>
      <c r="AC1723" s="44"/>
      <c r="AF1723" s="25"/>
      <c r="AG1723" s="58" t="e">
        <f t="shared" si="158"/>
        <v>#N/A</v>
      </c>
      <c r="AH1723" s="58"/>
      <c r="AI1723" s="58"/>
      <c r="AJ1723" s="58"/>
      <c r="AK1723" s="58"/>
      <c r="AL1723" s="58"/>
      <c r="AM1723" s="58"/>
      <c r="AN1723" s="58"/>
      <c r="AO1723" s="58"/>
    </row>
    <row r="1724" spans="4:41" ht="15.75" customHeight="1">
      <c r="D1724" s="7">
        <f t="shared" si="159"/>
        <v>0</v>
      </c>
      <c r="E1724" s="7">
        <v>0</v>
      </c>
      <c r="F1724" s="5">
        <v>0</v>
      </c>
      <c r="G1724" s="7">
        <v>0</v>
      </c>
      <c r="H1724" s="5">
        <v>0</v>
      </c>
      <c r="I1724" s="7">
        <v>0</v>
      </c>
      <c r="J1724" s="7">
        <v>0</v>
      </c>
      <c r="K1724" s="5">
        <v>0</v>
      </c>
      <c r="L1724" s="5">
        <v>0</v>
      </c>
      <c r="M1724" s="5">
        <v>0</v>
      </c>
      <c r="N1724" s="7">
        <f t="shared" si="160"/>
        <v>0</v>
      </c>
      <c r="O1724" s="7">
        <v>0</v>
      </c>
      <c r="P1724" s="7">
        <v>0</v>
      </c>
      <c r="Q1724" s="5">
        <v>0</v>
      </c>
      <c r="S1724" s="7">
        <v>0</v>
      </c>
      <c r="V1724" s="4">
        <v>9</v>
      </c>
      <c r="W1724" s="4">
        <v>9</v>
      </c>
      <c r="X1724" s="45">
        <f t="shared" si="161"/>
        <v>0</v>
      </c>
      <c r="AB1724" s="44"/>
      <c r="AC1724" s="44"/>
      <c r="AF1724" s="25"/>
      <c r="AG1724" s="58" t="e">
        <f t="shared" si="158"/>
        <v>#N/A</v>
      </c>
      <c r="AH1724" s="58"/>
      <c r="AI1724" s="58"/>
      <c r="AJ1724" s="58"/>
      <c r="AK1724" s="58"/>
      <c r="AL1724" s="58"/>
      <c r="AM1724" s="58"/>
      <c r="AN1724" s="58"/>
      <c r="AO1724" s="58"/>
    </row>
    <row r="1725" spans="4:41" ht="15.75" customHeight="1">
      <c r="D1725" s="7">
        <f t="shared" si="159"/>
        <v>0</v>
      </c>
      <c r="E1725" s="7">
        <v>0</v>
      </c>
      <c r="F1725" s="5">
        <v>0</v>
      </c>
      <c r="G1725" s="7">
        <v>0</v>
      </c>
      <c r="H1725" s="5">
        <v>0</v>
      </c>
      <c r="I1725" s="7">
        <v>0</v>
      </c>
      <c r="J1725" s="7">
        <v>0</v>
      </c>
      <c r="K1725" s="5">
        <v>0</v>
      </c>
      <c r="L1725" s="5">
        <v>0</v>
      </c>
      <c r="M1725" s="5">
        <v>0</v>
      </c>
      <c r="N1725" s="7">
        <f t="shared" si="160"/>
        <v>0</v>
      </c>
      <c r="O1725" s="7">
        <v>0</v>
      </c>
      <c r="P1725" s="7">
        <v>0</v>
      </c>
      <c r="Q1725" s="5">
        <v>0</v>
      </c>
      <c r="S1725" s="7">
        <v>0</v>
      </c>
      <c r="V1725" s="4">
        <v>9</v>
      </c>
      <c r="W1725" s="4">
        <v>9</v>
      </c>
      <c r="X1725" s="45">
        <f t="shared" si="161"/>
        <v>0</v>
      </c>
      <c r="AB1725" s="44"/>
      <c r="AC1725" s="44"/>
      <c r="AF1725" s="25"/>
      <c r="AG1725" s="58" t="e">
        <f t="shared" si="158"/>
        <v>#N/A</v>
      </c>
      <c r="AH1725" s="58"/>
      <c r="AI1725" s="58"/>
      <c r="AJ1725" s="58"/>
      <c r="AK1725" s="58"/>
      <c r="AL1725" s="58"/>
      <c r="AM1725" s="58"/>
      <c r="AN1725" s="58"/>
      <c r="AO1725" s="58"/>
    </row>
    <row r="1726" spans="4:41" ht="15.75" customHeight="1">
      <c r="D1726" s="7">
        <f t="shared" si="159"/>
        <v>0</v>
      </c>
      <c r="E1726" s="7">
        <v>0</v>
      </c>
      <c r="F1726" s="5">
        <v>0</v>
      </c>
      <c r="G1726" s="7">
        <v>0</v>
      </c>
      <c r="H1726" s="5">
        <v>0</v>
      </c>
      <c r="I1726" s="7">
        <v>0</v>
      </c>
      <c r="J1726" s="7">
        <v>0</v>
      </c>
      <c r="K1726" s="5">
        <v>0</v>
      </c>
      <c r="L1726" s="5">
        <v>0</v>
      </c>
      <c r="M1726" s="5">
        <v>0</v>
      </c>
      <c r="N1726" s="7">
        <f t="shared" si="160"/>
        <v>0</v>
      </c>
      <c r="O1726" s="7">
        <v>0</v>
      </c>
      <c r="P1726" s="7">
        <v>0</v>
      </c>
      <c r="Q1726" s="5">
        <v>0</v>
      </c>
      <c r="S1726" s="7">
        <v>0</v>
      </c>
      <c r="V1726" s="4">
        <v>9</v>
      </c>
      <c r="W1726" s="4">
        <v>9</v>
      </c>
      <c r="X1726" s="45">
        <f t="shared" si="161"/>
        <v>0</v>
      </c>
      <c r="AB1726" s="44"/>
      <c r="AC1726" s="44"/>
      <c r="AF1726" s="25"/>
      <c r="AG1726" s="58" t="e">
        <f t="shared" si="158"/>
        <v>#N/A</v>
      </c>
      <c r="AH1726" s="58"/>
      <c r="AI1726" s="58"/>
      <c r="AJ1726" s="58"/>
      <c r="AK1726" s="58"/>
      <c r="AL1726" s="58"/>
      <c r="AM1726" s="58"/>
      <c r="AN1726" s="58"/>
      <c r="AO1726" s="58"/>
    </row>
    <row r="1727" spans="4:41" ht="15.75" customHeight="1">
      <c r="D1727" s="7">
        <f t="shared" si="159"/>
        <v>0</v>
      </c>
      <c r="E1727" s="7">
        <v>0</v>
      </c>
      <c r="F1727" s="5">
        <v>0</v>
      </c>
      <c r="G1727" s="7">
        <v>0</v>
      </c>
      <c r="H1727" s="5">
        <v>0</v>
      </c>
      <c r="I1727" s="7">
        <v>0</v>
      </c>
      <c r="J1727" s="7">
        <v>0</v>
      </c>
      <c r="K1727" s="5">
        <v>0</v>
      </c>
      <c r="L1727" s="5">
        <v>0</v>
      </c>
      <c r="M1727" s="5">
        <v>0</v>
      </c>
      <c r="N1727" s="7">
        <f t="shared" si="160"/>
        <v>0</v>
      </c>
      <c r="O1727" s="7">
        <v>0</v>
      </c>
      <c r="P1727" s="7">
        <v>0</v>
      </c>
      <c r="Q1727" s="5">
        <v>0</v>
      </c>
      <c r="S1727" s="7">
        <v>0</v>
      </c>
      <c r="V1727" s="4">
        <v>9</v>
      </c>
      <c r="W1727" s="4">
        <v>9</v>
      </c>
      <c r="X1727" s="45">
        <f t="shared" si="161"/>
        <v>0</v>
      </c>
      <c r="AB1727" s="44"/>
      <c r="AC1727" s="44"/>
      <c r="AF1727" s="25"/>
      <c r="AG1727" s="58" t="e">
        <f t="shared" si="158"/>
        <v>#N/A</v>
      </c>
      <c r="AH1727" s="58"/>
      <c r="AI1727" s="58"/>
      <c r="AJ1727" s="58"/>
      <c r="AK1727" s="58"/>
      <c r="AL1727" s="58"/>
      <c r="AM1727" s="58"/>
      <c r="AN1727" s="58"/>
      <c r="AO1727" s="58"/>
    </row>
    <row r="1728" spans="4:41" ht="15.75" customHeight="1">
      <c r="D1728" s="7">
        <f t="shared" si="159"/>
        <v>0</v>
      </c>
      <c r="E1728" s="7">
        <v>0</v>
      </c>
      <c r="F1728" s="5">
        <v>0</v>
      </c>
      <c r="G1728" s="7">
        <v>0</v>
      </c>
      <c r="H1728" s="5">
        <v>0</v>
      </c>
      <c r="I1728" s="7">
        <v>0</v>
      </c>
      <c r="J1728" s="7">
        <v>0</v>
      </c>
      <c r="K1728" s="5">
        <v>0</v>
      </c>
      <c r="L1728" s="5">
        <v>0</v>
      </c>
      <c r="M1728" s="5">
        <v>0</v>
      </c>
      <c r="N1728" s="7">
        <f t="shared" si="160"/>
        <v>0</v>
      </c>
      <c r="O1728" s="7">
        <v>0</v>
      </c>
      <c r="P1728" s="7">
        <v>0</v>
      </c>
      <c r="Q1728" s="5">
        <v>0</v>
      </c>
      <c r="S1728" s="7">
        <v>0</v>
      </c>
      <c r="V1728" s="4">
        <v>9</v>
      </c>
      <c r="W1728" s="4">
        <v>9</v>
      </c>
      <c r="X1728" s="45">
        <f t="shared" si="161"/>
        <v>0</v>
      </c>
      <c r="AB1728" s="44"/>
      <c r="AC1728" s="44"/>
      <c r="AF1728" s="25"/>
      <c r="AG1728" s="58" t="e">
        <f t="shared" si="158"/>
        <v>#N/A</v>
      </c>
      <c r="AH1728" s="58"/>
      <c r="AI1728" s="58"/>
      <c r="AJ1728" s="58"/>
      <c r="AK1728" s="58"/>
      <c r="AL1728" s="58"/>
      <c r="AM1728" s="58"/>
      <c r="AN1728" s="58"/>
      <c r="AO1728" s="58"/>
    </row>
    <row r="1729" spans="4:41" ht="15.75" customHeight="1">
      <c r="D1729" s="7">
        <f t="shared" si="159"/>
        <v>0</v>
      </c>
      <c r="E1729" s="7">
        <v>0</v>
      </c>
      <c r="F1729" s="5">
        <v>0</v>
      </c>
      <c r="G1729" s="7">
        <v>0</v>
      </c>
      <c r="H1729" s="5">
        <v>0</v>
      </c>
      <c r="I1729" s="7">
        <v>0</v>
      </c>
      <c r="J1729" s="7">
        <v>0</v>
      </c>
      <c r="K1729" s="5">
        <v>0</v>
      </c>
      <c r="L1729" s="5">
        <v>0</v>
      </c>
      <c r="M1729" s="5">
        <v>0</v>
      </c>
      <c r="N1729" s="7">
        <f t="shared" si="160"/>
        <v>0</v>
      </c>
      <c r="O1729" s="7">
        <v>0</v>
      </c>
      <c r="P1729" s="7">
        <v>0</v>
      </c>
      <c r="Q1729" s="5">
        <v>0</v>
      </c>
      <c r="S1729" s="7">
        <v>0</v>
      </c>
      <c r="V1729" s="4">
        <v>9</v>
      </c>
      <c r="W1729" s="4">
        <v>9</v>
      </c>
      <c r="X1729" s="45">
        <f t="shared" si="161"/>
        <v>0</v>
      </c>
      <c r="AB1729" s="44"/>
      <c r="AC1729" s="44"/>
      <c r="AF1729" s="25"/>
      <c r="AG1729" s="58" t="e">
        <f t="shared" si="158"/>
        <v>#N/A</v>
      </c>
      <c r="AH1729" s="58"/>
      <c r="AI1729" s="58"/>
      <c r="AJ1729" s="58"/>
      <c r="AK1729" s="58"/>
      <c r="AL1729" s="58"/>
      <c r="AM1729" s="58"/>
      <c r="AN1729" s="58"/>
      <c r="AO1729" s="58"/>
    </row>
    <row r="1730" spans="4:41" ht="15.75" customHeight="1">
      <c r="D1730" s="7">
        <f t="shared" si="159"/>
        <v>0</v>
      </c>
      <c r="E1730" s="7">
        <v>0</v>
      </c>
      <c r="F1730" s="5">
        <v>0</v>
      </c>
      <c r="G1730" s="7">
        <v>0</v>
      </c>
      <c r="H1730" s="5">
        <v>0</v>
      </c>
      <c r="I1730" s="7">
        <v>0</v>
      </c>
      <c r="J1730" s="7">
        <v>0</v>
      </c>
      <c r="K1730" s="5">
        <v>0</v>
      </c>
      <c r="L1730" s="5">
        <v>0</v>
      </c>
      <c r="M1730" s="5">
        <v>0</v>
      </c>
      <c r="N1730" s="7">
        <f t="shared" si="160"/>
        <v>0</v>
      </c>
      <c r="O1730" s="7">
        <v>0</v>
      </c>
      <c r="P1730" s="7">
        <v>0</v>
      </c>
      <c r="Q1730" s="5">
        <v>0</v>
      </c>
      <c r="S1730" s="7">
        <v>0</v>
      </c>
      <c r="V1730" s="4">
        <v>9</v>
      </c>
      <c r="W1730" s="4">
        <v>9</v>
      </c>
      <c r="X1730" s="45">
        <f t="shared" si="161"/>
        <v>0</v>
      </c>
      <c r="AB1730" s="44"/>
      <c r="AC1730" s="44"/>
      <c r="AF1730" s="25"/>
      <c r="AG1730" s="58" t="e">
        <f t="shared" si="158"/>
        <v>#N/A</v>
      </c>
      <c r="AH1730" s="58"/>
      <c r="AI1730" s="58"/>
      <c r="AJ1730" s="58"/>
      <c r="AK1730" s="58"/>
      <c r="AL1730" s="58"/>
      <c r="AM1730" s="58"/>
      <c r="AN1730" s="58"/>
      <c r="AO1730" s="58"/>
    </row>
    <row r="1731" spans="4:41" ht="15.75" customHeight="1">
      <c r="D1731" s="7">
        <f t="shared" si="159"/>
        <v>0</v>
      </c>
      <c r="E1731" s="7">
        <v>0</v>
      </c>
      <c r="F1731" s="5">
        <v>0</v>
      </c>
      <c r="G1731" s="7">
        <v>0</v>
      </c>
      <c r="H1731" s="5">
        <v>0</v>
      </c>
      <c r="I1731" s="7">
        <v>0</v>
      </c>
      <c r="J1731" s="7">
        <v>0</v>
      </c>
      <c r="K1731" s="5">
        <v>0</v>
      </c>
      <c r="L1731" s="5">
        <v>0</v>
      </c>
      <c r="M1731" s="5">
        <v>0</v>
      </c>
      <c r="N1731" s="7">
        <f t="shared" si="160"/>
        <v>0</v>
      </c>
      <c r="O1731" s="7">
        <v>0</v>
      </c>
      <c r="P1731" s="7">
        <v>0</v>
      </c>
      <c r="Q1731" s="5">
        <v>0</v>
      </c>
      <c r="S1731" s="7">
        <v>0</v>
      </c>
      <c r="V1731" s="4">
        <v>9</v>
      </c>
      <c r="W1731" s="4">
        <v>9</v>
      </c>
      <c r="X1731" s="45">
        <f t="shared" si="161"/>
        <v>0</v>
      </c>
      <c r="AB1731" s="44"/>
      <c r="AC1731" s="44"/>
      <c r="AF1731" s="25"/>
      <c r="AG1731" s="58" t="e">
        <f t="shared" si="158"/>
        <v>#N/A</v>
      </c>
      <c r="AH1731" s="58"/>
      <c r="AI1731" s="58"/>
      <c r="AJ1731" s="58"/>
      <c r="AK1731" s="58"/>
      <c r="AL1731" s="58"/>
      <c r="AM1731" s="58"/>
      <c r="AN1731" s="58"/>
      <c r="AO1731" s="58"/>
    </row>
    <row r="1732" spans="4:41" ht="15.75" customHeight="1">
      <c r="D1732" s="7">
        <f t="shared" si="159"/>
        <v>0</v>
      </c>
      <c r="E1732" s="7">
        <v>0</v>
      </c>
      <c r="F1732" s="5">
        <v>0</v>
      </c>
      <c r="G1732" s="7">
        <v>0</v>
      </c>
      <c r="H1732" s="5">
        <v>0</v>
      </c>
      <c r="I1732" s="7">
        <v>0</v>
      </c>
      <c r="J1732" s="7">
        <v>0</v>
      </c>
      <c r="K1732" s="5">
        <v>0</v>
      </c>
      <c r="L1732" s="5">
        <v>0</v>
      </c>
      <c r="M1732" s="5">
        <v>0</v>
      </c>
      <c r="N1732" s="7">
        <f t="shared" si="160"/>
        <v>0</v>
      </c>
      <c r="O1732" s="7">
        <v>0</v>
      </c>
      <c r="P1732" s="7">
        <v>0</v>
      </c>
      <c r="Q1732" s="5">
        <v>0</v>
      </c>
      <c r="S1732" s="7">
        <v>0</v>
      </c>
      <c r="V1732" s="4">
        <v>9</v>
      </c>
      <c r="W1732" s="4">
        <v>9</v>
      </c>
      <c r="X1732" s="45">
        <f t="shared" si="161"/>
        <v>0</v>
      </c>
      <c r="AB1732" s="44"/>
      <c r="AC1732" s="44"/>
      <c r="AF1732" s="25"/>
      <c r="AG1732" s="58" t="e">
        <f t="shared" ref="AG1732:AG1748" si="162">+VLOOKUP(AF1732,AH:AH,2,0)</f>
        <v>#N/A</v>
      </c>
      <c r="AH1732" s="58"/>
      <c r="AI1732" s="58"/>
      <c r="AJ1732" s="58"/>
      <c r="AK1732" s="58"/>
      <c r="AL1732" s="58"/>
      <c r="AM1732" s="58"/>
      <c r="AN1732" s="58"/>
      <c r="AO1732" s="58"/>
    </row>
    <row r="1733" spans="4:41" ht="15.75" customHeight="1">
      <c r="D1733" s="7">
        <f t="shared" si="159"/>
        <v>0</v>
      </c>
      <c r="E1733" s="7">
        <v>0</v>
      </c>
      <c r="F1733" s="5">
        <v>0</v>
      </c>
      <c r="G1733" s="7">
        <v>0</v>
      </c>
      <c r="H1733" s="5">
        <v>0</v>
      </c>
      <c r="I1733" s="7">
        <v>0</v>
      </c>
      <c r="J1733" s="7">
        <v>0</v>
      </c>
      <c r="K1733" s="5">
        <v>0</v>
      </c>
      <c r="L1733" s="5">
        <v>0</v>
      </c>
      <c r="M1733" s="5">
        <v>0</v>
      </c>
      <c r="N1733" s="7">
        <f t="shared" si="160"/>
        <v>0</v>
      </c>
      <c r="O1733" s="7">
        <v>0</v>
      </c>
      <c r="P1733" s="7">
        <v>0</v>
      </c>
      <c r="Q1733" s="5">
        <v>0</v>
      </c>
      <c r="S1733" s="7">
        <v>0</v>
      </c>
      <c r="V1733" s="4">
        <v>9</v>
      </c>
      <c r="W1733" s="4">
        <v>9</v>
      </c>
      <c r="X1733" s="45">
        <f t="shared" si="161"/>
        <v>0</v>
      </c>
      <c r="AB1733" s="44"/>
      <c r="AC1733" s="44"/>
      <c r="AF1733" s="25"/>
      <c r="AG1733" s="58" t="e">
        <f t="shared" si="162"/>
        <v>#N/A</v>
      </c>
      <c r="AH1733" s="58"/>
      <c r="AI1733" s="58"/>
      <c r="AJ1733" s="58"/>
      <c r="AK1733" s="58"/>
      <c r="AL1733" s="58"/>
      <c r="AM1733" s="58"/>
      <c r="AN1733" s="58"/>
      <c r="AO1733" s="58"/>
    </row>
    <row r="1734" spans="4:41" ht="15.75" customHeight="1">
      <c r="D1734" s="7">
        <f t="shared" si="159"/>
        <v>0</v>
      </c>
      <c r="E1734" s="7">
        <v>0</v>
      </c>
      <c r="F1734" s="5">
        <v>0</v>
      </c>
      <c r="G1734" s="7">
        <v>0</v>
      </c>
      <c r="H1734" s="5">
        <v>0</v>
      </c>
      <c r="I1734" s="7">
        <v>0</v>
      </c>
      <c r="J1734" s="7">
        <v>0</v>
      </c>
      <c r="K1734" s="5">
        <v>0</v>
      </c>
      <c r="L1734" s="5">
        <v>0</v>
      </c>
      <c r="M1734" s="5">
        <v>0</v>
      </c>
      <c r="N1734" s="7">
        <f t="shared" si="160"/>
        <v>0</v>
      </c>
      <c r="O1734" s="7">
        <v>0</v>
      </c>
      <c r="P1734" s="7">
        <v>0</v>
      </c>
      <c r="Q1734" s="5">
        <v>0</v>
      </c>
      <c r="S1734" s="7">
        <v>0</v>
      </c>
      <c r="V1734" s="4">
        <v>9</v>
      </c>
      <c r="W1734" s="4">
        <v>9</v>
      </c>
      <c r="X1734" s="45">
        <f t="shared" si="161"/>
        <v>0</v>
      </c>
      <c r="AB1734" s="44"/>
      <c r="AC1734" s="44"/>
      <c r="AF1734" s="25"/>
      <c r="AG1734" s="58" t="e">
        <f t="shared" si="162"/>
        <v>#N/A</v>
      </c>
      <c r="AH1734" s="58"/>
      <c r="AI1734" s="58"/>
      <c r="AJ1734" s="58"/>
      <c r="AK1734" s="58"/>
      <c r="AL1734" s="58"/>
      <c r="AM1734" s="58"/>
      <c r="AN1734" s="58"/>
      <c r="AO1734" s="58"/>
    </row>
    <row r="1735" spans="4:41" ht="15.75" customHeight="1">
      <c r="D1735" s="7">
        <f t="shared" si="159"/>
        <v>0</v>
      </c>
      <c r="E1735" s="7">
        <v>0</v>
      </c>
      <c r="F1735" s="5">
        <v>0</v>
      </c>
      <c r="G1735" s="7">
        <v>0</v>
      </c>
      <c r="H1735" s="5">
        <v>0</v>
      </c>
      <c r="I1735" s="7">
        <v>0</v>
      </c>
      <c r="J1735" s="7">
        <v>0</v>
      </c>
      <c r="K1735" s="5">
        <v>0</v>
      </c>
      <c r="L1735" s="5">
        <v>0</v>
      </c>
      <c r="M1735" s="5">
        <v>0</v>
      </c>
      <c r="N1735" s="7">
        <f t="shared" si="160"/>
        <v>0</v>
      </c>
      <c r="O1735" s="7">
        <v>0</v>
      </c>
      <c r="P1735" s="7">
        <v>0</v>
      </c>
      <c r="Q1735" s="5">
        <v>0</v>
      </c>
      <c r="S1735" s="7">
        <v>0</v>
      </c>
      <c r="V1735" s="4">
        <v>9</v>
      </c>
      <c r="W1735" s="4">
        <v>9</v>
      </c>
      <c r="X1735" s="45">
        <f t="shared" si="161"/>
        <v>0</v>
      </c>
      <c r="AB1735" s="44"/>
      <c r="AC1735" s="44"/>
      <c r="AF1735" s="25"/>
      <c r="AG1735" s="58" t="e">
        <f t="shared" si="162"/>
        <v>#N/A</v>
      </c>
      <c r="AH1735" s="58"/>
      <c r="AI1735" s="58"/>
      <c r="AJ1735" s="58"/>
      <c r="AK1735" s="58"/>
      <c r="AL1735" s="58"/>
      <c r="AM1735" s="58"/>
      <c r="AN1735" s="58"/>
      <c r="AO1735" s="58"/>
    </row>
    <row r="1736" spans="4:41" ht="15.75" customHeight="1">
      <c r="D1736" s="7">
        <f t="shared" si="159"/>
        <v>0</v>
      </c>
      <c r="E1736" s="7">
        <v>0</v>
      </c>
      <c r="F1736" s="5">
        <v>0</v>
      </c>
      <c r="G1736" s="7">
        <v>0</v>
      </c>
      <c r="H1736" s="5">
        <v>0</v>
      </c>
      <c r="I1736" s="7">
        <v>0</v>
      </c>
      <c r="J1736" s="7">
        <v>0</v>
      </c>
      <c r="K1736" s="5">
        <v>0</v>
      </c>
      <c r="L1736" s="5">
        <v>0</v>
      </c>
      <c r="M1736" s="5">
        <v>0</v>
      </c>
      <c r="N1736" s="7">
        <f t="shared" si="160"/>
        <v>0</v>
      </c>
      <c r="O1736" s="7">
        <v>0</v>
      </c>
      <c r="P1736" s="7">
        <v>0</v>
      </c>
      <c r="Q1736" s="5">
        <v>0</v>
      </c>
      <c r="S1736" s="7">
        <v>0</v>
      </c>
      <c r="V1736" s="4">
        <v>9</v>
      </c>
      <c r="W1736" s="4">
        <v>9</v>
      </c>
      <c r="X1736" s="45">
        <f t="shared" si="161"/>
        <v>0</v>
      </c>
      <c r="AB1736" s="44"/>
      <c r="AC1736" s="44"/>
      <c r="AF1736" s="25"/>
      <c r="AG1736" s="58" t="e">
        <f t="shared" si="162"/>
        <v>#N/A</v>
      </c>
      <c r="AH1736" s="58"/>
      <c r="AI1736" s="58"/>
      <c r="AJ1736" s="58"/>
      <c r="AK1736" s="58"/>
      <c r="AL1736" s="58"/>
      <c r="AM1736" s="58"/>
      <c r="AN1736" s="58"/>
      <c r="AO1736" s="58"/>
    </row>
    <row r="1737" spans="4:41" ht="15.75" customHeight="1">
      <c r="D1737" s="7">
        <f t="shared" si="159"/>
        <v>0</v>
      </c>
      <c r="E1737" s="7">
        <v>0</v>
      </c>
      <c r="F1737" s="5">
        <v>0</v>
      </c>
      <c r="G1737" s="7">
        <v>0</v>
      </c>
      <c r="H1737" s="5">
        <v>0</v>
      </c>
      <c r="I1737" s="7">
        <v>0</v>
      </c>
      <c r="J1737" s="7">
        <v>0</v>
      </c>
      <c r="K1737" s="5">
        <v>0</v>
      </c>
      <c r="L1737" s="5">
        <v>0</v>
      </c>
      <c r="M1737" s="5">
        <v>0</v>
      </c>
      <c r="N1737" s="7">
        <f t="shared" si="160"/>
        <v>0</v>
      </c>
      <c r="O1737" s="7">
        <v>0</v>
      </c>
      <c r="P1737" s="7">
        <v>0</v>
      </c>
      <c r="Q1737" s="5">
        <v>0</v>
      </c>
      <c r="S1737" s="7">
        <v>0</v>
      </c>
      <c r="V1737" s="4">
        <v>9</v>
      </c>
      <c r="W1737" s="4">
        <v>9</v>
      </c>
      <c r="X1737" s="45">
        <f t="shared" si="161"/>
        <v>0</v>
      </c>
      <c r="AB1737" s="44"/>
      <c r="AC1737" s="44"/>
      <c r="AF1737" s="25"/>
      <c r="AG1737" s="58" t="e">
        <f t="shared" si="162"/>
        <v>#N/A</v>
      </c>
      <c r="AH1737" s="58"/>
      <c r="AI1737" s="58"/>
      <c r="AJ1737" s="58"/>
      <c r="AK1737" s="58"/>
      <c r="AL1737" s="58"/>
      <c r="AM1737" s="58"/>
      <c r="AN1737" s="58"/>
      <c r="AO1737" s="58"/>
    </row>
    <row r="1738" spans="4:41" ht="15.75" customHeight="1">
      <c r="D1738" s="7">
        <f t="shared" si="159"/>
        <v>0</v>
      </c>
      <c r="E1738" s="7">
        <v>0</v>
      </c>
      <c r="F1738" s="5">
        <v>0</v>
      </c>
      <c r="G1738" s="7">
        <v>0</v>
      </c>
      <c r="H1738" s="5">
        <v>0</v>
      </c>
      <c r="I1738" s="7">
        <v>0</v>
      </c>
      <c r="J1738" s="7">
        <v>0</v>
      </c>
      <c r="K1738" s="5">
        <v>0</v>
      </c>
      <c r="L1738" s="5">
        <v>0</v>
      </c>
      <c r="M1738" s="5">
        <v>0</v>
      </c>
      <c r="N1738" s="7">
        <f t="shared" si="160"/>
        <v>0</v>
      </c>
      <c r="O1738" s="7">
        <v>0</v>
      </c>
      <c r="P1738" s="7">
        <v>0</v>
      </c>
      <c r="Q1738" s="5">
        <v>0</v>
      </c>
      <c r="S1738" s="7">
        <v>0</v>
      </c>
      <c r="V1738" s="4">
        <v>9</v>
      </c>
      <c r="W1738" s="4">
        <v>9</v>
      </c>
      <c r="X1738" s="45">
        <f t="shared" si="161"/>
        <v>0</v>
      </c>
      <c r="AB1738" s="44"/>
      <c r="AC1738" s="44"/>
      <c r="AF1738" s="25"/>
      <c r="AG1738" s="58" t="e">
        <f t="shared" si="162"/>
        <v>#N/A</v>
      </c>
      <c r="AH1738" s="58"/>
      <c r="AI1738" s="58"/>
      <c r="AJ1738" s="58"/>
      <c r="AK1738" s="58"/>
      <c r="AL1738" s="58"/>
      <c r="AM1738" s="58"/>
      <c r="AN1738" s="58"/>
      <c r="AO1738" s="58"/>
    </row>
    <row r="1739" spans="4:41" ht="15.75" customHeight="1">
      <c r="D1739" s="7">
        <f t="shared" si="159"/>
        <v>0</v>
      </c>
      <c r="E1739" s="7">
        <v>0</v>
      </c>
      <c r="F1739" s="5">
        <v>0</v>
      </c>
      <c r="G1739" s="7">
        <v>0</v>
      </c>
      <c r="H1739" s="5">
        <v>0</v>
      </c>
      <c r="I1739" s="7">
        <v>0</v>
      </c>
      <c r="J1739" s="7">
        <v>0</v>
      </c>
      <c r="K1739" s="5">
        <v>0</v>
      </c>
      <c r="L1739" s="5">
        <v>0</v>
      </c>
      <c r="M1739" s="5">
        <v>0</v>
      </c>
      <c r="N1739" s="7">
        <f t="shared" si="160"/>
        <v>0</v>
      </c>
      <c r="O1739" s="7">
        <v>0</v>
      </c>
      <c r="P1739" s="7">
        <v>0</v>
      </c>
      <c r="Q1739" s="5">
        <v>0</v>
      </c>
      <c r="S1739" s="7">
        <v>0</v>
      </c>
      <c r="V1739" s="4">
        <v>9</v>
      </c>
      <c r="W1739" s="4">
        <v>9</v>
      </c>
      <c r="X1739" s="45">
        <f t="shared" si="161"/>
        <v>0</v>
      </c>
      <c r="AB1739" s="44"/>
      <c r="AC1739" s="44"/>
      <c r="AF1739" s="25"/>
      <c r="AG1739" s="58" t="e">
        <f t="shared" si="162"/>
        <v>#N/A</v>
      </c>
      <c r="AH1739" s="58"/>
      <c r="AI1739" s="58"/>
      <c r="AJ1739" s="58"/>
      <c r="AK1739" s="58"/>
      <c r="AL1739" s="58"/>
      <c r="AM1739" s="58"/>
      <c r="AN1739" s="58"/>
      <c r="AO1739" s="58"/>
    </row>
    <row r="1740" spans="4:41" ht="15.75" customHeight="1">
      <c r="D1740" s="7">
        <f t="shared" si="159"/>
        <v>0</v>
      </c>
      <c r="E1740" s="7">
        <v>0</v>
      </c>
      <c r="F1740" s="5">
        <v>0</v>
      </c>
      <c r="G1740" s="7">
        <v>0</v>
      </c>
      <c r="H1740" s="5">
        <v>0</v>
      </c>
      <c r="I1740" s="7">
        <v>0</v>
      </c>
      <c r="J1740" s="7">
        <v>0</v>
      </c>
      <c r="K1740" s="5">
        <v>0</v>
      </c>
      <c r="L1740" s="5">
        <v>0</v>
      </c>
      <c r="M1740" s="5">
        <v>0</v>
      </c>
      <c r="N1740" s="7">
        <f t="shared" si="160"/>
        <v>0</v>
      </c>
      <c r="O1740" s="7">
        <v>0</v>
      </c>
      <c r="P1740" s="7">
        <v>0</v>
      </c>
      <c r="Q1740" s="5">
        <v>0</v>
      </c>
      <c r="S1740" s="7">
        <v>0</v>
      </c>
      <c r="V1740" s="4">
        <v>9</v>
      </c>
      <c r="W1740" s="4">
        <v>9</v>
      </c>
      <c r="X1740" s="45">
        <f t="shared" si="161"/>
        <v>0</v>
      </c>
      <c r="AB1740" s="44"/>
      <c r="AC1740" s="44"/>
      <c r="AF1740" s="25"/>
      <c r="AG1740" s="58" t="e">
        <f t="shared" si="162"/>
        <v>#N/A</v>
      </c>
      <c r="AH1740" s="58"/>
      <c r="AI1740" s="58"/>
      <c r="AJ1740" s="58"/>
      <c r="AK1740" s="58"/>
      <c r="AL1740" s="58"/>
      <c r="AM1740" s="58"/>
      <c r="AN1740" s="58"/>
      <c r="AO1740" s="58"/>
    </row>
    <row r="1741" spans="4:41" ht="15.75" customHeight="1">
      <c r="D1741" s="7">
        <f t="shared" si="159"/>
        <v>0</v>
      </c>
      <c r="E1741" s="7">
        <v>0</v>
      </c>
      <c r="F1741" s="5">
        <v>0</v>
      </c>
      <c r="G1741" s="7">
        <v>0</v>
      </c>
      <c r="H1741" s="5">
        <v>0</v>
      </c>
      <c r="I1741" s="7">
        <v>0</v>
      </c>
      <c r="J1741" s="7">
        <v>0</v>
      </c>
      <c r="K1741" s="5">
        <v>0</v>
      </c>
      <c r="L1741" s="5">
        <v>0</v>
      </c>
      <c r="M1741" s="5">
        <v>0</v>
      </c>
      <c r="N1741" s="7">
        <f t="shared" si="160"/>
        <v>0</v>
      </c>
      <c r="O1741" s="7">
        <v>0</v>
      </c>
      <c r="P1741" s="7">
        <v>0</v>
      </c>
      <c r="Q1741" s="5">
        <v>0</v>
      </c>
      <c r="S1741" s="7">
        <v>0</v>
      </c>
      <c r="V1741" s="4">
        <v>9</v>
      </c>
      <c r="W1741" s="4">
        <v>9</v>
      </c>
      <c r="X1741" s="45">
        <f t="shared" si="161"/>
        <v>0</v>
      </c>
      <c r="AB1741" s="44"/>
      <c r="AC1741" s="44"/>
      <c r="AF1741" s="25"/>
      <c r="AG1741" s="58" t="e">
        <f t="shared" si="162"/>
        <v>#N/A</v>
      </c>
      <c r="AH1741" s="58"/>
      <c r="AI1741" s="58"/>
      <c r="AJ1741" s="58"/>
      <c r="AK1741" s="58"/>
      <c r="AL1741" s="58"/>
      <c r="AM1741" s="58"/>
      <c r="AN1741" s="58"/>
      <c r="AO1741" s="58"/>
    </row>
    <row r="1742" spans="4:41" ht="15.75" customHeight="1">
      <c r="D1742" s="7">
        <f t="shared" si="159"/>
        <v>0</v>
      </c>
      <c r="E1742" s="7">
        <v>0</v>
      </c>
      <c r="F1742" s="5">
        <v>0</v>
      </c>
      <c r="G1742" s="7">
        <v>0</v>
      </c>
      <c r="H1742" s="5">
        <v>0</v>
      </c>
      <c r="I1742" s="7">
        <v>0</v>
      </c>
      <c r="J1742" s="7">
        <v>0</v>
      </c>
      <c r="K1742" s="5">
        <v>0</v>
      </c>
      <c r="L1742" s="5">
        <v>0</v>
      </c>
      <c r="M1742" s="5">
        <v>0</v>
      </c>
      <c r="N1742" s="7">
        <f t="shared" si="160"/>
        <v>0</v>
      </c>
      <c r="O1742" s="7">
        <v>0</v>
      </c>
      <c r="P1742" s="7">
        <v>0</v>
      </c>
      <c r="Q1742" s="5">
        <v>0</v>
      </c>
      <c r="S1742" s="7">
        <v>0</v>
      </c>
      <c r="V1742" s="4">
        <v>9</v>
      </c>
      <c r="W1742" s="4">
        <v>9</v>
      </c>
      <c r="X1742" s="45">
        <f t="shared" si="161"/>
        <v>0</v>
      </c>
      <c r="AB1742" s="44"/>
      <c r="AC1742" s="44"/>
      <c r="AF1742" s="25"/>
      <c r="AG1742" s="58" t="e">
        <f t="shared" si="162"/>
        <v>#N/A</v>
      </c>
      <c r="AH1742" s="58"/>
      <c r="AI1742" s="58"/>
      <c r="AJ1742" s="58"/>
      <c r="AK1742" s="58"/>
      <c r="AL1742" s="58"/>
      <c r="AM1742" s="58"/>
      <c r="AN1742" s="58"/>
      <c r="AO1742" s="58"/>
    </row>
    <row r="1743" spans="4:41" ht="15.75" customHeight="1">
      <c r="D1743" s="7">
        <f t="shared" si="159"/>
        <v>0</v>
      </c>
      <c r="E1743" s="7">
        <v>0</v>
      </c>
      <c r="F1743" s="5">
        <v>0</v>
      </c>
      <c r="G1743" s="7">
        <v>0</v>
      </c>
      <c r="H1743" s="5">
        <v>0</v>
      </c>
      <c r="I1743" s="7">
        <v>0</v>
      </c>
      <c r="J1743" s="7">
        <v>0</v>
      </c>
      <c r="K1743" s="5">
        <v>0</v>
      </c>
      <c r="L1743" s="5">
        <v>0</v>
      </c>
      <c r="M1743" s="5">
        <v>0</v>
      </c>
      <c r="N1743" s="7">
        <f t="shared" si="160"/>
        <v>0</v>
      </c>
      <c r="O1743" s="7">
        <v>0</v>
      </c>
      <c r="P1743" s="7">
        <v>0</v>
      </c>
      <c r="Q1743" s="5">
        <v>0</v>
      </c>
      <c r="S1743" s="7">
        <v>0</v>
      </c>
      <c r="V1743" s="4">
        <v>9</v>
      </c>
      <c r="W1743" s="4">
        <v>9</v>
      </c>
      <c r="X1743" s="45">
        <f t="shared" si="161"/>
        <v>0</v>
      </c>
      <c r="AB1743" s="44"/>
      <c r="AC1743" s="44"/>
      <c r="AF1743" s="25"/>
      <c r="AG1743" s="58" t="e">
        <f t="shared" si="162"/>
        <v>#N/A</v>
      </c>
      <c r="AH1743" s="58"/>
      <c r="AI1743" s="58"/>
      <c r="AJ1743" s="58"/>
      <c r="AK1743" s="58"/>
      <c r="AL1743" s="58"/>
      <c r="AM1743" s="58"/>
      <c r="AN1743" s="58"/>
      <c r="AO1743" s="58"/>
    </row>
    <row r="1744" spans="4:41" ht="15.75" customHeight="1">
      <c r="D1744" s="7">
        <f t="shared" si="159"/>
        <v>0</v>
      </c>
      <c r="E1744" s="7">
        <v>0</v>
      </c>
      <c r="F1744" s="5">
        <v>0</v>
      </c>
      <c r="G1744" s="7">
        <v>0</v>
      </c>
      <c r="H1744" s="5">
        <v>0</v>
      </c>
      <c r="I1744" s="7">
        <v>0</v>
      </c>
      <c r="J1744" s="7">
        <v>0</v>
      </c>
      <c r="K1744" s="5">
        <v>0</v>
      </c>
      <c r="L1744" s="5">
        <v>0</v>
      </c>
      <c r="M1744" s="5">
        <v>0</v>
      </c>
      <c r="N1744" s="7">
        <f t="shared" si="160"/>
        <v>0</v>
      </c>
      <c r="O1744" s="7">
        <v>0</v>
      </c>
      <c r="P1744" s="7">
        <v>0</v>
      </c>
      <c r="Q1744" s="5">
        <v>0</v>
      </c>
      <c r="S1744" s="7">
        <v>0</v>
      </c>
      <c r="V1744" s="4">
        <v>9</v>
      </c>
      <c r="W1744" s="4">
        <v>9</v>
      </c>
      <c r="X1744" s="45">
        <f t="shared" si="161"/>
        <v>0</v>
      </c>
      <c r="AB1744" s="44"/>
      <c r="AC1744" s="44"/>
      <c r="AF1744" s="25"/>
      <c r="AG1744" s="58" t="e">
        <f t="shared" si="162"/>
        <v>#N/A</v>
      </c>
      <c r="AH1744" s="58"/>
      <c r="AI1744" s="58"/>
      <c r="AJ1744" s="58"/>
      <c r="AK1744" s="58"/>
      <c r="AL1744" s="58"/>
      <c r="AM1744" s="58"/>
      <c r="AN1744" s="58"/>
      <c r="AO1744" s="58"/>
    </row>
    <row r="1745" spans="4:41" ht="15.75" customHeight="1">
      <c r="D1745" s="7">
        <f t="shared" si="159"/>
        <v>0</v>
      </c>
      <c r="E1745" s="7">
        <v>0</v>
      </c>
      <c r="F1745" s="5">
        <v>0</v>
      </c>
      <c r="G1745" s="7">
        <v>0</v>
      </c>
      <c r="H1745" s="5">
        <v>0</v>
      </c>
      <c r="I1745" s="7">
        <v>0</v>
      </c>
      <c r="J1745" s="7">
        <v>0</v>
      </c>
      <c r="K1745" s="5">
        <v>0</v>
      </c>
      <c r="L1745" s="5">
        <v>0</v>
      </c>
      <c r="M1745" s="5">
        <v>0</v>
      </c>
      <c r="N1745" s="7">
        <f t="shared" si="160"/>
        <v>0</v>
      </c>
      <c r="O1745" s="7">
        <v>0</v>
      </c>
      <c r="P1745" s="7">
        <v>0</v>
      </c>
      <c r="Q1745" s="5">
        <v>0</v>
      </c>
      <c r="S1745" s="7">
        <v>0</v>
      </c>
      <c r="V1745" s="4">
        <v>9</v>
      </c>
      <c r="W1745" s="4">
        <v>9</v>
      </c>
      <c r="X1745" s="45">
        <f t="shared" si="161"/>
        <v>0</v>
      </c>
      <c r="AB1745" s="44"/>
      <c r="AC1745" s="44"/>
      <c r="AF1745" s="25"/>
      <c r="AG1745" s="58" t="e">
        <f t="shared" si="162"/>
        <v>#N/A</v>
      </c>
      <c r="AH1745" s="58"/>
      <c r="AI1745" s="58"/>
      <c r="AJ1745" s="58"/>
      <c r="AK1745" s="58"/>
      <c r="AL1745" s="58"/>
      <c r="AM1745" s="58"/>
      <c r="AN1745" s="58"/>
      <c r="AO1745" s="58"/>
    </row>
    <row r="1746" spans="4:41" ht="15.75" customHeight="1">
      <c r="D1746" s="7">
        <f t="shared" si="159"/>
        <v>0</v>
      </c>
      <c r="E1746" s="7">
        <v>0</v>
      </c>
      <c r="F1746" s="5">
        <v>0</v>
      </c>
      <c r="G1746" s="7">
        <v>0</v>
      </c>
      <c r="H1746" s="5">
        <v>0</v>
      </c>
      <c r="I1746" s="7">
        <v>0</v>
      </c>
      <c r="J1746" s="7">
        <v>0</v>
      </c>
      <c r="K1746" s="5">
        <v>0</v>
      </c>
      <c r="L1746" s="5">
        <v>0</v>
      </c>
      <c r="M1746" s="5">
        <v>0</v>
      </c>
      <c r="N1746" s="7">
        <f t="shared" si="160"/>
        <v>0</v>
      </c>
      <c r="O1746" s="7">
        <v>0</v>
      </c>
      <c r="P1746" s="7">
        <v>0</v>
      </c>
      <c r="Q1746" s="5">
        <v>0</v>
      </c>
      <c r="S1746" s="7">
        <v>0</v>
      </c>
      <c r="V1746" s="4">
        <v>9</v>
      </c>
      <c r="W1746" s="4">
        <v>9</v>
      </c>
      <c r="X1746" s="45">
        <f t="shared" si="161"/>
        <v>0</v>
      </c>
      <c r="AB1746" s="44"/>
      <c r="AC1746" s="44"/>
      <c r="AF1746" s="25"/>
      <c r="AG1746" s="58" t="e">
        <f t="shared" si="162"/>
        <v>#N/A</v>
      </c>
      <c r="AH1746" s="58"/>
      <c r="AI1746" s="58"/>
      <c r="AJ1746" s="58"/>
      <c r="AK1746" s="58"/>
      <c r="AL1746" s="58"/>
      <c r="AM1746" s="58"/>
      <c r="AN1746" s="58"/>
      <c r="AO1746" s="58"/>
    </row>
    <row r="1747" spans="4:41" ht="15.75" customHeight="1">
      <c r="D1747" s="7">
        <f t="shared" si="159"/>
        <v>0</v>
      </c>
      <c r="E1747" s="7">
        <v>0</v>
      </c>
      <c r="F1747" s="5">
        <v>0</v>
      </c>
      <c r="G1747" s="7">
        <v>0</v>
      </c>
      <c r="H1747" s="5">
        <v>0</v>
      </c>
      <c r="I1747" s="7">
        <v>0</v>
      </c>
      <c r="J1747" s="7">
        <v>0</v>
      </c>
      <c r="K1747" s="5">
        <v>0</v>
      </c>
      <c r="L1747" s="5">
        <v>0</v>
      </c>
      <c r="M1747" s="5">
        <v>0</v>
      </c>
      <c r="N1747" s="7">
        <f t="shared" si="160"/>
        <v>0</v>
      </c>
      <c r="O1747" s="7">
        <v>0</v>
      </c>
      <c r="P1747" s="7">
        <v>0</v>
      </c>
      <c r="Q1747" s="5">
        <v>0</v>
      </c>
      <c r="S1747" s="7">
        <v>0</v>
      </c>
      <c r="V1747" s="4">
        <v>9</v>
      </c>
      <c r="W1747" s="4">
        <v>9</v>
      </c>
      <c r="X1747" s="45">
        <f t="shared" si="161"/>
        <v>0</v>
      </c>
      <c r="AB1747" s="44"/>
      <c r="AC1747" s="44"/>
      <c r="AF1747" s="25"/>
      <c r="AG1747" s="58" t="e">
        <f t="shared" si="162"/>
        <v>#N/A</v>
      </c>
      <c r="AH1747" s="58"/>
      <c r="AI1747" s="58"/>
      <c r="AJ1747" s="58"/>
      <c r="AK1747" s="58"/>
      <c r="AL1747" s="58"/>
      <c r="AM1747" s="58"/>
      <c r="AN1747" s="58"/>
      <c r="AO1747" s="58"/>
    </row>
    <row r="1748" spans="4:41" ht="15.75" customHeight="1">
      <c r="D1748" s="7">
        <f t="shared" si="159"/>
        <v>0</v>
      </c>
      <c r="E1748" s="7">
        <v>0</v>
      </c>
      <c r="F1748" s="5">
        <v>0</v>
      </c>
      <c r="G1748" s="7">
        <v>0</v>
      </c>
      <c r="H1748" s="5">
        <v>0</v>
      </c>
      <c r="I1748" s="7">
        <v>0</v>
      </c>
      <c r="J1748" s="7">
        <v>0</v>
      </c>
      <c r="K1748" s="5">
        <v>0</v>
      </c>
      <c r="L1748" s="5">
        <v>0</v>
      </c>
      <c r="M1748" s="5">
        <v>0</v>
      </c>
      <c r="N1748" s="7">
        <f t="shared" si="160"/>
        <v>0</v>
      </c>
      <c r="O1748" s="7">
        <v>0</v>
      </c>
      <c r="P1748" s="7">
        <v>0</v>
      </c>
      <c r="Q1748" s="5">
        <v>0</v>
      </c>
      <c r="S1748" s="7">
        <v>0</v>
      </c>
      <c r="V1748" s="4">
        <v>9</v>
      </c>
      <c r="W1748" s="4">
        <v>9</v>
      </c>
      <c r="X1748" s="45">
        <f t="shared" si="161"/>
        <v>0</v>
      </c>
      <c r="AB1748" s="44"/>
      <c r="AC1748" s="44"/>
      <c r="AF1748" s="25"/>
      <c r="AG1748" s="58" t="e">
        <f t="shared" si="162"/>
        <v>#N/A</v>
      </c>
      <c r="AH1748" s="58"/>
      <c r="AI1748" s="58"/>
      <c r="AJ1748" s="58"/>
      <c r="AK1748" s="58"/>
      <c r="AL1748" s="58"/>
      <c r="AM1748" s="58"/>
      <c r="AN1748" s="58"/>
      <c r="AO1748" s="58"/>
    </row>
  </sheetData>
  <autoFilter ref="A2:AP1748">
    <sortState ref="A3:AQ1888">
      <sortCondition ref="A2"/>
    </sortState>
  </autoFilter>
  <sortState ref="A3:AH363">
    <sortCondition ref="T3:T363"/>
    <sortCondition ref="A3:A363"/>
  </sortState>
  <mergeCells count="5">
    <mergeCell ref="H1:I1"/>
    <mergeCell ref="P1:S1"/>
    <mergeCell ref="J1:O1"/>
    <mergeCell ref="B1:C1"/>
    <mergeCell ref="D1:G1"/>
  </mergeCells>
  <conditionalFormatting sqref="A1">
    <cfRule type="duplicateValues" dxfId="893" priority="3411"/>
  </conditionalFormatting>
  <conditionalFormatting sqref="A1749:A1048576 A1128:A1148 A827:A876 A793:A795 A724:A725 A670:A675 A1:A661">
    <cfRule type="duplicateValues" dxfId="892" priority="3351"/>
  </conditionalFormatting>
  <conditionalFormatting sqref="C3:C841 C843:C876 C887:C977 C979:C1011 C1027 C1021:C1025 C1059:C1084 C1159:C1167 C1592:C1048576">
    <cfRule type="notContainsBlanks" dxfId="891" priority="3462">
      <formula>LEN(TRIM(C3))&gt;0</formula>
    </cfRule>
  </conditionalFormatting>
  <conditionalFormatting sqref="N859 N860:O876 N3:O858 J3:J876 J887:J977 N887:O977 N979:O1011 J979:J1011 J1021:J1029 N1021:O1029 N1059:O1084 J1059:J1084 J1592:J1048576 N1592:O1048576">
    <cfRule type="notContainsBlanks" dxfId="890" priority="3464">
      <formula>LEN(TRIM(J3))&gt;0</formula>
    </cfRule>
  </conditionalFormatting>
  <conditionalFormatting sqref="P3:P876 S3:S876 P887:P977 S887:S977 S979:S1011 P979:P1011 S1021:S1029 P1021:P1029 P1059:P1084 S1059:S1084 P1592:P1048576 S1592:S1048576">
    <cfRule type="notContainsBlanks" dxfId="889" priority="3465">
      <formula>LEN(TRIM(P3))&gt;0</formula>
    </cfRule>
  </conditionalFormatting>
  <conditionalFormatting sqref="I3:I834 I836:I876 I887:I977 I979:I1011 I1021:I1029 I1059:I1085 I1087 I1592:I1614 I1616:I1048576">
    <cfRule type="notContainsBlanks" dxfId="888" priority="3466">
      <formula>LEN(TRIM(I3))&gt;0</formula>
    </cfRule>
  </conditionalFormatting>
  <conditionalFormatting sqref="U1:U876 U887:U977 U979:U1011 U1021:U1029 U1059:U1084 U1592:U1048576">
    <cfRule type="notContainsBlanks" dxfId="887" priority="3298">
      <formula>LEN(TRIM(U1))&gt;0</formula>
    </cfRule>
  </conditionalFormatting>
  <conditionalFormatting sqref="A1:A2">
    <cfRule type="duplicateValues" dxfId="886" priority="3479"/>
  </conditionalFormatting>
  <conditionalFormatting sqref="AE76:AE78">
    <cfRule type="duplicateValues" dxfId="885" priority="3010"/>
  </conditionalFormatting>
  <conditionalFormatting sqref="AE79">
    <cfRule type="duplicateValues" dxfId="884" priority="2998"/>
  </conditionalFormatting>
  <conditionalFormatting sqref="AE80">
    <cfRule type="duplicateValues" dxfId="883" priority="2986"/>
  </conditionalFormatting>
  <conditionalFormatting sqref="AE81">
    <cfRule type="duplicateValues" dxfId="882" priority="2974"/>
  </conditionalFormatting>
  <conditionalFormatting sqref="AE82">
    <cfRule type="duplicateValues" dxfId="881" priority="2962"/>
  </conditionalFormatting>
  <conditionalFormatting sqref="AE83">
    <cfRule type="duplicateValues" dxfId="880" priority="2950"/>
  </conditionalFormatting>
  <conditionalFormatting sqref="AE84">
    <cfRule type="duplicateValues" dxfId="879" priority="2938"/>
  </conditionalFormatting>
  <conditionalFormatting sqref="AE85">
    <cfRule type="duplicateValues" dxfId="878" priority="2914"/>
  </conditionalFormatting>
  <conditionalFormatting sqref="AE86">
    <cfRule type="duplicateValues" dxfId="877" priority="2890"/>
  </conditionalFormatting>
  <conditionalFormatting sqref="AE87">
    <cfRule type="duplicateValues" dxfId="876" priority="2878"/>
  </conditionalFormatting>
  <conditionalFormatting sqref="AE88">
    <cfRule type="duplicateValues" dxfId="875" priority="2830"/>
  </conditionalFormatting>
  <conditionalFormatting sqref="AE89">
    <cfRule type="duplicateValues" dxfId="874" priority="2818"/>
  </conditionalFormatting>
  <conditionalFormatting sqref="AE90">
    <cfRule type="duplicateValues" dxfId="873" priority="2806"/>
  </conditionalFormatting>
  <conditionalFormatting sqref="AE91">
    <cfRule type="duplicateValues" dxfId="872" priority="2794"/>
  </conditionalFormatting>
  <conditionalFormatting sqref="AE92">
    <cfRule type="duplicateValues" dxfId="871" priority="2770"/>
  </conditionalFormatting>
  <conditionalFormatting sqref="AE93">
    <cfRule type="duplicateValues" dxfId="870" priority="2758"/>
  </conditionalFormatting>
  <conditionalFormatting sqref="AE94">
    <cfRule type="duplicateValues" dxfId="869" priority="2746"/>
  </conditionalFormatting>
  <conditionalFormatting sqref="AE95:AE96">
    <cfRule type="duplicateValues" dxfId="868" priority="2722"/>
  </conditionalFormatting>
  <conditionalFormatting sqref="AE97">
    <cfRule type="duplicateValues" dxfId="867" priority="2702"/>
  </conditionalFormatting>
  <conditionalFormatting sqref="AE98">
    <cfRule type="duplicateValues" dxfId="866" priority="2694"/>
  </conditionalFormatting>
  <conditionalFormatting sqref="AE99">
    <cfRule type="duplicateValues" dxfId="865" priority="2686"/>
  </conditionalFormatting>
  <conditionalFormatting sqref="AE100">
    <cfRule type="duplicateValues" dxfId="864" priority="2662"/>
  </conditionalFormatting>
  <conditionalFormatting sqref="AE101">
    <cfRule type="duplicateValues" dxfId="863" priority="2654"/>
  </conditionalFormatting>
  <conditionalFormatting sqref="AE102">
    <cfRule type="duplicateValues" dxfId="862" priority="2646"/>
  </conditionalFormatting>
  <conditionalFormatting sqref="AE103">
    <cfRule type="duplicateValues" dxfId="861" priority="2638"/>
  </conditionalFormatting>
  <conditionalFormatting sqref="AE104">
    <cfRule type="duplicateValues" dxfId="860" priority="2630"/>
  </conditionalFormatting>
  <conditionalFormatting sqref="AE105">
    <cfRule type="duplicateValues" dxfId="859" priority="2622"/>
  </conditionalFormatting>
  <conditionalFormatting sqref="AE106">
    <cfRule type="duplicateValues" dxfId="858" priority="2598"/>
  </conditionalFormatting>
  <conditionalFormatting sqref="AE107">
    <cfRule type="duplicateValues" dxfId="857" priority="2590"/>
  </conditionalFormatting>
  <conditionalFormatting sqref="AE108">
    <cfRule type="duplicateValues" dxfId="856" priority="2582"/>
  </conditionalFormatting>
  <conditionalFormatting sqref="AE109">
    <cfRule type="duplicateValues" dxfId="855" priority="2574"/>
  </conditionalFormatting>
  <conditionalFormatting sqref="AE110">
    <cfRule type="duplicateValues" dxfId="854" priority="2566"/>
  </conditionalFormatting>
  <conditionalFormatting sqref="AE111">
    <cfRule type="duplicateValues" dxfId="853" priority="2558"/>
  </conditionalFormatting>
  <conditionalFormatting sqref="AE112">
    <cfRule type="duplicateValues" dxfId="852" priority="2550"/>
  </conditionalFormatting>
  <conditionalFormatting sqref="AE113">
    <cfRule type="duplicateValues" dxfId="851" priority="2542"/>
  </conditionalFormatting>
  <conditionalFormatting sqref="AE114">
    <cfRule type="duplicateValues" dxfId="850" priority="2534"/>
  </conditionalFormatting>
  <conditionalFormatting sqref="AE115">
    <cfRule type="duplicateValues" dxfId="849" priority="2526"/>
  </conditionalFormatting>
  <conditionalFormatting sqref="AE116">
    <cfRule type="duplicateValues" dxfId="848" priority="2518"/>
  </conditionalFormatting>
  <conditionalFormatting sqref="AE117">
    <cfRule type="duplicateValues" dxfId="847" priority="2495"/>
  </conditionalFormatting>
  <conditionalFormatting sqref="AE118">
    <cfRule type="duplicateValues" dxfId="846" priority="2488"/>
  </conditionalFormatting>
  <conditionalFormatting sqref="AE119">
    <cfRule type="duplicateValues" dxfId="845" priority="2481"/>
  </conditionalFormatting>
  <conditionalFormatting sqref="AE120">
    <cfRule type="duplicateValues" dxfId="844" priority="2474"/>
  </conditionalFormatting>
  <conditionalFormatting sqref="AE121">
    <cfRule type="duplicateValues" dxfId="843" priority="2467"/>
  </conditionalFormatting>
  <conditionalFormatting sqref="AE126">
    <cfRule type="duplicateValues" dxfId="842" priority="2460"/>
  </conditionalFormatting>
  <conditionalFormatting sqref="AE127">
    <cfRule type="duplicateValues" dxfId="841" priority="2453"/>
  </conditionalFormatting>
  <conditionalFormatting sqref="AE128">
    <cfRule type="duplicateValues" dxfId="840" priority="2446"/>
  </conditionalFormatting>
  <conditionalFormatting sqref="AE129">
    <cfRule type="duplicateValues" dxfId="839" priority="2439"/>
  </conditionalFormatting>
  <conditionalFormatting sqref="AE122">
    <cfRule type="duplicateValues" dxfId="838" priority="2431"/>
  </conditionalFormatting>
  <conditionalFormatting sqref="AE123">
    <cfRule type="duplicateValues" dxfId="837" priority="2423"/>
  </conditionalFormatting>
  <conditionalFormatting sqref="AE124">
    <cfRule type="duplicateValues" dxfId="836" priority="2415"/>
  </conditionalFormatting>
  <conditionalFormatting sqref="AE125">
    <cfRule type="duplicateValues" dxfId="835" priority="2407"/>
  </conditionalFormatting>
  <conditionalFormatting sqref="A117:A129">
    <cfRule type="duplicateValues" dxfId="834" priority="3520"/>
    <cfRule type="notContainsBlanks" dxfId="833" priority="3521">
      <formula>LEN(TRIM(A117))&gt;0</formula>
    </cfRule>
  </conditionalFormatting>
  <conditionalFormatting sqref="A117:A129">
    <cfRule type="duplicateValues" dxfId="832" priority="3524"/>
  </conditionalFormatting>
  <conditionalFormatting sqref="A117:A129">
    <cfRule type="duplicateValues" dxfId="831" priority="3532"/>
  </conditionalFormatting>
  <conditionalFormatting sqref="AE130">
    <cfRule type="duplicateValues" dxfId="830" priority="2391"/>
  </conditionalFormatting>
  <conditionalFormatting sqref="AE131">
    <cfRule type="duplicateValues" dxfId="829" priority="2375"/>
  </conditionalFormatting>
  <conditionalFormatting sqref="AE132">
    <cfRule type="duplicateValues" dxfId="828" priority="2335"/>
  </conditionalFormatting>
  <conditionalFormatting sqref="AE133">
    <cfRule type="duplicateValues" dxfId="827" priority="2327"/>
  </conditionalFormatting>
  <conditionalFormatting sqref="AE134">
    <cfRule type="duplicateValues" dxfId="826" priority="2319"/>
  </conditionalFormatting>
  <conditionalFormatting sqref="AE135">
    <cfRule type="duplicateValues" dxfId="825" priority="2311"/>
  </conditionalFormatting>
  <conditionalFormatting sqref="AE136">
    <cfRule type="duplicateValues" dxfId="824" priority="2303"/>
  </conditionalFormatting>
  <conditionalFormatting sqref="AE137">
    <cfRule type="duplicateValues" dxfId="823" priority="2295"/>
  </conditionalFormatting>
  <conditionalFormatting sqref="AE138">
    <cfRule type="duplicateValues" dxfId="822" priority="2279"/>
  </conditionalFormatting>
  <conditionalFormatting sqref="AE139">
    <cfRule type="duplicateValues" dxfId="821" priority="2271"/>
  </conditionalFormatting>
  <conditionalFormatting sqref="AE140">
    <cfRule type="duplicateValues" dxfId="820" priority="2255"/>
  </conditionalFormatting>
  <conditionalFormatting sqref="AE141">
    <cfRule type="duplicateValues" dxfId="819" priority="2247"/>
  </conditionalFormatting>
  <conditionalFormatting sqref="AE142">
    <cfRule type="duplicateValues" dxfId="818" priority="2223"/>
  </conditionalFormatting>
  <conditionalFormatting sqref="AE143">
    <cfRule type="duplicateValues" dxfId="817" priority="2191"/>
  </conditionalFormatting>
  <conditionalFormatting sqref="AE144">
    <cfRule type="duplicateValues" dxfId="816" priority="2183"/>
  </conditionalFormatting>
  <conditionalFormatting sqref="AE145">
    <cfRule type="duplicateValues" dxfId="815" priority="2175"/>
  </conditionalFormatting>
  <conditionalFormatting sqref="AE146">
    <cfRule type="duplicateValues" dxfId="814" priority="2167"/>
  </conditionalFormatting>
  <conditionalFormatting sqref="AE147">
    <cfRule type="duplicateValues" dxfId="813" priority="2159"/>
  </conditionalFormatting>
  <conditionalFormatting sqref="AE148">
    <cfRule type="duplicateValues" dxfId="812" priority="2151"/>
  </conditionalFormatting>
  <conditionalFormatting sqref="AE149">
    <cfRule type="duplicateValues" dxfId="811" priority="2143"/>
  </conditionalFormatting>
  <conditionalFormatting sqref="AE150">
    <cfRule type="duplicateValues" dxfId="810" priority="2135"/>
  </conditionalFormatting>
  <conditionalFormatting sqref="AE151">
    <cfRule type="duplicateValues" dxfId="809" priority="2127"/>
  </conditionalFormatting>
  <conditionalFormatting sqref="AE152">
    <cfRule type="duplicateValues" dxfId="808" priority="2111"/>
  </conditionalFormatting>
  <conditionalFormatting sqref="AE160:AE161">
    <cfRule type="duplicateValues" dxfId="807" priority="2049"/>
  </conditionalFormatting>
  <conditionalFormatting sqref="AE162:AE163">
    <cfRule type="duplicateValues" dxfId="806" priority="2036"/>
  </conditionalFormatting>
  <conditionalFormatting sqref="AE164:AE165">
    <cfRule type="duplicateValues" dxfId="805" priority="2023"/>
  </conditionalFormatting>
  <conditionalFormatting sqref="AE167">
    <cfRule type="duplicateValues" dxfId="804" priority="1976"/>
  </conditionalFormatting>
  <conditionalFormatting sqref="AE168">
    <cfRule type="duplicateValues" dxfId="803" priority="1963"/>
  </conditionalFormatting>
  <conditionalFormatting sqref="AE169">
    <cfRule type="duplicateValues" dxfId="802" priority="1956"/>
  </conditionalFormatting>
  <conditionalFormatting sqref="AE170">
    <cfRule type="duplicateValues" dxfId="801" priority="1949"/>
  </conditionalFormatting>
  <conditionalFormatting sqref="AE171">
    <cfRule type="duplicateValues" dxfId="800" priority="1942"/>
  </conditionalFormatting>
  <conditionalFormatting sqref="AE172">
    <cfRule type="duplicateValues" dxfId="799" priority="1928"/>
  </conditionalFormatting>
  <conditionalFormatting sqref="AE173">
    <cfRule type="duplicateValues" dxfId="798" priority="1921"/>
  </conditionalFormatting>
  <conditionalFormatting sqref="AE166">
    <cfRule type="duplicateValues" dxfId="797" priority="3616"/>
  </conditionalFormatting>
  <conditionalFormatting sqref="A176">
    <cfRule type="duplicateValues" dxfId="796" priority="1901"/>
    <cfRule type="notContainsBlanks" dxfId="795" priority="1902">
      <formula>LEN(TRIM(A176))&gt;0</formula>
    </cfRule>
  </conditionalFormatting>
  <conditionalFormatting sqref="A176">
    <cfRule type="duplicateValues" dxfId="794" priority="1903"/>
  </conditionalFormatting>
  <conditionalFormatting sqref="A176">
    <cfRule type="duplicateValues" dxfId="793" priority="1897"/>
  </conditionalFormatting>
  <conditionalFormatting sqref="AE175">
    <cfRule type="duplicateValues" dxfId="792" priority="1896"/>
  </conditionalFormatting>
  <conditionalFormatting sqref="AE176">
    <cfRule type="duplicateValues" dxfId="791" priority="1904"/>
  </conditionalFormatting>
  <conditionalFormatting sqref="A175">
    <cfRule type="duplicateValues" dxfId="790" priority="1905"/>
    <cfRule type="notContainsBlanks" dxfId="789" priority="1906">
      <formula>LEN(TRIM(A175))&gt;0</formula>
    </cfRule>
  </conditionalFormatting>
  <conditionalFormatting sqref="A175">
    <cfRule type="duplicateValues" dxfId="788" priority="1907"/>
  </conditionalFormatting>
  <conditionalFormatting sqref="A175">
    <cfRule type="duplicateValues" dxfId="787" priority="1908"/>
  </conditionalFormatting>
  <conditionalFormatting sqref="AE177">
    <cfRule type="duplicateValues" dxfId="786" priority="1871"/>
  </conditionalFormatting>
  <conditionalFormatting sqref="A177">
    <cfRule type="duplicateValues" dxfId="785" priority="1880"/>
    <cfRule type="notContainsBlanks" dxfId="784" priority="1881">
      <formula>LEN(TRIM(A177))&gt;0</formula>
    </cfRule>
  </conditionalFormatting>
  <conditionalFormatting sqref="A177">
    <cfRule type="duplicateValues" dxfId="783" priority="1882"/>
  </conditionalFormatting>
  <conditionalFormatting sqref="A177">
    <cfRule type="duplicateValues" dxfId="782" priority="1883"/>
  </conditionalFormatting>
  <conditionalFormatting sqref="A167:A173">
    <cfRule type="duplicateValues" dxfId="781" priority="3676"/>
    <cfRule type="notContainsBlanks" dxfId="780" priority="3677">
      <formula>LEN(TRIM(A167))&gt;0</formula>
    </cfRule>
  </conditionalFormatting>
  <conditionalFormatting sqref="A167:A173">
    <cfRule type="duplicateValues" dxfId="779" priority="3680"/>
  </conditionalFormatting>
  <conditionalFormatting sqref="A167:A173">
    <cfRule type="duplicateValues" dxfId="778" priority="3682"/>
  </conditionalFormatting>
  <conditionalFormatting sqref="A179">
    <cfRule type="duplicateValues" dxfId="777" priority="1855"/>
    <cfRule type="notContainsBlanks" dxfId="776" priority="1856">
      <formula>LEN(TRIM(A179))&gt;0</formula>
    </cfRule>
  </conditionalFormatting>
  <conditionalFormatting sqref="A179">
    <cfRule type="duplicateValues" dxfId="775" priority="1857"/>
  </conditionalFormatting>
  <conditionalFormatting sqref="A179">
    <cfRule type="duplicateValues" dxfId="774" priority="1851"/>
  </conditionalFormatting>
  <conditionalFormatting sqref="AE179">
    <cfRule type="duplicateValues" dxfId="773" priority="1858"/>
  </conditionalFormatting>
  <conditionalFormatting sqref="AE180">
    <cfRule type="duplicateValues" dxfId="772" priority="1840"/>
  </conditionalFormatting>
  <conditionalFormatting sqref="A180">
    <cfRule type="duplicateValues" dxfId="771" priority="1841"/>
    <cfRule type="notContainsBlanks" dxfId="770" priority="1842">
      <formula>LEN(TRIM(A180))&gt;0</formula>
    </cfRule>
  </conditionalFormatting>
  <conditionalFormatting sqref="A180">
    <cfRule type="duplicateValues" dxfId="769" priority="1843"/>
  </conditionalFormatting>
  <conditionalFormatting sqref="A180">
    <cfRule type="duplicateValues" dxfId="768" priority="1844"/>
  </conditionalFormatting>
  <conditionalFormatting sqref="A181">
    <cfRule type="duplicateValues" dxfId="767" priority="1830"/>
    <cfRule type="notContainsBlanks" dxfId="766" priority="1831">
      <formula>LEN(TRIM(A181))&gt;0</formula>
    </cfRule>
  </conditionalFormatting>
  <conditionalFormatting sqref="A181">
    <cfRule type="duplicateValues" dxfId="765" priority="1832"/>
  </conditionalFormatting>
  <conditionalFormatting sqref="A181">
    <cfRule type="duplicateValues" dxfId="764" priority="1826"/>
  </conditionalFormatting>
  <conditionalFormatting sqref="AE181">
    <cfRule type="duplicateValues" dxfId="763" priority="1833"/>
  </conditionalFormatting>
  <conditionalFormatting sqref="AE178">
    <cfRule type="duplicateValues" dxfId="762" priority="1752"/>
  </conditionalFormatting>
  <conditionalFormatting sqref="A1749:A1048576 A1128:A1148 A827:A876 A793:A795 A724:A725 A670:A675 A174 A130:A166 A1:A116 A178 A182:A661">
    <cfRule type="duplicateValues" dxfId="761" priority="3737"/>
    <cfRule type="notContainsBlanks" dxfId="760" priority="3738">
      <formula>LEN(TRIM(A1))&gt;0</formula>
    </cfRule>
  </conditionalFormatting>
  <conditionalFormatting sqref="A1749:A1048576 A1128:A1148 A827:A876 A793:A795 A724:A725 A670:A675 A174 A130:A166 A3:A116 A178 A182:A661">
    <cfRule type="duplicateValues" dxfId="759" priority="3749"/>
  </conditionalFormatting>
  <conditionalFormatting sqref="A1749:A1048576 A1128:A1148 A827:A876 A793:A795 A724:A725 A670:A675 A174 A130:A166 A1:A116 A178 A182:A661">
    <cfRule type="duplicateValues" dxfId="758" priority="3755"/>
  </conditionalFormatting>
  <conditionalFormatting sqref="AE182">
    <cfRule type="duplicateValues" dxfId="757" priority="1751"/>
  </conditionalFormatting>
  <conditionalFormatting sqref="AE183">
    <cfRule type="duplicateValues" dxfId="756" priority="1744"/>
  </conditionalFormatting>
  <conditionalFormatting sqref="AE184">
    <cfRule type="duplicateValues" dxfId="755" priority="1730"/>
  </conditionalFormatting>
  <conditionalFormatting sqref="AE185">
    <cfRule type="duplicateValues" dxfId="754" priority="1723"/>
  </conditionalFormatting>
  <conditionalFormatting sqref="AE186">
    <cfRule type="duplicateValues" dxfId="753" priority="1716"/>
  </conditionalFormatting>
  <conditionalFormatting sqref="AE187">
    <cfRule type="duplicateValues" dxfId="752" priority="1709"/>
  </conditionalFormatting>
  <conditionalFormatting sqref="AE188">
    <cfRule type="duplicateValues" dxfId="751" priority="1695"/>
  </conditionalFormatting>
  <conditionalFormatting sqref="AE189">
    <cfRule type="duplicateValues" dxfId="750" priority="1688"/>
  </conditionalFormatting>
  <conditionalFormatting sqref="AE190">
    <cfRule type="duplicateValues" dxfId="749" priority="1681"/>
  </conditionalFormatting>
  <conditionalFormatting sqref="AE191">
    <cfRule type="duplicateValues" dxfId="748" priority="1674"/>
  </conditionalFormatting>
  <conditionalFormatting sqref="AE192">
    <cfRule type="duplicateValues" dxfId="747" priority="1660"/>
  </conditionalFormatting>
  <conditionalFormatting sqref="AE193">
    <cfRule type="duplicateValues" dxfId="746" priority="1653"/>
  </conditionalFormatting>
  <conditionalFormatting sqref="AE194">
    <cfRule type="duplicateValues" dxfId="745" priority="1646"/>
  </conditionalFormatting>
  <conditionalFormatting sqref="AE195">
    <cfRule type="duplicateValues" dxfId="744" priority="1639"/>
  </conditionalFormatting>
  <conditionalFormatting sqref="AE196">
    <cfRule type="duplicateValues" dxfId="743" priority="1632"/>
  </conditionalFormatting>
  <conditionalFormatting sqref="AE197">
    <cfRule type="duplicateValues" dxfId="742" priority="1604"/>
  </conditionalFormatting>
  <conditionalFormatting sqref="AE198">
    <cfRule type="duplicateValues" dxfId="741" priority="1597"/>
  </conditionalFormatting>
  <conditionalFormatting sqref="AE199">
    <cfRule type="duplicateValues" dxfId="740" priority="1590"/>
  </conditionalFormatting>
  <conditionalFormatting sqref="AE200">
    <cfRule type="duplicateValues" dxfId="739" priority="1583"/>
  </conditionalFormatting>
  <conditionalFormatting sqref="AE201">
    <cfRule type="duplicateValues" dxfId="738" priority="1569"/>
  </conditionalFormatting>
  <conditionalFormatting sqref="AE202">
    <cfRule type="duplicateValues" dxfId="737" priority="1562"/>
  </conditionalFormatting>
  <conditionalFormatting sqref="A182:A189 A44:A116 A130:A166 A174 A178">
    <cfRule type="duplicateValues" dxfId="736" priority="3847"/>
    <cfRule type="notContainsBlanks" dxfId="735" priority="3848">
      <formula>LEN(TRIM(A44))&gt;0</formula>
    </cfRule>
  </conditionalFormatting>
  <conditionalFormatting sqref="A182:A189 A44:A116 A130:A166 A174 A178">
    <cfRule type="duplicateValues" dxfId="734" priority="3859"/>
  </conditionalFormatting>
  <conditionalFormatting sqref="AE203">
    <cfRule type="duplicateValues" dxfId="733" priority="1555"/>
  </conditionalFormatting>
  <conditionalFormatting sqref="AE204">
    <cfRule type="duplicateValues" dxfId="732" priority="1499"/>
  </conditionalFormatting>
  <conditionalFormatting sqref="AE205">
    <cfRule type="duplicateValues" dxfId="731" priority="1492"/>
  </conditionalFormatting>
  <conditionalFormatting sqref="AE206">
    <cfRule type="duplicateValues" dxfId="730" priority="1485"/>
  </conditionalFormatting>
  <conditionalFormatting sqref="AE207">
    <cfRule type="duplicateValues" dxfId="729" priority="1478"/>
  </conditionalFormatting>
  <conditionalFormatting sqref="AE208">
    <cfRule type="duplicateValues" dxfId="728" priority="1457"/>
  </conditionalFormatting>
  <conditionalFormatting sqref="AE225:AE226">
    <cfRule type="duplicateValues" dxfId="727" priority="1330"/>
  </conditionalFormatting>
  <conditionalFormatting sqref="AE227:AE228">
    <cfRule type="duplicateValues" dxfId="726" priority="1317"/>
  </conditionalFormatting>
  <conditionalFormatting sqref="AE230:AE231">
    <cfRule type="duplicateValues" dxfId="725" priority="1291"/>
  </conditionalFormatting>
  <conditionalFormatting sqref="AE232">
    <cfRule type="duplicateValues" dxfId="724" priority="3952"/>
  </conditionalFormatting>
  <conditionalFormatting sqref="AE233">
    <cfRule type="duplicateValues" dxfId="723" priority="1264"/>
  </conditionalFormatting>
  <conditionalFormatting sqref="AE234">
    <cfRule type="duplicateValues" dxfId="722" priority="1250"/>
  </conditionalFormatting>
  <conditionalFormatting sqref="AE235">
    <cfRule type="duplicateValues" dxfId="721" priority="1251"/>
  </conditionalFormatting>
  <conditionalFormatting sqref="AE236">
    <cfRule type="duplicateValues" dxfId="720" priority="1237"/>
  </conditionalFormatting>
  <conditionalFormatting sqref="AE237">
    <cfRule type="duplicateValues" dxfId="719" priority="1222"/>
  </conditionalFormatting>
  <conditionalFormatting sqref="AE238">
    <cfRule type="duplicateValues" dxfId="718" priority="1223"/>
  </conditionalFormatting>
  <conditionalFormatting sqref="AE239">
    <cfRule type="duplicateValues" dxfId="717" priority="1209"/>
  </conditionalFormatting>
  <conditionalFormatting sqref="AE229">
    <cfRule type="duplicateValues" dxfId="716" priority="3981"/>
  </conditionalFormatting>
  <conditionalFormatting sqref="AE240">
    <cfRule type="duplicateValues" dxfId="715" priority="1195"/>
  </conditionalFormatting>
  <conditionalFormatting sqref="AE241">
    <cfRule type="duplicateValues" dxfId="714" priority="1180"/>
  </conditionalFormatting>
  <conditionalFormatting sqref="AE242">
    <cfRule type="duplicateValues" dxfId="713" priority="1166"/>
  </conditionalFormatting>
  <conditionalFormatting sqref="AE243">
    <cfRule type="duplicateValues" dxfId="712" priority="1167"/>
  </conditionalFormatting>
  <conditionalFormatting sqref="AE244">
    <cfRule type="duplicateValues" dxfId="711" priority="1152"/>
  </conditionalFormatting>
  <conditionalFormatting sqref="AE245">
    <cfRule type="duplicateValues" dxfId="710" priority="1153"/>
  </conditionalFormatting>
  <conditionalFormatting sqref="AE1749:AE1048576 AE860:AE876 AE246:AE679 AE209:AE224 AE174 AE156:AE159 AE153:AE154 AE1:AE75 AE827:AE829 AE831:AE858 AE1129:AE1148">
    <cfRule type="duplicateValues" dxfId="709" priority="4024"/>
  </conditionalFormatting>
  <conditionalFormatting sqref="A662:A669">
    <cfRule type="duplicateValues" dxfId="708" priority="968"/>
  </conditionalFormatting>
  <conditionalFormatting sqref="A662:A669">
    <cfRule type="duplicateValues" dxfId="707" priority="973"/>
    <cfRule type="notContainsBlanks" dxfId="706" priority="974">
      <formula>LEN(TRIM(A662))&gt;0</formula>
    </cfRule>
  </conditionalFormatting>
  <conditionalFormatting sqref="A662:A669">
    <cfRule type="duplicateValues" dxfId="705" priority="976"/>
  </conditionalFormatting>
  <conditionalFormatting sqref="A676:A691">
    <cfRule type="duplicateValues" dxfId="704" priority="957"/>
  </conditionalFormatting>
  <conditionalFormatting sqref="A676:A691">
    <cfRule type="duplicateValues" dxfId="703" priority="962"/>
    <cfRule type="notContainsBlanks" dxfId="702" priority="963">
      <formula>LEN(TRIM(A676))&gt;0</formula>
    </cfRule>
  </conditionalFormatting>
  <conditionalFormatting sqref="A676:A691">
    <cfRule type="duplicateValues" dxfId="701" priority="965"/>
  </conditionalFormatting>
  <conditionalFormatting sqref="AE680:AE691">
    <cfRule type="duplicateValues" dxfId="700" priority="966"/>
  </conditionalFormatting>
  <conditionalFormatting sqref="A1749:A1048576 A1128:A1148 A827:A876 A793:A795 A724:A725 A1:A691">
    <cfRule type="duplicateValues" dxfId="699" priority="954"/>
  </conditionalFormatting>
  <conditionalFormatting sqref="A692">
    <cfRule type="duplicateValues" dxfId="698" priority="944"/>
  </conditionalFormatting>
  <conditionalFormatting sqref="A692">
    <cfRule type="duplicateValues" dxfId="697" priority="949"/>
    <cfRule type="notContainsBlanks" dxfId="696" priority="950">
      <formula>LEN(TRIM(A692))&gt;0</formula>
    </cfRule>
  </conditionalFormatting>
  <conditionalFormatting sqref="A692">
    <cfRule type="duplicateValues" dxfId="695" priority="952"/>
  </conditionalFormatting>
  <conditionalFormatting sqref="AE692">
    <cfRule type="duplicateValues" dxfId="694" priority="953"/>
  </conditionalFormatting>
  <conditionalFormatting sqref="A696">
    <cfRule type="duplicateValues" dxfId="693" priority="920"/>
  </conditionalFormatting>
  <conditionalFormatting sqref="A696">
    <cfRule type="duplicateValues" dxfId="692" priority="925"/>
    <cfRule type="notContainsBlanks" dxfId="691" priority="926">
      <formula>LEN(TRIM(A696))&gt;0</formula>
    </cfRule>
  </conditionalFormatting>
  <conditionalFormatting sqref="A696">
    <cfRule type="duplicateValues" dxfId="690" priority="928"/>
  </conditionalFormatting>
  <conditionalFormatting sqref="AE696">
    <cfRule type="duplicateValues" dxfId="689" priority="929"/>
  </conditionalFormatting>
  <conditionalFormatting sqref="A1749:A1048576 A1128:A1148 A827:A876 A793:A795 A724:A725 A1:A701">
    <cfRule type="duplicateValues" dxfId="688" priority="904"/>
  </conditionalFormatting>
  <conditionalFormatting sqref="A693:A695">
    <cfRule type="duplicateValues" dxfId="687" priority="4058"/>
  </conditionalFormatting>
  <conditionalFormatting sqref="A693:A695">
    <cfRule type="duplicateValues" dxfId="686" priority="4066"/>
    <cfRule type="notContainsBlanks" dxfId="685" priority="4067">
      <formula>LEN(TRIM(A693))&gt;0</formula>
    </cfRule>
  </conditionalFormatting>
  <conditionalFormatting sqref="A693:A695">
    <cfRule type="duplicateValues" dxfId="684" priority="4069"/>
  </conditionalFormatting>
  <conditionalFormatting sqref="AE693:AE695">
    <cfRule type="duplicateValues" dxfId="683" priority="4070"/>
  </conditionalFormatting>
  <conditionalFormatting sqref="A713:A718 A702:A707">
    <cfRule type="duplicateValues" dxfId="682" priority="894"/>
  </conditionalFormatting>
  <conditionalFormatting sqref="A713:A718 A702:A707">
    <cfRule type="duplicateValues" dxfId="681" priority="899"/>
    <cfRule type="notContainsBlanks" dxfId="680" priority="900">
      <formula>LEN(TRIM(A702))&gt;0</formula>
    </cfRule>
  </conditionalFormatting>
  <conditionalFormatting sqref="A713:A718">
    <cfRule type="duplicateValues" dxfId="679" priority="901"/>
  </conditionalFormatting>
  <conditionalFormatting sqref="A713:A718 A702:A707">
    <cfRule type="duplicateValues" dxfId="678" priority="902"/>
  </conditionalFormatting>
  <conditionalFormatting sqref="AE713:AE718 AE702:AE707">
    <cfRule type="duplicateValues" dxfId="677" priority="903"/>
  </conditionalFormatting>
  <conditionalFormatting sqref="A713:A718">
    <cfRule type="duplicateValues" dxfId="676" priority="892"/>
  </conditionalFormatting>
  <conditionalFormatting sqref="A1749:A1048576 A1128:A1148 A827:A876 A793:A795 A713:A718 A1:A707 A724:A725">
    <cfRule type="duplicateValues" dxfId="675" priority="890"/>
  </conditionalFormatting>
  <conditionalFormatting sqref="A1749:A1048576 A1128:A1148 A827:A876 A793:A795 A1:A718 A724:A725">
    <cfRule type="duplicateValues" dxfId="674" priority="875"/>
  </conditionalFormatting>
  <conditionalFormatting sqref="A708:A712">
    <cfRule type="duplicateValues" dxfId="673" priority="4229"/>
  </conditionalFormatting>
  <conditionalFormatting sqref="A708:A712">
    <cfRule type="duplicateValues" dxfId="672" priority="4237"/>
    <cfRule type="notContainsBlanks" dxfId="671" priority="4238">
      <formula>LEN(TRIM(A708))&gt;0</formula>
    </cfRule>
  </conditionalFormatting>
  <conditionalFormatting sqref="A708:A712">
    <cfRule type="duplicateValues" dxfId="670" priority="4240"/>
  </conditionalFormatting>
  <conditionalFormatting sqref="AE708:AE712">
    <cfRule type="duplicateValues" dxfId="669" priority="4241"/>
  </conditionalFormatting>
  <conditionalFormatting sqref="A697:A701">
    <cfRule type="duplicateValues" dxfId="668" priority="4298"/>
  </conditionalFormatting>
  <conditionalFormatting sqref="A697:A701">
    <cfRule type="duplicateValues" dxfId="667" priority="4300"/>
    <cfRule type="notContainsBlanks" dxfId="666" priority="4301">
      <formula>LEN(TRIM(A697))&gt;0</formula>
    </cfRule>
  </conditionalFormatting>
  <conditionalFormatting sqref="A697:A701">
    <cfRule type="duplicateValues" dxfId="665" priority="4304"/>
  </conditionalFormatting>
  <conditionalFormatting sqref="AE697:AE701">
    <cfRule type="duplicateValues" dxfId="664" priority="4306"/>
  </conditionalFormatting>
  <conditionalFormatting sqref="A719:A723">
    <cfRule type="duplicateValues" dxfId="663" priority="865"/>
  </conditionalFormatting>
  <conditionalFormatting sqref="A719:A723">
    <cfRule type="duplicateValues" dxfId="662" priority="870"/>
    <cfRule type="notContainsBlanks" dxfId="661" priority="871">
      <formula>LEN(TRIM(A719))&gt;0</formula>
    </cfRule>
  </conditionalFormatting>
  <conditionalFormatting sqref="A719:A723">
    <cfRule type="duplicateValues" dxfId="660" priority="873"/>
  </conditionalFormatting>
  <conditionalFormatting sqref="AE719:AE725">
    <cfRule type="duplicateValues" dxfId="659" priority="874"/>
  </conditionalFormatting>
  <conditionalFormatting sqref="A726">
    <cfRule type="duplicateValues" dxfId="658" priority="855"/>
  </conditionalFormatting>
  <conditionalFormatting sqref="A726">
    <cfRule type="duplicateValues" dxfId="657" priority="856"/>
    <cfRule type="notContainsBlanks" dxfId="656" priority="857">
      <formula>LEN(TRIM(A726))&gt;0</formula>
    </cfRule>
  </conditionalFormatting>
  <conditionalFormatting sqref="A726">
    <cfRule type="duplicateValues" dxfId="655" priority="859"/>
  </conditionalFormatting>
  <conditionalFormatting sqref="AE726">
    <cfRule type="duplicateValues" dxfId="654" priority="850"/>
  </conditionalFormatting>
  <conditionalFormatting sqref="A1749:A1048576 A1128:A1148 A827:A876 A793:A795 A763 A1:A752">
    <cfRule type="duplicateValues" dxfId="653" priority="825"/>
    <cfRule type="duplicateValues" dxfId="652" priority="826"/>
    <cfRule type="duplicateValues" dxfId="651" priority="828"/>
    <cfRule type="duplicateValues" dxfId="650" priority="829"/>
  </conditionalFormatting>
  <conditionalFormatting sqref="A763 A727:A752">
    <cfRule type="duplicateValues" dxfId="649" priority="4353"/>
  </conditionalFormatting>
  <conditionalFormatting sqref="A763 A727:A752">
    <cfRule type="duplicateValues" dxfId="648" priority="4355"/>
    <cfRule type="notContainsBlanks" dxfId="647" priority="4356">
      <formula>LEN(TRIM(A727))&gt;0</formula>
    </cfRule>
  </conditionalFormatting>
  <conditionalFormatting sqref="A763 A727:A752">
    <cfRule type="duplicateValues" dxfId="646" priority="4361"/>
  </conditionalFormatting>
  <conditionalFormatting sqref="AE763 AE727:AE752">
    <cfRule type="duplicateValues" dxfId="645" priority="4385"/>
  </conditionalFormatting>
  <conditionalFormatting sqref="A1749:A1048576 A1128:A1148 A827:A876 A793:A795 A1:A772">
    <cfRule type="duplicateValues" dxfId="644" priority="796"/>
  </conditionalFormatting>
  <conditionalFormatting sqref="A753:A762">
    <cfRule type="duplicateValues" dxfId="643" priority="4551"/>
    <cfRule type="duplicateValues" dxfId="642" priority="4552"/>
    <cfRule type="duplicateValues" dxfId="641" priority="4553"/>
    <cfRule type="duplicateValues" dxfId="640" priority="4554"/>
  </conditionalFormatting>
  <conditionalFormatting sqref="A753:A762">
    <cfRule type="duplicateValues" dxfId="639" priority="4559"/>
  </conditionalFormatting>
  <conditionalFormatting sqref="A753:A762">
    <cfRule type="duplicateValues" dxfId="638" priority="4561"/>
    <cfRule type="notContainsBlanks" dxfId="637" priority="4562">
      <formula>LEN(TRIM(A753))&gt;0</formula>
    </cfRule>
  </conditionalFormatting>
  <conditionalFormatting sqref="A753:A762">
    <cfRule type="duplicateValues" dxfId="636" priority="4565"/>
  </conditionalFormatting>
  <conditionalFormatting sqref="AE753:AE762">
    <cfRule type="duplicateValues" dxfId="635" priority="4567"/>
  </conditionalFormatting>
  <conditionalFormatting sqref="A773:A792">
    <cfRule type="duplicateValues" dxfId="634" priority="6532"/>
    <cfRule type="duplicateValues" dxfId="633" priority="6533"/>
    <cfRule type="duplicateValues" dxfId="632" priority="6534"/>
    <cfRule type="duplicateValues" dxfId="631" priority="6535"/>
  </conditionalFormatting>
  <conditionalFormatting sqref="A773:A792">
    <cfRule type="duplicateValues" dxfId="630" priority="6540"/>
  </conditionalFormatting>
  <conditionalFormatting sqref="A773:A792">
    <cfRule type="duplicateValues" dxfId="629" priority="6542"/>
    <cfRule type="notContainsBlanks" dxfId="628" priority="6543">
      <formula>LEN(TRIM(A773))&gt;0</formula>
    </cfRule>
  </conditionalFormatting>
  <conditionalFormatting sqref="A773:A792">
    <cfRule type="duplicateValues" dxfId="627" priority="6546"/>
  </conditionalFormatting>
  <conditionalFormatting sqref="AE773:AE795">
    <cfRule type="duplicateValues" dxfId="626" priority="6548"/>
  </conditionalFormatting>
  <conditionalFormatting sqref="A1749:A1048576 A1128:A1148 A827:A876 A1:A795">
    <cfRule type="duplicateValues" dxfId="625" priority="779"/>
  </conditionalFormatting>
  <conditionalFormatting sqref="A764:A772">
    <cfRule type="duplicateValues" dxfId="624" priority="6876"/>
    <cfRule type="duplicateValues" dxfId="623" priority="6877"/>
    <cfRule type="duplicateValues" dxfId="622" priority="6878"/>
    <cfRule type="duplicateValues" dxfId="621" priority="6879"/>
  </conditionalFormatting>
  <conditionalFormatting sqref="A764:A772">
    <cfRule type="duplicateValues" dxfId="620" priority="6884"/>
  </conditionalFormatting>
  <conditionalFormatting sqref="A764:A772">
    <cfRule type="duplicateValues" dxfId="619" priority="6886"/>
    <cfRule type="notContainsBlanks" dxfId="618" priority="6887">
      <formula>LEN(TRIM(A764))&gt;0</formula>
    </cfRule>
  </conditionalFormatting>
  <conditionalFormatting sqref="A764:A772">
    <cfRule type="duplicateValues" dxfId="617" priority="6890"/>
  </conditionalFormatting>
  <conditionalFormatting sqref="AE764:AE772">
    <cfRule type="duplicateValues" dxfId="616" priority="6892"/>
  </conditionalFormatting>
  <conditionalFormatting sqref="A1749:A1048576 A1128:A1148 A1:A809 A827:A876">
    <cfRule type="duplicateValues" dxfId="615" priority="755"/>
  </conditionalFormatting>
  <conditionalFormatting sqref="A796:A809">
    <cfRule type="duplicateValues" dxfId="614" priority="6963"/>
  </conditionalFormatting>
  <conditionalFormatting sqref="A796:A809">
    <cfRule type="duplicateValues" dxfId="613" priority="6977"/>
    <cfRule type="notContainsBlanks" dxfId="612" priority="6978">
      <formula>LEN(TRIM(A796))&gt;0</formula>
    </cfRule>
  </conditionalFormatting>
  <conditionalFormatting sqref="A796:A809">
    <cfRule type="duplicateValues" dxfId="611" priority="6983"/>
  </conditionalFormatting>
  <conditionalFormatting sqref="A796:A809">
    <cfRule type="duplicateValues" dxfId="610" priority="6993"/>
    <cfRule type="duplicateValues" dxfId="609" priority="6994"/>
    <cfRule type="duplicateValues" dxfId="608" priority="6995"/>
    <cfRule type="duplicateValues" dxfId="607" priority="6996"/>
  </conditionalFormatting>
  <conditionalFormatting sqref="AE796:AE809">
    <cfRule type="duplicateValues" dxfId="606" priority="7005"/>
  </conditionalFormatting>
  <conditionalFormatting sqref="A810:A811">
    <cfRule type="duplicateValues" dxfId="605" priority="740"/>
  </conditionalFormatting>
  <conditionalFormatting sqref="A810:A811">
    <cfRule type="duplicateValues" dxfId="604" priority="746"/>
  </conditionalFormatting>
  <conditionalFormatting sqref="A810:A811">
    <cfRule type="duplicateValues" dxfId="603" priority="747"/>
    <cfRule type="notContainsBlanks" dxfId="602" priority="748">
      <formula>LEN(TRIM(A810))&gt;0</formula>
    </cfRule>
  </conditionalFormatting>
  <conditionalFormatting sqref="A810:A811">
    <cfRule type="duplicateValues" dxfId="601" priority="750"/>
    <cfRule type="duplicateValues" dxfId="600" priority="751"/>
    <cfRule type="duplicateValues" dxfId="599" priority="752"/>
    <cfRule type="duplicateValues" dxfId="598" priority="753"/>
  </conditionalFormatting>
  <conditionalFormatting sqref="AE810:AE811">
    <cfRule type="duplicateValues" dxfId="597" priority="754"/>
  </conditionalFormatting>
  <conditionalFormatting sqref="A816:A821">
    <cfRule type="duplicateValues" dxfId="596" priority="718"/>
  </conditionalFormatting>
  <conditionalFormatting sqref="A816:A821">
    <cfRule type="duplicateValues" dxfId="595" priority="720"/>
    <cfRule type="notContainsBlanks" dxfId="594" priority="721">
      <formula>LEN(TRIM(A816))&gt;0</formula>
    </cfRule>
  </conditionalFormatting>
  <conditionalFormatting sqref="A816:A821">
    <cfRule type="duplicateValues" dxfId="593" priority="723"/>
  </conditionalFormatting>
  <conditionalFormatting sqref="A816:A821">
    <cfRule type="duplicateValues" dxfId="592" priority="710"/>
    <cfRule type="duplicateValues" dxfId="591" priority="711"/>
    <cfRule type="duplicateValues" dxfId="590" priority="712"/>
    <cfRule type="duplicateValues" dxfId="589" priority="713"/>
  </conditionalFormatting>
  <conditionalFormatting sqref="AE816:AE821">
    <cfRule type="duplicateValues" dxfId="588" priority="706"/>
  </conditionalFormatting>
  <conditionalFormatting sqref="A822:A826">
    <cfRule type="duplicateValues" dxfId="587" priority="696"/>
  </conditionalFormatting>
  <conditionalFormatting sqref="A822:A826">
    <cfRule type="duplicateValues" dxfId="586" priority="698"/>
    <cfRule type="notContainsBlanks" dxfId="585" priority="699">
      <formula>LEN(TRIM(A822))&gt;0</formula>
    </cfRule>
  </conditionalFormatting>
  <conditionalFormatting sqref="A822:A826">
    <cfRule type="duplicateValues" dxfId="584" priority="701"/>
  </conditionalFormatting>
  <conditionalFormatting sqref="A822:A826">
    <cfRule type="duplicateValues" dxfId="583" priority="688"/>
    <cfRule type="duplicateValues" dxfId="582" priority="689"/>
    <cfRule type="duplicateValues" dxfId="581" priority="690"/>
    <cfRule type="duplicateValues" dxfId="580" priority="691"/>
  </conditionalFormatting>
  <conditionalFormatting sqref="AE822:AE826">
    <cfRule type="duplicateValues" dxfId="579" priority="684"/>
  </conditionalFormatting>
  <conditionalFormatting sqref="A1749:A1048576 A1128:A1148 A1:A876">
    <cfRule type="duplicateValues" dxfId="578" priority="679"/>
  </conditionalFormatting>
  <conditionalFormatting sqref="A812:A815">
    <cfRule type="duplicateValues" dxfId="577" priority="7200"/>
  </conditionalFormatting>
  <conditionalFormatting sqref="A812:A815">
    <cfRule type="duplicateValues" dxfId="576" priority="7202"/>
  </conditionalFormatting>
  <conditionalFormatting sqref="A812:A815">
    <cfRule type="duplicateValues" dxfId="575" priority="7204"/>
    <cfRule type="notContainsBlanks" dxfId="574" priority="7205">
      <formula>LEN(TRIM(A812))&gt;0</formula>
    </cfRule>
  </conditionalFormatting>
  <conditionalFormatting sqref="A812:A815">
    <cfRule type="duplicateValues" dxfId="573" priority="7208"/>
    <cfRule type="duplicateValues" dxfId="572" priority="7209"/>
    <cfRule type="duplicateValues" dxfId="571" priority="7210"/>
    <cfRule type="duplicateValues" dxfId="570" priority="7211"/>
  </conditionalFormatting>
  <conditionalFormatting sqref="AE812:AE815">
    <cfRule type="duplicateValues" dxfId="569" priority="7216"/>
  </conditionalFormatting>
  <conditionalFormatting sqref="A810:A815">
    <cfRule type="duplicateValues" dxfId="568" priority="7218"/>
  </conditionalFormatting>
  <conditionalFormatting sqref="AE860:AE876 AE832:AE858">
    <cfRule type="duplicateValues" dxfId="567" priority="669"/>
  </conditionalFormatting>
  <conditionalFormatting sqref="I835">
    <cfRule type="notContainsBlanks" dxfId="566" priority="668">
      <formula>LEN(TRIM(I835))&gt;0</formula>
    </cfRule>
  </conditionalFormatting>
  <conditionalFormatting sqref="C842">
    <cfRule type="notContainsBlanks" dxfId="565" priority="667">
      <formula>LEN(TRIM(C842))&gt;0</formula>
    </cfRule>
  </conditionalFormatting>
  <conditionalFormatting sqref="O859">
    <cfRule type="notContainsBlanks" dxfId="564" priority="666">
      <formula>LEN(TRIM(O859))&gt;0</formula>
    </cfRule>
  </conditionalFormatting>
  <conditionalFormatting sqref="A877:A886">
    <cfRule type="duplicateValues" dxfId="563" priority="656"/>
  </conditionalFormatting>
  <conditionalFormatting sqref="C877:C886">
    <cfRule type="notContainsBlanks" dxfId="562" priority="657">
      <formula>LEN(TRIM(C877))&gt;0</formula>
    </cfRule>
  </conditionalFormatting>
  <conditionalFormatting sqref="J877:J886 N877:O886">
    <cfRule type="notContainsBlanks" dxfId="561" priority="658">
      <formula>LEN(TRIM(J877))&gt;0</formula>
    </cfRule>
  </conditionalFormatting>
  <conditionalFormatting sqref="P877:P886 S877:S886">
    <cfRule type="notContainsBlanks" dxfId="560" priority="659">
      <formula>LEN(TRIM(P877))&gt;0</formula>
    </cfRule>
  </conditionalFormatting>
  <conditionalFormatting sqref="I877:I886">
    <cfRule type="notContainsBlanks" dxfId="559" priority="660">
      <formula>LEN(TRIM(I877))&gt;0</formula>
    </cfRule>
  </conditionalFormatting>
  <conditionalFormatting sqref="U877:U886">
    <cfRule type="notContainsBlanks" dxfId="558" priority="655">
      <formula>LEN(TRIM(U877))&gt;0</formula>
    </cfRule>
  </conditionalFormatting>
  <conditionalFormatting sqref="A877:A886">
    <cfRule type="duplicateValues" dxfId="557" priority="661"/>
    <cfRule type="notContainsBlanks" dxfId="556" priority="662">
      <formula>LEN(TRIM(A877))&gt;0</formula>
    </cfRule>
  </conditionalFormatting>
  <conditionalFormatting sqref="A877:A886">
    <cfRule type="duplicateValues" dxfId="555" priority="664"/>
  </conditionalFormatting>
  <conditionalFormatting sqref="AE877:AE886">
    <cfRule type="duplicateValues" dxfId="554" priority="665"/>
  </conditionalFormatting>
  <conditionalFormatting sqref="A877:A886">
    <cfRule type="duplicateValues" dxfId="553" priority="647"/>
    <cfRule type="duplicateValues" dxfId="552" priority="648"/>
    <cfRule type="duplicateValues" dxfId="551" priority="649"/>
    <cfRule type="duplicateValues" dxfId="550" priority="650"/>
  </conditionalFormatting>
  <conditionalFormatting sqref="A1749:A1048576 A1128:A1148 A1:A886">
    <cfRule type="duplicateValues" dxfId="549" priority="633"/>
  </conditionalFormatting>
  <conditionalFormatting sqref="A832:A876">
    <cfRule type="duplicateValues" dxfId="548" priority="7478"/>
  </conditionalFormatting>
  <conditionalFormatting sqref="A832:A876">
    <cfRule type="duplicateValues" dxfId="547" priority="7480"/>
    <cfRule type="notContainsBlanks" dxfId="546" priority="7481">
      <formula>LEN(TRIM(A832))&gt;0</formula>
    </cfRule>
  </conditionalFormatting>
  <conditionalFormatting sqref="A832:A876">
    <cfRule type="duplicateValues" dxfId="545" priority="7484"/>
  </conditionalFormatting>
  <conditionalFormatting sqref="A832:A876">
    <cfRule type="duplicateValues" dxfId="544" priority="7486"/>
    <cfRule type="duplicateValues" dxfId="543" priority="7487"/>
    <cfRule type="duplicateValues" dxfId="542" priority="7488"/>
    <cfRule type="duplicateValues" dxfId="541" priority="7489"/>
  </conditionalFormatting>
  <conditionalFormatting sqref="A1749:A1048576 A1128:A1148 A1:A893">
    <cfRule type="duplicateValues" dxfId="540" priority="599"/>
  </conditionalFormatting>
  <conditionalFormatting sqref="A887:A893">
    <cfRule type="duplicateValues" dxfId="539" priority="7609"/>
  </conditionalFormatting>
  <conditionalFormatting sqref="A887:A893">
    <cfRule type="duplicateValues" dxfId="538" priority="7625"/>
    <cfRule type="notContainsBlanks" dxfId="537" priority="7626">
      <formula>LEN(TRIM(A887))&gt;0</formula>
    </cfRule>
  </conditionalFormatting>
  <conditionalFormatting sqref="A887:A893">
    <cfRule type="duplicateValues" dxfId="536" priority="7631"/>
  </conditionalFormatting>
  <conditionalFormatting sqref="AE887:AE893">
    <cfRule type="duplicateValues" dxfId="535" priority="7633"/>
  </conditionalFormatting>
  <conditionalFormatting sqref="A887:A893">
    <cfRule type="duplicateValues" dxfId="534" priority="7643"/>
    <cfRule type="duplicateValues" dxfId="533" priority="7644"/>
    <cfRule type="duplicateValues" dxfId="532" priority="7645"/>
    <cfRule type="duplicateValues" dxfId="531" priority="7646"/>
  </conditionalFormatting>
  <conditionalFormatting sqref="A1749:A1048576 A1128:A1148 A1:A962">
    <cfRule type="duplicateValues" dxfId="530" priority="583"/>
  </conditionalFormatting>
  <conditionalFormatting sqref="C978">
    <cfRule type="notContainsBlanks" dxfId="529" priority="555">
      <formula>LEN(TRIM(C978))&gt;0</formula>
    </cfRule>
  </conditionalFormatting>
  <conditionalFormatting sqref="N978:O978 J978">
    <cfRule type="notContainsBlanks" dxfId="528" priority="556">
      <formula>LEN(TRIM(J978))&gt;0</formula>
    </cfRule>
  </conditionalFormatting>
  <conditionalFormatting sqref="S978 P978">
    <cfRule type="notContainsBlanks" dxfId="527" priority="557">
      <formula>LEN(TRIM(P978))&gt;0</formula>
    </cfRule>
  </conditionalFormatting>
  <conditionalFormatting sqref="I978">
    <cfRule type="notContainsBlanks" dxfId="526" priority="558">
      <formula>LEN(TRIM(I978))&gt;0</formula>
    </cfRule>
  </conditionalFormatting>
  <conditionalFormatting sqref="U978">
    <cfRule type="notContainsBlanks" dxfId="525" priority="554">
      <formula>LEN(TRIM(U978))&gt;0</formula>
    </cfRule>
  </conditionalFormatting>
  <conditionalFormatting sqref="A978">
    <cfRule type="duplicateValues" dxfId="524" priority="559"/>
  </conditionalFormatting>
  <conditionalFormatting sqref="A978">
    <cfRule type="duplicateValues" dxfId="523" priority="560"/>
  </conditionalFormatting>
  <conditionalFormatting sqref="A978">
    <cfRule type="duplicateValues" dxfId="522" priority="561"/>
    <cfRule type="notContainsBlanks" dxfId="521" priority="562">
      <formula>LEN(TRIM(A978))&gt;0</formula>
    </cfRule>
  </conditionalFormatting>
  <conditionalFormatting sqref="AE978">
    <cfRule type="duplicateValues" dxfId="520" priority="563"/>
  </conditionalFormatting>
  <conditionalFormatting sqref="A978">
    <cfRule type="duplicateValues" dxfId="519" priority="564"/>
    <cfRule type="duplicateValues" dxfId="518" priority="565"/>
    <cfRule type="duplicateValues" dxfId="517" priority="566"/>
    <cfRule type="duplicateValues" dxfId="516" priority="567"/>
  </conditionalFormatting>
  <conditionalFormatting sqref="A1749:A1048576 A1128:A1148 A1:A1011">
    <cfRule type="duplicateValues" dxfId="515" priority="553"/>
  </conditionalFormatting>
  <conditionalFormatting sqref="A894:A962">
    <cfRule type="duplicateValues" dxfId="514" priority="8649"/>
  </conditionalFormatting>
  <conditionalFormatting sqref="A894:A962">
    <cfRule type="duplicateValues" dxfId="513" priority="8650"/>
  </conditionalFormatting>
  <conditionalFormatting sqref="A894:A962">
    <cfRule type="duplicateValues" dxfId="512" priority="8651"/>
    <cfRule type="notContainsBlanks" dxfId="511" priority="8652">
      <formula>LEN(TRIM(A894))&gt;0</formula>
    </cfRule>
  </conditionalFormatting>
  <conditionalFormatting sqref="AE894:AE962">
    <cfRule type="duplicateValues" dxfId="510" priority="8653"/>
  </conditionalFormatting>
  <conditionalFormatting sqref="A894:A962">
    <cfRule type="duplicateValues" dxfId="509" priority="8654"/>
    <cfRule type="duplicateValues" dxfId="508" priority="8655"/>
    <cfRule type="duplicateValues" dxfId="507" priority="8656"/>
    <cfRule type="duplicateValues" dxfId="506" priority="8657"/>
  </conditionalFormatting>
  <conditionalFormatting sqref="C1012:C1020">
    <cfRule type="notContainsBlanks" dxfId="505" priority="540">
      <formula>LEN(TRIM(C1012))&gt;0</formula>
    </cfRule>
  </conditionalFormatting>
  <conditionalFormatting sqref="N1012:O1020 J1012:J1020">
    <cfRule type="notContainsBlanks" dxfId="504" priority="541">
      <formula>LEN(TRIM(J1012))&gt;0</formula>
    </cfRule>
  </conditionalFormatting>
  <conditionalFormatting sqref="S1012:S1020 P1012:P1020">
    <cfRule type="notContainsBlanks" dxfId="503" priority="542">
      <formula>LEN(TRIM(P1012))&gt;0</formula>
    </cfRule>
  </conditionalFormatting>
  <conditionalFormatting sqref="I1012:I1020">
    <cfRule type="notContainsBlanks" dxfId="502" priority="543">
      <formula>LEN(TRIM(I1012))&gt;0</formula>
    </cfRule>
  </conditionalFormatting>
  <conditionalFormatting sqref="U1012:U1020">
    <cfRule type="notContainsBlanks" dxfId="501" priority="539">
      <formula>LEN(TRIM(U1012))&gt;0</formula>
    </cfRule>
  </conditionalFormatting>
  <conditionalFormatting sqref="A1012:A1020">
    <cfRule type="duplicateValues" dxfId="500" priority="538"/>
  </conditionalFormatting>
  <conditionalFormatting sqref="A1012:A1020">
    <cfRule type="duplicateValues" dxfId="499" priority="544"/>
  </conditionalFormatting>
  <conditionalFormatting sqref="A1012:A1020">
    <cfRule type="duplicateValues" dxfId="498" priority="545"/>
  </conditionalFormatting>
  <conditionalFormatting sqref="A1012:A1020">
    <cfRule type="duplicateValues" dxfId="497" priority="546"/>
    <cfRule type="notContainsBlanks" dxfId="496" priority="547">
      <formula>LEN(TRIM(A1012))&gt;0</formula>
    </cfRule>
  </conditionalFormatting>
  <conditionalFormatting sqref="AE1012:AE1020">
    <cfRule type="duplicateValues" dxfId="495" priority="548"/>
  </conditionalFormatting>
  <conditionalFormatting sqref="A1012:A1020">
    <cfRule type="duplicateValues" dxfId="494" priority="549"/>
    <cfRule type="duplicateValues" dxfId="493" priority="550"/>
    <cfRule type="duplicateValues" dxfId="492" priority="551"/>
    <cfRule type="duplicateValues" dxfId="491" priority="552"/>
  </conditionalFormatting>
  <conditionalFormatting sqref="A963:A977 A979:A1011">
    <cfRule type="duplicateValues" dxfId="490" priority="9289"/>
  </conditionalFormatting>
  <conditionalFormatting sqref="A963:A977 A979:A1011">
    <cfRule type="duplicateValues" dxfId="489" priority="9292"/>
  </conditionalFormatting>
  <conditionalFormatting sqref="A963:A977 A979:A1011">
    <cfRule type="duplicateValues" dxfId="488" priority="9295"/>
    <cfRule type="notContainsBlanks" dxfId="487" priority="9296">
      <formula>LEN(TRIM(A963))&gt;0</formula>
    </cfRule>
  </conditionalFormatting>
  <conditionalFormatting sqref="AE963:AE977 AE979:AE1011">
    <cfRule type="duplicateValues" dxfId="486" priority="9301"/>
  </conditionalFormatting>
  <conditionalFormatting sqref="A963:A977 A979:A1011">
    <cfRule type="duplicateValues" dxfId="485" priority="9304"/>
    <cfRule type="duplicateValues" dxfId="484" priority="9305"/>
    <cfRule type="duplicateValues" dxfId="483" priority="9306"/>
    <cfRule type="duplicateValues" dxfId="482" priority="9307"/>
  </conditionalFormatting>
  <conditionalFormatting sqref="C1028:C1029">
    <cfRule type="notContainsBlanks" dxfId="481" priority="525">
      <formula>LEN(TRIM(C1028))&gt;0</formula>
    </cfRule>
  </conditionalFormatting>
  <conditionalFormatting sqref="C1030:C1039 C1041:C1057">
    <cfRule type="notContainsBlanks" dxfId="480" priority="510">
      <formula>LEN(TRIM(C1030))&gt;0</formula>
    </cfRule>
  </conditionalFormatting>
  <conditionalFormatting sqref="J1030:J1057 N1030:O1057">
    <cfRule type="notContainsBlanks" dxfId="479" priority="511">
      <formula>LEN(TRIM(J1030))&gt;0</formula>
    </cfRule>
  </conditionalFormatting>
  <conditionalFormatting sqref="S1030:S1057 P1030:P1057">
    <cfRule type="notContainsBlanks" dxfId="478" priority="512">
      <formula>LEN(TRIM(P1030))&gt;0</formula>
    </cfRule>
  </conditionalFormatting>
  <conditionalFormatting sqref="I1030:I1057">
    <cfRule type="notContainsBlanks" dxfId="477" priority="513">
      <formula>LEN(TRIM(I1030))&gt;0</formula>
    </cfRule>
  </conditionalFormatting>
  <conditionalFormatting sqref="U1030:U1057">
    <cfRule type="notContainsBlanks" dxfId="476" priority="509">
      <formula>LEN(TRIM(U1030))&gt;0</formula>
    </cfRule>
  </conditionalFormatting>
  <conditionalFormatting sqref="A1030:A1057">
    <cfRule type="duplicateValues" dxfId="475" priority="508"/>
  </conditionalFormatting>
  <conditionalFormatting sqref="A1030:A1057">
    <cfRule type="duplicateValues" dxfId="474" priority="514"/>
  </conditionalFormatting>
  <conditionalFormatting sqref="A1030:A1057">
    <cfRule type="duplicateValues" dxfId="473" priority="515"/>
  </conditionalFormatting>
  <conditionalFormatting sqref="A1030:A1057">
    <cfRule type="duplicateValues" dxfId="472" priority="516"/>
    <cfRule type="notContainsBlanks" dxfId="471" priority="517">
      <formula>LEN(TRIM(A1030))&gt;0</formula>
    </cfRule>
  </conditionalFormatting>
  <conditionalFormatting sqref="AE1030:AE1057">
    <cfRule type="duplicateValues" dxfId="470" priority="518"/>
  </conditionalFormatting>
  <conditionalFormatting sqref="A1030:A1057">
    <cfRule type="duplicateValues" dxfId="469" priority="519"/>
    <cfRule type="duplicateValues" dxfId="468" priority="520"/>
    <cfRule type="duplicateValues" dxfId="467" priority="521"/>
    <cfRule type="duplicateValues" dxfId="466" priority="522"/>
  </conditionalFormatting>
  <conditionalFormatting sqref="C1040">
    <cfRule type="notContainsBlanks" dxfId="465" priority="507">
      <formula>LEN(TRIM(C1040))&gt;0</formula>
    </cfRule>
  </conditionalFormatting>
  <conditionalFormatting sqref="A1749:A1048576 A1128:A1148 A1:A1057">
    <cfRule type="duplicateValues" dxfId="464" priority="506"/>
  </conditionalFormatting>
  <conditionalFormatting sqref="C1085:C1091">
    <cfRule type="notContainsBlanks" dxfId="463" priority="493">
      <formula>LEN(TRIM(C1085))&gt;0</formula>
    </cfRule>
  </conditionalFormatting>
  <conditionalFormatting sqref="J1085:J1091 N1085:O1091">
    <cfRule type="notContainsBlanks" dxfId="462" priority="494">
      <formula>LEN(TRIM(J1085))&gt;0</formula>
    </cfRule>
  </conditionalFormatting>
  <conditionalFormatting sqref="S1085:S1091 P1085:P1091">
    <cfRule type="notContainsBlanks" dxfId="461" priority="495">
      <formula>LEN(TRIM(P1085))&gt;0</formula>
    </cfRule>
  </conditionalFormatting>
  <conditionalFormatting sqref="I1088:I1091">
    <cfRule type="notContainsBlanks" dxfId="460" priority="496">
      <formula>LEN(TRIM(I1088))&gt;0</formula>
    </cfRule>
  </conditionalFormatting>
  <conditionalFormatting sqref="U1085:U1091">
    <cfRule type="notContainsBlanks" dxfId="459" priority="492">
      <formula>LEN(TRIM(U1085))&gt;0</formula>
    </cfRule>
  </conditionalFormatting>
  <conditionalFormatting sqref="A1085:A1091">
    <cfRule type="duplicateValues" dxfId="458" priority="491"/>
  </conditionalFormatting>
  <conditionalFormatting sqref="A1085:A1091">
    <cfRule type="duplicateValues" dxfId="457" priority="497"/>
  </conditionalFormatting>
  <conditionalFormatting sqref="A1085:A1091">
    <cfRule type="duplicateValues" dxfId="456" priority="498"/>
  </conditionalFormatting>
  <conditionalFormatting sqref="A1085:A1091">
    <cfRule type="duplicateValues" dxfId="455" priority="499"/>
    <cfRule type="notContainsBlanks" dxfId="454" priority="500">
      <formula>LEN(TRIM(A1085))&gt;0</formula>
    </cfRule>
  </conditionalFormatting>
  <conditionalFormatting sqref="AE1085:AE1091">
    <cfRule type="duplicateValues" dxfId="453" priority="501"/>
  </conditionalFormatting>
  <conditionalFormatting sqref="A1085:A1091">
    <cfRule type="duplicateValues" dxfId="452" priority="502"/>
    <cfRule type="duplicateValues" dxfId="451" priority="503"/>
    <cfRule type="duplicateValues" dxfId="450" priority="504"/>
    <cfRule type="duplicateValues" dxfId="449" priority="505"/>
  </conditionalFormatting>
  <conditionalFormatting sqref="A1085:A1091">
    <cfRule type="duplicateValues" dxfId="448" priority="490"/>
  </conditionalFormatting>
  <conditionalFormatting sqref="C1058">
    <cfRule type="notContainsBlanks" dxfId="447" priority="477">
      <formula>LEN(TRIM(C1058))&gt;0</formula>
    </cfRule>
  </conditionalFormatting>
  <conditionalFormatting sqref="J1058 N1058:O1058">
    <cfRule type="notContainsBlanks" dxfId="446" priority="478">
      <formula>LEN(TRIM(J1058))&gt;0</formula>
    </cfRule>
  </conditionalFormatting>
  <conditionalFormatting sqref="S1058 P1058">
    <cfRule type="notContainsBlanks" dxfId="445" priority="479">
      <formula>LEN(TRIM(P1058))&gt;0</formula>
    </cfRule>
  </conditionalFormatting>
  <conditionalFormatting sqref="I1058">
    <cfRule type="notContainsBlanks" dxfId="444" priority="480">
      <formula>LEN(TRIM(I1058))&gt;0</formula>
    </cfRule>
  </conditionalFormatting>
  <conditionalFormatting sqref="U1058">
    <cfRule type="notContainsBlanks" dxfId="443" priority="476">
      <formula>LEN(TRIM(U1058))&gt;0</formula>
    </cfRule>
  </conditionalFormatting>
  <conditionalFormatting sqref="A1058">
    <cfRule type="duplicateValues" dxfId="442" priority="481"/>
  </conditionalFormatting>
  <conditionalFormatting sqref="A1058">
    <cfRule type="duplicateValues" dxfId="441" priority="474"/>
  </conditionalFormatting>
  <conditionalFormatting sqref="A1021:A1029">
    <cfRule type="duplicateValues" dxfId="440" priority="9888"/>
  </conditionalFormatting>
  <conditionalFormatting sqref="A1021:A1029">
    <cfRule type="duplicateValues" dxfId="439" priority="9890"/>
  </conditionalFormatting>
  <conditionalFormatting sqref="A1021:A1029">
    <cfRule type="duplicateValues" dxfId="438" priority="9892"/>
    <cfRule type="notContainsBlanks" dxfId="437" priority="9893">
      <formula>LEN(TRIM(A1021))&gt;0</formula>
    </cfRule>
  </conditionalFormatting>
  <conditionalFormatting sqref="AE1021:AE1029">
    <cfRule type="duplicateValues" dxfId="436" priority="9896"/>
  </conditionalFormatting>
  <conditionalFormatting sqref="A1021:A1029">
    <cfRule type="duplicateValues" dxfId="435" priority="9898"/>
    <cfRule type="duplicateValues" dxfId="434" priority="9899"/>
    <cfRule type="duplicateValues" dxfId="433" priority="9900"/>
    <cfRule type="duplicateValues" dxfId="432" priority="9901"/>
  </conditionalFormatting>
  <conditionalFormatting sqref="A1749:A1048576 A1:A1091 A1128:A1148">
    <cfRule type="duplicateValues" dxfId="431" priority="457"/>
  </conditionalFormatting>
  <conditionalFormatting sqref="A1059:A1063">
    <cfRule type="duplicateValues" dxfId="430" priority="10145"/>
  </conditionalFormatting>
  <conditionalFormatting sqref="A1059:A1063">
    <cfRule type="duplicateValues" dxfId="429" priority="10146"/>
  </conditionalFormatting>
  <conditionalFormatting sqref="A1059:A1063">
    <cfRule type="duplicateValues" dxfId="428" priority="10147"/>
    <cfRule type="notContainsBlanks" dxfId="427" priority="10148">
      <formula>LEN(TRIM(A1059))&gt;0</formula>
    </cfRule>
  </conditionalFormatting>
  <conditionalFormatting sqref="AE1059:AE1063">
    <cfRule type="duplicateValues" dxfId="426" priority="10149"/>
  </conditionalFormatting>
  <conditionalFormatting sqref="A1059:A1063">
    <cfRule type="duplicateValues" dxfId="425" priority="10150"/>
    <cfRule type="duplicateValues" dxfId="424" priority="10151"/>
    <cfRule type="duplicateValues" dxfId="423" priority="10152"/>
    <cfRule type="duplicateValues" dxfId="422" priority="10153"/>
  </conditionalFormatting>
  <conditionalFormatting sqref="A1064:A1084 A1058">
    <cfRule type="duplicateValues" dxfId="421" priority="10264"/>
  </conditionalFormatting>
  <conditionalFormatting sqref="A1064:A1084 A1058">
    <cfRule type="duplicateValues" dxfId="420" priority="10267"/>
  </conditionalFormatting>
  <conditionalFormatting sqref="A1064:A1084 A1058">
    <cfRule type="duplicateValues" dxfId="419" priority="10270"/>
    <cfRule type="notContainsBlanks" dxfId="418" priority="10271">
      <formula>LEN(TRIM(A1058))&gt;0</formula>
    </cfRule>
  </conditionalFormatting>
  <conditionalFormatting sqref="AE1064:AE1084 AE1058">
    <cfRule type="duplicateValues" dxfId="417" priority="10276"/>
  </conditionalFormatting>
  <conditionalFormatting sqref="A1064:A1084 A1058">
    <cfRule type="duplicateValues" dxfId="416" priority="10279"/>
    <cfRule type="duplicateValues" dxfId="415" priority="10280"/>
    <cfRule type="duplicateValues" dxfId="414" priority="10281"/>
    <cfRule type="duplicateValues" dxfId="413" priority="10282"/>
  </conditionalFormatting>
  <conditionalFormatting sqref="C1092:C1127">
    <cfRule type="notContainsBlanks" dxfId="412" priority="444">
      <formula>LEN(TRIM(C1092))&gt;0</formula>
    </cfRule>
  </conditionalFormatting>
  <conditionalFormatting sqref="J1092:J1127 N1092:O1127">
    <cfRule type="notContainsBlanks" dxfId="411" priority="445">
      <formula>LEN(TRIM(J1092))&gt;0</formula>
    </cfRule>
  </conditionalFormatting>
  <conditionalFormatting sqref="S1092:S1127 P1092:P1127">
    <cfRule type="notContainsBlanks" dxfId="410" priority="446">
      <formula>LEN(TRIM(P1092))&gt;0</formula>
    </cfRule>
  </conditionalFormatting>
  <conditionalFormatting sqref="I1092:I1127">
    <cfRule type="notContainsBlanks" dxfId="409" priority="447">
      <formula>LEN(TRIM(I1092))&gt;0</formula>
    </cfRule>
  </conditionalFormatting>
  <conditionalFormatting sqref="U1092:U1127">
    <cfRule type="notContainsBlanks" dxfId="408" priority="443">
      <formula>LEN(TRIM(U1092))&gt;0</formula>
    </cfRule>
  </conditionalFormatting>
  <conditionalFormatting sqref="A1092:A1127">
    <cfRule type="duplicateValues" dxfId="407" priority="442"/>
  </conditionalFormatting>
  <conditionalFormatting sqref="A1092:A1127">
    <cfRule type="duplicateValues" dxfId="406" priority="448"/>
  </conditionalFormatting>
  <conditionalFormatting sqref="A1092:A1127">
    <cfRule type="duplicateValues" dxfId="405" priority="449"/>
  </conditionalFormatting>
  <conditionalFormatting sqref="A1092:A1127">
    <cfRule type="duplicateValues" dxfId="404" priority="450"/>
    <cfRule type="notContainsBlanks" dxfId="403" priority="451">
      <formula>LEN(TRIM(A1092))&gt;0</formula>
    </cfRule>
  </conditionalFormatting>
  <conditionalFormatting sqref="AE1092:AE1102 AE1104:AE1127">
    <cfRule type="duplicateValues" dxfId="402" priority="452"/>
  </conditionalFormatting>
  <conditionalFormatting sqref="A1092:A1127">
    <cfRule type="duplicateValues" dxfId="401" priority="453"/>
    <cfRule type="duplicateValues" dxfId="400" priority="454"/>
    <cfRule type="duplicateValues" dxfId="399" priority="455"/>
    <cfRule type="duplicateValues" dxfId="398" priority="456"/>
  </conditionalFormatting>
  <conditionalFormatting sqref="A1092:A1127">
    <cfRule type="duplicateValues" dxfId="397" priority="441"/>
  </conditionalFormatting>
  <conditionalFormatting sqref="A1092:A1127">
    <cfRule type="duplicateValues" dxfId="396" priority="440"/>
  </conditionalFormatting>
  <conditionalFormatting sqref="I1086">
    <cfRule type="notContainsBlanks" dxfId="395" priority="439">
      <formula>LEN(TRIM(I1086))&gt;0</formula>
    </cfRule>
  </conditionalFormatting>
  <conditionalFormatting sqref="A1749:A1048576 A1:A1148">
    <cfRule type="duplicateValues" dxfId="394" priority="437"/>
    <cfRule type="duplicateValues" dxfId="393" priority="438"/>
  </conditionalFormatting>
  <conditionalFormatting sqref="C1128">
    <cfRule type="notContainsBlanks" dxfId="392" priority="432">
      <formula>LEN(TRIM(C1128))&gt;0</formula>
    </cfRule>
  </conditionalFormatting>
  <conditionalFormatting sqref="J1128 N1128:O1128">
    <cfRule type="notContainsBlanks" dxfId="391" priority="433">
      <formula>LEN(TRIM(J1128))&gt;0</formula>
    </cfRule>
  </conditionalFormatting>
  <conditionalFormatting sqref="S1128 P1128">
    <cfRule type="notContainsBlanks" dxfId="390" priority="434">
      <formula>LEN(TRIM(P1128))&gt;0</formula>
    </cfRule>
  </conditionalFormatting>
  <conditionalFormatting sqref="I1128">
    <cfRule type="notContainsBlanks" dxfId="389" priority="435">
      <formula>LEN(TRIM(I1128))&gt;0</formula>
    </cfRule>
  </conditionalFormatting>
  <conditionalFormatting sqref="U1128">
    <cfRule type="notContainsBlanks" dxfId="388" priority="431">
      <formula>LEN(TRIM(U1128))&gt;0</formula>
    </cfRule>
  </conditionalFormatting>
  <conditionalFormatting sqref="AE1128">
    <cfRule type="duplicateValues" dxfId="387" priority="436"/>
  </conditionalFormatting>
  <conditionalFormatting sqref="C1129:C1133">
    <cfRule type="notContainsBlanks" dxfId="386" priority="427">
      <formula>LEN(TRIM(C1129))&gt;0</formula>
    </cfRule>
  </conditionalFormatting>
  <conditionalFormatting sqref="J1129:J1133 N1129:O1133">
    <cfRule type="notContainsBlanks" dxfId="385" priority="428">
      <formula>LEN(TRIM(J1129))&gt;0</formula>
    </cfRule>
  </conditionalFormatting>
  <conditionalFormatting sqref="S1129:S1133 P1129:P1133">
    <cfRule type="notContainsBlanks" dxfId="384" priority="429">
      <formula>LEN(TRIM(P1129))&gt;0</formula>
    </cfRule>
  </conditionalFormatting>
  <conditionalFormatting sqref="I1129:I1133">
    <cfRule type="notContainsBlanks" dxfId="383" priority="430">
      <formula>LEN(TRIM(I1129))&gt;0</formula>
    </cfRule>
  </conditionalFormatting>
  <conditionalFormatting sqref="U1129:U1133">
    <cfRule type="notContainsBlanks" dxfId="382" priority="426">
      <formula>LEN(TRIM(U1129))&gt;0</formula>
    </cfRule>
  </conditionalFormatting>
  <conditionalFormatting sqref="C1134:C1148">
    <cfRule type="notContainsBlanks" dxfId="381" priority="422">
      <formula>LEN(TRIM(C1134))&gt;0</formula>
    </cfRule>
  </conditionalFormatting>
  <conditionalFormatting sqref="J1134:J1148 N1134:O1148">
    <cfRule type="notContainsBlanks" dxfId="380" priority="423">
      <formula>LEN(TRIM(J1134))&gt;0</formula>
    </cfRule>
  </conditionalFormatting>
  <conditionalFormatting sqref="S1134:S1148 P1134:P1148">
    <cfRule type="notContainsBlanks" dxfId="379" priority="424">
      <formula>LEN(TRIM(P1134))&gt;0</formula>
    </cfRule>
  </conditionalFormatting>
  <conditionalFormatting sqref="I1134:I1148">
    <cfRule type="notContainsBlanks" dxfId="378" priority="425">
      <formula>LEN(TRIM(I1134))&gt;0</formula>
    </cfRule>
  </conditionalFormatting>
  <conditionalFormatting sqref="U1134:U1148">
    <cfRule type="notContainsBlanks" dxfId="377" priority="421">
      <formula>LEN(TRIM(U1134))&gt;0</formula>
    </cfRule>
  </conditionalFormatting>
  <conditionalFormatting sqref="A1149:A1158">
    <cfRule type="duplicateValues" dxfId="376" priority="415"/>
  </conditionalFormatting>
  <conditionalFormatting sqref="A1149:A1158">
    <cfRule type="duplicateValues" dxfId="375" priority="416"/>
    <cfRule type="notContainsBlanks" dxfId="374" priority="417">
      <formula>LEN(TRIM(A1149))&gt;0</formula>
    </cfRule>
  </conditionalFormatting>
  <conditionalFormatting sqref="A1149:A1158">
    <cfRule type="duplicateValues" dxfId="373" priority="418"/>
  </conditionalFormatting>
  <conditionalFormatting sqref="A1149:A1158">
    <cfRule type="duplicateValues" dxfId="372" priority="419"/>
  </conditionalFormatting>
  <conditionalFormatting sqref="AE1149:AE1158">
    <cfRule type="duplicateValues" dxfId="371" priority="420"/>
  </conditionalFormatting>
  <conditionalFormatting sqref="A1149:A1158">
    <cfRule type="duplicateValues" dxfId="370" priority="414"/>
  </conditionalFormatting>
  <conditionalFormatting sqref="A1149:A1158">
    <cfRule type="duplicateValues" dxfId="369" priority="413"/>
  </conditionalFormatting>
  <conditionalFormatting sqref="A1149:A1158">
    <cfRule type="duplicateValues" dxfId="368" priority="412"/>
  </conditionalFormatting>
  <conditionalFormatting sqref="A1149:A1158">
    <cfRule type="duplicateValues" dxfId="367" priority="411"/>
  </conditionalFormatting>
  <conditionalFormatting sqref="A1149:A1158">
    <cfRule type="duplicateValues" dxfId="366" priority="407"/>
    <cfRule type="duplicateValues" dxfId="365" priority="408"/>
    <cfRule type="duplicateValues" dxfId="364" priority="409"/>
    <cfRule type="duplicateValues" dxfId="363" priority="410"/>
  </conditionalFormatting>
  <conditionalFormatting sqref="A1149:A1158">
    <cfRule type="duplicateValues" dxfId="362" priority="406"/>
  </conditionalFormatting>
  <conditionalFormatting sqref="A1149:A1158">
    <cfRule type="duplicateValues" dxfId="361" priority="405"/>
  </conditionalFormatting>
  <conditionalFormatting sqref="A1149:A1158">
    <cfRule type="duplicateValues" dxfId="360" priority="404"/>
  </conditionalFormatting>
  <conditionalFormatting sqref="A1149:A1158">
    <cfRule type="duplicateValues" dxfId="359" priority="403"/>
  </conditionalFormatting>
  <conditionalFormatting sqref="A1149:A1158">
    <cfRule type="duplicateValues" dxfId="358" priority="402"/>
  </conditionalFormatting>
  <conditionalFormatting sqref="A1149:A1158">
    <cfRule type="duplicateValues" dxfId="357" priority="401"/>
  </conditionalFormatting>
  <conditionalFormatting sqref="A1149:A1158">
    <cfRule type="duplicateValues" dxfId="356" priority="400"/>
  </conditionalFormatting>
  <conditionalFormatting sqref="A1149:A1158">
    <cfRule type="duplicateValues" dxfId="355" priority="399"/>
  </conditionalFormatting>
  <conditionalFormatting sqref="A1149:A1158">
    <cfRule type="duplicateValues" dxfId="354" priority="398"/>
  </conditionalFormatting>
  <conditionalFormatting sqref="A1149:A1158">
    <cfRule type="duplicateValues" dxfId="353" priority="397"/>
  </conditionalFormatting>
  <conditionalFormatting sqref="A1149:A1158">
    <cfRule type="duplicateValues" dxfId="352" priority="395"/>
    <cfRule type="duplicateValues" dxfId="351" priority="396"/>
  </conditionalFormatting>
  <conditionalFormatting sqref="C1149:C1158">
    <cfRule type="notContainsBlanks" dxfId="350" priority="391">
      <formula>LEN(TRIM(C1149))&gt;0</formula>
    </cfRule>
  </conditionalFormatting>
  <conditionalFormatting sqref="J1149:J1158 N1149:O1158">
    <cfRule type="notContainsBlanks" dxfId="349" priority="392">
      <formula>LEN(TRIM(J1149))&gt;0</formula>
    </cfRule>
  </conditionalFormatting>
  <conditionalFormatting sqref="S1149:S1158 P1149:P1158">
    <cfRule type="notContainsBlanks" dxfId="348" priority="393">
      <formula>LEN(TRIM(P1149))&gt;0</formula>
    </cfRule>
  </conditionalFormatting>
  <conditionalFormatting sqref="I1149:I1158">
    <cfRule type="notContainsBlanks" dxfId="347" priority="394">
      <formula>LEN(TRIM(I1149))&gt;0</formula>
    </cfRule>
  </conditionalFormatting>
  <conditionalFormatting sqref="U1149:U1158">
    <cfRule type="notContainsBlanks" dxfId="346" priority="390">
      <formula>LEN(TRIM(U1149))&gt;0</formula>
    </cfRule>
  </conditionalFormatting>
  <conditionalFormatting sqref="A1159:A1167 A1183:A1201">
    <cfRule type="duplicateValues" dxfId="345" priority="384"/>
  </conditionalFormatting>
  <conditionalFormatting sqref="A1159:A1167 A1183:A1201">
    <cfRule type="duplicateValues" dxfId="344" priority="385"/>
    <cfRule type="notContainsBlanks" dxfId="343" priority="386">
      <formula>LEN(TRIM(A1159))&gt;0</formula>
    </cfRule>
  </conditionalFormatting>
  <conditionalFormatting sqref="A1159:A1167 A1183:A1201">
    <cfRule type="duplicateValues" dxfId="342" priority="388"/>
  </conditionalFormatting>
  <conditionalFormatting sqref="AE1159:AE1167 AE1183:AE1201">
    <cfRule type="duplicateValues" dxfId="341" priority="389"/>
  </conditionalFormatting>
  <conditionalFormatting sqref="A1159:A1167 A1183:A1201">
    <cfRule type="duplicateValues" dxfId="340" priority="376"/>
    <cfRule type="duplicateValues" dxfId="339" priority="377"/>
    <cfRule type="duplicateValues" dxfId="338" priority="378"/>
    <cfRule type="duplicateValues" dxfId="337" priority="379"/>
  </conditionalFormatting>
  <conditionalFormatting sqref="A1159:A1167 A1183:A1201">
    <cfRule type="duplicateValues" dxfId="336" priority="364"/>
    <cfRule type="duplicateValues" dxfId="335" priority="365"/>
  </conditionalFormatting>
  <conditionalFormatting sqref="C1183:C1201">
    <cfRule type="notContainsBlanks" dxfId="334" priority="360">
      <formula>LEN(TRIM(C1183))&gt;0</formula>
    </cfRule>
  </conditionalFormatting>
  <conditionalFormatting sqref="J1159:J1167 N1159:O1161 N1163:O1167 N1183:O1201 J1183:J1201">
    <cfRule type="notContainsBlanks" dxfId="333" priority="361">
      <formula>LEN(TRIM(J1159))&gt;0</formula>
    </cfRule>
  </conditionalFormatting>
  <conditionalFormatting sqref="S1159:S1161 P1159:P1161 P1163:P1167 S1163:S1167 S1183:S1201 P1183:P1201">
    <cfRule type="notContainsBlanks" dxfId="332" priority="362">
      <formula>LEN(TRIM(P1159))&gt;0</formula>
    </cfRule>
  </conditionalFormatting>
  <conditionalFormatting sqref="I1159:I1166 I1183:I1201">
    <cfRule type="notContainsBlanks" dxfId="331" priority="363">
      <formula>LEN(TRIM(I1159))&gt;0</formula>
    </cfRule>
  </conditionalFormatting>
  <conditionalFormatting sqref="U1159:U1167 U1183:U1201">
    <cfRule type="notContainsBlanks" dxfId="330" priority="359">
      <formula>LEN(TRIM(U1159))&gt;0</formula>
    </cfRule>
  </conditionalFormatting>
  <conditionalFormatting sqref="N1162:O1162">
    <cfRule type="notContainsBlanks" dxfId="329" priority="357">
      <formula>LEN(TRIM(N1162))&gt;0</formula>
    </cfRule>
  </conditionalFormatting>
  <conditionalFormatting sqref="P1162 S1162">
    <cfRule type="notContainsBlanks" dxfId="328" priority="358">
      <formula>LEN(TRIM(P1162))&gt;0</formula>
    </cfRule>
  </conditionalFormatting>
  <conditionalFormatting sqref="AE1168:AE1174">
    <cfRule type="duplicateValues" dxfId="327" priority="356"/>
  </conditionalFormatting>
  <conditionalFormatting sqref="C1168:C1174">
    <cfRule type="notContainsBlanks" dxfId="326" priority="327">
      <formula>LEN(TRIM(C1168))&gt;0</formula>
    </cfRule>
  </conditionalFormatting>
  <conditionalFormatting sqref="J1168:J1174 N1168:O1174">
    <cfRule type="notContainsBlanks" dxfId="325" priority="328">
      <formula>LEN(TRIM(J1168))&gt;0</formula>
    </cfRule>
  </conditionalFormatting>
  <conditionalFormatting sqref="P1168:P1174 S1168:S1174">
    <cfRule type="notContainsBlanks" dxfId="324" priority="329">
      <formula>LEN(TRIM(P1168))&gt;0</formula>
    </cfRule>
  </conditionalFormatting>
  <conditionalFormatting sqref="I1168:I1174">
    <cfRule type="notContainsBlanks" dxfId="323" priority="330">
      <formula>LEN(TRIM(I1168))&gt;0</formula>
    </cfRule>
  </conditionalFormatting>
  <conditionalFormatting sqref="U1168:U1174">
    <cfRule type="notContainsBlanks" dxfId="322" priority="326">
      <formula>LEN(TRIM(U1168))&gt;0</formula>
    </cfRule>
  </conditionalFormatting>
  <conditionalFormatting sqref="A1174 A1168:A1172">
    <cfRule type="duplicateValues" dxfId="321" priority="10482"/>
  </conditionalFormatting>
  <conditionalFormatting sqref="A1174 A1168:A1172">
    <cfRule type="duplicateValues" dxfId="320" priority="10486"/>
    <cfRule type="notContainsBlanks" dxfId="319" priority="10487">
      <formula>LEN(TRIM(A1168))&gt;0</formula>
    </cfRule>
  </conditionalFormatting>
  <conditionalFormatting sqref="A1174 A1168:A1172">
    <cfRule type="duplicateValues" dxfId="318" priority="10498"/>
  </conditionalFormatting>
  <conditionalFormatting sqref="A1174 A1168:A1172">
    <cfRule type="duplicateValues" dxfId="317" priority="10518"/>
    <cfRule type="duplicateValues" dxfId="316" priority="10519"/>
    <cfRule type="duplicateValues" dxfId="315" priority="10520"/>
    <cfRule type="duplicateValues" dxfId="314" priority="10521"/>
  </conditionalFormatting>
  <conditionalFormatting sqref="A1174 A1168:A1172">
    <cfRule type="duplicateValues" dxfId="313" priority="10574"/>
    <cfRule type="duplicateValues" dxfId="312" priority="10575"/>
  </conditionalFormatting>
  <conditionalFormatting sqref="A1749:A1048576 A1174 A1:A1172 A1183:A1201">
    <cfRule type="duplicateValues" dxfId="311" priority="10582"/>
  </conditionalFormatting>
  <conditionalFormatting sqref="AE1175:AE1182">
    <cfRule type="duplicateValues" dxfId="310" priority="313"/>
  </conditionalFormatting>
  <conditionalFormatting sqref="C1175:C1182">
    <cfRule type="notContainsBlanks" dxfId="309" priority="309">
      <formula>LEN(TRIM(C1175))&gt;0</formula>
    </cfRule>
  </conditionalFormatting>
  <conditionalFormatting sqref="J1175:J1182 N1175:O1182">
    <cfRule type="notContainsBlanks" dxfId="308" priority="310">
      <formula>LEN(TRIM(J1175))&gt;0</formula>
    </cfRule>
  </conditionalFormatting>
  <conditionalFormatting sqref="P1175:P1182 S1175:S1182">
    <cfRule type="notContainsBlanks" dxfId="307" priority="311">
      <formula>LEN(TRIM(P1175))&gt;0</formula>
    </cfRule>
  </conditionalFormatting>
  <conditionalFormatting sqref="I1175:I1182">
    <cfRule type="notContainsBlanks" dxfId="306" priority="312">
      <formula>LEN(TRIM(I1175))&gt;0</formula>
    </cfRule>
  </conditionalFormatting>
  <conditionalFormatting sqref="U1175:U1182">
    <cfRule type="notContainsBlanks" dxfId="305" priority="308">
      <formula>LEN(TRIM(U1175))&gt;0</formula>
    </cfRule>
  </conditionalFormatting>
  <conditionalFormatting sqref="A1175:A1182">
    <cfRule type="duplicateValues" dxfId="304" priority="314"/>
  </conditionalFormatting>
  <conditionalFormatting sqref="A1175:A1182">
    <cfRule type="duplicateValues" dxfId="303" priority="315"/>
    <cfRule type="notContainsBlanks" dxfId="302" priority="316">
      <formula>LEN(TRIM(A1175))&gt;0</formula>
    </cfRule>
  </conditionalFormatting>
  <conditionalFormatting sqref="A1175:A1182">
    <cfRule type="duplicateValues" dxfId="301" priority="317"/>
  </conditionalFormatting>
  <conditionalFormatting sqref="A1175:A1182">
    <cfRule type="duplicateValues" dxfId="300" priority="318"/>
    <cfRule type="duplicateValues" dxfId="299" priority="319"/>
    <cfRule type="duplicateValues" dxfId="298" priority="320"/>
    <cfRule type="duplicateValues" dxfId="297" priority="321"/>
  </conditionalFormatting>
  <conditionalFormatting sqref="A1175:A1182">
    <cfRule type="duplicateValues" dxfId="296" priority="322"/>
    <cfRule type="duplicateValues" dxfId="295" priority="323"/>
  </conditionalFormatting>
  <conditionalFormatting sqref="A1175:A1182">
    <cfRule type="duplicateValues" dxfId="294" priority="324"/>
  </conditionalFormatting>
  <conditionalFormatting sqref="A1749:A1048576 A1:A1201">
    <cfRule type="duplicateValues" dxfId="293" priority="294"/>
    <cfRule type="duplicateValues" dxfId="292" priority="307"/>
  </conditionalFormatting>
  <conditionalFormatting sqref="I1167">
    <cfRule type="notContainsBlanks" dxfId="291" priority="306">
      <formula>LEN(TRIM(I1167))&gt;0</formula>
    </cfRule>
  </conditionalFormatting>
  <conditionalFormatting sqref="A1173">
    <cfRule type="duplicateValues" dxfId="290" priority="295"/>
  </conditionalFormatting>
  <conditionalFormatting sqref="A1173">
    <cfRule type="duplicateValues" dxfId="289" priority="296"/>
    <cfRule type="notContainsBlanks" dxfId="288" priority="297">
      <formula>LEN(TRIM(A1173))&gt;0</formula>
    </cfRule>
  </conditionalFormatting>
  <conditionalFormatting sqref="A1173">
    <cfRule type="duplicateValues" dxfId="287" priority="298"/>
  </conditionalFormatting>
  <conditionalFormatting sqref="A1173">
    <cfRule type="duplicateValues" dxfId="286" priority="299"/>
    <cfRule type="duplicateValues" dxfId="285" priority="300"/>
    <cfRule type="duplicateValues" dxfId="284" priority="301"/>
    <cfRule type="duplicateValues" dxfId="283" priority="302"/>
  </conditionalFormatting>
  <conditionalFormatting sqref="A1173">
    <cfRule type="duplicateValues" dxfId="282" priority="303"/>
    <cfRule type="duplicateValues" dxfId="281" priority="304"/>
  </conditionalFormatting>
  <conditionalFormatting sqref="A1173">
    <cfRule type="duplicateValues" dxfId="280" priority="305"/>
  </conditionalFormatting>
  <conditionalFormatting sqref="A1202:A1251 A1264:A1273">
    <cfRule type="duplicateValues" dxfId="279" priority="288"/>
  </conditionalFormatting>
  <conditionalFormatting sqref="A1202:A1251 A1264:A1273">
    <cfRule type="duplicateValues" dxfId="278" priority="289"/>
    <cfRule type="notContainsBlanks" dxfId="277" priority="290">
      <formula>LEN(TRIM(A1202))&gt;0</formula>
    </cfRule>
  </conditionalFormatting>
  <conditionalFormatting sqref="A1202:A1251 A1264:A1273">
    <cfRule type="duplicateValues" dxfId="276" priority="291"/>
  </conditionalFormatting>
  <conditionalFormatting sqref="AE1202:AE1251 AE1264:AE1273">
    <cfRule type="duplicateValues" dxfId="275" priority="292"/>
  </conditionalFormatting>
  <conditionalFormatting sqref="A1202:A1251 A1264:A1273">
    <cfRule type="duplicateValues" dxfId="274" priority="284"/>
    <cfRule type="duplicateValues" dxfId="273" priority="285"/>
    <cfRule type="duplicateValues" dxfId="272" priority="286"/>
    <cfRule type="duplicateValues" dxfId="271" priority="287"/>
  </conditionalFormatting>
  <conditionalFormatting sqref="A1202:A1251 A1264:A1273">
    <cfRule type="duplicateValues" dxfId="270" priority="282"/>
    <cfRule type="duplicateValues" dxfId="269" priority="283"/>
  </conditionalFormatting>
  <conditionalFormatting sqref="C1202:C1251 C1264:C1273">
    <cfRule type="notContainsBlanks" dxfId="268" priority="278">
      <formula>LEN(TRIM(C1202))&gt;0</formula>
    </cfRule>
  </conditionalFormatting>
  <conditionalFormatting sqref="N1202:O1251 J1202:J1251 J1264:J1273 N1264:O1273">
    <cfRule type="notContainsBlanks" dxfId="267" priority="279">
      <formula>LEN(TRIM(J1202))&gt;0</formula>
    </cfRule>
  </conditionalFormatting>
  <conditionalFormatting sqref="S1202:S1251 P1202:P1251 P1264:P1273 S1264:S1273">
    <cfRule type="notContainsBlanks" dxfId="266" priority="280">
      <formula>LEN(TRIM(P1202))&gt;0</formula>
    </cfRule>
  </conditionalFormatting>
  <conditionalFormatting sqref="I1202:I1251 I1264:I1273">
    <cfRule type="notContainsBlanks" dxfId="265" priority="281">
      <formula>LEN(TRIM(I1202))&gt;0</formula>
    </cfRule>
  </conditionalFormatting>
  <conditionalFormatting sqref="U1202:U1251 U1264:U1273">
    <cfRule type="notContainsBlanks" dxfId="264" priority="277">
      <formula>LEN(TRIM(U1202))&gt;0</formula>
    </cfRule>
  </conditionalFormatting>
  <conditionalFormatting sqref="A1202:A1251 A1264:A1273">
    <cfRule type="duplicateValues" dxfId="263" priority="293"/>
  </conditionalFormatting>
  <conditionalFormatting sqref="A1202:A1251 A1264:A1273">
    <cfRule type="duplicateValues" dxfId="262" priority="275"/>
    <cfRule type="duplicateValues" dxfId="261" priority="276"/>
  </conditionalFormatting>
  <conditionalFormatting sqref="A1749:A1048576 A1:A1251 A1264:A1273">
    <cfRule type="duplicateValues" dxfId="260" priority="273"/>
    <cfRule type="duplicateValues" dxfId="259" priority="274"/>
  </conditionalFormatting>
  <conditionalFormatting sqref="A1252:A1263">
    <cfRule type="duplicateValues" dxfId="258" priority="267"/>
  </conditionalFormatting>
  <conditionalFormatting sqref="A1252:A1263">
    <cfRule type="duplicateValues" dxfId="257" priority="268"/>
    <cfRule type="notContainsBlanks" dxfId="256" priority="269">
      <formula>LEN(TRIM(A1252))&gt;0</formula>
    </cfRule>
  </conditionalFormatting>
  <conditionalFormatting sqref="A1252:A1263">
    <cfRule type="duplicateValues" dxfId="255" priority="270"/>
  </conditionalFormatting>
  <conditionalFormatting sqref="AE1252:AE1263">
    <cfRule type="duplicateValues" dxfId="254" priority="271"/>
  </conditionalFormatting>
  <conditionalFormatting sqref="A1252:A1263">
    <cfRule type="duplicateValues" dxfId="253" priority="263"/>
    <cfRule type="duplicateValues" dxfId="252" priority="264"/>
    <cfRule type="duplicateValues" dxfId="251" priority="265"/>
    <cfRule type="duplicateValues" dxfId="250" priority="266"/>
  </conditionalFormatting>
  <conditionalFormatting sqref="A1252:A1263">
    <cfRule type="duplicateValues" dxfId="249" priority="261"/>
    <cfRule type="duplicateValues" dxfId="248" priority="262"/>
  </conditionalFormatting>
  <conditionalFormatting sqref="C1252:C1263">
    <cfRule type="notContainsBlanks" dxfId="247" priority="257">
      <formula>LEN(TRIM(C1252))&gt;0</formula>
    </cfRule>
  </conditionalFormatting>
  <conditionalFormatting sqref="N1252:O1263 J1252:J1263">
    <cfRule type="notContainsBlanks" dxfId="246" priority="258">
      <formula>LEN(TRIM(J1252))&gt;0</formula>
    </cfRule>
  </conditionalFormatting>
  <conditionalFormatting sqref="S1252:S1263 P1252:P1263">
    <cfRule type="notContainsBlanks" dxfId="245" priority="259">
      <formula>LEN(TRIM(P1252))&gt;0</formula>
    </cfRule>
  </conditionalFormatting>
  <conditionalFormatting sqref="I1252:I1263">
    <cfRule type="notContainsBlanks" dxfId="244" priority="260">
      <formula>LEN(TRIM(I1252))&gt;0</formula>
    </cfRule>
  </conditionalFormatting>
  <conditionalFormatting sqref="U1252:U1263">
    <cfRule type="notContainsBlanks" dxfId="243" priority="256">
      <formula>LEN(TRIM(U1252))&gt;0</formula>
    </cfRule>
  </conditionalFormatting>
  <conditionalFormatting sqref="A1252:A1263">
    <cfRule type="duplicateValues" dxfId="242" priority="272"/>
  </conditionalFormatting>
  <conditionalFormatting sqref="A1252:A1263">
    <cfRule type="duplicateValues" dxfId="241" priority="254"/>
    <cfRule type="duplicateValues" dxfId="240" priority="255"/>
  </conditionalFormatting>
  <conditionalFormatting sqref="A1252:A1263">
    <cfRule type="duplicateValues" dxfId="239" priority="252"/>
    <cfRule type="duplicateValues" dxfId="238" priority="253"/>
  </conditionalFormatting>
  <conditionalFormatting sqref="A1274">
    <cfRule type="duplicateValues" dxfId="237" priority="246"/>
  </conditionalFormatting>
  <conditionalFormatting sqref="A1274">
    <cfRule type="duplicateValues" dxfId="236" priority="247"/>
    <cfRule type="notContainsBlanks" dxfId="235" priority="248">
      <formula>LEN(TRIM(A1274))&gt;0</formula>
    </cfRule>
  </conditionalFormatting>
  <conditionalFormatting sqref="A1274">
    <cfRule type="duplicateValues" dxfId="234" priority="249"/>
  </conditionalFormatting>
  <conditionalFormatting sqref="AE1274">
    <cfRule type="duplicateValues" dxfId="233" priority="250"/>
  </conditionalFormatting>
  <conditionalFormatting sqref="A1274">
    <cfRule type="duplicateValues" dxfId="232" priority="242"/>
    <cfRule type="duplicateValues" dxfId="231" priority="243"/>
    <cfRule type="duplicateValues" dxfId="230" priority="244"/>
    <cfRule type="duplicateValues" dxfId="229" priority="245"/>
  </conditionalFormatting>
  <conditionalFormatting sqref="A1274">
    <cfRule type="duplicateValues" dxfId="228" priority="240"/>
    <cfRule type="duplicateValues" dxfId="227" priority="241"/>
  </conditionalFormatting>
  <conditionalFormatting sqref="C1274">
    <cfRule type="notContainsBlanks" dxfId="226" priority="236">
      <formula>LEN(TRIM(C1274))&gt;0</formula>
    </cfRule>
  </conditionalFormatting>
  <conditionalFormatting sqref="J1274 N1274:O1274">
    <cfRule type="notContainsBlanks" dxfId="225" priority="237">
      <formula>LEN(TRIM(J1274))&gt;0</formula>
    </cfRule>
  </conditionalFormatting>
  <conditionalFormatting sqref="P1274 S1274">
    <cfRule type="notContainsBlanks" dxfId="224" priority="238">
      <formula>LEN(TRIM(P1274))&gt;0</formula>
    </cfRule>
  </conditionalFormatting>
  <conditionalFormatting sqref="I1274">
    <cfRule type="notContainsBlanks" dxfId="223" priority="239">
      <formula>LEN(TRIM(I1274))&gt;0</formula>
    </cfRule>
  </conditionalFormatting>
  <conditionalFormatting sqref="U1274">
    <cfRule type="notContainsBlanks" dxfId="222" priority="235">
      <formula>LEN(TRIM(U1274))&gt;0</formula>
    </cfRule>
  </conditionalFormatting>
  <conditionalFormatting sqref="A1274">
    <cfRule type="duplicateValues" dxfId="221" priority="251"/>
  </conditionalFormatting>
  <conditionalFormatting sqref="A1274">
    <cfRule type="duplicateValues" dxfId="220" priority="233"/>
    <cfRule type="duplicateValues" dxfId="219" priority="234"/>
  </conditionalFormatting>
  <conditionalFormatting sqref="A1274">
    <cfRule type="duplicateValues" dxfId="218" priority="231"/>
    <cfRule type="duplicateValues" dxfId="217" priority="232"/>
  </conditionalFormatting>
  <conditionalFormatting sqref="A1275:A1278">
    <cfRule type="duplicateValues" dxfId="216" priority="225"/>
  </conditionalFormatting>
  <conditionalFormatting sqref="A1275:A1278">
    <cfRule type="duplicateValues" dxfId="215" priority="226"/>
    <cfRule type="notContainsBlanks" dxfId="214" priority="227">
      <formula>LEN(TRIM(A1275))&gt;0</formula>
    </cfRule>
  </conditionalFormatting>
  <conditionalFormatting sqref="A1275:A1278">
    <cfRule type="duplicateValues" dxfId="213" priority="228"/>
  </conditionalFormatting>
  <conditionalFormatting sqref="AE1275:AE1278">
    <cfRule type="duplicateValues" dxfId="212" priority="229"/>
  </conditionalFormatting>
  <conditionalFormatting sqref="A1275:A1278">
    <cfRule type="duplicateValues" dxfId="211" priority="221"/>
    <cfRule type="duplicateValues" dxfId="210" priority="222"/>
    <cfRule type="duplicateValues" dxfId="209" priority="223"/>
    <cfRule type="duplicateValues" dxfId="208" priority="224"/>
  </conditionalFormatting>
  <conditionalFormatting sqref="A1275:A1278">
    <cfRule type="duplicateValues" dxfId="207" priority="219"/>
    <cfRule type="duplicateValues" dxfId="206" priority="220"/>
  </conditionalFormatting>
  <conditionalFormatting sqref="C1275:C1278">
    <cfRule type="notContainsBlanks" dxfId="205" priority="215">
      <formula>LEN(TRIM(C1275))&gt;0</formula>
    </cfRule>
  </conditionalFormatting>
  <conditionalFormatting sqref="J1275:J1278 N1275:O1278">
    <cfRule type="notContainsBlanks" dxfId="204" priority="216">
      <formula>LEN(TRIM(J1275))&gt;0</formula>
    </cfRule>
  </conditionalFormatting>
  <conditionalFormatting sqref="P1275:P1278 S1275:S1278">
    <cfRule type="notContainsBlanks" dxfId="203" priority="217">
      <formula>LEN(TRIM(P1275))&gt;0</formula>
    </cfRule>
  </conditionalFormatting>
  <conditionalFormatting sqref="I1275:I1278">
    <cfRule type="notContainsBlanks" dxfId="202" priority="218">
      <formula>LEN(TRIM(I1275))&gt;0</formula>
    </cfRule>
  </conditionalFormatting>
  <conditionalFormatting sqref="U1275:U1278">
    <cfRule type="notContainsBlanks" dxfId="201" priority="214">
      <formula>LEN(TRIM(U1275))&gt;0</formula>
    </cfRule>
  </conditionalFormatting>
  <conditionalFormatting sqref="A1275:A1278">
    <cfRule type="duplicateValues" dxfId="200" priority="230"/>
  </conditionalFormatting>
  <conditionalFormatting sqref="A1275:A1278">
    <cfRule type="duplicateValues" dxfId="199" priority="212"/>
    <cfRule type="duplicateValues" dxfId="198" priority="213"/>
  </conditionalFormatting>
  <conditionalFormatting sqref="A1275:A1278">
    <cfRule type="duplicateValues" dxfId="197" priority="210"/>
    <cfRule type="duplicateValues" dxfId="196" priority="211"/>
  </conditionalFormatting>
  <conditionalFormatting sqref="A1279">
    <cfRule type="duplicateValues" dxfId="195" priority="204"/>
  </conditionalFormatting>
  <conditionalFormatting sqref="A1279">
    <cfRule type="duplicateValues" dxfId="194" priority="205"/>
    <cfRule type="notContainsBlanks" dxfId="193" priority="206">
      <formula>LEN(TRIM(A1279))&gt;0</formula>
    </cfRule>
  </conditionalFormatting>
  <conditionalFormatting sqref="A1279">
    <cfRule type="duplicateValues" dxfId="192" priority="207"/>
  </conditionalFormatting>
  <conditionalFormatting sqref="AE1279">
    <cfRule type="duplicateValues" dxfId="191" priority="208"/>
  </conditionalFormatting>
  <conditionalFormatting sqref="A1279">
    <cfRule type="duplicateValues" dxfId="190" priority="200"/>
    <cfRule type="duplicateValues" dxfId="189" priority="201"/>
    <cfRule type="duplicateValues" dxfId="188" priority="202"/>
    <cfRule type="duplicateValues" dxfId="187" priority="203"/>
  </conditionalFormatting>
  <conditionalFormatting sqref="A1279">
    <cfRule type="duplicateValues" dxfId="186" priority="198"/>
    <cfRule type="duplicateValues" dxfId="185" priority="199"/>
  </conditionalFormatting>
  <conditionalFormatting sqref="C1279">
    <cfRule type="notContainsBlanks" dxfId="184" priority="194">
      <formula>LEN(TRIM(C1279))&gt;0</formula>
    </cfRule>
  </conditionalFormatting>
  <conditionalFormatting sqref="J1279 N1279:O1279">
    <cfRule type="notContainsBlanks" dxfId="183" priority="195">
      <formula>LEN(TRIM(J1279))&gt;0</formula>
    </cfRule>
  </conditionalFormatting>
  <conditionalFormatting sqref="P1279 S1279">
    <cfRule type="notContainsBlanks" dxfId="182" priority="196">
      <formula>LEN(TRIM(P1279))&gt;0</formula>
    </cfRule>
  </conditionalFormatting>
  <conditionalFormatting sqref="I1279">
    <cfRule type="notContainsBlanks" dxfId="181" priority="197">
      <formula>LEN(TRIM(I1279))&gt;0</formula>
    </cfRule>
  </conditionalFormatting>
  <conditionalFormatting sqref="U1279">
    <cfRule type="notContainsBlanks" dxfId="180" priority="193">
      <formula>LEN(TRIM(U1279))&gt;0</formula>
    </cfRule>
  </conditionalFormatting>
  <conditionalFormatting sqref="A1279">
    <cfRule type="duplicateValues" dxfId="179" priority="209"/>
  </conditionalFormatting>
  <conditionalFormatting sqref="A1279">
    <cfRule type="duplicateValues" dxfId="178" priority="191"/>
    <cfRule type="duplicateValues" dxfId="177" priority="192"/>
  </conditionalFormatting>
  <conditionalFormatting sqref="A1279">
    <cfRule type="duplicateValues" dxfId="176" priority="189"/>
    <cfRule type="duplicateValues" dxfId="175" priority="190"/>
  </conditionalFormatting>
  <conditionalFormatting sqref="A1280:A1355">
    <cfRule type="duplicateValues" dxfId="174" priority="183"/>
  </conditionalFormatting>
  <conditionalFormatting sqref="A1280:A1355">
    <cfRule type="duplicateValues" dxfId="173" priority="184"/>
    <cfRule type="notContainsBlanks" dxfId="172" priority="185">
      <formula>LEN(TRIM(A1280))&gt;0</formula>
    </cfRule>
  </conditionalFormatting>
  <conditionalFormatting sqref="A1280:A1355">
    <cfRule type="duplicateValues" dxfId="171" priority="186"/>
  </conditionalFormatting>
  <conditionalFormatting sqref="AE1280:AE1292 AE1294:AE1355">
    <cfRule type="duplicateValues" dxfId="170" priority="187"/>
  </conditionalFormatting>
  <conditionalFormatting sqref="A1280:A1355">
    <cfRule type="duplicateValues" dxfId="169" priority="179"/>
    <cfRule type="duplicateValues" dxfId="168" priority="180"/>
    <cfRule type="duplicateValues" dxfId="167" priority="181"/>
    <cfRule type="duplicateValues" dxfId="166" priority="182"/>
  </conditionalFormatting>
  <conditionalFormatting sqref="A1280:A1355">
    <cfRule type="duplicateValues" dxfId="165" priority="177"/>
    <cfRule type="duplicateValues" dxfId="164" priority="178"/>
  </conditionalFormatting>
  <conditionalFormatting sqref="C1280:C1355">
    <cfRule type="notContainsBlanks" dxfId="163" priority="173">
      <formula>LEN(TRIM(C1280))&gt;0</formula>
    </cfRule>
  </conditionalFormatting>
  <conditionalFormatting sqref="J1280:J1355 N1280:O1355">
    <cfRule type="notContainsBlanks" dxfId="162" priority="174">
      <formula>LEN(TRIM(J1280))&gt;0</formula>
    </cfRule>
  </conditionalFormatting>
  <conditionalFormatting sqref="P1280:P1355 S1280:S1355">
    <cfRule type="notContainsBlanks" dxfId="161" priority="175">
      <formula>LEN(TRIM(P1280))&gt;0</formula>
    </cfRule>
  </conditionalFormatting>
  <conditionalFormatting sqref="I1280:I1355">
    <cfRule type="notContainsBlanks" dxfId="160" priority="176">
      <formula>LEN(TRIM(I1280))&gt;0</formula>
    </cfRule>
  </conditionalFormatting>
  <conditionalFormatting sqref="U1280:U1355">
    <cfRule type="notContainsBlanks" dxfId="159" priority="172">
      <formula>LEN(TRIM(U1280))&gt;0</formula>
    </cfRule>
  </conditionalFormatting>
  <conditionalFormatting sqref="A1280:A1355">
    <cfRule type="duplicateValues" dxfId="158" priority="188"/>
  </conditionalFormatting>
  <conditionalFormatting sqref="A1280:A1355">
    <cfRule type="duplicateValues" dxfId="157" priority="170"/>
    <cfRule type="duplicateValues" dxfId="156" priority="171"/>
  </conditionalFormatting>
  <conditionalFormatting sqref="A1280:A1355">
    <cfRule type="duplicateValues" dxfId="155" priority="168"/>
    <cfRule type="duplicateValues" dxfId="154" priority="169"/>
  </conditionalFormatting>
  <conditionalFormatting sqref="A1749:A1048576 A1:A1355">
    <cfRule type="duplicateValues" dxfId="153" priority="167"/>
  </conditionalFormatting>
  <conditionalFormatting sqref="A1357:A1441 A1446:A1515 A1443:A1444">
    <cfRule type="duplicateValues" dxfId="152" priority="161"/>
  </conditionalFormatting>
  <conditionalFormatting sqref="A1357:A1441 A1446:A1515 A1443:A1444">
    <cfRule type="duplicateValues" dxfId="151" priority="162"/>
    <cfRule type="notContainsBlanks" dxfId="150" priority="163">
      <formula>LEN(TRIM(A1357))&gt;0</formula>
    </cfRule>
  </conditionalFormatting>
  <conditionalFormatting sqref="A1357:A1441 A1446:A1515 A1443:A1444">
    <cfRule type="duplicateValues" dxfId="149" priority="164"/>
  </conditionalFormatting>
  <conditionalFormatting sqref="AE1357:AE1441 AE1446:AE1474 AE1476:AE1515 AE1443:AE1444">
    <cfRule type="duplicateValues" dxfId="148" priority="165"/>
  </conditionalFormatting>
  <conditionalFormatting sqref="A1357:A1441 A1446:A1515 A1443:A1444">
    <cfRule type="duplicateValues" dxfId="147" priority="157"/>
    <cfRule type="duplicateValues" dxfId="146" priority="158"/>
    <cfRule type="duplicateValues" dxfId="145" priority="159"/>
    <cfRule type="duplicateValues" dxfId="144" priority="160"/>
  </conditionalFormatting>
  <conditionalFormatting sqref="A1357:A1441 A1446:A1515 A1443:A1444">
    <cfRule type="duplicateValues" dxfId="143" priority="155"/>
    <cfRule type="duplicateValues" dxfId="142" priority="156"/>
  </conditionalFormatting>
  <conditionalFormatting sqref="C1357:C1441 C1446:C1515 C1443:C1444">
    <cfRule type="notContainsBlanks" dxfId="141" priority="151">
      <formula>LEN(TRIM(C1357))&gt;0</formula>
    </cfRule>
  </conditionalFormatting>
  <conditionalFormatting sqref="J1357:J1441 N1357:O1441 N1446:O1515 J1446:J1515 N1443:O1444 J1443:J1444">
    <cfRule type="notContainsBlanks" dxfId="140" priority="152">
      <formula>LEN(TRIM(J1357))&gt;0</formula>
    </cfRule>
  </conditionalFormatting>
  <conditionalFormatting sqref="P1357:P1441 P1446:P1515 P1443:P1444">
    <cfRule type="notContainsBlanks" dxfId="139" priority="153">
      <formula>LEN(TRIM(P1357))&gt;0</formula>
    </cfRule>
  </conditionalFormatting>
  <conditionalFormatting sqref="I1357:I1441 I1446:I1515 I1443:I1444">
    <cfRule type="notContainsBlanks" dxfId="138" priority="154">
      <formula>LEN(TRIM(I1357))&gt;0</formula>
    </cfRule>
  </conditionalFormatting>
  <conditionalFormatting sqref="U1357:U1441 U1446:U1515 U1443:U1444">
    <cfRule type="notContainsBlanks" dxfId="137" priority="150">
      <formula>LEN(TRIM(U1357))&gt;0</formula>
    </cfRule>
  </conditionalFormatting>
  <conditionalFormatting sqref="A1357:A1441 A1443:A1444">
    <cfRule type="duplicateValues" dxfId="136" priority="166"/>
  </conditionalFormatting>
  <conditionalFormatting sqref="A1357:A1441 A1443:A1444">
    <cfRule type="duplicateValues" dxfId="135" priority="148"/>
    <cfRule type="duplicateValues" dxfId="134" priority="149"/>
  </conditionalFormatting>
  <conditionalFormatting sqref="A1357:A1441 A1443:A1444">
    <cfRule type="duplicateValues" dxfId="133" priority="146"/>
    <cfRule type="duplicateValues" dxfId="132" priority="147"/>
  </conditionalFormatting>
  <conditionalFormatting sqref="A1357:A1441 A1443:A1444">
    <cfRule type="duplicateValues" dxfId="131" priority="145"/>
  </conditionalFormatting>
  <conditionalFormatting sqref="A1356">
    <cfRule type="duplicateValues" dxfId="130" priority="139"/>
  </conditionalFormatting>
  <conditionalFormatting sqref="A1356">
    <cfRule type="duplicateValues" dxfId="129" priority="140"/>
    <cfRule type="notContainsBlanks" dxfId="128" priority="141">
      <formula>LEN(TRIM(A1356))&gt;0</formula>
    </cfRule>
  </conditionalFormatting>
  <conditionalFormatting sqref="A1356">
    <cfRule type="duplicateValues" dxfId="127" priority="142"/>
  </conditionalFormatting>
  <conditionalFormatting sqref="AE1356">
    <cfRule type="duplicateValues" dxfId="126" priority="143"/>
  </conditionalFormatting>
  <conditionalFormatting sqref="A1356">
    <cfRule type="duplicateValues" dxfId="125" priority="135"/>
    <cfRule type="duplicateValues" dxfId="124" priority="136"/>
    <cfRule type="duplicateValues" dxfId="123" priority="137"/>
    <cfRule type="duplicateValues" dxfId="122" priority="138"/>
  </conditionalFormatting>
  <conditionalFormatting sqref="A1356">
    <cfRule type="duplicateValues" dxfId="121" priority="133"/>
    <cfRule type="duplicateValues" dxfId="120" priority="134"/>
  </conditionalFormatting>
  <conditionalFormatting sqref="C1356">
    <cfRule type="notContainsBlanks" dxfId="119" priority="129">
      <formula>LEN(TRIM(C1356))&gt;0</formula>
    </cfRule>
  </conditionalFormatting>
  <conditionalFormatting sqref="J1356 N1356:O1356">
    <cfRule type="notContainsBlanks" dxfId="118" priority="130">
      <formula>LEN(TRIM(J1356))&gt;0</formula>
    </cfRule>
  </conditionalFormatting>
  <conditionalFormatting sqref="P1356 S1356:S1441 S1446:S1478 S1480:S1515 S1443:S1444">
    <cfRule type="notContainsBlanks" dxfId="117" priority="131">
      <formula>LEN(TRIM(P1356))&gt;0</formula>
    </cfRule>
  </conditionalFormatting>
  <conditionalFormatting sqref="I1356">
    <cfRule type="notContainsBlanks" dxfId="116" priority="132">
      <formula>LEN(TRIM(I1356))&gt;0</formula>
    </cfRule>
  </conditionalFormatting>
  <conditionalFormatting sqref="U1356">
    <cfRule type="notContainsBlanks" dxfId="115" priority="128">
      <formula>LEN(TRIM(U1356))&gt;0</formula>
    </cfRule>
  </conditionalFormatting>
  <conditionalFormatting sqref="A1356">
    <cfRule type="duplicateValues" dxfId="114" priority="144"/>
  </conditionalFormatting>
  <conditionalFormatting sqref="A1356">
    <cfRule type="duplicateValues" dxfId="113" priority="126"/>
    <cfRule type="duplicateValues" dxfId="112" priority="127"/>
  </conditionalFormatting>
  <conditionalFormatting sqref="A1356">
    <cfRule type="duplicateValues" dxfId="111" priority="124"/>
    <cfRule type="duplicateValues" dxfId="110" priority="125"/>
  </conditionalFormatting>
  <conditionalFormatting sqref="A1356">
    <cfRule type="duplicateValues" dxfId="109" priority="123"/>
  </conditionalFormatting>
  <conditionalFormatting sqref="A1445">
    <cfRule type="duplicateValues" dxfId="108" priority="117"/>
  </conditionalFormatting>
  <conditionalFormatting sqref="A1445">
    <cfRule type="duplicateValues" dxfId="107" priority="118"/>
    <cfRule type="notContainsBlanks" dxfId="106" priority="119">
      <formula>LEN(TRIM(A1445))&gt;0</formula>
    </cfRule>
  </conditionalFormatting>
  <conditionalFormatting sqref="A1445">
    <cfRule type="duplicateValues" dxfId="105" priority="120"/>
  </conditionalFormatting>
  <conditionalFormatting sqref="AE1445">
    <cfRule type="duplicateValues" dxfId="104" priority="121"/>
  </conditionalFormatting>
  <conditionalFormatting sqref="A1445">
    <cfRule type="duplicateValues" dxfId="103" priority="113"/>
    <cfRule type="duplicateValues" dxfId="102" priority="114"/>
    <cfRule type="duplicateValues" dxfId="101" priority="115"/>
    <cfRule type="duplicateValues" dxfId="100" priority="116"/>
  </conditionalFormatting>
  <conditionalFormatting sqref="A1445">
    <cfRule type="duplicateValues" dxfId="99" priority="111"/>
    <cfRule type="duplicateValues" dxfId="98" priority="112"/>
  </conditionalFormatting>
  <conditionalFormatting sqref="C1445">
    <cfRule type="notContainsBlanks" dxfId="97" priority="107">
      <formula>LEN(TRIM(C1445))&gt;0</formula>
    </cfRule>
  </conditionalFormatting>
  <conditionalFormatting sqref="J1445 N1445:O1445">
    <cfRule type="notContainsBlanks" dxfId="96" priority="108">
      <formula>LEN(TRIM(J1445))&gt;0</formula>
    </cfRule>
  </conditionalFormatting>
  <conditionalFormatting sqref="P1445">
    <cfRule type="notContainsBlanks" dxfId="95" priority="109">
      <formula>LEN(TRIM(P1445))&gt;0</formula>
    </cfRule>
  </conditionalFormatting>
  <conditionalFormatting sqref="I1445">
    <cfRule type="notContainsBlanks" dxfId="94" priority="110">
      <formula>LEN(TRIM(I1445))&gt;0</formula>
    </cfRule>
  </conditionalFormatting>
  <conditionalFormatting sqref="U1445">
    <cfRule type="notContainsBlanks" dxfId="93" priority="106">
      <formula>LEN(TRIM(U1445))&gt;0</formula>
    </cfRule>
  </conditionalFormatting>
  <conditionalFormatting sqref="A1445">
    <cfRule type="duplicateValues" dxfId="92" priority="122"/>
  </conditionalFormatting>
  <conditionalFormatting sqref="A1445">
    <cfRule type="duplicateValues" dxfId="91" priority="104"/>
    <cfRule type="duplicateValues" dxfId="90" priority="105"/>
  </conditionalFormatting>
  <conditionalFormatting sqref="A1445">
    <cfRule type="duplicateValues" dxfId="89" priority="102"/>
    <cfRule type="duplicateValues" dxfId="88" priority="103"/>
  </conditionalFormatting>
  <conditionalFormatting sqref="A1445">
    <cfRule type="duplicateValues" dxfId="87" priority="101"/>
  </conditionalFormatting>
  <conditionalFormatting sqref="S1445">
    <cfRule type="notContainsBlanks" dxfId="86" priority="100">
      <formula>LEN(TRIM(S1445))&gt;0</formula>
    </cfRule>
  </conditionalFormatting>
  <conditionalFormatting sqref="S1479">
    <cfRule type="notContainsBlanks" dxfId="85" priority="99">
      <formula>LEN(TRIM(S1479))&gt;0</formula>
    </cfRule>
  </conditionalFormatting>
  <conditionalFormatting sqref="A1516:A1531 A1541:A1591">
    <cfRule type="duplicateValues" dxfId="84" priority="93"/>
  </conditionalFormatting>
  <conditionalFormatting sqref="A1516:A1531 A1541:A1591">
    <cfRule type="duplicateValues" dxfId="83" priority="94"/>
    <cfRule type="notContainsBlanks" dxfId="82" priority="95">
      <formula>LEN(TRIM(A1516))&gt;0</formula>
    </cfRule>
  </conditionalFormatting>
  <conditionalFormatting sqref="A1516:A1531 A1541:A1591">
    <cfRule type="duplicateValues" dxfId="81" priority="96"/>
  </conditionalFormatting>
  <conditionalFormatting sqref="AE1516:AE1531 AE1541:AE1591">
    <cfRule type="duplicateValues" dxfId="80" priority="97"/>
  </conditionalFormatting>
  <conditionalFormatting sqref="A1516:A1531 A1541:A1591">
    <cfRule type="duplicateValues" dxfId="79" priority="89"/>
    <cfRule type="duplicateValues" dxfId="78" priority="90"/>
    <cfRule type="duplicateValues" dxfId="77" priority="91"/>
    <cfRule type="duplicateValues" dxfId="76" priority="92"/>
  </conditionalFormatting>
  <conditionalFormatting sqref="A1516:A1531 A1541:A1591">
    <cfRule type="duplicateValues" dxfId="75" priority="87"/>
    <cfRule type="duplicateValues" dxfId="74" priority="88"/>
  </conditionalFormatting>
  <conditionalFormatting sqref="C1516:C1531 C1541:C1591">
    <cfRule type="notContainsBlanks" dxfId="73" priority="83">
      <formula>LEN(TRIM(C1516))&gt;0</formula>
    </cfRule>
  </conditionalFormatting>
  <conditionalFormatting sqref="N1516:O1531 J1516:J1531 J1541:J1591 N1541:O1554 N1556:O1591 N1555">
    <cfRule type="notContainsBlanks" dxfId="72" priority="84">
      <formula>LEN(TRIM(J1516))&gt;0</formula>
    </cfRule>
  </conditionalFormatting>
  <conditionalFormatting sqref="P1516:P1531 P1541:P1591">
    <cfRule type="notContainsBlanks" dxfId="71" priority="85">
      <formula>LEN(TRIM(P1516))&gt;0</formula>
    </cfRule>
  </conditionalFormatting>
  <conditionalFormatting sqref="I1516:I1531 I1541:I1591">
    <cfRule type="notContainsBlanks" dxfId="70" priority="86">
      <formula>LEN(TRIM(I1516))&gt;0</formula>
    </cfRule>
  </conditionalFormatting>
  <conditionalFormatting sqref="U1516:U1531 U1541:U1591">
    <cfRule type="notContainsBlanks" dxfId="69" priority="82">
      <formula>LEN(TRIM(U1516))&gt;0</formula>
    </cfRule>
  </conditionalFormatting>
  <conditionalFormatting sqref="A1516:A1531">
    <cfRule type="duplicateValues" dxfId="68" priority="98"/>
  </conditionalFormatting>
  <conditionalFormatting sqref="A1516:A1531">
    <cfRule type="duplicateValues" dxfId="67" priority="80"/>
    <cfRule type="duplicateValues" dxfId="66" priority="81"/>
  </conditionalFormatting>
  <conditionalFormatting sqref="A1516:A1531">
    <cfRule type="duplicateValues" dxfId="65" priority="78"/>
    <cfRule type="duplicateValues" dxfId="64" priority="79"/>
  </conditionalFormatting>
  <conditionalFormatting sqref="A1516:A1531">
    <cfRule type="duplicateValues" dxfId="63" priority="77"/>
  </conditionalFormatting>
  <conditionalFormatting sqref="S1516:S1531 S1541:S1591">
    <cfRule type="notContainsBlanks" dxfId="62" priority="76">
      <formula>LEN(TRIM(S1516))&gt;0</formula>
    </cfRule>
  </conditionalFormatting>
  <conditionalFormatting sqref="A1749:A1048576 A1541:A1591 A1:A1441 A1443:A1531">
    <cfRule type="duplicateValues" dxfId="61" priority="75"/>
  </conditionalFormatting>
  <conditionalFormatting sqref="A1532:A1540">
    <cfRule type="duplicateValues" dxfId="60" priority="69"/>
  </conditionalFormatting>
  <conditionalFormatting sqref="A1532:A1540">
    <cfRule type="duplicateValues" dxfId="59" priority="70"/>
    <cfRule type="notContainsBlanks" dxfId="58" priority="71">
      <formula>LEN(TRIM(A1532))&gt;0</formula>
    </cfRule>
  </conditionalFormatting>
  <conditionalFormatting sqref="A1532:A1540">
    <cfRule type="duplicateValues" dxfId="57" priority="72"/>
  </conditionalFormatting>
  <conditionalFormatting sqref="AE1532:AE1540">
    <cfRule type="duplicateValues" dxfId="56" priority="73"/>
  </conditionalFormatting>
  <conditionalFormatting sqref="A1532:A1540">
    <cfRule type="duplicateValues" dxfId="55" priority="65"/>
    <cfRule type="duplicateValues" dxfId="54" priority="66"/>
    <cfRule type="duplicateValues" dxfId="53" priority="67"/>
    <cfRule type="duplicateValues" dxfId="52" priority="68"/>
  </conditionalFormatting>
  <conditionalFormatting sqref="A1532:A1540">
    <cfRule type="duplicateValues" dxfId="51" priority="63"/>
    <cfRule type="duplicateValues" dxfId="50" priority="64"/>
  </conditionalFormatting>
  <conditionalFormatting sqref="C1532:C1540">
    <cfRule type="notContainsBlanks" dxfId="49" priority="59">
      <formula>LEN(TRIM(C1532))&gt;0</formula>
    </cfRule>
  </conditionalFormatting>
  <conditionalFormatting sqref="N1532:O1540 J1532:J1540">
    <cfRule type="notContainsBlanks" dxfId="48" priority="60">
      <formula>LEN(TRIM(J1532))&gt;0</formula>
    </cfRule>
  </conditionalFormatting>
  <conditionalFormatting sqref="P1532:P1540">
    <cfRule type="notContainsBlanks" dxfId="47" priority="61">
      <formula>LEN(TRIM(P1532))&gt;0</formula>
    </cfRule>
  </conditionalFormatting>
  <conditionalFormatting sqref="I1532:I1540">
    <cfRule type="notContainsBlanks" dxfId="46" priority="62">
      <formula>LEN(TRIM(I1532))&gt;0</formula>
    </cfRule>
  </conditionalFormatting>
  <conditionalFormatting sqref="U1532:U1540">
    <cfRule type="notContainsBlanks" dxfId="45" priority="58">
      <formula>LEN(TRIM(U1532))&gt;0</formula>
    </cfRule>
  </conditionalFormatting>
  <conditionalFormatting sqref="A1532:A1540">
    <cfRule type="duplicateValues" dxfId="44" priority="74"/>
  </conditionalFormatting>
  <conditionalFormatting sqref="A1532:A1540">
    <cfRule type="duplicateValues" dxfId="43" priority="56"/>
    <cfRule type="duplicateValues" dxfId="42" priority="57"/>
  </conditionalFormatting>
  <conditionalFormatting sqref="A1532:A1540">
    <cfRule type="duplicateValues" dxfId="41" priority="54"/>
    <cfRule type="duplicateValues" dxfId="40" priority="55"/>
  </conditionalFormatting>
  <conditionalFormatting sqref="A1532:A1540">
    <cfRule type="duplicateValues" dxfId="39" priority="53"/>
  </conditionalFormatting>
  <conditionalFormatting sqref="S1532:S1540">
    <cfRule type="notContainsBlanks" dxfId="38" priority="52">
      <formula>LEN(TRIM(S1532))&gt;0</formula>
    </cfRule>
  </conditionalFormatting>
  <conditionalFormatting sqref="A1532:A1540">
    <cfRule type="duplicateValues" dxfId="37" priority="51"/>
  </conditionalFormatting>
  <conditionalFormatting sqref="O1555">
    <cfRule type="notContainsBlanks" dxfId="36" priority="50">
      <formula>LEN(TRIM(O1555))&gt;0</formula>
    </cfRule>
  </conditionalFormatting>
  <conditionalFormatting sqref="A1442">
    <cfRule type="duplicateValues" dxfId="35" priority="20"/>
  </conditionalFormatting>
  <conditionalFormatting sqref="A1442">
    <cfRule type="duplicateValues" dxfId="34" priority="21"/>
    <cfRule type="notContainsBlanks" dxfId="33" priority="22">
      <formula>LEN(TRIM(A1442))&gt;0</formula>
    </cfRule>
  </conditionalFormatting>
  <conditionalFormatting sqref="A1442">
    <cfRule type="duplicateValues" dxfId="32" priority="23"/>
  </conditionalFormatting>
  <conditionalFormatting sqref="AE1442">
    <cfRule type="duplicateValues" dxfId="31" priority="24"/>
  </conditionalFormatting>
  <conditionalFormatting sqref="A1442">
    <cfRule type="duplicateValues" dxfId="30" priority="16"/>
    <cfRule type="duplicateValues" dxfId="29" priority="17"/>
    <cfRule type="duplicateValues" dxfId="28" priority="18"/>
    <cfRule type="duplicateValues" dxfId="27" priority="19"/>
  </conditionalFormatting>
  <conditionalFormatting sqref="A1442">
    <cfRule type="duplicateValues" dxfId="26" priority="14"/>
    <cfRule type="duplicateValues" dxfId="25" priority="15"/>
  </conditionalFormatting>
  <conditionalFormatting sqref="C1442">
    <cfRule type="notContainsBlanks" dxfId="24" priority="10">
      <formula>LEN(TRIM(C1442))&gt;0</formula>
    </cfRule>
  </conditionalFormatting>
  <conditionalFormatting sqref="N1442:O1442 J1442">
    <cfRule type="notContainsBlanks" dxfId="23" priority="11">
      <formula>LEN(TRIM(J1442))&gt;0</formula>
    </cfRule>
  </conditionalFormatting>
  <conditionalFormatting sqref="P1442">
    <cfRule type="notContainsBlanks" dxfId="22" priority="12">
      <formula>LEN(TRIM(P1442))&gt;0</formula>
    </cfRule>
  </conditionalFormatting>
  <conditionalFormatting sqref="I1442">
    <cfRule type="notContainsBlanks" dxfId="21" priority="13">
      <formula>LEN(TRIM(I1442))&gt;0</formula>
    </cfRule>
  </conditionalFormatting>
  <conditionalFormatting sqref="U1442">
    <cfRule type="notContainsBlanks" dxfId="20" priority="9">
      <formula>LEN(TRIM(U1442))&gt;0</formula>
    </cfRule>
  </conditionalFormatting>
  <conditionalFormatting sqref="A1442">
    <cfRule type="duplicateValues" dxfId="19" priority="25"/>
  </conditionalFormatting>
  <conditionalFormatting sqref="A1442">
    <cfRule type="duplicateValues" dxfId="18" priority="7"/>
    <cfRule type="duplicateValues" dxfId="17" priority="8"/>
  </conditionalFormatting>
  <conditionalFormatting sqref="A1442">
    <cfRule type="duplicateValues" dxfId="16" priority="5"/>
    <cfRule type="duplicateValues" dxfId="15" priority="6"/>
  </conditionalFormatting>
  <conditionalFormatting sqref="A1442">
    <cfRule type="duplicateValues" dxfId="14" priority="4"/>
  </conditionalFormatting>
  <conditionalFormatting sqref="S1442">
    <cfRule type="notContainsBlanks" dxfId="13" priority="3">
      <formula>LEN(TRIM(S1442))&gt;0</formula>
    </cfRule>
  </conditionalFormatting>
  <conditionalFormatting sqref="A1442">
    <cfRule type="duplicateValues" dxfId="12" priority="2"/>
  </conditionalFormatting>
  <conditionalFormatting sqref="A1592:A1748">
    <cfRule type="duplicateValues" dxfId="11" priority="10719"/>
  </conditionalFormatting>
  <conditionalFormatting sqref="A1592:A1748">
    <cfRule type="duplicateValues" dxfId="10" priority="10721"/>
    <cfRule type="notContainsBlanks" dxfId="9" priority="10722">
      <formula>LEN(TRIM(A1592))&gt;0</formula>
    </cfRule>
  </conditionalFormatting>
  <conditionalFormatting sqref="A1592:A1748">
    <cfRule type="duplicateValues" dxfId="8" priority="10725"/>
  </conditionalFormatting>
  <conditionalFormatting sqref="AE1592:AE1748">
    <cfRule type="duplicateValues" dxfId="7" priority="10727"/>
  </conditionalFormatting>
  <conditionalFormatting sqref="A1592:A1748">
    <cfRule type="duplicateValues" dxfId="6" priority="10729"/>
    <cfRule type="duplicateValues" dxfId="5" priority="10730"/>
    <cfRule type="duplicateValues" dxfId="4" priority="10731"/>
    <cfRule type="duplicateValues" dxfId="3" priority="10732"/>
  </conditionalFormatting>
  <conditionalFormatting sqref="A1592:A1748">
    <cfRule type="duplicateValues" dxfId="2" priority="10737"/>
    <cfRule type="duplicateValues" dxfId="1" priority="10738"/>
  </conditionalFormatting>
  <conditionalFormatting sqref="I1615">
    <cfRule type="notContainsBlanks" dxfId="0" priority="1">
      <formula>LEN(TRIM(I1615))&gt;0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Internal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2018-09-25T03:10:21Z</dcterms:modified>
</cp:coreProperties>
</file>